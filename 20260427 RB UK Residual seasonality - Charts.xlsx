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5.xml" ContentType="application/vnd.openxmlformats-officedocument.drawing+xml"/>
  <Override PartName="/xl/charts/chart31.xml" ContentType="application/vnd.openxmlformats-officedocument.drawingml.chart+xml"/>
  <Override PartName="/xl/theme/themeOverride1.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32.xml" ContentType="application/vnd.openxmlformats-officedocument.drawingml.chart+xml"/>
  <Override PartName="/xl/theme/themeOverride2.xml" ContentType="application/vnd.openxmlformats-officedocument.themeOverride+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C69C78A3-EA37-43F3-AA60-65AAABB0BA66}" xr6:coauthVersionLast="47" xr6:coauthVersionMax="47" xr10:uidLastSave="{00000000-0000-0000-0000-000000000000}"/>
  <bookViews>
    <workbookView xWindow="-110" yWindow="-110" windowWidth="19420" windowHeight="10300" tabRatio="904" firstSheet="8" activeTab="11" xr2:uid="{BC02663B-1298-4C7D-8393-98D71B0DF5DF}"/>
  </bookViews>
  <sheets>
    <sheet name="Data &gt;&gt;" sheetId="3" r:id="rId1"/>
    <sheet name="ONS A2 AGG" sheetId="1" r:id="rId2"/>
    <sheet name="HAVERQ" sheetId="4" r:id="rId3"/>
    <sheet name="Real calculations &gt;&gt;" sheetId="5" r:id="rId4"/>
    <sheet name="GDP calculations" sheetId="2" r:id="rId5"/>
    <sheet name="Component calculations" sheetId="6" r:id="rId6"/>
    <sheet name="Nominal calcs &gt;&gt;" sheetId="7" r:id="rId7"/>
    <sheet name="GDP! calculations" sheetId="8" r:id="rId8"/>
    <sheet name="Nominal component calculations" sheetId="9" r:id="rId9"/>
    <sheet name="Charts &gt;&gt;" sheetId="10" r:id="rId10"/>
    <sheet name="Chart data" sheetId="11" r:id="rId11"/>
    <sheet name="Chart 2 - NSA vs 7Q CMA" sheetId="14" r:id="rId12"/>
    <sheet name="Chart 3 - SA vs NSA GDP" sheetId="12" r:id="rId13"/>
  </sheets>
  <definedNames>
    <definedName name="_DLX1.INC">HAVERQ!$4:$10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0" l="1"/>
  <c r="D21" i="10"/>
  <c r="B20" i="10"/>
  <c r="B19" i="10"/>
  <c r="J21" i="10"/>
  <c r="K19" i="10"/>
  <c r="D19" i="10"/>
  <c r="D20" i="10"/>
  <c r="D18" i="10"/>
  <c r="D15" i="10"/>
  <c r="D12" i="10"/>
  <c r="D9" i="10"/>
  <c r="N6" i="11"/>
  <c r="N7" i="11"/>
  <c r="N8" i="11"/>
  <c r="N9" i="11"/>
  <c r="N10" i="11"/>
  <c r="N11" i="11"/>
  <c r="N12" i="11"/>
  <c r="N13" i="11"/>
  <c r="N14" i="11"/>
  <c r="N15" i="11"/>
  <c r="N16" i="11"/>
  <c r="N17" i="11"/>
  <c r="N18" i="11"/>
  <c r="N19" i="11"/>
  <c r="N20" i="11"/>
  <c r="N5" i="11"/>
  <c r="F6" i="11"/>
  <c r="F7" i="11"/>
  <c r="F8" i="11"/>
  <c r="F9" i="11"/>
  <c r="F10" i="11"/>
  <c r="F11" i="11"/>
  <c r="F12" i="11"/>
  <c r="F13" i="11"/>
  <c r="F14" i="11"/>
  <c r="F15" i="11"/>
  <c r="F16" i="11"/>
  <c r="F17" i="11"/>
  <c r="F18" i="11"/>
  <c r="F19" i="11"/>
  <c r="F20" i="11"/>
  <c r="F5" i="11"/>
  <c r="U6" i="9"/>
  <c r="V6" i="9"/>
  <c r="W6" i="9"/>
  <c r="X6" i="9"/>
  <c r="Y6" i="9"/>
  <c r="Z6" i="9"/>
  <c r="AA6" i="9"/>
  <c r="AB6" i="9"/>
  <c r="U7" i="9"/>
  <c r="V7" i="9"/>
  <c r="W7" i="9"/>
  <c r="X7" i="9"/>
  <c r="Y7" i="9"/>
  <c r="Z7" i="9"/>
  <c r="AA7" i="9"/>
  <c r="AB7" i="9"/>
  <c r="U8" i="9"/>
  <c r="V8" i="9"/>
  <c r="W8" i="9"/>
  <c r="X8" i="9"/>
  <c r="Y8" i="9"/>
  <c r="Z8" i="9"/>
  <c r="AA8" i="9"/>
  <c r="AB8" i="9"/>
  <c r="U9" i="9"/>
  <c r="V9" i="9"/>
  <c r="W9" i="9"/>
  <c r="X9" i="9"/>
  <c r="Y9" i="9"/>
  <c r="Z9" i="9"/>
  <c r="AA9" i="9"/>
  <c r="CS6" i="9" s="1"/>
  <c r="AB9" i="9"/>
  <c r="U10" i="9"/>
  <c r="V10" i="9"/>
  <c r="W10" i="9"/>
  <c r="X10" i="9"/>
  <c r="Y10" i="9"/>
  <c r="Z10" i="9"/>
  <c r="AA10" i="9"/>
  <c r="CT6" i="9" s="1"/>
  <c r="AB10" i="9"/>
  <c r="U11" i="9"/>
  <c r="V11" i="9"/>
  <c r="W11" i="9"/>
  <c r="X11" i="9"/>
  <c r="Y11" i="9"/>
  <c r="Z11" i="9"/>
  <c r="AA11" i="9"/>
  <c r="AB11" i="9"/>
  <c r="U12" i="9"/>
  <c r="V12" i="9"/>
  <c r="W12" i="9"/>
  <c r="X12" i="9"/>
  <c r="Y12" i="9"/>
  <c r="Z12" i="9"/>
  <c r="AA12" i="9"/>
  <c r="AB12" i="9"/>
  <c r="U13" i="9"/>
  <c r="V13" i="9"/>
  <c r="W13" i="9"/>
  <c r="X13" i="9"/>
  <c r="Y13" i="9"/>
  <c r="Z13" i="9"/>
  <c r="AA13" i="9"/>
  <c r="CS7" i="9" s="1"/>
  <c r="AB13" i="9"/>
  <c r="U14" i="9"/>
  <c r="V14" i="9"/>
  <c r="W14" i="9"/>
  <c r="X14" i="9"/>
  <c r="Y14" i="9"/>
  <c r="Z14" i="9"/>
  <c r="AA14" i="9"/>
  <c r="AB14" i="9"/>
  <c r="U15" i="9"/>
  <c r="V15" i="9"/>
  <c r="W15" i="9"/>
  <c r="X15" i="9"/>
  <c r="Y15" i="9"/>
  <c r="Z15" i="9"/>
  <c r="AA15" i="9"/>
  <c r="CU7" i="9" s="1"/>
  <c r="AB15" i="9"/>
  <c r="U16" i="9"/>
  <c r="V16" i="9"/>
  <c r="W16" i="9"/>
  <c r="X16" i="9"/>
  <c r="Y16" i="9"/>
  <c r="Z16" i="9"/>
  <c r="AA16" i="9"/>
  <c r="AB16" i="9"/>
  <c r="U17" i="9"/>
  <c r="V17" i="9"/>
  <c r="W17" i="9"/>
  <c r="X17" i="9"/>
  <c r="Y17" i="9"/>
  <c r="Z17" i="9"/>
  <c r="AA17" i="9"/>
  <c r="AS8" i="9" s="1"/>
  <c r="AB17" i="9"/>
  <c r="U18" i="9"/>
  <c r="V18" i="9"/>
  <c r="W18" i="9"/>
  <c r="X18" i="9"/>
  <c r="Y18" i="9"/>
  <c r="Z18" i="9"/>
  <c r="AA18" i="9"/>
  <c r="AB18" i="9"/>
  <c r="U19" i="9"/>
  <c r="V19" i="9"/>
  <c r="W19" i="9"/>
  <c r="X19" i="9"/>
  <c r="Y19" i="9"/>
  <c r="Z19" i="9"/>
  <c r="AA19" i="9"/>
  <c r="CU8" i="9" s="1"/>
  <c r="AB19" i="9"/>
  <c r="U20" i="9"/>
  <c r="V20" i="9"/>
  <c r="W20" i="9"/>
  <c r="X20" i="9"/>
  <c r="Y20" i="9"/>
  <c r="Z20" i="9"/>
  <c r="AA20" i="9"/>
  <c r="CV8" i="9" s="1"/>
  <c r="AB20" i="9"/>
  <c r="U21" i="9"/>
  <c r="V21" i="9"/>
  <c r="W21" i="9"/>
  <c r="X21" i="9"/>
  <c r="Y21" i="9"/>
  <c r="Z21" i="9"/>
  <c r="AA21" i="9"/>
  <c r="CS9" i="9" s="1"/>
  <c r="AB21" i="9"/>
  <c r="U22" i="9"/>
  <c r="V22" i="9"/>
  <c r="W22" i="9"/>
  <c r="X22" i="9"/>
  <c r="Y22" i="9"/>
  <c r="Z22" i="9"/>
  <c r="AA22" i="9"/>
  <c r="AB22" i="9"/>
  <c r="U23" i="9"/>
  <c r="V23" i="9"/>
  <c r="W23" i="9"/>
  <c r="X23" i="9"/>
  <c r="Y23" i="9"/>
  <c r="Z23" i="9"/>
  <c r="AA23" i="9"/>
  <c r="AB23" i="9"/>
  <c r="U24" i="9"/>
  <c r="V24" i="9"/>
  <c r="W24" i="9"/>
  <c r="X24" i="9"/>
  <c r="Y24" i="9"/>
  <c r="Z24" i="9"/>
  <c r="AA24" i="9"/>
  <c r="AB24" i="9"/>
  <c r="U25" i="9"/>
  <c r="V25" i="9"/>
  <c r="W25" i="9"/>
  <c r="X25" i="9"/>
  <c r="Y25" i="9"/>
  <c r="Z25" i="9"/>
  <c r="AA25" i="9"/>
  <c r="AB25" i="9"/>
  <c r="U26" i="9"/>
  <c r="V26" i="9"/>
  <c r="W26" i="9"/>
  <c r="X26" i="9"/>
  <c r="Y26" i="9"/>
  <c r="Z26" i="9"/>
  <c r="AA26" i="9"/>
  <c r="AB26" i="9"/>
  <c r="U27" i="9"/>
  <c r="V27" i="9"/>
  <c r="W27" i="9"/>
  <c r="X27" i="9"/>
  <c r="Y27" i="9"/>
  <c r="Z27" i="9"/>
  <c r="AA27" i="9"/>
  <c r="AB27" i="9"/>
  <c r="U28" i="9"/>
  <c r="V28" i="9"/>
  <c r="W28" i="9"/>
  <c r="X28" i="9"/>
  <c r="Y28" i="9"/>
  <c r="Z28" i="9"/>
  <c r="AA28" i="9"/>
  <c r="AB28" i="9"/>
  <c r="U29" i="9"/>
  <c r="V29" i="9"/>
  <c r="W29" i="9"/>
  <c r="X29" i="9"/>
  <c r="Y29" i="9"/>
  <c r="Z29" i="9"/>
  <c r="AA29" i="9"/>
  <c r="CS11" i="9" s="1"/>
  <c r="AB29" i="9"/>
  <c r="U30" i="9"/>
  <c r="V30" i="9"/>
  <c r="W30" i="9"/>
  <c r="X30" i="9"/>
  <c r="Y30" i="9"/>
  <c r="Z30" i="9"/>
  <c r="AA30" i="9"/>
  <c r="AB30" i="9"/>
  <c r="U31" i="9"/>
  <c r="V31" i="9"/>
  <c r="W31" i="9"/>
  <c r="X31" i="9"/>
  <c r="Y31" i="9"/>
  <c r="Z31" i="9"/>
  <c r="AA31" i="9"/>
  <c r="AB31" i="9"/>
  <c r="U32" i="9"/>
  <c r="V32" i="9"/>
  <c r="W32" i="9"/>
  <c r="X32" i="9"/>
  <c r="Y32" i="9"/>
  <c r="Z32" i="9"/>
  <c r="AA32" i="9"/>
  <c r="AB32" i="9"/>
  <c r="U33" i="9"/>
  <c r="V33" i="9"/>
  <c r="W33" i="9"/>
  <c r="X33" i="9"/>
  <c r="Y33" i="9"/>
  <c r="Z33" i="9"/>
  <c r="AA33" i="9"/>
  <c r="AB33" i="9"/>
  <c r="U34" i="9"/>
  <c r="V34" i="9"/>
  <c r="W34" i="9"/>
  <c r="X34" i="9"/>
  <c r="Y34" i="9"/>
  <c r="Z34" i="9"/>
  <c r="AA34" i="9"/>
  <c r="AB34" i="9"/>
  <c r="U35" i="9"/>
  <c r="V35" i="9"/>
  <c r="W35" i="9"/>
  <c r="X35" i="9"/>
  <c r="Y35" i="9"/>
  <c r="Z35" i="9"/>
  <c r="AA35" i="9"/>
  <c r="AB35" i="9"/>
  <c r="U36" i="9"/>
  <c r="V36" i="9"/>
  <c r="W36" i="9"/>
  <c r="X36" i="9"/>
  <c r="Y36" i="9"/>
  <c r="Z36" i="9"/>
  <c r="AA36" i="9"/>
  <c r="AB36" i="9"/>
  <c r="U37" i="9"/>
  <c r="V37" i="9"/>
  <c r="W37" i="9"/>
  <c r="X37" i="9"/>
  <c r="Y37" i="9"/>
  <c r="Z37" i="9"/>
  <c r="AA37" i="9"/>
  <c r="CS13" i="9" s="1"/>
  <c r="AB37" i="9"/>
  <c r="U38" i="9"/>
  <c r="V38" i="9"/>
  <c r="W38" i="9"/>
  <c r="X38" i="9"/>
  <c r="Y38" i="9"/>
  <c r="Z38" i="9"/>
  <c r="AA38" i="9"/>
  <c r="AB38" i="9"/>
  <c r="U39" i="9"/>
  <c r="V39" i="9"/>
  <c r="W39" i="9"/>
  <c r="X39" i="9"/>
  <c r="Y39" i="9"/>
  <c r="Z39" i="9"/>
  <c r="AA39" i="9"/>
  <c r="CU13" i="9" s="1"/>
  <c r="AB39" i="9"/>
  <c r="U40" i="9"/>
  <c r="V40" i="9"/>
  <c r="W40" i="9"/>
  <c r="X40" i="9"/>
  <c r="Y40" i="9"/>
  <c r="Z40" i="9"/>
  <c r="AA40" i="9"/>
  <c r="CV13" i="9" s="1"/>
  <c r="AB40" i="9"/>
  <c r="U41" i="9"/>
  <c r="V41" i="9"/>
  <c r="W41" i="9"/>
  <c r="X41" i="9"/>
  <c r="Y41" i="9"/>
  <c r="Z41" i="9"/>
  <c r="AA41" i="9"/>
  <c r="AS14" i="9" s="1"/>
  <c r="AB41" i="9"/>
  <c r="U42" i="9"/>
  <c r="V42" i="9"/>
  <c r="W42" i="9"/>
  <c r="X42" i="9"/>
  <c r="Y42" i="9"/>
  <c r="Z42" i="9"/>
  <c r="AA42" i="9"/>
  <c r="AB42" i="9"/>
  <c r="U43" i="9"/>
  <c r="V43" i="9"/>
  <c r="W43" i="9"/>
  <c r="X43" i="9"/>
  <c r="Y43" i="9"/>
  <c r="Z43" i="9"/>
  <c r="AA43" i="9"/>
  <c r="CU14" i="9" s="1"/>
  <c r="AB43" i="9"/>
  <c r="U44" i="9"/>
  <c r="V44" i="9"/>
  <c r="W44" i="9"/>
  <c r="X44" i="9"/>
  <c r="Y44" i="9"/>
  <c r="Z44" i="9"/>
  <c r="AA44" i="9"/>
  <c r="CV14" i="9" s="1"/>
  <c r="AB44" i="9"/>
  <c r="U45" i="9"/>
  <c r="V45" i="9"/>
  <c r="W45" i="9"/>
  <c r="X45" i="9"/>
  <c r="Y45" i="9"/>
  <c r="Z45" i="9"/>
  <c r="AA45" i="9"/>
  <c r="CS15" i="9" s="1"/>
  <c r="AB45" i="9"/>
  <c r="U46" i="9"/>
  <c r="V46" i="9"/>
  <c r="W46" i="9"/>
  <c r="X46" i="9"/>
  <c r="Y46" i="9"/>
  <c r="Z46" i="9"/>
  <c r="AA46" i="9"/>
  <c r="CT15" i="9" s="1"/>
  <c r="AB46" i="9"/>
  <c r="U47" i="9"/>
  <c r="V47" i="9"/>
  <c r="W47" i="9"/>
  <c r="X47" i="9"/>
  <c r="Y47" i="9"/>
  <c r="Z47" i="9"/>
  <c r="AA47" i="9"/>
  <c r="AB47" i="9"/>
  <c r="U48" i="9"/>
  <c r="V48" i="9"/>
  <c r="W48" i="9"/>
  <c r="X48" i="9"/>
  <c r="Y48" i="9"/>
  <c r="Z48" i="9"/>
  <c r="AA48" i="9"/>
  <c r="CV15" i="9" s="1"/>
  <c r="AB48" i="9"/>
  <c r="U49" i="9"/>
  <c r="V49" i="9"/>
  <c r="W49" i="9"/>
  <c r="X49" i="9"/>
  <c r="Y49" i="9"/>
  <c r="Z49" i="9"/>
  <c r="AA49" i="9"/>
  <c r="AS16" i="9" s="1"/>
  <c r="AB49" i="9"/>
  <c r="U50" i="9"/>
  <c r="V50" i="9"/>
  <c r="W50" i="9"/>
  <c r="X50" i="9"/>
  <c r="Y50" i="9"/>
  <c r="Z50" i="9"/>
  <c r="AA50" i="9"/>
  <c r="CT16" i="9" s="1"/>
  <c r="AB50" i="9"/>
  <c r="U51" i="9"/>
  <c r="V51" i="9"/>
  <c r="W51" i="9"/>
  <c r="X51" i="9"/>
  <c r="Y51" i="9"/>
  <c r="Z51" i="9"/>
  <c r="AA51" i="9"/>
  <c r="CU16" i="9" s="1"/>
  <c r="AB51" i="9"/>
  <c r="U52" i="9"/>
  <c r="V52" i="9"/>
  <c r="W52" i="9"/>
  <c r="X52" i="9"/>
  <c r="Y52" i="9"/>
  <c r="Z52" i="9"/>
  <c r="AA52" i="9"/>
  <c r="CV16" i="9" s="1"/>
  <c r="AB52" i="9"/>
  <c r="U53" i="9"/>
  <c r="V53" i="9"/>
  <c r="W53" i="9"/>
  <c r="X53" i="9"/>
  <c r="Y53" i="9"/>
  <c r="Z53" i="9"/>
  <c r="AA53" i="9"/>
  <c r="CS17" i="9" s="1"/>
  <c r="AB53" i="9"/>
  <c r="U54" i="9"/>
  <c r="V54" i="9"/>
  <c r="W54" i="9"/>
  <c r="X54" i="9"/>
  <c r="Y54" i="9"/>
  <c r="Z54" i="9"/>
  <c r="AA54" i="9"/>
  <c r="CT17" i="9" s="1"/>
  <c r="AB54" i="9"/>
  <c r="U55" i="9"/>
  <c r="V55" i="9"/>
  <c r="W55" i="9"/>
  <c r="X55" i="9"/>
  <c r="Y55" i="9"/>
  <c r="Z55" i="9"/>
  <c r="AA55" i="9"/>
  <c r="AB55" i="9"/>
  <c r="U56" i="9"/>
  <c r="V56" i="9"/>
  <c r="W56" i="9"/>
  <c r="X56" i="9"/>
  <c r="Y56" i="9"/>
  <c r="Z56" i="9"/>
  <c r="AA56" i="9"/>
  <c r="CV17" i="9" s="1"/>
  <c r="AB56" i="9"/>
  <c r="U57" i="9"/>
  <c r="V57" i="9"/>
  <c r="W57" i="9"/>
  <c r="X57" i="9"/>
  <c r="Y57" i="9"/>
  <c r="Z57" i="9"/>
  <c r="AA57" i="9"/>
  <c r="AS18" i="9" s="1"/>
  <c r="AB57" i="9"/>
  <c r="U58" i="9"/>
  <c r="V58" i="9"/>
  <c r="W58" i="9"/>
  <c r="X58" i="9"/>
  <c r="Y58" i="9"/>
  <c r="Z58" i="9"/>
  <c r="AA58" i="9"/>
  <c r="CT18" i="9" s="1"/>
  <c r="AB58" i="9"/>
  <c r="U59" i="9"/>
  <c r="V59" i="9"/>
  <c r="W59" i="9"/>
  <c r="X59" i="9"/>
  <c r="Y59" i="9"/>
  <c r="Z59" i="9"/>
  <c r="AA59" i="9"/>
  <c r="CU18" i="9" s="1"/>
  <c r="AB59" i="9"/>
  <c r="U60" i="9"/>
  <c r="V60" i="9"/>
  <c r="W60" i="9"/>
  <c r="X60" i="9"/>
  <c r="Y60" i="9"/>
  <c r="Z60" i="9"/>
  <c r="AA60" i="9"/>
  <c r="CV18" i="9" s="1"/>
  <c r="AB60" i="9"/>
  <c r="U61" i="9"/>
  <c r="V61" i="9"/>
  <c r="W61" i="9"/>
  <c r="X61" i="9"/>
  <c r="Y61" i="9"/>
  <c r="Z61" i="9"/>
  <c r="AA61" i="9"/>
  <c r="CS19" i="9" s="1"/>
  <c r="AB61" i="9"/>
  <c r="U62" i="9"/>
  <c r="V62" i="9"/>
  <c r="W62" i="9"/>
  <c r="X62" i="9"/>
  <c r="Y62" i="9"/>
  <c r="Z62" i="9"/>
  <c r="AA62" i="9"/>
  <c r="AB62" i="9"/>
  <c r="U63" i="9"/>
  <c r="V63" i="9"/>
  <c r="W63" i="9"/>
  <c r="X63" i="9"/>
  <c r="Y63" i="9"/>
  <c r="Z63" i="9"/>
  <c r="AA63" i="9"/>
  <c r="CU19" i="9" s="1"/>
  <c r="AB63" i="9"/>
  <c r="U64" i="9"/>
  <c r="V64" i="9"/>
  <c r="W64" i="9"/>
  <c r="X64" i="9"/>
  <c r="Y64" i="9"/>
  <c r="Z64" i="9"/>
  <c r="AA64" i="9"/>
  <c r="CV19" i="9" s="1"/>
  <c r="AB64" i="9"/>
  <c r="U65" i="9"/>
  <c r="V65" i="9"/>
  <c r="W65" i="9"/>
  <c r="X65" i="9"/>
  <c r="Y65" i="9"/>
  <c r="Z65" i="9"/>
  <c r="AA65" i="9"/>
  <c r="CS20" i="9" s="1"/>
  <c r="AB65" i="9"/>
  <c r="U66" i="9"/>
  <c r="V66" i="9"/>
  <c r="W66" i="9"/>
  <c r="X66" i="9"/>
  <c r="Y66" i="9"/>
  <c r="Z66" i="9"/>
  <c r="AA66" i="9"/>
  <c r="CT20" i="9" s="1"/>
  <c r="AB66" i="9"/>
  <c r="U67" i="9"/>
  <c r="V67" i="9"/>
  <c r="W67" i="9"/>
  <c r="X67" i="9"/>
  <c r="Y67" i="9"/>
  <c r="Z67" i="9"/>
  <c r="AA67" i="9"/>
  <c r="CU20" i="9" s="1"/>
  <c r="AB67" i="9"/>
  <c r="U68" i="9"/>
  <c r="V68" i="9"/>
  <c r="W68" i="9"/>
  <c r="X68" i="9"/>
  <c r="Y68" i="9"/>
  <c r="Z68" i="9"/>
  <c r="AA68" i="9"/>
  <c r="CV20" i="9" s="1"/>
  <c r="AB68" i="9"/>
  <c r="U69" i="9"/>
  <c r="V69" i="9"/>
  <c r="W69" i="9"/>
  <c r="X69" i="9"/>
  <c r="Y69" i="9"/>
  <c r="Z69" i="9"/>
  <c r="AA69" i="9"/>
  <c r="AS21" i="9" s="1"/>
  <c r="AB69" i="9"/>
  <c r="U70" i="9"/>
  <c r="V70" i="9"/>
  <c r="W70" i="9"/>
  <c r="X70" i="9"/>
  <c r="Y70" i="9"/>
  <c r="Z70" i="9"/>
  <c r="AA70" i="9"/>
  <c r="CT21" i="9" s="1"/>
  <c r="AB70" i="9"/>
  <c r="U71" i="9"/>
  <c r="V71" i="9"/>
  <c r="W71" i="9"/>
  <c r="X71" i="9"/>
  <c r="Y71" i="9"/>
  <c r="Z71" i="9"/>
  <c r="AA71" i="9"/>
  <c r="CU21" i="9" s="1"/>
  <c r="AB71" i="9"/>
  <c r="U72" i="9"/>
  <c r="V72" i="9"/>
  <c r="W72" i="9"/>
  <c r="X72" i="9"/>
  <c r="Y72" i="9"/>
  <c r="Z72" i="9"/>
  <c r="AA72" i="9"/>
  <c r="CV21" i="9" s="1"/>
  <c r="AB72" i="9"/>
  <c r="U73" i="9"/>
  <c r="V73" i="9"/>
  <c r="W73" i="9"/>
  <c r="X73" i="9"/>
  <c r="Y73" i="9"/>
  <c r="Z73" i="9"/>
  <c r="AA73" i="9"/>
  <c r="AS22" i="9" s="1"/>
  <c r="AB73" i="9"/>
  <c r="U74" i="9"/>
  <c r="V74" i="9"/>
  <c r="W74" i="9"/>
  <c r="X74" i="9"/>
  <c r="Y74" i="9"/>
  <c r="Z74" i="9"/>
  <c r="AA74" i="9"/>
  <c r="CT22" i="9" s="1"/>
  <c r="AB74" i="9"/>
  <c r="U75" i="9"/>
  <c r="V75" i="9"/>
  <c r="W75" i="9"/>
  <c r="X75" i="9"/>
  <c r="Y75" i="9"/>
  <c r="Z75" i="9"/>
  <c r="AA75" i="9"/>
  <c r="CU22" i="9" s="1"/>
  <c r="AB75" i="9"/>
  <c r="U76" i="9"/>
  <c r="V76" i="9"/>
  <c r="W76" i="9"/>
  <c r="X76" i="9"/>
  <c r="Y76" i="9"/>
  <c r="Z76" i="9"/>
  <c r="AA76" i="9"/>
  <c r="AB76" i="9"/>
  <c r="U77" i="9"/>
  <c r="V77" i="9"/>
  <c r="W77" i="9"/>
  <c r="X77" i="9"/>
  <c r="Y77" i="9"/>
  <c r="Z77" i="9"/>
  <c r="AA77" i="9"/>
  <c r="AS23" i="9" s="1"/>
  <c r="AB77" i="9"/>
  <c r="U78" i="9"/>
  <c r="V78" i="9"/>
  <c r="W78" i="9"/>
  <c r="X78" i="9"/>
  <c r="Y78" i="9"/>
  <c r="Z78" i="9"/>
  <c r="AA78" i="9"/>
  <c r="CT23" i="9" s="1"/>
  <c r="AB78" i="9"/>
  <c r="U79" i="9"/>
  <c r="V79" i="9"/>
  <c r="W79" i="9"/>
  <c r="X79" i="9"/>
  <c r="Y79" i="9"/>
  <c r="Z79" i="9"/>
  <c r="AA79" i="9"/>
  <c r="CU23" i="9" s="1"/>
  <c r="AB79" i="9"/>
  <c r="U80" i="9"/>
  <c r="V80" i="9"/>
  <c r="W80" i="9"/>
  <c r="X80" i="9"/>
  <c r="Y80" i="9"/>
  <c r="Z80" i="9"/>
  <c r="AA80" i="9"/>
  <c r="CV23" i="9" s="1"/>
  <c r="AB80" i="9"/>
  <c r="U81" i="9"/>
  <c r="V81" i="9"/>
  <c r="W81" i="9"/>
  <c r="X81" i="9"/>
  <c r="Y81" i="9"/>
  <c r="Z81" i="9"/>
  <c r="AA81" i="9"/>
  <c r="CS24" i="9" s="1"/>
  <c r="AB81" i="9"/>
  <c r="U82" i="9"/>
  <c r="V82" i="9"/>
  <c r="W82" i="9"/>
  <c r="X82" i="9"/>
  <c r="Y82" i="9"/>
  <c r="Z82" i="9"/>
  <c r="AA82" i="9"/>
  <c r="CT24" i="9" s="1"/>
  <c r="AB82" i="9"/>
  <c r="U83" i="9"/>
  <c r="V83" i="9"/>
  <c r="W83" i="9"/>
  <c r="X83" i="9"/>
  <c r="Y83" i="9"/>
  <c r="Z83" i="9"/>
  <c r="AA83" i="9"/>
  <c r="AB83" i="9"/>
  <c r="U84" i="9"/>
  <c r="V84" i="9"/>
  <c r="W84" i="9"/>
  <c r="X84" i="9"/>
  <c r="Y84" i="9"/>
  <c r="Z84" i="9"/>
  <c r="AA84" i="9"/>
  <c r="CV24" i="9" s="1"/>
  <c r="AB84" i="9"/>
  <c r="U85" i="9"/>
  <c r="V85" i="9"/>
  <c r="W85" i="9"/>
  <c r="X85" i="9"/>
  <c r="Y85" i="9"/>
  <c r="Z85" i="9"/>
  <c r="AA85" i="9"/>
  <c r="AS25" i="9" s="1"/>
  <c r="AB85" i="9"/>
  <c r="U86" i="9"/>
  <c r="V86" i="9"/>
  <c r="W86" i="9"/>
  <c r="X86" i="9"/>
  <c r="Y86" i="9"/>
  <c r="Z86" i="9"/>
  <c r="AA86" i="9"/>
  <c r="CT25" i="9" s="1"/>
  <c r="AB86" i="9"/>
  <c r="U87" i="9"/>
  <c r="V87" i="9"/>
  <c r="W87" i="9"/>
  <c r="X87" i="9"/>
  <c r="Y87" i="9"/>
  <c r="Z87" i="9"/>
  <c r="AA87" i="9"/>
  <c r="CU25" i="9" s="1"/>
  <c r="AB87" i="9"/>
  <c r="U88" i="9"/>
  <c r="V88" i="9"/>
  <c r="W88" i="9"/>
  <c r="X88" i="9"/>
  <c r="Y88" i="9"/>
  <c r="Z88" i="9"/>
  <c r="AA88" i="9"/>
  <c r="CV25" i="9" s="1"/>
  <c r="AB88" i="9"/>
  <c r="U89" i="9"/>
  <c r="V89" i="9"/>
  <c r="W89" i="9"/>
  <c r="X89" i="9"/>
  <c r="Y89" i="9"/>
  <c r="Z89" i="9"/>
  <c r="AA89" i="9"/>
  <c r="CS26" i="9" s="1"/>
  <c r="AB89" i="9"/>
  <c r="U90" i="9"/>
  <c r="V90" i="9"/>
  <c r="W90" i="9"/>
  <c r="X90" i="9"/>
  <c r="Y90" i="9"/>
  <c r="Z90" i="9"/>
  <c r="AA90" i="9"/>
  <c r="AB90" i="9"/>
  <c r="U91" i="9"/>
  <c r="V91" i="9"/>
  <c r="W91" i="9"/>
  <c r="X91" i="9"/>
  <c r="Y91" i="9"/>
  <c r="Z91" i="9"/>
  <c r="AA91" i="9"/>
  <c r="CU26" i="9" s="1"/>
  <c r="AB91" i="9"/>
  <c r="U92" i="9"/>
  <c r="V92" i="9"/>
  <c r="W92" i="9"/>
  <c r="X92" i="9"/>
  <c r="Y92" i="9"/>
  <c r="Z92" i="9"/>
  <c r="AA92" i="9"/>
  <c r="CV26" i="9" s="1"/>
  <c r="AB92" i="9"/>
  <c r="U93" i="9"/>
  <c r="V93" i="9"/>
  <c r="W93" i="9"/>
  <c r="X93" i="9"/>
  <c r="Y93" i="9"/>
  <c r="Z93" i="9"/>
  <c r="AA93" i="9"/>
  <c r="AS27" i="9" s="1"/>
  <c r="AB93" i="9"/>
  <c r="U94" i="9"/>
  <c r="V94" i="9"/>
  <c r="W94" i="9"/>
  <c r="X94" i="9"/>
  <c r="Y94" i="9"/>
  <c r="Z94" i="9"/>
  <c r="AA94" i="9"/>
  <c r="CT27" i="9" s="1"/>
  <c r="AB94" i="9"/>
  <c r="U95" i="9"/>
  <c r="V95" i="9"/>
  <c r="W95" i="9"/>
  <c r="X95" i="9"/>
  <c r="Y95" i="9"/>
  <c r="Z95" i="9"/>
  <c r="AA95" i="9"/>
  <c r="CU27" i="9" s="1"/>
  <c r="AB95" i="9"/>
  <c r="U96" i="9"/>
  <c r="V96" i="9"/>
  <c r="W96" i="9"/>
  <c r="X96" i="9"/>
  <c r="Y96" i="9"/>
  <c r="Z96" i="9"/>
  <c r="AA96" i="9"/>
  <c r="CV27" i="9" s="1"/>
  <c r="AB96" i="9"/>
  <c r="U97" i="9"/>
  <c r="V97" i="9"/>
  <c r="W97" i="9"/>
  <c r="X97" i="9"/>
  <c r="Y97" i="9"/>
  <c r="Z97" i="9"/>
  <c r="AA97" i="9"/>
  <c r="CS28" i="9" s="1"/>
  <c r="AB97" i="9"/>
  <c r="U98" i="9"/>
  <c r="V98" i="9"/>
  <c r="W98" i="9"/>
  <c r="X98" i="9"/>
  <c r="Y98" i="9"/>
  <c r="Z98" i="9"/>
  <c r="AA98" i="9"/>
  <c r="AB98" i="9"/>
  <c r="U99" i="9"/>
  <c r="V99" i="9"/>
  <c r="W99" i="9"/>
  <c r="X99" i="9"/>
  <c r="Y99" i="9"/>
  <c r="Z99" i="9"/>
  <c r="AA99" i="9"/>
  <c r="CU28" i="9" s="1"/>
  <c r="AB99" i="9"/>
  <c r="U100" i="9"/>
  <c r="V100" i="9"/>
  <c r="W100" i="9"/>
  <c r="X100" i="9"/>
  <c r="Y100" i="9"/>
  <c r="Z100" i="9"/>
  <c r="AA100" i="9"/>
  <c r="CV28" i="9" s="1"/>
  <c r="AB100" i="9"/>
  <c r="U101" i="9"/>
  <c r="V101" i="9"/>
  <c r="W101" i="9"/>
  <c r="X101" i="9"/>
  <c r="Y101" i="9"/>
  <c r="Z101" i="9"/>
  <c r="AA101" i="9"/>
  <c r="AS29" i="9" s="1"/>
  <c r="AB101" i="9"/>
  <c r="U102" i="9"/>
  <c r="V102" i="9"/>
  <c r="W102" i="9"/>
  <c r="X102" i="9"/>
  <c r="Y102" i="9"/>
  <c r="Z102" i="9"/>
  <c r="AA102" i="9"/>
  <c r="CT29" i="9" s="1"/>
  <c r="AB102" i="9"/>
  <c r="U103" i="9"/>
  <c r="V103" i="9"/>
  <c r="W103" i="9"/>
  <c r="X103" i="9"/>
  <c r="Y103" i="9"/>
  <c r="Z103" i="9"/>
  <c r="AA103" i="9"/>
  <c r="CU29" i="9" s="1"/>
  <c r="AB103" i="9"/>
  <c r="U104" i="9"/>
  <c r="V104" i="9"/>
  <c r="W104" i="9"/>
  <c r="X104" i="9"/>
  <c r="Y104" i="9"/>
  <c r="Z104" i="9"/>
  <c r="AA104" i="9"/>
  <c r="CV29" i="9" s="1"/>
  <c r="AB104" i="9"/>
  <c r="U105" i="9"/>
  <c r="V105" i="9"/>
  <c r="W105" i="9"/>
  <c r="X105" i="9"/>
  <c r="Y105" i="9"/>
  <c r="Z105" i="9"/>
  <c r="AA105" i="9"/>
  <c r="AS30" i="9" s="1"/>
  <c r="AB105" i="9"/>
  <c r="U106" i="9"/>
  <c r="V106" i="9"/>
  <c r="W106" i="9"/>
  <c r="X106" i="9"/>
  <c r="Y106" i="9"/>
  <c r="Z106" i="9"/>
  <c r="AA106" i="9"/>
  <c r="CT30" i="9" s="1"/>
  <c r="AB106" i="9"/>
  <c r="U107" i="9"/>
  <c r="V107" i="9"/>
  <c r="W107" i="9"/>
  <c r="X107" i="9"/>
  <c r="Y107" i="9"/>
  <c r="Z107" i="9"/>
  <c r="AA107" i="9"/>
  <c r="CU30" i="9" s="1"/>
  <c r="AB107" i="9"/>
  <c r="U108" i="9"/>
  <c r="V108" i="9"/>
  <c r="W108" i="9"/>
  <c r="X108" i="9"/>
  <c r="Y108" i="9"/>
  <c r="Z108" i="9"/>
  <c r="AA108" i="9"/>
  <c r="CV30" i="9" s="1"/>
  <c r="AB108" i="9"/>
  <c r="U109" i="9"/>
  <c r="V109" i="9"/>
  <c r="W109" i="9"/>
  <c r="X109" i="9"/>
  <c r="Y109" i="9"/>
  <c r="Z109" i="9"/>
  <c r="AA109" i="9"/>
  <c r="AS31" i="9" s="1"/>
  <c r="AB109" i="9"/>
  <c r="U110" i="9"/>
  <c r="V110" i="9"/>
  <c r="W110" i="9"/>
  <c r="X110" i="9"/>
  <c r="Y110" i="9"/>
  <c r="Z110" i="9"/>
  <c r="AA110" i="9"/>
  <c r="CT31" i="9" s="1"/>
  <c r="AB110" i="9"/>
  <c r="U111" i="9"/>
  <c r="V111" i="9"/>
  <c r="W111" i="9"/>
  <c r="X111" i="9"/>
  <c r="Y111" i="9"/>
  <c r="Z111" i="9"/>
  <c r="AA111" i="9"/>
  <c r="CU31" i="9" s="1"/>
  <c r="AB111" i="9"/>
  <c r="U112" i="9"/>
  <c r="V112" i="9"/>
  <c r="W112" i="9"/>
  <c r="X112" i="9"/>
  <c r="Y112" i="9"/>
  <c r="Z112" i="9"/>
  <c r="AA112" i="9"/>
  <c r="CV31" i="9" s="1"/>
  <c r="AB112" i="9"/>
  <c r="U113" i="9"/>
  <c r="V113" i="9"/>
  <c r="W113" i="9"/>
  <c r="X113" i="9"/>
  <c r="Y113" i="9"/>
  <c r="Z113" i="9"/>
  <c r="AA113" i="9"/>
  <c r="AS32" i="9" s="1"/>
  <c r="AB113" i="9"/>
  <c r="U114" i="9"/>
  <c r="V114" i="9"/>
  <c r="W114" i="9"/>
  <c r="X114" i="9"/>
  <c r="Y114" i="9"/>
  <c r="Z114" i="9"/>
  <c r="AA114" i="9"/>
  <c r="CT32" i="9" s="1"/>
  <c r="AB114" i="9"/>
  <c r="U115" i="9"/>
  <c r="V115" i="9"/>
  <c r="W115" i="9"/>
  <c r="X115" i="9"/>
  <c r="Y115" i="9"/>
  <c r="Z115" i="9"/>
  <c r="AA115" i="9"/>
  <c r="CU32" i="9" s="1"/>
  <c r="AB115" i="9"/>
  <c r="U116" i="9"/>
  <c r="V116" i="9"/>
  <c r="W116" i="9"/>
  <c r="X116" i="9"/>
  <c r="Y116" i="9"/>
  <c r="Z116" i="9"/>
  <c r="AA116" i="9"/>
  <c r="CV32" i="9" s="1"/>
  <c r="AB116" i="9"/>
  <c r="U117" i="9"/>
  <c r="V117" i="9"/>
  <c r="W117" i="9"/>
  <c r="X117" i="9"/>
  <c r="Y117" i="9"/>
  <c r="Z117" i="9"/>
  <c r="AA117" i="9"/>
  <c r="AS33" i="9" s="1"/>
  <c r="AB117" i="9"/>
  <c r="U118" i="9"/>
  <c r="V118" i="9"/>
  <c r="W118" i="9"/>
  <c r="X118" i="9"/>
  <c r="Y118" i="9"/>
  <c r="Z118" i="9"/>
  <c r="AA118" i="9"/>
  <c r="CT33" i="9" s="1"/>
  <c r="AB118" i="9"/>
  <c r="U119" i="9"/>
  <c r="V119" i="9"/>
  <c r="W119" i="9"/>
  <c r="X119" i="9"/>
  <c r="Y119" i="9"/>
  <c r="Z119" i="9"/>
  <c r="AA119" i="9"/>
  <c r="CU33" i="9" s="1"/>
  <c r="AB119" i="9"/>
  <c r="U120" i="9"/>
  <c r="V120" i="9"/>
  <c r="W120" i="9"/>
  <c r="X120" i="9"/>
  <c r="Y120" i="9"/>
  <c r="Z120" i="9"/>
  <c r="AA120" i="9"/>
  <c r="AB120" i="9"/>
  <c r="U121" i="9"/>
  <c r="V121" i="9"/>
  <c r="W121" i="9"/>
  <c r="X121" i="9"/>
  <c r="Y121" i="9"/>
  <c r="Z121" i="9"/>
  <c r="AA121" i="9"/>
  <c r="AS34" i="9" s="1"/>
  <c r="AB121" i="9"/>
  <c r="U122" i="9"/>
  <c r="V122" i="9"/>
  <c r="W122" i="9"/>
  <c r="X122" i="9"/>
  <c r="Y122" i="9"/>
  <c r="Z122" i="9"/>
  <c r="AA122" i="9"/>
  <c r="CT34" i="9" s="1"/>
  <c r="AB122" i="9"/>
  <c r="U123" i="9"/>
  <c r="V123" i="9"/>
  <c r="W123" i="9"/>
  <c r="X123" i="9"/>
  <c r="Y123" i="9"/>
  <c r="Z123" i="9"/>
  <c r="AA123" i="9"/>
  <c r="CU34" i="9" s="1"/>
  <c r="AB123" i="9"/>
  <c r="U124" i="9"/>
  <c r="V124" i="9"/>
  <c r="W124" i="9"/>
  <c r="X124" i="9"/>
  <c r="Y124" i="9"/>
  <c r="Z124" i="9"/>
  <c r="AA124" i="9"/>
  <c r="CV34" i="9" s="1"/>
  <c r="AB124" i="9"/>
  <c r="U125" i="9"/>
  <c r="V125" i="9"/>
  <c r="W125" i="9"/>
  <c r="X125" i="9"/>
  <c r="Y125" i="9"/>
  <c r="Z125" i="9"/>
  <c r="AA125" i="9"/>
  <c r="AS35" i="9" s="1"/>
  <c r="AB125" i="9"/>
  <c r="U126" i="9"/>
  <c r="V126" i="9"/>
  <c r="W126" i="9"/>
  <c r="X126" i="9"/>
  <c r="Y126" i="9"/>
  <c r="Z126" i="9"/>
  <c r="AA126" i="9"/>
  <c r="CT35" i="9" s="1"/>
  <c r="AB126" i="9"/>
  <c r="U127" i="9"/>
  <c r="V127" i="9"/>
  <c r="W127" i="9"/>
  <c r="X127" i="9"/>
  <c r="Y127" i="9"/>
  <c r="Z127" i="9"/>
  <c r="AA127" i="9"/>
  <c r="CU35" i="9" s="1"/>
  <c r="AB127" i="9"/>
  <c r="U128" i="9"/>
  <c r="V128" i="9"/>
  <c r="W128" i="9"/>
  <c r="X128" i="9"/>
  <c r="Y128" i="9"/>
  <c r="Z128" i="9"/>
  <c r="AA128" i="9"/>
  <c r="AB128" i="9"/>
  <c r="U129" i="9"/>
  <c r="V129" i="9"/>
  <c r="W129" i="9"/>
  <c r="X129" i="9"/>
  <c r="Y129" i="9"/>
  <c r="Z129" i="9"/>
  <c r="AA129" i="9"/>
  <c r="AS36" i="9" s="1"/>
  <c r="AB129" i="9"/>
  <c r="U130" i="9"/>
  <c r="V130" i="9"/>
  <c r="W130" i="9"/>
  <c r="X130" i="9"/>
  <c r="Y130" i="9"/>
  <c r="Z130" i="9"/>
  <c r="AA130" i="9"/>
  <c r="CT36" i="9" s="1"/>
  <c r="AB130" i="9"/>
  <c r="U131" i="9"/>
  <c r="V131" i="9"/>
  <c r="W131" i="9"/>
  <c r="X131" i="9"/>
  <c r="Y131" i="9"/>
  <c r="Z131" i="9"/>
  <c r="AA131" i="9"/>
  <c r="CU36" i="9" s="1"/>
  <c r="AB131" i="9"/>
  <c r="U132" i="9"/>
  <c r="V132" i="9"/>
  <c r="W132" i="9"/>
  <c r="X132" i="9"/>
  <c r="Y132" i="9"/>
  <c r="Z132" i="9"/>
  <c r="AA132" i="9"/>
  <c r="CV36" i="9" s="1"/>
  <c r="AB132" i="9"/>
  <c r="U133" i="9"/>
  <c r="V133" i="9"/>
  <c r="W133" i="9"/>
  <c r="X133" i="9"/>
  <c r="Y133" i="9"/>
  <c r="Z133" i="9"/>
  <c r="AA133" i="9"/>
  <c r="CS37" i="9" s="1"/>
  <c r="AB133" i="9"/>
  <c r="U134" i="9"/>
  <c r="V134" i="9"/>
  <c r="W134" i="9"/>
  <c r="X134" i="9"/>
  <c r="Y134" i="9"/>
  <c r="Z134" i="9"/>
  <c r="AA134" i="9"/>
  <c r="CT37" i="9" s="1"/>
  <c r="AB134" i="9"/>
  <c r="U135" i="9"/>
  <c r="V135" i="9"/>
  <c r="W135" i="9"/>
  <c r="X135" i="9"/>
  <c r="Y135" i="9"/>
  <c r="Z135" i="9"/>
  <c r="AA135" i="9"/>
  <c r="AB135" i="9"/>
  <c r="U136" i="9"/>
  <c r="V136" i="9"/>
  <c r="W136" i="9"/>
  <c r="X136" i="9"/>
  <c r="Y136" i="9"/>
  <c r="Z136" i="9"/>
  <c r="AA136" i="9"/>
  <c r="CV37" i="9" s="1"/>
  <c r="AB136" i="9"/>
  <c r="U137" i="9"/>
  <c r="V137" i="9"/>
  <c r="W137" i="9"/>
  <c r="X137" i="9"/>
  <c r="Y137" i="9"/>
  <c r="Z137" i="9"/>
  <c r="AA137" i="9"/>
  <c r="AS38" i="9" s="1"/>
  <c r="AB137" i="9"/>
  <c r="U138" i="9"/>
  <c r="V138" i="9"/>
  <c r="W138" i="9"/>
  <c r="X138" i="9"/>
  <c r="Y138" i="9"/>
  <c r="Z138" i="9"/>
  <c r="AA138" i="9"/>
  <c r="CT38" i="9" s="1"/>
  <c r="AB138" i="9"/>
  <c r="U139" i="9"/>
  <c r="V139" i="9"/>
  <c r="W139" i="9"/>
  <c r="X139" i="9"/>
  <c r="Y139" i="9"/>
  <c r="Z139" i="9"/>
  <c r="AA139" i="9"/>
  <c r="CU38" i="9" s="1"/>
  <c r="AB139" i="9"/>
  <c r="U140" i="9"/>
  <c r="V140" i="9"/>
  <c r="W140" i="9"/>
  <c r="X140" i="9"/>
  <c r="Y140" i="9"/>
  <c r="Z140" i="9"/>
  <c r="AA140" i="9"/>
  <c r="CV38" i="9" s="1"/>
  <c r="AB140" i="9"/>
  <c r="U141" i="9"/>
  <c r="V141" i="9"/>
  <c r="W141" i="9"/>
  <c r="X141" i="9"/>
  <c r="Y141" i="9"/>
  <c r="Z141" i="9"/>
  <c r="AA141" i="9"/>
  <c r="CS39" i="9" s="1"/>
  <c r="AB141" i="9"/>
  <c r="U142" i="9"/>
  <c r="V142" i="9"/>
  <c r="W142" i="9"/>
  <c r="X142" i="9"/>
  <c r="Y142" i="9"/>
  <c r="Z142" i="9"/>
  <c r="AA142" i="9"/>
  <c r="AB142" i="9"/>
  <c r="U143" i="9"/>
  <c r="V143" i="9"/>
  <c r="W143" i="9"/>
  <c r="X143" i="9"/>
  <c r="Y143" i="9"/>
  <c r="Z143" i="9"/>
  <c r="AA143" i="9"/>
  <c r="CU39" i="9" s="1"/>
  <c r="AB143" i="9"/>
  <c r="U144" i="9"/>
  <c r="V144" i="9"/>
  <c r="W144" i="9"/>
  <c r="X144" i="9"/>
  <c r="Y144" i="9"/>
  <c r="Z144" i="9"/>
  <c r="AA144" i="9"/>
  <c r="CV39" i="9" s="1"/>
  <c r="AB144" i="9"/>
  <c r="U145" i="9"/>
  <c r="V145" i="9"/>
  <c r="W145" i="9"/>
  <c r="X145" i="9"/>
  <c r="Y145" i="9"/>
  <c r="Z145" i="9"/>
  <c r="AA145" i="9"/>
  <c r="AS40" i="9" s="1"/>
  <c r="AB145" i="9"/>
  <c r="U146" i="9"/>
  <c r="V146" i="9"/>
  <c r="W146" i="9"/>
  <c r="X146" i="9"/>
  <c r="Y146" i="9"/>
  <c r="Z146" i="9"/>
  <c r="AA146" i="9"/>
  <c r="AB146" i="9"/>
  <c r="U147" i="9"/>
  <c r="V147" i="9"/>
  <c r="W147" i="9"/>
  <c r="X147" i="9"/>
  <c r="Y147" i="9"/>
  <c r="Z147" i="9"/>
  <c r="AA147" i="9"/>
  <c r="AB147" i="9"/>
  <c r="U148" i="9"/>
  <c r="V148" i="9"/>
  <c r="W148" i="9"/>
  <c r="X148" i="9"/>
  <c r="Y148" i="9"/>
  <c r="Z148" i="9"/>
  <c r="AA148" i="9"/>
  <c r="AB148" i="9"/>
  <c r="V5" i="9"/>
  <c r="W5" i="9"/>
  <c r="X5" i="9"/>
  <c r="Y5" i="9"/>
  <c r="Z5" i="9"/>
  <c r="AA5" i="9"/>
  <c r="AB5" i="9"/>
  <c r="U5" i="9"/>
  <c r="D6" i="9"/>
  <c r="E6" i="9"/>
  <c r="F6" i="9"/>
  <c r="G6" i="9"/>
  <c r="H6" i="9"/>
  <c r="I6" i="9"/>
  <c r="J6" i="9"/>
  <c r="K6" i="9"/>
  <c r="D7" i="9"/>
  <c r="E7" i="9"/>
  <c r="F7" i="9"/>
  <c r="G7" i="9"/>
  <c r="H7" i="9"/>
  <c r="I7" i="9"/>
  <c r="J7" i="9"/>
  <c r="K7" i="9"/>
  <c r="D8" i="9"/>
  <c r="E8" i="9"/>
  <c r="F8" i="9"/>
  <c r="G8" i="9"/>
  <c r="H8" i="9"/>
  <c r="I8" i="9"/>
  <c r="J8" i="9"/>
  <c r="K8" i="9"/>
  <c r="D9" i="9"/>
  <c r="E9" i="9"/>
  <c r="F9" i="9"/>
  <c r="G9" i="9"/>
  <c r="H9" i="9"/>
  <c r="I9" i="9"/>
  <c r="J9" i="9"/>
  <c r="K9" i="9"/>
  <c r="AT6" i="9" s="1"/>
  <c r="D10" i="9"/>
  <c r="E10" i="9"/>
  <c r="F10" i="9"/>
  <c r="G10" i="9"/>
  <c r="H10" i="9"/>
  <c r="I10" i="9"/>
  <c r="J10" i="9"/>
  <c r="K10" i="9"/>
  <c r="D11" i="9"/>
  <c r="E11" i="9"/>
  <c r="F11" i="9"/>
  <c r="G11" i="9"/>
  <c r="H11" i="9"/>
  <c r="I11" i="9"/>
  <c r="J11" i="9"/>
  <c r="K11" i="9"/>
  <c r="D12" i="9"/>
  <c r="E12" i="9"/>
  <c r="F12" i="9"/>
  <c r="G12" i="9"/>
  <c r="H12" i="9"/>
  <c r="I12" i="9"/>
  <c r="J12" i="9"/>
  <c r="K12" i="9"/>
  <c r="D13" i="9"/>
  <c r="E13" i="9"/>
  <c r="F13" i="9"/>
  <c r="G13" i="9"/>
  <c r="H13" i="9"/>
  <c r="I13" i="9"/>
  <c r="J13" i="9"/>
  <c r="K13" i="9"/>
  <c r="AT7" i="9" s="1"/>
  <c r="D14" i="9"/>
  <c r="E14" i="9"/>
  <c r="F14" i="9"/>
  <c r="G14" i="9"/>
  <c r="H14" i="9"/>
  <c r="I14" i="9"/>
  <c r="J14" i="9"/>
  <c r="K14" i="9"/>
  <c r="D15" i="9"/>
  <c r="E15" i="9"/>
  <c r="F15" i="9"/>
  <c r="G15" i="9"/>
  <c r="H15" i="9"/>
  <c r="I15" i="9"/>
  <c r="J15" i="9"/>
  <c r="K15" i="9"/>
  <c r="D16" i="9"/>
  <c r="E16" i="9"/>
  <c r="F16" i="9"/>
  <c r="G16" i="9"/>
  <c r="H16" i="9"/>
  <c r="I16" i="9"/>
  <c r="J16" i="9"/>
  <c r="K16" i="9"/>
  <c r="D17" i="9"/>
  <c r="E17" i="9"/>
  <c r="F17" i="9"/>
  <c r="G17" i="9"/>
  <c r="H17" i="9"/>
  <c r="I17" i="9"/>
  <c r="J17" i="9"/>
  <c r="K17" i="9"/>
  <c r="AT8" i="9" s="1"/>
  <c r="D18" i="9"/>
  <c r="E18" i="9"/>
  <c r="F18" i="9"/>
  <c r="G18" i="9"/>
  <c r="H18" i="9"/>
  <c r="I18" i="9"/>
  <c r="J18" i="9"/>
  <c r="K18" i="9"/>
  <c r="D19" i="9"/>
  <c r="E19" i="9"/>
  <c r="F19" i="9"/>
  <c r="G19" i="9"/>
  <c r="H19" i="9"/>
  <c r="I19" i="9"/>
  <c r="J19" i="9"/>
  <c r="K19" i="9"/>
  <c r="D20" i="9"/>
  <c r="E20" i="9"/>
  <c r="F20" i="9"/>
  <c r="G20" i="9"/>
  <c r="H20" i="9"/>
  <c r="I20" i="9"/>
  <c r="J20" i="9"/>
  <c r="K20" i="9"/>
  <c r="D21" i="9"/>
  <c r="E21" i="9"/>
  <c r="F21" i="9"/>
  <c r="G21" i="9"/>
  <c r="H21" i="9"/>
  <c r="I21" i="9"/>
  <c r="J21" i="9"/>
  <c r="K21" i="9"/>
  <c r="AT9" i="9" s="1"/>
  <c r="D22" i="9"/>
  <c r="E22" i="9"/>
  <c r="F22" i="9"/>
  <c r="G22" i="9"/>
  <c r="H22" i="9"/>
  <c r="I22" i="9"/>
  <c r="J22" i="9"/>
  <c r="K22" i="9"/>
  <c r="D23" i="9"/>
  <c r="E23" i="9"/>
  <c r="F23" i="9"/>
  <c r="G23" i="9"/>
  <c r="H23" i="9"/>
  <c r="I23" i="9"/>
  <c r="J23" i="9"/>
  <c r="K23" i="9"/>
  <c r="D24" i="9"/>
  <c r="E24" i="9"/>
  <c r="F24" i="9"/>
  <c r="G24" i="9"/>
  <c r="H24" i="9"/>
  <c r="I24" i="9"/>
  <c r="J24" i="9"/>
  <c r="K24" i="9"/>
  <c r="D25" i="9"/>
  <c r="E25" i="9"/>
  <c r="F25" i="9"/>
  <c r="G25" i="9"/>
  <c r="H25" i="9"/>
  <c r="I25" i="9"/>
  <c r="J25" i="9"/>
  <c r="K25" i="9"/>
  <c r="D26" i="9"/>
  <c r="E26" i="9"/>
  <c r="F26" i="9"/>
  <c r="G26" i="9"/>
  <c r="H26" i="9"/>
  <c r="I26" i="9"/>
  <c r="J26" i="9"/>
  <c r="K26" i="9"/>
  <c r="D27" i="9"/>
  <c r="E27" i="9"/>
  <c r="F27" i="9"/>
  <c r="G27" i="9"/>
  <c r="H27" i="9"/>
  <c r="I27" i="9"/>
  <c r="J27" i="9"/>
  <c r="K27" i="9"/>
  <c r="D28" i="9"/>
  <c r="E28" i="9"/>
  <c r="F28" i="9"/>
  <c r="G28" i="9"/>
  <c r="H28" i="9"/>
  <c r="I28" i="9"/>
  <c r="J28" i="9"/>
  <c r="K28" i="9"/>
  <c r="D29" i="9"/>
  <c r="E29" i="9"/>
  <c r="F29" i="9"/>
  <c r="G29" i="9"/>
  <c r="H29" i="9"/>
  <c r="I29" i="9"/>
  <c r="J29" i="9"/>
  <c r="K29" i="9"/>
  <c r="AT11" i="9" s="1"/>
  <c r="D30" i="9"/>
  <c r="E30" i="9"/>
  <c r="F30" i="9"/>
  <c r="G30" i="9"/>
  <c r="H30" i="9"/>
  <c r="I30" i="9"/>
  <c r="J30" i="9"/>
  <c r="K30" i="9"/>
  <c r="D31" i="9"/>
  <c r="E31" i="9"/>
  <c r="F31" i="9"/>
  <c r="G31" i="9"/>
  <c r="H31" i="9"/>
  <c r="I31" i="9"/>
  <c r="J31" i="9"/>
  <c r="K31" i="9"/>
  <c r="D32" i="9"/>
  <c r="E32" i="9"/>
  <c r="F32" i="9"/>
  <c r="G32" i="9"/>
  <c r="H32" i="9"/>
  <c r="I32" i="9"/>
  <c r="J32" i="9"/>
  <c r="K32" i="9"/>
  <c r="D33" i="9"/>
  <c r="E33" i="9"/>
  <c r="F33" i="9"/>
  <c r="G33" i="9"/>
  <c r="H33" i="9"/>
  <c r="I33" i="9"/>
  <c r="J33" i="9"/>
  <c r="K33" i="9"/>
  <c r="D34" i="9"/>
  <c r="E34" i="9"/>
  <c r="F34" i="9"/>
  <c r="G34" i="9"/>
  <c r="H34" i="9"/>
  <c r="I34" i="9"/>
  <c r="J34" i="9"/>
  <c r="K34" i="9"/>
  <c r="D35" i="9"/>
  <c r="E35" i="9"/>
  <c r="F35" i="9"/>
  <c r="G35" i="9"/>
  <c r="H35" i="9"/>
  <c r="I35" i="9"/>
  <c r="J35" i="9"/>
  <c r="K35" i="9"/>
  <c r="D36" i="9"/>
  <c r="E36" i="9"/>
  <c r="F36" i="9"/>
  <c r="G36" i="9"/>
  <c r="H36" i="9"/>
  <c r="I36" i="9"/>
  <c r="J36" i="9"/>
  <c r="K36" i="9"/>
  <c r="D37" i="9"/>
  <c r="E37" i="9"/>
  <c r="F37" i="9"/>
  <c r="G37" i="9"/>
  <c r="H37" i="9"/>
  <c r="I37" i="9"/>
  <c r="J37" i="9"/>
  <c r="K37" i="9"/>
  <c r="AT13" i="9" s="1"/>
  <c r="D38" i="9"/>
  <c r="E38" i="9"/>
  <c r="F38" i="9"/>
  <c r="G38" i="9"/>
  <c r="H38" i="9"/>
  <c r="I38" i="9"/>
  <c r="J38" i="9"/>
  <c r="K38" i="9"/>
  <c r="D39" i="9"/>
  <c r="E39" i="9"/>
  <c r="F39" i="9"/>
  <c r="G39" i="9"/>
  <c r="H39" i="9"/>
  <c r="I39" i="9"/>
  <c r="J39" i="9"/>
  <c r="K39" i="9"/>
  <c r="D40" i="9"/>
  <c r="E40" i="9"/>
  <c r="F40" i="9"/>
  <c r="G40" i="9"/>
  <c r="H40" i="9"/>
  <c r="I40" i="9"/>
  <c r="J40" i="9"/>
  <c r="K40" i="9"/>
  <c r="D41" i="9"/>
  <c r="E41" i="9"/>
  <c r="F41" i="9"/>
  <c r="G41" i="9"/>
  <c r="H41" i="9"/>
  <c r="I41" i="9"/>
  <c r="J41" i="9"/>
  <c r="K41" i="9"/>
  <c r="D42" i="9"/>
  <c r="E42" i="9"/>
  <c r="F42" i="9"/>
  <c r="G42" i="9"/>
  <c r="H42" i="9"/>
  <c r="I42" i="9"/>
  <c r="J42" i="9"/>
  <c r="K42" i="9"/>
  <c r="D43" i="9"/>
  <c r="E43" i="9"/>
  <c r="F43" i="9"/>
  <c r="G43" i="9"/>
  <c r="H43" i="9"/>
  <c r="I43" i="9"/>
  <c r="J43" i="9"/>
  <c r="K43" i="9"/>
  <c r="D44" i="9"/>
  <c r="E44" i="9"/>
  <c r="F44" i="9"/>
  <c r="G44" i="9"/>
  <c r="H44" i="9"/>
  <c r="I44" i="9"/>
  <c r="J44" i="9"/>
  <c r="K44" i="9"/>
  <c r="D45" i="9"/>
  <c r="E45" i="9"/>
  <c r="F45" i="9"/>
  <c r="G45" i="9"/>
  <c r="H45" i="9"/>
  <c r="I45" i="9"/>
  <c r="J45" i="9"/>
  <c r="K45" i="9"/>
  <c r="AT15" i="9" s="1"/>
  <c r="D46" i="9"/>
  <c r="E46" i="9"/>
  <c r="F46" i="9"/>
  <c r="G46" i="9"/>
  <c r="H46" i="9"/>
  <c r="I46" i="9"/>
  <c r="J46" i="9"/>
  <c r="K46" i="9"/>
  <c r="D47" i="9"/>
  <c r="E47" i="9"/>
  <c r="F47" i="9"/>
  <c r="G47" i="9"/>
  <c r="H47" i="9"/>
  <c r="I47" i="9"/>
  <c r="J47" i="9"/>
  <c r="K47" i="9"/>
  <c r="D48" i="9"/>
  <c r="E48" i="9"/>
  <c r="F48" i="9"/>
  <c r="G48" i="9"/>
  <c r="H48" i="9"/>
  <c r="I48" i="9"/>
  <c r="J48" i="9"/>
  <c r="K48" i="9"/>
  <c r="D49" i="9"/>
  <c r="E49" i="9"/>
  <c r="F49" i="9"/>
  <c r="G49" i="9"/>
  <c r="H49" i="9"/>
  <c r="I49" i="9"/>
  <c r="J49" i="9"/>
  <c r="K49" i="9"/>
  <c r="AT16" i="9" s="1"/>
  <c r="D50" i="9"/>
  <c r="E50" i="9"/>
  <c r="F50" i="9"/>
  <c r="G50" i="9"/>
  <c r="H50" i="9"/>
  <c r="I50" i="9"/>
  <c r="J50" i="9"/>
  <c r="K50" i="9"/>
  <c r="D51" i="9"/>
  <c r="E51" i="9"/>
  <c r="F51" i="9"/>
  <c r="G51" i="9"/>
  <c r="H51" i="9"/>
  <c r="I51" i="9"/>
  <c r="J51" i="9"/>
  <c r="K51" i="9"/>
  <c r="D52" i="9"/>
  <c r="E52" i="9"/>
  <c r="F52" i="9"/>
  <c r="G52" i="9"/>
  <c r="H52" i="9"/>
  <c r="I52" i="9"/>
  <c r="J52" i="9"/>
  <c r="K52" i="9"/>
  <c r="D53" i="9"/>
  <c r="E53" i="9"/>
  <c r="F53" i="9"/>
  <c r="G53" i="9"/>
  <c r="H53" i="9"/>
  <c r="I53" i="9"/>
  <c r="J53" i="9"/>
  <c r="K53" i="9"/>
  <c r="AT17" i="9" s="1"/>
  <c r="D54" i="9"/>
  <c r="E54" i="9"/>
  <c r="F54" i="9"/>
  <c r="G54" i="9"/>
  <c r="H54" i="9"/>
  <c r="I54" i="9"/>
  <c r="J54" i="9"/>
  <c r="K54" i="9"/>
  <c r="D55" i="9"/>
  <c r="E55" i="9"/>
  <c r="F55" i="9"/>
  <c r="G55" i="9"/>
  <c r="H55" i="9"/>
  <c r="I55" i="9"/>
  <c r="J55" i="9"/>
  <c r="K55" i="9"/>
  <c r="D56" i="9"/>
  <c r="E56" i="9"/>
  <c r="F56" i="9"/>
  <c r="G56" i="9"/>
  <c r="H56" i="9"/>
  <c r="I56" i="9"/>
  <c r="J56" i="9"/>
  <c r="K56" i="9"/>
  <c r="D57" i="9"/>
  <c r="E57" i="9"/>
  <c r="F57" i="9"/>
  <c r="G57" i="9"/>
  <c r="H57" i="9"/>
  <c r="I57" i="9"/>
  <c r="J57" i="9"/>
  <c r="K57" i="9"/>
  <c r="AT18" i="9" s="1"/>
  <c r="D58" i="9"/>
  <c r="E58" i="9"/>
  <c r="F58" i="9"/>
  <c r="G58" i="9"/>
  <c r="H58" i="9"/>
  <c r="I58" i="9"/>
  <c r="J58" i="9"/>
  <c r="K58" i="9"/>
  <c r="D59" i="9"/>
  <c r="E59" i="9"/>
  <c r="F59" i="9"/>
  <c r="G59" i="9"/>
  <c r="H59" i="9"/>
  <c r="I59" i="9"/>
  <c r="J59" i="9"/>
  <c r="K59" i="9"/>
  <c r="D60" i="9"/>
  <c r="E60" i="9"/>
  <c r="F60" i="9"/>
  <c r="G60" i="9"/>
  <c r="H60" i="9"/>
  <c r="I60" i="9"/>
  <c r="J60" i="9"/>
  <c r="K60" i="9"/>
  <c r="D61" i="9"/>
  <c r="E61" i="9"/>
  <c r="F61" i="9"/>
  <c r="G61" i="9"/>
  <c r="H61" i="9"/>
  <c r="I61" i="9"/>
  <c r="J61" i="9"/>
  <c r="K61" i="9"/>
  <c r="AT19" i="9" s="1"/>
  <c r="D62" i="9"/>
  <c r="E62" i="9"/>
  <c r="F62" i="9"/>
  <c r="G62" i="9"/>
  <c r="H62" i="9"/>
  <c r="I62" i="9"/>
  <c r="J62" i="9"/>
  <c r="K62" i="9"/>
  <c r="D63" i="9"/>
  <c r="E63" i="9"/>
  <c r="F63" i="9"/>
  <c r="G63" i="9"/>
  <c r="H63" i="9"/>
  <c r="I63" i="9"/>
  <c r="J63" i="9"/>
  <c r="K63" i="9"/>
  <c r="D64" i="9"/>
  <c r="E64" i="9"/>
  <c r="F64" i="9"/>
  <c r="G64" i="9"/>
  <c r="H64" i="9"/>
  <c r="I64" i="9"/>
  <c r="J64" i="9"/>
  <c r="K64" i="9"/>
  <c r="D65" i="9"/>
  <c r="E65" i="9"/>
  <c r="F65" i="9"/>
  <c r="G65" i="9"/>
  <c r="H65" i="9"/>
  <c r="I65" i="9"/>
  <c r="J65" i="9"/>
  <c r="K65" i="9"/>
  <c r="AT20" i="9" s="1"/>
  <c r="D66" i="9"/>
  <c r="E66" i="9"/>
  <c r="F66" i="9"/>
  <c r="G66" i="9"/>
  <c r="H66" i="9"/>
  <c r="I66" i="9"/>
  <c r="J66" i="9"/>
  <c r="K66" i="9"/>
  <c r="D67" i="9"/>
  <c r="E67" i="9"/>
  <c r="F67" i="9"/>
  <c r="G67" i="9"/>
  <c r="H67" i="9"/>
  <c r="I67" i="9"/>
  <c r="J67" i="9"/>
  <c r="K67" i="9"/>
  <c r="D68" i="9"/>
  <c r="E68" i="9"/>
  <c r="F68" i="9"/>
  <c r="G68" i="9"/>
  <c r="H68" i="9"/>
  <c r="I68" i="9"/>
  <c r="J68" i="9"/>
  <c r="K68" i="9"/>
  <c r="D69" i="9"/>
  <c r="E69" i="9"/>
  <c r="F69" i="9"/>
  <c r="G69" i="9"/>
  <c r="H69" i="9"/>
  <c r="I69" i="9"/>
  <c r="J69" i="9"/>
  <c r="K69" i="9"/>
  <c r="AT21" i="9" s="1"/>
  <c r="D70" i="9"/>
  <c r="E70" i="9"/>
  <c r="F70" i="9"/>
  <c r="G70" i="9"/>
  <c r="H70" i="9"/>
  <c r="I70" i="9"/>
  <c r="J70" i="9"/>
  <c r="K70" i="9"/>
  <c r="D71" i="9"/>
  <c r="E71" i="9"/>
  <c r="F71" i="9"/>
  <c r="G71" i="9"/>
  <c r="H71" i="9"/>
  <c r="I71" i="9"/>
  <c r="J71" i="9"/>
  <c r="K71" i="9"/>
  <c r="D72" i="9"/>
  <c r="E72" i="9"/>
  <c r="F72" i="9"/>
  <c r="G72" i="9"/>
  <c r="H72" i="9"/>
  <c r="I72" i="9"/>
  <c r="J72" i="9"/>
  <c r="K72" i="9"/>
  <c r="D73" i="9"/>
  <c r="E73" i="9"/>
  <c r="F73" i="9"/>
  <c r="G73" i="9"/>
  <c r="H73" i="9"/>
  <c r="I73" i="9"/>
  <c r="J73" i="9"/>
  <c r="K73" i="9"/>
  <c r="AT22" i="9" s="1"/>
  <c r="D74" i="9"/>
  <c r="E74" i="9"/>
  <c r="F74" i="9"/>
  <c r="G74" i="9"/>
  <c r="H74" i="9"/>
  <c r="I74" i="9"/>
  <c r="J74" i="9"/>
  <c r="K74" i="9"/>
  <c r="D75" i="9"/>
  <c r="E75" i="9"/>
  <c r="F75" i="9"/>
  <c r="G75" i="9"/>
  <c r="H75" i="9"/>
  <c r="I75" i="9"/>
  <c r="J75" i="9"/>
  <c r="K75" i="9"/>
  <c r="D76" i="9"/>
  <c r="E76" i="9"/>
  <c r="F76" i="9"/>
  <c r="G76" i="9"/>
  <c r="H76" i="9"/>
  <c r="I76" i="9"/>
  <c r="J76" i="9"/>
  <c r="K76" i="9"/>
  <c r="D77" i="9"/>
  <c r="E77" i="9"/>
  <c r="F77" i="9"/>
  <c r="G77" i="9"/>
  <c r="H77" i="9"/>
  <c r="I77" i="9"/>
  <c r="J77" i="9"/>
  <c r="K77" i="9"/>
  <c r="D78" i="9"/>
  <c r="E78" i="9"/>
  <c r="F78" i="9"/>
  <c r="G78" i="9"/>
  <c r="H78" i="9"/>
  <c r="I78" i="9"/>
  <c r="J78" i="9"/>
  <c r="K78" i="9"/>
  <c r="D79" i="9"/>
  <c r="E79" i="9"/>
  <c r="F79" i="9"/>
  <c r="G79" i="9"/>
  <c r="H79" i="9"/>
  <c r="I79" i="9"/>
  <c r="J79" i="9"/>
  <c r="K79" i="9"/>
  <c r="D80" i="9"/>
  <c r="E80" i="9"/>
  <c r="F80" i="9"/>
  <c r="G80" i="9"/>
  <c r="H80" i="9"/>
  <c r="I80" i="9"/>
  <c r="J80" i="9"/>
  <c r="K80" i="9"/>
  <c r="D81" i="9"/>
  <c r="E81" i="9"/>
  <c r="F81" i="9"/>
  <c r="G81" i="9"/>
  <c r="H81" i="9"/>
  <c r="I81" i="9"/>
  <c r="J81" i="9"/>
  <c r="K81" i="9"/>
  <c r="AT24" i="9" s="1"/>
  <c r="D82" i="9"/>
  <c r="E82" i="9"/>
  <c r="F82" i="9"/>
  <c r="G82" i="9"/>
  <c r="H82" i="9"/>
  <c r="I82" i="9"/>
  <c r="J82" i="9"/>
  <c r="K82" i="9"/>
  <c r="D83" i="9"/>
  <c r="E83" i="9"/>
  <c r="F83" i="9"/>
  <c r="G83" i="9"/>
  <c r="H83" i="9"/>
  <c r="I83" i="9"/>
  <c r="J83" i="9"/>
  <c r="K83" i="9"/>
  <c r="D84" i="9"/>
  <c r="E84" i="9"/>
  <c r="F84" i="9"/>
  <c r="G84" i="9"/>
  <c r="H84" i="9"/>
  <c r="I84" i="9"/>
  <c r="J84" i="9"/>
  <c r="K84" i="9"/>
  <c r="D85" i="9"/>
  <c r="E85" i="9"/>
  <c r="F85" i="9"/>
  <c r="G85" i="9"/>
  <c r="H85" i="9"/>
  <c r="I85" i="9"/>
  <c r="J85" i="9"/>
  <c r="K85" i="9"/>
  <c r="AT25" i="9" s="1"/>
  <c r="D86" i="9"/>
  <c r="E86" i="9"/>
  <c r="F86" i="9"/>
  <c r="G86" i="9"/>
  <c r="H86" i="9"/>
  <c r="I86" i="9"/>
  <c r="J86" i="9"/>
  <c r="K86" i="9"/>
  <c r="D87" i="9"/>
  <c r="E87" i="9"/>
  <c r="F87" i="9"/>
  <c r="G87" i="9"/>
  <c r="H87" i="9"/>
  <c r="I87" i="9"/>
  <c r="J87" i="9"/>
  <c r="K87" i="9"/>
  <c r="D88" i="9"/>
  <c r="E88" i="9"/>
  <c r="F88" i="9"/>
  <c r="G88" i="9"/>
  <c r="H88" i="9"/>
  <c r="I88" i="9"/>
  <c r="J88" i="9"/>
  <c r="K88" i="9"/>
  <c r="D89" i="9"/>
  <c r="E89" i="9"/>
  <c r="F89" i="9"/>
  <c r="G89" i="9"/>
  <c r="H89" i="9"/>
  <c r="I89" i="9"/>
  <c r="J89" i="9"/>
  <c r="K89" i="9"/>
  <c r="AT26" i="9" s="1"/>
  <c r="D90" i="9"/>
  <c r="E90" i="9"/>
  <c r="F90" i="9"/>
  <c r="G90" i="9"/>
  <c r="H90" i="9"/>
  <c r="I90" i="9"/>
  <c r="J90" i="9"/>
  <c r="K90" i="9"/>
  <c r="D91" i="9"/>
  <c r="E91" i="9"/>
  <c r="F91" i="9"/>
  <c r="G91" i="9"/>
  <c r="H91" i="9"/>
  <c r="I91" i="9"/>
  <c r="J91" i="9"/>
  <c r="K91" i="9"/>
  <c r="D92" i="9"/>
  <c r="E92" i="9"/>
  <c r="F92" i="9"/>
  <c r="G92" i="9"/>
  <c r="H92" i="9"/>
  <c r="I92" i="9"/>
  <c r="J92" i="9"/>
  <c r="K92" i="9"/>
  <c r="D93" i="9"/>
  <c r="E93" i="9"/>
  <c r="F93" i="9"/>
  <c r="G93" i="9"/>
  <c r="H93" i="9"/>
  <c r="I93" i="9"/>
  <c r="J93" i="9"/>
  <c r="K93" i="9"/>
  <c r="AT27" i="9" s="1"/>
  <c r="D94" i="9"/>
  <c r="E94" i="9"/>
  <c r="F94" i="9"/>
  <c r="G94" i="9"/>
  <c r="H94" i="9"/>
  <c r="I94" i="9"/>
  <c r="J94" i="9"/>
  <c r="K94" i="9"/>
  <c r="D95" i="9"/>
  <c r="E95" i="9"/>
  <c r="F95" i="9"/>
  <c r="G95" i="9"/>
  <c r="H95" i="9"/>
  <c r="I95" i="9"/>
  <c r="J95" i="9"/>
  <c r="K95" i="9"/>
  <c r="D96" i="9"/>
  <c r="E96" i="9"/>
  <c r="F96" i="9"/>
  <c r="G96" i="9"/>
  <c r="H96" i="9"/>
  <c r="I96" i="9"/>
  <c r="J96" i="9"/>
  <c r="K96" i="9"/>
  <c r="D97" i="9"/>
  <c r="E97" i="9"/>
  <c r="F97" i="9"/>
  <c r="G97" i="9"/>
  <c r="H97" i="9"/>
  <c r="I97" i="9"/>
  <c r="J97" i="9"/>
  <c r="K97" i="9"/>
  <c r="AT28" i="9" s="1"/>
  <c r="D98" i="9"/>
  <c r="E98" i="9"/>
  <c r="F98" i="9"/>
  <c r="G98" i="9"/>
  <c r="H98" i="9"/>
  <c r="I98" i="9"/>
  <c r="J98" i="9"/>
  <c r="K98" i="9"/>
  <c r="D99" i="9"/>
  <c r="E99" i="9"/>
  <c r="F99" i="9"/>
  <c r="G99" i="9"/>
  <c r="H99" i="9"/>
  <c r="I99" i="9"/>
  <c r="J99" i="9"/>
  <c r="K99" i="9"/>
  <c r="D100" i="9"/>
  <c r="E100" i="9"/>
  <c r="F100" i="9"/>
  <c r="G100" i="9"/>
  <c r="H100" i="9"/>
  <c r="I100" i="9"/>
  <c r="J100" i="9"/>
  <c r="K100" i="9"/>
  <c r="D101" i="9"/>
  <c r="E101" i="9"/>
  <c r="F101" i="9"/>
  <c r="G101" i="9"/>
  <c r="H101" i="9"/>
  <c r="I101" i="9"/>
  <c r="J101" i="9"/>
  <c r="K101" i="9"/>
  <c r="AT29" i="9" s="1"/>
  <c r="D102" i="9"/>
  <c r="E102" i="9"/>
  <c r="F102" i="9"/>
  <c r="G102" i="9"/>
  <c r="H102" i="9"/>
  <c r="I102" i="9"/>
  <c r="J102" i="9"/>
  <c r="K102" i="9"/>
  <c r="D103" i="9"/>
  <c r="E103" i="9"/>
  <c r="F103" i="9"/>
  <c r="G103" i="9"/>
  <c r="H103" i="9"/>
  <c r="I103" i="9"/>
  <c r="J103" i="9"/>
  <c r="K103" i="9"/>
  <c r="D104" i="9"/>
  <c r="E104" i="9"/>
  <c r="F104" i="9"/>
  <c r="G104" i="9"/>
  <c r="H104" i="9"/>
  <c r="I104" i="9"/>
  <c r="J104" i="9"/>
  <c r="K104" i="9"/>
  <c r="D105" i="9"/>
  <c r="E105" i="9"/>
  <c r="F105" i="9"/>
  <c r="G105" i="9"/>
  <c r="H105" i="9"/>
  <c r="I105" i="9"/>
  <c r="J105" i="9"/>
  <c r="K105" i="9"/>
  <c r="AT30" i="9" s="1"/>
  <c r="D106" i="9"/>
  <c r="E106" i="9"/>
  <c r="F106" i="9"/>
  <c r="G106" i="9"/>
  <c r="H106" i="9"/>
  <c r="I106" i="9"/>
  <c r="J106" i="9"/>
  <c r="K106" i="9"/>
  <c r="D107" i="9"/>
  <c r="E107" i="9"/>
  <c r="F107" i="9"/>
  <c r="G107" i="9"/>
  <c r="H107" i="9"/>
  <c r="I107" i="9"/>
  <c r="J107" i="9"/>
  <c r="K107" i="9"/>
  <c r="D108" i="9"/>
  <c r="E108" i="9"/>
  <c r="F108" i="9"/>
  <c r="G108" i="9"/>
  <c r="H108" i="9"/>
  <c r="I108" i="9"/>
  <c r="J108" i="9"/>
  <c r="K108" i="9"/>
  <c r="D109" i="9"/>
  <c r="E109" i="9"/>
  <c r="F109" i="9"/>
  <c r="G109" i="9"/>
  <c r="H109" i="9"/>
  <c r="I109" i="9"/>
  <c r="J109" i="9"/>
  <c r="K109" i="9"/>
  <c r="D110" i="9"/>
  <c r="E110" i="9"/>
  <c r="F110" i="9"/>
  <c r="G110" i="9"/>
  <c r="H110" i="9"/>
  <c r="I110" i="9"/>
  <c r="J110" i="9"/>
  <c r="K110" i="9"/>
  <c r="D111" i="9"/>
  <c r="E111" i="9"/>
  <c r="F111" i="9"/>
  <c r="G111" i="9"/>
  <c r="H111" i="9"/>
  <c r="I111" i="9"/>
  <c r="J111" i="9"/>
  <c r="K111" i="9"/>
  <c r="D112" i="9"/>
  <c r="E112" i="9"/>
  <c r="F112" i="9"/>
  <c r="G112" i="9"/>
  <c r="H112" i="9"/>
  <c r="I112" i="9"/>
  <c r="J112" i="9"/>
  <c r="K112" i="9"/>
  <c r="D113" i="9"/>
  <c r="E113" i="9"/>
  <c r="F113" i="9"/>
  <c r="G113" i="9"/>
  <c r="H113" i="9"/>
  <c r="I113" i="9"/>
  <c r="J113" i="9"/>
  <c r="K113" i="9"/>
  <c r="AT32" i="9" s="1"/>
  <c r="D114" i="9"/>
  <c r="E114" i="9"/>
  <c r="F114" i="9"/>
  <c r="G114" i="9"/>
  <c r="H114" i="9"/>
  <c r="I114" i="9"/>
  <c r="J114" i="9"/>
  <c r="K114" i="9"/>
  <c r="D115" i="9"/>
  <c r="E115" i="9"/>
  <c r="F115" i="9"/>
  <c r="G115" i="9"/>
  <c r="H115" i="9"/>
  <c r="I115" i="9"/>
  <c r="J115" i="9"/>
  <c r="K115" i="9"/>
  <c r="D116" i="9"/>
  <c r="E116" i="9"/>
  <c r="F116" i="9"/>
  <c r="G116" i="9"/>
  <c r="H116" i="9"/>
  <c r="I116" i="9"/>
  <c r="J116" i="9"/>
  <c r="K116" i="9"/>
  <c r="D117" i="9"/>
  <c r="E117" i="9"/>
  <c r="F117" i="9"/>
  <c r="G117" i="9"/>
  <c r="H117" i="9"/>
  <c r="I117" i="9"/>
  <c r="J117" i="9"/>
  <c r="K117" i="9"/>
  <c r="AT33" i="9" s="1"/>
  <c r="D118" i="9"/>
  <c r="E118" i="9"/>
  <c r="F118" i="9"/>
  <c r="G118" i="9"/>
  <c r="H118" i="9"/>
  <c r="I118" i="9"/>
  <c r="J118" i="9"/>
  <c r="K118" i="9"/>
  <c r="D119" i="9"/>
  <c r="E119" i="9"/>
  <c r="F119" i="9"/>
  <c r="G119" i="9"/>
  <c r="H119" i="9"/>
  <c r="I119" i="9"/>
  <c r="J119" i="9"/>
  <c r="K119" i="9"/>
  <c r="D120" i="9"/>
  <c r="E120" i="9"/>
  <c r="F120" i="9"/>
  <c r="G120" i="9"/>
  <c r="H120" i="9"/>
  <c r="I120" i="9"/>
  <c r="J120" i="9"/>
  <c r="K120" i="9"/>
  <c r="D121" i="9"/>
  <c r="E121" i="9"/>
  <c r="F121" i="9"/>
  <c r="G121" i="9"/>
  <c r="H121" i="9"/>
  <c r="I121" i="9"/>
  <c r="J121" i="9"/>
  <c r="K121" i="9"/>
  <c r="AT34" i="9" s="1"/>
  <c r="D122" i="9"/>
  <c r="E122" i="9"/>
  <c r="F122" i="9"/>
  <c r="G122" i="9"/>
  <c r="H122" i="9"/>
  <c r="I122" i="9"/>
  <c r="J122" i="9"/>
  <c r="K122" i="9"/>
  <c r="D123" i="9"/>
  <c r="E123" i="9"/>
  <c r="F123" i="9"/>
  <c r="G123" i="9"/>
  <c r="H123" i="9"/>
  <c r="I123" i="9"/>
  <c r="J123" i="9"/>
  <c r="K123" i="9"/>
  <c r="D124" i="9"/>
  <c r="E124" i="9"/>
  <c r="F124" i="9"/>
  <c r="G124" i="9"/>
  <c r="H124" i="9"/>
  <c r="I124" i="9"/>
  <c r="J124" i="9"/>
  <c r="K124" i="9"/>
  <c r="D125" i="9"/>
  <c r="E125" i="9"/>
  <c r="F125" i="9"/>
  <c r="G125" i="9"/>
  <c r="H125" i="9"/>
  <c r="I125" i="9"/>
  <c r="J125" i="9"/>
  <c r="K125" i="9"/>
  <c r="AT35" i="9" s="1"/>
  <c r="D126" i="9"/>
  <c r="E126" i="9"/>
  <c r="F126" i="9"/>
  <c r="G126" i="9"/>
  <c r="H126" i="9"/>
  <c r="I126" i="9"/>
  <c r="J126" i="9"/>
  <c r="K126" i="9"/>
  <c r="D127" i="9"/>
  <c r="E127" i="9"/>
  <c r="F127" i="9"/>
  <c r="G127" i="9"/>
  <c r="H127" i="9"/>
  <c r="I127" i="9"/>
  <c r="J127" i="9"/>
  <c r="K127" i="9"/>
  <c r="D128" i="9"/>
  <c r="E128" i="9"/>
  <c r="F128" i="9"/>
  <c r="G128" i="9"/>
  <c r="H128" i="9"/>
  <c r="I128" i="9"/>
  <c r="J128" i="9"/>
  <c r="K128" i="9"/>
  <c r="D129" i="9"/>
  <c r="E129" i="9"/>
  <c r="F129" i="9"/>
  <c r="G129" i="9"/>
  <c r="H129" i="9"/>
  <c r="I129" i="9"/>
  <c r="J129" i="9"/>
  <c r="K129" i="9"/>
  <c r="AT36" i="9" s="1"/>
  <c r="D130" i="9"/>
  <c r="E130" i="9"/>
  <c r="F130" i="9"/>
  <c r="G130" i="9"/>
  <c r="H130" i="9"/>
  <c r="I130" i="9"/>
  <c r="J130" i="9"/>
  <c r="K130" i="9"/>
  <c r="D131" i="9"/>
  <c r="E131" i="9"/>
  <c r="F131" i="9"/>
  <c r="G131" i="9"/>
  <c r="H131" i="9"/>
  <c r="I131" i="9"/>
  <c r="J131" i="9"/>
  <c r="K131" i="9"/>
  <c r="D132" i="9"/>
  <c r="E132" i="9"/>
  <c r="F132" i="9"/>
  <c r="G132" i="9"/>
  <c r="H132" i="9"/>
  <c r="I132" i="9"/>
  <c r="J132" i="9"/>
  <c r="K132" i="9"/>
  <c r="D133" i="9"/>
  <c r="E133" i="9"/>
  <c r="F133" i="9"/>
  <c r="G133" i="9"/>
  <c r="H133" i="9"/>
  <c r="I133" i="9"/>
  <c r="J133" i="9"/>
  <c r="K133" i="9"/>
  <c r="AT37" i="9" s="1"/>
  <c r="D134" i="9"/>
  <c r="E134" i="9"/>
  <c r="F134" i="9"/>
  <c r="G134" i="9"/>
  <c r="H134" i="9"/>
  <c r="I134" i="9"/>
  <c r="J134" i="9"/>
  <c r="K134" i="9"/>
  <c r="D135" i="9"/>
  <c r="E135" i="9"/>
  <c r="F135" i="9"/>
  <c r="G135" i="9"/>
  <c r="H135" i="9"/>
  <c r="I135" i="9"/>
  <c r="J135" i="9"/>
  <c r="K135" i="9"/>
  <c r="D136" i="9"/>
  <c r="E136" i="9"/>
  <c r="F136" i="9"/>
  <c r="G136" i="9"/>
  <c r="H136" i="9"/>
  <c r="I136" i="9"/>
  <c r="J136" i="9"/>
  <c r="K136" i="9"/>
  <c r="D137" i="9"/>
  <c r="E137" i="9"/>
  <c r="F137" i="9"/>
  <c r="G137" i="9"/>
  <c r="H137" i="9"/>
  <c r="I137" i="9"/>
  <c r="J137" i="9"/>
  <c r="K137" i="9"/>
  <c r="AT38" i="9" s="1"/>
  <c r="D138" i="9"/>
  <c r="E138" i="9"/>
  <c r="F138" i="9"/>
  <c r="G138" i="9"/>
  <c r="H138" i="9"/>
  <c r="I138" i="9"/>
  <c r="J138" i="9"/>
  <c r="K138" i="9"/>
  <c r="D139" i="9"/>
  <c r="E139" i="9"/>
  <c r="F139" i="9"/>
  <c r="G139" i="9"/>
  <c r="H139" i="9"/>
  <c r="I139" i="9"/>
  <c r="J139" i="9"/>
  <c r="K139" i="9"/>
  <c r="D140" i="9"/>
  <c r="E140" i="9"/>
  <c r="F140" i="9"/>
  <c r="G140" i="9"/>
  <c r="H140" i="9"/>
  <c r="I140" i="9"/>
  <c r="J140" i="9"/>
  <c r="K140" i="9"/>
  <c r="D141" i="9"/>
  <c r="E141" i="9"/>
  <c r="F141" i="9"/>
  <c r="G141" i="9"/>
  <c r="H141" i="9"/>
  <c r="I141" i="9"/>
  <c r="J141" i="9"/>
  <c r="K141" i="9"/>
  <c r="D142" i="9"/>
  <c r="E142" i="9"/>
  <c r="F142" i="9"/>
  <c r="G142" i="9"/>
  <c r="H142" i="9"/>
  <c r="I142" i="9"/>
  <c r="J142" i="9"/>
  <c r="K142" i="9"/>
  <c r="D143" i="9"/>
  <c r="E143" i="9"/>
  <c r="F143" i="9"/>
  <c r="G143" i="9"/>
  <c r="H143" i="9"/>
  <c r="I143" i="9"/>
  <c r="J143" i="9"/>
  <c r="K143" i="9"/>
  <c r="D144" i="9"/>
  <c r="E144" i="9"/>
  <c r="F144" i="9"/>
  <c r="G144" i="9"/>
  <c r="H144" i="9"/>
  <c r="I144" i="9"/>
  <c r="J144" i="9"/>
  <c r="K144" i="9"/>
  <c r="D145" i="9"/>
  <c r="E145" i="9"/>
  <c r="F145" i="9"/>
  <c r="G145" i="9"/>
  <c r="H145" i="9"/>
  <c r="I145" i="9"/>
  <c r="J145" i="9"/>
  <c r="K145" i="9"/>
  <c r="AT40" i="9" s="1"/>
  <c r="D146" i="9"/>
  <c r="E146" i="9"/>
  <c r="F146" i="9"/>
  <c r="G146" i="9"/>
  <c r="H146" i="9"/>
  <c r="I146" i="9"/>
  <c r="J146" i="9"/>
  <c r="K146" i="9"/>
  <c r="D147" i="9"/>
  <c r="E147" i="9"/>
  <c r="F147" i="9"/>
  <c r="G147" i="9"/>
  <c r="H147" i="9"/>
  <c r="I147" i="9"/>
  <c r="J147" i="9"/>
  <c r="K147" i="9"/>
  <c r="D148" i="9"/>
  <c r="E148" i="9"/>
  <c r="F148" i="9"/>
  <c r="G148" i="9"/>
  <c r="H148" i="9"/>
  <c r="I148" i="9"/>
  <c r="J148" i="9"/>
  <c r="K148" i="9"/>
  <c r="E5" i="9"/>
  <c r="F5" i="9"/>
  <c r="G5" i="9"/>
  <c r="H5" i="9"/>
  <c r="I5" i="9"/>
  <c r="J5" i="9"/>
  <c r="K5" i="9"/>
  <c r="AT5" i="9" s="1"/>
  <c r="D5" i="9"/>
  <c r="AI148" i="9"/>
  <c r="AH148" i="9"/>
  <c r="AG148" i="9"/>
  <c r="AF148" i="9"/>
  <c r="AE148" i="9"/>
  <c r="AD148" i="9"/>
  <c r="AC148" i="9"/>
  <c r="R148" i="9"/>
  <c r="Q148" i="9"/>
  <c r="P148" i="9"/>
  <c r="O148" i="9"/>
  <c r="N148" i="9"/>
  <c r="M148" i="9"/>
  <c r="L148" i="9"/>
  <c r="C148" i="9"/>
  <c r="B148" i="9"/>
  <c r="AI147" i="9"/>
  <c r="AH147" i="9"/>
  <c r="AG147" i="9"/>
  <c r="AF147" i="9"/>
  <c r="AE147" i="9"/>
  <c r="AD147" i="9"/>
  <c r="AC147" i="9"/>
  <c r="R147" i="9"/>
  <c r="Q147" i="9"/>
  <c r="P147" i="9"/>
  <c r="O147" i="9"/>
  <c r="N147" i="9"/>
  <c r="M147" i="9"/>
  <c r="L147" i="9"/>
  <c r="C147" i="9"/>
  <c r="B147" i="9"/>
  <c r="AI146" i="9"/>
  <c r="AH146" i="9"/>
  <c r="AG146" i="9"/>
  <c r="AF146" i="9"/>
  <c r="AE146" i="9"/>
  <c r="AD146" i="9"/>
  <c r="AC146" i="9"/>
  <c r="R146" i="9"/>
  <c r="Q146" i="9"/>
  <c r="P146" i="9"/>
  <c r="O146" i="9"/>
  <c r="N146" i="9"/>
  <c r="M146" i="9"/>
  <c r="L146" i="9"/>
  <c r="C146" i="9"/>
  <c r="B146" i="9"/>
  <c r="AI145" i="9"/>
  <c r="AH145" i="9"/>
  <c r="AG145" i="9"/>
  <c r="AF145" i="9"/>
  <c r="AE145" i="9"/>
  <c r="AD145" i="9"/>
  <c r="AC145" i="9"/>
  <c r="AU40" i="9" s="1"/>
  <c r="R145" i="9"/>
  <c r="Q145" i="9"/>
  <c r="P145" i="9"/>
  <c r="O145" i="9"/>
  <c r="N145" i="9"/>
  <c r="M145" i="9"/>
  <c r="L145" i="9"/>
  <c r="C145" i="9"/>
  <c r="B145" i="9"/>
  <c r="AI144" i="9"/>
  <c r="AH144" i="9"/>
  <c r="AG144" i="9"/>
  <c r="AF144" i="9"/>
  <c r="AE144" i="9"/>
  <c r="AD144" i="9"/>
  <c r="AC144" i="9"/>
  <c r="R144" i="9"/>
  <c r="Q144" i="9"/>
  <c r="P144" i="9"/>
  <c r="O144" i="9"/>
  <c r="N144" i="9"/>
  <c r="M144" i="9"/>
  <c r="L144" i="9"/>
  <c r="C144" i="9"/>
  <c r="B144" i="9"/>
  <c r="AI143" i="9"/>
  <c r="AH143" i="9"/>
  <c r="AG143" i="9"/>
  <c r="AF143" i="9"/>
  <c r="AE143" i="9"/>
  <c r="AD143" i="9"/>
  <c r="AC143" i="9"/>
  <c r="DK39" i="9" s="1"/>
  <c r="R143" i="9"/>
  <c r="Q143" i="9"/>
  <c r="P143" i="9"/>
  <c r="O143" i="9"/>
  <c r="N143" i="9"/>
  <c r="M143" i="9"/>
  <c r="L143" i="9"/>
  <c r="C143" i="9"/>
  <c r="B143" i="9"/>
  <c r="AI142" i="9"/>
  <c r="AH142" i="9"/>
  <c r="AG142" i="9"/>
  <c r="AF142" i="9"/>
  <c r="AE142" i="9"/>
  <c r="AD142" i="9"/>
  <c r="AC142" i="9"/>
  <c r="R142" i="9"/>
  <c r="Q142" i="9"/>
  <c r="P142" i="9"/>
  <c r="O142" i="9"/>
  <c r="N142" i="9"/>
  <c r="M142" i="9"/>
  <c r="L142" i="9"/>
  <c r="C142" i="9"/>
  <c r="B142" i="9"/>
  <c r="AI141" i="9"/>
  <c r="AH141" i="9"/>
  <c r="AG141" i="9"/>
  <c r="AF141" i="9"/>
  <c r="AE141" i="9"/>
  <c r="AD141" i="9"/>
  <c r="AC141" i="9"/>
  <c r="R141" i="9"/>
  <c r="Q141" i="9"/>
  <c r="P141" i="9"/>
  <c r="O141" i="9"/>
  <c r="N141" i="9"/>
  <c r="M141" i="9"/>
  <c r="L141" i="9"/>
  <c r="AT39" i="9"/>
  <c r="C141" i="9"/>
  <c r="B141" i="9"/>
  <c r="AI140" i="9"/>
  <c r="AH140" i="9"/>
  <c r="AG140" i="9"/>
  <c r="AF140" i="9"/>
  <c r="AE140" i="9"/>
  <c r="AD140" i="9"/>
  <c r="AC140" i="9"/>
  <c r="R140" i="9"/>
  <c r="Q140" i="9"/>
  <c r="P140" i="9"/>
  <c r="O140" i="9"/>
  <c r="N140" i="9"/>
  <c r="M140" i="9"/>
  <c r="L140" i="9"/>
  <c r="C140" i="9"/>
  <c r="B140" i="9"/>
  <c r="AI139" i="9"/>
  <c r="AH139" i="9"/>
  <c r="AG139" i="9"/>
  <c r="AF139" i="9"/>
  <c r="AE139" i="9"/>
  <c r="AD139" i="9"/>
  <c r="AC139" i="9"/>
  <c r="R139" i="9"/>
  <c r="Q139" i="9"/>
  <c r="P139" i="9"/>
  <c r="O139" i="9"/>
  <c r="N139" i="9"/>
  <c r="M139" i="9"/>
  <c r="L139" i="9"/>
  <c r="C139" i="9"/>
  <c r="B139" i="9"/>
  <c r="AI138" i="9"/>
  <c r="AH138" i="9"/>
  <c r="AG138" i="9"/>
  <c r="AF138" i="9"/>
  <c r="AE138" i="9"/>
  <c r="AD138" i="9"/>
  <c r="AC138" i="9"/>
  <c r="R138" i="9"/>
  <c r="Q138" i="9"/>
  <c r="P138" i="9"/>
  <c r="O138" i="9"/>
  <c r="N138" i="9"/>
  <c r="M138" i="9"/>
  <c r="L138" i="9"/>
  <c r="C138" i="9"/>
  <c r="B138" i="9"/>
  <c r="AI137" i="9"/>
  <c r="AH137" i="9"/>
  <c r="AG137" i="9"/>
  <c r="AF137" i="9"/>
  <c r="AE137" i="9"/>
  <c r="AD137" i="9"/>
  <c r="AC137" i="9"/>
  <c r="R137" i="9"/>
  <c r="Q137" i="9"/>
  <c r="P137" i="9"/>
  <c r="O137" i="9"/>
  <c r="N137" i="9"/>
  <c r="M137" i="9"/>
  <c r="L137" i="9"/>
  <c r="C137" i="9"/>
  <c r="B137" i="9"/>
  <c r="AI136" i="9"/>
  <c r="AH136" i="9"/>
  <c r="AG136" i="9"/>
  <c r="AF136" i="9"/>
  <c r="AE136" i="9"/>
  <c r="AD136" i="9"/>
  <c r="AC136" i="9"/>
  <c r="R136" i="9"/>
  <c r="Q136" i="9"/>
  <c r="P136" i="9"/>
  <c r="O136" i="9"/>
  <c r="N136" i="9"/>
  <c r="M136" i="9"/>
  <c r="L136" i="9"/>
  <c r="C136" i="9"/>
  <c r="B136" i="9"/>
  <c r="AI135" i="9"/>
  <c r="AH135" i="9"/>
  <c r="AG135" i="9"/>
  <c r="AF135" i="9"/>
  <c r="AE135" i="9"/>
  <c r="AD135" i="9"/>
  <c r="AC135" i="9"/>
  <c r="R135" i="9"/>
  <c r="Q135" i="9"/>
  <c r="P135" i="9"/>
  <c r="O135" i="9"/>
  <c r="N135" i="9"/>
  <c r="M135" i="9"/>
  <c r="L135" i="9"/>
  <c r="C135" i="9"/>
  <c r="B135" i="9"/>
  <c r="AI134" i="9"/>
  <c r="AH134" i="9"/>
  <c r="AG134" i="9"/>
  <c r="AF134" i="9"/>
  <c r="AE134" i="9"/>
  <c r="AD134" i="9"/>
  <c r="AC134" i="9"/>
  <c r="R134" i="9"/>
  <c r="Q134" i="9"/>
  <c r="P134" i="9"/>
  <c r="O134" i="9"/>
  <c r="N134" i="9"/>
  <c r="M134" i="9"/>
  <c r="L134" i="9"/>
  <c r="C134" i="9"/>
  <c r="B134" i="9"/>
  <c r="AI133" i="9"/>
  <c r="AH133" i="9"/>
  <c r="AG133" i="9"/>
  <c r="AF133" i="9"/>
  <c r="AE133" i="9"/>
  <c r="AD133" i="9"/>
  <c r="AC133" i="9"/>
  <c r="AU37" i="9" s="1"/>
  <c r="R133" i="9"/>
  <c r="Q133" i="9"/>
  <c r="P133" i="9"/>
  <c r="O133" i="9"/>
  <c r="N133" i="9"/>
  <c r="M133" i="9"/>
  <c r="L133" i="9"/>
  <c r="C133" i="9"/>
  <c r="B133" i="9"/>
  <c r="AI132" i="9"/>
  <c r="AH132" i="9"/>
  <c r="AG132" i="9"/>
  <c r="AF132" i="9"/>
  <c r="AE132" i="9"/>
  <c r="AD132" i="9"/>
  <c r="AC132" i="9"/>
  <c r="BH36" i="9"/>
  <c r="R132" i="9"/>
  <c r="Q132" i="9"/>
  <c r="P132" i="9"/>
  <c r="O132" i="9"/>
  <c r="N132" i="9"/>
  <c r="M132" i="9"/>
  <c r="L132" i="9"/>
  <c r="C132" i="9"/>
  <c r="B132" i="9"/>
  <c r="AI131" i="9"/>
  <c r="AH131" i="9"/>
  <c r="AG131" i="9"/>
  <c r="AF131" i="9"/>
  <c r="AE131" i="9"/>
  <c r="AD131" i="9"/>
  <c r="AC131" i="9"/>
  <c r="R131" i="9"/>
  <c r="Q131" i="9"/>
  <c r="P131" i="9"/>
  <c r="O131" i="9"/>
  <c r="N131" i="9"/>
  <c r="M131" i="9"/>
  <c r="L131" i="9"/>
  <c r="C131" i="9"/>
  <c r="B131" i="9"/>
  <c r="AI130" i="9"/>
  <c r="AH130" i="9"/>
  <c r="AG130" i="9"/>
  <c r="AF130" i="9"/>
  <c r="AE130" i="9"/>
  <c r="AD130" i="9"/>
  <c r="AC130" i="9"/>
  <c r="R130" i="9"/>
  <c r="Q130" i="9"/>
  <c r="P130" i="9"/>
  <c r="O130" i="9"/>
  <c r="N130" i="9"/>
  <c r="M130" i="9"/>
  <c r="L130" i="9"/>
  <c r="C130" i="9"/>
  <c r="B130" i="9"/>
  <c r="AI129" i="9"/>
  <c r="AH129" i="9"/>
  <c r="AG129" i="9"/>
  <c r="AF129" i="9"/>
  <c r="AE129" i="9"/>
  <c r="AD129" i="9"/>
  <c r="AC129" i="9"/>
  <c r="R129" i="9"/>
  <c r="Q129" i="9"/>
  <c r="P129" i="9"/>
  <c r="O129" i="9"/>
  <c r="N129" i="9"/>
  <c r="M129" i="9"/>
  <c r="L129" i="9"/>
  <c r="C129" i="9"/>
  <c r="B129" i="9"/>
  <c r="AI128" i="9"/>
  <c r="AH128" i="9"/>
  <c r="AG128" i="9"/>
  <c r="AF128" i="9"/>
  <c r="AE128" i="9"/>
  <c r="AD128" i="9"/>
  <c r="AC128" i="9"/>
  <c r="R128" i="9"/>
  <c r="Q128" i="9"/>
  <c r="P128" i="9"/>
  <c r="O128" i="9"/>
  <c r="N128" i="9"/>
  <c r="M128" i="9"/>
  <c r="L128" i="9"/>
  <c r="C128" i="9"/>
  <c r="B128" i="9"/>
  <c r="AI127" i="9"/>
  <c r="AH127" i="9"/>
  <c r="AG127" i="9"/>
  <c r="AF127" i="9"/>
  <c r="AE127" i="9"/>
  <c r="AD127" i="9"/>
  <c r="AC127" i="9"/>
  <c r="BG35" i="9"/>
  <c r="R127" i="9"/>
  <c r="Q127" i="9"/>
  <c r="P127" i="9"/>
  <c r="O127" i="9"/>
  <c r="N127" i="9"/>
  <c r="M127" i="9"/>
  <c r="L127" i="9"/>
  <c r="C127" i="9"/>
  <c r="B127" i="9"/>
  <c r="AI126" i="9"/>
  <c r="AH126" i="9"/>
  <c r="AG126" i="9"/>
  <c r="AF126" i="9"/>
  <c r="AE126" i="9"/>
  <c r="AD126" i="9"/>
  <c r="AC126" i="9"/>
  <c r="R126" i="9"/>
  <c r="Q126" i="9"/>
  <c r="P126" i="9"/>
  <c r="O126" i="9"/>
  <c r="N126" i="9"/>
  <c r="M126" i="9"/>
  <c r="L126" i="9"/>
  <c r="C126" i="9"/>
  <c r="B126" i="9"/>
  <c r="AI125" i="9"/>
  <c r="AH125" i="9"/>
  <c r="AG125" i="9"/>
  <c r="AF125" i="9"/>
  <c r="AE125" i="9"/>
  <c r="AD125" i="9"/>
  <c r="AC125" i="9"/>
  <c r="R125" i="9"/>
  <c r="Q125" i="9"/>
  <c r="P125" i="9"/>
  <c r="O125" i="9"/>
  <c r="N125" i="9"/>
  <c r="M125" i="9"/>
  <c r="L125" i="9"/>
  <c r="C125" i="9"/>
  <c r="B125" i="9"/>
  <c r="AI124" i="9"/>
  <c r="AH124" i="9"/>
  <c r="AG124" i="9"/>
  <c r="AF124" i="9"/>
  <c r="AE124" i="9"/>
  <c r="AD124" i="9"/>
  <c r="AC124" i="9"/>
  <c r="R124" i="9"/>
  <c r="Q124" i="9"/>
  <c r="P124" i="9"/>
  <c r="O124" i="9"/>
  <c r="N124" i="9"/>
  <c r="M124" i="9"/>
  <c r="L124" i="9"/>
  <c r="C124" i="9"/>
  <c r="B124" i="9"/>
  <c r="AI123" i="9"/>
  <c r="AH123" i="9"/>
  <c r="AG123" i="9"/>
  <c r="AF123" i="9"/>
  <c r="AE123" i="9"/>
  <c r="AD123" i="9"/>
  <c r="AC123" i="9"/>
  <c r="R123" i="9"/>
  <c r="Q123" i="9"/>
  <c r="P123" i="9"/>
  <c r="O123" i="9"/>
  <c r="N123" i="9"/>
  <c r="M123" i="9"/>
  <c r="L123" i="9"/>
  <c r="C123" i="9"/>
  <c r="B123" i="9"/>
  <c r="AI122" i="9"/>
  <c r="AH122" i="9"/>
  <c r="AG122" i="9"/>
  <c r="AF122" i="9"/>
  <c r="AE122" i="9"/>
  <c r="AD122" i="9"/>
  <c r="AC122" i="9"/>
  <c r="BF34" i="9"/>
  <c r="R122" i="9"/>
  <c r="Q122" i="9"/>
  <c r="P122" i="9"/>
  <c r="O122" i="9"/>
  <c r="N122" i="9"/>
  <c r="M122" i="9"/>
  <c r="L122" i="9"/>
  <c r="C122" i="9"/>
  <c r="B122" i="9"/>
  <c r="AI121" i="9"/>
  <c r="AH121" i="9"/>
  <c r="AG121" i="9"/>
  <c r="AF121" i="9"/>
  <c r="AE121" i="9"/>
  <c r="AD121" i="9"/>
  <c r="AC121" i="9"/>
  <c r="R121" i="9"/>
  <c r="Q121" i="9"/>
  <c r="P121" i="9"/>
  <c r="O121" i="9"/>
  <c r="N121" i="9"/>
  <c r="M121" i="9"/>
  <c r="L121" i="9"/>
  <c r="C121" i="9"/>
  <c r="B121" i="9"/>
  <c r="AI120" i="9"/>
  <c r="AH120" i="9"/>
  <c r="AG120" i="9"/>
  <c r="AF120" i="9"/>
  <c r="AE120" i="9"/>
  <c r="AD120" i="9"/>
  <c r="AC120" i="9"/>
  <c r="R120" i="9"/>
  <c r="Q120" i="9"/>
  <c r="P120" i="9"/>
  <c r="O120" i="9"/>
  <c r="N120" i="9"/>
  <c r="M120" i="9"/>
  <c r="L120" i="9"/>
  <c r="C120" i="9"/>
  <c r="B120" i="9"/>
  <c r="AI119" i="9"/>
  <c r="AH119" i="9"/>
  <c r="AG119" i="9"/>
  <c r="AF119" i="9"/>
  <c r="AE119" i="9"/>
  <c r="AD119" i="9"/>
  <c r="AC119" i="9"/>
  <c r="R119" i="9"/>
  <c r="Q119" i="9"/>
  <c r="P119" i="9"/>
  <c r="O119" i="9"/>
  <c r="N119" i="9"/>
  <c r="M119" i="9"/>
  <c r="L119" i="9"/>
  <c r="C119" i="9"/>
  <c r="B119" i="9"/>
  <c r="AI118" i="9"/>
  <c r="AH118" i="9"/>
  <c r="AG118" i="9"/>
  <c r="AF118" i="9"/>
  <c r="AE118" i="9"/>
  <c r="AD118" i="9"/>
  <c r="AC118" i="9"/>
  <c r="R118" i="9"/>
  <c r="Q118" i="9"/>
  <c r="P118" i="9"/>
  <c r="O118" i="9"/>
  <c r="N118" i="9"/>
  <c r="M118" i="9"/>
  <c r="L118" i="9"/>
  <c r="C118" i="9"/>
  <c r="B118" i="9"/>
  <c r="AI117" i="9"/>
  <c r="AH117" i="9"/>
  <c r="AG117" i="9"/>
  <c r="AF117" i="9"/>
  <c r="AE117" i="9"/>
  <c r="AD117" i="9"/>
  <c r="AC117" i="9"/>
  <c r="AM33" i="9"/>
  <c r="R117" i="9"/>
  <c r="Q117" i="9"/>
  <c r="P117" i="9"/>
  <c r="O117" i="9"/>
  <c r="N117" i="9"/>
  <c r="M117" i="9"/>
  <c r="L117" i="9"/>
  <c r="C117" i="9"/>
  <c r="B117" i="9"/>
  <c r="AI116" i="9"/>
  <c r="AH116" i="9"/>
  <c r="AG116" i="9"/>
  <c r="AF116" i="9"/>
  <c r="AE116" i="9"/>
  <c r="AD116" i="9"/>
  <c r="AC116" i="9"/>
  <c r="DL32" i="9" s="1"/>
  <c r="R116" i="9"/>
  <c r="Q116" i="9"/>
  <c r="P116" i="9"/>
  <c r="O116" i="9"/>
  <c r="N116" i="9"/>
  <c r="M116" i="9"/>
  <c r="L116" i="9"/>
  <c r="C116" i="9"/>
  <c r="B116" i="9"/>
  <c r="AI115" i="9"/>
  <c r="AH115" i="9"/>
  <c r="AG115" i="9"/>
  <c r="AF115" i="9"/>
  <c r="AE115" i="9"/>
  <c r="AD115" i="9"/>
  <c r="AC115" i="9"/>
  <c r="R115" i="9"/>
  <c r="Q115" i="9"/>
  <c r="P115" i="9"/>
  <c r="O115" i="9"/>
  <c r="N115" i="9"/>
  <c r="M115" i="9"/>
  <c r="L115" i="9"/>
  <c r="C115" i="9"/>
  <c r="B115" i="9"/>
  <c r="AI114" i="9"/>
  <c r="AH114" i="9"/>
  <c r="AG114" i="9"/>
  <c r="AF114" i="9"/>
  <c r="AE114" i="9"/>
  <c r="AD114" i="9"/>
  <c r="AC114" i="9"/>
  <c r="R114" i="9"/>
  <c r="Q114" i="9"/>
  <c r="P114" i="9"/>
  <c r="O114" i="9"/>
  <c r="N114" i="9"/>
  <c r="M114" i="9"/>
  <c r="L114" i="9"/>
  <c r="C114" i="9"/>
  <c r="B114" i="9"/>
  <c r="AI113" i="9"/>
  <c r="AH113" i="9"/>
  <c r="AG113" i="9"/>
  <c r="AF113" i="9"/>
  <c r="AE113" i="9"/>
  <c r="AD113" i="9"/>
  <c r="AC113" i="9"/>
  <c r="R113" i="9"/>
  <c r="Q113" i="9"/>
  <c r="P113" i="9"/>
  <c r="O113" i="9"/>
  <c r="N113" i="9"/>
  <c r="M113" i="9"/>
  <c r="L113" i="9"/>
  <c r="C113" i="9"/>
  <c r="B113" i="9"/>
  <c r="AI112" i="9"/>
  <c r="AH112" i="9"/>
  <c r="AG112" i="9"/>
  <c r="AF112" i="9"/>
  <c r="AE112" i="9"/>
  <c r="AD112" i="9"/>
  <c r="AC112" i="9"/>
  <c r="R112" i="9"/>
  <c r="Q112" i="9"/>
  <c r="P112" i="9"/>
  <c r="O112" i="9"/>
  <c r="N112" i="9"/>
  <c r="M112" i="9"/>
  <c r="L112" i="9"/>
  <c r="C112" i="9"/>
  <c r="B112" i="9"/>
  <c r="AI111" i="9"/>
  <c r="AH111" i="9"/>
  <c r="AG111" i="9"/>
  <c r="AF111" i="9"/>
  <c r="AE111" i="9"/>
  <c r="AD111" i="9"/>
  <c r="AC111" i="9"/>
  <c r="DK31" i="9" s="1"/>
  <c r="R111" i="9"/>
  <c r="Q111" i="9"/>
  <c r="P111" i="9"/>
  <c r="O111" i="9"/>
  <c r="N111" i="9"/>
  <c r="M111" i="9"/>
  <c r="L111" i="9"/>
  <c r="C111" i="9"/>
  <c r="B111" i="9"/>
  <c r="AI110" i="9"/>
  <c r="AH110" i="9"/>
  <c r="AG110" i="9"/>
  <c r="AF110" i="9"/>
  <c r="AE110" i="9"/>
  <c r="AD110" i="9"/>
  <c r="AC110" i="9"/>
  <c r="R110" i="9"/>
  <c r="Q110" i="9"/>
  <c r="P110" i="9"/>
  <c r="O110" i="9"/>
  <c r="N110" i="9"/>
  <c r="M110" i="9"/>
  <c r="L110" i="9"/>
  <c r="C110" i="9"/>
  <c r="B110" i="9"/>
  <c r="AI109" i="9"/>
  <c r="AH109" i="9"/>
  <c r="AG109" i="9"/>
  <c r="AF109" i="9"/>
  <c r="AE109" i="9"/>
  <c r="AD109" i="9"/>
  <c r="AC109" i="9"/>
  <c r="R109" i="9"/>
  <c r="Q109" i="9"/>
  <c r="P109" i="9"/>
  <c r="O109" i="9"/>
  <c r="N109" i="9"/>
  <c r="M109" i="9"/>
  <c r="L109" i="9"/>
  <c r="AT31" i="9"/>
  <c r="C109" i="9"/>
  <c r="B109" i="9"/>
  <c r="AI108" i="9"/>
  <c r="AH108" i="9"/>
  <c r="AG108" i="9"/>
  <c r="AF108" i="9"/>
  <c r="AE108" i="9"/>
  <c r="AD108" i="9"/>
  <c r="AC108" i="9"/>
  <c r="R108" i="9"/>
  <c r="Q108" i="9"/>
  <c r="P108" i="9"/>
  <c r="O108" i="9"/>
  <c r="N108" i="9"/>
  <c r="M108" i="9"/>
  <c r="L108" i="9"/>
  <c r="C108" i="9"/>
  <c r="B108" i="9"/>
  <c r="AI107" i="9"/>
  <c r="AH107" i="9"/>
  <c r="AG107" i="9"/>
  <c r="AF107" i="9"/>
  <c r="AE107" i="9"/>
  <c r="AD107" i="9"/>
  <c r="AC107" i="9"/>
  <c r="R107" i="9"/>
  <c r="Q107" i="9"/>
  <c r="P107" i="9"/>
  <c r="O107" i="9"/>
  <c r="N107" i="9"/>
  <c r="M107" i="9"/>
  <c r="L107" i="9"/>
  <c r="C107" i="9"/>
  <c r="B107" i="9"/>
  <c r="AI106" i="9"/>
  <c r="AH106" i="9"/>
  <c r="AG106" i="9"/>
  <c r="AF106" i="9"/>
  <c r="AE106" i="9"/>
  <c r="AD106" i="9"/>
  <c r="AC106" i="9"/>
  <c r="DJ30" i="9" s="1"/>
  <c r="R106" i="9"/>
  <c r="Q106" i="9"/>
  <c r="P106" i="9"/>
  <c r="O106" i="9"/>
  <c r="N106" i="9"/>
  <c r="M106" i="9"/>
  <c r="L106" i="9"/>
  <c r="C106" i="9"/>
  <c r="B106" i="9"/>
  <c r="AI105" i="9"/>
  <c r="AH105" i="9"/>
  <c r="AG105" i="9"/>
  <c r="AF105" i="9"/>
  <c r="AE105" i="9"/>
  <c r="AD105" i="9"/>
  <c r="AC105" i="9"/>
  <c r="R105" i="9"/>
  <c r="Q105" i="9"/>
  <c r="P105" i="9"/>
  <c r="O105" i="9"/>
  <c r="N105" i="9"/>
  <c r="M105" i="9"/>
  <c r="L105" i="9"/>
  <c r="C105" i="9"/>
  <c r="B105" i="9"/>
  <c r="AI104" i="9"/>
  <c r="AH104" i="9"/>
  <c r="AG104" i="9"/>
  <c r="AF104" i="9"/>
  <c r="AE104" i="9"/>
  <c r="AD104" i="9"/>
  <c r="AC104" i="9"/>
  <c r="R104" i="9"/>
  <c r="Q104" i="9"/>
  <c r="P104" i="9"/>
  <c r="O104" i="9"/>
  <c r="N104" i="9"/>
  <c r="M104" i="9"/>
  <c r="L104" i="9"/>
  <c r="C104" i="9"/>
  <c r="B104" i="9"/>
  <c r="AI103" i="9"/>
  <c r="AH103" i="9"/>
  <c r="AG103" i="9"/>
  <c r="AF103" i="9"/>
  <c r="AE103" i="9"/>
  <c r="AD103" i="9"/>
  <c r="AC103" i="9"/>
  <c r="R103" i="9"/>
  <c r="Q103" i="9"/>
  <c r="P103" i="9"/>
  <c r="O103" i="9"/>
  <c r="N103" i="9"/>
  <c r="M103" i="9"/>
  <c r="L103" i="9"/>
  <c r="C103" i="9"/>
  <c r="B103" i="9"/>
  <c r="AI102" i="9"/>
  <c r="AH102" i="9"/>
  <c r="AG102" i="9"/>
  <c r="AF102" i="9"/>
  <c r="AE102" i="9"/>
  <c r="AD102" i="9"/>
  <c r="AC102" i="9"/>
  <c r="R102" i="9"/>
  <c r="Q102" i="9"/>
  <c r="P102" i="9"/>
  <c r="O102" i="9"/>
  <c r="N102" i="9"/>
  <c r="M102" i="9"/>
  <c r="L102" i="9"/>
  <c r="C102" i="9"/>
  <c r="B102" i="9"/>
  <c r="AI101" i="9"/>
  <c r="AH101" i="9"/>
  <c r="AG101" i="9"/>
  <c r="AF101" i="9"/>
  <c r="AE101" i="9"/>
  <c r="AD101" i="9"/>
  <c r="AC101" i="9"/>
  <c r="AU29" i="9" s="1"/>
  <c r="R101" i="9"/>
  <c r="Q101" i="9"/>
  <c r="P101" i="9"/>
  <c r="O101" i="9"/>
  <c r="N101" i="9"/>
  <c r="M101" i="9"/>
  <c r="L101" i="9"/>
  <c r="C101" i="9"/>
  <c r="B101" i="9"/>
  <c r="AI100" i="9"/>
  <c r="AH100" i="9"/>
  <c r="AG100" i="9"/>
  <c r="AF100" i="9"/>
  <c r="AE100" i="9"/>
  <c r="AD100" i="9"/>
  <c r="AC100" i="9"/>
  <c r="BH28" i="9"/>
  <c r="R100" i="9"/>
  <c r="Q100" i="9"/>
  <c r="P100" i="9"/>
  <c r="O100" i="9"/>
  <c r="N100" i="9"/>
  <c r="M100" i="9"/>
  <c r="L100" i="9"/>
  <c r="C100" i="9"/>
  <c r="B100" i="9"/>
  <c r="AI99" i="9"/>
  <c r="AH99" i="9"/>
  <c r="AG99" i="9"/>
  <c r="AF99" i="9"/>
  <c r="AE99" i="9"/>
  <c r="AD99" i="9"/>
  <c r="AC99" i="9"/>
  <c r="R99" i="9"/>
  <c r="Q99" i="9"/>
  <c r="P99" i="9"/>
  <c r="O99" i="9"/>
  <c r="N99" i="9"/>
  <c r="M99" i="9"/>
  <c r="L99" i="9"/>
  <c r="C99" i="9"/>
  <c r="B99" i="9"/>
  <c r="AI98" i="9"/>
  <c r="AH98" i="9"/>
  <c r="AG98" i="9"/>
  <c r="AF98" i="9"/>
  <c r="AE98" i="9"/>
  <c r="AD98" i="9"/>
  <c r="AC98" i="9"/>
  <c r="R98" i="9"/>
  <c r="Q98" i="9"/>
  <c r="P98" i="9"/>
  <c r="O98" i="9"/>
  <c r="N98" i="9"/>
  <c r="M98" i="9"/>
  <c r="L98" i="9"/>
  <c r="C98" i="9"/>
  <c r="B98" i="9"/>
  <c r="AI97" i="9"/>
  <c r="AH97" i="9"/>
  <c r="AG97" i="9"/>
  <c r="AF97" i="9"/>
  <c r="AE97" i="9"/>
  <c r="AD97" i="9"/>
  <c r="AC97" i="9"/>
  <c r="R97" i="9"/>
  <c r="Q97" i="9"/>
  <c r="P97" i="9"/>
  <c r="O97" i="9"/>
  <c r="N97" i="9"/>
  <c r="M97" i="9"/>
  <c r="L97" i="9"/>
  <c r="C97" i="9"/>
  <c r="B97" i="9"/>
  <c r="AI96" i="9"/>
  <c r="AH96" i="9"/>
  <c r="AG96" i="9"/>
  <c r="AF96" i="9"/>
  <c r="AE96" i="9"/>
  <c r="AD96" i="9"/>
  <c r="AC96" i="9"/>
  <c r="R96" i="9"/>
  <c r="Q96" i="9"/>
  <c r="P96" i="9"/>
  <c r="O96" i="9"/>
  <c r="N96" i="9"/>
  <c r="M96" i="9"/>
  <c r="L96" i="9"/>
  <c r="C96" i="9"/>
  <c r="B96" i="9"/>
  <c r="AI95" i="9"/>
  <c r="AH95" i="9"/>
  <c r="AG95" i="9"/>
  <c r="AF95" i="9"/>
  <c r="AE95" i="9"/>
  <c r="AD95" i="9"/>
  <c r="AC95" i="9"/>
  <c r="BG27" i="9"/>
  <c r="R95" i="9"/>
  <c r="Q95" i="9"/>
  <c r="P95" i="9"/>
  <c r="O95" i="9"/>
  <c r="N95" i="9"/>
  <c r="M95" i="9"/>
  <c r="L95" i="9"/>
  <c r="C95" i="9"/>
  <c r="B95" i="9"/>
  <c r="AI94" i="9"/>
  <c r="AH94" i="9"/>
  <c r="AG94" i="9"/>
  <c r="AF94" i="9"/>
  <c r="AE94" i="9"/>
  <c r="AD94" i="9"/>
  <c r="AC94" i="9"/>
  <c r="R94" i="9"/>
  <c r="Q94" i="9"/>
  <c r="P94" i="9"/>
  <c r="O94" i="9"/>
  <c r="N94" i="9"/>
  <c r="M94" i="9"/>
  <c r="L94" i="9"/>
  <c r="C94" i="9"/>
  <c r="B94" i="9"/>
  <c r="AI93" i="9"/>
  <c r="AH93" i="9"/>
  <c r="AG93" i="9"/>
  <c r="AF93" i="9"/>
  <c r="AE93" i="9"/>
  <c r="AD93" i="9"/>
  <c r="AC93" i="9"/>
  <c r="R93" i="9"/>
  <c r="Q93" i="9"/>
  <c r="P93" i="9"/>
  <c r="O93" i="9"/>
  <c r="N93" i="9"/>
  <c r="M93" i="9"/>
  <c r="L93" i="9"/>
  <c r="C93" i="9"/>
  <c r="B93" i="9"/>
  <c r="AI92" i="9"/>
  <c r="AH92" i="9"/>
  <c r="AG92" i="9"/>
  <c r="AF92" i="9"/>
  <c r="AE92" i="9"/>
  <c r="AD92" i="9"/>
  <c r="AC92" i="9"/>
  <c r="R92" i="9"/>
  <c r="Q92" i="9"/>
  <c r="P92" i="9"/>
  <c r="O92" i="9"/>
  <c r="N92" i="9"/>
  <c r="M92" i="9"/>
  <c r="L92" i="9"/>
  <c r="C92" i="9"/>
  <c r="B92" i="9"/>
  <c r="AI91" i="9"/>
  <c r="AH91" i="9"/>
  <c r="AG91" i="9"/>
  <c r="AF91" i="9"/>
  <c r="AE91" i="9"/>
  <c r="AD91" i="9"/>
  <c r="AC91" i="9"/>
  <c r="R91" i="9"/>
  <c r="Q91" i="9"/>
  <c r="P91" i="9"/>
  <c r="O91" i="9"/>
  <c r="N91" i="9"/>
  <c r="M91" i="9"/>
  <c r="L91" i="9"/>
  <c r="C91" i="9"/>
  <c r="B91" i="9"/>
  <c r="AI90" i="9"/>
  <c r="AH90" i="9"/>
  <c r="AG90" i="9"/>
  <c r="AF90" i="9"/>
  <c r="AE90" i="9"/>
  <c r="AD90" i="9"/>
  <c r="AC90" i="9"/>
  <c r="BF26" i="9"/>
  <c r="R90" i="9"/>
  <c r="Q90" i="9"/>
  <c r="P90" i="9"/>
  <c r="O90" i="9"/>
  <c r="N90" i="9"/>
  <c r="M90" i="9"/>
  <c r="L90" i="9"/>
  <c r="C90" i="9"/>
  <c r="B90" i="9"/>
  <c r="AI89" i="9"/>
  <c r="AH89" i="9"/>
  <c r="AG89" i="9"/>
  <c r="AF89" i="9"/>
  <c r="AE89" i="9"/>
  <c r="AD89" i="9"/>
  <c r="AC89" i="9"/>
  <c r="R89" i="9"/>
  <c r="Q89" i="9"/>
  <c r="P89" i="9"/>
  <c r="O89" i="9"/>
  <c r="N89" i="9"/>
  <c r="M89" i="9"/>
  <c r="L89" i="9"/>
  <c r="C89" i="9"/>
  <c r="B89" i="9"/>
  <c r="AI88" i="9"/>
  <c r="AH88" i="9"/>
  <c r="AG88" i="9"/>
  <c r="AF88" i="9"/>
  <c r="AE88" i="9"/>
  <c r="AD88" i="9"/>
  <c r="AC88" i="9"/>
  <c r="R88" i="9"/>
  <c r="Q88" i="9"/>
  <c r="P88" i="9"/>
  <c r="O88" i="9"/>
  <c r="N88" i="9"/>
  <c r="M88" i="9"/>
  <c r="L88" i="9"/>
  <c r="C88" i="9"/>
  <c r="B88" i="9"/>
  <c r="AI87" i="9"/>
  <c r="AH87" i="9"/>
  <c r="AG87" i="9"/>
  <c r="AF87" i="9"/>
  <c r="AE87" i="9"/>
  <c r="AD87" i="9"/>
  <c r="AC87" i="9"/>
  <c r="R87" i="9"/>
  <c r="Q87" i="9"/>
  <c r="P87" i="9"/>
  <c r="O87" i="9"/>
  <c r="N87" i="9"/>
  <c r="M87" i="9"/>
  <c r="L87" i="9"/>
  <c r="C87" i="9"/>
  <c r="B87" i="9"/>
  <c r="AI86" i="9"/>
  <c r="AH86" i="9"/>
  <c r="AG86" i="9"/>
  <c r="AF86" i="9"/>
  <c r="AE86" i="9"/>
  <c r="AD86" i="9"/>
  <c r="AC86" i="9"/>
  <c r="R86" i="9"/>
  <c r="Q86" i="9"/>
  <c r="P86" i="9"/>
  <c r="O86" i="9"/>
  <c r="N86" i="9"/>
  <c r="M86" i="9"/>
  <c r="L86" i="9"/>
  <c r="C86" i="9"/>
  <c r="B86" i="9"/>
  <c r="AI85" i="9"/>
  <c r="AH85" i="9"/>
  <c r="AG85" i="9"/>
  <c r="AF85" i="9"/>
  <c r="AE85" i="9"/>
  <c r="AD85" i="9"/>
  <c r="AC85" i="9"/>
  <c r="AM25" i="9"/>
  <c r="R85" i="9"/>
  <c r="Q85" i="9"/>
  <c r="P85" i="9"/>
  <c r="O85" i="9"/>
  <c r="N85" i="9"/>
  <c r="M85" i="9"/>
  <c r="L85" i="9"/>
  <c r="C85" i="9"/>
  <c r="B85" i="9"/>
  <c r="AI84" i="9"/>
  <c r="AH84" i="9"/>
  <c r="AG84" i="9"/>
  <c r="AF84" i="9"/>
  <c r="AE84" i="9"/>
  <c r="AD84" i="9"/>
  <c r="AC84" i="9"/>
  <c r="DL24" i="9" s="1"/>
  <c r="R84" i="9"/>
  <c r="Q84" i="9"/>
  <c r="P84" i="9"/>
  <c r="O84" i="9"/>
  <c r="N84" i="9"/>
  <c r="M84" i="9"/>
  <c r="L84" i="9"/>
  <c r="C84" i="9"/>
  <c r="B84" i="9"/>
  <c r="AI83" i="9"/>
  <c r="AH83" i="9"/>
  <c r="AG83" i="9"/>
  <c r="AF83" i="9"/>
  <c r="AE83" i="9"/>
  <c r="AD83" i="9"/>
  <c r="AC83" i="9"/>
  <c r="R83" i="9"/>
  <c r="Q83" i="9"/>
  <c r="P83" i="9"/>
  <c r="O83" i="9"/>
  <c r="N83" i="9"/>
  <c r="M83" i="9"/>
  <c r="L83" i="9"/>
  <c r="C83" i="9"/>
  <c r="B83" i="9"/>
  <c r="AI82" i="9"/>
  <c r="AH82" i="9"/>
  <c r="AG82" i="9"/>
  <c r="AF82" i="9"/>
  <c r="AE82" i="9"/>
  <c r="AD82" i="9"/>
  <c r="AC82" i="9"/>
  <c r="R82" i="9"/>
  <c r="Q82" i="9"/>
  <c r="P82" i="9"/>
  <c r="O82" i="9"/>
  <c r="N82" i="9"/>
  <c r="M82" i="9"/>
  <c r="L82" i="9"/>
  <c r="C82" i="9"/>
  <c r="B82" i="9"/>
  <c r="AI81" i="9"/>
  <c r="AH81" i="9"/>
  <c r="AG81" i="9"/>
  <c r="AF81" i="9"/>
  <c r="AE81" i="9"/>
  <c r="AD81" i="9"/>
  <c r="AC81" i="9"/>
  <c r="R81" i="9"/>
  <c r="Q81" i="9"/>
  <c r="P81" i="9"/>
  <c r="O81" i="9"/>
  <c r="N81" i="9"/>
  <c r="M81" i="9"/>
  <c r="L81" i="9"/>
  <c r="C81" i="9"/>
  <c r="B81" i="9"/>
  <c r="AI80" i="9"/>
  <c r="AH80" i="9"/>
  <c r="AG80" i="9"/>
  <c r="AF80" i="9"/>
  <c r="AE80" i="9"/>
  <c r="AD80" i="9"/>
  <c r="AC80" i="9"/>
  <c r="R80" i="9"/>
  <c r="Q80" i="9"/>
  <c r="P80" i="9"/>
  <c r="O80" i="9"/>
  <c r="N80" i="9"/>
  <c r="M80" i="9"/>
  <c r="L80" i="9"/>
  <c r="C80" i="9"/>
  <c r="B80" i="9"/>
  <c r="AI79" i="9"/>
  <c r="AH79" i="9"/>
  <c r="AG79" i="9"/>
  <c r="AF79" i="9"/>
  <c r="AE79" i="9"/>
  <c r="AD79" i="9"/>
  <c r="AC79" i="9"/>
  <c r="DK23" i="9" s="1"/>
  <c r="R79" i="9"/>
  <c r="Q79" i="9"/>
  <c r="P79" i="9"/>
  <c r="O79" i="9"/>
  <c r="N79" i="9"/>
  <c r="M79" i="9"/>
  <c r="L79" i="9"/>
  <c r="C79" i="9"/>
  <c r="B79" i="9"/>
  <c r="AI78" i="9"/>
  <c r="AH78" i="9"/>
  <c r="AG78" i="9"/>
  <c r="AF78" i="9"/>
  <c r="AE78" i="9"/>
  <c r="AD78" i="9"/>
  <c r="AC78" i="9"/>
  <c r="R78" i="9"/>
  <c r="Q78" i="9"/>
  <c r="P78" i="9"/>
  <c r="O78" i="9"/>
  <c r="N78" i="9"/>
  <c r="M78" i="9"/>
  <c r="L78" i="9"/>
  <c r="C78" i="9"/>
  <c r="B78" i="9"/>
  <c r="AI77" i="9"/>
  <c r="AH77" i="9"/>
  <c r="AG77" i="9"/>
  <c r="AF77" i="9"/>
  <c r="AE77" i="9"/>
  <c r="AD77" i="9"/>
  <c r="AC77" i="9"/>
  <c r="R77" i="9"/>
  <c r="Q77" i="9"/>
  <c r="P77" i="9"/>
  <c r="O77" i="9"/>
  <c r="N77" i="9"/>
  <c r="M77" i="9"/>
  <c r="L77" i="9"/>
  <c r="AT23" i="9"/>
  <c r="C77" i="9"/>
  <c r="B77" i="9"/>
  <c r="AI76" i="9"/>
  <c r="AH76" i="9"/>
  <c r="AG76" i="9"/>
  <c r="AF76" i="9"/>
  <c r="AE76" i="9"/>
  <c r="AD76" i="9"/>
  <c r="AC76" i="9"/>
  <c r="R76" i="9"/>
  <c r="Q76" i="9"/>
  <c r="P76" i="9"/>
  <c r="O76" i="9"/>
  <c r="N76" i="9"/>
  <c r="M76" i="9"/>
  <c r="L76" i="9"/>
  <c r="C76" i="9"/>
  <c r="B76" i="9"/>
  <c r="AI75" i="9"/>
  <c r="AH75" i="9"/>
  <c r="AG75" i="9"/>
  <c r="AF75" i="9"/>
  <c r="AE75" i="9"/>
  <c r="AD75" i="9"/>
  <c r="AC75" i="9"/>
  <c r="R75" i="9"/>
  <c r="Q75" i="9"/>
  <c r="P75" i="9"/>
  <c r="O75" i="9"/>
  <c r="N75" i="9"/>
  <c r="M75" i="9"/>
  <c r="L75" i="9"/>
  <c r="C75" i="9"/>
  <c r="B75" i="9"/>
  <c r="AI74" i="9"/>
  <c r="AH74" i="9"/>
  <c r="AG74" i="9"/>
  <c r="AF74" i="9"/>
  <c r="AE74" i="9"/>
  <c r="AD74" i="9"/>
  <c r="AC74" i="9"/>
  <c r="DJ22" i="9" s="1"/>
  <c r="R74" i="9"/>
  <c r="Q74" i="9"/>
  <c r="P74" i="9"/>
  <c r="O74" i="9"/>
  <c r="N74" i="9"/>
  <c r="M74" i="9"/>
  <c r="L74" i="9"/>
  <c r="C74" i="9"/>
  <c r="B74" i="9"/>
  <c r="AI73" i="9"/>
  <c r="AH73" i="9"/>
  <c r="AG73" i="9"/>
  <c r="AF73" i="9"/>
  <c r="AE73" i="9"/>
  <c r="AD73" i="9"/>
  <c r="AC73" i="9"/>
  <c r="R73" i="9"/>
  <c r="Q73" i="9"/>
  <c r="P73" i="9"/>
  <c r="O73" i="9"/>
  <c r="N73" i="9"/>
  <c r="M73" i="9"/>
  <c r="L73" i="9"/>
  <c r="C73" i="9"/>
  <c r="B73" i="9"/>
  <c r="AI72" i="9"/>
  <c r="AH72" i="9"/>
  <c r="AG72" i="9"/>
  <c r="AF72" i="9"/>
  <c r="AE72" i="9"/>
  <c r="AD72" i="9"/>
  <c r="AC72" i="9"/>
  <c r="R72" i="9"/>
  <c r="Q72" i="9"/>
  <c r="P72" i="9"/>
  <c r="O72" i="9"/>
  <c r="N72" i="9"/>
  <c r="M72" i="9"/>
  <c r="L72" i="9"/>
  <c r="C72" i="9"/>
  <c r="B72" i="9"/>
  <c r="AI71" i="9"/>
  <c r="AH71" i="9"/>
  <c r="AG71" i="9"/>
  <c r="AF71" i="9"/>
  <c r="AE71" i="9"/>
  <c r="AD71" i="9"/>
  <c r="AC71" i="9"/>
  <c r="R71" i="9"/>
  <c r="Q71" i="9"/>
  <c r="P71" i="9"/>
  <c r="O71" i="9"/>
  <c r="N71" i="9"/>
  <c r="M71" i="9"/>
  <c r="L71" i="9"/>
  <c r="C71" i="9"/>
  <c r="B71" i="9"/>
  <c r="AI70" i="9"/>
  <c r="AH70" i="9"/>
  <c r="AG70" i="9"/>
  <c r="AF70" i="9"/>
  <c r="AE70" i="9"/>
  <c r="AD70" i="9"/>
  <c r="AC70" i="9"/>
  <c r="R70" i="9"/>
  <c r="Q70" i="9"/>
  <c r="P70" i="9"/>
  <c r="O70" i="9"/>
  <c r="N70" i="9"/>
  <c r="M70" i="9"/>
  <c r="L70" i="9"/>
  <c r="C70" i="9"/>
  <c r="B70" i="9"/>
  <c r="AI69" i="9"/>
  <c r="AH69" i="9"/>
  <c r="AG69" i="9"/>
  <c r="AF69" i="9"/>
  <c r="AE69" i="9"/>
  <c r="AD69" i="9"/>
  <c r="AC69" i="9"/>
  <c r="AU21" i="9" s="1"/>
  <c r="R69" i="9"/>
  <c r="Q69" i="9"/>
  <c r="P69" i="9"/>
  <c r="O69" i="9"/>
  <c r="N69" i="9"/>
  <c r="M69" i="9"/>
  <c r="L69" i="9"/>
  <c r="C69" i="9"/>
  <c r="B69" i="9"/>
  <c r="AI68" i="9"/>
  <c r="AH68" i="9"/>
  <c r="AG68" i="9"/>
  <c r="AF68" i="9"/>
  <c r="AE68" i="9"/>
  <c r="AD68" i="9"/>
  <c r="AC68" i="9"/>
  <c r="R68" i="9"/>
  <c r="Q68" i="9"/>
  <c r="P68" i="9"/>
  <c r="O68" i="9"/>
  <c r="N68" i="9"/>
  <c r="M68" i="9"/>
  <c r="L68" i="9"/>
  <c r="C68" i="9"/>
  <c r="B68" i="9"/>
  <c r="AI67" i="9"/>
  <c r="AH67" i="9"/>
  <c r="AG67" i="9"/>
  <c r="AF67" i="9"/>
  <c r="AE67" i="9"/>
  <c r="AD67" i="9"/>
  <c r="AC67" i="9"/>
  <c r="R67" i="9"/>
  <c r="Q67" i="9"/>
  <c r="P67" i="9"/>
  <c r="O67" i="9"/>
  <c r="N67" i="9"/>
  <c r="M67" i="9"/>
  <c r="L67" i="9"/>
  <c r="C67" i="9"/>
  <c r="B67" i="9"/>
  <c r="AI66" i="9"/>
  <c r="AH66" i="9"/>
  <c r="AG66" i="9"/>
  <c r="AF66" i="9"/>
  <c r="AE66" i="9"/>
  <c r="AD66" i="9"/>
  <c r="AC66" i="9"/>
  <c r="R66" i="9"/>
  <c r="Q66" i="9"/>
  <c r="P66" i="9"/>
  <c r="O66" i="9"/>
  <c r="N66" i="9"/>
  <c r="M66" i="9"/>
  <c r="L66" i="9"/>
  <c r="C66" i="9"/>
  <c r="B66" i="9"/>
  <c r="AI65" i="9"/>
  <c r="AH65" i="9"/>
  <c r="AG65" i="9"/>
  <c r="AF65" i="9"/>
  <c r="AE65" i="9"/>
  <c r="AD65" i="9"/>
  <c r="AC65" i="9"/>
  <c r="R65" i="9"/>
  <c r="Q65" i="9"/>
  <c r="P65" i="9"/>
  <c r="O65" i="9"/>
  <c r="N65" i="9"/>
  <c r="M65" i="9"/>
  <c r="L65" i="9"/>
  <c r="C65" i="9"/>
  <c r="B65" i="9"/>
  <c r="AI64" i="9"/>
  <c r="AH64" i="9"/>
  <c r="AG64" i="9"/>
  <c r="AF64" i="9"/>
  <c r="AE64" i="9"/>
  <c r="AD64" i="9"/>
  <c r="AC64" i="9"/>
  <c r="R64" i="9"/>
  <c r="Q64" i="9"/>
  <c r="P64" i="9"/>
  <c r="O64" i="9"/>
  <c r="N64" i="9"/>
  <c r="M64" i="9"/>
  <c r="L64" i="9"/>
  <c r="C64" i="9"/>
  <c r="B64" i="9"/>
  <c r="AI63" i="9"/>
  <c r="AH63" i="9"/>
  <c r="AG63" i="9"/>
  <c r="AF63" i="9"/>
  <c r="AE63" i="9"/>
  <c r="AD63" i="9"/>
  <c r="AC63" i="9"/>
  <c r="BG19" i="9"/>
  <c r="R63" i="9"/>
  <c r="Q63" i="9"/>
  <c r="P63" i="9"/>
  <c r="O63" i="9"/>
  <c r="N63" i="9"/>
  <c r="M63" i="9"/>
  <c r="L63" i="9"/>
  <c r="C63" i="9"/>
  <c r="B63" i="9"/>
  <c r="AI62" i="9"/>
  <c r="AH62" i="9"/>
  <c r="AG62" i="9"/>
  <c r="AF62" i="9"/>
  <c r="AE62" i="9"/>
  <c r="AD62" i="9"/>
  <c r="AC62" i="9"/>
  <c r="R62" i="9"/>
  <c r="Q62" i="9"/>
  <c r="P62" i="9"/>
  <c r="O62" i="9"/>
  <c r="N62" i="9"/>
  <c r="M62" i="9"/>
  <c r="L62" i="9"/>
  <c r="C62" i="9"/>
  <c r="B62" i="9"/>
  <c r="AI61" i="9"/>
  <c r="AH61" i="9"/>
  <c r="AG61" i="9"/>
  <c r="AF61" i="9"/>
  <c r="AE61" i="9"/>
  <c r="AD61" i="9"/>
  <c r="AC61" i="9"/>
  <c r="R61" i="9"/>
  <c r="Q61" i="9"/>
  <c r="P61" i="9"/>
  <c r="O61" i="9"/>
  <c r="N61" i="9"/>
  <c r="M61" i="9"/>
  <c r="L61" i="9"/>
  <c r="C61" i="9"/>
  <c r="B61" i="9"/>
  <c r="AI60" i="9"/>
  <c r="AH60" i="9"/>
  <c r="AG60" i="9"/>
  <c r="AF60" i="9"/>
  <c r="AE60" i="9"/>
  <c r="AD60" i="9"/>
  <c r="AC60" i="9"/>
  <c r="R60" i="9"/>
  <c r="Q60" i="9"/>
  <c r="P60" i="9"/>
  <c r="O60" i="9"/>
  <c r="N60" i="9"/>
  <c r="M60" i="9"/>
  <c r="L60" i="9"/>
  <c r="C60" i="9"/>
  <c r="B60" i="9"/>
  <c r="AI59" i="9"/>
  <c r="AH59" i="9"/>
  <c r="AG59" i="9"/>
  <c r="AF59" i="9"/>
  <c r="AE59" i="9"/>
  <c r="AD59" i="9"/>
  <c r="AC59" i="9"/>
  <c r="R59" i="9"/>
  <c r="Q59" i="9"/>
  <c r="P59" i="9"/>
  <c r="O59" i="9"/>
  <c r="N59" i="9"/>
  <c r="M59" i="9"/>
  <c r="L59" i="9"/>
  <c r="C59" i="9"/>
  <c r="B59" i="9"/>
  <c r="AI58" i="9"/>
  <c r="AH58" i="9"/>
  <c r="AG58" i="9"/>
  <c r="AF58" i="9"/>
  <c r="AE58" i="9"/>
  <c r="AD58" i="9"/>
  <c r="AC58" i="9"/>
  <c r="BF18" i="9"/>
  <c r="R58" i="9"/>
  <c r="Q58" i="9"/>
  <c r="P58" i="9"/>
  <c r="O58" i="9"/>
  <c r="N58" i="9"/>
  <c r="M58" i="9"/>
  <c r="L58" i="9"/>
  <c r="C58" i="9"/>
  <c r="B58" i="9"/>
  <c r="AI57" i="9"/>
  <c r="AH57" i="9"/>
  <c r="AG57" i="9"/>
  <c r="AF57" i="9"/>
  <c r="AE57" i="9"/>
  <c r="AD57" i="9"/>
  <c r="AC57" i="9"/>
  <c r="AU18" i="9" s="1"/>
  <c r="R57" i="9"/>
  <c r="Q57" i="9"/>
  <c r="P57" i="9"/>
  <c r="O57" i="9"/>
  <c r="N57" i="9"/>
  <c r="M57" i="9"/>
  <c r="L57" i="9"/>
  <c r="C57" i="9"/>
  <c r="B57" i="9"/>
  <c r="AI56" i="9"/>
  <c r="AH56" i="9"/>
  <c r="AG56" i="9"/>
  <c r="AF56" i="9"/>
  <c r="AE56" i="9"/>
  <c r="AD56" i="9"/>
  <c r="AC56" i="9"/>
  <c r="R56" i="9"/>
  <c r="Q56" i="9"/>
  <c r="P56" i="9"/>
  <c r="O56" i="9"/>
  <c r="N56" i="9"/>
  <c r="M56" i="9"/>
  <c r="L56" i="9"/>
  <c r="C56" i="9"/>
  <c r="B56" i="9"/>
  <c r="AI55" i="9"/>
  <c r="AH55" i="9"/>
  <c r="AG55" i="9"/>
  <c r="AF55" i="9"/>
  <c r="AE55" i="9"/>
  <c r="AD55" i="9"/>
  <c r="AC55" i="9"/>
  <c r="R55" i="9"/>
  <c r="Q55" i="9"/>
  <c r="P55" i="9"/>
  <c r="O55" i="9"/>
  <c r="N55" i="9"/>
  <c r="M55" i="9"/>
  <c r="L55" i="9"/>
  <c r="C55" i="9"/>
  <c r="B55" i="9"/>
  <c r="AI54" i="9"/>
  <c r="AH54" i="9"/>
  <c r="AG54" i="9"/>
  <c r="AF54" i="9"/>
  <c r="AE54" i="9"/>
  <c r="AD54" i="9"/>
  <c r="AC54" i="9"/>
  <c r="R54" i="9"/>
  <c r="Q54" i="9"/>
  <c r="P54" i="9"/>
  <c r="O54" i="9"/>
  <c r="N54" i="9"/>
  <c r="M54" i="9"/>
  <c r="L54" i="9"/>
  <c r="C54" i="9"/>
  <c r="B54" i="9"/>
  <c r="AI53" i="9"/>
  <c r="AH53" i="9"/>
  <c r="AG53" i="9"/>
  <c r="AF53" i="9"/>
  <c r="AE53" i="9"/>
  <c r="AD53" i="9"/>
  <c r="AC53" i="9"/>
  <c r="AM17" i="9"/>
  <c r="R53" i="9"/>
  <c r="Q53" i="9"/>
  <c r="P53" i="9"/>
  <c r="O53" i="9"/>
  <c r="N53" i="9"/>
  <c r="M53" i="9"/>
  <c r="L53" i="9"/>
  <c r="C53" i="9"/>
  <c r="B53" i="9"/>
  <c r="AI52" i="9"/>
  <c r="AH52" i="9"/>
  <c r="AG52" i="9"/>
  <c r="AF52" i="9"/>
  <c r="AE52" i="9"/>
  <c r="AD52" i="9"/>
  <c r="AC52" i="9"/>
  <c r="DL16" i="9" s="1"/>
  <c r="R52" i="9"/>
  <c r="Q52" i="9"/>
  <c r="P52" i="9"/>
  <c r="O52" i="9"/>
  <c r="N52" i="9"/>
  <c r="M52" i="9"/>
  <c r="L52" i="9"/>
  <c r="C52" i="9"/>
  <c r="B52" i="9"/>
  <c r="AI51" i="9"/>
  <c r="AH51" i="9"/>
  <c r="AG51" i="9"/>
  <c r="AF51" i="9"/>
  <c r="AE51" i="9"/>
  <c r="AD51" i="9"/>
  <c r="AC51" i="9"/>
  <c r="R51" i="9"/>
  <c r="Q51" i="9"/>
  <c r="P51" i="9"/>
  <c r="O51" i="9"/>
  <c r="N51" i="9"/>
  <c r="M51" i="9"/>
  <c r="L51" i="9"/>
  <c r="C51" i="9"/>
  <c r="B51" i="9"/>
  <c r="AI50" i="9"/>
  <c r="AH50" i="9"/>
  <c r="AG50" i="9"/>
  <c r="AF50" i="9"/>
  <c r="AE50" i="9"/>
  <c r="AD50" i="9"/>
  <c r="AC50" i="9"/>
  <c r="R50" i="9"/>
  <c r="Q50" i="9"/>
  <c r="P50" i="9"/>
  <c r="O50" i="9"/>
  <c r="N50" i="9"/>
  <c r="M50" i="9"/>
  <c r="L50" i="9"/>
  <c r="C50" i="9"/>
  <c r="B50" i="9"/>
  <c r="AI49" i="9"/>
  <c r="AH49" i="9"/>
  <c r="AG49" i="9"/>
  <c r="AF49" i="9"/>
  <c r="AE49" i="9"/>
  <c r="AD49" i="9"/>
  <c r="AC49" i="9"/>
  <c r="R49" i="9"/>
  <c r="Q49" i="9"/>
  <c r="P49" i="9"/>
  <c r="O49" i="9"/>
  <c r="N49" i="9"/>
  <c r="M49" i="9"/>
  <c r="L49" i="9"/>
  <c r="C49" i="9"/>
  <c r="B49" i="9"/>
  <c r="AI48" i="9"/>
  <c r="AH48" i="9"/>
  <c r="AG48" i="9"/>
  <c r="AF48" i="9"/>
  <c r="AE48" i="9"/>
  <c r="AD48" i="9"/>
  <c r="AC48" i="9"/>
  <c r="R48" i="9"/>
  <c r="Q48" i="9"/>
  <c r="P48" i="9"/>
  <c r="O48" i="9"/>
  <c r="N48" i="9"/>
  <c r="M48" i="9"/>
  <c r="L48" i="9"/>
  <c r="C48" i="9"/>
  <c r="B48" i="9"/>
  <c r="AI47" i="9"/>
  <c r="AH47" i="9"/>
  <c r="AG47" i="9"/>
  <c r="AF47" i="9"/>
  <c r="AE47" i="9"/>
  <c r="AD47" i="9"/>
  <c r="AC47" i="9"/>
  <c r="DK15" i="9" s="1"/>
  <c r="R47" i="9"/>
  <c r="Q47" i="9"/>
  <c r="P47" i="9"/>
  <c r="O47" i="9"/>
  <c r="N47" i="9"/>
  <c r="M47" i="9"/>
  <c r="L47" i="9"/>
  <c r="C47" i="9"/>
  <c r="B47" i="9"/>
  <c r="AI46" i="9"/>
  <c r="AH46" i="9"/>
  <c r="AG46" i="9"/>
  <c r="AF46" i="9"/>
  <c r="AE46" i="9"/>
  <c r="AD46" i="9"/>
  <c r="AC46" i="9"/>
  <c r="R46" i="9"/>
  <c r="Q46" i="9"/>
  <c r="P46" i="9"/>
  <c r="O46" i="9"/>
  <c r="N46" i="9"/>
  <c r="M46" i="9"/>
  <c r="L46" i="9"/>
  <c r="C46" i="9"/>
  <c r="B46" i="9"/>
  <c r="AI45" i="9"/>
  <c r="AH45" i="9"/>
  <c r="AG45" i="9"/>
  <c r="AF45" i="9"/>
  <c r="AE45" i="9"/>
  <c r="AD45" i="9"/>
  <c r="AC45" i="9"/>
  <c r="R45" i="9"/>
  <c r="Q45" i="9"/>
  <c r="P45" i="9"/>
  <c r="O45" i="9"/>
  <c r="N45" i="9"/>
  <c r="M45" i="9"/>
  <c r="L45" i="9"/>
  <c r="C45" i="9"/>
  <c r="B45" i="9"/>
  <c r="AI44" i="9"/>
  <c r="AH44" i="9"/>
  <c r="AG44" i="9"/>
  <c r="AF44" i="9"/>
  <c r="AE44" i="9"/>
  <c r="AD44" i="9"/>
  <c r="AC44" i="9"/>
  <c r="R44" i="9"/>
  <c r="Q44" i="9"/>
  <c r="P44" i="9"/>
  <c r="O44" i="9"/>
  <c r="N44" i="9"/>
  <c r="M44" i="9"/>
  <c r="L44" i="9"/>
  <c r="C44" i="9"/>
  <c r="B44" i="9"/>
  <c r="AI43" i="9"/>
  <c r="AH43" i="9"/>
  <c r="AG43" i="9"/>
  <c r="AF43" i="9"/>
  <c r="AE43" i="9"/>
  <c r="AD43" i="9"/>
  <c r="AC43" i="9"/>
  <c r="R43" i="9"/>
  <c r="Q43" i="9"/>
  <c r="P43" i="9"/>
  <c r="O43" i="9"/>
  <c r="N43" i="9"/>
  <c r="M43" i="9"/>
  <c r="L43" i="9"/>
  <c r="C43" i="9"/>
  <c r="B43" i="9"/>
  <c r="AI42" i="9"/>
  <c r="AH42" i="9"/>
  <c r="AG42" i="9"/>
  <c r="AF42" i="9"/>
  <c r="AE42" i="9"/>
  <c r="AD42" i="9"/>
  <c r="AC42" i="9"/>
  <c r="DJ14" i="9" s="1"/>
  <c r="R42" i="9"/>
  <c r="Q42" i="9"/>
  <c r="P42" i="9"/>
  <c r="O42" i="9"/>
  <c r="N42" i="9"/>
  <c r="M42" i="9"/>
  <c r="L42" i="9"/>
  <c r="C42" i="9"/>
  <c r="B42" i="9"/>
  <c r="AI41" i="9"/>
  <c r="AH41" i="9"/>
  <c r="AG41" i="9"/>
  <c r="AF41" i="9"/>
  <c r="AE41" i="9"/>
  <c r="AD41" i="9"/>
  <c r="AC41" i="9"/>
  <c r="R41" i="9"/>
  <c r="Q41" i="9"/>
  <c r="P41" i="9"/>
  <c r="O41" i="9"/>
  <c r="N41" i="9"/>
  <c r="M41" i="9"/>
  <c r="L41" i="9"/>
  <c r="AT14" i="9"/>
  <c r="C41" i="9"/>
  <c r="B41" i="9"/>
  <c r="FE40" i="9"/>
  <c r="EW40" i="9"/>
  <c r="EO40" i="9"/>
  <c r="EG40" i="9"/>
  <c r="DY40" i="9"/>
  <c r="DQ40" i="9"/>
  <c r="DI40" i="9"/>
  <c r="DA40" i="9"/>
  <c r="CK40" i="9"/>
  <c r="CC40" i="9"/>
  <c r="BU40" i="9"/>
  <c r="BM40" i="9"/>
  <c r="BA40" i="9"/>
  <c r="AZ40" i="9"/>
  <c r="AY40" i="9"/>
  <c r="AX40" i="9"/>
  <c r="AW40" i="9"/>
  <c r="AV40" i="9"/>
  <c r="AR40" i="9"/>
  <c r="AQ40" i="9"/>
  <c r="AP40" i="9"/>
  <c r="AO40" i="9"/>
  <c r="AN40" i="9"/>
  <c r="AI40" i="9"/>
  <c r="AH40" i="9"/>
  <c r="AG40" i="9"/>
  <c r="AF40" i="9"/>
  <c r="AE40" i="9"/>
  <c r="AD40" i="9"/>
  <c r="AC40" i="9"/>
  <c r="R40" i="9"/>
  <c r="Q40" i="9"/>
  <c r="P40" i="9"/>
  <c r="O40" i="9"/>
  <c r="N40" i="9"/>
  <c r="M40" i="9"/>
  <c r="L40" i="9"/>
  <c r="C40" i="9"/>
  <c r="B40" i="9"/>
  <c r="FH39" i="9"/>
  <c r="FG39" i="9"/>
  <c r="FF39" i="9"/>
  <c r="FE39" i="9"/>
  <c r="EZ39" i="9"/>
  <c r="EY39" i="9"/>
  <c r="EX39" i="9"/>
  <c r="EW39" i="9"/>
  <c r="ER39" i="9"/>
  <c r="EQ39" i="9"/>
  <c r="EP39" i="9"/>
  <c r="EO39" i="9"/>
  <c r="EJ39" i="9"/>
  <c r="EI39" i="9"/>
  <c r="EH39" i="9"/>
  <c r="EG39" i="9"/>
  <c r="EB39" i="9"/>
  <c r="EA39" i="9"/>
  <c r="DZ39" i="9"/>
  <c r="DY39" i="9"/>
  <c r="DT39" i="9"/>
  <c r="DS39" i="9"/>
  <c r="DR39" i="9"/>
  <c r="DQ39" i="9"/>
  <c r="DD39" i="9"/>
  <c r="DC39" i="9"/>
  <c r="DB39" i="9"/>
  <c r="DA39" i="9"/>
  <c r="CT39" i="9"/>
  <c r="CN39" i="9"/>
  <c r="CM39" i="9"/>
  <c r="CL39" i="9"/>
  <c r="CK39" i="9"/>
  <c r="CF39" i="9"/>
  <c r="CE39" i="9"/>
  <c r="CD39" i="9"/>
  <c r="CC39" i="9"/>
  <c r="BX39" i="9"/>
  <c r="BW39" i="9"/>
  <c r="BV39" i="9"/>
  <c r="BU39" i="9"/>
  <c r="BP39" i="9"/>
  <c r="BO39" i="9"/>
  <c r="BN39" i="9"/>
  <c r="BM39" i="9"/>
  <c r="BA39" i="9"/>
  <c r="AZ39" i="9"/>
  <c r="AY39" i="9"/>
  <c r="AX39" i="9"/>
  <c r="AW39" i="9"/>
  <c r="AV39" i="9"/>
  <c r="AS39" i="9"/>
  <c r="AR39" i="9"/>
  <c r="AQ39" i="9"/>
  <c r="AP39" i="9"/>
  <c r="AO39" i="9"/>
  <c r="AN39" i="9"/>
  <c r="AI39" i="9"/>
  <c r="AH39" i="9"/>
  <c r="AG39" i="9"/>
  <c r="AF39" i="9"/>
  <c r="AE39" i="9"/>
  <c r="AD39" i="9"/>
  <c r="AC39" i="9"/>
  <c r="R39" i="9"/>
  <c r="Q39" i="9"/>
  <c r="P39" i="9"/>
  <c r="O39" i="9"/>
  <c r="N39" i="9"/>
  <c r="M39" i="9"/>
  <c r="L39" i="9"/>
  <c r="C39" i="9"/>
  <c r="B39" i="9"/>
  <c r="FH38" i="9"/>
  <c r="FG38" i="9"/>
  <c r="FF38" i="9"/>
  <c r="FE38" i="9"/>
  <c r="EZ38" i="9"/>
  <c r="EY38" i="9"/>
  <c r="EX38" i="9"/>
  <c r="EW38" i="9"/>
  <c r="ER38" i="9"/>
  <c r="EQ38" i="9"/>
  <c r="EP38" i="9"/>
  <c r="EO38" i="9"/>
  <c r="EJ38" i="9"/>
  <c r="EI38" i="9"/>
  <c r="EH38" i="9"/>
  <c r="EG38" i="9"/>
  <c r="EB38" i="9"/>
  <c r="EA38" i="9"/>
  <c r="DZ38" i="9"/>
  <c r="DY38" i="9"/>
  <c r="DT38" i="9"/>
  <c r="DS38" i="9"/>
  <c r="DR38" i="9"/>
  <c r="DQ38" i="9"/>
  <c r="DJ38" i="9"/>
  <c r="DD38" i="9"/>
  <c r="DC38" i="9"/>
  <c r="DB38" i="9"/>
  <c r="DA38" i="9"/>
  <c r="CN38" i="9"/>
  <c r="CM38" i="9"/>
  <c r="CL38" i="9"/>
  <c r="CK38" i="9"/>
  <c r="CF38" i="9"/>
  <c r="CE38" i="9"/>
  <c r="CD38" i="9"/>
  <c r="CC38" i="9"/>
  <c r="BX38" i="9"/>
  <c r="BW38" i="9"/>
  <c r="BV38" i="9"/>
  <c r="BU38" i="9"/>
  <c r="BP38" i="9"/>
  <c r="BO38" i="9"/>
  <c r="BN38" i="9"/>
  <c r="BM38" i="9"/>
  <c r="BA38" i="9"/>
  <c r="AZ38" i="9"/>
  <c r="AY38" i="9"/>
  <c r="AX38" i="9"/>
  <c r="AW38" i="9"/>
  <c r="AV38" i="9"/>
  <c r="AR38" i="9"/>
  <c r="AQ38" i="9"/>
  <c r="AP38" i="9"/>
  <c r="AO38" i="9"/>
  <c r="AN38" i="9"/>
  <c r="AI38" i="9"/>
  <c r="AH38" i="9"/>
  <c r="AG38" i="9"/>
  <c r="AF38" i="9"/>
  <c r="AE38" i="9"/>
  <c r="AD38" i="9"/>
  <c r="AC38" i="9"/>
  <c r="R38" i="9"/>
  <c r="Q38" i="9"/>
  <c r="P38" i="9"/>
  <c r="O38" i="9"/>
  <c r="N38" i="9"/>
  <c r="M38" i="9"/>
  <c r="L38" i="9"/>
  <c r="C38" i="9"/>
  <c r="B38" i="9"/>
  <c r="FH37" i="9"/>
  <c r="FG37" i="9"/>
  <c r="FF37" i="9"/>
  <c r="FE37" i="9"/>
  <c r="EZ37" i="9"/>
  <c r="EY37" i="9"/>
  <c r="EX37" i="9"/>
  <c r="EW37" i="9"/>
  <c r="ER37" i="9"/>
  <c r="EQ37" i="9"/>
  <c r="EP37" i="9"/>
  <c r="EO37" i="9"/>
  <c r="EJ37" i="9"/>
  <c r="EI37" i="9"/>
  <c r="EH37" i="9"/>
  <c r="EG37" i="9"/>
  <c r="EB37" i="9"/>
  <c r="EA37" i="9"/>
  <c r="DZ37" i="9"/>
  <c r="DY37" i="9"/>
  <c r="DT37" i="9"/>
  <c r="DS37" i="9"/>
  <c r="DR37" i="9"/>
  <c r="DQ37" i="9"/>
  <c r="DD37" i="9"/>
  <c r="DC37" i="9"/>
  <c r="DB37" i="9"/>
  <c r="DA37" i="9"/>
  <c r="CU37" i="9"/>
  <c r="CN37" i="9"/>
  <c r="CM37" i="9"/>
  <c r="CL37" i="9"/>
  <c r="CK37" i="9"/>
  <c r="CF37" i="9"/>
  <c r="CE37" i="9"/>
  <c r="CD37" i="9"/>
  <c r="CC37" i="9"/>
  <c r="BX37" i="9"/>
  <c r="BW37" i="9"/>
  <c r="BV37" i="9"/>
  <c r="BU37" i="9"/>
  <c r="BP37" i="9"/>
  <c r="BO37" i="9"/>
  <c r="BN37" i="9"/>
  <c r="BM37" i="9"/>
  <c r="BA37" i="9"/>
  <c r="AZ37" i="9"/>
  <c r="AY37" i="9"/>
  <c r="AX37" i="9"/>
  <c r="AW37" i="9"/>
  <c r="AV37" i="9"/>
  <c r="AR37" i="9"/>
  <c r="AQ37" i="9"/>
  <c r="AP37" i="9"/>
  <c r="AO37" i="9"/>
  <c r="AN37" i="9"/>
  <c r="AI37" i="9"/>
  <c r="AH37" i="9"/>
  <c r="AG37" i="9"/>
  <c r="AF37" i="9"/>
  <c r="AE37" i="9"/>
  <c r="AD37" i="9"/>
  <c r="AC37" i="9"/>
  <c r="R37" i="9"/>
  <c r="Q37" i="9"/>
  <c r="P37" i="9"/>
  <c r="O37" i="9"/>
  <c r="N37" i="9"/>
  <c r="M37" i="9"/>
  <c r="AV13" i="9" s="1"/>
  <c r="L37" i="9"/>
  <c r="AN13" i="9"/>
  <c r="C37" i="9"/>
  <c r="B37" i="9"/>
  <c r="FH36" i="9"/>
  <c r="FG36" i="9"/>
  <c r="FF36" i="9"/>
  <c r="FE36" i="9"/>
  <c r="EZ36" i="9"/>
  <c r="EY36" i="9"/>
  <c r="EX36" i="9"/>
  <c r="EW36" i="9"/>
  <c r="ER36" i="9"/>
  <c r="EQ36" i="9"/>
  <c r="EP36" i="9"/>
  <c r="EO36" i="9"/>
  <c r="EJ36" i="9"/>
  <c r="EI36" i="9"/>
  <c r="EH36" i="9"/>
  <c r="EG36" i="9"/>
  <c r="EB36" i="9"/>
  <c r="EA36" i="9"/>
  <c r="DZ36" i="9"/>
  <c r="DY36" i="9"/>
  <c r="DT36" i="9"/>
  <c r="DS36" i="9"/>
  <c r="DR36" i="9"/>
  <c r="DQ36" i="9"/>
  <c r="DD36" i="9"/>
  <c r="DC36" i="9"/>
  <c r="DB36" i="9"/>
  <c r="DA36" i="9"/>
  <c r="CN36" i="9"/>
  <c r="CM36" i="9"/>
  <c r="CL36" i="9"/>
  <c r="CK36" i="9"/>
  <c r="CF36" i="9"/>
  <c r="CE36" i="9"/>
  <c r="CD36" i="9"/>
  <c r="CC36" i="9"/>
  <c r="BX36" i="9"/>
  <c r="BW36" i="9"/>
  <c r="BV36" i="9"/>
  <c r="BU36" i="9"/>
  <c r="BP36" i="9"/>
  <c r="BO36" i="9"/>
  <c r="BN36" i="9"/>
  <c r="BM36" i="9"/>
  <c r="BA36" i="9"/>
  <c r="AZ36" i="9"/>
  <c r="AY36" i="9"/>
  <c r="AX36" i="9"/>
  <c r="AW36" i="9"/>
  <c r="AV36" i="9"/>
  <c r="AR36" i="9"/>
  <c r="AQ36" i="9"/>
  <c r="AP36" i="9"/>
  <c r="AO36" i="9"/>
  <c r="AN36" i="9"/>
  <c r="AI36" i="9"/>
  <c r="AH36" i="9"/>
  <c r="AG36" i="9"/>
  <c r="AF36" i="9"/>
  <c r="AE36" i="9"/>
  <c r="AD36" i="9"/>
  <c r="AC36" i="9"/>
  <c r="R36" i="9"/>
  <c r="Q36" i="9"/>
  <c r="P36" i="9"/>
  <c r="O36" i="9"/>
  <c r="N36" i="9"/>
  <c r="M36" i="9"/>
  <c r="L36" i="9"/>
  <c r="C36" i="9"/>
  <c r="B36" i="9"/>
  <c r="FH35" i="9"/>
  <c r="FG35" i="9"/>
  <c r="FF35" i="9"/>
  <c r="FE35" i="9"/>
  <c r="EZ35" i="9"/>
  <c r="EY35" i="9"/>
  <c r="EX35" i="9"/>
  <c r="EW35" i="9"/>
  <c r="ER35" i="9"/>
  <c r="EQ35" i="9"/>
  <c r="EP35" i="9"/>
  <c r="EO35" i="9"/>
  <c r="EJ35" i="9"/>
  <c r="EI35" i="9"/>
  <c r="EH35" i="9"/>
  <c r="EG35" i="9"/>
  <c r="EB35" i="9"/>
  <c r="EA35" i="9"/>
  <c r="DZ35" i="9"/>
  <c r="DY35" i="9"/>
  <c r="DT35" i="9"/>
  <c r="DS35" i="9"/>
  <c r="DR35" i="9"/>
  <c r="DQ35" i="9"/>
  <c r="DD35" i="9"/>
  <c r="DC35" i="9"/>
  <c r="DB35" i="9"/>
  <c r="DA35" i="9"/>
  <c r="CV35" i="9"/>
  <c r="CN35" i="9"/>
  <c r="CM35" i="9"/>
  <c r="CL35" i="9"/>
  <c r="CK35" i="9"/>
  <c r="CF35" i="9"/>
  <c r="CE35" i="9"/>
  <c r="CD35" i="9"/>
  <c r="CC35" i="9"/>
  <c r="BX35" i="9"/>
  <c r="BW35" i="9"/>
  <c r="BV35" i="9"/>
  <c r="BU35" i="9"/>
  <c r="BP35" i="9"/>
  <c r="BO35" i="9"/>
  <c r="BN35" i="9"/>
  <c r="BM35" i="9"/>
  <c r="BA35" i="9"/>
  <c r="AZ35" i="9"/>
  <c r="AY35" i="9"/>
  <c r="AX35" i="9"/>
  <c r="AW35" i="9"/>
  <c r="AV35" i="9"/>
  <c r="AR35" i="9"/>
  <c r="AQ35" i="9"/>
  <c r="AP35" i="9"/>
  <c r="AO35" i="9"/>
  <c r="AN35" i="9"/>
  <c r="AI35" i="9"/>
  <c r="AH35" i="9"/>
  <c r="AG35" i="9"/>
  <c r="AF35" i="9"/>
  <c r="AE35" i="9"/>
  <c r="AD35" i="9"/>
  <c r="AC35" i="9"/>
  <c r="R35" i="9"/>
  <c r="Q35" i="9"/>
  <c r="P35" i="9"/>
  <c r="O35" i="9"/>
  <c r="N35" i="9"/>
  <c r="M35" i="9"/>
  <c r="L35" i="9"/>
  <c r="C35" i="9"/>
  <c r="B35" i="9"/>
  <c r="FH34" i="9"/>
  <c r="FG34" i="9"/>
  <c r="FF34" i="9"/>
  <c r="FE34" i="9"/>
  <c r="EZ34" i="9"/>
  <c r="EY34" i="9"/>
  <c r="EX34" i="9"/>
  <c r="EW34" i="9"/>
  <c r="ER34" i="9"/>
  <c r="EQ34" i="9"/>
  <c r="EP34" i="9"/>
  <c r="EO34" i="9"/>
  <c r="EJ34" i="9"/>
  <c r="EI34" i="9"/>
  <c r="EH34" i="9"/>
  <c r="EG34" i="9"/>
  <c r="EB34" i="9"/>
  <c r="EA34" i="9"/>
  <c r="DZ34" i="9"/>
  <c r="DY34" i="9"/>
  <c r="DT34" i="9"/>
  <c r="DS34" i="9"/>
  <c r="DR34" i="9"/>
  <c r="DQ34" i="9"/>
  <c r="DD34" i="9"/>
  <c r="DD3" i="9" s="1"/>
  <c r="DC34" i="9"/>
  <c r="DB34" i="9"/>
  <c r="DA34" i="9"/>
  <c r="CN34" i="9"/>
  <c r="CN3" i="9" s="1"/>
  <c r="CM34" i="9"/>
  <c r="CL34" i="9"/>
  <c r="CK34" i="9"/>
  <c r="CF34" i="9"/>
  <c r="CE34" i="9"/>
  <c r="CD34" i="9"/>
  <c r="CC34" i="9"/>
  <c r="BX34" i="9"/>
  <c r="BX3" i="9" s="1"/>
  <c r="BW34" i="9"/>
  <c r="BV34" i="9"/>
  <c r="BU34" i="9"/>
  <c r="BP34" i="9"/>
  <c r="BO34" i="9"/>
  <c r="BN34" i="9"/>
  <c r="BM34" i="9"/>
  <c r="BA34" i="9"/>
  <c r="AZ34" i="9"/>
  <c r="AY34" i="9"/>
  <c r="AX34" i="9"/>
  <c r="AW34" i="9"/>
  <c r="AV34" i="9"/>
  <c r="AR34" i="9"/>
  <c r="AQ34" i="9"/>
  <c r="AP34" i="9"/>
  <c r="AO34" i="9"/>
  <c r="AN34" i="9"/>
  <c r="AI34" i="9"/>
  <c r="AH34" i="9"/>
  <c r="AG34" i="9"/>
  <c r="AF34" i="9"/>
  <c r="AE34" i="9"/>
  <c r="AD34" i="9"/>
  <c r="AC34" i="9"/>
  <c r="R34" i="9"/>
  <c r="Q34" i="9"/>
  <c r="P34" i="9"/>
  <c r="O34" i="9"/>
  <c r="N34" i="9"/>
  <c r="M34" i="9"/>
  <c r="L34" i="9"/>
  <c r="C34" i="9"/>
  <c r="B34" i="9"/>
  <c r="FH33" i="9"/>
  <c r="FG33" i="9"/>
  <c r="FF33" i="9"/>
  <c r="FE33" i="9"/>
  <c r="EZ33" i="9"/>
  <c r="EY33" i="9"/>
  <c r="EX33" i="9"/>
  <c r="EW33" i="9"/>
  <c r="ER33" i="9"/>
  <c r="EQ33" i="9"/>
  <c r="EP33" i="9"/>
  <c r="EO33" i="9"/>
  <c r="EJ33" i="9"/>
  <c r="EI33" i="9"/>
  <c r="EH33" i="9"/>
  <c r="EG33" i="9"/>
  <c r="EB33" i="9"/>
  <c r="EA33" i="9"/>
  <c r="DZ33" i="9"/>
  <c r="DY33" i="9"/>
  <c r="DT33" i="9"/>
  <c r="DS33" i="9"/>
  <c r="DR33" i="9"/>
  <c r="DQ33" i="9"/>
  <c r="DD33" i="9"/>
  <c r="DC33" i="9"/>
  <c r="DB33" i="9"/>
  <c r="DA33" i="9"/>
  <c r="CV33" i="9"/>
  <c r="CN33" i="9"/>
  <c r="CM33" i="9"/>
  <c r="CL33" i="9"/>
  <c r="CK33" i="9"/>
  <c r="CF33" i="9"/>
  <c r="CF3" i="9" s="1"/>
  <c r="CE33" i="9"/>
  <c r="CD33" i="9"/>
  <c r="CC33" i="9"/>
  <c r="BX33" i="9"/>
  <c r="BW33" i="9"/>
  <c r="BV33" i="9"/>
  <c r="BU33" i="9"/>
  <c r="BP33" i="9"/>
  <c r="BP3" i="9" s="1"/>
  <c r="BO33" i="9"/>
  <c r="BN33" i="9"/>
  <c r="BM33" i="9"/>
  <c r="BA33" i="9"/>
  <c r="AZ33" i="9"/>
  <c r="AY33" i="9"/>
  <c r="AX33" i="9"/>
  <c r="AW33" i="9"/>
  <c r="AV33" i="9"/>
  <c r="AR33" i="9"/>
  <c r="AQ33" i="9"/>
  <c r="AP33" i="9"/>
  <c r="AO33" i="9"/>
  <c r="AN33" i="9"/>
  <c r="AI33" i="9"/>
  <c r="AH33" i="9"/>
  <c r="AG33" i="9"/>
  <c r="AF33" i="9"/>
  <c r="AE33" i="9"/>
  <c r="AD33" i="9"/>
  <c r="AC33" i="9"/>
  <c r="R33" i="9"/>
  <c r="Q33" i="9"/>
  <c r="AZ12" i="9" s="1"/>
  <c r="P33" i="9"/>
  <c r="O33" i="9"/>
  <c r="N33" i="9"/>
  <c r="M33" i="9"/>
  <c r="L33" i="9"/>
  <c r="AR12" i="9"/>
  <c r="C33" i="9"/>
  <c r="B33" i="9"/>
  <c r="FH32" i="9"/>
  <c r="FG32" i="9"/>
  <c r="FF32" i="9"/>
  <c r="FE32" i="9"/>
  <c r="EZ32" i="9"/>
  <c r="EY32" i="9"/>
  <c r="EX32" i="9"/>
  <c r="EW32" i="9"/>
  <c r="ER32" i="9"/>
  <c r="EQ32" i="9"/>
  <c r="EP32" i="9"/>
  <c r="EO32" i="9"/>
  <c r="EJ32" i="9"/>
  <c r="EI32" i="9"/>
  <c r="EH32" i="9"/>
  <c r="EG32" i="9"/>
  <c r="EB32" i="9"/>
  <c r="EA32" i="9"/>
  <c r="DZ32" i="9"/>
  <c r="DY32" i="9"/>
  <c r="DT32" i="9"/>
  <c r="DS32" i="9"/>
  <c r="DR32" i="9"/>
  <c r="DQ32" i="9"/>
  <c r="DD32" i="9"/>
  <c r="DC32" i="9"/>
  <c r="DB32" i="9"/>
  <c r="DA32" i="9"/>
  <c r="CS32" i="9"/>
  <c r="CN32" i="9"/>
  <c r="CM32" i="9"/>
  <c r="CL32" i="9"/>
  <c r="CK32" i="9"/>
  <c r="CF32" i="9"/>
  <c r="CE32" i="9"/>
  <c r="CD32" i="9"/>
  <c r="CC32" i="9"/>
  <c r="BX32" i="9"/>
  <c r="BW32" i="9"/>
  <c r="BV32" i="9"/>
  <c r="BU32" i="9"/>
  <c r="BP32" i="9"/>
  <c r="BO32" i="9"/>
  <c r="BN32" i="9"/>
  <c r="BM32" i="9"/>
  <c r="BA32" i="9"/>
  <c r="AZ32" i="9"/>
  <c r="AY32" i="9"/>
  <c r="AX32" i="9"/>
  <c r="AW32" i="9"/>
  <c r="AV32" i="9"/>
  <c r="AR32" i="9"/>
  <c r="AQ32" i="9"/>
  <c r="AP32" i="9"/>
  <c r="AO32" i="9"/>
  <c r="AN32" i="9"/>
  <c r="AI32" i="9"/>
  <c r="AH32" i="9"/>
  <c r="AG32" i="9"/>
  <c r="AF32" i="9"/>
  <c r="AE32" i="9"/>
  <c r="AD32" i="9"/>
  <c r="AC32" i="9"/>
  <c r="R32" i="9"/>
  <c r="Q32" i="9"/>
  <c r="P32" i="9"/>
  <c r="O32" i="9"/>
  <c r="N32" i="9"/>
  <c r="M32" i="9"/>
  <c r="L32" i="9"/>
  <c r="C32" i="9"/>
  <c r="B32" i="9"/>
  <c r="FH31" i="9"/>
  <c r="FG31" i="9"/>
  <c r="FF31" i="9"/>
  <c r="FE31" i="9"/>
  <c r="EZ31" i="9"/>
  <c r="EY31" i="9"/>
  <c r="EX31" i="9"/>
  <c r="EW31" i="9"/>
  <c r="ER31" i="9"/>
  <c r="EQ31" i="9"/>
  <c r="EP31" i="9"/>
  <c r="EO31" i="9"/>
  <c r="EJ31" i="9"/>
  <c r="EI31" i="9"/>
  <c r="EH31" i="9"/>
  <c r="EG31" i="9"/>
  <c r="EB31" i="9"/>
  <c r="EA31" i="9"/>
  <c r="DZ31" i="9"/>
  <c r="DY31" i="9"/>
  <c r="DT31" i="9"/>
  <c r="DS31" i="9"/>
  <c r="DR31" i="9"/>
  <c r="DQ31" i="9"/>
  <c r="DD31" i="9"/>
  <c r="DC31" i="9"/>
  <c r="DB31" i="9"/>
  <c r="DA31" i="9"/>
  <c r="DA3" i="9" s="1"/>
  <c r="CN31" i="9"/>
  <c r="CM31" i="9"/>
  <c r="CL31" i="9"/>
  <c r="CK31" i="9"/>
  <c r="CK3" i="9" s="1"/>
  <c r="CF31" i="9"/>
  <c r="CE31" i="9"/>
  <c r="CD31" i="9"/>
  <c r="CC31" i="9"/>
  <c r="BX31" i="9"/>
  <c r="BW31" i="9"/>
  <c r="BV31" i="9"/>
  <c r="BU31" i="9"/>
  <c r="BP31" i="9"/>
  <c r="BO31" i="9"/>
  <c r="BN31" i="9"/>
  <c r="BM31" i="9"/>
  <c r="BA31" i="9"/>
  <c r="AZ31" i="9"/>
  <c r="AY31" i="9"/>
  <c r="AX31" i="9"/>
  <c r="AW31" i="9"/>
  <c r="AV31" i="9"/>
  <c r="AR31" i="9"/>
  <c r="AQ31" i="9"/>
  <c r="AP31" i="9"/>
  <c r="AO31" i="9"/>
  <c r="AN31" i="9"/>
  <c r="AI31" i="9"/>
  <c r="AH31" i="9"/>
  <c r="AG31" i="9"/>
  <c r="AF31" i="9"/>
  <c r="AE31" i="9"/>
  <c r="AD31" i="9"/>
  <c r="AC31" i="9"/>
  <c r="R31" i="9"/>
  <c r="Q31" i="9"/>
  <c r="P31" i="9"/>
  <c r="O31" i="9"/>
  <c r="N31" i="9"/>
  <c r="M31" i="9"/>
  <c r="L31" i="9"/>
  <c r="C31" i="9"/>
  <c r="B31" i="9"/>
  <c r="FH30" i="9"/>
  <c r="FG30" i="9"/>
  <c r="FF30" i="9"/>
  <c r="FF3" i="9" s="1"/>
  <c r="FE30" i="9"/>
  <c r="EZ30" i="9"/>
  <c r="EY30" i="9"/>
  <c r="EX30" i="9"/>
  <c r="EW30" i="9"/>
  <c r="ER30" i="9"/>
  <c r="EQ30" i="9"/>
  <c r="EP30" i="9"/>
  <c r="EP3" i="9" s="1"/>
  <c r="EO30" i="9"/>
  <c r="EJ30" i="9"/>
  <c r="EI30" i="9"/>
  <c r="EH30" i="9"/>
  <c r="EG30" i="9"/>
  <c r="EB30" i="9"/>
  <c r="EA30" i="9"/>
  <c r="DZ30" i="9"/>
  <c r="DZ3" i="9" s="1"/>
  <c r="DY30" i="9"/>
  <c r="DT30" i="9"/>
  <c r="DS30" i="9"/>
  <c r="DR30" i="9"/>
  <c r="DQ30" i="9"/>
  <c r="DD30" i="9"/>
  <c r="DC30" i="9"/>
  <c r="DB30" i="9"/>
  <c r="DA30" i="9"/>
  <c r="CS30" i="9"/>
  <c r="CN30" i="9"/>
  <c r="CM30" i="9"/>
  <c r="CL30" i="9"/>
  <c r="CK30" i="9"/>
  <c r="CF30" i="9"/>
  <c r="CE30" i="9"/>
  <c r="CD30" i="9"/>
  <c r="CC30" i="9"/>
  <c r="BX30" i="9"/>
  <c r="BW30" i="9"/>
  <c r="BV30" i="9"/>
  <c r="BU30" i="9"/>
  <c r="BP30" i="9"/>
  <c r="BO30" i="9"/>
  <c r="BN30" i="9"/>
  <c r="BM30" i="9"/>
  <c r="BM3" i="9" s="1"/>
  <c r="BA30" i="9"/>
  <c r="AZ30" i="9"/>
  <c r="AY30" i="9"/>
  <c r="AX30" i="9"/>
  <c r="AW30" i="9"/>
  <c r="AV30" i="9"/>
  <c r="AR30" i="9"/>
  <c r="AQ30" i="9"/>
  <c r="AP30" i="9"/>
  <c r="AO30" i="9"/>
  <c r="AN30" i="9"/>
  <c r="AI30" i="9"/>
  <c r="AH30" i="9"/>
  <c r="AG30" i="9"/>
  <c r="AF30" i="9"/>
  <c r="AE30" i="9"/>
  <c r="AD30" i="9"/>
  <c r="AC30" i="9"/>
  <c r="R30" i="9"/>
  <c r="Q30" i="9"/>
  <c r="P30" i="9"/>
  <c r="O30" i="9"/>
  <c r="N30" i="9"/>
  <c r="M30" i="9"/>
  <c r="L30" i="9"/>
  <c r="C30" i="9"/>
  <c r="B30" i="9"/>
  <c r="FH29" i="9"/>
  <c r="FG29" i="9"/>
  <c r="FF29" i="9"/>
  <c r="FE29" i="9"/>
  <c r="EZ29" i="9"/>
  <c r="EY29" i="9"/>
  <c r="EX29" i="9"/>
  <c r="EW29" i="9"/>
  <c r="ER29" i="9"/>
  <c r="EQ29" i="9"/>
  <c r="EP29" i="9"/>
  <c r="EO29" i="9"/>
  <c r="EJ29" i="9"/>
  <c r="EI29" i="9"/>
  <c r="EH29" i="9"/>
  <c r="EG29" i="9"/>
  <c r="EB29" i="9"/>
  <c r="EA29" i="9"/>
  <c r="DZ29" i="9"/>
  <c r="DY29" i="9"/>
  <c r="DT29" i="9"/>
  <c r="DS29" i="9"/>
  <c r="DR29" i="9"/>
  <c r="DQ29" i="9"/>
  <c r="DI29" i="9"/>
  <c r="DD29" i="9"/>
  <c r="DC29" i="9"/>
  <c r="DB29" i="9"/>
  <c r="DA29" i="9"/>
  <c r="CN29" i="9"/>
  <c r="CM29" i="9"/>
  <c r="CL29" i="9"/>
  <c r="CK29" i="9"/>
  <c r="CF29" i="9"/>
  <c r="CE29" i="9"/>
  <c r="CD29" i="9"/>
  <c r="CC29" i="9"/>
  <c r="BX29" i="9"/>
  <c r="BW29" i="9"/>
  <c r="BV29" i="9"/>
  <c r="BU29" i="9"/>
  <c r="BP29" i="9"/>
  <c r="BO29" i="9"/>
  <c r="BN29" i="9"/>
  <c r="BM29" i="9"/>
  <c r="BA29" i="9"/>
  <c r="AZ29" i="9"/>
  <c r="AY29" i="9"/>
  <c r="AX29" i="9"/>
  <c r="AW29" i="9"/>
  <c r="AV29" i="9"/>
  <c r="AR29" i="9"/>
  <c r="AQ29" i="9"/>
  <c r="AP29" i="9"/>
  <c r="AO29" i="9"/>
  <c r="AN29" i="9"/>
  <c r="AI29" i="9"/>
  <c r="AH29" i="9"/>
  <c r="AG29" i="9"/>
  <c r="AF29" i="9"/>
  <c r="AE29" i="9"/>
  <c r="AD29" i="9"/>
  <c r="AC29" i="9"/>
  <c r="R29" i="9"/>
  <c r="Q29" i="9"/>
  <c r="P29" i="9"/>
  <c r="O29" i="9"/>
  <c r="N29" i="9"/>
  <c r="M29" i="9"/>
  <c r="L29" i="9"/>
  <c r="C29" i="9"/>
  <c r="B29" i="9"/>
  <c r="FH28" i="9"/>
  <c r="FG28" i="9"/>
  <c r="FF28" i="9"/>
  <c r="FE28" i="9"/>
  <c r="EZ28" i="9"/>
  <c r="EY28" i="9"/>
  <c r="EX28" i="9"/>
  <c r="EW28" i="9"/>
  <c r="ER28" i="9"/>
  <c r="EQ28" i="9"/>
  <c r="EP28" i="9"/>
  <c r="EO28" i="9"/>
  <c r="EJ28" i="9"/>
  <c r="EI28" i="9"/>
  <c r="EH28" i="9"/>
  <c r="EG28" i="9"/>
  <c r="EB28" i="9"/>
  <c r="EA28" i="9"/>
  <c r="DZ28" i="9"/>
  <c r="DY28" i="9"/>
  <c r="DT28" i="9"/>
  <c r="DS28" i="9"/>
  <c r="DR28" i="9"/>
  <c r="DQ28" i="9"/>
  <c r="DD28" i="9"/>
  <c r="DC28" i="9"/>
  <c r="DB28" i="9"/>
  <c r="DA28" i="9"/>
  <c r="CT28" i="9"/>
  <c r="CN28" i="9"/>
  <c r="CM28" i="9"/>
  <c r="CL28" i="9"/>
  <c r="CK28" i="9"/>
  <c r="CF28" i="9"/>
  <c r="CE28" i="9"/>
  <c r="CD28" i="9"/>
  <c r="CC28" i="9"/>
  <c r="BX28" i="9"/>
  <c r="BW28" i="9"/>
  <c r="BV28" i="9"/>
  <c r="BU28" i="9"/>
  <c r="BP28" i="9"/>
  <c r="BO28" i="9"/>
  <c r="BN28" i="9"/>
  <c r="BM28" i="9"/>
  <c r="BA28" i="9"/>
  <c r="AZ28" i="9"/>
  <c r="AY28" i="9"/>
  <c r="AX28" i="9"/>
  <c r="AW28" i="9"/>
  <c r="AV28" i="9"/>
  <c r="AS28" i="9"/>
  <c r="AR28" i="9"/>
  <c r="AQ28" i="9"/>
  <c r="AP28" i="9"/>
  <c r="AO28" i="9"/>
  <c r="AN28" i="9"/>
  <c r="AI28" i="9"/>
  <c r="AH28" i="9"/>
  <c r="AG28" i="9"/>
  <c r="AF28" i="9"/>
  <c r="AE28" i="9"/>
  <c r="AD28" i="9"/>
  <c r="DT10" i="9" s="1"/>
  <c r="AC28" i="9"/>
  <c r="R28" i="9"/>
  <c r="Q28" i="9"/>
  <c r="P28" i="9"/>
  <c r="O28" i="9"/>
  <c r="N28" i="9"/>
  <c r="M28" i="9"/>
  <c r="L28" i="9"/>
  <c r="C28" i="9"/>
  <c r="B28" i="9"/>
  <c r="FH27" i="9"/>
  <c r="FG27" i="9"/>
  <c r="FF27" i="9"/>
  <c r="FE27" i="9"/>
  <c r="EZ27" i="9"/>
  <c r="EY27" i="9"/>
  <c r="EX27" i="9"/>
  <c r="EW27" i="9"/>
  <c r="ER27" i="9"/>
  <c r="EQ27" i="9"/>
  <c r="EP27" i="9"/>
  <c r="EO27" i="9"/>
  <c r="EJ27" i="9"/>
  <c r="EI27" i="9"/>
  <c r="EH27" i="9"/>
  <c r="EG27" i="9"/>
  <c r="EB27" i="9"/>
  <c r="EA27" i="9"/>
  <c r="DZ27" i="9"/>
  <c r="DY27" i="9"/>
  <c r="DT27" i="9"/>
  <c r="DS27" i="9"/>
  <c r="DR27" i="9"/>
  <c r="DQ27" i="9"/>
  <c r="DD27" i="9"/>
  <c r="DC27" i="9"/>
  <c r="DB27" i="9"/>
  <c r="DA27" i="9"/>
  <c r="CN27" i="9"/>
  <c r="CM27" i="9"/>
  <c r="CL27" i="9"/>
  <c r="CK27" i="9"/>
  <c r="CF27" i="9"/>
  <c r="CE27" i="9"/>
  <c r="CD27" i="9"/>
  <c r="CC27" i="9"/>
  <c r="BX27" i="9"/>
  <c r="BW27" i="9"/>
  <c r="BV27" i="9"/>
  <c r="BU27" i="9"/>
  <c r="BP27" i="9"/>
  <c r="BO27" i="9"/>
  <c r="BN27" i="9"/>
  <c r="BM27" i="9"/>
  <c r="BA27" i="9"/>
  <c r="AZ27" i="9"/>
  <c r="AY27" i="9"/>
  <c r="AX27" i="9"/>
  <c r="AW27" i="9"/>
  <c r="AV27" i="9"/>
  <c r="AR27" i="9"/>
  <c r="AQ27" i="9"/>
  <c r="AP27" i="9"/>
  <c r="AO27" i="9"/>
  <c r="AN27" i="9"/>
  <c r="AI27" i="9"/>
  <c r="AH27" i="9"/>
  <c r="AG27" i="9"/>
  <c r="AF27" i="9"/>
  <c r="AE27" i="9"/>
  <c r="AD27" i="9"/>
  <c r="AC27" i="9"/>
  <c r="R27" i="9"/>
  <c r="Q27" i="9"/>
  <c r="P27" i="9"/>
  <c r="O27" i="9"/>
  <c r="N27" i="9"/>
  <c r="M27" i="9"/>
  <c r="L27" i="9"/>
  <c r="C27" i="9"/>
  <c r="B27" i="9"/>
  <c r="FH26" i="9"/>
  <c r="FG26" i="9"/>
  <c r="FF26" i="9"/>
  <c r="FE26" i="9"/>
  <c r="EZ26" i="9"/>
  <c r="EY26" i="9"/>
  <c r="EX26" i="9"/>
  <c r="EW26" i="9"/>
  <c r="ER26" i="9"/>
  <c r="EQ26" i="9"/>
  <c r="EP26" i="9"/>
  <c r="EO26" i="9"/>
  <c r="EJ26" i="9"/>
  <c r="EI26" i="9"/>
  <c r="EH26" i="9"/>
  <c r="EG26" i="9"/>
  <c r="EB26" i="9"/>
  <c r="EA26" i="9"/>
  <c r="DZ26" i="9"/>
  <c r="DY26" i="9"/>
  <c r="DT26" i="9"/>
  <c r="DS26" i="9"/>
  <c r="DR26" i="9"/>
  <c r="DQ26" i="9"/>
  <c r="DD26" i="9"/>
  <c r="DC26" i="9"/>
  <c r="DB26" i="9"/>
  <c r="DA26" i="9"/>
  <c r="CT26" i="9"/>
  <c r="CN26" i="9"/>
  <c r="CM26" i="9"/>
  <c r="CL26" i="9"/>
  <c r="CK26" i="9"/>
  <c r="CF26" i="9"/>
  <c r="CE26" i="9"/>
  <c r="CD26" i="9"/>
  <c r="CC26" i="9"/>
  <c r="BX26" i="9"/>
  <c r="BW26" i="9"/>
  <c r="BV26" i="9"/>
  <c r="BU26" i="9"/>
  <c r="BP26" i="9"/>
  <c r="BO26" i="9"/>
  <c r="BN26" i="9"/>
  <c r="BM26" i="9"/>
  <c r="BA26" i="9"/>
  <c r="AZ26" i="9"/>
  <c r="AY26" i="9"/>
  <c r="AX26" i="9"/>
  <c r="AW26" i="9"/>
  <c r="AV26" i="9"/>
  <c r="AS26" i="9"/>
  <c r="AR26" i="9"/>
  <c r="AQ26" i="9"/>
  <c r="AP26" i="9"/>
  <c r="AO26" i="9"/>
  <c r="AN26" i="9"/>
  <c r="AI26" i="9"/>
  <c r="AH26" i="9"/>
  <c r="AG26" i="9"/>
  <c r="AF26" i="9"/>
  <c r="AE26" i="9"/>
  <c r="AD26" i="9"/>
  <c r="AC26" i="9"/>
  <c r="R26" i="9"/>
  <c r="Q26" i="9"/>
  <c r="P26" i="9"/>
  <c r="O26" i="9"/>
  <c r="N26" i="9"/>
  <c r="M26" i="9"/>
  <c r="L26" i="9"/>
  <c r="C26" i="9"/>
  <c r="B26" i="9"/>
  <c r="FH25" i="9"/>
  <c r="FG25" i="9"/>
  <c r="FF25" i="9"/>
  <c r="FE25" i="9"/>
  <c r="EZ25" i="9"/>
  <c r="EY25" i="9"/>
  <c r="EX25" i="9"/>
  <c r="EW25" i="9"/>
  <c r="ER25" i="9"/>
  <c r="EQ25" i="9"/>
  <c r="EP25" i="9"/>
  <c r="EO25" i="9"/>
  <c r="EJ25" i="9"/>
  <c r="EI25" i="9"/>
  <c r="EH25" i="9"/>
  <c r="EG25" i="9"/>
  <c r="EB25" i="9"/>
  <c r="EA25" i="9"/>
  <c r="DZ25" i="9"/>
  <c r="DY25" i="9"/>
  <c r="DT25" i="9"/>
  <c r="DS25" i="9"/>
  <c r="DR25" i="9"/>
  <c r="DQ25" i="9"/>
  <c r="DD25" i="9"/>
  <c r="DC25" i="9"/>
  <c r="DB25" i="9"/>
  <c r="DB3" i="9" s="1"/>
  <c r="DA25" i="9"/>
  <c r="CN25" i="9"/>
  <c r="CM25" i="9"/>
  <c r="CL25" i="9"/>
  <c r="CL3" i="9" s="1"/>
  <c r="CK25" i="9"/>
  <c r="CF25" i="9"/>
  <c r="CE25" i="9"/>
  <c r="CD25" i="9"/>
  <c r="CC25" i="9"/>
  <c r="BX25" i="9"/>
  <c r="BW25" i="9"/>
  <c r="BV25" i="9"/>
  <c r="BV3" i="9" s="1"/>
  <c r="BU25" i="9"/>
  <c r="BP25" i="9"/>
  <c r="BO25" i="9"/>
  <c r="BN25" i="9"/>
  <c r="BM25" i="9"/>
  <c r="BA25" i="9"/>
  <c r="AZ25" i="9"/>
  <c r="AY25" i="9"/>
  <c r="AX25" i="9"/>
  <c r="AW25" i="9"/>
  <c r="AV25" i="9"/>
  <c r="AR25" i="9"/>
  <c r="AQ25" i="9"/>
  <c r="AP25" i="9"/>
  <c r="AO25" i="9"/>
  <c r="AN25" i="9"/>
  <c r="AI25" i="9"/>
  <c r="AH25" i="9"/>
  <c r="AG25" i="9"/>
  <c r="AF25" i="9"/>
  <c r="AE25" i="9"/>
  <c r="AD25" i="9"/>
  <c r="AC25" i="9"/>
  <c r="R25" i="9"/>
  <c r="Q25" i="9"/>
  <c r="AZ10" i="9" s="1"/>
  <c r="P25" i="9"/>
  <c r="O25" i="9"/>
  <c r="N25" i="9"/>
  <c r="M25" i="9"/>
  <c r="L25" i="9"/>
  <c r="AR10" i="9"/>
  <c r="C25" i="9"/>
  <c r="B25" i="9"/>
  <c r="FH24" i="9"/>
  <c r="FG24" i="9"/>
  <c r="FF24" i="9"/>
  <c r="FE24" i="9"/>
  <c r="EZ24" i="9"/>
  <c r="EY24" i="9"/>
  <c r="EX24" i="9"/>
  <c r="EW24" i="9"/>
  <c r="ER24" i="9"/>
  <c r="EQ24" i="9"/>
  <c r="EP24" i="9"/>
  <c r="EO24" i="9"/>
  <c r="EJ24" i="9"/>
  <c r="EI24" i="9"/>
  <c r="EH24" i="9"/>
  <c r="EG24" i="9"/>
  <c r="EB24" i="9"/>
  <c r="EA24" i="9"/>
  <c r="DZ24" i="9"/>
  <c r="DY24" i="9"/>
  <c r="DT24" i="9"/>
  <c r="DS24" i="9"/>
  <c r="DR24" i="9"/>
  <c r="DQ24" i="9"/>
  <c r="DD24" i="9"/>
  <c r="DC24" i="9"/>
  <c r="DB24" i="9"/>
  <c r="DA24" i="9"/>
  <c r="CU24" i="9"/>
  <c r="CN24" i="9"/>
  <c r="CM24" i="9"/>
  <c r="CL24" i="9"/>
  <c r="CK24" i="9"/>
  <c r="CF24" i="9"/>
  <c r="CE24" i="9"/>
  <c r="CD24" i="9"/>
  <c r="CC24" i="9"/>
  <c r="BX24" i="9"/>
  <c r="BW24" i="9"/>
  <c r="BV24" i="9"/>
  <c r="BU24" i="9"/>
  <c r="BP24" i="9"/>
  <c r="BO24" i="9"/>
  <c r="BN24" i="9"/>
  <c r="BM24" i="9"/>
  <c r="BA24" i="9"/>
  <c r="AZ24" i="9"/>
  <c r="AY24" i="9"/>
  <c r="AX24" i="9"/>
  <c r="AW24" i="9"/>
  <c r="AV24" i="9"/>
  <c r="AR24" i="9"/>
  <c r="AQ24" i="9"/>
  <c r="AP24" i="9"/>
  <c r="AO24" i="9"/>
  <c r="AN24" i="9"/>
  <c r="AI24" i="9"/>
  <c r="AH24" i="9"/>
  <c r="AG24" i="9"/>
  <c r="AF24" i="9"/>
  <c r="AE24" i="9"/>
  <c r="AD24" i="9"/>
  <c r="AC24" i="9"/>
  <c r="R24" i="9"/>
  <c r="Q24" i="9"/>
  <c r="P24" i="9"/>
  <c r="O24" i="9"/>
  <c r="N24" i="9"/>
  <c r="M24" i="9"/>
  <c r="L24" i="9"/>
  <c r="C24" i="9"/>
  <c r="B24" i="9"/>
  <c r="FH23" i="9"/>
  <c r="FG23" i="9"/>
  <c r="FF23" i="9"/>
  <c r="FE23" i="9"/>
  <c r="EZ23" i="9"/>
  <c r="EY23" i="9"/>
  <c r="EX23" i="9"/>
  <c r="EW23" i="9"/>
  <c r="ER23" i="9"/>
  <c r="EQ23" i="9"/>
  <c r="EP23" i="9"/>
  <c r="EO23" i="9"/>
  <c r="EJ23" i="9"/>
  <c r="EI23" i="9"/>
  <c r="EH23" i="9"/>
  <c r="EG23" i="9"/>
  <c r="EB23" i="9"/>
  <c r="EA23" i="9"/>
  <c r="DZ23" i="9"/>
  <c r="DY23" i="9"/>
  <c r="DT23" i="9"/>
  <c r="DS23" i="9"/>
  <c r="DR23" i="9"/>
  <c r="DQ23" i="9"/>
  <c r="DD23" i="9"/>
  <c r="DC23" i="9"/>
  <c r="DB23" i="9"/>
  <c r="DA23" i="9"/>
  <c r="CN23" i="9"/>
  <c r="CM23" i="9"/>
  <c r="CL23" i="9"/>
  <c r="CK23" i="9"/>
  <c r="CF23" i="9"/>
  <c r="CE23" i="9"/>
  <c r="CD23" i="9"/>
  <c r="CC23" i="9"/>
  <c r="BX23" i="9"/>
  <c r="BW23" i="9"/>
  <c r="BV23" i="9"/>
  <c r="BU23" i="9"/>
  <c r="BP23" i="9"/>
  <c r="BO23" i="9"/>
  <c r="BN23" i="9"/>
  <c r="BM23" i="9"/>
  <c r="BA23" i="9"/>
  <c r="AZ23" i="9"/>
  <c r="AY23" i="9"/>
  <c r="AX23" i="9"/>
  <c r="AW23" i="9"/>
  <c r="AV23" i="9"/>
  <c r="AR23" i="9"/>
  <c r="AQ23" i="9"/>
  <c r="AP23" i="9"/>
  <c r="AO23" i="9"/>
  <c r="AN23" i="9"/>
  <c r="AI23" i="9"/>
  <c r="AH23" i="9"/>
  <c r="AG23" i="9"/>
  <c r="AF23" i="9"/>
  <c r="AE23" i="9"/>
  <c r="AD23" i="9"/>
  <c r="AC23" i="9"/>
  <c r="CL10" i="9"/>
  <c r="R23" i="9"/>
  <c r="Q23" i="9"/>
  <c r="P23" i="9"/>
  <c r="O23" i="9"/>
  <c r="N23" i="9"/>
  <c r="M23" i="9"/>
  <c r="L23" i="9"/>
  <c r="C23" i="9"/>
  <c r="B23" i="9"/>
  <c r="FH22" i="9"/>
  <c r="FG22" i="9"/>
  <c r="FF22" i="9"/>
  <c r="FE22" i="9"/>
  <c r="EZ22" i="9"/>
  <c r="EY22" i="9"/>
  <c r="EX22" i="9"/>
  <c r="EW22" i="9"/>
  <c r="ER22" i="9"/>
  <c r="EQ22" i="9"/>
  <c r="EP22" i="9"/>
  <c r="EO22" i="9"/>
  <c r="EJ22" i="9"/>
  <c r="EI22" i="9"/>
  <c r="EH22" i="9"/>
  <c r="EG22" i="9"/>
  <c r="EB22" i="9"/>
  <c r="EA22" i="9"/>
  <c r="DZ22" i="9"/>
  <c r="DY22" i="9"/>
  <c r="DT22" i="9"/>
  <c r="DS22" i="9"/>
  <c r="DR22" i="9"/>
  <c r="DQ22" i="9"/>
  <c r="DD22" i="9"/>
  <c r="DC22" i="9"/>
  <c r="DB22" i="9"/>
  <c r="DA22" i="9"/>
  <c r="CV22" i="9"/>
  <c r="CN22" i="9"/>
  <c r="CM22" i="9"/>
  <c r="CL22" i="9"/>
  <c r="CK22" i="9"/>
  <c r="CF22" i="9"/>
  <c r="CE22" i="9"/>
  <c r="CD22" i="9"/>
  <c r="CC22" i="9"/>
  <c r="BX22" i="9"/>
  <c r="BW22" i="9"/>
  <c r="BV22" i="9"/>
  <c r="BU22" i="9"/>
  <c r="BP22" i="9"/>
  <c r="BO22" i="9"/>
  <c r="BN22" i="9"/>
  <c r="BM22" i="9"/>
  <c r="BA22" i="9"/>
  <c r="AZ22" i="9"/>
  <c r="AY22" i="9"/>
  <c r="AX22" i="9"/>
  <c r="AW22" i="9"/>
  <c r="AV22" i="9"/>
  <c r="AR22" i="9"/>
  <c r="AQ22" i="9"/>
  <c r="AP22" i="9"/>
  <c r="AO22" i="9"/>
  <c r="AN22" i="9"/>
  <c r="AI22" i="9"/>
  <c r="AH22" i="9"/>
  <c r="AG22" i="9"/>
  <c r="AF22" i="9"/>
  <c r="AE22" i="9"/>
  <c r="AD22" i="9"/>
  <c r="AC22" i="9"/>
  <c r="R22" i="9"/>
  <c r="Q22" i="9"/>
  <c r="P22" i="9"/>
  <c r="O22" i="9"/>
  <c r="N22" i="9"/>
  <c r="M22" i="9"/>
  <c r="L22" i="9"/>
  <c r="C22" i="9"/>
  <c r="B22" i="9"/>
  <c r="FH21" i="9"/>
  <c r="FG21" i="9"/>
  <c r="FF21" i="9"/>
  <c r="FE21" i="9"/>
  <c r="EZ21" i="9"/>
  <c r="EY21" i="9"/>
  <c r="EX21" i="9"/>
  <c r="EW21" i="9"/>
  <c r="ER21" i="9"/>
  <c r="EQ21" i="9"/>
  <c r="EP21" i="9"/>
  <c r="EO21" i="9"/>
  <c r="EJ21" i="9"/>
  <c r="EI21" i="9"/>
  <c r="EH21" i="9"/>
  <c r="EG21" i="9"/>
  <c r="EB21" i="9"/>
  <c r="EA21" i="9"/>
  <c r="DZ21" i="9"/>
  <c r="DY21" i="9"/>
  <c r="DT21" i="9"/>
  <c r="DS21" i="9"/>
  <c r="DR21" i="9"/>
  <c r="DQ21" i="9"/>
  <c r="DD21" i="9"/>
  <c r="DC21" i="9"/>
  <c r="DB21" i="9"/>
  <c r="DA21" i="9"/>
  <c r="CN21" i="9"/>
  <c r="CM21" i="9"/>
  <c r="CL21" i="9"/>
  <c r="CK21" i="9"/>
  <c r="CF21" i="9"/>
  <c r="CE21" i="9"/>
  <c r="CD21" i="9"/>
  <c r="CC21" i="9"/>
  <c r="BX21" i="9"/>
  <c r="BW21" i="9"/>
  <c r="BV21" i="9"/>
  <c r="BU21" i="9"/>
  <c r="BP21" i="9"/>
  <c r="BO21" i="9"/>
  <c r="BN21" i="9"/>
  <c r="BM21" i="9"/>
  <c r="BA21" i="9"/>
  <c r="AZ21" i="9"/>
  <c r="AY21" i="9"/>
  <c r="AX21" i="9"/>
  <c r="AW21" i="9"/>
  <c r="AV21" i="9"/>
  <c r="AR21" i="9"/>
  <c r="AQ21" i="9"/>
  <c r="AP21" i="9"/>
  <c r="AO21" i="9"/>
  <c r="AN21" i="9"/>
  <c r="AI21" i="9"/>
  <c r="AH21" i="9"/>
  <c r="AG21" i="9"/>
  <c r="AF21" i="9"/>
  <c r="AE21" i="9"/>
  <c r="AD21" i="9"/>
  <c r="AC21" i="9"/>
  <c r="R21" i="9"/>
  <c r="Q21" i="9"/>
  <c r="P21" i="9"/>
  <c r="O21" i="9"/>
  <c r="N21" i="9"/>
  <c r="M21" i="9"/>
  <c r="AV9" i="9" s="1"/>
  <c r="L21" i="9"/>
  <c r="AN9" i="9"/>
  <c r="C21" i="9"/>
  <c r="B21" i="9"/>
  <c r="FH20" i="9"/>
  <c r="FG20" i="9"/>
  <c r="FF20" i="9"/>
  <c r="FE20" i="9"/>
  <c r="EZ20" i="9"/>
  <c r="EY20" i="9"/>
  <c r="EX20" i="9"/>
  <c r="EW20" i="9"/>
  <c r="ER20" i="9"/>
  <c r="EQ20" i="9"/>
  <c r="EP20" i="9"/>
  <c r="EO20" i="9"/>
  <c r="EJ20" i="9"/>
  <c r="EI20" i="9"/>
  <c r="EH20" i="9"/>
  <c r="EG20" i="9"/>
  <c r="EB20" i="9"/>
  <c r="EA20" i="9"/>
  <c r="DZ20" i="9"/>
  <c r="DY20" i="9"/>
  <c r="DT20" i="9"/>
  <c r="DS20" i="9"/>
  <c r="DR20" i="9"/>
  <c r="DQ20" i="9"/>
  <c r="DD20" i="9"/>
  <c r="DC20" i="9"/>
  <c r="DB20" i="9"/>
  <c r="DA20" i="9"/>
  <c r="CN20" i="9"/>
  <c r="CM20" i="9"/>
  <c r="CL20" i="9"/>
  <c r="CK20" i="9"/>
  <c r="CF20" i="9"/>
  <c r="CE20" i="9"/>
  <c r="CD20" i="9"/>
  <c r="CC20" i="9"/>
  <c r="BX20" i="9"/>
  <c r="BW20" i="9"/>
  <c r="BV20" i="9"/>
  <c r="BU20" i="9"/>
  <c r="BP20" i="9"/>
  <c r="BO20" i="9"/>
  <c r="BN20" i="9"/>
  <c r="BM20" i="9"/>
  <c r="BH20" i="9"/>
  <c r="BA20" i="9"/>
  <c r="AZ20" i="9"/>
  <c r="AY20" i="9"/>
  <c r="AX20" i="9"/>
  <c r="AW20" i="9"/>
  <c r="AV20" i="9"/>
  <c r="AR20" i="9"/>
  <c r="AQ20" i="9"/>
  <c r="AP20" i="9"/>
  <c r="AO20" i="9"/>
  <c r="AN20" i="9"/>
  <c r="AI20" i="9"/>
  <c r="AH20" i="9"/>
  <c r="AG20" i="9"/>
  <c r="AF20" i="9"/>
  <c r="AE20" i="9"/>
  <c r="AD20" i="9"/>
  <c r="AC20" i="9"/>
  <c r="R20" i="9"/>
  <c r="Q20" i="9"/>
  <c r="P20" i="9"/>
  <c r="O20" i="9"/>
  <c r="N20" i="9"/>
  <c r="M20" i="9"/>
  <c r="L20" i="9"/>
  <c r="C20" i="9"/>
  <c r="B20" i="9"/>
  <c r="FH19" i="9"/>
  <c r="FG19" i="9"/>
  <c r="FF19" i="9"/>
  <c r="FE19" i="9"/>
  <c r="EZ19" i="9"/>
  <c r="EY19" i="9"/>
  <c r="EX19" i="9"/>
  <c r="EW19" i="9"/>
  <c r="ER19" i="9"/>
  <c r="EQ19" i="9"/>
  <c r="EP19" i="9"/>
  <c r="EO19" i="9"/>
  <c r="EJ19" i="9"/>
  <c r="EI19" i="9"/>
  <c r="EH19" i="9"/>
  <c r="EG19" i="9"/>
  <c r="EB19" i="9"/>
  <c r="EA19" i="9"/>
  <c r="DZ19" i="9"/>
  <c r="DY19" i="9"/>
  <c r="DT19" i="9"/>
  <c r="DS19" i="9"/>
  <c r="DR19" i="9"/>
  <c r="DQ19" i="9"/>
  <c r="DD19" i="9"/>
  <c r="DC19" i="9"/>
  <c r="DB19" i="9"/>
  <c r="DA19" i="9"/>
  <c r="CT19" i="9"/>
  <c r="CN19" i="9"/>
  <c r="CM19" i="9"/>
  <c r="CL19" i="9"/>
  <c r="CK19" i="9"/>
  <c r="CF19" i="9"/>
  <c r="CE19" i="9"/>
  <c r="CD19" i="9"/>
  <c r="CC19" i="9"/>
  <c r="BX19" i="9"/>
  <c r="BW19" i="9"/>
  <c r="BV19" i="9"/>
  <c r="BU19" i="9"/>
  <c r="BP19" i="9"/>
  <c r="BO19" i="9"/>
  <c r="BN19" i="9"/>
  <c r="BM19" i="9"/>
  <c r="BA19" i="9"/>
  <c r="AZ19" i="9"/>
  <c r="AY19" i="9"/>
  <c r="AX19" i="9"/>
  <c r="AW19" i="9"/>
  <c r="AV19" i="9"/>
  <c r="AS19" i="9"/>
  <c r="AR19" i="9"/>
  <c r="AQ19" i="9"/>
  <c r="AP19" i="9"/>
  <c r="AO19" i="9"/>
  <c r="AN19" i="9"/>
  <c r="AI19" i="9"/>
  <c r="AH19" i="9"/>
  <c r="AG19" i="9"/>
  <c r="AF19" i="9"/>
  <c r="AE19" i="9"/>
  <c r="AD19" i="9"/>
  <c r="AC19" i="9"/>
  <c r="DJ9" i="9" s="1"/>
  <c r="R19" i="9"/>
  <c r="Q19" i="9"/>
  <c r="P19" i="9"/>
  <c r="O19" i="9"/>
  <c r="N19" i="9"/>
  <c r="M19" i="9"/>
  <c r="L19" i="9"/>
  <c r="C19" i="9"/>
  <c r="B19" i="9"/>
  <c r="FH18" i="9"/>
  <c r="FG18" i="9"/>
  <c r="FF18" i="9"/>
  <c r="FE18" i="9"/>
  <c r="EZ18" i="9"/>
  <c r="EY18" i="9"/>
  <c r="EX18" i="9"/>
  <c r="EW18" i="9"/>
  <c r="ER18" i="9"/>
  <c r="EQ18" i="9"/>
  <c r="EP18" i="9"/>
  <c r="EO18" i="9"/>
  <c r="EJ18" i="9"/>
  <c r="EI18" i="9"/>
  <c r="EH18" i="9"/>
  <c r="EG18" i="9"/>
  <c r="EB18" i="9"/>
  <c r="EA18" i="9"/>
  <c r="DZ18" i="9"/>
  <c r="DY18" i="9"/>
  <c r="DT18" i="9"/>
  <c r="DS18" i="9"/>
  <c r="DR18" i="9"/>
  <c r="DQ18" i="9"/>
  <c r="DD18" i="9"/>
  <c r="DC18" i="9"/>
  <c r="DB18" i="9"/>
  <c r="DA18" i="9"/>
  <c r="CN18" i="9"/>
  <c r="CM18" i="9"/>
  <c r="CL18" i="9"/>
  <c r="CK18" i="9"/>
  <c r="CF18" i="9"/>
  <c r="CE18" i="9"/>
  <c r="CD18" i="9"/>
  <c r="CC18" i="9"/>
  <c r="BX18" i="9"/>
  <c r="BW18" i="9"/>
  <c r="BV18" i="9"/>
  <c r="BU18" i="9"/>
  <c r="BP18" i="9"/>
  <c r="BO18" i="9"/>
  <c r="BN18" i="9"/>
  <c r="BM18" i="9"/>
  <c r="BA18" i="9"/>
  <c r="AZ18" i="9"/>
  <c r="AY18" i="9"/>
  <c r="AX18" i="9"/>
  <c r="AW18" i="9"/>
  <c r="AV18" i="9"/>
  <c r="AR18" i="9"/>
  <c r="AQ18" i="9"/>
  <c r="AP18" i="9"/>
  <c r="AO18" i="9"/>
  <c r="AN18" i="9"/>
  <c r="AM18" i="9"/>
  <c r="AI18" i="9"/>
  <c r="AH18" i="9"/>
  <c r="AG18" i="9"/>
  <c r="AF18" i="9"/>
  <c r="AE18" i="9"/>
  <c r="AD18" i="9"/>
  <c r="AC18" i="9"/>
  <c r="R18" i="9"/>
  <c r="Q18" i="9"/>
  <c r="P18" i="9"/>
  <c r="O18" i="9"/>
  <c r="N18" i="9"/>
  <c r="M18" i="9"/>
  <c r="L18" i="9"/>
  <c r="C18" i="9"/>
  <c r="B18" i="9"/>
  <c r="FH17" i="9"/>
  <c r="FG17" i="9"/>
  <c r="FF17" i="9"/>
  <c r="FE17" i="9"/>
  <c r="EZ17" i="9"/>
  <c r="EY17" i="9"/>
  <c r="EX17" i="9"/>
  <c r="EW17" i="9"/>
  <c r="ER17" i="9"/>
  <c r="EQ17" i="9"/>
  <c r="EP17" i="9"/>
  <c r="EO17" i="9"/>
  <c r="EJ17" i="9"/>
  <c r="EI17" i="9"/>
  <c r="EH17" i="9"/>
  <c r="EG17" i="9"/>
  <c r="EB17" i="9"/>
  <c r="EA17" i="9"/>
  <c r="DZ17" i="9"/>
  <c r="DY17" i="9"/>
  <c r="DT17" i="9"/>
  <c r="DS17" i="9"/>
  <c r="DR17" i="9"/>
  <c r="DQ17" i="9"/>
  <c r="DD17" i="9"/>
  <c r="DC17" i="9"/>
  <c r="DB17" i="9"/>
  <c r="DA17" i="9"/>
  <c r="CU17" i="9"/>
  <c r="CN17" i="9"/>
  <c r="CM17" i="9"/>
  <c r="CL17" i="9"/>
  <c r="CK17" i="9"/>
  <c r="CF17" i="9"/>
  <c r="CE17" i="9"/>
  <c r="CD17" i="9"/>
  <c r="CC17" i="9"/>
  <c r="BX17" i="9"/>
  <c r="BW17" i="9"/>
  <c r="BV17" i="9"/>
  <c r="BU17" i="9"/>
  <c r="BP17" i="9"/>
  <c r="BO17" i="9"/>
  <c r="BN17" i="9"/>
  <c r="BM17" i="9"/>
  <c r="BA17" i="9"/>
  <c r="AZ17" i="9"/>
  <c r="AY17" i="9"/>
  <c r="AX17" i="9"/>
  <c r="AW17" i="9"/>
  <c r="AV17" i="9"/>
  <c r="AR17" i="9"/>
  <c r="AQ17" i="9"/>
  <c r="AP17" i="9"/>
  <c r="AO17" i="9"/>
  <c r="AN17" i="9"/>
  <c r="AI17" i="9"/>
  <c r="FE8" i="9" s="1"/>
  <c r="AH17" i="9"/>
  <c r="AG17" i="9"/>
  <c r="AF17" i="9"/>
  <c r="AE17" i="9"/>
  <c r="AD17" i="9"/>
  <c r="AC17" i="9"/>
  <c r="R17" i="9"/>
  <c r="Q17" i="9"/>
  <c r="P17" i="9"/>
  <c r="O17" i="9"/>
  <c r="N17" i="9"/>
  <c r="M17" i="9"/>
  <c r="L17" i="9"/>
  <c r="C17" i="9"/>
  <c r="B17" i="9"/>
  <c r="FH16" i="9"/>
  <c r="FG16" i="9"/>
  <c r="FF16" i="9"/>
  <c r="FE16" i="9"/>
  <c r="EZ16" i="9"/>
  <c r="EY16" i="9"/>
  <c r="EX16" i="9"/>
  <c r="EW16" i="9"/>
  <c r="ER16" i="9"/>
  <c r="EQ16" i="9"/>
  <c r="EP16" i="9"/>
  <c r="EO16" i="9"/>
  <c r="EJ16" i="9"/>
  <c r="EI16" i="9"/>
  <c r="EH16" i="9"/>
  <c r="EG16" i="9"/>
  <c r="EB16" i="9"/>
  <c r="EA16" i="9"/>
  <c r="DZ16" i="9"/>
  <c r="DY16" i="9"/>
  <c r="DT16" i="9"/>
  <c r="DS16" i="9"/>
  <c r="DR16" i="9"/>
  <c r="DQ16" i="9"/>
  <c r="DD16" i="9"/>
  <c r="DC16" i="9"/>
  <c r="DB16" i="9"/>
  <c r="DA16" i="9"/>
  <c r="CN16" i="9"/>
  <c r="CM16" i="9"/>
  <c r="CL16" i="9"/>
  <c r="CK16" i="9"/>
  <c r="CF16" i="9"/>
  <c r="CE16" i="9"/>
  <c r="CD16" i="9"/>
  <c r="CC16" i="9"/>
  <c r="BX16" i="9"/>
  <c r="BW16" i="9"/>
  <c r="BV16" i="9"/>
  <c r="BU16" i="9"/>
  <c r="BP16" i="9"/>
  <c r="BO16" i="9"/>
  <c r="BN16" i="9"/>
  <c r="BM16" i="9"/>
  <c r="BA16" i="9"/>
  <c r="AZ16" i="9"/>
  <c r="AY16" i="9"/>
  <c r="AX16" i="9"/>
  <c r="AW16" i="9"/>
  <c r="AV16" i="9"/>
  <c r="AR16" i="9"/>
  <c r="AQ16" i="9"/>
  <c r="AP16" i="9"/>
  <c r="AO16" i="9"/>
  <c r="AN16" i="9"/>
  <c r="AI16" i="9"/>
  <c r="AH16" i="9"/>
  <c r="AG16" i="9"/>
  <c r="AF16" i="9"/>
  <c r="AE16" i="9"/>
  <c r="AD16" i="9"/>
  <c r="AC16" i="9"/>
  <c r="R16" i="9"/>
  <c r="Q16" i="9"/>
  <c r="P16" i="9"/>
  <c r="O16" i="9"/>
  <c r="N16" i="9"/>
  <c r="M16" i="9"/>
  <c r="L16" i="9"/>
  <c r="C16" i="9"/>
  <c r="B16" i="9"/>
  <c r="FH15" i="9"/>
  <c r="FG15" i="9"/>
  <c r="FF15" i="9"/>
  <c r="FE15" i="9"/>
  <c r="EZ15" i="9"/>
  <c r="EY15" i="9"/>
  <c r="EX15" i="9"/>
  <c r="EW15" i="9"/>
  <c r="ER15" i="9"/>
  <c r="EQ15" i="9"/>
  <c r="EP15" i="9"/>
  <c r="EO15" i="9"/>
  <c r="EJ15" i="9"/>
  <c r="EI15" i="9"/>
  <c r="EH15" i="9"/>
  <c r="EG15" i="9"/>
  <c r="EB15" i="9"/>
  <c r="EA15" i="9"/>
  <c r="DZ15" i="9"/>
  <c r="DY15" i="9"/>
  <c r="DT15" i="9"/>
  <c r="DS15" i="9"/>
  <c r="DR15" i="9"/>
  <c r="DQ15" i="9"/>
  <c r="DD15" i="9"/>
  <c r="DC15" i="9"/>
  <c r="DB15" i="9"/>
  <c r="DA15" i="9"/>
  <c r="CU15" i="9"/>
  <c r="CN15" i="9"/>
  <c r="CM15" i="9"/>
  <c r="CL15" i="9"/>
  <c r="CK15" i="9"/>
  <c r="CF15" i="9"/>
  <c r="CE15" i="9"/>
  <c r="CD15" i="9"/>
  <c r="CC15" i="9"/>
  <c r="BX15" i="9"/>
  <c r="BW15" i="9"/>
  <c r="BV15" i="9"/>
  <c r="BU15" i="9"/>
  <c r="BP15" i="9"/>
  <c r="BO15" i="9"/>
  <c r="BN15" i="9"/>
  <c r="BM15" i="9"/>
  <c r="BA15" i="9"/>
  <c r="AZ15" i="9"/>
  <c r="AY15" i="9"/>
  <c r="AX15" i="9"/>
  <c r="AW15" i="9"/>
  <c r="AV15" i="9"/>
  <c r="AR15" i="9"/>
  <c r="AQ15" i="9"/>
  <c r="AP15" i="9"/>
  <c r="AO15" i="9"/>
  <c r="AN15" i="9"/>
  <c r="AI15" i="9"/>
  <c r="AH15" i="9"/>
  <c r="AG15" i="9"/>
  <c r="EP8" i="9" s="1"/>
  <c r="AF15" i="9"/>
  <c r="AE15" i="9"/>
  <c r="AD15" i="9"/>
  <c r="AC15" i="9"/>
  <c r="R15" i="9"/>
  <c r="Q15" i="9"/>
  <c r="P15" i="9"/>
  <c r="O15" i="9"/>
  <c r="N15" i="9"/>
  <c r="M15" i="9"/>
  <c r="L15" i="9"/>
  <c r="C15" i="9"/>
  <c r="B15" i="9"/>
  <c r="FH14" i="9"/>
  <c r="FG14" i="9"/>
  <c r="FF14" i="9"/>
  <c r="FE14" i="9"/>
  <c r="EZ14" i="9"/>
  <c r="ER14" i="9"/>
  <c r="EQ14" i="9"/>
  <c r="EP14" i="9"/>
  <c r="EJ14" i="9"/>
  <c r="EI14" i="9"/>
  <c r="EH14" i="9"/>
  <c r="EB14" i="9"/>
  <c r="EA14" i="9"/>
  <c r="DZ14" i="9"/>
  <c r="DY14" i="9"/>
  <c r="DT14" i="9"/>
  <c r="DS14" i="9"/>
  <c r="DR14" i="9"/>
  <c r="DQ14" i="9"/>
  <c r="DD14" i="9"/>
  <c r="DC14" i="9"/>
  <c r="DB14" i="9"/>
  <c r="DA14" i="9"/>
  <c r="CT14" i="9"/>
  <c r="CN14" i="9"/>
  <c r="CM14" i="9"/>
  <c r="CF14" i="9"/>
  <c r="CE14" i="9"/>
  <c r="CD14" i="9"/>
  <c r="BX14" i="9"/>
  <c r="BW14" i="9"/>
  <c r="BV14" i="9"/>
  <c r="BU14" i="9"/>
  <c r="BP14" i="9"/>
  <c r="BO14" i="9"/>
  <c r="BN14" i="9"/>
  <c r="BM14" i="9"/>
  <c r="BA14" i="9"/>
  <c r="AZ14" i="9"/>
  <c r="AY14" i="9"/>
  <c r="AX14" i="9"/>
  <c r="AW14" i="9"/>
  <c r="AV14" i="9"/>
  <c r="AR14" i="9"/>
  <c r="AQ14" i="9"/>
  <c r="AP14" i="9"/>
  <c r="AO14" i="9"/>
  <c r="AN14" i="9"/>
  <c r="AI14" i="9"/>
  <c r="AH14" i="9"/>
  <c r="AG14" i="9"/>
  <c r="AF14" i="9"/>
  <c r="AE14" i="9"/>
  <c r="AD14" i="9"/>
  <c r="AC14" i="9"/>
  <c r="R14" i="9"/>
  <c r="Q14" i="9"/>
  <c r="P14" i="9"/>
  <c r="O14" i="9"/>
  <c r="N14" i="9"/>
  <c r="M14" i="9"/>
  <c r="L14" i="9"/>
  <c r="C14" i="9"/>
  <c r="B14" i="9"/>
  <c r="FH13" i="9"/>
  <c r="FG13" i="9"/>
  <c r="FF13" i="9"/>
  <c r="FE13" i="9"/>
  <c r="EO13" i="9"/>
  <c r="DY13" i="9"/>
  <c r="DT13" i="9"/>
  <c r="DI13" i="9"/>
  <c r="DD13" i="9"/>
  <c r="DC13" i="9"/>
  <c r="DB13" i="9"/>
  <c r="CT13" i="9"/>
  <c r="BP13" i="9"/>
  <c r="BM13" i="9"/>
  <c r="BA13" i="9"/>
  <c r="AZ13" i="9"/>
  <c r="AY13" i="9"/>
  <c r="AX13" i="9"/>
  <c r="AU13" i="9"/>
  <c r="AR13" i="9"/>
  <c r="AQ13" i="9"/>
  <c r="AP13" i="9"/>
  <c r="AM13" i="9"/>
  <c r="AI13" i="9"/>
  <c r="AH13" i="9"/>
  <c r="AG13" i="9"/>
  <c r="AF13" i="9"/>
  <c r="AE13" i="9"/>
  <c r="AD13" i="9"/>
  <c r="AC13" i="9"/>
  <c r="R13" i="9"/>
  <c r="Q13" i="9"/>
  <c r="P13" i="9"/>
  <c r="O13" i="9"/>
  <c r="N13" i="9"/>
  <c r="M13" i="9"/>
  <c r="AV7" i="9" s="1"/>
  <c r="L13" i="9"/>
  <c r="AN7" i="9"/>
  <c r="C13" i="9"/>
  <c r="B13" i="9"/>
  <c r="FG12" i="9"/>
  <c r="FF12" i="9"/>
  <c r="EZ12" i="9"/>
  <c r="EX12" i="9"/>
  <c r="EW12" i="9"/>
  <c r="EQ12" i="9"/>
  <c r="EO12" i="9"/>
  <c r="EI12" i="9"/>
  <c r="EH12" i="9"/>
  <c r="EA12" i="9"/>
  <c r="DZ12" i="9"/>
  <c r="DY12" i="9"/>
  <c r="DT12" i="9"/>
  <c r="DS12" i="9"/>
  <c r="DR12" i="9"/>
  <c r="DQ12" i="9"/>
  <c r="DJ12" i="9"/>
  <c r="DI12" i="9"/>
  <c r="DD12" i="9"/>
  <c r="CN12" i="9"/>
  <c r="CM12" i="9"/>
  <c r="CD12" i="9"/>
  <c r="BX12" i="9"/>
  <c r="BU12" i="9"/>
  <c r="BH12" i="9"/>
  <c r="AY12" i="9"/>
  <c r="AX12" i="9"/>
  <c r="AW12" i="9"/>
  <c r="AV12" i="9"/>
  <c r="AU12" i="9"/>
  <c r="AT12" i="9"/>
  <c r="AQ12" i="9"/>
  <c r="AP12" i="9"/>
  <c r="AO12" i="9"/>
  <c r="AN12" i="9"/>
  <c r="AM12" i="9"/>
  <c r="AI12" i="9"/>
  <c r="AH12" i="9"/>
  <c r="AG12" i="9"/>
  <c r="AF12" i="9"/>
  <c r="AE12" i="9"/>
  <c r="AD12" i="9"/>
  <c r="AC12" i="9"/>
  <c r="BN6" i="9"/>
  <c r="R12" i="9"/>
  <c r="Q12" i="9"/>
  <c r="P12" i="9"/>
  <c r="O12" i="9"/>
  <c r="N12" i="9"/>
  <c r="M12" i="9"/>
  <c r="L12" i="9"/>
  <c r="C12" i="9"/>
  <c r="B12" i="9"/>
  <c r="FH11" i="9"/>
  <c r="FG11" i="9"/>
  <c r="FF11" i="9"/>
  <c r="FE11" i="9"/>
  <c r="EY11" i="9"/>
  <c r="EX11" i="9"/>
  <c r="EW11" i="9"/>
  <c r="ER11" i="9"/>
  <c r="EP11" i="9"/>
  <c r="EO11" i="9"/>
  <c r="EJ11" i="9"/>
  <c r="EI11" i="9"/>
  <c r="EG11" i="9"/>
  <c r="EA11" i="9"/>
  <c r="DZ11" i="9"/>
  <c r="DT11" i="9"/>
  <c r="DS11" i="9"/>
  <c r="DR11" i="9"/>
  <c r="DQ11" i="9"/>
  <c r="DL11" i="9"/>
  <c r="DK11" i="9"/>
  <c r="DI11" i="9"/>
  <c r="DC11" i="9"/>
  <c r="DB11" i="9"/>
  <c r="CM11" i="9"/>
  <c r="BW11" i="9"/>
  <c r="BP11" i="9"/>
  <c r="BG11" i="9"/>
  <c r="BA11" i="9"/>
  <c r="AZ11" i="9"/>
  <c r="AY11" i="9"/>
  <c r="AX11" i="9"/>
  <c r="AV11" i="9"/>
  <c r="AU11" i="9"/>
  <c r="AR11" i="9"/>
  <c r="AQ11" i="9"/>
  <c r="AP11" i="9"/>
  <c r="AN11" i="9"/>
  <c r="AM11" i="9"/>
  <c r="AI11" i="9"/>
  <c r="AH11" i="9"/>
  <c r="AG11" i="9"/>
  <c r="AF11" i="9"/>
  <c r="AE11" i="9"/>
  <c r="AD11" i="9"/>
  <c r="AC11" i="9"/>
  <c r="DJ7" i="9" s="1"/>
  <c r="R11" i="9"/>
  <c r="Q11" i="9"/>
  <c r="P11" i="9"/>
  <c r="O11" i="9"/>
  <c r="N11" i="9"/>
  <c r="M11" i="9"/>
  <c r="L11" i="9"/>
  <c r="C11" i="9"/>
  <c r="B11" i="9"/>
  <c r="FG10" i="9"/>
  <c r="FF10" i="9"/>
  <c r="EZ10" i="9"/>
  <c r="EX10" i="9"/>
  <c r="EW10" i="9"/>
  <c r="ER10" i="9"/>
  <c r="EQ10" i="9"/>
  <c r="EO10" i="9"/>
  <c r="EJ10" i="9"/>
  <c r="EI10" i="9"/>
  <c r="EH10" i="9"/>
  <c r="EB10" i="9"/>
  <c r="EA10" i="9"/>
  <c r="DZ10" i="9"/>
  <c r="DY10" i="9"/>
  <c r="DS10" i="9"/>
  <c r="DR10" i="9"/>
  <c r="DQ10" i="9"/>
  <c r="DL10" i="9"/>
  <c r="DJ10" i="9"/>
  <c r="DI10" i="9"/>
  <c r="DB10" i="9"/>
  <c r="CM10" i="9"/>
  <c r="CD10" i="9"/>
  <c r="BV10" i="9"/>
  <c r="BU10" i="9"/>
  <c r="BF10" i="9"/>
  <c r="AY10" i="9"/>
  <c r="AX10" i="9"/>
  <c r="AW10" i="9"/>
  <c r="AV10" i="9"/>
  <c r="AU10" i="9"/>
  <c r="AT10" i="9"/>
  <c r="AQ10" i="9"/>
  <c r="AP10" i="9"/>
  <c r="AO10" i="9"/>
  <c r="AN10" i="9"/>
  <c r="AM10" i="9"/>
  <c r="AI10" i="9"/>
  <c r="FE7" i="9" s="1"/>
  <c r="AH10" i="9"/>
  <c r="AG10" i="9"/>
  <c r="AF10" i="9"/>
  <c r="AE10" i="9"/>
  <c r="AD10" i="9"/>
  <c r="AC10" i="9"/>
  <c r="DB6" i="9"/>
  <c r="R10" i="9"/>
  <c r="Q10" i="9"/>
  <c r="P10" i="9"/>
  <c r="O10" i="9"/>
  <c r="N10" i="9"/>
  <c r="M10" i="9"/>
  <c r="L10" i="9"/>
  <c r="C10" i="9"/>
  <c r="B10" i="9"/>
  <c r="FH9" i="9"/>
  <c r="FG9" i="9"/>
  <c r="FF9" i="9"/>
  <c r="FE9" i="9"/>
  <c r="EY9" i="9"/>
  <c r="EX9" i="9"/>
  <c r="EW9" i="9"/>
  <c r="ER9" i="9"/>
  <c r="EP9" i="9"/>
  <c r="EO9" i="9"/>
  <c r="EJ9" i="9"/>
  <c r="EI9" i="9"/>
  <c r="EG9" i="9"/>
  <c r="EA9" i="9"/>
  <c r="DZ9" i="9"/>
  <c r="DT9" i="9"/>
  <c r="DR9" i="9"/>
  <c r="DQ9" i="9"/>
  <c r="DL9" i="9"/>
  <c r="DK9" i="9"/>
  <c r="DI9" i="9"/>
  <c r="DB9" i="9"/>
  <c r="BU9" i="9"/>
  <c r="BP9" i="9"/>
  <c r="BG9" i="9"/>
  <c r="BA9" i="9"/>
  <c r="AZ9" i="9"/>
  <c r="AY9" i="9"/>
  <c r="AX9" i="9"/>
  <c r="AU9" i="9"/>
  <c r="AR9" i="9"/>
  <c r="AQ9" i="9"/>
  <c r="AP9" i="9"/>
  <c r="AM9" i="9"/>
  <c r="AI9" i="9"/>
  <c r="FH6" i="9" s="1"/>
  <c r="AH9" i="9"/>
  <c r="EZ6" i="9" s="1"/>
  <c r="AG9" i="9"/>
  <c r="AF9" i="9"/>
  <c r="AE9" i="9"/>
  <c r="AD9" i="9"/>
  <c r="AC9" i="9"/>
  <c r="CV6" i="9"/>
  <c r="R9" i="9"/>
  <c r="BA6" i="9" s="1"/>
  <c r="Q9" i="9"/>
  <c r="P9" i="9"/>
  <c r="AY6" i="9" s="1"/>
  <c r="O9" i="9"/>
  <c r="N9" i="9"/>
  <c r="M9" i="9"/>
  <c r="L9" i="9"/>
  <c r="AS6" i="9"/>
  <c r="C9" i="9"/>
  <c r="B9" i="9"/>
  <c r="FH8" i="9"/>
  <c r="FG8" i="9"/>
  <c r="FF8" i="9"/>
  <c r="EZ8" i="9"/>
  <c r="EX8" i="9"/>
  <c r="EW8" i="9"/>
  <c r="ER8" i="9"/>
  <c r="EQ8" i="9"/>
  <c r="EO8" i="9"/>
  <c r="EJ8" i="9"/>
  <c r="EI8" i="9"/>
  <c r="EH8" i="9"/>
  <c r="EB8" i="9"/>
  <c r="EA8" i="9"/>
  <c r="DZ8" i="9"/>
  <c r="DY8" i="9"/>
  <c r="DS8" i="9"/>
  <c r="DR8" i="9"/>
  <c r="DQ8" i="9"/>
  <c r="DL8" i="9"/>
  <c r="DJ8" i="9"/>
  <c r="DI8" i="9"/>
  <c r="CM8" i="9"/>
  <c r="CF8" i="9"/>
  <c r="CE8" i="9"/>
  <c r="CD8" i="9"/>
  <c r="BU8" i="9"/>
  <c r="BP8" i="9"/>
  <c r="BO8" i="9"/>
  <c r="BA8" i="9"/>
  <c r="AZ8" i="9"/>
  <c r="AY8" i="9"/>
  <c r="AX8" i="9"/>
  <c r="AW8" i="9"/>
  <c r="AV8" i="9"/>
  <c r="AU8" i="9"/>
  <c r="AR8" i="9"/>
  <c r="AQ8" i="9"/>
  <c r="AP8" i="9"/>
  <c r="AO8" i="9"/>
  <c r="AN8" i="9"/>
  <c r="AM8" i="9"/>
  <c r="AI8" i="9"/>
  <c r="AH8" i="9"/>
  <c r="EY6" i="9" s="1"/>
  <c r="AG8" i="9"/>
  <c r="EQ6" i="9" s="1"/>
  <c r="AF8" i="9"/>
  <c r="AE8" i="9"/>
  <c r="AD8" i="9"/>
  <c r="AC8" i="9"/>
  <c r="CM6" i="9"/>
  <c r="R8" i="9"/>
  <c r="Q8" i="9"/>
  <c r="P8" i="9"/>
  <c r="O8" i="9"/>
  <c r="N8" i="9"/>
  <c r="M8" i="9"/>
  <c r="L8" i="9"/>
  <c r="C8" i="9"/>
  <c r="B8" i="9"/>
  <c r="FH7" i="9"/>
  <c r="FG7" i="9"/>
  <c r="FF7" i="9"/>
  <c r="EY7" i="9"/>
  <c r="EX7" i="9"/>
  <c r="EW7" i="9"/>
  <c r="ER7" i="9"/>
  <c r="EQ7" i="9"/>
  <c r="EP7" i="9"/>
  <c r="EO7" i="9"/>
  <c r="EJ7" i="9"/>
  <c r="EI7" i="9"/>
  <c r="EG7" i="9"/>
  <c r="EA7" i="9"/>
  <c r="DZ7" i="9"/>
  <c r="DT7" i="9"/>
  <c r="DR7" i="9"/>
  <c r="DQ7" i="9"/>
  <c r="DL7" i="9"/>
  <c r="DK7" i="9"/>
  <c r="DI7" i="9"/>
  <c r="DB7" i="9"/>
  <c r="CT7" i="9"/>
  <c r="CE7" i="9"/>
  <c r="CD7" i="9"/>
  <c r="BP7" i="9"/>
  <c r="BO7" i="9"/>
  <c r="BN7" i="9"/>
  <c r="BG7" i="9"/>
  <c r="BA7" i="9"/>
  <c r="AZ7" i="9"/>
  <c r="AY7" i="9"/>
  <c r="AX7" i="9"/>
  <c r="AU7" i="9"/>
  <c r="AR7" i="9"/>
  <c r="AQ7" i="9"/>
  <c r="AP7" i="9"/>
  <c r="AM7" i="9"/>
  <c r="AI7" i="9"/>
  <c r="AH7" i="9"/>
  <c r="EX6" i="9" s="1"/>
  <c r="AG7" i="9"/>
  <c r="AF7" i="9"/>
  <c r="AE7" i="9"/>
  <c r="AD7" i="9"/>
  <c r="AC7" i="9"/>
  <c r="CL6" i="9"/>
  <c r="R7" i="9"/>
  <c r="Q7" i="9"/>
  <c r="P7" i="9"/>
  <c r="O7" i="9"/>
  <c r="N7" i="9"/>
  <c r="M7" i="9"/>
  <c r="L7" i="9"/>
  <c r="C7" i="9"/>
  <c r="B7" i="9"/>
  <c r="FG6" i="9"/>
  <c r="FF6" i="9"/>
  <c r="FE6" i="9"/>
  <c r="EW6" i="9"/>
  <c r="ER6" i="9"/>
  <c r="EP6" i="9"/>
  <c r="EJ6" i="9"/>
  <c r="EI6" i="9"/>
  <c r="EH6" i="9"/>
  <c r="EB6" i="9"/>
  <c r="EA6" i="9"/>
  <c r="DZ6" i="9"/>
  <c r="DY6" i="9"/>
  <c r="DS6" i="9"/>
  <c r="DR6" i="9"/>
  <c r="DL6" i="9"/>
  <c r="DJ6" i="9"/>
  <c r="DI6" i="9"/>
  <c r="CE6" i="9"/>
  <c r="CD6" i="9"/>
  <c r="BV6" i="9"/>
  <c r="BU6" i="9"/>
  <c r="BO6" i="9"/>
  <c r="BF6" i="9"/>
  <c r="AZ6" i="9"/>
  <c r="AX6" i="9"/>
  <c r="AW6" i="9"/>
  <c r="AV6" i="9"/>
  <c r="AU6" i="9"/>
  <c r="AR6" i="9"/>
  <c r="AQ6" i="9"/>
  <c r="AP6" i="9"/>
  <c r="AO6" i="9"/>
  <c r="AN6" i="9"/>
  <c r="AM6" i="9"/>
  <c r="AI6" i="9"/>
  <c r="AH6" i="9"/>
  <c r="AG6" i="9"/>
  <c r="EO6" i="9" s="1"/>
  <c r="AF6" i="9"/>
  <c r="EG6" i="9" s="1"/>
  <c r="AE6" i="9"/>
  <c r="AD6" i="9"/>
  <c r="DQ6" i="9" s="1"/>
  <c r="AC6" i="9"/>
  <c r="CK6" i="9"/>
  <c r="CC6" i="9"/>
  <c r="BM6" i="9"/>
  <c r="BE6" i="9"/>
  <c r="R6" i="9"/>
  <c r="Q6" i="9"/>
  <c r="P6" i="9"/>
  <c r="O6" i="9"/>
  <c r="N6" i="9"/>
  <c r="M6" i="9"/>
  <c r="L6" i="9"/>
  <c r="C6" i="9"/>
  <c r="B6" i="9"/>
  <c r="AY5" i="9"/>
  <c r="AX5" i="9"/>
  <c r="AP5" i="9"/>
  <c r="AI5" i="9"/>
  <c r="BA5" i="9" s="1"/>
  <c r="AH5" i="9"/>
  <c r="AG5" i="9"/>
  <c r="AF5" i="9"/>
  <c r="AE5" i="9"/>
  <c r="AW5" i="9" s="1"/>
  <c r="AD5" i="9"/>
  <c r="AC5" i="9"/>
  <c r="AS5" i="9"/>
  <c r="AO5" i="9"/>
  <c r="R5" i="9"/>
  <c r="Q5" i="9"/>
  <c r="AZ5" i="9" s="1"/>
  <c r="P5" i="9"/>
  <c r="O5" i="9"/>
  <c r="N5" i="9"/>
  <c r="M5" i="9"/>
  <c r="AV5" i="9" s="1"/>
  <c r="L5" i="9"/>
  <c r="AU5" i="9" s="1"/>
  <c r="AR5" i="9"/>
  <c r="AQ5" i="9"/>
  <c r="AN5" i="9"/>
  <c r="AM5" i="9"/>
  <c r="C5" i="9"/>
  <c r="B5" i="9"/>
  <c r="FH3" i="9"/>
  <c r="FG3" i="9"/>
  <c r="FE3" i="9"/>
  <c r="EZ3" i="9"/>
  <c r="EY3" i="9"/>
  <c r="EX3" i="9"/>
  <c r="EW3" i="9"/>
  <c r="ER3" i="9"/>
  <c r="EQ3" i="9"/>
  <c r="EO3" i="9"/>
  <c r="EJ3" i="9"/>
  <c r="EI3" i="9"/>
  <c r="EH3" i="9"/>
  <c r="EG3" i="9"/>
  <c r="EB3" i="9"/>
  <c r="EA3" i="9"/>
  <c r="DY3" i="9"/>
  <c r="DT3" i="9"/>
  <c r="DS3" i="9"/>
  <c r="DR3" i="9"/>
  <c r="DQ3" i="9"/>
  <c r="DC3" i="9"/>
  <c r="CM3" i="9"/>
  <c r="CE3" i="9"/>
  <c r="BW3" i="9"/>
  <c r="BU3" i="9"/>
  <c r="BO3" i="9"/>
  <c r="D6" i="8"/>
  <c r="E6" i="8"/>
  <c r="D7" i="8"/>
  <c r="E7" i="8"/>
  <c r="D8" i="8"/>
  <c r="E8" i="8"/>
  <c r="D9" i="8"/>
  <c r="F9" i="8" s="1"/>
  <c r="I6" i="8" s="1"/>
  <c r="E9" i="8"/>
  <c r="S5" i="8" s="1"/>
  <c r="D10" i="8"/>
  <c r="E10" i="8"/>
  <c r="D11" i="8"/>
  <c r="E11" i="8"/>
  <c r="D12" i="8"/>
  <c r="E12" i="8"/>
  <c r="D13" i="8"/>
  <c r="E13" i="8"/>
  <c r="F13" i="8" s="1"/>
  <c r="I7" i="8" s="1"/>
  <c r="D14" i="8"/>
  <c r="E14" i="8"/>
  <c r="D15" i="8"/>
  <c r="E15" i="8"/>
  <c r="D16" i="8"/>
  <c r="E16" i="8"/>
  <c r="D17" i="8"/>
  <c r="F17" i="8" s="1"/>
  <c r="I8" i="8" s="1"/>
  <c r="E17" i="8"/>
  <c r="Q8" i="8" s="1"/>
  <c r="D18" i="8"/>
  <c r="E18" i="8"/>
  <c r="D19" i="8"/>
  <c r="E19" i="8"/>
  <c r="D20" i="8"/>
  <c r="F20" i="8" s="1"/>
  <c r="E20" i="8"/>
  <c r="D21" i="8"/>
  <c r="F21" i="8" s="1"/>
  <c r="I9" i="8" s="1"/>
  <c r="E21" i="8"/>
  <c r="R9" i="8" s="1"/>
  <c r="D22" i="8"/>
  <c r="E22" i="8"/>
  <c r="D23" i="8"/>
  <c r="E23" i="8"/>
  <c r="D24" i="8"/>
  <c r="E24" i="8"/>
  <c r="D25" i="8"/>
  <c r="F25" i="8" s="1"/>
  <c r="I10" i="8" s="1"/>
  <c r="E25" i="8"/>
  <c r="R10" i="8" s="1"/>
  <c r="D26" i="8"/>
  <c r="E26" i="8"/>
  <c r="D27" i="8"/>
  <c r="E27" i="8"/>
  <c r="D28" i="8"/>
  <c r="E28" i="8"/>
  <c r="D29" i="8"/>
  <c r="F29" i="8" s="1"/>
  <c r="I11" i="8" s="1"/>
  <c r="E29" i="8"/>
  <c r="S11" i="8" s="1"/>
  <c r="D30" i="8"/>
  <c r="E30" i="8"/>
  <c r="D31" i="8"/>
  <c r="E31" i="8"/>
  <c r="D32" i="8"/>
  <c r="F32" i="8" s="1"/>
  <c r="E32" i="8"/>
  <c r="D33" i="8"/>
  <c r="F33" i="8" s="1"/>
  <c r="I12" i="8" s="1"/>
  <c r="E33" i="8"/>
  <c r="P12" i="8" s="1"/>
  <c r="D34" i="8"/>
  <c r="E34" i="8"/>
  <c r="D35" i="8"/>
  <c r="E35" i="8"/>
  <c r="D36" i="8"/>
  <c r="F36" i="8" s="1"/>
  <c r="E36" i="8"/>
  <c r="D37" i="8"/>
  <c r="F37" i="8" s="1"/>
  <c r="I13" i="8" s="1"/>
  <c r="E37" i="8"/>
  <c r="S13" i="8" s="1"/>
  <c r="D38" i="8"/>
  <c r="E38" i="8"/>
  <c r="D39" i="8"/>
  <c r="E39" i="8"/>
  <c r="D40" i="8"/>
  <c r="F40" i="8" s="1"/>
  <c r="L13" i="8" s="1"/>
  <c r="E40" i="8"/>
  <c r="D41" i="8"/>
  <c r="F41" i="8" s="1"/>
  <c r="I14" i="8" s="1"/>
  <c r="E41" i="8"/>
  <c r="R14" i="8" s="1"/>
  <c r="D42" i="8"/>
  <c r="E42" i="8"/>
  <c r="D43" i="8"/>
  <c r="E43" i="8"/>
  <c r="D44" i="8"/>
  <c r="F44" i="8" s="1"/>
  <c r="L14" i="8" s="1"/>
  <c r="E44" i="8"/>
  <c r="D45" i="8"/>
  <c r="E45" i="8"/>
  <c r="Q15" i="8" s="1"/>
  <c r="D46" i="8"/>
  <c r="E46" i="8"/>
  <c r="D47" i="8"/>
  <c r="E47" i="8"/>
  <c r="D48" i="8"/>
  <c r="F48" i="8" s="1"/>
  <c r="L15" i="8" s="1"/>
  <c r="E48" i="8"/>
  <c r="D49" i="8"/>
  <c r="F49" i="8" s="1"/>
  <c r="I16" i="8" s="1"/>
  <c r="E49" i="8"/>
  <c r="Q16" i="8" s="1"/>
  <c r="D50" i="8"/>
  <c r="E50" i="8"/>
  <c r="D51" i="8"/>
  <c r="E51" i="8"/>
  <c r="D52" i="8"/>
  <c r="F52" i="8" s="1"/>
  <c r="L16" i="8" s="1"/>
  <c r="E52" i="8"/>
  <c r="D53" i="8"/>
  <c r="E53" i="8"/>
  <c r="P17" i="8" s="1"/>
  <c r="D54" i="8"/>
  <c r="E54" i="8"/>
  <c r="D55" i="8"/>
  <c r="E55" i="8"/>
  <c r="D56" i="8"/>
  <c r="F56" i="8" s="1"/>
  <c r="L17" i="8" s="1"/>
  <c r="E56" i="8"/>
  <c r="D57" i="8"/>
  <c r="F57" i="8" s="1"/>
  <c r="I18" i="8" s="1"/>
  <c r="E57" i="8"/>
  <c r="P18" i="8" s="1"/>
  <c r="D58" i="8"/>
  <c r="E58" i="8"/>
  <c r="D59" i="8"/>
  <c r="E59" i="8"/>
  <c r="D60" i="8"/>
  <c r="F60" i="8" s="1"/>
  <c r="L18" i="8" s="1"/>
  <c r="E60" i="8"/>
  <c r="D61" i="8"/>
  <c r="E61" i="8"/>
  <c r="S19" i="8" s="1"/>
  <c r="D62" i="8"/>
  <c r="E62" i="8"/>
  <c r="D63" i="8"/>
  <c r="E63" i="8"/>
  <c r="D64" i="8"/>
  <c r="F64" i="8" s="1"/>
  <c r="L19" i="8" s="1"/>
  <c r="E64" i="8"/>
  <c r="D65" i="8"/>
  <c r="F65" i="8" s="1"/>
  <c r="I20" i="8" s="1"/>
  <c r="E65" i="8"/>
  <c r="S20" i="8" s="1"/>
  <c r="D66" i="8"/>
  <c r="E66" i="8"/>
  <c r="D67" i="8"/>
  <c r="E67" i="8"/>
  <c r="D68" i="8"/>
  <c r="F68" i="8" s="1"/>
  <c r="L20" i="8" s="1"/>
  <c r="E68" i="8"/>
  <c r="D69" i="8"/>
  <c r="E69" i="8"/>
  <c r="F69" i="8" s="1"/>
  <c r="I21" i="8" s="1"/>
  <c r="D70" i="8"/>
  <c r="E70" i="8"/>
  <c r="D71" i="8"/>
  <c r="E71" i="8"/>
  <c r="D72" i="8"/>
  <c r="F72" i="8" s="1"/>
  <c r="L21" i="8" s="1"/>
  <c r="E72" i="8"/>
  <c r="D73" i="8"/>
  <c r="F73" i="8" s="1"/>
  <c r="I22" i="8" s="1"/>
  <c r="E73" i="8"/>
  <c r="Q22" i="8" s="1"/>
  <c r="D74" i="8"/>
  <c r="E74" i="8"/>
  <c r="D75" i="8"/>
  <c r="E75" i="8"/>
  <c r="D76" i="8"/>
  <c r="F76" i="8" s="1"/>
  <c r="L22" i="8" s="1"/>
  <c r="E76" i="8"/>
  <c r="D77" i="8"/>
  <c r="E77" i="8"/>
  <c r="S23" i="8" s="1"/>
  <c r="D78" i="8"/>
  <c r="E78" i="8"/>
  <c r="D79" i="8"/>
  <c r="E79" i="8"/>
  <c r="D80" i="8"/>
  <c r="F80" i="8" s="1"/>
  <c r="L23" i="8" s="1"/>
  <c r="E80" i="8"/>
  <c r="D81" i="8"/>
  <c r="F81" i="8" s="1"/>
  <c r="I24" i="8" s="1"/>
  <c r="E81" i="8"/>
  <c r="S24" i="8" s="1"/>
  <c r="D82" i="8"/>
  <c r="E82" i="8"/>
  <c r="D83" i="8"/>
  <c r="E83" i="8"/>
  <c r="D84" i="8"/>
  <c r="F84" i="8" s="1"/>
  <c r="L24" i="8" s="1"/>
  <c r="E84" i="8"/>
  <c r="D85" i="8"/>
  <c r="E85" i="8"/>
  <c r="S25" i="8" s="1"/>
  <c r="D86" i="8"/>
  <c r="E86" i="8"/>
  <c r="D87" i="8"/>
  <c r="E87" i="8"/>
  <c r="D88" i="8"/>
  <c r="F88" i="8" s="1"/>
  <c r="L25" i="8" s="1"/>
  <c r="E88" i="8"/>
  <c r="D89" i="8"/>
  <c r="F89" i="8" s="1"/>
  <c r="I26" i="8" s="1"/>
  <c r="E89" i="8"/>
  <c r="R26" i="8" s="1"/>
  <c r="D90" i="8"/>
  <c r="E90" i="8"/>
  <c r="D91" i="8"/>
  <c r="E91" i="8"/>
  <c r="D92" i="8"/>
  <c r="F92" i="8" s="1"/>
  <c r="L26" i="8" s="1"/>
  <c r="E92" i="8"/>
  <c r="D93" i="8"/>
  <c r="E93" i="8"/>
  <c r="R27" i="8" s="1"/>
  <c r="D94" i="8"/>
  <c r="E94" i="8"/>
  <c r="D95" i="8"/>
  <c r="E95" i="8"/>
  <c r="D96" i="8"/>
  <c r="F96" i="8" s="1"/>
  <c r="L27" i="8" s="1"/>
  <c r="E96" i="8"/>
  <c r="D97" i="8"/>
  <c r="F97" i="8" s="1"/>
  <c r="I28" i="8" s="1"/>
  <c r="E97" i="8"/>
  <c r="Q28" i="8" s="1"/>
  <c r="D98" i="8"/>
  <c r="E98" i="8"/>
  <c r="D99" i="8"/>
  <c r="E99" i="8"/>
  <c r="D100" i="8"/>
  <c r="F100" i="8" s="1"/>
  <c r="L28" i="8" s="1"/>
  <c r="E100" i="8"/>
  <c r="D101" i="8"/>
  <c r="E101" i="8"/>
  <c r="P29" i="8" s="1"/>
  <c r="D102" i="8"/>
  <c r="E102" i="8"/>
  <c r="D103" i="8"/>
  <c r="E103" i="8"/>
  <c r="D104" i="8"/>
  <c r="F104" i="8" s="1"/>
  <c r="L29" i="8" s="1"/>
  <c r="E104" i="8"/>
  <c r="D105" i="8"/>
  <c r="F105" i="8" s="1"/>
  <c r="I30" i="8" s="1"/>
  <c r="E105" i="8"/>
  <c r="Q30" i="8" s="1"/>
  <c r="D106" i="8"/>
  <c r="E106" i="8"/>
  <c r="D107" i="8"/>
  <c r="E107" i="8"/>
  <c r="D108" i="8"/>
  <c r="F108" i="8" s="1"/>
  <c r="L30" i="8" s="1"/>
  <c r="E108" i="8"/>
  <c r="D109" i="8"/>
  <c r="E109" i="8"/>
  <c r="S31" i="8" s="1"/>
  <c r="D110" i="8"/>
  <c r="E110" i="8"/>
  <c r="D111" i="8"/>
  <c r="E111" i="8"/>
  <c r="D112" i="8"/>
  <c r="F112" i="8" s="1"/>
  <c r="L31" i="8" s="1"/>
  <c r="E112" i="8"/>
  <c r="D113" i="8"/>
  <c r="F113" i="8" s="1"/>
  <c r="I32" i="8" s="1"/>
  <c r="E113" i="8"/>
  <c r="S32" i="8" s="1"/>
  <c r="D114" i="8"/>
  <c r="E114" i="8"/>
  <c r="D115" i="8"/>
  <c r="E115" i="8"/>
  <c r="D116" i="8"/>
  <c r="F116" i="8" s="1"/>
  <c r="L32" i="8" s="1"/>
  <c r="E116" i="8"/>
  <c r="D117" i="8"/>
  <c r="E117" i="8"/>
  <c r="Q33" i="8" s="1"/>
  <c r="D118" i="8"/>
  <c r="E118" i="8"/>
  <c r="D119" i="8"/>
  <c r="E119" i="8"/>
  <c r="D120" i="8"/>
  <c r="F120" i="8" s="1"/>
  <c r="L33" i="8" s="1"/>
  <c r="E120" i="8"/>
  <c r="D121" i="8"/>
  <c r="F121" i="8" s="1"/>
  <c r="I34" i="8" s="1"/>
  <c r="E121" i="8"/>
  <c r="Q34" i="8" s="1"/>
  <c r="D122" i="8"/>
  <c r="E122" i="8"/>
  <c r="D123" i="8"/>
  <c r="E123" i="8"/>
  <c r="D124" i="8"/>
  <c r="F124" i="8" s="1"/>
  <c r="L34" i="8" s="1"/>
  <c r="E124" i="8"/>
  <c r="D125" i="8"/>
  <c r="E125" i="8"/>
  <c r="S35" i="8" s="1"/>
  <c r="D126" i="8"/>
  <c r="E126" i="8"/>
  <c r="D127" i="8"/>
  <c r="E127" i="8"/>
  <c r="D128" i="8"/>
  <c r="F128" i="8" s="1"/>
  <c r="L35" i="8" s="1"/>
  <c r="E128" i="8"/>
  <c r="D129" i="8"/>
  <c r="F129" i="8" s="1"/>
  <c r="I36" i="8" s="1"/>
  <c r="E129" i="8"/>
  <c r="S36" i="8" s="1"/>
  <c r="D130" i="8"/>
  <c r="E130" i="8"/>
  <c r="D131" i="8"/>
  <c r="E131" i="8"/>
  <c r="D132" i="8"/>
  <c r="F132" i="8" s="1"/>
  <c r="L36" i="8" s="1"/>
  <c r="E132" i="8"/>
  <c r="D133" i="8"/>
  <c r="F133" i="8" s="1"/>
  <c r="I37" i="8" s="1"/>
  <c r="E133" i="8"/>
  <c r="S37" i="8" s="1"/>
  <c r="D134" i="8"/>
  <c r="E134" i="8"/>
  <c r="D135" i="8"/>
  <c r="E135" i="8"/>
  <c r="D136" i="8"/>
  <c r="F136" i="8" s="1"/>
  <c r="E136" i="8"/>
  <c r="D137" i="8"/>
  <c r="F137" i="8" s="1"/>
  <c r="I38" i="8" s="1"/>
  <c r="E137" i="8"/>
  <c r="Q38" i="8" s="1"/>
  <c r="D138" i="8"/>
  <c r="E138" i="8"/>
  <c r="D139" i="8"/>
  <c r="E139" i="8"/>
  <c r="D140" i="8"/>
  <c r="F140" i="8" s="1"/>
  <c r="L38" i="8" s="1"/>
  <c r="E140" i="8"/>
  <c r="D141" i="8"/>
  <c r="F141" i="8" s="1"/>
  <c r="I39" i="8" s="1"/>
  <c r="E141" i="8"/>
  <c r="S39" i="8" s="1"/>
  <c r="D142" i="8"/>
  <c r="E142" i="8"/>
  <c r="D143" i="8"/>
  <c r="E143" i="8"/>
  <c r="D144" i="8"/>
  <c r="F144" i="8" s="1"/>
  <c r="E144" i="8"/>
  <c r="D145" i="8"/>
  <c r="F145" i="8" s="1"/>
  <c r="I40" i="8" s="1"/>
  <c r="E145" i="8"/>
  <c r="P40" i="8" s="1"/>
  <c r="D146" i="8"/>
  <c r="E146" i="8"/>
  <c r="D147" i="8"/>
  <c r="E147" i="8"/>
  <c r="D148" i="8"/>
  <c r="F148" i="8" s="1"/>
  <c r="L40" i="8" s="1"/>
  <c r="E148" i="8"/>
  <c r="E5" i="8"/>
  <c r="D5" i="8"/>
  <c r="C148" i="8"/>
  <c r="B148" i="8"/>
  <c r="F147" i="8"/>
  <c r="K40" i="8" s="1"/>
  <c r="C147" i="8"/>
  <c r="B147" i="8"/>
  <c r="F146" i="8"/>
  <c r="J40" i="8" s="1"/>
  <c r="C146" i="8"/>
  <c r="B146" i="8"/>
  <c r="C145" i="8"/>
  <c r="B145" i="8"/>
  <c r="C144" i="8"/>
  <c r="B144" i="8"/>
  <c r="F143" i="8"/>
  <c r="C143" i="8"/>
  <c r="B143" i="8"/>
  <c r="F142" i="8"/>
  <c r="C142" i="8"/>
  <c r="B142" i="8"/>
  <c r="C141" i="8"/>
  <c r="B141" i="8"/>
  <c r="C140" i="8"/>
  <c r="B140" i="8"/>
  <c r="C139" i="8"/>
  <c r="B139" i="8"/>
  <c r="F138" i="8"/>
  <c r="J38" i="8" s="1"/>
  <c r="C138" i="8"/>
  <c r="B138" i="8"/>
  <c r="C137" i="8"/>
  <c r="B137" i="8"/>
  <c r="C136" i="8"/>
  <c r="B136" i="8"/>
  <c r="F135" i="8"/>
  <c r="K37" i="8" s="1"/>
  <c r="C135" i="8"/>
  <c r="B135" i="8"/>
  <c r="F134" i="8"/>
  <c r="C134" i="8"/>
  <c r="B134" i="8"/>
  <c r="C133" i="8"/>
  <c r="B133" i="8"/>
  <c r="C132" i="8"/>
  <c r="B132" i="8"/>
  <c r="C131" i="8"/>
  <c r="B131" i="8"/>
  <c r="F130" i="8"/>
  <c r="J36" i="8" s="1"/>
  <c r="C130" i="8"/>
  <c r="B130" i="8"/>
  <c r="C129" i="8"/>
  <c r="B129" i="8"/>
  <c r="C128" i="8"/>
  <c r="B128" i="8"/>
  <c r="F127" i="8"/>
  <c r="K35" i="8" s="1"/>
  <c r="C127" i="8"/>
  <c r="B127" i="8"/>
  <c r="F126" i="8"/>
  <c r="C126" i="8"/>
  <c r="B126" i="8"/>
  <c r="C125" i="8"/>
  <c r="B125" i="8"/>
  <c r="C124" i="8"/>
  <c r="B124" i="8"/>
  <c r="F123" i="8"/>
  <c r="K34" i="8" s="1"/>
  <c r="C123" i="8"/>
  <c r="B123" i="8"/>
  <c r="F122" i="8"/>
  <c r="J34" i="8" s="1"/>
  <c r="C122" i="8"/>
  <c r="B122" i="8"/>
  <c r="C121" i="8"/>
  <c r="B121" i="8"/>
  <c r="C120" i="8"/>
  <c r="B120" i="8"/>
  <c r="F119" i="8"/>
  <c r="K33" i="8" s="1"/>
  <c r="C119" i="8"/>
  <c r="B119" i="8"/>
  <c r="F118" i="8"/>
  <c r="C118" i="8"/>
  <c r="B118" i="8"/>
  <c r="C117" i="8"/>
  <c r="B117" i="8"/>
  <c r="C116" i="8"/>
  <c r="B116" i="8"/>
  <c r="F115" i="8"/>
  <c r="K32" i="8" s="1"/>
  <c r="C115" i="8"/>
  <c r="B115" i="8"/>
  <c r="F114" i="8"/>
  <c r="J32" i="8" s="1"/>
  <c r="C114" i="8"/>
  <c r="B114" i="8"/>
  <c r="C113" i="8"/>
  <c r="B113" i="8"/>
  <c r="C112" i="8"/>
  <c r="B112" i="8"/>
  <c r="F111" i="8"/>
  <c r="K31" i="8" s="1"/>
  <c r="C111" i="8"/>
  <c r="B111" i="8"/>
  <c r="F110" i="8"/>
  <c r="C110" i="8"/>
  <c r="B110" i="8"/>
  <c r="C109" i="8"/>
  <c r="B109" i="8"/>
  <c r="C108" i="8"/>
  <c r="B108" i="8"/>
  <c r="F107" i="8"/>
  <c r="K30" i="8" s="1"/>
  <c r="C107" i="8"/>
  <c r="B107" i="8"/>
  <c r="F106" i="8"/>
  <c r="J30" i="8" s="1"/>
  <c r="C106" i="8"/>
  <c r="B106" i="8"/>
  <c r="C105" i="8"/>
  <c r="B105" i="8"/>
  <c r="C104" i="8"/>
  <c r="B104" i="8"/>
  <c r="F103" i="8"/>
  <c r="K29" i="8" s="1"/>
  <c r="C103" i="8"/>
  <c r="B103" i="8"/>
  <c r="F102" i="8"/>
  <c r="C102" i="8"/>
  <c r="B102" i="8"/>
  <c r="C101" i="8"/>
  <c r="B101" i="8"/>
  <c r="C100" i="8"/>
  <c r="B100" i="8"/>
  <c r="F99" i="8"/>
  <c r="K28" i="8" s="1"/>
  <c r="C99" i="8"/>
  <c r="B99" i="8"/>
  <c r="F98" i="8"/>
  <c r="J28" i="8" s="1"/>
  <c r="C98" i="8"/>
  <c r="B98" i="8"/>
  <c r="C97" i="8"/>
  <c r="B97" i="8"/>
  <c r="C96" i="8"/>
  <c r="B96" i="8"/>
  <c r="F95" i="8"/>
  <c r="K27" i="8" s="1"/>
  <c r="C95" i="8"/>
  <c r="B95" i="8"/>
  <c r="F94" i="8"/>
  <c r="C94" i="8"/>
  <c r="B94" i="8"/>
  <c r="C93" i="8"/>
  <c r="B93" i="8"/>
  <c r="C92" i="8"/>
  <c r="B92" i="8"/>
  <c r="F91" i="8"/>
  <c r="K26" i="8" s="1"/>
  <c r="C91" i="8"/>
  <c r="B91" i="8"/>
  <c r="F90" i="8"/>
  <c r="J26" i="8" s="1"/>
  <c r="C90" i="8"/>
  <c r="B90" i="8"/>
  <c r="C89" i="8"/>
  <c r="B89" i="8"/>
  <c r="C88" i="8"/>
  <c r="B88" i="8"/>
  <c r="F87" i="8"/>
  <c r="K25" i="8" s="1"/>
  <c r="C87" i="8"/>
  <c r="B87" i="8"/>
  <c r="F86" i="8"/>
  <c r="C86" i="8"/>
  <c r="B86" i="8"/>
  <c r="C85" i="8"/>
  <c r="B85" i="8"/>
  <c r="C84" i="8"/>
  <c r="B84" i="8"/>
  <c r="F83" i="8"/>
  <c r="K24" i="8" s="1"/>
  <c r="C83" i="8"/>
  <c r="B83" i="8"/>
  <c r="F82" i="8"/>
  <c r="J24" i="8" s="1"/>
  <c r="C82" i="8"/>
  <c r="B82" i="8"/>
  <c r="C81" i="8"/>
  <c r="B81" i="8"/>
  <c r="C80" i="8"/>
  <c r="B80" i="8"/>
  <c r="F79" i="8"/>
  <c r="C79" i="8"/>
  <c r="B79" i="8"/>
  <c r="F78" i="8"/>
  <c r="C78" i="8"/>
  <c r="B78" i="8"/>
  <c r="C77" i="8"/>
  <c r="B77" i="8"/>
  <c r="C76" i="8"/>
  <c r="B76" i="8"/>
  <c r="F75" i="8"/>
  <c r="K22" i="8" s="1"/>
  <c r="C75" i="8"/>
  <c r="B75" i="8"/>
  <c r="F74" i="8"/>
  <c r="J22" i="8" s="1"/>
  <c r="C74" i="8"/>
  <c r="B74" i="8"/>
  <c r="C73" i="8"/>
  <c r="B73" i="8"/>
  <c r="C72" i="8"/>
  <c r="B72" i="8"/>
  <c r="F71" i="8"/>
  <c r="K21" i="8" s="1"/>
  <c r="C71" i="8"/>
  <c r="B71" i="8"/>
  <c r="F70" i="8"/>
  <c r="C70" i="8"/>
  <c r="B70" i="8"/>
  <c r="C69" i="8"/>
  <c r="B69" i="8"/>
  <c r="C68" i="8"/>
  <c r="B68" i="8"/>
  <c r="F67" i="8"/>
  <c r="K20" i="8" s="1"/>
  <c r="C67" i="8"/>
  <c r="B67" i="8"/>
  <c r="F66" i="8"/>
  <c r="J20" i="8" s="1"/>
  <c r="C66" i="8"/>
  <c r="B66" i="8"/>
  <c r="C65" i="8"/>
  <c r="B65" i="8"/>
  <c r="C64" i="8"/>
  <c r="B64" i="8"/>
  <c r="F63" i="8"/>
  <c r="C63" i="8"/>
  <c r="B63" i="8"/>
  <c r="F62" i="8"/>
  <c r="C62" i="8"/>
  <c r="B62" i="8"/>
  <c r="C61" i="8"/>
  <c r="B61" i="8"/>
  <c r="C60" i="8"/>
  <c r="B60" i="8"/>
  <c r="F59" i="8"/>
  <c r="K18" i="8" s="1"/>
  <c r="C59" i="8"/>
  <c r="B59" i="8"/>
  <c r="F58" i="8"/>
  <c r="J18" i="8" s="1"/>
  <c r="C58" i="8"/>
  <c r="B58" i="8"/>
  <c r="C57" i="8"/>
  <c r="B57" i="8"/>
  <c r="C56" i="8"/>
  <c r="B56" i="8"/>
  <c r="F55" i="8"/>
  <c r="C55" i="8"/>
  <c r="B55" i="8"/>
  <c r="F54" i="8"/>
  <c r="C54" i="8"/>
  <c r="B54" i="8"/>
  <c r="C53" i="8"/>
  <c r="B53" i="8"/>
  <c r="C52" i="8"/>
  <c r="B52" i="8"/>
  <c r="F51" i="8"/>
  <c r="K16" i="8" s="1"/>
  <c r="C51" i="8"/>
  <c r="B51" i="8"/>
  <c r="F50" i="8"/>
  <c r="J16" i="8" s="1"/>
  <c r="C50" i="8"/>
  <c r="B50" i="8"/>
  <c r="C49" i="8"/>
  <c r="B49" i="8"/>
  <c r="C48" i="8"/>
  <c r="B48" i="8"/>
  <c r="F47" i="8"/>
  <c r="C47" i="8"/>
  <c r="B47" i="8"/>
  <c r="F46" i="8"/>
  <c r="C46" i="8"/>
  <c r="B46" i="8"/>
  <c r="C45" i="8"/>
  <c r="B45" i="8"/>
  <c r="C44" i="8"/>
  <c r="B44" i="8"/>
  <c r="F43" i="8"/>
  <c r="K14" i="8" s="1"/>
  <c r="C43" i="8"/>
  <c r="B43" i="8"/>
  <c r="F42" i="8"/>
  <c r="J14" i="8" s="1"/>
  <c r="C42" i="8"/>
  <c r="B42" i="8"/>
  <c r="C41" i="8"/>
  <c r="B41" i="8"/>
  <c r="C40" i="8"/>
  <c r="B40" i="8"/>
  <c r="F39" i="8"/>
  <c r="C39" i="8"/>
  <c r="B39" i="8"/>
  <c r="P38" i="8"/>
  <c r="F38" i="8"/>
  <c r="J13" i="8" s="1"/>
  <c r="C38" i="8"/>
  <c r="B38" i="8"/>
  <c r="J37" i="8"/>
  <c r="C37" i="8"/>
  <c r="B37" i="8"/>
  <c r="P36" i="8"/>
  <c r="C36" i="8"/>
  <c r="B36" i="8"/>
  <c r="P35" i="8"/>
  <c r="J35" i="8"/>
  <c r="F35" i="8"/>
  <c r="C35" i="8"/>
  <c r="B35" i="8"/>
  <c r="P34" i="8"/>
  <c r="F34" i="8"/>
  <c r="C34" i="8"/>
  <c r="B34" i="8"/>
  <c r="P33" i="8"/>
  <c r="J33" i="8"/>
  <c r="C33" i="8"/>
  <c r="B33" i="8"/>
  <c r="P32" i="8"/>
  <c r="C32" i="8"/>
  <c r="B32" i="8"/>
  <c r="P31" i="8"/>
  <c r="J31" i="8"/>
  <c r="F31" i="8"/>
  <c r="C31" i="8"/>
  <c r="B31" i="8"/>
  <c r="P30" i="8"/>
  <c r="F30" i="8"/>
  <c r="J11" i="8" s="1"/>
  <c r="C30" i="8"/>
  <c r="B30" i="8"/>
  <c r="Q29" i="8"/>
  <c r="J29" i="8"/>
  <c r="C29" i="8"/>
  <c r="B29" i="8"/>
  <c r="R28" i="8"/>
  <c r="F28" i="8"/>
  <c r="C28" i="8"/>
  <c r="B28" i="8"/>
  <c r="S27" i="8"/>
  <c r="J27" i="8"/>
  <c r="F27" i="8"/>
  <c r="C27" i="8"/>
  <c r="B27" i="8"/>
  <c r="S26" i="8"/>
  <c r="F26" i="8"/>
  <c r="C26" i="8"/>
  <c r="L10" i="8" s="1"/>
  <c r="B26" i="8"/>
  <c r="J25" i="8"/>
  <c r="C25" i="8"/>
  <c r="B25" i="8"/>
  <c r="C24" i="8"/>
  <c r="B24" i="8"/>
  <c r="K23" i="8"/>
  <c r="J23" i="8"/>
  <c r="F23" i="8"/>
  <c r="K9" i="8" s="1"/>
  <c r="C23" i="8"/>
  <c r="B23" i="8"/>
  <c r="Q9" i="8"/>
  <c r="F22" i="8"/>
  <c r="J9" i="8" s="1"/>
  <c r="C22" i="8"/>
  <c r="B22" i="8"/>
  <c r="J21" i="8"/>
  <c r="C21" i="8"/>
  <c r="B21" i="8"/>
  <c r="P20" i="8"/>
  <c r="C20" i="8"/>
  <c r="B20" i="8"/>
  <c r="P19" i="8"/>
  <c r="K19" i="8"/>
  <c r="J19" i="8"/>
  <c r="F19" i="8"/>
  <c r="C19" i="8"/>
  <c r="B19" i="8"/>
  <c r="Q18" i="8"/>
  <c r="F18" i="8"/>
  <c r="C18" i="8"/>
  <c r="B18" i="8"/>
  <c r="Q17" i="8"/>
  <c r="K17" i="8"/>
  <c r="J17" i="8"/>
  <c r="C17" i="8"/>
  <c r="B17" i="8"/>
  <c r="R16" i="8"/>
  <c r="C16" i="8"/>
  <c r="B16" i="8"/>
  <c r="R15" i="8"/>
  <c r="K15" i="8"/>
  <c r="J15" i="8"/>
  <c r="F15" i="8"/>
  <c r="C15" i="8"/>
  <c r="B15" i="8"/>
  <c r="S14" i="8"/>
  <c r="F14" i="8"/>
  <c r="J7" i="8" s="1"/>
  <c r="C14" i="8"/>
  <c r="B14" i="8"/>
  <c r="K13" i="8"/>
  <c r="C13" i="8"/>
  <c r="B13" i="8"/>
  <c r="K12" i="8"/>
  <c r="F12" i="8"/>
  <c r="C12" i="8"/>
  <c r="B12" i="8"/>
  <c r="Q11" i="8"/>
  <c r="F11" i="8"/>
  <c r="K6" i="8" s="1"/>
  <c r="C11" i="8"/>
  <c r="B11" i="8"/>
  <c r="K10" i="8"/>
  <c r="F10" i="8"/>
  <c r="J6" i="8" s="1"/>
  <c r="C10" i="8"/>
  <c r="B10" i="8"/>
  <c r="C9" i="8"/>
  <c r="B9" i="8"/>
  <c r="P8" i="8"/>
  <c r="C8" i="8"/>
  <c r="B8" i="8"/>
  <c r="F7" i="8"/>
  <c r="C7" i="8"/>
  <c r="B7" i="8"/>
  <c r="L6" i="8"/>
  <c r="F6" i="8"/>
  <c r="J5" i="8" s="1"/>
  <c r="C6" i="8"/>
  <c r="B6" i="8"/>
  <c r="K5" i="8"/>
  <c r="C5" i="8"/>
  <c r="B5" i="8"/>
  <c r="CU3" i="9" l="1"/>
  <c r="CV3" i="9"/>
  <c r="CT3" i="9"/>
  <c r="AS13" i="9"/>
  <c r="CS14" i="9"/>
  <c r="AS15" i="9"/>
  <c r="AS17" i="9"/>
  <c r="AS24" i="9"/>
  <c r="AS37" i="9"/>
  <c r="CS40" i="9"/>
  <c r="AS11" i="9"/>
  <c r="CS21" i="9"/>
  <c r="BN3" i="9"/>
  <c r="CD3" i="9"/>
  <c r="CS34" i="9"/>
  <c r="CS36" i="9"/>
  <c r="CS16" i="9"/>
  <c r="CS23" i="9"/>
  <c r="CS38" i="9"/>
  <c r="CS18" i="9"/>
  <c r="CS25" i="9"/>
  <c r="CS27" i="9"/>
  <c r="CC3" i="9"/>
  <c r="CS29" i="9"/>
  <c r="AS7" i="9"/>
  <c r="AS9" i="9"/>
  <c r="AS20" i="9"/>
  <c r="CS31" i="9"/>
  <c r="CS22" i="9"/>
  <c r="CS33" i="9"/>
  <c r="CS35" i="9"/>
  <c r="AP3" i="9"/>
  <c r="AT3" i="9"/>
  <c r="AW3" i="9"/>
  <c r="AQ3" i="9"/>
  <c r="BA3" i="9"/>
  <c r="AR3" i="9"/>
  <c r="AN3" i="9"/>
  <c r="AX3" i="9"/>
  <c r="AS3" i="9"/>
  <c r="AZ3" i="9"/>
  <c r="AO3" i="9"/>
  <c r="AV3" i="9"/>
  <c r="AY3" i="9"/>
  <c r="DK14" i="9"/>
  <c r="BF17" i="9"/>
  <c r="DL18" i="9"/>
  <c r="BE19" i="9"/>
  <c r="AM19" i="9"/>
  <c r="DK19" i="9"/>
  <c r="BF20" i="9"/>
  <c r="DL20" i="9"/>
  <c r="DJ21" i="9"/>
  <c r="DL21" i="9"/>
  <c r="BH22" i="9"/>
  <c r="DI23" i="9"/>
  <c r="AU23" i="9"/>
  <c r="BG24" i="9"/>
  <c r="DI26" i="9"/>
  <c r="DK26" i="9"/>
  <c r="BH27" i="9"/>
  <c r="DK29" i="9"/>
  <c r="BF31" i="9"/>
  <c r="DL31" i="9"/>
  <c r="BF33" i="9"/>
  <c r="BH33" i="9"/>
  <c r="DJ34" i="9"/>
  <c r="BF36" i="9"/>
  <c r="AM38" i="9"/>
  <c r="BE38" i="9"/>
  <c r="DK38" i="9"/>
  <c r="CK9" i="9"/>
  <c r="CC7" i="9"/>
  <c r="CC8" i="9"/>
  <c r="CF6" i="9"/>
  <c r="CF7" i="9"/>
  <c r="EH7" i="9"/>
  <c r="EG8" i="9"/>
  <c r="BE17" i="9"/>
  <c r="BU11" i="9"/>
  <c r="BX10" i="9"/>
  <c r="BX11" i="9"/>
  <c r="AO11" i="9"/>
  <c r="BW10" i="9"/>
  <c r="BV11" i="9"/>
  <c r="EB11" i="9"/>
  <c r="DY11" i="9"/>
  <c r="AW11" i="9"/>
  <c r="CV11" i="9"/>
  <c r="CV12" i="9"/>
  <c r="AS12" i="9"/>
  <c r="CU11" i="9"/>
  <c r="CU12" i="9"/>
  <c r="CT11" i="9"/>
  <c r="CT12" i="9"/>
  <c r="CS12" i="9"/>
  <c r="FH12" i="9"/>
  <c r="BA12" i="9"/>
  <c r="FE12" i="9"/>
  <c r="DD7" i="9"/>
  <c r="DD8" i="9"/>
  <c r="DC7" i="9"/>
  <c r="DC8" i="9"/>
  <c r="DB8" i="9"/>
  <c r="DA8" i="9"/>
  <c r="DL15" i="9"/>
  <c r="DJ16" i="9"/>
  <c r="DI18" i="9"/>
  <c r="DK18" i="9"/>
  <c r="DL19" i="9"/>
  <c r="DK21" i="9"/>
  <c r="BF22" i="9"/>
  <c r="DK22" i="9"/>
  <c r="AM23" i="9"/>
  <c r="BE23" i="9"/>
  <c r="BG23" i="9"/>
  <c r="AM24" i="9"/>
  <c r="BE24" i="9"/>
  <c r="BF25" i="9"/>
  <c r="BH25" i="9"/>
  <c r="DJ26" i="9"/>
  <c r="BH26" i="9"/>
  <c r="BE27" i="9"/>
  <c r="AM27" i="9"/>
  <c r="BF28" i="9"/>
  <c r="BH29" i="9"/>
  <c r="AU30" i="9"/>
  <c r="DI30" i="9"/>
  <c r="DK32" i="9"/>
  <c r="DI33" i="9"/>
  <c r="AU33" i="9"/>
  <c r="DK33" i="9"/>
  <c r="DI34" i="9"/>
  <c r="DJ36" i="9"/>
  <c r="BH38" i="9"/>
  <c r="AM39" i="9"/>
  <c r="BE39" i="9"/>
  <c r="DA9" i="9"/>
  <c r="BX6" i="9"/>
  <c r="BX7" i="9"/>
  <c r="AO7" i="9"/>
  <c r="BW6" i="9"/>
  <c r="BW7" i="9"/>
  <c r="BV7" i="9"/>
  <c r="BU7" i="9"/>
  <c r="DY7" i="9"/>
  <c r="AW7" i="9"/>
  <c r="EB7" i="9"/>
  <c r="CT8" i="9"/>
  <c r="CS8" i="9"/>
  <c r="CV7" i="9"/>
  <c r="BP10" i="9"/>
  <c r="BO10" i="9"/>
  <c r="BO11" i="9"/>
  <c r="BN10" i="9"/>
  <c r="BN11" i="9"/>
  <c r="BM10" i="9"/>
  <c r="BM11" i="9"/>
  <c r="EZ11" i="9"/>
  <c r="EY12" i="9"/>
  <c r="EQ9" i="9"/>
  <c r="EP10" i="9"/>
  <c r="DL14" i="9"/>
  <c r="DJ15" i="9"/>
  <c r="DI16" i="9"/>
  <c r="AU16" i="9"/>
  <c r="BH16" i="9"/>
  <c r="DK17" i="9"/>
  <c r="BE18" i="9"/>
  <c r="BF19" i="9"/>
  <c r="DJ20" i="9"/>
  <c r="AM21" i="9"/>
  <c r="BE21" i="9"/>
  <c r="BG21" i="9"/>
  <c r="BF23" i="9"/>
  <c r="BH23" i="9"/>
  <c r="DJ24" i="9"/>
  <c r="DI25" i="9"/>
  <c r="DI3" i="9" s="1"/>
  <c r="AU25" i="9"/>
  <c r="BH30" i="9"/>
  <c r="BH31" i="9"/>
  <c r="AM32" i="9"/>
  <c r="BE32" i="9"/>
  <c r="BG32" i="9"/>
  <c r="BE34" i="9"/>
  <c r="BG34" i="9"/>
  <c r="BF35" i="9"/>
  <c r="DL35" i="9"/>
  <c r="DL36" i="9"/>
  <c r="AM37" i="9"/>
  <c r="BE37" i="9"/>
  <c r="BG37" i="9"/>
  <c r="DK6" i="9"/>
  <c r="CE9" i="9"/>
  <c r="CD9" i="9"/>
  <c r="CC9" i="9"/>
  <c r="CC10" i="9"/>
  <c r="CF9" i="9"/>
  <c r="EH9" i="9"/>
  <c r="EG10" i="9"/>
  <c r="BE25" i="9"/>
  <c r="AU26" i="9"/>
  <c r="BW13" i="9"/>
  <c r="BV12" i="9"/>
  <c r="BV13" i="9"/>
  <c r="BU13" i="9"/>
  <c r="BX13" i="9"/>
  <c r="AO13" i="9"/>
  <c r="BW12" i="9"/>
  <c r="EB12" i="9"/>
  <c r="EB13" i="9"/>
  <c r="EA13" i="9"/>
  <c r="DZ13" i="9"/>
  <c r="AW13" i="9"/>
  <c r="BH7" i="9"/>
  <c r="BH8" i="9"/>
  <c r="BG8" i="9"/>
  <c r="BF8" i="9"/>
  <c r="BF9" i="9"/>
  <c r="BE8" i="9"/>
  <c r="CF12" i="9"/>
  <c r="CF13" i="9"/>
  <c r="CE12" i="9"/>
  <c r="CE13" i="9"/>
  <c r="CD13" i="9"/>
  <c r="CC14" i="9"/>
  <c r="BG13" i="9"/>
  <c r="AM14" i="9"/>
  <c r="BE14" i="9"/>
  <c r="BH13" i="9"/>
  <c r="BG14" i="9"/>
  <c r="BF16" i="9"/>
  <c r="BG17" i="9"/>
  <c r="BH21" i="9"/>
  <c r="AM22" i="9"/>
  <c r="BE22" i="9"/>
  <c r="BG22" i="9"/>
  <c r="DL23" i="9"/>
  <c r="DI24" i="9"/>
  <c r="AU24" i="9"/>
  <c r="DK24" i="9"/>
  <c r="DK25" i="9"/>
  <c r="DK3" i="9" s="1"/>
  <c r="BE26" i="9"/>
  <c r="BG26" i="9"/>
  <c r="DL26" i="9"/>
  <c r="DI27" i="9"/>
  <c r="AU27" i="9"/>
  <c r="DK27" i="9"/>
  <c r="DK28" i="9"/>
  <c r="BF29" i="9"/>
  <c r="AM30" i="9"/>
  <c r="BE30" i="9"/>
  <c r="BG31" i="9"/>
  <c r="DI32" i="9"/>
  <c r="AU32" i="9"/>
  <c r="DK34" i="9"/>
  <c r="BH35" i="9"/>
  <c r="AM36" i="9"/>
  <c r="BE36" i="9"/>
  <c r="BH37" i="9"/>
  <c r="BF38" i="9"/>
  <c r="BF39" i="9"/>
  <c r="DK8" i="9"/>
  <c r="BE9" i="9"/>
  <c r="BM7" i="9"/>
  <c r="BP6" i="9"/>
  <c r="DT6" i="9"/>
  <c r="DS7" i="9"/>
  <c r="CC13" i="9"/>
  <c r="EZ7" i="9"/>
  <c r="EY8" i="9"/>
  <c r="DA11" i="9"/>
  <c r="DD9" i="9"/>
  <c r="DD10" i="9"/>
  <c r="DC9" i="9"/>
  <c r="DC10" i="9"/>
  <c r="DA10" i="9"/>
  <c r="AM26" i="9"/>
  <c r="BE11" i="9"/>
  <c r="BH9" i="9"/>
  <c r="BH10" i="9"/>
  <c r="BG10" i="9"/>
  <c r="BF11" i="9"/>
  <c r="BE10" i="9"/>
  <c r="DK10" i="9"/>
  <c r="DJ11" i="9"/>
  <c r="CL12" i="9"/>
  <c r="CK11" i="9"/>
  <c r="CK12" i="9"/>
  <c r="CN10" i="9"/>
  <c r="CN11" i="9"/>
  <c r="CL11" i="9"/>
  <c r="EQ11" i="9"/>
  <c r="EP12" i="9"/>
  <c r="DI37" i="9"/>
  <c r="DD6" i="9"/>
  <c r="DC6" i="9"/>
  <c r="DA7" i="9"/>
  <c r="BH6" i="9"/>
  <c r="BG6" i="9"/>
  <c r="BF7" i="9"/>
  <c r="BE7" i="9"/>
  <c r="BF15" i="9"/>
  <c r="AM16" i="9"/>
  <c r="BE16" i="9"/>
  <c r="BG16" i="9"/>
  <c r="DJ17" i="9"/>
  <c r="BH17" i="9"/>
  <c r="DJ18" i="9"/>
  <c r="BH18" i="9"/>
  <c r="DI19" i="9"/>
  <c r="AU19" i="9"/>
  <c r="DL22" i="9"/>
  <c r="DJ23" i="9"/>
  <c r="BF24" i="9"/>
  <c r="BG25" i="9"/>
  <c r="BF27" i="9"/>
  <c r="AM28" i="9"/>
  <c r="BE28" i="9"/>
  <c r="BG28" i="9"/>
  <c r="AM29" i="9"/>
  <c r="BE29" i="9"/>
  <c r="BG29" i="9"/>
  <c r="BF30" i="9"/>
  <c r="DK30" i="9"/>
  <c r="DI31" i="9"/>
  <c r="AU31" i="9"/>
  <c r="BF32" i="9"/>
  <c r="DL33" i="9"/>
  <c r="DL34" i="9"/>
  <c r="BE35" i="9"/>
  <c r="AM35" i="9"/>
  <c r="DK35" i="9"/>
  <c r="BG36" i="9"/>
  <c r="BF37" i="9"/>
  <c r="DI39" i="9"/>
  <c r="AU39" i="9"/>
  <c r="BX8" i="9"/>
  <c r="BX9" i="9"/>
  <c r="AO9" i="9"/>
  <c r="BW8" i="9"/>
  <c r="BW9" i="9"/>
  <c r="BV8" i="9"/>
  <c r="BV9" i="9"/>
  <c r="DY9" i="9"/>
  <c r="AW9" i="9"/>
  <c r="EB9" i="9"/>
  <c r="CV10" i="9"/>
  <c r="AS10" i="9"/>
  <c r="CU9" i="9"/>
  <c r="CU10" i="9"/>
  <c r="CT9" i="9"/>
  <c r="CT10" i="9"/>
  <c r="CS10" i="9"/>
  <c r="CV9" i="9"/>
  <c r="FH10" i="9"/>
  <c r="BA10" i="9"/>
  <c r="FE10" i="9"/>
  <c r="BP12" i="9"/>
  <c r="BO12" i="9"/>
  <c r="BO13" i="9"/>
  <c r="BN12" i="9"/>
  <c r="BN13" i="9"/>
  <c r="BM12" i="9"/>
  <c r="DS13" i="9"/>
  <c r="DR13" i="9"/>
  <c r="DQ13" i="9"/>
  <c r="EY13" i="9"/>
  <c r="EY14" i="9"/>
  <c r="EX13" i="9"/>
  <c r="EX14" i="9"/>
  <c r="EW13" i="9"/>
  <c r="EW14" i="9"/>
  <c r="EZ13" i="9"/>
  <c r="EI13" i="9"/>
  <c r="EH13" i="9"/>
  <c r="EG13" i="9"/>
  <c r="EG14" i="9"/>
  <c r="EJ13" i="9"/>
  <c r="BF14" i="9"/>
  <c r="BH14" i="9"/>
  <c r="DI15" i="9"/>
  <c r="AU15" i="9"/>
  <c r="BH15" i="9"/>
  <c r="DK16" i="9"/>
  <c r="DL17" i="9"/>
  <c r="BG18" i="9"/>
  <c r="AM20" i="9"/>
  <c r="BE20" i="9"/>
  <c r="BG20" i="9"/>
  <c r="BF21" i="9"/>
  <c r="AU22" i="9"/>
  <c r="DI22" i="9"/>
  <c r="DL27" i="9"/>
  <c r="AU28" i="9"/>
  <c r="DI28" i="9"/>
  <c r="BG30" i="9"/>
  <c r="DL30" i="9"/>
  <c r="AM31" i="9"/>
  <c r="BE31" i="9"/>
  <c r="DJ32" i="9"/>
  <c r="BH32" i="9"/>
  <c r="DJ33" i="9"/>
  <c r="BH34" i="9"/>
  <c r="DI35" i="9"/>
  <c r="AU35" i="9"/>
  <c r="AU36" i="9"/>
  <c r="DI36" i="9"/>
  <c r="DK37" i="9"/>
  <c r="AU38" i="9"/>
  <c r="DI38" i="9"/>
  <c r="BG38" i="9"/>
  <c r="DL38" i="9"/>
  <c r="DJ39" i="9"/>
  <c r="BH39" i="9"/>
  <c r="AM40" i="9"/>
  <c r="BE40" i="9"/>
  <c r="CU6" i="9"/>
  <c r="CN6" i="9"/>
  <c r="CN7" i="9"/>
  <c r="CM7" i="9"/>
  <c r="CL7" i="9"/>
  <c r="CL8" i="9"/>
  <c r="CK7" i="9"/>
  <c r="CK8" i="9"/>
  <c r="DI21" i="9"/>
  <c r="CF10" i="9"/>
  <c r="CF11" i="9"/>
  <c r="CE10" i="9"/>
  <c r="CE11" i="9"/>
  <c r="CD11" i="9"/>
  <c r="CC11" i="9"/>
  <c r="CC12" i="9"/>
  <c r="EG12" i="9"/>
  <c r="EH11" i="9"/>
  <c r="BE33" i="9"/>
  <c r="AU34" i="9"/>
  <c r="CN8" i="9"/>
  <c r="CN9" i="9"/>
  <c r="CM9" i="9"/>
  <c r="CL9" i="9"/>
  <c r="CK10" i="9"/>
  <c r="AU14" i="9"/>
  <c r="DL13" i="9"/>
  <c r="DK13" i="9"/>
  <c r="DI14" i="9"/>
  <c r="AM15" i="9"/>
  <c r="BE15" i="9"/>
  <c r="BG15" i="9"/>
  <c r="DI17" i="9"/>
  <c r="AU17" i="9"/>
  <c r="DJ19" i="9"/>
  <c r="BH19" i="9"/>
  <c r="AU20" i="9"/>
  <c r="DI20" i="9"/>
  <c r="DK20" i="9"/>
  <c r="BH24" i="9"/>
  <c r="DJ25" i="9"/>
  <c r="DJ3" i="9" s="1"/>
  <c r="DL25" i="9"/>
  <c r="DJ27" i="9"/>
  <c r="DJ28" i="9"/>
  <c r="DL28" i="9"/>
  <c r="DJ29" i="9"/>
  <c r="DL29" i="9"/>
  <c r="DJ31" i="9"/>
  <c r="BG33" i="9"/>
  <c r="DJ35" i="9"/>
  <c r="DK36" i="9"/>
  <c r="DJ37" i="9"/>
  <c r="DL37" i="9"/>
  <c r="BG39" i="9"/>
  <c r="DL39" i="9"/>
  <c r="DA6" i="9"/>
  <c r="EJ12" i="9"/>
  <c r="BO9" i="9"/>
  <c r="BN8" i="9"/>
  <c r="BN9" i="9"/>
  <c r="BM8" i="9"/>
  <c r="BM9" i="9"/>
  <c r="DT8" i="9"/>
  <c r="DS9" i="9"/>
  <c r="EZ9" i="9"/>
  <c r="EY10" i="9"/>
  <c r="DB12" i="9"/>
  <c r="DA12" i="9"/>
  <c r="DA13" i="9"/>
  <c r="DD11" i="9"/>
  <c r="DC12" i="9"/>
  <c r="AM34" i="9"/>
  <c r="BF12" i="9"/>
  <c r="BF13" i="9"/>
  <c r="BE12" i="9"/>
  <c r="BE13" i="9"/>
  <c r="BH11" i="9"/>
  <c r="BG12" i="9"/>
  <c r="DL12" i="9"/>
  <c r="DK12" i="9"/>
  <c r="DJ13" i="9"/>
  <c r="CM13" i="9"/>
  <c r="CL13" i="9"/>
  <c r="CL14" i="9"/>
  <c r="CK13" i="9"/>
  <c r="CK14" i="9"/>
  <c r="CN13" i="9"/>
  <c r="ER12" i="9"/>
  <c r="ER13" i="9"/>
  <c r="EQ13" i="9"/>
  <c r="EP13" i="9"/>
  <c r="EO14" i="9"/>
  <c r="S15" i="8"/>
  <c r="Q20" i="8"/>
  <c r="S28" i="8"/>
  <c r="F61" i="8"/>
  <c r="I19" i="8" s="1"/>
  <c r="F85" i="8"/>
  <c r="I25" i="8" s="1"/>
  <c r="F109" i="8"/>
  <c r="I31" i="8" s="1"/>
  <c r="F125" i="8"/>
  <c r="I35" i="8" s="1"/>
  <c r="R7" i="8"/>
  <c r="Q7" i="8"/>
  <c r="K7" i="8"/>
  <c r="S17" i="8"/>
  <c r="S18" i="8"/>
  <c r="R19" i="8"/>
  <c r="R20" i="8"/>
  <c r="Q21" i="8"/>
  <c r="P22" i="8"/>
  <c r="S29" i="8"/>
  <c r="R30" i="8"/>
  <c r="R31" i="8"/>
  <c r="R32" i="8"/>
  <c r="R33" i="8"/>
  <c r="R34" i="8"/>
  <c r="R35" i="8"/>
  <c r="R36" i="8"/>
  <c r="R37" i="8"/>
  <c r="Q19" i="8"/>
  <c r="Q36" i="8"/>
  <c r="F101" i="8"/>
  <c r="I29" i="8" s="1"/>
  <c r="S33" i="8"/>
  <c r="P37" i="8"/>
  <c r="L37" i="8"/>
  <c r="R8" i="8"/>
  <c r="S16" i="8"/>
  <c r="Q32" i="8"/>
  <c r="Q35" i="8"/>
  <c r="F117" i="8"/>
  <c r="I33" i="8" s="1"/>
  <c r="R21" i="8"/>
  <c r="L8" i="8"/>
  <c r="S21" i="8"/>
  <c r="R22" i="8"/>
  <c r="Q23" i="8"/>
  <c r="P24" i="8"/>
  <c r="P25" i="8"/>
  <c r="R6" i="8"/>
  <c r="R29" i="8"/>
  <c r="F45" i="8"/>
  <c r="I15" i="8" s="1"/>
  <c r="F77" i="8"/>
  <c r="I23" i="8" s="1"/>
  <c r="S30" i="8"/>
  <c r="P39" i="8"/>
  <c r="S6" i="8"/>
  <c r="P10" i="8"/>
  <c r="Q13" i="8"/>
  <c r="P14" i="8"/>
  <c r="S22" i="8"/>
  <c r="R23" i="8"/>
  <c r="Q24" i="8"/>
  <c r="Q25" i="8"/>
  <c r="P26" i="8"/>
  <c r="P27" i="8"/>
  <c r="R11" i="8"/>
  <c r="Q39" i="8"/>
  <c r="R18" i="8"/>
  <c r="Q31" i="8"/>
  <c r="Q37" i="8"/>
  <c r="F53" i="8"/>
  <c r="I17" i="8" s="1"/>
  <c r="P23" i="8"/>
  <c r="S34" i="8"/>
  <c r="R13" i="8"/>
  <c r="Q14" i="8"/>
  <c r="P15" i="8"/>
  <c r="P16" i="8"/>
  <c r="R24" i="8"/>
  <c r="R25" i="8"/>
  <c r="Q26" i="8"/>
  <c r="Q27" i="8"/>
  <c r="P28" i="8"/>
  <c r="R39" i="8"/>
  <c r="L39" i="8"/>
  <c r="R17" i="8"/>
  <c r="P21" i="8"/>
  <c r="F93" i="8"/>
  <c r="I27" i="8" s="1"/>
  <c r="S9" i="8"/>
  <c r="F5" i="8"/>
  <c r="I5" i="8" s="1"/>
  <c r="L11" i="8"/>
  <c r="J12" i="8"/>
  <c r="Q10" i="8"/>
  <c r="J8" i="8"/>
  <c r="P9" i="8"/>
  <c r="S10" i="8"/>
  <c r="K11" i="8"/>
  <c r="Q12" i="8"/>
  <c r="P7" i="8"/>
  <c r="S8" i="8"/>
  <c r="L12" i="8"/>
  <c r="F24" i="8"/>
  <c r="L9" i="8" s="1"/>
  <c r="P6" i="8"/>
  <c r="S7" i="8"/>
  <c r="K8" i="8"/>
  <c r="R12" i="8"/>
  <c r="F8" i="8"/>
  <c r="L5" i="8" s="1"/>
  <c r="F16" i="8"/>
  <c r="L7" i="8" s="1"/>
  <c r="Q6" i="8"/>
  <c r="J10" i="8"/>
  <c r="P11" i="8"/>
  <c r="S12" i="8"/>
  <c r="F131" i="8"/>
  <c r="K36" i="8" s="1"/>
  <c r="F139" i="8"/>
  <c r="K38" i="8" s="1"/>
  <c r="R38" i="8"/>
  <c r="J39" i="8"/>
  <c r="P13" i="8"/>
  <c r="S38" i="8"/>
  <c r="K39" i="8"/>
  <c r="AE6" i="6"/>
  <c r="AF6" i="6"/>
  <c r="AG6" i="6"/>
  <c r="AH6" i="6"/>
  <c r="AI6" i="6"/>
  <c r="AE7" i="6"/>
  <c r="AF7" i="6"/>
  <c r="AG7" i="6"/>
  <c r="AH7" i="6"/>
  <c r="AI7" i="6"/>
  <c r="AE8" i="6"/>
  <c r="AF8" i="6"/>
  <c r="AG8" i="6"/>
  <c r="AH8" i="6"/>
  <c r="AI8" i="6"/>
  <c r="AE9" i="6"/>
  <c r="AF9" i="6"/>
  <c r="AG9" i="6"/>
  <c r="EO6" i="6" s="1"/>
  <c r="AH9" i="6"/>
  <c r="EW6" i="6" s="1"/>
  <c r="AI9" i="6"/>
  <c r="AE10" i="6"/>
  <c r="DZ6" i="6" s="1"/>
  <c r="AF10" i="6"/>
  <c r="AG10" i="6"/>
  <c r="EP6" i="6" s="1"/>
  <c r="AH10" i="6"/>
  <c r="AI10" i="6"/>
  <c r="AE11" i="6"/>
  <c r="EA6" i="6" s="1"/>
  <c r="AF11" i="6"/>
  <c r="EI6" i="6" s="1"/>
  <c r="AG11" i="6"/>
  <c r="AH11" i="6"/>
  <c r="EY6" i="6" s="1"/>
  <c r="AI11" i="6"/>
  <c r="AE12" i="6"/>
  <c r="EB6" i="6" s="1"/>
  <c r="AF12" i="6"/>
  <c r="AG12" i="6"/>
  <c r="AH12" i="6"/>
  <c r="EZ6" i="6" s="1"/>
  <c r="AI12" i="6"/>
  <c r="FH6" i="6" s="1"/>
  <c r="AE13" i="6"/>
  <c r="AF13" i="6"/>
  <c r="EG7" i="6" s="1"/>
  <c r="AG13" i="6"/>
  <c r="AH13" i="6"/>
  <c r="EW7" i="6" s="1"/>
  <c r="AI13" i="6"/>
  <c r="AE14" i="6"/>
  <c r="AF14" i="6"/>
  <c r="EH7" i="6" s="1"/>
  <c r="AG14" i="6"/>
  <c r="EP7" i="6" s="1"/>
  <c r="AH14" i="6"/>
  <c r="AI14" i="6"/>
  <c r="FF7" i="6" s="1"/>
  <c r="AE15" i="6"/>
  <c r="AF15" i="6"/>
  <c r="EI7" i="6" s="1"/>
  <c r="AG15" i="6"/>
  <c r="AH15" i="6"/>
  <c r="AI15" i="6"/>
  <c r="FG7" i="6" s="1"/>
  <c r="AE16" i="6"/>
  <c r="EB7" i="6" s="1"/>
  <c r="AF16" i="6"/>
  <c r="AG16" i="6"/>
  <c r="ER7" i="6" s="1"/>
  <c r="AH16" i="6"/>
  <c r="AI16" i="6"/>
  <c r="FH7" i="6" s="1"/>
  <c r="AE17" i="6"/>
  <c r="AF17" i="6"/>
  <c r="AG17" i="6"/>
  <c r="EO8" i="6" s="1"/>
  <c r="AH17" i="6"/>
  <c r="EW8" i="6" s="1"/>
  <c r="AI17" i="6"/>
  <c r="AE18" i="6"/>
  <c r="DZ8" i="6" s="1"/>
  <c r="AF18" i="6"/>
  <c r="AG18" i="6"/>
  <c r="EP8" i="6" s="1"/>
  <c r="AH18" i="6"/>
  <c r="AI18" i="6"/>
  <c r="AE19" i="6"/>
  <c r="EA8" i="6" s="1"/>
  <c r="AF19" i="6"/>
  <c r="EI8" i="6" s="1"/>
  <c r="AG19" i="6"/>
  <c r="AH19" i="6"/>
  <c r="EY8" i="6" s="1"/>
  <c r="AI19" i="6"/>
  <c r="AE20" i="6"/>
  <c r="EB8" i="6" s="1"/>
  <c r="AF20" i="6"/>
  <c r="AG20" i="6"/>
  <c r="AH20" i="6"/>
  <c r="EZ8" i="6" s="1"/>
  <c r="AI20" i="6"/>
  <c r="FH8" i="6" s="1"/>
  <c r="AE21" i="6"/>
  <c r="AF21" i="6"/>
  <c r="EG9" i="6" s="1"/>
  <c r="AG21" i="6"/>
  <c r="AH21" i="6"/>
  <c r="EW9" i="6" s="1"/>
  <c r="AI21" i="6"/>
  <c r="AE22" i="6"/>
  <c r="AF22" i="6"/>
  <c r="EH9" i="6" s="1"/>
  <c r="AG22" i="6"/>
  <c r="EP9" i="6" s="1"/>
  <c r="AH22" i="6"/>
  <c r="AI22" i="6"/>
  <c r="FF9" i="6" s="1"/>
  <c r="AE23" i="6"/>
  <c r="AF23" i="6"/>
  <c r="EI9" i="6" s="1"/>
  <c r="AG23" i="6"/>
  <c r="AH23" i="6"/>
  <c r="AI23" i="6"/>
  <c r="FG9" i="6" s="1"/>
  <c r="AE24" i="6"/>
  <c r="EB9" i="6" s="1"/>
  <c r="AF24" i="6"/>
  <c r="AG24" i="6"/>
  <c r="ER9" i="6" s="1"/>
  <c r="AH24" i="6"/>
  <c r="AI24" i="6"/>
  <c r="FH9" i="6" s="1"/>
  <c r="AE25" i="6"/>
  <c r="AF25" i="6"/>
  <c r="AG25" i="6"/>
  <c r="EO10" i="6" s="1"/>
  <c r="AH25" i="6"/>
  <c r="EW10" i="6" s="1"/>
  <c r="AI25" i="6"/>
  <c r="AE26" i="6"/>
  <c r="DZ10" i="6" s="1"/>
  <c r="AF26" i="6"/>
  <c r="AG26" i="6"/>
  <c r="EP10" i="6" s="1"/>
  <c r="AH26" i="6"/>
  <c r="AI26" i="6"/>
  <c r="AE27" i="6"/>
  <c r="EA10" i="6" s="1"/>
  <c r="AF27" i="6"/>
  <c r="EI10" i="6" s="1"/>
  <c r="AG27" i="6"/>
  <c r="AH27" i="6"/>
  <c r="EY10" i="6" s="1"/>
  <c r="AI27" i="6"/>
  <c r="AE28" i="6"/>
  <c r="EB10" i="6" s="1"/>
  <c r="AF28" i="6"/>
  <c r="AG28" i="6"/>
  <c r="AH28" i="6"/>
  <c r="EZ10" i="6" s="1"/>
  <c r="AI28" i="6"/>
  <c r="FH10" i="6" s="1"/>
  <c r="AE29" i="6"/>
  <c r="AF29" i="6"/>
  <c r="EG11" i="6" s="1"/>
  <c r="AG29" i="6"/>
  <c r="AH29" i="6"/>
  <c r="EW11" i="6" s="1"/>
  <c r="AI29" i="6"/>
  <c r="AE30" i="6"/>
  <c r="AF30" i="6"/>
  <c r="EH11" i="6" s="1"/>
  <c r="AG30" i="6"/>
  <c r="EP11" i="6" s="1"/>
  <c r="AH30" i="6"/>
  <c r="AI30" i="6"/>
  <c r="FF11" i="6" s="1"/>
  <c r="AE31" i="6"/>
  <c r="AF31" i="6"/>
  <c r="EI11" i="6" s="1"/>
  <c r="AG31" i="6"/>
  <c r="AH31" i="6"/>
  <c r="AI31" i="6"/>
  <c r="FG11" i="6" s="1"/>
  <c r="AE32" i="6"/>
  <c r="EB11" i="6" s="1"/>
  <c r="AF32" i="6"/>
  <c r="AG32" i="6"/>
  <c r="ER11" i="6" s="1"/>
  <c r="AH32" i="6"/>
  <c r="AI32" i="6"/>
  <c r="FH11" i="6" s="1"/>
  <c r="AE33" i="6"/>
  <c r="AF33" i="6"/>
  <c r="AG33" i="6"/>
  <c r="EO12" i="6" s="1"/>
  <c r="AH33" i="6"/>
  <c r="EW12" i="6" s="1"/>
  <c r="AI33" i="6"/>
  <c r="AE34" i="6"/>
  <c r="DZ12" i="6" s="1"/>
  <c r="AF34" i="6"/>
  <c r="AG34" i="6"/>
  <c r="EP12" i="6" s="1"/>
  <c r="AH34" i="6"/>
  <c r="AI34" i="6"/>
  <c r="AE35" i="6"/>
  <c r="EA12" i="6" s="1"/>
  <c r="AF35" i="6"/>
  <c r="EI12" i="6" s="1"/>
  <c r="AG35" i="6"/>
  <c r="AH35" i="6"/>
  <c r="EY12" i="6" s="1"/>
  <c r="AI35" i="6"/>
  <c r="AE36" i="6"/>
  <c r="AF36" i="6"/>
  <c r="AG36" i="6"/>
  <c r="AH36" i="6"/>
  <c r="AI36" i="6"/>
  <c r="AE37" i="6"/>
  <c r="AF37" i="6"/>
  <c r="AG37" i="6"/>
  <c r="AH37" i="6"/>
  <c r="AI37" i="6"/>
  <c r="AE38" i="6"/>
  <c r="AF38" i="6"/>
  <c r="AG38" i="6"/>
  <c r="AH38" i="6"/>
  <c r="AI38" i="6"/>
  <c r="AE39" i="6"/>
  <c r="AF39" i="6"/>
  <c r="AG39" i="6"/>
  <c r="AH39" i="6"/>
  <c r="AI39" i="6"/>
  <c r="AE40" i="6"/>
  <c r="AF40" i="6"/>
  <c r="AG40" i="6"/>
  <c r="AH40" i="6"/>
  <c r="AI40" i="6"/>
  <c r="AE41" i="6"/>
  <c r="AF41" i="6"/>
  <c r="AG41" i="6"/>
  <c r="AH41" i="6"/>
  <c r="AI41" i="6"/>
  <c r="AE42" i="6"/>
  <c r="AF42" i="6"/>
  <c r="AG42" i="6"/>
  <c r="AH42" i="6"/>
  <c r="AI42" i="6"/>
  <c r="AE43" i="6"/>
  <c r="AF43" i="6"/>
  <c r="AG43" i="6"/>
  <c r="AH43" i="6"/>
  <c r="AI43" i="6"/>
  <c r="AE44" i="6"/>
  <c r="AF44" i="6"/>
  <c r="AG44" i="6"/>
  <c r="AH44" i="6"/>
  <c r="AI44" i="6"/>
  <c r="AE45" i="6"/>
  <c r="AF45" i="6"/>
  <c r="AG45" i="6"/>
  <c r="AH45" i="6"/>
  <c r="AI45" i="6"/>
  <c r="AE46" i="6"/>
  <c r="AF46" i="6"/>
  <c r="AG46" i="6"/>
  <c r="AH46" i="6"/>
  <c r="AI46" i="6"/>
  <c r="AE47" i="6"/>
  <c r="AF47" i="6"/>
  <c r="AG47" i="6"/>
  <c r="AH47" i="6"/>
  <c r="AI47" i="6"/>
  <c r="AE48" i="6"/>
  <c r="AF48" i="6"/>
  <c r="AG48" i="6"/>
  <c r="AH48" i="6"/>
  <c r="AI48" i="6"/>
  <c r="AE49" i="6"/>
  <c r="AF49" i="6"/>
  <c r="AG49" i="6"/>
  <c r="AH49" i="6"/>
  <c r="AI49" i="6"/>
  <c r="AE50" i="6"/>
  <c r="AF50" i="6"/>
  <c r="AG50" i="6"/>
  <c r="AH50" i="6"/>
  <c r="AI50" i="6"/>
  <c r="AE51" i="6"/>
  <c r="AF51" i="6"/>
  <c r="AG51" i="6"/>
  <c r="AH51" i="6"/>
  <c r="AI51" i="6"/>
  <c r="AE52" i="6"/>
  <c r="AF52" i="6"/>
  <c r="AG52" i="6"/>
  <c r="AH52" i="6"/>
  <c r="AI52" i="6"/>
  <c r="AE53" i="6"/>
  <c r="AF53" i="6"/>
  <c r="AG53" i="6"/>
  <c r="AH53" i="6"/>
  <c r="AI53" i="6"/>
  <c r="AE54" i="6"/>
  <c r="AF54" i="6"/>
  <c r="AG54" i="6"/>
  <c r="AH54" i="6"/>
  <c r="AI54" i="6"/>
  <c r="AE55" i="6"/>
  <c r="AF55" i="6"/>
  <c r="AG55" i="6"/>
  <c r="AH55" i="6"/>
  <c r="AI55" i="6"/>
  <c r="AE56" i="6"/>
  <c r="AF56" i="6"/>
  <c r="AG56" i="6"/>
  <c r="AH56" i="6"/>
  <c r="AI56" i="6"/>
  <c r="AE57" i="6"/>
  <c r="AF57" i="6"/>
  <c r="AG57" i="6"/>
  <c r="AH57" i="6"/>
  <c r="AI57" i="6"/>
  <c r="AE58" i="6"/>
  <c r="AF58" i="6"/>
  <c r="AG58" i="6"/>
  <c r="AH58" i="6"/>
  <c r="AI58" i="6"/>
  <c r="AE59" i="6"/>
  <c r="AF59" i="6"/>
  <c r="AG59" i="6"/>
  <c r="AH59" i="6"/>
  <c r="AI59" i="6"/>
  <c r="AE60" i="6"/>
  <c r="AF60" i="6"/>
  <c r="AG60" i="6"/>
  <c r="AH60" i="6"/>
  <c r="AI60" i="6"/>
  <c r="AE61" i="6"/>
  <c r="AF61" i="6"/>
  <c r="AG61" i="6"/>
  <c r="AH61" i="6"/>
  <c r="AI61" i="6"/>
  <c r="AE62" i="6"/>
  <c r="AF62" i="6"/>
  <c r="AG62" i="6"/>
  <c r="AH62" i="6"/>
  <c r="AI62" i="6"/>
  <c r="AE63" i="6"/>
  <c r="AF63" i="6"/>
  <c r="AG63" i="6"/>
  <c r="AH63" i="6"/>
  <c r="AI63" i="6"/>
  <c r="AE64" i="6"/>
  <c r="AF64" i="6"/>
  <c r="AG64" i="6"/>
  <c r="AH64" i="6"/>
  <c r="AI64" i="6"/>
  <c r="AE65" i="6"/>
  <c r="AF65" i="6"/>
  <c r="AG65" i="6"/>
  <c r="AH65" i="6"/>
  <c r="AI65" i="6"/>
  <c r="AE66" i="6"/>
  <c r="AF66" i="6"/>
  <c r="AG66" i="6"/>
  <c r="AH66" i="6"/>
  <c r="AI66" i="6"/>
  <c r="AE67" i="6"/>
  <c r="AF67" i="6"/>
  <c r="AG67" i="6"/>
  <c r="AH67" i="6"/>
  <c r="AI67" i="6"/>
  <c r="AE68" i="6"/>
  <c r="AF68" i="6"/>
  <c r="AG68" i="6"/>
  <c r="AH68" i="6"/>
  <c r="AI68" i="6"/>
  <c r="AE69" i="6"/>
  <c r="AF69" i="6"/>
  <c r="AG69" i="6"/>
  <c r="AH69" i="6"/>
  <c r="AI69" i="6"/>
  <c r="AE70" i="6"/>
  <c r="AF70" i="6"/>
  <c r="AG70" i="6"/>
  <c r="AH70" i="6"/>
  <c r="AI70" i="6"/>
  <c r="AE71" i="6"/>
  <c r="AF71" i="6"/>
  <c r="AG71" i="6"/>
  <c r="AH71" i="6"/>
  <c r="AI71" i="6"/>
  <c r="AE72" i="6"/>
  <c r="AF72" i="6"/>
  <c r="AG72" i="6"/>
  <c r="AH72" i="6"/>
  <c r="AI72" i="6"/>
  <c r="AE73" i="6"/>
  <c r="AF73" i="6"/>
  <c r="AG73" i="6"/>
  <c r="AH73" i="6"/>
  <c r="AI73" i="6"/>
  <c r="AE74" i="6"/>
  <c r="AF74" i="6"/>
  <c r="AG74" i="6"/>
  <c r="AH74" i="6"/>
  <c r="AI74" i="6"/>
  <c r="AE75" i="6"/>
  <c r="AF75" i="6"/>
  <c r="AG75" i="6"/>
  <c r="AH75" i="6"/>
  <c r="AI75" i="6"/>
  <c r="AE76" i="6"/>
  <c r="AF76" i="6"/>
  <c r="AG76" i="6"/>
  <c r="AH76" i="6"/>
  <c r="AI76" i="6"/>
  <c r="AE77" i="6"/>
  <c r="AF77" i="6"/>
  <c r="AG77" i="6"/>
  <c r="AH77" i="6"/>
  <c r="AI77" i="6"/>
  <c r="AE78" i="6"/>
  <c r="AF78" i="6"/>
  <c r="AG78" i="6"/>
  <c r="AH78" i="6"/>
  <c r="AI78" i="6"/>
  <c r="AE79" i="6"/>
  <c r="AF79" i="6"/>
  <c r="AG79" i="6"/>
  <c r="AH79" i="6"/>
  <c r="AI79" i="6"/>
  <c r="AE80" i="6"/>
  <c r="AF80" i="6"/>
  <c r="AG80" i="6"/>
  <c r="AH80" i="6"/>
  <c r="AI80" i="6"/>
  <c r="AE81" i="6"/>
  <c r="AF81" i="6"/>
  <c r="AG81" i="6"/>
  <c r="AH81" i="6"/>
  <c r="AI81" i="6"/>
  <c r="AE82" i="6"/>
  <c r="AF82" i="6"/>
  <c r="AG82" i="6"/>
  <c r="AH82" i="6"/>
  <c r="AI82" i="6"/>
  <c r="AE83" i="6"/>
  <c r="AF83" i="6"/>
  <c r="AG83" i="6"/>
  <c r="AH83" i="6"/>
  <c r="AI83" i="6"/>
  <c r="AE84" i="6"/>
  <c r="AF84" i="6"/>
  <c r="AG84" i="6"/>
  <c r="AH84" i="6"/>
  <c r="AI84" i="6"/>
  <c r="AE85" i="6"/>
  <c r="AF85" i="6"/>
  <c r="AG85" i="6"/>
  <c r="AH85" i="6"/>
  <c r="AI85" i="6"/>
  <c r="AE86" i="6"/>
  <c r="AF86" i="6"/>
  <c r="AG86" i="6"/>
  <c r="AH86" i="6"/>
  <c r="AI86" i="6"/>
  <c r="AE87" i="6"/>
  <c r="AF87" i="6"/>
  <c r="AG87" i="6"/>
  <c r="AH87" i="6"/>
  <c r="AI87" i="6"/>
  <c r="AE88" i="6"/>
  <c r="AF88" i="6"/>
  <c r="AG88" i="6"/>
  <c r="AH88" i="6"/>
  <c r="AI88" i="6"/>
  <c r="AE89" i="6"/>
  <c r="AF89" i="6"/>
  <c r="AG89" i="6"/>
  <c r="AH89" i="6"/>
  <c r="AI89" i="6"/>
  <c r="AE90" i="6"/>
  <c r="AF90" i="6"/>
  <c r="AG90" i="6"/>
  <c r="AH90" i="6"/>
  <c r="AI90" i="6"/>
  <c r="AE91" i="6"/>
  <c r="AF91" i="6"/>
  <c r="AG91" i="6"/>
  <c r="AH91" i="6"/>
  <c r="AI91" i="6"/>
  <c r="AE92" i="6"/>
  <c r="AF92" i="6"/>
  <c r="AG92" i="6"/>
  <c r="AH92" i="6"/>
  <c r="AI92" i="6"/>
  <c r="AE93" i="6"/>
  <c r="AF93" i="6"/>
  <c r="AG93" i="6"/>
  <c r="AH93" i="6"/>
  <c r="AI93" i="6"/>
  <c r="AE94" i="6"/>
  <c r="AF94" i="6"/>
  <c r="AG94" i="6"/>
  <c r="AH94" i="6"/>
  <c r="AI94" i="6"/>
  <c r="AE95" i="6"/>
  <c r="AF95" i="6"/>
  <c r="AG95" i="6"/>
  <c r="AH95" i="6"/>
  <c r="AI95" i="6"/>
  <c r="AE96" i="6"/>
  <c r="AF96" i="6"/>
  <c r="AG96" i="6"/>
  <c r="AH96" i="6"/>
  <c r="AI96" i="6"/>
  <c r="AE97" i="6"/>
  <c r="AF97" i="6"/>
  <c r="AG97" i="6"/>
  <c r="AH97" i="6"/>
  <c r="AI97" i="6"/>
  <c r="AE98" i="6"/>
  <c r="AF98" i="6"/>
  <c r="AG98" i="6"/>
  <c r="AH98" i="6"/>
  <c r="AI98" i="6"/>
  <c r="AE99" i="6"/>
  <c r="AF99" i="6"/>
  <c r="AG99" i="6"/>
  <c r="AH99" i="6"/>
  <c r="AI99" i="6"/>
  <c r="AE100" i="6"/>
  <c r="AF100" i="6"/>
  <c r="AG100" i="6"/>
  <c r="AH100" i="6"/>
  <c r="AI100" i="6"/>
  <c r="AE101" i="6"/>
  <c r="AF101" i="6"/>
  <c r="AG101" i="6"/>
  <c r="AH101" i="6"/>
  <c r="AI101" i="6"/>
  <c r="AE102" i="6"/>
  <c r="AF102" i="6"/>
  <c r="AG102" i="6"/>
  <c r="AH102" i="6"/>
  <c r="AI102" i="6"/>
  <c r="AE103" i="6"/>
  <c r="AF103" i="6"/>
  <c r="AG103" i="6"/>
  <c r="AH103" i="6"/>
  <c r="AI103" i="6"/>
  <c r="AE104" i="6"/>
  <c r="AF104" i="6"/>
  <c r="AG104" i="6"/>
  <c r="AH104" i="6"/>
  <c r="AI104" i="6"/>
  <c r="AE105" i="6"/>
  <c r="AF105" i="6"/>
  <c r="AG105" i="6"/>
  <c r="AH105" i="6"/>
  <c r="AI105" i="6"/>
  <c r="AE106" i="6"/>
  <c r="AF106" i="6"/>
  <c r="AG106" i="6"/>
  <c r="AH106" i="6"/>
  <c r="AI106" i="6"/>
  <c r="AE107" i="6"/>
  <c r="AF107" i="6"/>
  <c r="AG107" i="6"/>
  <c r="AH107" i="6"/>
  <c r="AI107" i="6"/>
  <c r="AE108" i="6"/>
  <c r="AF108" i="6"/>
  <c r="AG108" i="6"/>
  <c r="AH108" i="6"/>
  <c r="AI108" i="6"/>
  <c r="AE109" i="6"/>
  <c r="AF109" i="6"/>
  <c r="AG109" i="6"/>
  <c r="AH109" i="6"/>
  <c r="AI109" i="6"/>
  <c r="AE110" i="6"/>
  <c r="AF110" i="6"/>
  <c r="AG110" i="6"/>
  <c r="AH110" i="6"/>
  <c r="AI110" i="6"/>
  <c r="AE111" i="6"/>
  <c r="AF111" i="6"/>
  <c r="AG111" i="6"/>
  <c r="AH111" i="6"/>
  <c r="AI111" i="6"/>
  <c r="AE112" i="6"/>
  <c r="AF112" i="6"/>
  <c r="AG112" i="6"/>
  <c r="AH112" i="6"/>
  <c r="AI112" i="6"/>
  <c r="AE113" i="6"/>
  <c r="AF113" i="6"/>
  <c r="AG113" i="6"/>
  <c r="AH113" i="6"/>
  <c r="AI113" i="6"/>
  <c r="AE114" i="6"/>
  <c r="AF114" i="6"/>
  <c r="AG114" i="6"/>
  <c r="AH114" i="6"/>
  <c r="AI114" i="6"/>
  <c r="AE115" i="6"/>
  <c r="AF115" i="6"/>
  <c r="AG115" i="6"/>
  <c r="AH115" i="6"/>
  <c r="AI115" i="6"/>
  <c r="AE116" i="6"/>
  <c r="AF116" i="6"/>
  <c r="AG116" i="6"/>
  <c r="AH116" i="6"/>
  <c r="AI116" i="6"/>
  <c r="AE117" i="6"/>
  <c r="AF117" i="6"/>
  <c r="AG117" i="6"/>
  <c r="AH117" i="6"/>
  <c r="AI117" i="6"/>
  <c r="AE118" i="6"/>
  <c r="AF118" i="6"/>
  <c r="AG118" i="6"/>
  <c r="AH118" i="6"/>
  <c r="AI118" i="6"/>
  <c r="AE119" i="6"/>
  <c r="AF119" i="6"/>
  <c r="AG119" i="6"/>
  <c r="AH119" i="6"/>
  <c r="AI119" i="6"/>
  <c r="AE120" i="6"/>
  <c r="AF120" i="6"/>
  <c r="AG120" i="6"/>
  <c r="AH120" i="6"/>
  <c r="AI120" i="6"/>
  <c r="AE121" i="6"/>
  <c r="AF121" i="6"/>
  <c r="AG121" i="6"/>
  <c r="AH121" i="6"/>
  <c r="AI121" i="6"/>
  <c r="AE122" i="6"/>
  <c r="AF122" i="6"/>
  <c r="AG122" i="6"/>
  <c r="AH122" i="6"/>
  <c r="AI122" i="6"/>
  <c r="AE123" i="6"/>
  <c r="AF123" i="6"/>
  <c r="AG123" i="6"/>
  <c r="AH123" i="6"/>
  <c r="AI123" i="6"/>
  <c r="AE124" i="6"/>
  <c r="AF124" i="6"/>
  <c r="AG124" i="6"/>
  <c r="AH124" i="6"/>
  <c r="AI124" i="6"/>
  <c r="AE125" i="6"/>
  <c r="AF125" i="6"/>
  <c r="AG125" i="6"/>
  <c r="AH125" i="6"/>
  <c r="AI125" i="6"/>
  <c r="AE126" i="6"/>
  <c r="AF126" i="6"/>
  <c r="AG126" i="6"/>
  <c r="AH126" i="6"/>
  <c r="AI126" i="6"/>
  <c r="AE127" i="6"/>
  <c r="AF127" i="6"/>
  <c r="AG127" i="6"/>
  <c r="AH127" i="6"/>
  <c r="AI127" i="6"/>
  <c r="AE128" i="6"/>
  <c r="AF128" i="6"/>
  <c r="AG128" i="6"/>
  <c r="AH128" i="6"/>
  <c r="AI128" i="6"/>
  <c r="AE129" i="6"/>
  <c r="AF129" i="6"/>
  <c r="AG129" i="6"/>
  <c r="AH129" i="6"/>
  <c r="AI129" i="6"/>
  <c r="AE130" i="6"/>
  <c r="AF130" i="6"/>
  <c r="AG130" i="6"/>
  <c r="AH130" i="6"/>
  <c r="AI130" i="6"/>
  <c r="AE131" i="6"/>
  <c r="AF131" i="6"/>
  <c r="AG131" i="6"/>
  <c r="AH131" i="6"/>
  <c r="AI131" i="6"/>
  <c r="AE132" i="6"/>
  <c r="AF132" i="6"/>
  <c r="AG132" i="6"/>
  <c r="AH132" i="6"/>
  <c r="AI132" i="6"/>
  <c r="AE133" i="6"/>
  <c r="AF133" i="6"/>
  <c r="AG133" i="6"/>
  <c r="AH133" i="6"/>
  <c r="AI133" i="6"/>
  <c r="AE134" i="6"/>
  <c r="AF134" i="6"/>
  <c r="AG134" i="6"/>
  <c r="AH134" i="6"/>
  <c r="AI134" i="6"/>
  <c r="AE135" i="6"/>
  <c r="AF135" i="6"/>
  <c r="AG135" i="6"/>
  <c r="AH135" i="6"/>
  <c r="AI135" i="6"/>
  <c r="AE136" i="6"/>
  <c r="AF136" i="6"/>
  <c r="AG136" i="6"/>
  <c r="AH136" i="6"/>
  <c r="AI136" i="6"/>
  <c r="AE137" i="6"/>
  <c r="AF137" i="6"/>
  <c r="AG137" i="6"/>
  <c r="AH137" i="6"/>
  <c r="AI137" i="6"/>
  <c r="AE138" i="6"/>
  <c r="AF138" i="6"/>
  <c r="AG138" i="6"/>
  <c r="AH138" i="6"/>
  <c r="AI138" i="6"/>
  <c r="AE139" i="6"/>
  <c r="AF139" i="6"/>
  <c r="AG139" i="6"/>
  <c r="AH139" i="6"/>
  <c r="AI139" i="6"/>
  <c r="AE140" i="6"/>
  <c r="AF140" i="6"/>
  <c r="AG140" i="6"/>
  <c r="AH140" i="6"/>
  <c r="AI140" i="6"/>
  <c r="AE141" i="6"/>
  <c r="AF141" i="6"/>
  <c r="AG141" i="6"/>
  <c r="AH141" i="6"/>
  <c r="AI141" i="6"/>
  <c r="AE142" i="6"/>
  <c r="AF142" i="6"/>
  <c r="AG142" i="6"/>
  <c r="AH142" i="6"/>
  <c r="AI142" i="6"/>
  <c r="AE143" i="6"/>
  <c r="AF143" i="6"/>
  <c r="AG143" i="6"/>
  <c r="AH143" i="6"/>
  <c r="AI143" i="6"/>
  <c r="AE144" i="6"/>
  <c r="AF144" i="6"/>
  <c r="AG144" i="6"/>
  <c r="AH144" i="6"/>
  <c r="AI144" i="6"/>
  <c r="AE145" i="6"/>
  <c r="AF145" i="6"/>
  <c r="AG145" i="6"/>
  <c r="AH145" i="6"/>
  <c r="AI145" i="6"/>
  <c r="AE146" i="6"/>
  <c r="AF146" i="6"/>
  <c r="AG146" i="6"/>
  <c r="AH146" i="6"/>
  <c r="AI146" i="6"/>
  <c r="AE147" i="6"/>
  <c r="AF147" i="6"/>
  <c r="AG147" i="6"/>
  <c r="AH147" i="6"/>
  <c r="AI147" i="6"/>
  <c r="AE148" i="6"/>
  <c r="AF148" i="6"/>
  <c r="AG148" i="6"/>
  <c r="AH148" i="6"/>
  <c r="AI148" i="6"/>
  <c r="AF5" i="6"/>
  <c r="AG5" i="6"/>
  <c r="AH5" i="6"/>
  <c r="AI5" i="6"/>
  <c r="AE5" i="6"/>
  <c r="N6" i="6"/>
  <c r="O6" i="6"/>
  <c r="P6" i="6"/>
  <c r="Q6" i="6"/>
  <c r="R6" i="6"/>
  <c r="N7" i="6"/>
  <c r="O7" i="6"/>
  <c r="P7" i="6"/>
  <c r="Q7" i="6"/>
  <c r="R7" i="6"/>
  <c r="N8" i="6"/>
  <c r="O8" i="6"/>
  <c r="P8" i="6"/>
  <c r="Q8" i="6"/>
  <c r="R8" i="6"/>
  <c r="N9" i="6"/>
  <c r="AW6" i="6" s="1"/>
  <c r="O9" i="6"/>
  <c r="AX6" i="6" s="1"/>
  <c r="P9" i="6"/>
  <c r="AY6" i="6" s="1"/>
  <c r="Q9" i="6"/>
  <c r="AZ6" i="6" s="1"/>
  <c r="R9" i="6"/>
  <c r="BA6" i="6" s="1"/>
  <c r="N10" i="6"/>
  <c r="O10" i="6"/>
  <c r="P10" i="6"/>
  <c r="Q10" i="6"/>
  <c r="R10" i="6"/>
  <c r="N11" i="6"/>
  <c r="O11" i="6"/>
  <c r="P11" i="6"/>
  <c r="Q11" i="6"/>
  <c r="R11" i="6"/>
  <c r="N12" i="6"/>
  <c r="O12" i="6"/>
  <c r="P12" i="6"/>
  <c r="Q12" i="6"/>
  <c r="R12" i="6"/>
  <c r="N13" i="6"/>
  <c r="AW7" i="6" s="1"/>
  <c r="O13" i="6"/>
  <c r="AX7" i="6" s="1"/>
  <c r="P13" i="6"/>
  <c r="AY7" i="6" s="1"/>
  <c r="Q13" i="6"/>
  <c r="AZ7" i="6" s="1"/>
  <c r="R13" i="6"/>
  <c r="BA7" i="6" s="1"/>
  <c r="N14" i="6"/>
  <c r="O14" i="6"/>
  <c r="P14" i="6"/>
  <c r="Q14" i="6"/>
  <c r="R14" i="6"/>
  <c r="N15" i="6"/>
  <c r="O15" i="6"/>
  <c r="P15" i="6"/>
  <c r="Q15" i="6"/>
  <c r="R15" i="6"/>
  <c r="N16" i="6"/>
  <c r="O16" i="6"/>
  <c r="P16" i="6"/>
  <c r="Q16" i="6"/>
  <c r="R16" i="6"/>
  <c r="N17" i="6"/>
  <c r="AW8" i="6" s="1"/>
  <c r="O17" i="6"/>
  <c r="AX8" i="6" s="1"/>
  <c r="P17" i="6"/>
  <c r="AY8" i="6" s="1"/>
  <c r="Q17" i="6"/>
  <c r="AZ8" i="6" s="1"/>
  <c r="R17" i="6"/>
  <c r="BA8" i="6" s="1"/>
  <c r="N18" i="6"/>
  <c r="O18" i="6"/>
  <c r="P18" i="6"/>
  <c r="Q18" i="6"/>
  <c r="R18" i="6"/>
  <c r="N19" i="6"/>
  <c r="O19" i="6"/>
  <c r="P19" i="6"/>
  <c r="Q19" i="6"/>
  <c r="R19" i="6"/>
  <c r="N20" i="6"/>
  <c r="O20" i="6"/>
  <c r="P20" i="6"/>
  <c r="Q20" i="6"/>
  <c r="R20" i="6"/>
  <c r="N21" i="6"/>
  <c r="AW9" i="6" s="1"/>
  <c r="O21" i="6"/>
  <c r="AX9" i="6" s="1"/>
  <c r="P21" i="6"/>
  <c r="AY9" i="6" s="1"/>
  <c r="Q21" i="6"/>
  <c r="AZ9" i="6" s="1"/>
  <c r="R21" i="6"/>
  <c r="BA9" i="6" s="1"/>
  <c r="N22" i="6"/>
  <c r="O22" i="6"/>
  <c r="P22" i="6"/>
  <c r="Q22" i="6"/>
  <c r="R22" i="6"/>
  <c r="N23" i="6"/>
  <c r="O23" i="6"/>
  <c r="P23" i="6"/>
  <c r="Q23" i="6"/>
  <c r="R23" i="6"/>
  <c r="N24" i="6"/>
  <c r="O24" i="6"/>
  <c r="P24" i="6"/>
  <c r="Q24" i="6"/>
  <c r="R24" i="6"/>
  <c r="N25" i="6"/>
  <c r="AW10" i="6" s="1"/>
  <c r="O25" i="6"/>
  <c r="AX10" i="6" s="1"/>
  <c r="P25" i="6"/>
  <c r="AY10" i="6" s="1"/>
  <c r="Q25" i="6"/>
  <c r="AZ10" i="6" s="1"/>
  <c r="R25" i="6"/>
  <c r="BA10" i="6" s="1"/>
  <c r="N26" i="6"/>
  <c r="O26" i="6"/>
  <c r="P26" i="6"/>
  <c r="Q26" i="6"/>
  <c r="R26" i="6"/>
  <c r="N27" i="6"/>
  <c r="O27" i="6"/>
  <c r="P27" i="6"/>
  <c r="Q27" i="6"/>
  <c r="R27" i="6"/>
  <c r="N28" i="6"/>
  <c r="O28" i="6"/>
  <c r="P28" i="6"/>
  <c r="Q28" i="6"/>
  <c r="R28" i="6"/>
  <c r="N29" i="6"/>
  <c r="AW11" i="6" s="1"/>
  <c r="O29" i="6"/>
  <c r="AX11" i="6" s="1"/>
  <c r="P29" i="6"/>
  <c r="AY11" i="6" s="1"/>
  <c r="Q29" i="6"/>
  <c r="AZ11" i="6" s="1"/>
  <c r="R29" i="6"/>
  <c r="BA11" i="6" s="1"/>
  <c r="N30" i="6"/>
  <c r="O30" i="6"/>
  <c r="P30" i="6"/>
  <c r="Q30" i="6"/>
  <c r="R30" i="6"/>
  <c r="N31" i="6"/>
  <c r="O31" i="6"/>
  <c r="P31" i="6"/>
  <c r="Q31" i="6"/>
  <c r="R31" i="6"/>
  <c r="N32" i="6"/>
  <c r="O32" i="6"/>
  <c r="P32" i="6"/>
  <c r="Q32" i="6"/>
  <c r="R32" i="6"/>
  <c r="N33" i="6"/>
  <c r="AW12" i="6" s="1"/>
  <c r="O33" i="6"/>
  <c r="AX12" i="6" s="1"/>
  <c r="P33" i="6"/>
  <c r="AY12" i="6" s="1"/>
  <c r="Q33" i="6"/>
  <c r="AZ12" i="6" s="1"/>
  <c r="R33" i="6"/>
  <c r="BA12" i="6" s="1"/>
  <c r="N34" i="6"/>
  <c r="O34" i="6"/>
  <c r="P34" i="6"/>
  <c r="Q34" i="6"/>
  <c r="R34" i="6"/>
  <c r="N35" i="6"/>
  <c r="O35" i="6"/>
  <c r="P35" i="6"/>
  <c r="Q35" i="6"/>
  <c r="R35" i="6"/>
  <c r="N36" i="6"/>
  <c r="O36" i="6"/>
  <c r="P36" i="6"/>
  <c r="Q36" i="6"/>
  <c r="R36" i="6"/>
  <c r="N37" i="6"/>
  <c r="AW13" i="6" s="1"/>
  <c r="O37" i="6"/>
  <c r="AX13" i="6" s="1"/>
  <c r="P37" i="6"/>
  <c r="AY13" i="6" s="1"/>
  <c r="Q37" i="6"/>
  <c r="AZ13" i="6" s="1"/>
  <c r="R37" i="6"/>
  <c r="BA13" i="6" s="1"/>
  <c r="N38" i="6"/>
  <c r="O38" i="6"/>
  <c r="P38" i="6"/>
  <c r="Q38" i="6"/>
  <c r="R38" i="6"/>
  <c r="N39" i="6"/>
  <c r="O39" i="6"/>
  <c r="P39" i="6"/>
  <c r="Q39" i="6"/>
  <c r="R39" i="6"/>
  <c r="N40" i="6"/>
  <c r="O40" i="6"/>
  <c r="P40" i="6"/>
  <c r="Q40" i="6"/>
  <c r="R40" i="6"/>
  <c r="N41" i="6"/>
  <c r="AW14" i="6" s="1"/>
  <c r="O41" i="6"/>
  <c r="AX14" i="6" s="1"/>
  <c r="P41" i="6"/>
  <c r="AY14" i="6" s="1"/>
  <c r="Q41" i="6"/>
  <c r="AZ14" i="6" s="1"/>
  <c r="R41" i="6"/>
  <c r="BA14" i="6" s="1"/>
  <c r="N42" i="6"/>
  <c r="O42" i="6"/>
  <c r="P42" i="6"/>
  <c r="Q42" i="6"/>
  <c r="R42" i="6"/>
  <c r="N43" i="6"/>
  <c r="O43" i="6"/>
  <c r="P43" i="6"/>
  <c r="Q43" i="6"/>
  <c r="R43" i="6"/>
  <c r="N44" i="6"/>
  <c r="O44" i="6"/>
  <c r="P44" i="6"/>
  <c r="Q44" i="6"/>
  <c r="R44" i="6"/>
  <c r="N45" i="6"/>
  <c r="AW15" i="6" s="1"/>
  <c r="O45" i="6"/>
  <c r="AX15" i="6" s="1"/>
  <c r="P45" i="6"/>
  <c r="AY15" i="6" s="1"/>
  <c r="Q45" i="6"/>
  <c r="AZ15" i="6" s="1"/>
  <c r="R45" i="6"/>
  <c r="BA15" i="6" s="1"/>
  <c r="N46" i="6"/>
  <c r="O46" i="6"/>
  <c r="P46" i="6"/>
  <c r="Q46" i="6"/>
  <c r="R46" i="6"/>
  <c r="N47" i="6"/>
  <c r="O47" i="6"/>
  <c r="P47" i="6"/>
  <c r="Q47" i="6"/>
  <c r="R47" i="6"/>
  <c r="N48" i="6"/>
  <c r="O48" i="6"/>
  <c r="P48" i="6"/>
  <c r="Q48" i="6"/>
  <c r="R48" i="6"/>
  <c r="N49" i="6"/>
  <c r="AW16" i="6" s="1"/>
  <c r="O49" i="6"/>
  <c r="AX16" i="6" s="1"/>
  <c r="P49" i="6"/>
  <c r="AY16" i="6" s="1"/>
  <c r="Q49" i="6"/>
  <c r="AZ16" i="6" s="1"/>
  <c r="R49" i="6"/>
  <c r="BA16" i="6" s="1"/>
  <c r="N50" i="6"/>
  <c r="O50" i="6"/>
  <c r="P50" i="6"/>
  <c r="Q50" i="6"/>
  <c r="R50" i="6"/>
  <c r="N51" i="6"/>
  <c r="O51" i="6"/>
  <c r="P51" i="6"/>
  <c r="Q51" i="6"/>
  <c r="R51" i="6"/>
  <c r="N52" i="6"/>
  <c r="O52" i="6"/>
  <c r="P52" i="6"/>
  <c r="Q52" i="6"/>
  <c r="R52" i="6"/>
  <c r="N53" i="6"/>
  <c r="AW17" i="6" s="1"/>
  <c r="O53" i="6"/>
  <c r="AX17" i="6" s="1"/>
  <c r="P53" i="6"/>
  <c r="AY17" i="6" s="1"/>
  <c r="Q53" i="6"/>
  <c r="AZ17" i="6" s="1"/>
  <c r="R53" i="6"/>
  <c r="BA17" i="6" s="1"/>
  <c r="N54" i="6"/>
  <c r="O54" i="6"/>
  <c r="P54" i="6"/>
  <c r="Q54" i="6"/>
  <c r="R54" i="6"/>
  <c r="N55" i="6"/>
  <c r="O55" i="6"/>
  <c r="P55" i="6"/>
  <c r="Q55" i="6"/>
  <c r="R55" i="6"/>
  <c r="N56" i="6"/>
  <c r="O56" i="6"/>
  <c r="P56" i="6"/>
  <c r="Q56" i="6"/>
  <c r="R56" i="6"/>
  <c r="N57" i="6"/>
  <c r="AW18" i="6" s="1"/>
  <c r="O57" i="6"/>
  <c r="AX18" i="6" s="1"/>
  <c r="P57" i="6"/>
  <c r="AY18" i="6" s="1"/>
  <c r="Q57" i="6"/>
  <c r="AZ18" i="6" s="1"/>
  <c r="R57" i="6"/>
  <c r="BA18" i="6" s="1"/>
  <c r="N58" i="6"/>
  <c r="O58" i="6"/>
  <c r="P58" i="6"/>
  <c r="Q58" i="6"/>
  <c r="R58" i="6"/>
  <c r="N59" i="6"/>
  <c r="O59" i="6"/>
  <c r="P59" i="6"/>
  <c r="Q59" i="6"/>
  <c r="R59" i="6"/>
  <c r="N60" i="6"/>
  <c r="O60" i="6"/>
  <c r="P60" i="6"/>
  <c r="Q60" i="6"/>
  <c r="R60" i="6"/>
  <c r="N61" i="6"/>
  <c r="AW19" i="6" s="1"/>
  <c r="O61" i="6"/>
  <c r="AX19" i="6" s="1"/>
  <c r="P61" i="6"/>
  <c r="AY19" i="6" s="1"/>
  <c r="Q61" i="6"/>
  <c r="AZ19" i="6" s="1"/>
  <c r="R61" i="6"/>
  <c r="BA19" i="6" s="1"/>
  <c r="N62" i="6"/>
  <c r="O62" i="6"/>
  <c r="P62" i="6"/>
  <c r="Q62" i="6"/>
  <c r="R62" i="6"/>
  <c r="N63" i="6"/>
  <c r="O63" i="6"/>
  <c r="P63" i="6"/>
  <c r="Q63" i="6"/>
  <c r="R63" i="6"/>
  <c r="N64" i="6"/>
  <c r="O64" i="6"/>
  <c r="P64" i="6"/>
  <c r="Q64" i="6"/>
  <c r="R64" i="6"/>
  <c r="N65" i="6"/>
  <c r="AW20" i="6" s="1"/>
  <c r="O65" i="6"/>
  <c r="AX20" i="6" s="1"/>
  <c r="P65" i="6"/>
  <c r="AY20" i="6" s="1"/>
  <c r="Q65" i="6"/>
  <c r="AZ20" i="6" s="1"/>
  <c r="R65" i="6"/>
  <c r="BA20" i="6" s="1"/>
  <c r="N66" i="6"/>
  <c r="O66" i="6"/>
  <c r="P66" i="6"/>
  <c r="Q66" i="6"/>
  <c r="R66" i="6"/>
  <c r="N67" i="6"/>
  <c r="O67" i="6"/>
  <c r="P67" i="6"/>
  <c r="Q67" i="6"/>
  <c r="R67" i="6"/>
  <c r="N68" i="6"/>
  <c r="O68" i="6"/>
  <c r="P68" i="6"/>
  <c r="Q68" i="6"/>
  <c r="R68" i="6"/>
  <c r="N69" i="6"/>
  <c r="AW21" i="6" s="1"/>
  <c r="O69" i="6"/>
  <c r="AX21" i="6" s="1"/>
  <c r="P69" i="6"/>
  <c r="AY21" i="6" s="1"/>
  <c r="Q69" i="6"/>
  <c r="AZ21" i="6" s="1"/>
  <c r="R69" i="6"/>
  <c r="BA21" i="6" s="1"/>
  <c r="N70" i="6"/>
  <c r="O70" i="6"/>
  <c r="P70" i="6"/>
  <c r="Q70" i="6"/>
  <c r="R70" i="6"/>
  <c r="N71" i="6"/>
  <c r="O71" i="6"/>
  <c r="P71" i="6"/>
  <c r="Q71" i="6"/>
  <c r="R71" i="6"/>
  <c r="N72" i="6"/>
  <c r="O72" i="6"/>
  <c r="P72" i="6"/>
  <c r="Q72" i="6"/>
  <c r="R72" i="6"/>
  <c r="N73" i="6"/>
  <c r="AW22" i="6" s="1"/>
  <c r="O73" i="6"/>
  <c r="AX22" i="6" s="1"/>
  <c r="P73" i="6"/>
  <c r="AY22" i="6" s="1"/>
  <c r="Q73" i="6"/>
  <c r="AZ22" i="6" s="1"/>
  <c r="R73" i="6"/>
  <c r="BA22" i="6" s="1"/>
  <c r="N74" i="6"/>
  <c r="O74" i="6"/>
  <c r="P74" i="6"/>
  <c r="Q74" i="6"/>
  <c r="R74" i="6"/>
  <c r="N75" i="6"/>
  <c r="O75" i="6"/>
  <c r="P75" i="6"/>
  <c r="Q75" i="6"/>
  <c r="R75" i="6"/>
  <c r="N76" i="6"/>
  <c r="O76" i="6"/>
  <c r="P76" i="6"/>
  <c r="Q76" i="6"/>
  <c r="R76" i="6"/>
  <c r="N77" i="6"/>
  <c r="AW23" i="6" s="1"/>
  <c r="O77" i="6"/>
  <c r="AX23" i="6" s="1"/>
  <c r="P77" i="6"/>
  <c r="AY23" i="6" s="1"/>
  <c r="Q77" i="6"/>
  <c r="AZ23" i="6" s="1"/>
  <c r="R77" i="6"/>
  <c r="BA23" i="6" s="1"/>
  <c r="N78" i="6"/>
  <c r="O78" i="6"/>
  <c r="P78" i="6"/>
  <c r="Q78" i="6"/>
  <c r="R78" i="6"/>
  <c r="N79" i="6"/>
  <c r="O79" i="6"/>
  <c r="P79" i="6"/>
  <c r="Q79" i="6"/>
  <c r="R79" i="6"/>
  <c r="N80" i="6"/>
  <c r="O80" i="6"/>
  <c r="P80" i="6"/>
  <c r="Q80" i="6"/>
  <c r="R80" i="6"/>
  <c r="N81" i="6"/>
  <c r="AW24" i="6" s="1"/>
  <c r="O81" i="6"/>
  <c r="AX24" i="6" s="1"/>
  <c r="P81" i="6"/>
  <c r="AY24" i="6" s="1"/>
  <c r="Q81" i="6"/>
  <c r="AZ24" i="6" s="1"/>
  <c r="R81" i="6"/>
  <c r="BA24" i="6" s="1"/>
  <c r="N82" i="6"/>
  <c r="O82" i="6"/>
  <c r="P82" i="6"/>
  <c r="Q82" i="6"/>
  <c r="R82" i="6"/>
  <c r="N83" i="6"/>
  <c r="O83" i="6"/>
  <c r="P83" i="6"/>
  <c r="Q83" i="6"/>
  <c r="R83" i="6"/>
  <c r="N84" i="6"/>
  <c r="O84" i="6"/>
  <c r="P84" i="6"/>
  <c r="Q84" i="6"/>
  <c r="R84" i="6"/>
  <c r="N85" i="6"/>
  <c r="AW25" i="6" s="1"/>
  <c r="O85" i="6"/>
  <c r="AX25" i="6" s="1"/>
  <c r="P85" i="6"/>
  <c r="AY25" i="6" s="1"/>
  <c r="Q85" i="6"/>
  <c r="AZ25" i="6" s="1"/>
  <c r="R85" i="6"/>
  <c r="BA25" i="6" s="1"/>
  <c r="N86" i="6"/>
  <c r="O86" i="6"/>
  <c r="P86" i="6"/>
  <c r="Q86" i="6"/>
  <c r="R86" i="6"/>
  <c r="N87" i="6"/>
  <c r="O87" i="6"/>
  <c r="P87" i="6"/>
  <c r="Q87" i="6"/>
  <c r="R87" i="6"/>
  <c r="N88" i="6"/>
  <c r="O88" i="6"/>
  <c r="P88" i="6"/>
  <c r="Q88" i="6"/>
  <c r="R88" i="6"/>
  <c r="N89" i="6"/>
  <c r="AW26" i="6" s="1"/>
  <c r="O89" i="6"/>
  <c r="AX26" i="6" s="1"/>
  <c r="P89" i="6"/>
  <c r="AY26" i="6" s="1"/>
  <c r="Q89" i="6"/>
  <c r="AZ26" i="6" s="1"/>
  <c r="R89" i="6"/>
  <c r="BA26" i="6" s="1"/>
  <c r="N90" i="6"/>
  <c r="O90" i="6"/>
  <c r="P90" i="6"/>
  <c r="Q90" i="6"/>
  <c r="R90" i="6"/>
  <c r="N91" i="6"/>
  <c r="O91" i="6"/>
  <c r="P91" i="6"/>
  <c r="Q91" i="6"/>
  <c r="R91" i="6"/>
  <c r="N92" i="6"/>
  <c r="O92" i="6"/>
  <c r="P92" i="6"/>
  <c r="Q92" i="6"/>
  <c r="R92" i="6"/>
  <c r="N93" i="6"/>
  <c r="AW27" i="6" s="1"/>
  <c r="O93" i="6"/>
  <c r="AX27" i="6" s="1"/>
  <c r="P93" i="6"/>
  <c r="AY27" i="6" s="1"/>
  <c r="Q93" i="6"/>
  <c r="AZ27" i="6" s="1"/>
  <c r="R93" i="6"/>
  <c r="BA27" i="6" s="1"/>
  <c r="N94" i="6"/>
  <c r="O94" i="6"/>
  <c r="P94" i="6"/>
  <c r="Q94" i="6"/>
  <c r="R94" i="6"/>
  <c r="N95" i="6"/>
  <c r="O95" i="6"/>
  <c r="P95" i="6"/>
  <c r="Q95" i="6"/>
  <c r="R95" i="6"/>
  <c r="N96" i="6"/>
  <c r="O96" i="6"/>
  <c r="P96" i="6"/>
  <c r="Q96" i="6"/>
  <c r="R96" i="6"/>
  <c r="N97" i="6"/>
  <c r="AW28" i="6" s="1"/>
  <c r="O97" i="6"/>
  <c r="AX28" i="6" s="1"/>
  <c r="P97" i="6"/>
  <c r="AY28" i="6" s="1"/>
  <c r="Q97" i="6"/>
  <c r="AZ28" i="6" s="1"/>
  <c r="R97" i="6"/>
  <c r="BA28" i="6" s="1"/>
  <c r="N98" i="6"/>
  <c r="O98" i="6"/>
  <c r="P98" i="6"/>
  <c r="Q98" i="6"/>
  <c r="R98" i="6"/>
  <c r="N99" i="6"/>
  <c r="O99" i="6"/>
  <c r="P99" i="6"/>
  <c r="Q99" i="6"/>
  <c r="R99" i="6"/>
  <c r="N100" i="6"/>
  <c r="O100" i="6"/>
  <c r="P100" i="6"/>
  <c r="Q100" i="6"/>
  <c r="R100" i="6"/>
  <c r="N101" i="6"/>
  <c r="AW29" i="6" s="1"/>
  <c r="O101" i="6"/>
  <c r="AX29" i="6" s="1"/>
  <c r="P101" i="6"/>
  <c r="AY29" i="6" s="1"/>
  <c r="Q101" i="6"/>
  <c r="AZ29" i="6" s="1"/>
  <c r="R101" i="6"/>
  <c r="BA29" i="6" s="1"/>
  <c r="N102" i="6"/>
  <c r="O102" i="6"/>
  <c r="P102" i="6"/>
  <c r="Q102" i="6"/>
  <c r="R102" i="6"/>
  <c r="N103" i="6"/>
  <c r="O103" i="6"/>
  <c r="P103" i="6"/>
  <c r="Q103" i="6"/>
  <c r="R103" i="6"/>
  <c r="N104" i="6"/>
  <c r="O104" i="6"/>
  <c r="P104" i="6"/>
  <c r="Q104" i="6"/>
  <c r="R104" i="6"/>
  <c r="N105" i="6"/>
  <c r="AW30" i="6" s="1"/>
  <c r="O105" i="6"/>
  <c r="AX30" i="6" s="1"/>
  <c r="P105" i="6"/>
  <c r="AY30" i="6" s="1"/>
  <c r="Q105" i="6"/>
  <c r="AZ30" i="6" s="1"/>
  <c r="R105" i="6"/>
  <c r="BA30" i="6" s="1"/>
  <c r="N106" i="6"/>
  <c r="O106" i="6"/>
  <c r="P106" i="6"/>
  <c r="Q106" i="6"/>
  <c r="R106" i="6"/>
  <c r="N107" i="6"/>
  <c r="O107" i="6"/>
  <c r="P107" i="6"/>
  <c r="Q107" i="6"/>
  <c r="R107" i="6"/>
  <c r="N108" i="6"/>
  <c r="O108" i="6"/>
  <c r="P108" i="6"/>
  <c r="Q108" i="6"/>
  <c r="R108" i="6"/>
  <c r="N109" i="6"/>
  <c r="AW31" i="6" s="1"/>
  <c r="O109" i="6"/>
  <c r="AX31" i="6" s="1"/>
  <c r="P109" i="6"/>
  <c r="AY31" i="6" s="1"/>
  <c r="Q109" i="6"/>
  <c r="AZ31" i="6" s="1"/>
  <c r="R109" i="6"/>
  <c r="BA31" i="6" s="1"/>
  <c r="N110" i="6"/>
  <c r="O110" i="6"/>
  <c r="P110" i="6"/>
  <c r="Q110" i="6"/>
  <c r="R110" i="6"/>
  <c r="N111" i="6"/>
  <c r="O111" i="6"/>
  <c r="P111" i="6"/>
  <c r="Q111" i="6"/>
  <c r="R111" i="6"/>
  <c r="N112" i="6"/>
  <c r="O112" i="6"/>
  <c r="P112" i="6"/>
  <c r="Q112" i="6"/>
  <c r="R112" i="6"/>
  <c r="N113" i="6"/>
  <c r="AW32" i="6" s="1"/>
  <c r="O113" i="6"/>
  <c r="AX32" i="6" s="1"/>
  <c r="P113" i="6"/>
  <c r="AY32" i="6" s="1"/>
  <c r="Q113" i="6"/>
  <c r="AZ32" i="6" s="1"/>
  <c r="R113" i="6"/>
  <c r="BA32" i="6" s="1"/>
  <c r="N114" i="6"/>
  <c r="O114" i="6"/>
  <c r="P114" i="6"/>
  <c r="Q114" i="6"/>
  <c r="R114" i="6"/>
  <c r="N115" i="6"/>
  <c r="O115" i="6"/>
  <c r="P115" i="6"/>
  <c r="Q115" i="6"/>
  <c r="R115" i="6"/>
  <c r="N116" i="6"/>
  <c r="O116" i="6"/>
  <c r="P116" i="6"/>
  <c r="Q116" i="6"/>
  <c r="R116" i="6"/>
  <c r="N117" i="6"/>
  <c r="AW33" i="6" s="1"/>
  <c r="O117" i="6"/>
  <c r="AX33" i="6" s="1"/>
  <c r="P117" i="6"/>
  <c r="AY33" i="6" s="1"/>
  <c r="Q117" i="6"/>
  <c r="AZ33" i="6" s="1"/>
  <c r="R117" i="6"/>
  <c r="BA33" i="6" s="1"/>
  <c r="N118" i="6"/>
  <c r="O118" i="6"/>
  <c r="P118" i="6"/>
  <c r="Q118" i="6"/>
  <c r="R118" i="6"/>
  <c r="N119" i="6"/>
  <c r="O119" i="6"/>
  <c r="P119" i="6"/>
  <c r="Q119" i="6"/>
  <c r="R119" i="6"/>
  <c r="N120" i="6"/>
  <c r="O120" i="6"/>
  <c r="P120" i="6"/>
  <c r="Q120" i="6"/>
  <c r="R120" i="6"/>
  <c r="N121" i="6"/>
  <c r="AW34" i="6" s="1"/>
  <c r="O121" i="6"/>
  <c r="AX34" i="6" s="1"/>
  <c r="P121" i="6"/>
  <c r="AY34" i="6" s="1"/>
  <c r="Q121" i="6"/>
  <c r="AZ34" i="6" s="1"/>
  <c r="R121" i="6"/>
  <c r="BA34" i="6" s="1"/>
  <c r="N122" i="6"/>
  <c r="O122" i="6"/>
  <c r="P122" i="6"/>
  <c r="Q122" i="6"/>
  <c r="R122" i="6"/>
  <c r="N123" i="6"/>
  <c r="O123" i="6"/>
  <c r="P123" i="6"/>
  <c r="Q123" i="6"/>
  <c r="R123" i="6"/>
  <c r="N124" i="6"/>
  <c r="O124" i="6"/>
  <c r="P124" i="6"/>
  <c r="Q124" i="6"/>
  <c r="R124" i="6"/>
  <c r="N125" i="6"/>
  <c r="AW35" i="6" s="1"/>
  <c r="O125" i="6"/>
  <c r="AX35" i="6" s="1"/>
  <c r="P125" i="6"/>
  <c r="AY35" i="6" s="1"/>
  <c r="Q125" i="6"/>
  <c r="AZ35" i="6" s="1"/>
  <c r="R125" i="6"/>
  <c r="BA35" i="6" s="1"/>
  <c r="N126" i="6"/>
  <c r="O126" i="6"/>
  <c r="P126" i="6"/>
  <c r="Q126" i="6"/>
  <c r="R126" i="6"/>
  <c r="N127" i="6"/>
  <c r="O127" i="6"/>
  <c r="P127" i="6"/>
  <c r="Q127" i="6"/>
  <c r="R127" i="6"/>
  <c r="N128" i="6"/>
  <c r="O128" i="6"/>
  <c r="P128" i="6"/>
  <c r="Q128" i="6"/>
  <c r="R128" i="6"/>
  <c r="N129" i="6"/>
  <c r="AW36" i="6" s="1"/>
  <c r="O129" i="6"/>
  <c r="AX36" i="6" s="1"/>
  <c r="P129" i="6"/>
  <c r="AY36" i="6" s="1"/>
  <c r="Q129" i="6"/>
  <c r="AZ36" i="6" s="1"/>
  <c r="R129" i="6"/>
  <c r="BA36" i="6" s="1"/>
  <c r="N130" i="6"/>
  <c r="O130" i="6"/>
  <c r="P130" i="6"/>
  <c r="Q130" i="6"/>
  <c r="R130" i="6"/>
  <c r="N131" i="6"/>
  <c r="O131" i="6"/>
  <c r="P131" i="6"/>
  <c r="Q131" i="6"/>
  <c r="R131" i="6"/>
  <c r="N132" i="6"/>
  <c r="O132" i="6"/>
  <c r="P132" i="6"/>
  <c r="Q132" i="6"/>
  <c r="R132" i="6"/>
  <c r="N133" i="6"/>
  <c r="AW37" i="6" s="1"/>
  <c r="O133" i="6"/>
  <c r="AX37" i="6" s="1"/>
  <c r="P133" i="6"/>
  <c r="AY37" i="6" s="1"/>
  <c r="Q133" i="6"/>
  <c r="AZ37" i="6" s="1"/>
  <c r="R133" i="6"/>
  <c r="BA37" i="6" s="1"/>
  <c r="N134" i="6"/>
  <c r="O134" i="6"/>
  <c r="P134" i="6"/>
  <c r="Q134" i="6"/>
  <c r="R134" i="6"/>
  <c r="N135" i="6"/>
  <c r="O135" i="6"/>
  <c r="P135" i="6"/>
  <c r="Q135" i="6"/>
  <c r="R135" i="6"/>
  <c r="N136" i="6"/>
  <c r="O136" i="6"/>
  <c r="P136" i="6"/>
  <c r="Q136" i="6"/>
  <c r="R136" i="6"/>
  <c r="N137" i="6"/>
  <c r="AW38" i="6" s="1"/>
  <c r="O137" i="6"/>
  <c r="AX38" i="6" s="1"/>
  <c r="P137" i="6"/>
  <c r="AY38" i="6" s="1"/>
  <c r="Q137" i="6"/>
  <c r="AZ38" i="6" s="1"/>
  <c r="R137" i="6"/>
  <c r="BA38" i="6" s="1"/>
  <c r="N138" i="6"/>
  <c r="O138" i="6"/>
  <c r="P138" i="6"/>
  <c r="Q138" i="6"/>
  <c r="R138" i="6"/>
  <c r="N139" i="6"/>
  <c r="O139" i="6"/>
  <c r="P139" i="6"/>
  <c r="Q139" i="6"/>
  <c r="R139" i="6"/>
  <c r="N140" i="6"/>
  <c r="O140" i="6"/>
  <c r="P140" i="6"/>
  <c r="Q140" i="6"/>
  <c r="R140" i="6"/>
  <c r="N141" i="6"/>
  <c r="AW39" i="6" s="1"/>
  <c r="O141" i="6"/>
  <c r="AX39" i="6" s="1"/>
  <c r="P141" i="6"/>
  <c r="AY39" i="6" s="1"/>
  <c r="Q141" i="6"/>
  <c r="AZ39" i="6" s="1"/>
  <c r="R141" i="6"/>
  <c r="BA39" i="6" s="1"/>
  <c r="N142" i="6"/>
  <c r="O142" i="6"/>
  <c r="P142" i="6"/>
  <c r="Q142" i="6"/>
  <c r="R142" i="6"/>
  <c r="N143" i="6"/>
  <c r="O143" i="6"/>
  <c r="P143" i="6"/>
  <c r="Q143" i="6"/>
  <c r="R143" i="6"/>
  <c r="N144" i="6"/>
  <c r="O144" i="6"/>
  <c r="P144" i="6"/>
  <c r="Q144" i="6"/>
  <c r="R144" i="6"/>
  <c r="N145" i="6"/>
  <c r="AW40" i="6" s="1"/>
  <c r="O145" i="6"/>
  <c r="AX40" i="6" s="1"/>
  <c r="P145" i="6"/>
  <c r="AY40" i="6" s="1"/>
  <c r="Q145" i="6"/>
  <c r="AZ40" i="6" s="1"/>
  <c r="R145" i="6"/>
  <c r="BA40" i="6" s="1"/>
  <c r="N146" i="6"/>
  <c r="O146" i="6"/>
  <c r="P146" i="6"/>
  <c r="Q146" i="6"/>
  <c r="R146" i="6"/>
  <c r="N147" i="6"/>
  <c r="O147" i="6"/>
  <c r="P147" i="6"/>
  <c r="Q147" i="6"/>
  <c r="R147" i="6"/>
  <c r="N148" i="6"/>
  <c r="O148" i="6"/>
  <c r="P148" i="6"/>
  <c r="Q148" i="6"/>
  <c r="R148" i="6"/>
  <c r="O5" i="6"/>
  <c r="AX5" i="6" s="1"/>
  <c r="P5" i="6"/>
  <c r="AY5" i="6" s="1"/>
  <c r="Q5" i="6"/>
  <c r="AZ5" i="6" s="1"/>
  <c r="R5" i="6"/>
  <c r="BA5" i="6" s="1"/>
  <c r="N5" i="6"/>
  <c r="AW5" i="6" s="1"/>
  <c r="L6" i="6"/>
  <c r="M6" i="6"/>
  <c r="L7" i="6"/>
  <c r="M7" i="6"/>
  <c r="L8" i="6"/>
  <c r="M8" i="6"/>
  <c r="L9" i="6"/>
  <c r="M9" i="6"/>
  <c r="L10" i="6"/>
  <c r="M10" i="6"/>
  <c r="L11" i="6"/>
  <c r="M11" i="6"/>
  <c r="L12" i="6"/>
  <c r="M12" i="6"/>
  <c r="L13" i="6"/>
  <c r="M13" i="6"/>
  <c r="L14" i="6"/>
  <c r="M14" i="6"/>
  <c r="L15" i="6"/>
  <c r="M15" i="6"/>
  <c r="L16" i="6"/>
  <c r="M16" i="6"/>
  <c r="L17" i="6"/>
  <c r="M17" i="6"/>
  <c r="L18" i="6"/>
  <c r="M18" i="6"/>
  <c r="L19" i="6"/>
  <c r="M19" i="6"/>
  <c r="L20" i="6"/>
  <c r="M20" i="6"/>
  <c r="L21" i="6"/>
  <c r="M21" i="6"/>
  <c r="L22" i="6"/>
  <c r="M22" i="6"/>
  <c r="L23" i="6"/>
  <c r="M23" i="6"/>
  <c r="L24" i="6"/>
  <c r="M24" i="6"/>
  <c r="L25" i="6"/>
  <c r="M25" i="6"/>
  <c r="L26" i="6"/>
  <c r="M26" i="6"/>
  <c r="L27" i="6"/>
  <c r="M27" i="6"/>
  <c r="L28" i="6"/>
  <c r="M28" i="6"/>
  <c r="L29" i="6"/>
  <c r="M29" i="6"/>
  <c r="L30" i="6"/>
  <c r="M30" i="6"/>
  <c r="L31" i="6"/>
  <c r="M31" i="6"/>
  <c r="L32" i="6"/>
  <c r="M32" i="6"/>
  <c r="L33" i="6"/>
  <c r="M33" i="6"/>
  <c r="L34" i="6"/>
  <c r="M34" i="6"/>
  <c r="L35" i="6"/>
  <c r="M35" i="6"/>
  <c r="L36" i="6"/>
  <c r="M36" i="6"/>
  <c r="L37" i="6"/>
  <c r="M37" i="6"/>
  <c r="L38" i="6"/>
  <c r="M38" i="6"/>
  <c r="L39" i="6"/>
  <c r="M39" i="6"/>
  <c r="L40" i="6"/>
  <c r="M40" i="6"/>
  <c r="L41" i="6"/>
  <c r="M41" i="6"/>
  <c r="L42" i="6"/>
  <c r="M42" i="6"/>
  <c r="L43" i="6"/>
  <c r="M43" i="6"/>
  <c r="L44" i="6"/>
  <c r="M44" i="6"/>
  <c r="L45" i="6"/>
  <c r="M45" i="6"/>
  <c r="L46" i="6"/>
  <c r="M46" i="6"/>
  <c r="L47" i="6"/>
  <c r="M47" i="6"/>
  <c r="L48" i="6"/>
  <c r="M48" i="6"/>
  <c r="L49" i="6"/>
  <c r="M49" i="6"/>
  <c r="L50" i="6"/>
  <c r="M50" i="6"/>
  <c r="L51" i="6"/>
  <c r="M51" i="6"/>
  <c r="L52" i="6"/>
  <c r="M52" i="6"/>
  <c r="L53" i="6"/>
  <c r="M53" i="6"/>
  <c r="L54" i="6"/>
  <c r="M54" i="6"/>
  <c r="L55" i="6"/>
  <c r="M55" i="6"/>
  <c r="L56" i="6"/>
  <c r="M56" i="6"/>
  <c r="L57" i="6"/>
  <c r="M57" i="6"/>
  <c r="L58" i="6"/>
  <c r="M58" i="6"/>
  <c r="L59" i="6"/>
  <c r="M59" i="6"/>
  <c r="L60" i="6"/>
  <c r="M60" i="6"/>
  <c r="L61" i="6"/>
  <c r="M61" i="6"/>
  <c r="L62" i="6"/>
  <c r="M62" i="6"/>
  <c r="L63" i="6"/>
  <c r="M63" i="6"/>
  <c r="L64" i="6"/>
  <c r="M64" i="6"/>
  <c r="L65" i="6"/>
  <c r="M65" i="6"/>
  <c r="L66" i="6"/>
  <c r="M66" i="6"/>
  <c r="L67" i="6"/>
  <c r="M67" i="6"/>
  <c r="L68" i="6"/>
  <c r="M68" i="6"/>
  <c r="L69" i="6"/>
  <c r="M69" i="6"/>
  <c r="L70" i="6"/>
  <c r="M70" i="6"/>
  <c r="L71" i="6"/>
  <c r="M71" i="6"/>
  <c r="L72" i="6"/>
  <c r="M72" i="6"/>
  <c r="L73" i="6"/>
  <c r="M73" i="6"/>
  <c r="L74" i="6"/>
  <c r="M74" i="6"/>
  <c r="L75" i="6"/>
  <c r="M75" i="6"/>
  <c r="L76" i="6"/>
  <c r="M76" i="6"/>
  <c r="L77" i="6"/>
  <c r="M77" i="6"/>
  <c r="L78" i="6"/>
  <c r="M78" i="6"/>
  <c r="L79" i="6"/>
  <c r="M79" i="6"/>
  <c r="L80" i="6"/>
  <c r="M80" i="6"/>
  <c r="L81" i="6"/>
  <c r="M81" i="6"/>
  <c r="L82" i="6"/>
  <c r="M82" i="6"/>
  <c r="L83" i="6"/>
  <c r="M83" i="6"/>
  <c r="L84" i="6"/>
  <c r="M84" i="6"/>
  <c r="L85" i="6"/>
  <c r="M85" i="6"/>
  <c r="L86" i="6"/>
  <c r="M86" i="6"/>
  <c r="L87" i="6"/>
  <c r="M87" i="6"/>
  <c r="L88" i="6"/>
  <c r="M88" i="6"/>
  <c r="L89" i="6"/>
  <c r="M89" i="6"/>
  <c r="L90" i="6"/>
  <c r="M90" i="6"/>
  <c r="L91" i="6"/>
  <c r="M91" i="6"/>
  <c r="L92" i="6"/>
  <c r="M92" i="6"/>
  <c r="L93" i="6"/>
  <c r="M93" i="6"/>
  <c r="L94" i="6"/>
  <c r="M94" i="6"/>
  <c r="L95" i="6"/>
  <c r="M95" i="6"/>
  <c r="L96" i="6"/>
  <c r="M96" i="6"/>
  <c r="L97" i="6"/>
  <c r="M97" i="6"/>
  <c r="L98" i="6"/>
  <c r="M98" i="6"/>
  <c r="L99" i="6"/>
  <c r="M99" i="6"/>
  <c r="L100" i="6"/>
  <c r="M100" i="6"/>
  <c r="L101" i="6"/>
  <c r="M101" i="6"/>
  <c r="L102" i="6"/>
  <c r="M102" i="6"/>
  <c r="L103" i="6"/>
  <c r="M103" i="6"/>
  <c r="L104" i="6"/>
  <c r="M104" i="6"/>
  <c r="L105" i="6"/>
  <c r="M105" i="6"/>
  <c r="L106" i="6"/>
  <c r="M106" i="6"/>
  <c r="L107" i="6"/>
  <c r="M107" i="6"/>
  <c r="L108" i="6"/>
  <c r="M108" i="6"/>
  <c r="L109" i="6"/>
  <c r="M109" i="6"/>
  <c r="L110" i="6"/>
  <c r="M110" i="6"/>
  <c r="L111" i="6"/>
  <c r="M111" i="6"/>
  <c r="L112" i="6"/>
  <c r="M112" i="6"/>
  <c r="L113" i="6"/>
  <c r="M113" i="6"/>
  <c r="L114" i="6"/>
  <c r="M114" i="6"/>
  <c r="L115" i="6"/>
  <c r="M115" i="6"/>
  <c r="L116" i="6"/>
  <c r="M116" i="6"/>
  <c r="L117" i="6"/>
  <c r="M117" i="6"/>
  <c r="L118" i="6"/>
  <c r="M118" i="6"/>
  <c r="L119" i="6"/>
  <c r="M119" i="6"/>
  <c r="L120" i="6"/>
  <c r="M120" i="6"/>
  <c r="L121" i="6"/>
  <c r="M121" i="6"/>
  <c r="L122" i="6"/>
  <c r="M122" i="6"/>
  <c r="L123" i="6"/>
  <c r="M123" i="6"/>
  <c r="L124" i="6"/>
  <c r="M124" i="6"/>
  <c r="L125" i="6"/>
  <c r="M125" i="6"/>
  <c r="L126" i="6"/>
  <c r="M126" i="6"/>
  <c r="L127" i="6"/>
  <c r="M127" i="6"/>
  <c r="L128" i="6"/>
  <c r="M128" i="6"/>
  <c r="L129" i="6"/>
  <c r="M129" i="6"/>
  <c r="L130" i="6"/>
  <c r="M130" i="6"/>
  <c r="L131" i="6"/>
  <c r="M131" i="6"/>
  <c r="L132" i="6"/>
  <c r="M132" i="6"/>
  <c r="L133" i="6"/>
  <c r="M133" i="6"/>
  <c r="L134" i="6"/>
  <c r="M134" i="6"/>
  <c r="L135" i="6"/>
  <c r="M135" i="6"/>
  <c r="L136" i="6"/>
  <c r="M136" i="6"/>
  <c r="L137" i="6"/>
  <c r="M137" i="6"/>
  <c r="L138" i="6"/>
  <c r="M138" i="6"/>
  <c r="L139" i="6"/>
  <c r="M139" i="6"/>
  <c r="L140" i="6"/>
  <c r="M140" i="6"/>
  <c r="L141" i="6"/>
  <c r="M141" i="6"/>
  <c r="L142" i="6"/>
  <c r="M142" i="6"/>
  <c r="L143" i="6"/>
  <c r="M143" i="6"/>
  <c r="L144" i="6"/>
  <c r="M144" i="6"/>
  <c r="L145" i="6"/>
  <c r="M145" i="6"/>
  <c r="L146" i="6"/>
  <c r="M146" i="6"/>
  <c r="L147" i="6"/>
  <c r="M147" i="6"/>
  <c r="L148" i="6"/>
  <c r="M148" i="6"/>
  <c r="M5" i="6"/>
  <c r="L5" i="6"/>
  <c r="AC6" i="6"/>
  <c r="AD6" i="6"/>
  <c r="AC7" i="6"/>
  <c r="AD7" i="6"/>
  <c r="AC8" i="6"/>
  <c r="AD8" i="6"/>
  <c r="AC9" i="6"/>
  <c r="AD9" i="6"/>
  <c r="AC10" i="6"/>
  <c r="AD10" i="6"/>
  <c r="AC11" i="6"/>
  <c r="AD11" i="6"/>
  <c r="AC12" i="6"/>
  <c r="AD12" i="6"/>
  <c r="AC13" i="6"/>
  <c r="AD13" i="6"/>
  <c r="AC14" i="6"/>
  <c r="AD14" i="6"/>
  <c r="AC15" i="6"/>
  <c r="AD15" i="6"/>
  <c r="AC16" i="6"/>
  <c r="AD16" i="6"/>
  <c r="AC17" i="6"/>
  <c r="AD17" i="6"/>
  <c r="AC18" i="6"/>
  <c r="AD18" i="6"/>
  <c r="AC19" i="6"/>
  <c r="AD19" i="6"/>
  <c r="AC20" i="6"/>
  <c r="AD20" i="6"/>
  <c r="AC21" i="6"/>
  <c r="AU9" i="6" s="1"/>
  <c r="AD21" i="6"/>
  <c r="AC22" i="6"/>
  <c r="AD22" i="6"/>
  <c r="AC23" i="6"/>
  <c r="AD23" i="6"/>
  <c r="AC24" i="6"/>
  <c r="AD24" i="6"/>
  <c r="AC25" i="6"/>
  <c r="AD25" i="6"/>
  <c r="AC26" i="6"/>
  <c r="AD26" i="6"/>
  <c r="AC27" i="6"/>
  <c r="AD27" i="6"/>
  <c r="AC28" i="6"/>
  <c r="AD28" i="6"/>
  <c r="AC29" i="6"/>
  <c r="AD29" i="6"/>
  <c r="AC30" i="6"/>
  <c r="AD30" i="6"/>
  <c r="AC31" i="6"/>
  <c r="AD31" i="6"/>
  <c r="AC32" i="6"/>
  <c r="AD32" i="6"/>
  <c r="AC33" i="6"/>
  <c r="AD33" i="6"/>
  <c r="AC34" i="6"/>
  <c r="AD34" i="6"/>
  <c r="AC35" i="6"/>
  <c r="AD35" i="6"/>
  <c r="AC36" i="6"/>
  <c r="AD36" i="6"/>
  <c r="AC37" i="6"/>
  <c r="AD37" i="6"/>
  <c r="AC38" i="6"/>
  <c r="AD38" i="6"/>
  <c r="AC39" i="6"/>
  <c r="AD39" i="6"/>
  <c r="AC40" i="6"/>
  <c r="AD40" i="6"/>
  <c r="AC41" i="6"/>
  <c r="AD41" i="6"/>
  <c r="AC42" i="6"/>
  <c r="AD42" i="6"/>
  <c r="AC43" i="6"/>
  <c r="AD43" i="6"/>
  <c r="AC44" i="6"/>
  <c r="AD44" i="6"/>
  <c r="AC45" i="6"/>
  <c r="AU15" i="6" s="1"/>
  <c r="AD45" i="6"/>
  <c r="AC46" i="6"/>
  <c r="AD46" i="6"/>
  <c r="AC47" i="6"/>
  <c r="AD47" i="6"/>
  <c r="AC48" i="6"/>
  <c r="AD48" i="6"/>
  <c r="AC49" i="6"/>
  <c r="AD49" i="6"/>
  <c r="AC50" i="6"/>
  <c r="AD50" i="6"/>
  <c r="AC51" i="6"/>
  <c r="AD51" i="6"/>
  <c r="AC52" i="6"/>
  <c r="AD52" i="6"/>
  <c r="AC53" i="6"/>
  <c r="AD53" i="6"/>
  <c r="AC54" i="6"/>
  <c r="AD54" i="6"/>
  <c r="AC55" i="6"/>
  <c r="AD55" i="6"/>
  <c r="AC56" i="6"/>
  <c r="AD56" i="6"/>
  <c r="AC57" i="6"/>
  <c r="AD57" i="6"/>
  <c r="AC58" i="6"/>
  <c r="AD58" i="6"/>
  <c r="AC59" i="6"/>
  <c r="AD59" i="6"/>
  <c r="AC60" i="6"/>
  <c r="AD60" i="6"/>
  <c r="AC61" i="6"/>
  <c r="AD61" i="6"/>
  <c r="AC62" i="6"/>
  <c r="AD62" i="6"/>
  <c r="AC63" i="6"/>
  <c r="AD63" i="6"/>
  <c r="AC64" i="6"/>
  <c r="AD64" i="6"/>
  <c r="AC65" i="6"/>
  <c r="AD65" i="6"/>
  <c r="AC66" i="6"/>
  <c r="AD66" i="6"/>
  <c r="AC67" i="6"/>
  <c r="AD67" i="6"/>
  <c r="AC68" i="6"/>
  <c r="AD68" i="6"/>
  <c r="AC69" i="6"/>
  <c r="AD69" i="6"/>
  <c r="AC70" i="6"/>
  <c r="AD70" i="6"/>
  <c r="AC71" i="6"/>
  <c r="AD71" i="6"/>
  <c r="AC72" i="6"/>
  <c r="AD72" i="6"/>
  <c r="AC73" i="6"/>
  <c r="AD73" i="6"/>
  <c r="AC74" i="6"/>
  <c r="AD74" i="6"/>
  <c r="AC75" i="6"/>
  <c r="AD75" i="6"/>
  <c r="AC76" i="6"/>
  <c r="AD76" i="6"/>
  <c r="AC77" i="6"/>
  <c r="AD77" i="6"/>
  <c r="AC78" i="6"/>
  <c r="AD78" i="6"/>
  <c r="AC79" i="6"/>
  <c r="AD79" i="6"/>
  <c r="AC80" i="6"/>
  <c r="AD80" i="6"/>
  <c r="AC81" i="6"/>
  <c r="AD81" i="6"/>
  <c r="AC82" i="6"/>
  <c r="AD82" i="6"/>
  <c r="AC83" i="6"/>
  <c r="AD83" i="6"/>
  <c r="AC84" i="6"/>
  <c r="AD84" i="6"/>
  <c r="AC85" i="6"/>
  <c r="AD85" i="6"/>
  <c r="AC86" i="6"/>
  <c r="AD86" i="6"/>
  <c r="AC87" i="6"/>
  <c r="AD87" i="6"/>
  <c r="AC88" i="6"/>
  <c r="AD88" i="6"/>
  <c r="AC89" i="6"/>
  <c r="AD89" i="6"/>
  <c r="AC90" i="6"/>
  <c r="AD90" i="6"/>
  <c r="AC91" i="6"/>
  <c r="AD91" i="6"/>
  <c r="AC92" i="6"/>
  <c r="AD92" i="6"/>
  <c r="AC93" i="6"/>
  <c r="AD93" i="6"/>
  <c r="AC94" i="6"/>
  <c r="AD94" i="6"/>
  <c r="AC95" i="6"/>
  <c r="AD95" i="6"/>
  <c r="AC96" i="6"/>
  <c r="AD96" i="6"/>
  <c r="AC97" i="6"/>
  <c r="AU28" i="6" s="1"/>
  <c r="AD97" i="6"/>
  <c r="AC98" i="6"/>
  <c r="AD98" i="6"/>
  <c r="AC99" i="6"/>
  <c r="AD99" i="6"/>
  <c r="AC100" i="6"/>
  <c r="AD100" i="6"/>
  <c r="AC101" i="6"/>
  <c r="AD101" i="6"/>
  <c r="AC102" i="6"/>
  <c r="AD102" i="6"/>
  <c r="AC103" i="6"/>
  <c r="AD103" i="6"/>
  <c r="AC104" i="6"/>
  <c r="AD104" i="6"/>
  <c r="AC105" i="6"/>
  <c r="AD105" i="6"/>
  <c r="AC106" i="6"/>
  <c r="AD106" i="6"/>
  <c r="AC107" i="6"/>
  <c r="AD107" i="6"/>
  <c r="AC108" i="6"/>
  <c r="AD108" i="6"/>
  <c r="AC109" i="6"/>
  <c r="AD109" i="6"/>
  <c r="AC110" i="6"/>
  <c r="AD110" i="6"/>
  <c r="AC111" i="6"/>
  <c r="AD111" i="6"/>
  <c r="AC112" i="6"/>
  <c r="AD112" i="6"/>
  <c r="AC113" i="6"/>
  <c r="AD113" i="6"/>
  <c r="AC114" i="6"/>
  <c r="AD114" i="6"/>
  <c r="AC115" i="6"/>
  <c r="AD115" i="6"/>
  <c r="AC116" i="6"/>
  <c r="AD116" i="6"/>
  <c r="AC117" i="6"/>
  <c r="AD117" i="6"/>
  <c r="AC118" i="6"/>
  <c r="AD118" i="6"/>
  <c r="AC119" i="6"/>
  <c r="AD119" i="6"/>
  <c r="AC120" i="6"/>
  <c r="AD120" i="6"/>
  <c r="AC121" i="6"/>
  <c r="AU34" i="6" s="1"/>
  <c r="AD121" i="6"/>
  <c r="AC122" i="6"/>
  <c r="AD122" i="6"/>
  <c r="AC123" i="6"/>
  <c r="AD123" i="6"/>
  <c r="AC124" i="6"/>
  <c r="AD124" i="6"/>
  <c r="AC125" i="6"/>
  <c r="AD125" i="6"/>
  <c r="AC126" i="6"/>
  <c r="AD126" i="6"/>
  <c r="AC127" i="6"/>
  <c r="AD127" i="6"/>
  <c r="AC128" i="6"/>
  <c r="AD128" i="6"/>
  <c r="AC129" i="6"/>
  <c r="AD129" i="6"/>
  <c r="AC130" i="6"/>
  <c r="AD130" i="6"/>
  <c r="AC131" i="6"/>
  <c r="AD131" i="6"/>
  <c r="AC132" i="6"/>
  <c r="AD132" i="6"/>
  <c r="AC133" i="6"/>
  <c r="AD133" i="6"/>
  <c r="AC134" i="6"/>
  <c r="AD134" i="6"/>
  <c r="AC135" i="6"/>
  <c r="AD135" i="6"/>
  <c r="AC136" i="6"/>
  <c r="AD136" i="6"/>
  <c r="AC137" i="6"/>
  <c r="AD137" i="6"/>
  <c r="AC138" i="6"/>
  <c r="AD138" i="6"/>
  <c r="AC139" i="6"/>
  <c r="AD139" i="6"/>
  <c r="AC140" i="6"/>
  <c r="AD140" i="6"/>
  <c r="AC141" i="6"/>
  <c r="AD141" i="6"/>
  <c r="AC142" i="6"/>
  <c r="AD142" i="6"/>
  <c r="AC143" i="6"/>
  <c r="AD143" i="6"/>
  <c r="AC144" i="6"/>
  <c r="AD144" i="6"/>
  <c r="AC145" i="6"/>
  <c r="AD145" i="6"/>
  <c r="AC146" i="6"/>
  <c r="AD146" i="6"/>
  <c r="AC147" i="6"/>
  <c r="AD147" i="6"/>
  <c r="AC148" i="6"/>
  <c r="AD148" i="6"/>
  <c r="AD5" i="6"/>
  <c r="AC5" i="6"/>
  <c r="AU5" i="6" s="1"/>
  <c r="U6" i="6"/>
  <c r="V6" i="6"/>
  <c r="W6" i="6"/>
  <c r="X6" i="6"/>
  <c r="Y6" i="6"/>
  <c r="Z6" i="6"/>
  <c r="AA6" i="6"/>
  <c r="AB6" i="6"/>
  <c r="U7" i="6"/>
  <c r="V7" i="6"/>
  <c r="W7" i="6"/>
  <c r="X7" i="6"/>
  <c r="Y7" i="6"/>
  <c r="Z7" i="6"/>
  <c r="AA7" i="6"/>
  <c r="AB7" i="6"/>
  <c r="U8" i="6"/>
  <c r="V8" i="6"/>
  <c r="W8" i="6"/>
  <c r="X8" i="6"/>
  <c r="Y8" i="6"/>
  <c r="Z8" i="6"/>
  <c r="AA8" i="6"/>
  <c r="AB8" i="6"/>
  <c r="U9" i="6"/>
  <c r="V9" i="6"/>
  <c r="W9" i="6"/>
  <c r="X9" i="6"/>
  <c r="Y9" i="6"/>
  <c r="Z9" i="6"/>
  <c r="AA9" i="6"/>
  <c r="AB9" i="6"/>
  <c r="U10" i="6"/>
  <c r="V10" i="6"/>
  <c r="W10" i="6"/>
  <c r="X10" i="6"/>
  <c r="Y10" i="6"/>
  <c r="Z10" i="6"/>
  <c r="AA10" i="6"/>
  <c r="AB10" i="6"/>
  <c r="U11" i="6"/>
  <c r="V11" i="6"/>
  <c r="W11" i="6"/>
  <c r="X11" i="6"/>
  <c r="Y11" i="6"/>
  <c r="Z11" i="6"/>
  <c r="AA11" i="6"/>
  <c r="AB11" i="6"/>
  <c r="U12" i="6"/>
  <c r="V12" i="6"/>
  <c r="W12" i="6"/>
  <c r="X12" i="6"/>
  <c r="Y12" i="6"/>
  <c r="Z12" i="6"/>
  <c r="AA12" i="6"/>
  <c r="AB12" i="6"/>
  <c r="U13" i="6"/>
  <c r="V13" i="6"/>
  <c r="W13" i="6"/>
  <c r="X13" i="6"/>
  <c r="Y13" i="6"/>
  <c r="Z13" i="6"/>
  <c r="AA13" i="6"/>
  <c r="AB13" i="6"/>
  <c r="U14" i="6"/>
  <c r="V14" i="6"/>
  <c r="W14" i="6"/>
  <c r="X14" i="6"/>
  <c r="Y14" i="6"/>
  <c r="Z14" i="6"/>
  <c r="AA14" i="6"/>
  <c r="AB14" i="6"/>
  <c r="U15" i="6"/>
  <c r="V15" i="6"/>
  <c r="W15" i="6"/>
  <c r="X15" i="6"/>
  <c r="Y15" i="6"/>
  <c r="Z15" i="6"/>
  <c r="AA15" i="6"/>
  <c r="AB15" i="6"/>
  <c r="U16" i="6"/>
  <c r="V16" i="6"/>
  <c r="W16" i="6"/>
  <c r="X16" i="6"/>
  <c r="Y16" i="6"/>
  <c r="Z16" i="6"/>
  <c r="AA16" i="6"/>
  <c r="AB16" i="6"/>
  <c r="U17" i="6"/>
  <c r="V17" i="6"/>
  <c r="W17" i="6"/>
  <c r="X17" i="6"/>
  <c r="Y17" i="6"/>
  <c r="Z17" i="6"/>
  <c r="AA17" i="6"/>
  <c r="AB17" i="6"/>
  <c r="U18" i="6"/>
  <c r="V18" i="6"/>
  <c r="W18" i="6"/>
  <c r="X18" i="6"/>
  <c r="Y18" i="6"/>
  <c r="Z18" i="6"/>
  <c r="AA18" i="6"/>
  <c r="AB18" i="6"/>
  <c r="U19" i="6"/>
  <c r="V19" i="6"/>
  <c r="W19" i="6"/>
  <c r="X19" i="6"/>
  <c r="Y19" i="6"/>
  <c r="Z19" i="6"/>
  <c r="AA19" i="6"/>
  <c r="AB19" i="6"/>
  <c r="U20" i="6"/>
  <c r="V20" i="6"/>
  <c r="W20" i="6"/>
  <c r="X20" i="6"/>
  <c r="Y20" i="6"/>
  <c r="Z20" i="6"/>
  <c r="AA20" i="6"/>
  <c r="AB20" i="6"/>
  <c r="U21" i="6"/>
  <c r="V21" i="6"/>
  <c r="W21" i="6"/>
  <c r="X21" i="6"/>
  <c r="Y21" i="6"/>
  <c r="Z21" i="6"/>
  <c r="AA21" i="6"/>
  <c r="AB21" i="6"/>
  <c r="U22" i="6"/>
  <c r="V22" i="6"/>
  <c r="W22" i="6"/>
  <c r="X22" i="6"/>
  <c r="Y22" i="6"/>
  <c r="Z22" i="6"/>
  <c r="AA22" i="6"/>
  <c r="AB22" i="6"/>
  <c r="U23" i="6"/>
  <c r="V23" i="6"/>
  <c r="W23" i="6"/>
  <c r="X23" i="6"/>
  <c r="Y23" i="6"/>
  <c r="Z23" i="6"/>
  <c r="AA23" i="6"/>
  <c r="AB23" i="6"/>
  <c r="U24" i="6"/>
  <c r="V24" i="6"/>
  <c r="W24" i="6"/>
  <c r="X24" i="6"/>
  <c r="Y24" i="6"/>
  <c r="Z24" i="6"/>
  <c r="AA24" i="6"/>
  <c r="AB24" i="6"/>
  <c r="U25" i="6"/>
  <c r="V25" i="6"/>
  <c r="W25" i="6"/>
  <c r="X25" i="6"/>
  <c r="Y25" i="6"/>
  <c r="Z25" i="6"/>
  <c r="AA25" i="6"/>
  <c r="AB25" i="6"/>
  <c r="U26" i="6"/>
  <c r="V26" i="6"/>
  <c r="W26" i="6"/>
  <c r="X26" i="6"/>
  <c r="Y26" i="6"/>
  <c r="Z26" i="6"/>
  <c r="AA26" i="6"/>
  <c r="AB26" i="6"/>
  <c r="U27" i="6"/>
  <c r="V27" i="6"/>
  <c r="W27" i="6"/>
  <c r="X27" i="6"/>
  <c r="Y27" i="6"/>
  <c r="Z27" i="6"/>
  <c r="AA27" i="6"/>
  <c r="AB27" i="6"/>
  <c r="U28" i="6"/>
  <c r="V28" i="6"/>
  <c r="W28" i="6"/>
  <c r="X28" i="6"/>
  <c r="Y28" i="6"/>
  <c r="Z28" i="6"/>
  <c r="AA28" i="6"/>
  <c r="AB28" i="6"/>
  <c r="U29" i="6"/>
  <c r="V29" i="6"/>
  <c r="W29" i="6"/>
  <c r="X29" i="6"/>
  <c r="Y29" i="6"/>
  <c r="Z29" i="6"/>
  <c r="AA29" i="6"/>
  <c r="AB29" i="6"/>
  <c r="U30" i="6"/>
  <c r="V30" i="6"/>
  <c r="W30" i="6"/>
  <c r="X30" i="6"/>
  <c r="Y30" i="6"/>
  <c r="Z30" i="6"/>
  <c r="AA30" i="6"/>
  <c r="AB30" i="6"/>
  <c r="U31" i="6"/>
  <c r="V31" i="6"/>
  <c r="W31" i="6"/>
  <c r="X31" i="6"/>
  <c r="Y31" i="6"/>
  <c r="Z31" i="6"/>
  <c r="AA31" i="6"/>
  <c r="AB31" i="6"/>
  <c r="U32" i="6"/>
  <c r="V32" i="6"/>
  <c r="W32" i="6"/>
  <c r="X32" i="6"/>
  <c r="Y32" i="6"/>
  <c r="Z32" i="6"/>
  <c r="AA32" i="6"/>
  <c r="AB32" i="6"/>
  <c r="U33" i="6"/>
  <c r="V33" i="6"/>
  <c r="W33" i="6"/>
  <c r="X33" i="6"/>
  <c r="Y33" i="6"/>
  <c r="Z33" i="6"/>
  <c r="AA33" i="6"/>
  <c r="AB33" i="6"/>
  <c r="U34" i="6"/>
  <c r="V34" i="6"/>
  <c r="W34" i="6"/>
  <c r="X34" i="6"/>
  <c r="Y34" i="6"/>
  <c r="Z34" i="6"/>
  <c r="AA34" i="6"/>
  <c r="AB34" i="6"/>
  <c r="U35" i="6"/>
  <c r="V35" i="6"/>
  <c r="W35" i="6"/>
  <c r="X35" i="6"/>
  <c r="Y35" i="6"/>
  <c r="Z35" i="6"/>
  <c r="AA35" i="6"/>
  <c r="AB35" i="6"/>
  <c r="U36" i="6"/>
  <c r="V36" i="6"/>
  <c r="W36" i="6"/>
  <c r="X36" i="6"/>
  <c r="Y36" i="6"/>
  <c r="Z36" i="6"/>
  <c r="AA36" i="6"/>
  <c r="AB36" i="6"/>
  <c r="U37" i="6"/>
  <c r="V37" i="6"/>
  <c r="W37" i="6"/>
  <c r="X37" i="6"/>
  <c r="Y37" i="6"/>
  <c r="Z37" i="6"/>
  <c r="AA37" i="6"/>
  <c r="AB37" i="6"/>
  <c r="U38" i="6"/>
  <c r="V38" i="6"/>
  <c r="W38" i="6"/>
  <c r="X38" i="6"/>
  <c r="Y38" i="6"/>
  <c r="Z38" i="6"/>
  <c r="AA38" i="6"/>
  <c r="AB38" i="6"/>
  <c r="U39" i="6"/>
  <c r="V39" i="6"/>
  <c r="W39" i="6"/>
  <c r="X39" i="6"/>
  <c r="Y39" i="6"/>
  <c r="Z39" i="6"/>
  <c r="AA39" i="6"/>
  <c r="AB39" i="6"/>
  <c r="U40" i="6"/>
  <c r="V40" i="6"/>
  <c r="W40" i="6"/>
  <c r="X40" i="6"/>
  <c r="Y40" i="6"/>
  <c r="Z40" i="6"/>
  <c r="AA40" i="6"/>
  <c r="AB40" i="6"/>
  <c r="U41" i="6"/>
  <c r="V41" i="6"/>
  <c r="W41" i="6"/>
  <c r="X41" i="6"/>
  <c r="Y41" i="6"/>
  <c r="Z41" i="6"/>
  <c r="AA41" i="6"/>
  <c r="AB41" i="6"/>
  <c r="U42" i="6"/>
  <c r="V42" i="6"/>
  <c r="W42" i="6"/>
  <c r="X42" i="6"/>
  <c r="Y42" i="6"/>
  <c r="Z42" i="6"/>
  <c r="AA42" i="6"/>
  <c r="AB42" i="6"/>
  <c r="U43" i="6"/>
  <c r="V43" i="6"/>
  <c r="W43" i="6"/>
  <c r="X43" i="6"/>
  <c r="Y43" i="6"/>
  <c r="Z43" i="6"/>
  <c r="AA43" i="6"/>
  <c r="AB43" i="6"/>
  <c r="U44" i="6"/>
  <c r="V44" i="6"/>
  <c r="W44" i="6"/>
  <c r="X44" i="6"/>
  <c r="Y44" i="6"/>
  <c r="Z44" i="6"/>
  <c r="AA44" i="6"/>
  <c r="AB44" i="6"/>
  <c r="U45" i="6"/>
  <c r="V45" i="6"/>
  <c r="W45" i="6"/>
  <c r="X45" i="6"/>
  <c r="Y45" i="6"/>
  <c r="Z45" i="6"/>
  <c r="AA45" i="6"/>
  <c r="AB45" i="6"/>
  <c r="U46" i="6"/>
  <c r="V46" i="6"/>
  <c r="W46" i="6"/>
  <c r="X46" i="6"/>
  <c r="Y46" i="6"/>
  <c r="Z46" i="6"/>
  <c r="AA46" i="6"/>
  <c r="AB46" i="6"/>
  <c r="U47" i="6"/>
  <c r="V47" i="6"/>
  <c r="W47" i="6"/>
  <c r="X47" i="6"/>
  <c r="Y47" i="6"/>
  <c r="Z47" i="6"/>
  <c r="AA47" i="6"/>
  <c r="AB47" i="6"/>
  <c r="U48" i="6"/>
  <c r="V48" i="6"/>
  <c r="W48" i="6"/>
  <c r="X48" i="6"/>
  <c r="Y48" i="6"/>
  <c r="Z48" i="6"/>
  <c r="AA48" i="6"/>
  <c r="AB48" i="6"/>
  <c r="U49" i="6"/>
  <c r="V49" i="6"/>
  <c r="W49" i="6"/>
  <c r="X49" i="6"/>
  <c r="Y49" i="6"/>
  <c r="Z49" i="6"/>
  <c r="AA49" i="6"/>
  <c r="AB49" i="6"/>
  <c r="U50" i="6"/>
  <c r="V50" i="6"/>
  <c r="W50" i="6"/>
  <c r="X50" i="6"/>
  <c r="Y50" i="6"/>
  <c r="Z50" i="6"/>
  <c r="AA50" i="6"/>
  <c r="AB50" i="6"/>
  <c r="U51" i="6"/>
  <c r="V51" i="6"/>
  <c r="W51" i="6"/>
  <c r="X51" i="6"/>
  <c r="Y51" i="6"/>
  <c r="Z51" i="6"/>
  <c r="AA51" i="6"/>
  <c r="AB51" i="6"/>
  <c r="U52" i="6"/>
  <c r="V52" i="6"/>
  <c r="W52" i="6"/>
  <c r="X52" i="6"/>
  <c r="Y52" i="6"/>
  <c r="Z52" i="6"/>
  <c r="AA52" i="6"/>
  <c r="AB52" i="6"/>
  <c r="U53" i="6"/>
  <c r="V53" i="6"/>
  <c r="W53" i="6"/>
  <c r="X53" i="6"/>
  <c r="Y53" i="6"/>
  <c r="Z53" i="6"/>
  <c r="AA53" i="6"/>
  <c r="AB53" i="6"/>
  <c r="U54" i="6"/>
  <c r="V54" i="6"/>
  <c r="W54" i="6"/>
  <c r="X54" i="6"/>
  <c r="Y54" i="6"/>
  <c r="Z54" i="6"/>
  <c r="AA54" i="6"/>
  <c r="AB54" i="6"/>
  <c r="U55" i="6"/>
  <c r="V55" i="6"/>
  <c r="W55" i="6"/>
  <c r="X55" i="6"/>
  <c r="Y55" i="6"/>
  <c r="Z55" i="6"/>
  <c r="AA55" i="6"/>
  <c r="AB55" i="6"/>
  <c r="U56" i="6"/>
  <c r="V56" i="6"/>
  <c r="W56" i="6"/>
  <c r="X56" i="6"/>
  <c r="Y56" i="6"/>
  <c r="Z56" i="6"/>
  <c r="AA56" i="6"/>
  <c r="AB56" i="6"/>
  <c r="U57" i="6"/>
  <c r="V57" i="6"/>
  <c r="W57" i="6"/>
  <c r="X57" i="6"/>
  <c r="Y57" i="6"/>
  <c r="Z57" i="6"/>
  <c r="AA57" i="6"/>
  <c r="AB57" i="6"/>
  <c r="U58" i="6"/>
  <c r="V58" i="6"/>
  <c r="W58" i="6"/>
  <c r="X58" i="6"/>
  <c r="Y58" i="6"/>
  <c r="Z58" i="6"/>
  <c r="AA58" i="6"/>
  <c r="AB58" i="6"/>
  <c r="U59" i="6"/>
  <c r="V59" i="6"/>
  <c r="W59" i="6"/>
  <c r="X59" i="6"/>
  <c r="Y59" i="6"/>
  <c r="Z59" i="6"/>
  <c r="AA59" i="6"/>
  <c r="AB59" i="6"/>
  <c r="U60" i="6"/>
  <c r="V60" i="6"/>
  <c r="W60" i="6"/>
  <c r="X60" i="6"/>
  <c r="Y60" i="6"/>
  <c r="Z60" i="6"/>
  <c r="AA60" i="6"/>
  <c r="AB60" i="6"/>
  <c r="U61" i="6"/>
  <c r="V61" i="6"/>
  <c r="W61" i="6"/>
  <c r="X61" i="6"/>
  <c r="Y61" i="6"/>
  <c r="Z61" i="6"/>
  <c r="AA61" i="6"/>
  <c r="AB61" i="6"/>
  <c r="U62" i="6"/>
  <c r="V62" i="6"/>
  <c r="W62" i="6"/>
  <c r="X62" i="6"/>
  <c r="Y62" i="6"/>
  <c r="Z62" i="6"/>
  <c r="AA62" i="6"/>
  <c r="AB62" i="6"/>
  <c r="U63" i="6"/>
  <c r="V63" i="6"/>
  <c r="W63" i="6"/>
  <c r="X63" i="6"/>
  <c r="Y63" i="6"/>
  <c r="Z63" i="6"/>
  <c r="AA63" i="6"/>
  <c r="AB63" i="6"/>
  <c r="U64" i="6"/>
  <c r="V64" i="6"/>
  <c r="W64" i="6"/>
  <c r="X64" i="6"/>
  <c r="Y64" i="6"/>
  <c r="Z64" i="6"/>
  <c r="AA64" i="6"/>
  <c r="AB64" i="6"/>
  <c r="U65" i="6"/>
  <c r="V65" i="6"/>
  <c r="W65" i="6"/>
  <c r="X65" i="6"/>
  <c r="Y65" i="6"/>
  <c r="Z65" i="6"/>
  <c r="AA65" i="6"/>
  <c r="AB65" i="6"/>
  <c r="U66" i="6"/>
  <c r="V66" i="6"/>
  <c r="W66" i="6"/>
  <c r="X66" i="6"/>
  <c r="Y66" i="6"/>
  <c r="Z66" i="6"/>
  <c r="AA66" i="6"/>
  <c r="AB66" i="6"/>
  <c r="U67" i="6"/>
  <c r="V67" i="6"/>
  <c r="W67" i="6"/>
  <c r="X67" i="6"/>
  <c r="Y67" i="6"/>
  <c r="Z67" i="6"/>
  <c r="AA67" i="6"/>
  <c r="AB67" i="6"/>
  <c r="U68" i="6"/>
  <c r="V68" i="6"/>
  <c r="W68" i="6"/>
  <c r="X68" i="6"/>
  <c r="Y68" i="6"/>
  <c r="Z68" i="6"/>
  <c r="AA68" i="6"/>
  <c r="AB68" i="6"/>
  <c r="U69" i="6"/>
  <c r="V69" i="6"/>
  <c r="W69" i="6"/>
  <c r="X69" i="6"/>
  <c r="Y69" i="6"/>
  <c r="Z69" i="6"/>
  <c r="AA69" i="6"/>
  <c r="AB69" i="6"/>
  <c r="U70" i="6"/>
  <c r="V70" i="6"/>
  <c r="W70" i="6"/>
  <c r="X70" i="6"/>
  <c r="Y70" i="6"/>
  <c r="Z70" i="6"/>
  <c r="AA70" i="6"/>
  <c r="AB70" i="6"/>
  <c r="U71" i="6"/>
  <c r="V71" i="6"/>
  <c r="W71" i="6"/>
  <c r="X71" i="6"/>
  <c r="Y71" i="6"/>
  <c r="Z71" i="6"/>
  <c r="AA71" i="6"/>
  <c r="AB71" i="6"/>
  <c r="U72" i="6"/>
  <c r="V72" i="6"/>
  <c r="W72" i="6"/>
  <c r="X72" i="6"/>
  <c r="Y72" i="6"/>
  <c r="Z72" i="6"/>
  <c r="AA72" i="6"/>
  <c r="AB72" i="6"/>
  <c r="U73" i="6"/>
  <c r="V73" i="6"/>
  <c r="W73" i="6"/>
  <c r="X73" i="6"/>
  <c r="Y73" i="6"/>
  <c r="Z73" i="6"/>
  <c r="AA73" i="6"/>
  <c r="AB73" i="6"/>
  <c r="U74" i="6"/>
  <c r="V74" i="6"/>
  <c r="W74" i="6"/>
  <c r="X74" i="6"/>
  <c r="Y74" i="6"/>
  <c r="Z74" i="6"/>
  <c r="AA74" i="6"/>
  <c r="AB74" i="6"/>
  <c r="U75" i="6"/>
  <c r="V75" i="6"/>
  <c r="W75" i="6"/>
  <c r="X75" i="6"/>
  <c r="Y75" i="6"/>
  <c r="Z75" i="6"/>
  <c r="AA75" i="6"/>
  <c r="AB75" i="6"/>
  <c r="U76" i="6"/>
  <c r="V76" i="6"/>
  <c r="W76" i="6"/>
  <c r="X76" i="6"/>
  <c r="Y76" i="6"/>
  <c r="Z76" i="6"/>
  <c r="AA76" i="6"/>
  <c r="AB76" i="6"/>
  <c r="U77" i="6"/>
  <c r="V77" i="6"/>
  <c r="W77" i="6"/>
  <c r="X77" i="6"/>
  <c r="Y77" i="6"/>
  <c r="Z77" i="6"/>
  <c r="AA77" i="6"/>
  <c r="AB77" i="6"/>
  <c r="U78" i="6"/>
  <c r="V78" i="6"/>
  <c r="W78" i="6"/>
  <c r="X78" i="6"/>
  <c r="Y78" i="6"/>
  <c r="Z78" i="6"/>
  <c r="AA78" i="6"/>
  <c r="AB78" i="6"/>
  <c r="U79" i="6"/>
  <c r="V79" i="6"/>
  <c r="W79" i="6"/>
  <c r="X79" i="6"/>
  <c r="Y79" i="6"/>
  <c r="Z79" i="6"/>
  <c r="AA79" i="6"/>
  <c r="AB79" i="6"/>
  <c r="U80" i="6"/>
  <c r="V80" i="6"/>
  <c r="W80" i="6"/>
  <c r="X80" i="6"/>
  <c r="Y80" i="6"/>
  <c r="Z80" i="6"/>
  <c r="AA80" i="6"/>
  <c r="AB80" i="6"/>
  <c r="U81" i="6"/>
  <c r="V81" i="6"/>
  <c r="W81" i="6"/>
  <c r="X81" i="6"/>
  <c r="Y81" i="6"/>
  <c r="Z81" i="6"/>
  <c r="AA81" i="6"/>
  <c r="AB81" i="6"/>
  <c r="U82" i="6"/>
  <c r="V82" i="6"/>
  <c r="W82" i="6"/>
  <c r="X82" i="6"/>
  <c r="Y82" i="6"/>
  <c r="Z82" i="6"/>
  <c r="AA82" i="6"/>
  <c r="AB82" i="6"/>
  <c r="U83" i="6"/>
  <c r="V83" i="6"/>
  <c r="W83" i="6"/>
  <c r="X83" i="6"/>
  <c r="Y83" i="6"/>
  <c r="Z83" i="6"/>
  <c r="AA83" i="6"/>
  <c r="AB83" i="6"/>
  <c r="U84" i="6"/>
  <c r="V84" i="6"/>
  <c r="W84" i="6"/>
  <c r="X84" i="6"/>
  <c r="Y84" i="6"/>
  <c r="Z84" i="6"/>
  <c r="AA84" i="6"/>
  <c r="AB84" i="6"/>
  <c r="U85" i="6"/>
  <c r="V85" i="6"/>
  <c r="W85" i="6"/>
  <c r="X85" i="6"/>
  <c r="Y85" i="6"/>
  <c r="Z85" i="6"/>
  <c r="AA85" i="6"/>
  <c r="AB85" i="6"/>
  <c r="U86" i="6"/>
  <c r="V86" i="6"/>
  <c r="W86" i="6"/>
  <c r="X86" i="6"/>
  <c r="Y86" i="6"/>
  <c r="Z86" i="6"/>
  <c r="AA86" i="6"/>
  <c r="AB86" i="6"/>
  <c r="U87" i="6"/>
  <c r="V87" i="6"/>
  <c r="W87" i="6"/>
  <c r="X87" i="6"/>
  <c r="Y87" i="6"/>
  <c r="Z87" i="6"/>
  <c r="AA87" i="6"/>
  <c r="AB87" i="6"/>
  <c r="U88" i="6"/>
  <c r="V88" i="6"/>
  <c r="W88" i="6"/>
  <c r="X88" i="6"/>
  <c r="Y88" i="6"/>
  <c r="Z88" i="6"/>
  <c r="AA88" i="6"/>
  <c r="AB88" i="6"/>
  <c r="U89" i="6"/>
  <c r="V89" i="6"/>
  <c r="W89" i="6"/>
  <c r="X89" i="6"/>
  <c r="Y89" i="6"/>
  <c r="Z89" i="6"/>
  <c r="AA89" i="6"/>
  <c r="AB89" i="6"/>
  <c r="U90" i="6"/>
  <c r="V90" i="6"/>
  <c r="W90" i="6"/>
  <c r="X90" i="6"/>
  <c r="Y90" i="6"/>
  <c r="Z90" i="6"/>
  <c r="AA90" i="6"/>
  <c r="AB90" i="6"/>
  <c r="U91" i="6"/>
  <c r="V91" i="6"/>
  <c r="W91" i="6"/>
  <c r="X91" i="6"/>
  <c r="Y91" i="6"/>
  <c r="Z91" i="6"/>
  <c r="AA91" i="6"/>
  <c r="AB91" i="6"/>
  <c r="U92" i="6"/>
  <c r="V92" i="6"/>
  <c r="W92" i="6"/>
  <c r="X92" i="6"/>
  <c r="Y92" i="6"/>
  <c r="Z92" i="6"/>
  <c r="AA92" i="6"/>
  <c r="AB92" i="6"/>
  <c r="U93" i="6"/>
  <c r="V93" i="6"/>
  <c r="W93" i="6"/>
  <c r="X93" i="6"/>
  <c r="Y93" i="6"/>
  <c r="Z93" i="6"/>
  <c r="AA93" i="6"/>
  <c r="AB93" i="6"/>
  <c r="U94" i="6"/>
  <c r="V94" i="6"/>
  <c r="W94" i="6"/>
  <c r="X94" i="6"/>
  <c r="Y94" i="6"/>
  <c r="Z94" i="6"/>
  <c r="AA94" i="6"/>
  <c r="AB94" i="6"/>
  <c r="U95" i="6"/>
  <c r="V95" i="6"/>
  <c r="W95" i="6"/>
  <c r="X95" i="6"/>
  <c r="Y95" i="6"/>
  <c r="Z95" i="6"/>
  <c r="AA95" i="6"/>
  <c r="AB95" i="6"/>
  <c r="U96" i="6"/>
  <c r="V96" i="6"/>
  <c r="W96" i="6"/>
  <c r="X96" i="6"/>
  <c r="Y96" i="6"/>
  <c r="Z96" i="6"/>
  <c r="AA96" i="6"/>
  <c r="AB96" i="6"/>
  <c r="U97" i="6"/>
  <c r="V97" i="6"/>
  <c r="W97" i="6"/>
  <c r="X97" i="6"/>
  <c r="Y97" i="6"/>
  <c r="Z97" i="6"/>
  <c r="AA97" i="6"/>
  <c r="AB97" i="6"/>
  <c r="U98" i="6"/>
  <c r="V98" i="6"/>
  <c r="W98" i="6"/>
  <c r="X98" i="6"/>
  <c r="Y98" i="6"/>
  <c r="Z98" i="6"/>
  <c r="AA98" i="6"/>
  <c r="AB98" i="6"/>
  <c r="U99" i="6"/>
  <c r="V99" i="6"/>
  <c r="W99" i="6"/>
  <c r="X99" i="6"/>
  <c r="Y99" i="6"/>
  <c r="Z99" i="6"/>
  <c r="AA99" i="6"/>
  <c r="AB99" i="6"/>
  <c r="U100" i="6"/>
  <c r="V100" i="6"/>
  <c r="W100" i="6"/>
  <c r="X100" i="6"/>
  <c r="Y100" i="6"/>
  <c r="Z100" i="6"/>
  <c r="AA100" i="6"/>
  <c r="AB100" i="6"/>
  <c r="U101" i="6"/>
  <c r="V101" i="6"/>
  <c r="W101" i="6"/>
  <c r="X101" i="6"/>
  <c r="Y101" i="6"/>
  <c r="Z101" i="6"/>
  <c r="AA101" i="6"/>
  <c r="AB101" i="6"/>
  <c r="U102" i="6"/>
  <c r="V102" i="6"/>
  <c r="W102" i="6"/>
  <c r="X102" i="6"/>
  <c r="Y102" i="6"/>
  <c r="Z102" i="6"/>
  <c r="AA102" i="6"/>
  <c r="AB102" i="6"/>
  <c r="U103" i="6"/>
  <c r="V103" i="6"/>
  <c r="W103" i="6"/>
  <c r="X103" i="6"/>
  <c r="Y103" i="6"/>
  <c r="Z103" i="6"/>
  <c r="AA103" i="6"/>
  <c r="AB103" i="6"/>
  <c r="U104" i="6"/>
  <c r="V104" i="6"/>
  <c r="W104" i="6"/>
  <c r="X104" i="6"/>
  <c r="Y104" i="6"/>
  <c r="Z104" i="6"/>
  <c r="AA104" i="6"/>
  <c r="AB104" i="6"/>
  <c r="U105" i="6"/>
  <c r="V105" i="6"/>
  <c r="W105" i="6"/>
  <c r="X105" i="6"/>
  <c r="Y105" i="6"/>
  <c r="Z105" i="6"/>
  <c r="AA105" i="6"/>
  <c r="AB105" i="6"/>
  <c r="U106" i="6"/>
  <c r="V106" i="6"/>
  <c r="W106" i="6"/>
  <c r="X106" i="6"/>
  <c r="Y106" i="6"/>
  <c r="Z106" i="6"/>
  <c r="AA106" i="6"/>
  <c r="AB106" i="6"/>
  <c r="U107" i="6"/>
  <c r="V107" i="6"/>
  <c r="W107" i="6"/>
  <c r="X107" i="6"/>
  <c r="Y107" i="6"/>
  <c r="Z107" i="6"/>
  <c r="AA107" i="6"/>
  <c r="AB107" i="6"/>
  <c r="U108" i="6"/>
  <c r="V108" i="6"/>
  <c r="W108" i="6"/>
  <c r="X108" i="6"/>
  <c r="Y108" i="6"/>
  <c r="Z108" i="6"/>
  <c r="AA108" i="6"/>
  <c r="AB108" i="6"/>
  <c r="U109" i="6"/>
  <c r="V109" i="6"/>
  <c r="W109" i="6"/>
  <c r="X109" i="6"/>
  <c r="Y109" i="6"/>
  <c r="Z109" i="6"/>
  <c r="AA109" i="6"/>
  <c r="AB109" i="6"/>
  <c r="U110" i="6"/>
  <c r="V110" i="6"/>
  <c r="W110" i="6"/>
  <c r="X110" i="6"/>
  <c r="Y110" i="6"/>
  <c r="Z110" i="6"/>
  <c r="AA110" i="6"/>
  <c r="AB110" i="6"/>
  <c r="U111" i="6"/>
  <c r="V111" i="6"/>
  <c r="W111" i="6"/>
  <c r="X111" i="6"/>
  <c r="Y111" i="6"/>
  <c r="Z111" i="6"/>
  <c r="AA111" i="6"/>
  <c r="AB111" i="6"/>
  <c r="U112" i="6"/>
  <c r="V112" i="6"/>
  <c r="W112" i="6"/>
  <c r="X112" i="6"/>
  <c r="Y112" i="6"/>
  <c r="Z112" i="6"/>
  <c r="AA112" i="6"/>
  <c r="AB112" i="6"/>
  <c r="U113" i="6"/>
  <c r="V113" i="6"/>
  <c r="W113" i="6"/>
  <c r="X113" i="6"/>
  <c r="Y113" i="6"/>
  <c r="Z113" i="6"/>
  <c r="AA113" i="6"/>
  <c r="AB113" i="6"/>
  <c r="U114" i="6"/>
  <c r="V114" i="6"/>
  <c r="W114" i="6"/>
  <c r="X114" i="6"/>
  <c r="Y114" i="6"/>
  <c r="Z114" i="6"/>
  <c r="AA114" i="6"/>
  <c r="AB114" i="6"/>
  <c r="U115" i="6"/>
  <c r="V115" i="6"/>
  <c r="W115" i="6"/>
  <c r="X115" i="6"/>
  <c r="Y115" i="6"/>
  <c r="Z115" i="6"/>
  <c r="AA115" i="6"/>
  <c r="AB115" i="6"/>
  <c r="U116" i="6"/>
  <c r="V116" i="6"/>
  <c r="W116" i="6"/>
  <c r="X116" i="6"/>
  <c r="Y116" i="6"/>
  <c r="Z116" i="6"/>
  <c r="AA116" i="6"/>
  <c r="AB116" i="6"/>
  <c r="U117" i="6"/>
  <c r="V117" i="6"/>
  <c r="W117" i="6"/>
  <c r="X117" i="6"/>
  <c r="Y117" i="6"/>
  <c r="Z117" i="6"/>
  <c r="AA117" i="6"/>
  <c r="AB117" i="6"/>
  <c r="U118" i="6"/>
  <c r="V118" i="6"/>
  <c r="W118" i="6"/>
  <c r="X118" i="6"/>
  <c r="Y118" i="6"/>
  <c r="Z118" i="6"/>
  <c r="AA118" i="6"/>
  <c r="AB118" i="6"/>
  <c r="U119" i="6"/>
  <c r="V119" i="6"/>
  <c r="W119" i="6"/>
  <c r="X119" i="6"/>
  <c r="Y119" i="6"/>
  <c r="Z119" i="6"/>
  <c r="AA119" i="6"/>
  <c r="AB119" i="6"/>
  <c r="U120" i="6"/>
  <c r="V120" i="6"/>
  <c r="W120" i="6"/>
  <c r="X120" i="6"/>
  <c r="Y120" i="6"/>
  <c r="Z120" i="6"/>
  <c r="AA120" i="6"/>
  <c r="AB120" i="6"/>
  <c r="U121" i="6"/>
  <c r="V121" i="6"/>
  <c r="W121" i="6"/>
  <c r="X121" i="6"/>
  <c r="Y121" i="6"/>
  <c r="Z121" i="6"/>
  <c r="AA121" i="6"/>
  <c r="AB121" i="6"/>
  <c r="U122" i="6"/>
  <c r="V122" i="6"/>
  <c r="W122" i="6"/>
  <c r="X122" i="6"/>
  <c r="Y122" i="6"/>
  <c r="Z122" i="6"/>
  <c r="AA122" i="6"/>
  <c r="AB122" i="6"/>
  <c r="U123" i="6"/>
  <c r="V123" i="6"/>
  <c r="W123" i="6"/>
  <c r="X123" i="6"/>
  <c r="Y123" i="6"/>
  <c r="Z123" i="6"/>
  <c r="AA123" i="6"/>
  <c r="AB123" i="6"/>
  <c r="U124" i="6"/>
  <c r="V124" i="6"/>
  <c r="W124" i="6"/>
  <c r="X124" i="6"/>
  <c r="Y124" i="6"/>
  <c r="Z124" i="6"/>
  <c r="AA124" i="6"/>
  <c r="AB124" i="6"/>
  <c r="U125" i="6"/>
  <c r="V125" i="6"/>
  <c r="W125" i="6"/>
  <c r="X125" i="6"/>
  <c r="Y125" i="6"/>
  <c r="Z125" i="6"/>
  <c r="AA125" i="6"/>
  <c r="AB125" i="6"/>
  <c r="U126" i="6"/>
  <c r="V126" i="6"/>
  <c r="W126" i="6"/>
  <c r="X126" i="6"/>
  <c r="Y126" i="6"/>
  <c r="Z126" i="6"/>
  <c r="AA126" i="6"/>
  <c r="AB126" i="6"/>
  <c r="U127" i="6"/>
  <c r="V127" i="6"/>
  <c r="W127" i="6"/>
  <c r="X127" i="6"/>
  <c r="Y127" i="6"/>
  <c r="Z127" i="6"/>
  <c r="AA127" i="6"/>
  <c r="AB127" i="6"/>
  <c r="U128" i="6"/>
  <c r="V128" i="6"/>
  <c r="W128" i="6"/>
  <c r="X128" i="6"/>
  <c r="Y128" i="6"/>
  <c r="Z128" i="6"/>
  <c r="AA128" i="6"/>
  <c r="AB128" i="6"/>
  <c r="U129" i="6"/>
  <c r="V129" i="6"/>
  <c r="W129" i="6"/>
  <c r="X129" i="6"/>
  <c r="Y129" i="6"/>
  <c r="Z129" i="6"/>
  <c r="AA129" i="6"/>
  <c r="AB129" i="6"/>
  <c r="U130" i="6"/>
  <c r="V130" i="6"/>
  <c r="W130" i="6"/>
  <c r="X130" i="6"/>
  <c r="Y130" i="6"/>
  <c r="Z130" i="6"/>
  <c r="AA130" i="6"/>
  <c r="AB130" i="6"/>
  <c r="U131" i="6"/>
  <c r="V131" i="6"/>
  <c r="W131" i="6"/>
  <c r="X131" i="6"/>
  <c r="Y131" i="6"/>
  <c r="Z131" i="6"/>
  <c r="AA131" i="6"/>
  <c r="AB131" i="6"/>
  <c r="U132" i="6"/>
  <c r="V132" i="6"/>
  <c r="W132" i="6"/>
  <c r="X132" i="6"/>
  <c r="Y132" i="6"/>
  <c r="Z132" i="6"/>
  <c r="AA132" i="6"/>
  <c r="AB132" i="6"/>
  <c r="U133" i="6"/>
  <c r="V133" i="6"/>
  <c r="W133" i="6"/>
  <c r="X133" i="6"/>
  <c r="Y133" i="6"/>
  <c r="Z133" i="6"/>
  <c r="AA133" i="6"/>
  <c r="AB133" i="6"/>
  <c r="U134" i="6"/>
  <c r="V134" i="6"/>
  <c r="W134" i="6"/>
  <c r="X134" i="6"/>
  <c r="Y134" i="6"/>
  <c r="Z134" i="6"/>
  <c r="AA134" i="6"/>
  <c r="AB134" i="6"/>
  <c r="U135" i="6"/>
  <c r="V135" i="6"/>
  <c r="W135" i="6"/>
  <c r="X135" i="6"/>
  <c r="Y135" i="6"/>
  <c r="Z135" i="6"/>
  <c r="AA135" i="6"/>
  <c r="AB135" i="6"/>
  <c r="U136" i="6"/>
  <c r="V136" i="6"/>
  <c r="W136" i="6"/>
  <c r="X136" i="6"/>
  <c r="Y136" i="6"/>
  <c r="Z136" i="6"/>
  <c r="AA136" i="6"/>
  <c r="AB136" i="6"/>
  <c r="U137" i="6"/>
  <c r="V137" i="6"/>
  <c r="W137" i="6"/>
  <c r="X137" i="6"/>
  <c r="Y137" i="6"/>
  <c r="Z137" i="6"/>
  <c r="AA137" i="6"/>
  <c r="AB137" i="6"/>
  <c r="U138" i="6"/>
  <c r="V138" i="6"/>
  <c r="W138" i="6"/>
  <c r="X138" i="6"/>
  <c r="Y138" i="6"/>
  <c r="Z138" i="6"/>
  <c r="AA138" i="6"/>
  <c r="AB138" i="6"/>
  <c r="U139" i="6"/>
  <c r="V139" i="6"/>
  <c r="W139" i="6"/>
  <c r="X139" i="6"/>
  <c r="Y139" i="6"/>
  <c r="Z139" i="6"/>
  <c r="AA139" i="6"/>
  <c r="AB139" i="6"/>
  <c r="U140" i="6"/>
  <c r="V140" i="6"/>
  <c r="W140" i="6"/>
  <c r="X140" i="6"/>
  <c r="Y140" i="6"/>
  <c r="Z140" i="6"/>
  <c r="AA140" i="6"/>
  <c r="AB140" i="6"/>
  <c r="U141" i="6"/>
  <c r="V141" i="6"/>
  <c r="W141" i="6"/>
  <c r="X141" i="6"/>
  <c r="Y141" i="6"/>
  <c r="Z141" i="6"/>
  <c r="AA141" i="6"/>
  <c r="AB141" i="6"/>
  <c r="U142" i="6"/>
  <c r="V142" i="6"/>
  <c r="W142" i="6"/>
  <c r="X142" i="6"/>
  <c r="Y142" i="6"/>
  <c r="Z142" i="6"/>
  <c r="AA142" i="6"/>
  <c r="AB142" i="6"/>
  <c r="U143" i="6"/>
  <c r="V143" i="6"/>
  <c r="W143" i="6"/>
  <c r="X143" i="6"/>
  <c r="Y143" i="6"/>
  <c r="Z143" i="6"/>
  <c r="AA143" i="6"/>
  <c r="AB143" i="6"/>
  <c r="U144" i="6"/>
  <c r="V144" i="6"/>
  <c r="W144" i="6"/>
  <c r="X144" i="6"/>
  <c r="Y144" i="6"/>
  <c r="Z144" i="6"/>
  <c r="AA144" i="6"/>
  <c r="AB144" i="6"/>
  <c r="U145" i="6"/>
  <c r="V145" i="6"/>
  <c r="W145" i="6"/>
  <c r="X145" i="6"/>
  <c r="Y145" i="6"/>
  <c r="Z145" i="6"/>
  <c r="AA145" i="6"/>
  <c r="AB145" i="6"/>
  <c r="U146" i="6"/>
  <c r="V146" i="6"/>
  <c r="W146" i="6"/>
  <c r="X146" i="6"/>
  <c r="Y146" i="6"/>
  <c r="Z146" i="6"/>
  <c r="AA146" i="6"/>
  <c r="AB146" i="6"/>
  <c r="U147" i="6"/>
  <c r="V147" i="6"/>
  <c r="W147" i="6"/>
  <c r="X147" i="6"/>
  <c r="Y147" i="6"/>
  <c r="Z147" i="6"/>
  <c r="AA147" i="6"/>
  <c r="AB147" i="6"/>
  <c r="U148" i="6"/>
  <c r="V148" i="6"/>
  <c r="W148" i="6"/>
  <c r="X148" i="6"/>
  <c r="Y148" i="6"/>
  <c r="Z148" i="6"/>
  <c r="AA148" i="6"/>
  <c r="AB148" i="6"/>
  <c r="V5" i="6"/>
  <c r="W5" i="6"/>
  <c r="X5" i="6"/>
  <c r="Y5" i="6"/>
  <c r="Z5" i="6"/>
  <c r="AA5" i="6"/>
  <c r="AB5" i="6"/>
  <c r="U5" i="6"/>
  <c r="D6" i="6"/>
  <c r="E6" i="6"/>
  <c r="F6" i="6"/>
  <c r="G6" i="6"/>
  <c r="H6" i="6"/>
  <c r="I6" i="6"/>
  <c r="J6" i="6"/>
  <c r="K6" i="6"/>
  <c r="D7" i="6"/>
  <c r="E7" i="6"/>
  <c r="F7" i="6"/>
  <c r="G7" i="6"/>
  <c r="H7" i="6"/>
  <c r="I7" i="6"/>
  <c r="J7" i="6"/>
  <c r="K7" i="6"/>
  <c r="D8" i="6"/>
  <c r="E8" i="6"/>
  <c r="F8" i="6"/>
  <c r="G8" i="6"/>
  <c r="H8" i="6"/>
  <c r="I8" i="6"/>
  <c r="J8" i="6"/>
  <c r="K8" i="6"/>
  <c r="D9" i="6"/>
  <c r="AM6" i="6" s="1"/>
  <c r="E9" i="6"/>
  <c r="AN6" i="6" s="1"/>
  <c r="F9" i="6"/>
  <c r="AO6" i="6" s="1"/>
  <c r="G9" i="6"/>
  <c r="AP6" i="6" s="1"/>
  <c r="H9" i="6"/>
  <c r="AQ6" i="6" s="1"/>
  <c r="I9" i="6"/>
  <c r="AR6" i="6" s="1"/>
  <c r="J9" i="6"/>
  <c r="AS6" i="6" s="1"/>
  <c r="K9" i="6"/>
  <c r="AT6" i="6" s="1"/>
  <c r="D10" i="6"/>
  <c r="E10" i="6"/>
  <c r="F10" i="6"/>
  <c r="G10" i="6"/>
  <c r="H10" i="6"/>
  <c r="I10" i="6"/>
  <c r="J10" i="6"/>
  <c r="K10" i="6"/>
  <c r="D11" i="6"/>
  <c r="E11" i="6"/>
  <c r="F11" i="6"/>
  <c r="G11" i="6"/>
  <c r="H11" i="6"/>
  <c r="I11" i="6"/>
  <c r="J11" i="6"/>
  <c r="K11" i="6"/>
  <c r="D12" i="6"/>
  <c r="E12" i="6"/>
  <c r="F12" i="6"/>
  <c r="G12" i="6"/>
  <c r="H12" i="6"/>
  <c r="I12" i="6"/>
  <c r="J12" i="6"/>
  <c r="K12" i="6"/>
  <c r="D13" i="6"/>
  <c r="AM7" i="6" s="1"/>
  <c r="E13" i="6"/>
  <c r="AN7" i="6" s="1"/>
  <c r="F13" i="6"/>
  <c r="AO7" i="6" s="1"/>
  <c r="G13" i="6"/>
  <c r="AP7" i="6" s="1"/>
  <c r="H13" i="6"/>
  <c r="AQ7" i="6" s="1"/>
  <c r="I13" i="6"/>
  <c r="AR7" i="6" s="1"/>
  <c r="J13" i="6"/>
  <c r="AS7" i="6" s="1"/>
  <c r="K13" i="6"/>
  <c r="AT7" i="6" s="1"/>
  <c r="D14" i="6"/>
  <c r="E14" i="6"/>
  <c r="F14" i="6"/>
  <c r="G14" i="6"/>
  <c r="H14" i="6"/>
  <c r="I14" i="6"/>
  <c r="J14" i="6"/>
  <c r="K14" i="6"/>
  <c r="D15" i="6"/>
  <c r="E15" i="6"/>
  <c r="F15" i="6"/>
  <c r="G15" i="6"/>
  <c r="H15" i="6"/>
  <c r="I15" i="6"/>
  <c r="J15" i="6"/>
  <c r="K15" i="6"/>
  <c r="D16" i="6"/>
  <c r="E16" i="6"/>
  <c r="F16" i="6"/>
  <c r="G16" i="6"/>
  <c r="H16" i="6"/>
  <c r="I16" i="6"/>
  <c r="J16" i="6"/>
  <c r="K16" i="6"/>
  <c r="D17" i="6"/>
  <c r="AM8" i="6" s="1"/>
  <c r="E17" i="6"/>
  <c r="AN8" i="6" s="1"/>
  <c r="F17" i="6"/>
  <c r="AO8" i="6" s="1"/>
  <c r="G17" i="6"/>
  <c r="AP8" i="6" s="1"/>
  <c r="H17" i="6"/>
  <c r="AQ8" i="6" s="1"/>
  <c r="I17" i="6"/>
  <c r="AR8" i="6" s="1"/>
  <c r="J17" i="6"/>
  <c r="AS8" i="6" s="1"/>
  <c r="K17" i="6"/>
  <c r="AT8" i="6" s="1"/>
  <c r="D18" i="6"/>
  <c r="E18" i="6"/>
  <c r="F18" i="6"/>
  <c r="G18" i="6"/>
  <c r="H18" i="6"/>
  <c r="I18" i="6"/>
  <c r="J18" i="6"/>
  <c r="K18" i="6"/>
  <c r="D19" i="6"/>
  <c r="E19" i="6"/>
  <c r="F19" i="6"/>
  <c r="G19" i="6"/>
  <c r="H19" i="6"/>
  <c r="I19" i="6"/>
  <c r="J19" i="6"/>
  <c r="K19" i="6"/>
  <c r="D20" i="6"/>
  <c r="E20" i="6"/>
  <c r="F20" i="6"/>
  <c r="G20" i="6"/>
  <c r="H20" i="6"/>
  <c r="I20" i="6"/>
  <c r="J20" i="6"/>
  <c r="K20" i="6"/>
  <c r="D21" i="6"/>
  <c r="AM9" i="6" s="1"/>
  <c r="E21" i="6"/>
  <c r="AN9" i="6" s="1"/>
  <c r="F21" i="6"/>
  <c r="AO9" i="6" s="1"/>
  <c r="G21" i="6"/>
  <c r="AP9" i="6" s="1"/>
  <c r="H21" i="6"/>
  <c r="AQ9" i="6" s="1"/>
  <c r="I21" i="6"/>
  <c r="AR9" i="6" s="1"/>
  <c r="J21" i="6"/>
  <c r="AS9" i="6" s="1"/>
  <c r="K21" i="6"/>
  <c r="AT9" i="6" s="1"/>
  <c r="D22" i="6"/>
  <c r="E22" i="6"/>
  <c r="F22" i="6"/>
  <c r="G22" i="6"/>
  <c r="H22" i="6"/>
  <c r="I22" i="6"/>
  <c r="J22" i="6"/>
  <c r="K22" i="6"/>
  <c r="D23" i="6"/>
  <c r="E23" i="6"/>
  <c r="F23" i="6"/>
  <c r="G23" i="6"/>
  <c r="H23" i="6"/>
  <c r="I23" i="6"/>
  <c r="J23" i="6"/>
  <c r="K23" i="6"/>
  <c r="D24" i="6"/>
  <c r="E24" i="6"/>
  <c r="F24" i="6"/>
  <c r="G24" i="6"/>
  <c r="H24" i="6"/>
  <c r="I24" i="6"/>
  <c r="J24" i="6"/>
  <c r="K24" i="6"/>
  <c r="D25" i="6"/>
  <c r="AM10" i="6" s="1"/>
  <c r="E25" i="6"/>
  <c r="AN10" i="6" s="1"/>
  <c r="F25" i="6"/>
  <c r="AO10" i="6" s="1"/>
  <c r="G25" i="6"/>
  <c r="AP10" i="6" s="1"/>
  <c r="H25" i="6"/>
  <c r="AQ10" i="6" s="1"/>
  <c r="I25" i="6"/>
  <c r="AR10" i="6" s="1"/>
  <c r="J25" i="6"/>
  <c r="AS10" i="6" s="1"/>
  <c r="K25" i="6"/>
  <c r="AT10" i="6" s="1"/>
  <c r="D26" i="6"/>
  <c r="E26" i="6"/>
  <c r="F26" i="6"/>
  <c r="G26" i="6"/>
  <c r="H26" i="6"/>
  <c r="I26" i="6"/>
  <c r="J26" i="6"/>
  <c r="K26" i="6"/>
  <c r="D27" i="6"/>
  <c r="E27" i="6"/>
  <c r="F27" i="6"/>
  <c r="G27" i="6"/>
  <c r="H27" i="6"/>
  <c r="I27" i="6"/>
  <c r="J27" i="6"/>
  <c r="K27" i="6"/>
  <c r="D28" i="6"/>
  <c r="E28" i="6"/>
  <c r="F28" i="6"/>
  <c r="G28" i="6"/>
  <c r="H28" i="6"/>
  <c r="I28" i="6"/>
  <c r="J28" i="6"/>
  <c r="K28" i="6"/>
  <c r="D29" i="6"/>
  <c r="AM11" i="6" s="1"/>
  <c r="E29" i="6"/>
  <c r="AN11" i="6" s="1"/>
  <c r="F29" i="6"/>
  <c r="AO11" i="6" s="1"/>
  <c r="G29" i="6"/>
  <c r="AP11" i="6" s="1"/>
  <c r="H29" i="6"/>
  <c r="AQ11" i="6" s="1"/>
  <c r="I29" i="6"/>
  <c r="AR11" i="6" s="1"/>
  <c r="J29" i="6"/>
  <c r="AS11" i="6" s="1"/>
  <c r="K29" i="6"/>
  <c r="AT11" i="6" s="1"/>
  <c r="D30" i="6"/>
  <c r="E30" i="6"/>
  <c r="F30" i="6"/>
  <c r="G30" i="6"/>
  <c r="H30" i="6"/>
  <c r="I30" i="6"/>
  <c r="J30" i="6"/>
  <c r="K30" i="6"/>
  <c r="D31" i="6"/>
  <c r="E31" i="6"/>
  <c r="F31" i="6"/>
  <c r="G31" i="6"/>
  <c r="H31" i="6"/>
  <c r="I31" i="6"/>
  <c r="J31" i="6"/>
  <c r="K31" i="6"/>
  <c r="D32" i="6"/>
  <c r="E32" i="6"/>
  <c r="F32" i="6"/>
  <c r="G32" i="6"/>
  <c r="H32" i="6"/>
  <c r="I32" i="6"/>
  <c r="J32" i="6"/>
  <c r="K32" i="6"/>
  <c r="D33" i="6"/>
  <c r="AM12" i="6" s="1"/>
  <c r="E33" i="6"/>
  <c r="AN12" i="6" s="1"/>
  <c r="F33" i="6"/>
  <c r="AO12" i="6" s="1"/>
  <c r="G33" i="6"/>
  <c r="AP12" i="6" s="1"/>
  <c r="H33" i="6"/>
  <c r="AQ12" i="6" s="1"/>
  <c r="I33" i="6"/>
  <c r="AR12" i="6" s="1"/>
  <c r="J33" i="6"/>
  <c r="AS12" i="6" s="1"/>
  <c r="K33" i="6"/>
  <c r="AT12" i="6" s="1"/>
  <c r="D34" i="6"/>
  <c r="E34" i="6"/>
  <c r="F34" i="6"/>
  <c r="G34" i="6"/>
  <c r="H34" i="6"/>
  <c r="I34" i="6"/>
  <c r="J34" i="6"/>
  <c r="K34" i="6"/>
  <c r="D35" i="6"/>
  <c r="E35" i="6"/>
  <c r="F35" i="6"/>
  <c r="G35" i="6"/>
  <c r="H35" i="6"/>
  <c r="I35" i="6"/>
  <c r="J35" i="6"/>
  <c r="K35" i="6"/>
  <c r="D36" i="6"/>
  <c r="E36" i="6"/>
  <c r="F36" i="6"/>
  <c r="G36" i="6"/>
  <c r="H36" i="6"/>
  <c r="I36" i="6"/>
  <c r="J36" i="6"/>
  <c r="K36" i="6"/>
  <c r="D37" i="6"/>
  <c r="AM13" i="6" s="1"/>
  <c r="E37" i="6"/>
  <c r="AN13" i="6" s="1"/>
  <c r="F37" i="6"/>
  <c r="AO13" i="6" s="1"/>
  <c r="G37" i="6"/>
  <c r="AP13" i="6" s="1"/>
  <c r="H37" i="6"/>
  <c r="AQ13" i="6" s="1"/>
  <c r="I37" i="6"/>
  <c r="AR13" i="6" s="1"/>
  <c r="J37" i="6"/>
  <c r="AS13" i="6" s="1"/>
  <c r="K37" i="6"/>
  <c r="AT13" i="6" s="1"/>
  <c r="D38" i="6"/>
  <c r="E38" i="6"/>
  <c r="F38" i="6"/>
  <c r="G38" i="6"/>
  <c r="H38" i="6"/>
  <c r="I38" i="6"/>
  <c r="J38" i="6"/>
  <c r="K38" i="6"/>
  <c r="D39" i="6"/>
  <c r="E39" i="6"/>
  <c r="F39" i="6"/>
  <c r="G39" i="6"/>
  <c r="H39" i="6"/>
  <c r="I39" i="6"/>
  <c r="J39" i="6"/>
  <c r="K39" i="6"/>
  <c r="D40" i="6"/>
  <c r="E40" i="6"/>
  <c r="F40" i="6"/>
  <c r="G40" i="6"/>
  <c r="H40" i="6"/>
  <c r="I40" i="6"/>
  <c r="J40" i="6"/>
  <c r="K40" i="6"/>
  <c r="D41" i="6"/>
  <c r="AM14" i="6" s="1"/>
  <c r="E41" i="6"/>
  <c r="AN14" i="6" s="1"/>
  <c r="F41" i="6"/>
  <c r="AO14" i="6" s="1"/>
  <c r="G41" i="6"/>
  <c r="AP14" i="6" s="1"/>
  <c r="H41" i="6"/>
  <c r="AQ14" i="6" s="1"/>
  <c r="I41" i="6"/>
  <c r="AR14" i="6" s="1"/>
  <c r="J41" i="6"/>
  <c r="AS14" i="6" s="1"/>
  <c r="K41" i="6"/>
  <c r="AT14" i="6" s="1"/>
  <c r="D42" i="6"/>
  <c r="E42" i="6"/>
  <c r="F42" i="6"/>
  <c r="G42" i="6"/>
  <c r="H42" i="6"/>
  <c r="I42" i="6"/>
  <c r="J42" i="6"/>
  <c r="K42" i="6"/>
  <c r="D43" i="6"/>
  <c r="E43" i="6"/>
  <c r="F43" i="6"/>
  <c r="G43" i="6"/>
  <c r="H43" i="6"/>
  <c r="I43" i="6"/>
  <c r="J43" i="6"/>
  <c r="K43" i="6"/>
  <c r="D44" i="6"/>
  <c r="E44" i="6"/>
  <c r="F44" i="6"/>
  <c r="G44" i="6"/>
  <c r="H44" i="6"/>
  <c r="I44" i="6"/>
  <c r="J44" i="6"/>
  <c r="K44" i="6"/>
  <c r="D45" i="6"/>
  <c r="AM15" i="6" s="1"/>
  <c r="E45" i="6"/>
  <c r="AN15" i="6" s="1"/>
  <c r="F45" i="6"/>
  <c r="AO15" i="6" s="1"/>
  <c r="G45" i="6"/>
  <c r="AP15" i="6" s="1"/>
  <c r="H45" i="6"/>
  <c r="AQ15" i="6" s="1"/>
  <c r="I45" i="6"/>
  <c r="AR15" i="6" s="1"/>
  <c r="J45" i="6"/>
  <c r="AS15" i="6" s="1"/>
  <c r="K45" i="6"/>
  <c r="AT15" i="6" s="1"/>
  <c r="D46" i="6"/>
  <c r="E46" i="6"/>
  <c r="F46" i="6"/>
  <c r="G46" i="6"/>
  <c r="H46" i="6"/>
  <c r="I46" i="6"/>
  <c r="J46" i="6"/>
  <c r="K46" i="6"/>
  <c r="D47" i="6"/>
  <c r="E47" i="6"/>
  <c r="F47" i="6"/>
  <c r="G47" i="6"/>
  <c r="H47" i="6"/>
  <c r="I47" i="6"/>
  <c r="J47" i="6"/>
  <c r="K47" i="6"/>
  <c r="D48" i="6"/>
  <c r="E48" i="6"/>
  <c r="F48" i="6"/>
  <c r="G48" i="6"/>
  <c r="H48" i="6"/>
  <c r="I48" i="6"/>
  <c r="J48" i="6"/>
  <c r="K48" i="6"/>
  <c r="D49" i="6"/>
  <c r="AM16" i="6" s="1"/>
  <c r="E49" i="6"/>
  <c r="AN16" i="6" s="1"/>
  <c r="F49" i="6"/>
  <c r="AO16" i="6" s="1"/>
  <c r="G49" i="6"/>
  <c r="AP16" i="6" s="1"/>
  <c r="H49" i="6"/>
  <c r="AQ16" i="6" s="1"/>
  <c r="I49" i="6"/>
  <c r="AR16" i="6" s="1"/>
  <c r="J49" i="6"/>
  <c r="AS16" i="6" s="1"/>
  <c r="K49" i="6"/>
  <c r="AT16" i="6" s="1"/>
  <c r="D50" i="6"/>
  <c r="E50" i="6"/>
  <c r="F50" i="6"/>
  <c r="G50" i="6"/>
  <c r="H50" i="6"/>
  <c r="I50" i="6"/>
  <c r="J50" i="6"/>
  <c r="K50" i="6"/>
  <c r="D51" i="6"/>
  <c r="E51" i="6"/>
  <c r="F51" i="6"/>
  <c r="G51" i="6"/>
  <c r="H51" i="6"/>
  <c r="I51" i="6"/>
  <c r="J51" i="6"/>
  <c r="K51" i="6"/>
  <c r="D52" i="6"/>
  <c r="E52" i="6"/>
  <c r="F52" i="6"/>
  <c r="G52" i="6"/>
  <c r="H52" i="6"/>
  <c r="I52" i="6"/>
  <c r="J52" i="6"/>
  <c r="K52" i="6"/>
  <c r="D53" i="6"/>
  <c r="AM17" i="6" s="1"/>
  <c r="E53" i="6"/>
  <c r="AN17" i="6" s="1"/>
  <c r="F53" i="6"/>
  <c r="AO17" i="6" s="1"/>
  <c r="G53" i="6"/>
  <c r="AP17" i="6" s="1"/>
  <c r="H53" i="6"/>
  <c r="AQ17" i="6" s="1"/>
  <c r="I53" i="6"/>
  <c r="AR17" i="6" s="1"/>
  <c r="J53" i="6"/>
  <c r="AS17" i="6" s="1"/>
  <c r="K53" i="6"/>
  <c r="AT17" i="6" s="1"/>
  <c r="D54" i="6"/>
  <c r="E54" i="6"/>
  <c r="F54" i="6"/>
  <c r="G54" i="6"/>
  <c r="H54" i="6"/>
  <c r="I54" i="6"/>
  <c r="J54" i="6"/>
  <c r="K54" i="6"/>
  <c r="D55" i="6"/>
  <c r="E55" i="6"/>
  <c r="F55" i="6"/>
  <c r="G55" i="6"/>
  <c r="H55" i="6"/>
  <c r="I55" i="6"/>
  <c r="J55" i="6"/>
  <c r="K55" i="6"/>
  <c r="D56" i="6"/>
  <c r="E56" i="6"/>
  <c r="F56" i="6"/>
  <c r="G56" i="6"/>
  <c r="H56" i="6"/>
  <c r="I56" i="6"/>
  <c r="J56" i="6"/>
  <c r="K56" i="6"/>
  <c r="D57" i="6"/>
  <c r="AM18" i="6" s="1"/>
  <c r="E57" i="6"/>
  <c r="AN18" i="6" s="1"/>
  <c r="F57" i="6"/>
  <c r="AO18" i="6" s="1"/>
  <c r="G57" i="6"/>
  <c r="AP18" i="6" s="1"/>
  <c r="H57" i="6"/>
  <c r="AQ18" i="6" s="1"/>
  <c r="I57" i="6"/>
  <c r="AR18" i="6" s="1"/>
  <c r="J57" i="6"/>
  <c r="AS18" i="6" s="1"/>
  <c r="K57" i="6"/>
  <c r="AT18" i="6" s="1"/>
  <c r="D58" i="6"/>
  <c r="E58" i="6"/>
  <c r="F58" i="6"/>
  <c r="G58" i="6"/>
  <c r="H58" i="6"/>
  <c r="I58" i="6"/>
  <c r="J58" i="6"/>
  <c r="K58" i="6"/>
  <c r="D59" i="6"/>
  <c r="E59" i="6"/>
  <c r="F59" i="6"/>
  <c r="G59" i="6"/>
  <c r="H59" i="6"/>
  <c r="I59" i="6"/>
  <c r="J59" i="6"/>
  <c r="K59" i="6"/>
  <c r="D60" i="6"/>
  <c r="E60" i="6"/>
  <c r="F60" i="6"/>
  <c r="G60" i="6"/>
  <c r="H60" i="6"/>
  <c r="I60" i="6"/>
  <c r="J60" i="6"/>
  <c r="K60" i="6"/>
  <c r="D61" i="6"/>
  <c r="AM19" i="6" s="1"/>
  <c r="E61" i="6"/>
  <c r="AN19" i="6" s="1"/>
  <c r="F61" i="6"/>
  <c r="AO19" i="6" s="1"/>
  <c r="G61" i="6"/>
  <c r="AP19" i="6" s="1"/>
  <c r="H61" i="6"/>
  <c r="AQ19" i="6" s="1"/>
  <c r="I61" i="6"/>
  <c r="AR19" i="6" s="1"/>
  <c r="J61" i="6"/>
  <c r="AS19" i="6" s="1"/>
  <c r="K61" i="6"/>
  <c r="AT19" i="6" s="1"/>
  <c r="D62" i="6"/>
  <c r="E62" i="6"/>
  <c r="F62" i="6"/>
  <c r="G62" i="6"/>
  <c r="H62" i="6"/>
  <c r="I62" i="6"/>
  <c r="J62" i="6"/>
  <c r="K62" i="6"/>
  <c r="D63" i="6"/>
  <c r="E63" i="6"/>
  <c r="F63" i="6"/>
  <c r="G63" i="6"/>
  <c r="H63" i="6"/>
  <c r="I63" i="6"/>
  <c r="J63" i="6"/>
  <c r="K63" i="6"/>
  <c r="D64" i="6"/>
  <c r="E64" i="6"/>
  <c r="F64" i="6"/>
  <c r="G64" i="6"/>
  <c r="H64" i="6"/>
  <c r="I64" i="6"/>
  <c r="J64" i="6"/>
  <c r="K64" i="6"/>
  <c r="D65" i="6"/>
  <c r="AM20" i="6" s="1"/>
  <c r="E65" i="6"/>
  <c r="AN20" i="6" s="1"/>
  <c r="F65" i="6"/>
  <c r="AO20" i="6" s="1"/>
  <c r="G65" i="6"/>
  <c r="AP20" i="6" s="1"/>
  <c r="H65" i="6"/>
  <c r="AQ20" i="6" s="1"/>
  <c r="I65" i="6"/>
  <c r="AR20" i="6" s="1"/>
  <c r="J65" i="6"/>
  <c r="AS20" i="6" s="1"/>
  <c r="K65" i="6"/>
  <c r="AT20" i="6" s="1"/>
  <c r="D66" i="6"/>
  <c r="E66" i="6"/>
  <c r="F66" i="6"/>
  <c r="G66" i="6"/>
  <c r="H66" i="6"/>
  <c r="I66" i="6"/>
  <c r="J66" i="6"/>
  <c r="K66" i="6"/>
  <c r="D67" i="6"/>
  <c r="E67" i="6"/>
  <c r="F67" i="6"/>
  <c r="G67" i="6"/>
  <c r="H67" i="6"/>
  <c r="I67" i="6"/>
  <c r="J67" i="6"/>
  <c r="K67" i="6"/>
  <c r="D68" i="6"/>
  <c r="E68" i="6"/>
  <c r="F68" i="6"/>
  <c r="G68" i="6"/>
  <c r="H68" i="6"/>
  <c r="I68" i="6"/>
  <c r="J68" i="6"/>
  <c r="K68" i="6"/>
  <c r="D69" i="6"/>
  <c r="AM21" i="6" s="1"/>
  <c r="E69" i="6"/>
  <c r="AN21" i="6" s="1"/>
  <c r="F69" i="6"/>
  <c r="AO21" i="6" s="1"/>
  <c r="G69" i="6"/>
  <c r="AP21" i="6" s="1"/>
  <c r="H69" i="6"/>
  <c r="AQ21" i="6" s="1"/>
  <c r="I69" i="6"/>
  <c r="AR21" i="6" s="1"/>
  <c r="J69" i="6"/>
  <c r="AS21" i="6" s="1"/>
  <c r="K69" i="6"/>
  <c r="AT21" i="6" s="1"/>
  <c r="D70" i="6"/>
  <c r="E70" i="6"/>
  <c r="F70" i="6"/>
  <c r="G70" i="6"/>
  <c r="H70" i="6"/>
  <c r="I70" i="6"/>
  <c r="J70" i="6"/>
  <c r="K70" i="6"/>
  <c r="D71" i="6"/>
  <c r="E71" i="6"/>
  <c r="F71" i="6"/>
  <c r="G71" i="6"/>
  <c r="H71" i="6"/>
  <c r="I71" i="6"/>
  <c r="J71" i="6"/>
  <c r="K71" i="6"/>
  <c r="D72" i="6"/>
  <c r="E72" i="6"/>
  <c r="F72" i="6"/>
  <c r="G72" i="6"/>
  <c r="H72" i="6"/>
  <c r="I72" i="6"/>
  <c r="J72" i="6"/>
  <c r="K72" i="6"/>
  <c r="D73" i="6"/>
  <c r="AM22" i="6" s="1"/>
  <c r="E73" i="6"/>
  <c r="AN22" i="6" s="1"/>
  <c r="F73" i="6"/>
  <c r="AO22" i="6" s="1"/>
  <c r="G73" i="6"/>
  <c r="AP22" i="6" s="1"/>
  <c r="H73" i="6"/>
  <c r="AQ22" i="6" s="1"/>
  <c r="I73" i="6"/>
  <c r="AR22" i="6" s="1"/>
  <c r="J73" i="6"/>
  <c r="AS22" i="6" s="1"/>
  <c r="K73" i="6"/>
  <c r="AT22" i="6" s="1"/>
  <c r="D74" i="6"/>
  <c r="E74" i="6"/>
  <c r="F74" i="6"/>
  <c r="G74" i="6"/>
  <c r="H74" i="6"/>
  <c r="I74" i="6"/>
  <c r="J74" i="6"/>
  <c r="K74" i="6"/>
  <c r="D75" i="6"/>
  <c r="E75" i="6"/>
  <c r="F75" i="6"/>
  <c r="G75" i="6"/>
  <c r="H75" i="6"/>
  <c r="I75" i="6"/>
  <c r="J75" i="6"/>
  <c r="K75" i="6"/>
  <c r="D76" i="6"/>
  <c r="E76" i="6"/>
  <c r="F76" i="6"/>
  <c r="G76" i="6"/>
  <c r="H76" i="6"/>
  <c r="I76" i="6"/>
  <c r="J76" i="6"/>
  <c r="K76" i="6"/>
  <c r="D77" i="6"/>
  <c r="AM23" i="6" s="1"/>
  <c r="E77" i="6"/>
  <c r="AN23" i="6" s="1"/>
  <c r="F77" i="6"/>
  <c r="AO23" i="6" s="1"/>
  <c r="G77" i="6"/>
  <c r="AP23" i="6" s="1"/>
  <c r="H77" i="6"/>
  <c r="AQ23" i="6" s="1"/>
  <c r="I77" i="6"/>
  <c r="AR23" i="6" s="1"/>
  <c r="J77" i="6"/>
  <c r="AS23" i="6" s="1"/>
  <c r="K77" i="6"/>
  <c r="AT23" i="6" s="1"/>
  <c r="D78" i="6"/>
  <c r="E78" i="6"/>
  <c r="F78" i="6"/>
  <c r="G78" i="6"/>
  <c r="H78" i="6"/>
  <c r="I78" i="6"/>
  <c r="J78" i="6"/>
  <c r="K78" i="6"/>
  <c r="D79" i="6"/>
  <c r="E79" i="6"/>
  <c r="F79" i="6"/>
  <c r="G79" i="6"/>
  <c r="H79" i="6"/>
  <c r="I79" i="6"/>
  <c r="J79" i="6"/>
  <c r="K79" i="6"/>
  <c r="D80" i="6"/>
  <c r="E80" i="6"/>
  <c r="F80" i="6"/>
  <c r="G80" i="6"/>
  <c r="H80" i="6"/>
  <c r="I80" i="6"/>
  <c r="J80" i="6"/>
  <c r="K80" i="6"/>
  <c r="D81" i="6"/>
  <c r="AM24" i="6" s="1"/>
  <c r="E81" i="6"/>
  <c r="AN24" i="6" s="1"/>
  <c r="F81" i="6"/>
  <c r="AO24" i="6" s="1"/>
  <c r="G81" i="6"/>
  <c r="AP24" i="6" s="1"/>
  <c r="H81" i="6"/>
  <c r="AQ24" i="6" s="1"/>
  <c r="I81" i="6"/>
  <c r="AR24" i="6" s="1"/>
  <c r="J81" i="6"/>
  <c r="AS24" i="6" s="1"/>
  <c r="K81" i="6"/>
  <c r="AT24" i="6" s="1"/>
  <c r="D82" i="6"/>
  <c r="E82" i="6"/>
  <c r="F82" i="6"/>
  <c r="G82" i="6"/>
  <c r="H82" i="6"/>
  <c r="I82" i="6"/>
  <c r="J82" i="6"/>
  <c r="K82" i="6"/>
  <c r="D83" i="6"/>
  <c r="E83" i="6"/>
  <c r="F83" i="6"/>
  <c r="G83" i="6"/>
  <c r="H83" i="6"/>
  <c r="I83" i="6"/>
  <c r="J83" i="6"/>
  <c r="K83" i="6"/>
  <c r="D84" i="6"/>
  <c r="E84" i="6"/>
  <c r="F84" i="6"/>
  <c r="G84" i="6"/>
  <c r="H84" i="6"/>
  <c r="I84" i="6"/>
  <c r="J84" i="6"/>
  <c r="K84" i="6"/>
  <c r="D85" i="6"/>
  <c r="AM25" i="6" s="1"/>
  <c r="E85" i="6"/>
  <c r="AN25" i="6" s="1"/>
  <c r="F85" i="6"/>
  <c r="AO25" i="6" s="1"/>
  <c r="G85" i="6"/>
  <c r="AP25" i="6" s="1"/>
  <c r="H85" i="6"/>
  <c r="AQ25" i="6" s="1"/>
  <c r="I85" i="6"/>
  <c r="AR25" i="6" s="1"/>
  <c r="J85" i="6"/>
  <c r="AS25" i="6" s="1"/>
  <c r="K85" i="6"/>
  <c r="AT25" i="6" s="1"/>
  <c r="D86" i="6"/>
  <c r="E86" i="6"/>
  <c r="F86" i="6"/>
  <c r="G86" i="6"/>
  <c r="H86" i="6"/>
  <c r="I86" i="6"/>
  <c r="J86" i="6"/>
  <c r="K86" i="6"/>
  <c r="D87" i="6"/>
  <c r="E87" i="6"/>
  <c r="F87" i="6"/>
  <c r="G87" i="6"/>
  <c r="H87" i="6"/>
  <c r="I87" i="6"/>
  <c r="J87" i="6"/>
  <c r="K87" i="6"/>
  <c r="D88" i="6"/>
  <c r="E88" i="6"/>
  <c r="F88" i="6"/>
  <c r="G88" i="6"/>
  <c r="H88" i="6"/>
  <c r="I88" i="6"/>
  <c r="J88" i="6"/>
  <c r="K88" i="6"/>
  <c r="D89" i="6"/>
  <c r="AM26" i="6" s="1"/>
  <c r="E89" i="6"/>
  <c r="AN26" i="6" s="1"/>
  <c r="F89" i="6"/>
  <c r="AO26" i="6" s="1"/>
  <c r="G89" i="6"/>
  <c r="AP26" i="6" s="1"/>
  <c r="H89" i="6"/>
  <c r="AQ26" i="6" s="1"/>
  <c r="I89" i="6"/>
  <c r="AR26" i="6" s="1"/>
  <c r="J89" i="6"/>
  <c r="AS26" i="6" s="1"/>
  <c r="K89" i="6"/>
  <c r="AT26" i="6" s="1"/>
  <c r="D90" i="6"/>
  <c r="E90" i="6"/>
  <c r="F90" i="6"/>
  <c r="G90" i="6"/>
  <c r="H90" i="6"/>
  <c r="I90" i="6"/>
  <c r="J90" i="6"/>
  <c r="K90" i="6"/>
  <c r="D91" i="6"/>
  <c r="E91" i="6"/>
  <c r="F91" i="6"/>
  <c r="G91" i="6"/>
  <c r="H91" i="6"/>
  <c r="I91" i="6"/>
  <c r="J91" i="6"/>
  <c r="K91" i="6"/>
  <c r="D92" i="6"/>
  <c r="E92" i="6"/>
  <c r="F92" i="6"/>
  <c r="G92" i="6"/>
  <c r="H92" i="6"/>
  <c r="I92" i="6"/>
  <c r="J92" i="6"/>
  <c r="K92" i="6"/>
  <c r="D93" i="6"/>
  <c r="AM27" i="6" s="1"/>
  <c r="E93" i="6"/>
  <c r="AN27" i="6" s="1"/>
  <c r="F93" i="6"/>
  <c r="AO27" i="6" s="1"/>
  <c r="G93" i="6"/>
  <c r="AP27" i="6" s="1"/>
  <c r="H93" i="6"/>
  <c r="AQ27" i="6" s="1"/>
  <c r="I93" i="6"/>
  <c r="AR27" i="6" s="1"/>
  <c r="J93" i="6"/>
  <c r="AS27" i="6" s="1"/>
  <c r="K93" i="6"/>
  <c r="AT27" i="6" s="1"/>
  <c r="D94" i="6"/>
  <c r="E94" i="6"/>
  <c r="F94" i="6"/>
  <c r="G94" i="6"/>
  <c r="H94" i="6"/>
  <c r="I94" i="6"/>
  <c r="J94" i="6"/>
  <c r="K94" i="6"/>
  <c r="D95" i="6"/>
  <c r="E95" i="6"/>
  <c r="F95" i="6"/>
  <c r="G95" i="6"/>
  <c r="H95" i="6"/>
  <c r="I95" i="6"/>
  <c r="J95" i="6"/>
  <c r="K95" i="6"/>
  <c r="D96" i="6"/>
  <c r="E96" i="6"/>
  <c r="F96" i="6"/>
  <c r="G96" i="6"/>
  <c r="H96" i="6"/>
  <c r="I96" i="6"/>
  <c r="J96" i="6"/>
  <c r="K96" i="6"/>
  <c r="D97" i="6"/>
  <c r="AM28" i="6" s="1"/>
  <c r="E97" i="6"/>
  <c r="AN28" i="6" s="1"/>
  <c r="F97" i="6"/>
  <c r="AO28" i="6" s="1"/>
  <c r="G97" i="6"/>
  <c r="AP28" i="6" s="1"/>
  <c r="H97" i="6"/>
  <c r="I97" i="6"/>
  <c r="AR28" i="6" s="1"/>
  <c r="J97" i="6"/>
  <c r="AS28" i="6" s="1"/>
  <c r="K97" i="6"/>
  <c r="AT28" i="6" s="1"/>
  <c r="D98" i="6"/>
  <c r="E98" i="6"/>
  <c r="F98" i="6"/>
  <c r="G98" i="6"/>
  <c r="H98" i="6"/>
  <c r="I98" i="6"/>
  <c r="J98" i="6"/>
  <c r="K98" i="6"/>
  <c r="D99" i="6"/>
  <c r="E99" i="6"/>
  <c r="F99" i="6"/>
  <c r="G99" i="6"/>
  <c r="H99" i="6"/>
  <c r="I99" i="6"/>
  <c r="J99" i="6"/>
  <c r="K99" i="6"/>
  <c r="D100" i="6"/>
  <c r="E100" i="6"/>
  <c r="F100" i="6"/>
  <c r="G100" i="6"/>
  <c r="H100" i="6"/>
  <c r="I100" i="6"/>
  <c r="J100" i="6"/>
  <c r="K100" i="6"/>
  <c r="D101" i="6"/>
  <c r="AM29" i="6" s="1"/>
  <c r="E101" i="6"/>
  <c r="AN29" i="6" s="1"/>
  <c r="F101" i="6"/>
  <c r="AO29" i="6" s="1"/>
  <c r="G101" i="6"/>
  <c r="AP29" i="6" s="1"/>
  <c r="H101" i="6"/>
  <c r="AQ29" i="6" s="1"/>
  <c r="I101" i="6"/>
  <c r="AR29" i="6" s="1"/>
  <c r="J101" i="6"/>
  <c r="AS29" i="6" s="1"/>
  <c r="K101" i="6"/>
  <c r="AT29" i="6" s="1"/>
  <c r="D102" i="6"/>
  <c r="E102" i="6"/>
  <c r="F102" i="6"/>
  <c r="G102" i="6"/>
  <c r="H102" i="6"/>
  <c r="I102" i="6"/>
  <c r="J102" i="6"/>
  <c r="K102" i="6"/>
  <c r="D103" i="6"/>
  <c r="E103" i="6"/>
  <c r="F103" i="6"/>
  <c r="G103" i="6"/>
  <c r="H103" i="6"/>
  <c r="I103" i="6"/>
  <c r="J103" i="6"/>
  <c r="K103" i="6"/>
  <c r="D104" i="6"/>
  <c r="E104" i="6"/>
  <c r="F104" i="6"/>
  <c r="G104" i="6"/>
  <c r="H104" i="6"/>
  <c r="I104" i="6"/>
  <c r="J104" i="6"/>
  <c r="K104" i="6"/>
  <c r="D105" i="6"/>
  <c r="AM30" i="6" s="1"/>
  <c r="E105" i="6"/>
  <c r="AN30" i="6" s="1"/>
  <c r="F105" i="6"/>
  <c r="AO30" i="6" s="1"/>
  <c r="G105" i="6"/>
  <c r="AP30" i="6" s="1"/>
  <c r="H105" i="6"/>
  <c r="AQ30" i="6" s="1"/>
  <c r="I105" i="6"/>
  <c r="AR30" i="6" s="1"/>
  <c r="J105" i="6"/>
  <c r="AS30" i="6" s="1"/>
  <c r="K105" i="6"/>
  <c r="AT30" i="6" s="1"/>
  <c r="D106" i="6"/>
  <c r="E106" i="6"/>
  <c r="F106" i="6"/>
  <c r="G106" i="6"/>
  <c r="H106" i="6"/>
  <c r="I106" i="6"/>
  <c r="J106" i="6"/>
  <c r="K106" i="6"/>
  <c r="D107" i="6"/>
  <c r="E107" i="6"/>
  <c r="F107" i="6"/>
  <c r="G107" i="6"/>
  <c r="H107" i="6"/>
  <c r="I107" i="6"/>
  <c r="J107" i="6"/>
  <c r="K107" i="6"/>
  <c r="D108" i="6"/>
  <c r="E108" i="6"/>
  <c r="F108" i="6"/>
  <c r="G108" i="6"/>
  <c r="H108" i="6"/>
  <c r="I108" i="6"/>
  <c r="J108" i="6"/>
  <c r="K108" i="6"/>
  <c r="D109" i="6"/>
  <c r="AM31" i="6" s="1"/>
  <c r="E109" i="6"/>
  <c r="AN31" i="6" s="1"/>
  <c r="F109" i="6"/>
  <c r="AO31" i="6" s="1"/>
  <c r="G109" i="6"/>
  <c r="AP31" i="6" s="1"/>
  <c r="H109" i="6"/>
  <c r="AQ31" i="6" s="1"/>
  <c r="I109" i="6"/>
  <c r="AR31" i="6" s="1"/>
  <c r="J109" i="6"/>
  <c r="AS31" i="6" s="1"/>
  <c r="K109" i="6"/>
  <c r="AT31" i="6" s="1"/>
  <c r="D110" i="6"/>
  <c r="E110" i="6"/>
  <c r="F110" i="6"/>
  <c r="G110" i="6"/>
  <c r="H110" i="6"/>
  <c r="I110" i="6"/>
  <c r="J110" i="6"/>
  <c r="K110" i="6"/>
  <c r="D111" i="6"/>
  <c r="E111" i="6"/>
  <c r="F111" i="6"/>
  <c r="G111" i="6"/>
  <c r="H111" i="6"/>
  <c r="I111" i="6"/>
  <c r="J111" i="6"/>
  <c r="K111" i="6"/>
  <c r="D112" i="6"/>
  <c r="E112" i="6"/>
  <c r="F112" i="6"/>
  <c r="G112" i="6"/>
  <c r="H112" i="6"/>
  <c r="I112" i="6"/>
  <c r="J112" i="6"/>
  <c r="K112" i="6"/>
  <c r="D113" i="6"/>
  <c r="AM32" i="6" s="1"/>
  <c r="E113" i="6"/>
  <c r="AN32" i="6" s="1"/>
  <c r="F113" i="6"/>
  <c r="AO32" i="6" s="1"/>
  <c r="G113" i="6"/>
  <c r="AP32" i="6" s="1"/>
  <c r="H113" i="6"/>
  <c r="AQ32" i="6" s="1"/>
  <c r="I113" i="6"/>
  <c r="AR32" i="6" s="1"/>
  <c r="J113" i="6"/>
  <c r="AS32" i="6" s="1"/>
  <c r="K113" i="6"/>
  <c r="AT32" i="6" s="1"/>
  <c r="D114" i="6"/>
  <c r="E114" i="6"/>
  <c r="F114" i="6"/>
  <c r="G114" i="6"/>
  <c r="H114" i="6"/>
  <c r="I114" i="6"/>
  <c r="J114" i="6"/>
  <c r="K114" i="6"/>
  <c r="D115" i="6"/>
  <c r="E115" i="6"/>
  <c r="F115" i="6"/>
  <c r="G115" i="6"/>
  <c r="H115" i="6"/>
  <c r="I115" i="6"/>
  <c r="J115" i="6"/>
  <c r="K115" i="6"/>
  <c r="D116" i="6"/>
  <c r="E116" i="6"/>
  <c r="F116" i="6"/>
  <c r="G116" i="6"/>
  <c r="H116" i="6"/>
  <c r="I116" i="6"/>
  <c r="J116" i="6"/>
  <c r="K116" i="6"/>
  <c r="D117" i="6"/>
  <c r="AM33" i="6" s="1"/>
  <c r="E117" i="6"/>
  <c r="AN33" i="6" s="1"/>
  <c r="F117" i="6"/>
  <c r="AO33" i="6" s="1"/>
  <c r="G117" i="6"/>
  <c r="AP33" i="6" s="1"/>
  <c r="H117" i="6"/>
  <c r="AQ33" i="6" s="1"/>
  <c r="I117" i="6"/>
  <c r="AR33" i="6" s="1"/>
  <c r="J117" i="6"/>
  <c r="AS33" i="6" s="1"/>
  <c r="K117" i="6"/>
  <c r="AT33" i="6" s="1"/>
  <c r="D118" i="6"/>
  <c r="E118" i="6"/>
  <c r="F118" i="6"/>
  <c r="G118" i="6"/>
  <c r="H118" i="6"/>
  <c r="I118" i="6"/>
  <c r="J118" i="6"/>
  <c r="K118" i="6"/>
  <c r="D119" i="6"/>
  <c r="E119" i="6"/>
  <c r="F119" i="6"/>
  <c r="G119" i="6"/>
  <c r="H119" i="6"/>
  <c r="I119" i="6"/>
  <c r="J119" i="6"/>
  <c r="K119" i="6"/>
  <c r="D120" i="6"/>
  <c r="E120" i="6"/>
  <c r="F120" i="6"/>
  <c r="G120" i="6"/>
  <c r="H120" i="6"/>
  <c r="I120" i="6"/>
  <c r="J120" i="6"/>
  <c r="K120" i="6"/>
  <c r="D121" i="6"/>
  <c r="AM34" i="6" s="1"/>
  <c r="E121" i="6"/>
  <c r="AN34" i="6" s="1"/>
  <c r="F121" i="6"/>
  <c r="AO34" i="6" s="1"/>
  <c r="G121" i="6"/>
  <c r="AP34" i="6" s="1"/>
  <c r="H121" i="6"/>
  <c r="AQ34" i="6" s="1"/>
  <c r="I121" i="6"/>
  <c r="AR34" i="6" s="1"/>
  <c r="J121" i="6"/>
  <c r="AS34" i="6" s="1"/>
  <c r="K121" i="6"/>
  <c r="AT34" i="6" s="1"/>
  <c r="D122" i="6"/>
  <c r="E122" i="6"/>
  <c r="F122" i="6"/>
  <c r="G122" i="6"/>
  <c r="H122" i="6"/>
  <c r="I122" i="6"/>
  <c r="J122" i="6"/>
  <c r="K122" i="6"/>
  <c r="D123" i="6"/>
  <c r="E123" i="6"/>
  <c r="F123" i="6"/>
  <c r="G123" i="6"/>
  <c r="H123" i="6"/>
  <c r="I123" i="6"/>
  <c r="J123" i="6"/>
  <c r="K123" i="6"/>
  <c r="D124" i="6"/>
  <c r="E124" i="6"/>
  <c r="F124" i="6"/>
  <c r="G124" i="6"/>
  <c r="H124" i="6"/>
  <c r="I124" i="6"/>
  <c r="J124" i="6"/>
  <c r="K124" i="6"/>
  <c r="D125" i="6"/>
  <c r="AM35" i="6" s="1"/>
  <c r="E125" i="6"/>
  <c r="AN35" i="6" s="1"/>
  <c r="F125" i="6"/>
  <c r="AO35" i="6" s="1"/>
  <c r="G125" i="6"/>
  <c r="AP35" i="6" s="1"/>
  <c r="H125" i="6"/>
  <c r="AQ35" i="6" s="1"/>
  <c r="I125" i="6"/>
  <c r="AR35" i="6" s="1"/>
  <c r="J125" i="6"/>
  <c r="AS35" i="6" s="1"/>
  <c r="K125" i="6"/>
  <c r="AT35" i="6" s="1"/>
  <c r="D126" i="6"/>
  <c r="E126" i="6"/>
  <c r="F126" i="6"/>
  <c r="G126" i="6"/>
  <c r="H126" i="6"/>
  <c r="I126" i="6"/>
  <c r="J126" i="6"/>
  <c r="K126" i="6"/>
  <c r="D127" i="6"/>
  <c r="E127" i="6"/>
  <c r="F127" i="6"/>
  <c r="G127" i="6"/>
  <c r="H127" i="6"/>
  <c r="I127" i="6"/>
  <c r="J127" i="6"/>
  <c r="K127" i="6"/>
  <c r="D128" i="6"/>
  <c r="E128" i="6"/>
  <c r="F128" i="6"/>
  <c r="G128" i="6"/>
  <c r="H128" i="6"/>
  <c r="I128" i="6"/>
  <c r="J128" i="6"/>
  <c r="K128" i="6"/>
  <c r="D129" i="6"/>
  <c r="AM36" i="6" s="1"/>
  <c r="E129" i="6"/>
  <c r="AN36" i="6" s="1"/>
  <c r="F129" i="6"/>
  <c r="AO36" i="6" s="1"/>
  <c r="G129" i="6"/>
  <c r="AP36" i="6" s="1"/>
  <c r="H129" i="6"/>
  <c r="AQ36" i="6" s="1"/>
  <c r="I129" i="6"/>
  <c r="AR36" i="6" s="1"/>
  <c r="J129" i="6"/>
  <c r="AS36" i="6" s="1"/>
  <c r="K129" i="6"/>
  <c r="AT36" i="6" s="1"/>
  <c r="D130" i="6"/>
  <c r="E130" i="6"/>
  <c r="F130" i="6"/>
  <c r="G130" i="6"/>
  <c r="H130" i="6"/>
  <c r="I130" i="6"/>
  <c r="J130" i="6"/>
  <c r="K130" i="6"/>
  <c r="D131" i="6"/>
  <c r="E131" i="6"/>
  <c r="F131" i="6"/>
  <c r="G131" i="6"/>
  <c r="H131" i="6"/>
  <c r="I131" i="6"/>
  <c r="J131" i="6"/>
  <c r="K131" i="6"/>
  <c r="D132" i="6"/>
  <c r="E132" i="6"/>
  <c r="F132" i="6"/>
  <c r="G132" i="6"/>
  <c r="H132" i="6"/>
  <c r="I132" i="6"/>
  <c r="J132" i="6"/>
  <c r="K132" i="6"/>
  <c r="D133" i="6"/>
  <c r="AM37" i="6" s="1"/>
  <c r="E133" i="6"/>
  <c r="AN37" i="6" s="1"/>
  <c r="F133" i="6"/>
  <c r="AO37" i="6" s="1"/>
  <c r="G133" i="6"/>
  <c r="AP37" i="6" s="1"/>
  <c r="H133" i="6"/>
  <c r="AQ37" i="6" s="1"/>
  <c r="I133" i="6"/>
  <c r="AR37" i="6" s="1"/>
  <c r="J133" i="6"/>
  <c r="AS37" i="6" s="1"/>
  <c r="K133" i="6"/>
  <c r="AT37" i="6" s="1"/>
  <c r="D134" i="6"/>
  <c r="E134" i="6"/>
  <c r="F134" i="6"/>
  <c r="G134" i="6"/>
  <c r="H134" i="6"/>
  <c r="I134" i="6"/>
  <c r="J134" i="6"/>
  <c r="K134" i="6"/>
  <c r="D135" i="6"/>
  <c r="E135" i="6"/>
  <c r="F135" i="6"/>
  <c r="G135" i="6"/>
  <c r="H135" i="6"/>
  <c r="I135" i="6"/>
  <c r="J135" i="6"/>
  <c r="K135" i="6"/>
  <c r="D136" i="6"/>
  <c r="E136" i="6"/>
  <c r="F136" i="6"/>
  <c r="G136" i="6"/>
  <c r="H136" i="6"/>
  <c r="I136" i="6"/>
  <c r="J136" i="6"/>
  <c r="K136" i="6"/>
  <c r="D137" i="6"/>
  <c r="AM38" i="6" s="1"/>
  <c r="E137" i="6"/>
  <c r="AN38" i="6" s="1"/>
  <c r="F137" i="6"/>
  <c r="AO38" i="6" s="1"/>
  <c r="G137" i="6"/>
  <c r="AP38" i="6" s="1"/>
  <c r="H137" i="6"/>
  <c r="AQ38" i="6" s="1"/>
  <c r="I137" i="6"/>
  <c r="AR38" i="6" s="1"/>
  <c r="J137" i="6"/>
  <c r="AS38" i="6" s="1"/>
  <c r="K137" i="6"/>
  <c r="AT38" i="6" s="1"/>
  <c r="D138" i="6"/>
  <c r="E138" i="6"/>
  <c r="F138" i="6"/>
  <c r="G138" i="6"/>
  <c r="H138" i="6"/>
  <c r="I138" i="6"/>
  <c r="J138" i="6"/>
  <c r="K138" i="6"/>
  <c r="D139" i="6"/>
  <c r="E139" i="6"/>
  <c r="F139" i="6"/>
  <c r="G139" i="6"/>
  <c r="H139" i="6"/>
  <c r="I139" i="6"/>
  <c r="J139" i="6"/>
  <c r="K139" i="6"/>
  <c r="D140" i="6"/>
  <c r="E140" i="6"/>
  <c r="F140" i="6"/>
  <c r="G140" i="6"/>
  <c r="H140" i="6"/>
  <c r="I140" i="6"/>
  <c r="J140" i="6"/>
  <c r="K140" i="6"/>
  <c r="D141" i="6"/>
  <c r="AM39" i="6" s="1"/>
  <c r="E141" i="6"/>
  <c r="AN39" i="6" s="1"/>
  <c r="F141" i="6"/>
  <c r="AO39" i="6" s="1"/>
  <c r="G141" i="6"/>
  <c r="AP39" i="6" s="1"/>
  <c r="H141" i="6"/>
  <c r="AQ39" i="6" s="1"/>
  <c r="I141" i="6"/>
  <c r="AR39" i="6" s="1"/>
  <c r="J141" i="6"/>
  <c r="AS39" i="6" s="1"/>
  <c r="K141" i="6"/>
  <c r="AT39" i="6" s="1"/>
  <c r="D142" i="6"/>
  <c r="E142" i="6"/>
  <c r="F142" i="6"/>
  <c r="G142" i="6"/>
  <c r="H142" i="6"/>
  <c r="I142" i="6"/>
  <c r="J142" i="6"/>
  <c r="K142" i="6"/>
  <c r="D143" i="6"/>
  <c r="E143" i="6"/>
  <c r="F143" i="6"/>
  <c r="G143" i="6"/>
  <c r="H143" i="6"/>
  <c r="I143" i="6"/>
  <c r="J143" i="6"/>
  <c r="K143" i="6"/>
  <c r="D144" i="6"/>
  <c r="E144" i="6"/>
  <c r="F144" i="6"/>
  <c r="G144" i="6"/>
  <c r="H144" i="6"/>
  <c r="I144" i="6"/>
  <c r="J144" i="6"/>
  <c r="K144" i="6"/>
  <c r="D145" i="6"/>
  <c r="AM40" i="6" s="1"/>
  <c r="E145" i="6"/>
  <c r="AN40" i="6" s="1"/>
  <c r="F145" i="6"/>
  <c r="AO40" i="6" s="1"/>
  <c r="G145" i="6"/>
  <c r="AP40" i="6" s="1"/>
  <c r="H145" i="6"/>
  <c r="AQ40" i="6" s="1"/>
  <c r="I145" i="6"/>
  <c r="AR40" i="6" s="1"/>
  <c r="J145" i="6"/>
  <c r="AS40" i="6" s="1"/>
  <c r="K145" i="6"/>
  <c r="AT40" i="6" s="1"/>
  <c r="D146" i="6"/>
  <c r="E146" i="6"/>
  <c r="F146" i="6"/>
  <c r="G146" i="6"/>
  <c r="H146" i="6"/>
  <c r="I146" i="6"/>
  <c r="J146" i="6"/>
  <c r="K146" i="6"/>
  <c r="D147" i="6"/>
  <c r="E147" i="6"/>
  <c r="F147" i="6"/>
  <c r="G147" i="6"/>
  <c r="H147" i="6"/>
  <c r="I147" i="6"/>
  <c r="J147" i="6"/>
  <c r="K147" i="6"/>
  <c r="D148" i="6"/>
  <c r="E148" i="6"/>
  <c r="F148" i="6"/>
  <c r="G148" i="6"/>
  <c r="H148" i="6"/>
  <c r="I148" i="6"/>
  <c r="J148" i="6"/>
  <c r="K148" i="6"/>
  <c r="E5" i="6"/>
  <c r="AN5" i="6" s="1"/>
  <c r="F5" i="6"/>
  <c r="AO5" i="6" s="1"/>
  <c r="G5" i="6"/>
  <c r="AP5" i="6" s="1"/>
  <c r="H5" i="6"/>
  <c r="AQ5" i="6" s="1"/>
  <c r="I5" i="6"/>
  <c r="AR5" i="6" s="1"/>
  <c r="J5" i="6"/>
  <c r="AS5" i="6" s="1"/>
  <c r="K5" i="6"/>
  <c r="AT5" i="6" s="1"/>
  <c r="D5" i="6"/>
  <c r="AM5" i="6" s="1"/>
  <c r="C148" i="6"/>
  <c r="B148" i="6"/>
  <c r="C147" i="6"/>
  <c r="B147" i="6"/>
  <c r="C146" i="6"/>
  <c r="B146" i="6"/>
  <c r="C145" i="6"/>
  <c r="B145" i="6"/>
  <c r="C144" i="6"/>
  <c r="B144" i="6"/>
  <c r="C143" i="6"/>
  <c r="B143" i="6"/>
  <c r="C142" i="6"/>
  <c r="B142" i="6"/>
  <c r="C141" i="6"/>
  <c r="B141" i="6"/>
  <c r="C140" i="6"/>
  <c r="B140" i="6"/>
  <c r="C139" i="6"/>
  <c r="B139" i="6"/>
  <c r="C138" i="6"/>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S3" i="9" l="1"/>
  <c r="AM3" i="9"/>
  <c r="DL3" i="9"/>
  <c r="AU3" i="9"/>
  <c r="BE3" i="9"/>
  <c r="BH3" i="9"/>
  <c r="BF3" i="9"/>
  <c r="BG3" i="9"/>
  <c r="EY11" i="6"/>
  <c r="EG10" i="6"/>
  <c r="EY9" i="6"/>
  <c r="DZ9" i="6"/>
  <c r="EG8" i="6"/>
  <c r="EY7" i="6"/>
  <c r="DZ7" i="6"/>
  <c r="EG6" i="6"/>
  <c r="EH14" i="6"/>
  <c r="EZ13" i="6"/>
  <c r="EA13" i="6"/>
  <c r="FG12" i="6"/>
  <c r="EH12" i="6"/>
  <c r="EZ11" i="6"/>
  <c r="EA11" i="6"/>
  <c r="EO11" i="6"/>
  <c r="FG10" i="6"/>
  <c r="EH10" i="6"/>
  <c r="EZ9" i="6"/>
  <c r="EA9" i="6"/>
  <c r="EO9" i="6"/>
  <c r="FG8" i="6"/>
  <c r="EH8" i="6"/>
  <c r="EZ7" i="6"/>
  <c r="EA7" i="6"/>
  <c r="EO7" i="6"/>
  <c r="FG6" i="6"/>
  <c r="EH6" i="6"/>
  <c r="EQ12" i="6"/>
  <c r="FE12" i="6"/>
  <c r="EJ11" i="6"/>
  <c r="EX11" i="6"/>
  <c r="DY11" i="6"/>
  <c r="EQ10" i="6"/>
  <c r="FE10" i="6"/>
  <c r="EJ9" i="6"/>
  <c r="EX9" i="6"/>
  <c r="DY9" i="6"/>
  <c r="EQ8" i="6"/>
  <c r="FE8" i="6"/>
  <c r="EJ7" i="6"/>
  <c r="EX7" i="6"/>
  <c r="DY7" i="6"/>
  <c r="EQ6" i="6"/>
  <c r="FE6" i="6"/>
  <c r="EO40" i="6"/>
  <c r="FG39" i="6"/>
  <c r="EH39" i="6"/>
  <c r="EZ38" i="6"/>
  <c r="EA38" i="6"/>
  <c r="EO38" i="6"/>
  <c r="FG37" i="6"/>
  <c r="EH37" i="6"/>
  <c r="EZ36" i="6"/>
  <c r="EA36" i="6"/>
  <c r="EO36" i="6"/>
  <c r="FG35" i="6"/>
  <c r="EH35" i="6"/>
  <c r="EZ34" i="6"/>
  <c r="EA34" i="6"/>
  <c r="EO34" i="6"/>
  <c r="FG33" i="6"/>
  <c r="EH33" i="6"/>
  <c r="EZ32" i="6"/>
  <c r="EA32" i="6"/>
  <c r="EO32" i="6"/>
  <c r="FG31" i="6"/>
  <c r="EH31" i="6"/>
  <c r="EZ30" i="6"/>
  <c r="EA30" i="6"/>
  <c r="EO30" i="6"/>
  <c r="FG29" i="6"/>
  <c r="EH29" i="6"/>
  <c r="EZ28" i="6"/>
  <c r="EA28" i="6"/>
  <c r="EO28" i="6"/>
  <c r="FG27" i="6"/>
  <c r="EH27" i="6"/>
  <c r="EZ26" i="6"/>
  <c r="EA26" i="6"/>
  <c r="EO26" i="6"/>
  <c r="FG25" i="6"/>
  <c r="EH25" i="6"/>
  <c r="EZ24" i="6"/>
  <c r="EA24" i="6"/>
  <c r="EO24" i="6"/>
  <c r="FG23" i="6"/>
  <c r="EH23" i="6"/>
  <c r="EZ22" i="6"/>
  <c r="EA22" i="6"/>
  <c r="EO22" i="6"/>
  <c r="FG21" i="6"/>
  <c r="EH21" i="6"/>
  <c r="EZ20" i="6"/>
  <c r="EA20" i="6"/>
  <c r="EO20" i="6"/>
  <c r="FG19" i="6"/>
  <c r="EH19" i="6"/>
  <c r="EZ18" i="6"/>
  <c r="EA18" i="6"/>
  <c r="EO18" i="6"/>
  <c r="FG17" i="6"/>
  <c r="EH17" i="6"/>
  <c r="EZ16" i="6"/>
  <c r="EA16" i="6"/>
  <c r="EO16" i="6"/>
  <c r="FG15" i="6"/>
  <c r="EH15" i="6"/>
  <c r="EZ14" i="6"/>
  <c r="EA14" i="6"/>
  <c r="EO14" i="6"/>
  <c r="FG13" i="6"/>
  <c r="EH13" i="6"/>
  <c r="EZ12" i="6"/>
  <c r="DJ12" i="6"/>
  <c r="DJ11" i="6"/>
  <c r="DJ10" i="6"/>
  <c r="DJ9" i="6"/>
  <c r="DJ8" i="6"/>
  <c r="DJ7" i="6"/>
  <c r="DJ6" i="6"/>
  <c r="DZ11" i="6"/>
  <c r="EX12" i="6"/>
  <c r="DY12" i="6"/>
  <c r="EJ10" i="6"/>
  <c r="EX10" i="6"/>
  <c r="DY10" i="6"/>
  <c r="EJ8" i="6"/>
  <c r="EX8" i="6"/>
  <c r="DY8" i="6"/>
  <c r="EJ6" i="6"/>
  <c r="EX6" i="6"/>
  <c r="DY6" i="6"/>
  <c r="FH39" i="6"/>
  <c r="EI39" i="6"/>
  <c r="EW39" i="6"/>
  <c r="EB38" i="6"/>
  <c r="EP38" i="6"/>
  <c r="FH37" i="6"/>
  <c r="EI37" i="6"/>
  <c r="EW37" i="6"/>
  <c r="EB36" i="6"/>
  <c r="EP36" i="6"/>
  <c r="FH35" i="6"/>
  <c r="EI35" i="6"/>
  <c r="EW35" i="6"/>
  <c r="EB34" i="6"/>
  <c r="EP34" i="6"/>
  <c r="FH33" i="6"/>
  <c r="EI33" i="6"/>
  <c r="EW33" i="6"/>
  <c r="EB32" i="6"/>
  <c r="EP32" i="6"/>
  <c r="FH31" i="6"/>
  <c r="EI31" i="6"/>
  <c r="EW31" i="6"/>
  <c r="EB30" i="6"/>
  <c r="EP30" i="6"/>
  <c r="FH29" i="6"/>
  <c r="EI29" i="6"/>
  <c r="EW29" i="6"/>
  <c r="EB28" i="6"/>
  <c r="EP28" i="6"/>
  <c r="FH27" i="6"/>
  <c r="EI27" i="6"/>
  <c r="EW27" i="6"/>
  <c r="EB26" i="6"/>
  <c r="EP26" i="6"/>
  <c r="FH25" i="6"/>
  <c r="EI25" i="6"/>
  <c r="EW25" i="6"/>
  <c r="EB24" i="6"/>
  <c r="EP24" i="6"/>
  <c r="FH23" i="6"/>
  <c r="EI23" i="6"/>
  <c r="EW23" i="6"/>
  <c r="EP22" i="6"/>
  <c r="FH21" i="6"/>
  <c r="EP20" i="6"/>
  <c r="FH19" i="6"/>
  <c r="EP18" i="6"/>
  <c r="FH17" i="6"/>
  <c r="EP16" i="6"/>
  <c r="FH15" i="6"/>
  <c r="EP14" i="6"/>
  <c r="FH13" i="6"/>
  <c r="EZ39" i="6"/>
  <c r="EA39" i="6"/>
  <c r="EO39" i="6"/>
  <c r="FG38" i="6"/>
  <c r="EH38" i="6"/>
  <c r="EZ37" i="6"/>
  <c r="EA37" i="6"/>
  <c r="EO37" i="6"/>
  <c r="FG36" i="6"/>
  <c r="EH36" i="6"/>
  <c r="EZ35" i="6"/>
  <c r="EA35" i="6"/>
  <c r="EO35" i="6"/>
  <c r="FG34" i="6"/>
  <c r="EH34" i="6"/>
  <c r="EZ33" i="6"/>
  <c r="EA33" i="6"/>
  <c r="EO33" i="6"/>
  <c r="FG32" i="6"/>
  <c r="EH32" i="6"/>
  <c r="EZ31" i="6"/>
  <c r="EA31" i="6"/>
  <c r="EO31" i="6"/>
  <c r="FG30" i="6"/>
  <c r="EH30" i="6"/>
  <c r="EZ29" i="6"/>
  <c r="EA29" i="6"/>
  <c r="EO29" i="6"/>
  <c r="FG28" i="6"/>
  <c r="EH28" i="6"/>
  <c r="EZ27" i="6"/>
  <c r="EA27" i="6"/>
  <c r="EO27" i="6"/>
  <c r="FG26" i="6"/>
  <c r="EH26" i="6"/>
  <c r="EZ25" i="6"/>
  <c r="EA25" i="6"/>
  <c r="EO25" i="6"/>
  <c r="FG24" i="6"/>
  <c r="EH24" i="6"/>
  <c r="EZ23" i="6"/>
  <c r="EA23" i="6"/>
  <c r="EH22" i="6"/>
  <c r="EZ21" i="6"/>
  <c r="EA21" i="6"/>
  <c r="EH20" i="6"/>
  <c r="EZ19" i="6"/>
  <c r="EA19" i="6"/>
  <c r="EH18" i="6"/>
  <c r="EZ17" i="6"/>
  <c r="EA17" i="6"/>
  <c r="EH16" i="6"/>
  <c r="EZ15" i="6"/>
  <c r="EA15" i="6"/>
  <c r="ER39" i="6"/>
  <c r="FF39" i="6"/>
  <c r="EG39" i="6"/>
  <c r="EY38" i="6"/>
  <c r="DZ38" i="6"/>
  <c r="ER37" i="6"/>
  <c r="FF37" i="6"/>
  <c r="EG37" i="6"/>
  <c r="EY36" i="6"/>
  <c r="DZ36" i="6"/>
  <c r="ER35" i="6"/>
  <c r="FF35" i="6"/>
  <c r="EG35" i="6"/>
  <c r="EY34" i="6"/>
  <c r="DZ34" i="6"/>
  <c r="ER33" i="6"/>
  <c r="FF33" i="6"/>
  <c r="EG33" i="6"/>
  <c r="EY32" i="6"/>
  <c r="DZ32" i="6"/>
  <c r="ER31" i="6"/>
  <c r="FF31" i="6"/>
  <c r="EG31" i="6"/>
  <c r="EY30" i="6"/>
  <c r="DZ30" i="6"/>
  <c r="ER29" i="6"/>
  <c r="FF29" i="6"/>
  <c r="EG29" i="6"/>
  <c r="EY28" i="6"/>
  <c r="DZ28" i="6"/>
  <c r="ER27" i="6"/>
  <c r="FF27" i="6"/>
  <c r="EG27" i="6"/>
  <c r="EY26" i="6"/>
  <c r="DZ26" i="6"/>
  <c r="ER25" i="6"/>
  <c r="FF25" i="6"/>
  <c r="EG25" i="6"/>
  <c r="EY24" i="6"/>
  <c r="DZ24" i="6"/>
  <c r="ER23" i="6"/>
  <c r="FF23" i="6"/>
  <c r="EG23" i="6"/>
  <c r="EY22" i="6"/>
  <c r="ER21" i="6"/>
  <c r="ER19" i="6"/>
  <c r="DZ18" i="6"/>
  <c r="ER17" i="6"/>
  <c r="DZ16" i="6"/>
  <c r="ER15" i="6"/>
  <c r="DZ14" i="6"/>
  <c r="ER13" i="6"/>
  <c r="FE40" i="6"/>
  <c r="EJ39" i="6"/>
  <c r="EX39" i="6"/>
  <c r="DY39" i="6"/>
  <c r="EQ38" i="6"/>
  <c r="FE38" i="6"/>
  <c r="EJ37" i="6"/>
  <c r="EX37" i="6"/>
  <c r="DY37" i="6"/>
  <c r="EQ36" i="6"/>
  <c r="FE36" i="6"/>
  <c r="EJ35" i="6"/>
  <c r="EX35" i="6"/>
  <c r="DY35" i="6"/>
  <c r="EQ34" i="6"/>
  <c r="FE34" i="6"/>
  <c r="EJ33" i="6"/>
  <c r="EX33" i="6"/>
  <c r="DY33" i="6"/>
  <c r="EQ32" i="6"/>
  <c r="FE32" i="6"/>
  <c r="EJ31" i="6"/>
  <c r="EX31" i="6"/>
  <c r="DY31" i="6"/>
  <c r="EQ30" i="6"/>
  <c r="FE30" i="6"/>
  <c r="EJ29" i="6"/>
  <c r="EX29" i="6"/>
  <c r="DY29" i="6"/>
  <c r="EQ28" i="6"/>
  <c r="FE28" i="6"/>
  <c r="EJ27" i="6"/>
  <c r="EX27" i="6"/>
  <c r="DY27" i="6"/>
  <c r="EQ26" i="6"/>
  <c r="FE26" i="6"/>
  <c r="EJ25" i="6"/>
  <c r="EX25" i="6"/>
  <c r="DY25" i="6"/>
  <c r="EQ24" i="6"/>
  <c r="FE24" i="6"/>
  <c r="EJ23" i="6"/>
  <c r="DY23" i="6"/>
  <c r="EQ22" i="6"/>
  <c r="FE22" i="6"/>
  <c r="DY21" i="6"/>
  <c r="EQ20" i="6"/>
  <c r="FE20" i="6"/>
  <c r="DY19" i="6"/>
  <c r="EQ18" i="6"/>
  <c r="FE18" i="6"/>
  <c r="DY17" i="6"/>
  <c r="EQ16" i="6"/>
  <c r="FE16" i="6"/>
  <c r="DY15" i="6"/>
  <c r="EQ14" i="6"/>
  <c r="FE14" i="6"/>
  <c r="DY13" i="6"/>
  <c r="EW40" i="6"/>
  <c r="EB39" i="6"/>
  <c r="EP39" i="6"/>
  <c r="FH38" i="6"/>
  <c r="EI38" i="6"/>
  <c r="EW38" i="6"/>
  <c r="EB37" i="6"/>
  <c r="EP37" i="6"/>
  <c r="FH36" i="6"/>
  <c r="EI36" i="6"/>
  <c r="EW36" i="6"/>
  <c r="EB35" i="6"/>
  <c r="EP35" i="6"/>
  <c r="FH34" i="6"/>
  <c r="EI34" i="6"/>
  <c r="EW34" i="6"/>
  <c r="EB33" i="6"/>
  <c r="EP33" i="6"/>
  <c r="FH32" i="6"/>
  <c r="EI32" i="6"/>
  <c r="EW32" i="6"/>
  <c r="EB31" i="6"/>
  <c r="EP31" i="6"/>
  <c r="FH30" i="6"/>
  <c r="EI30" i="6"/>
  <c r="EW30" i="6"/>
  <c r="EB29" i="6"/>
  <c r="EP29" i="6"/>
  <c r="FH28" i="6"/>
  <c r="EI28" i="6"/>
  <c r="EW28" i="6"/>
  <c r="EB27" i="6"/>
  <c r="EP27" i="6"/>
  <c r="FH26" i="6"/>
  <c r="EI26" i="6"/>
  <c r="EW26" i="6"/>
  <c r="EB25" i="6"/>
  <c r="EP25" i="6"/>
  <c r="FH24" i="6"/>
  <c r="EI24" i="6"/>
  <c r="EW24" i="6"/>
  <c r="EB23" i="6"/>
  <c r="EP23" i="6"/>
  <c r="EI22" i="6"/>
  <c r="EW22" i="6"/>
  <c r="EB21" i="6"/>
  <c r="EI20" i="6"/>
  <c r="EW20" i="6"/>
  <c r="EB19" i="6"/>
  <c r="EI18" i="6"/>
  <c r="EW18" i="6"/>
  <c r="EB17" i="6"/>
  <c r="EI16" i="6"/>
  <c r="EW16" i="6"/>
  <c r="EB15" i="6"/>
  <c r="EI14" i="6"/>
  <c r="EW14" i="6"/>
  <c r="EB13" i="6"/>
  <c r="FG3" i="6"/>
  <c r="EG40" i="6"/>
  <c r="EY39" i="6"/>
  <c r="DZ39" i="6"/>
  <c r="ER38" i="6"/>
  <c r="FF38" i="6"/>
  <c r="EG38" i="6"/>
  <c r="EY37" i="6"/>
  <c r="DZ37" i="6"/>
  <c r="ER36" i="6"/>
  <c r="FF36" i="6"/>
  <c r="EG36" i="6"/>
  <c r="EY35" i="6"/>
  <c r="DZ35" i="6"/>
  <c r="ER34" i="6"/>
  <c r="FF34" i="6"/>
  <c r="EG34" i="6"/>
  <c r="EY33" i="6"/>
  <c r="DZ33" i="6"/>
  <c r="ER32" i="6"/>
  <c r="FF32" i="6"/>
  <c r="EG32" i="6"/>
  <c r="EY31" i="6"/>
  <c r="DZ31" i="6"/>
  <c r="ER30" i="6"/>
  <c r="FF30" i="6"/>
  <c r="EG30" i="6"/>
  <c r="EY29" i="6"/>
  <c r="DZ29" i="6"/>
  <c r="ER28" i="6"/>
  <c r="FF28" i="6"/>
  <c r="EG28" i="6"/>
  <c r="EY27" i="6"/>
  <c r="DZ27" i="6"/>
  <c r="ER26" i="6"/>
  <c r="FF26" i="6"/>
  <c r="EG26" i="6"/>
  <c r="EY25" i="6"/>
  <c r="DZ25" i="6"/>
  <c r="ER24" i="6"/>
  <c r="FF24" i="6"/>
  <c r="EG24" i="6"/>
  <c r="EY23" i="6"/>
  <c r="DZ23" i="6"/>
  <c r="ER22" i="6"/>
  <c r="FF22" i="6"/>
  <c r="EG22" i="6"/>
  <c r="EY21" i="6"/>
  <c r="DZ21" i="6"/>
  <c r="ER20" i="6"/>
  <c r="FF20" i="6"/>
  <c r="EG20" i="6"/>
  <c r="EY19" i="6"/>
  <c r="DZ19" i="6"/>
  <c r="ER18" i="6"/>
  <c r="FF18" i="6"/>
  <c r="EG18" i="6"/>
  <c r="EY17" i="6"/>
  <c r="DZ17" i="6"/>
  <c r="ER16" i="6"/>
  <c r="FF16" i="6"/>
  <c r="EG16" i="6"/>
  <c r="EY15" i="6"/>
  <c r="DZ15" i="6"/>
  <c r="ER14" i="6"/>
  <c r="FF14" i="6"/>
  <c r="EG14" i="6"/>
  <c r="EY13" i="6"/>
  <c r="DZ13" i="6"/>
  <c r="EG12" i="6"/>
  <c r="DQ11" i="6"/>
  <c r="DQ9" i="6"/>
  <c r="DQ7" i="6"/>
  <c r="DY40" i="6"/>
  <c r="EQ39" i="6"/>
  <c r="FE39" i="6"/>
  <c r="EJ38" i="6"/>
  <c r="EX38" i="6"/>
  <c r="DY38" i="6"/>
  <c r="EQ37" i="6"/>
  <c r="FE37" i="6"/>
  <c r="EJ36" i="6"/>
  <c r="EX36" i="6"/>
  <c r="DY36" i="6"/>
  <c r="EQ35" i="6"/>
  <c r="FE35" i="6"/>
  <c r="EJ34" i="6"/>
  <c r="EX34" i="6"/>
  <c r="DY34" i="6"/>
  <c r="EQ33" i="6"/>
  <c r="FE33" i="6"/>
  <c r="EJ32" i="6"/>
  <c r="EX32" i="6"/>
  <c r="DY32" i="6"/>
  <c r="EQ31" i="6"/>
  <c r="FE31" i="6"/>
  <c r="EJ30" i="6"/>
  <c r="EX30" i="6"/>
  <c r="DY30" i="6"/>
  <c r="EQ29" i="6"/>
  <c r="FE29" i="6"/>
  <c r="EJ28" i="6"/>
  <c r="EX28" i="6"/>
  <c r="DY28" i="6"/>
  <c r="EQ27" i="6"/>
  <c r="FE27" i="6"/>
  <c r="EJ26" i="6"/>
  <c r="EX26" i="6"/>
  <c r="DY26" i="6"/>
  <c r="EQ25" i="6"/>
  <c r="FE25" i="6"/>
  <c r="EJ24" i="6"/>
  <c r="EX24" i="6"/>
  <c r="DY24" i="6"/>
  <c r="EQ23" i="6"/>
  <c r="EJ22" i="6"/>
  <c r="EX22" i="6"/>
  <c r="DY22" i="6"/>
  <c r="EJ20" i="6"/>
  <c r="EX20" i="6"/>
  <c r="DY20" i="6"/>
  <c r="EJ18" i="6"/>
  <c r="EX18" i="6"/>
  <c r="DY18" i="6"/>
  <c r="EJ16" i="6"/>
  <c r="EX16" i="6"/>
  <c r="DY16" i="6"/>
  <c r="EJ14" i="6"/>
  <c r="EX14" i="6"/>
  <c r="DY14" i="6"/>
  <c r="EJ12" i="6"/>
  <c r="ER12" i="6"/>
  <c r="FF12" i="6"/>
  <c r="ER10" i="6"/>
  <c r="FF10" i="6"/>
  <c r="ER8" i="6"/>
  <c r="FF8" i="6"/>
  <c r="ER6" i="6"/>
  <c r="FF6" i="6"/>
  <c r="FE23" i="6"/>
  <c r="EQ21" i="6"/>
  <c r="FE21" i="6"/>
  <c r="EQ19" i="6"/>
  <c r="FE19" i="6"/>
  <c r="EQ17" i="6"/>
  <c r="FE17" i="6"/>
  <c r="EQ15" i="6"/>
  <c r="FE15" i="6"/>
  <c r="EQ13" i="6"/>
  <c r="FE13" i="6"/>
  <c r="EQ11" i="6"/>
  <c r="FE11" i="6"/>
  <c r="EQ9" i="6"/>
  <c r="FE9" i="6"/>
  <c r="EQ7" i="6"/>
  <c r="FE7" i="6"/>
  <c r="EB22" i="6"/>
  <c r="EI21" i="6"/>
  <c r="EW21" i="6"/>
  <c r="EB20" i="6"/>
  <c r="EI19" i="6"/>
  <c r="EW19" i="6"/>
  <c r="EB18" i="6"/>
  <c r="EI17" i="6"/>
  <c r="EW17" i="6"/>
  <c r="EB16" i="6"/>
  <c r="EI15" i="6"/>
  <c r="EW15" i="6"/>
  <c r="EB14" i="6"/>
  <c r="EI13" i="6"/>
  <c r="EW13" i="6"/>
  <c r="EB12" i="6"/>
  <c r="EO23" i="6"/>
  <c r="FG22" i="6"/>
  <c r="EO21" i="6"/>
  <c r="FG20" i="6"/>
  <c r="EO19" i="6"/>
  <c r="FG18" i="6"/>
  <c r="EO17" i="6"/>
  <c r="FG16" i="6"/>
  <c r="EO15" i="6"/>
  <c r="FG14" i="6"/>
  <c r="EO13" i="6"/>
  <c r="DZ22" i="6"/>
  <c r="FF21" i="6"/>
  <c r="EG21" i="6"/>
  <c r="EY20" i="6"/>
  <c r="DZ20" i="6"/>
  <c r="FF19" i="6"/>
  <c r="EG19" i="6"/>
  <c r="EY18" i="6"/>
  <c r="FF17" i="6"/>
  <c r="EG17" i="6"/>
  <c r="EY16" i="6"/>
  <c r="FF15" i="6"/>
  <c r="EG15" i="6"/>
  <c r="EY14" i="6"/>
  <c r="FF13" i="6"/>
  <c r="EG13" i="6"/>
  <c r="EX23" i="6"/>
  <c r="EJ21" i="6"/>
  <c r="EX21" i="6"/>
  <c r="EJ19" i="6"/>
  <c r="EX19" i="6"/>
  <c r="EJ17" i="6"/>
  <c r="EX17" i="6"/>
  <c r="EJ15" i="6"/>
  <c r="EX15" i="6"/>
  <c r="EJ13" i="6"/>
  <c r="EX13" i="6"/>
  <c r="FH22" i="6"/>
  <c r="EP21" i="6"/>
  <c r="FH20" i="6"/>
  <c r="EP19" i="6"/>
  <c r="FH18" i="6"/>
  <c r="EP17" i="6"/>
  <c r="FH16" i="6"/>
  <c r="EP15" i="6"/>
  <c r="FH14" i="6"/>
  <c r="EP13" i="6"/>
  <c r="FH12" i="6"/>
  <c r="BA3" i="6"/>
  <c r="AY3" i="6"/>
  <c r="AX3" i="6"/>
  <c r="AW3" i="6"/>
  <c r="AZ3" i="6"/>
  <c r="DS34" i="6"/>
  <c r="DS32" i="6"/>
  <c r="DS30" i="6"/>
  <c r="DS26" i="6"/>
  <c r="DS24" i="6"/>
  <c r="DS18" i="6"/>
  <c r="DS16" i="6"/>
  <c r="DS14" i="6"/>
  <c r="DS12" i="6"/>
  <c r="DS11" i="6"/>
  <c r="DS10" i="6"/>
  <c r="DS9" i="6"/>
  <c r="DS8" i="6"/>
  <c r="DS7" i="6"/>
  <c r="DS6" i="6"/>
  <c r="DJ39" i="6"/>
  <c r="DJ38" i="6"/>
  <c r="DJ37" i="6"/>
  <c r="DJ36" i="6"/>
  <c r="DJ35" i="6"/>
  <c r="DJ34" i="6"/>
  <c r="DJ33" i="6"/>
  <c r="DJ32" i="6"/>
  <c r="DJ31" i="6"/>
  <c r="DJ30" i="6"/>
  <c r="DJ29" i="6"/>
  <c r="DJ28" i="6"/>
  <c r="DJ27" i="6"/>
  <c r="DJ26" i="6"/>
  <c r="DJ25" i="6"/>
  <c r="DJ24" i="6"/>
  <c r="DJ23" i="6"/>
  <c r="DJ22" i="6"/>
  <c r="DJ21" i="6"/>
  <c r="DJ20" i="6"/>
  <c r="DJ19" i="6"/>
  <c r="DJ18" i="6"/>
  <c r="DJ17" i="6"/>
  <c r="DJ16" i="6"/>
  <c r="DJ15" i="6"/>
  <c r="DJ14" i="6"/>
  <c r="DJ13" i="6"/>
  <c r="DR12" i="6"/>
  <c r="DR10" i="6"/>
  <c r="DR8" i="6"/>
  <c r="DR6" i="6"/>
  <c r="DQ39" i="6"/>
  <c r="DS38" i="6"/>
  <c r="DQ37" i="6"/>
  <c r="DS36" i="6"/>
  <c r="DQ35" i="6"/>
  <c r="DQ33" i="6"/>
  <c r="DQ31" i="6"/>
  <c r="DQ29" i="6"/>
  <c r="DS28" i="6"/>
  <c r="DQ27" i="6"/>
  <c r="DQ25" i="6"/>
  <c r="DQ23" i="6"/>
  <c r="DS22" i="6"/>
  <c r="DQ21" i="6"/>
  <c r="DS20" i="6"/>
  <c r="DQ19" i="6"/>
  <c r="DQ17" i="6"/>
  <c r="DQ15" i="6"/>
  <c r="DQ13" i="6"/>
  <c r="AV29" i="6"/>
  <c r="DI40" i="6"/>
  <c r="DL39" i="6"/>
  <c r="DI38" i="6"/>
  <c r="DL37" i="6"/>
  <c r="DI36" i="6"/>
  <c r="DL35" i="6"/>
  <c r="DL33" i="6"/>
  <c r="DI32" i="6"/>
  <c r="DL31" i="6"/>
  <c r="DI30" i="6"/>
  <c r="DL29" i="6"/>
  <c r="DL27" i="6"/>
  <c r="DI26" i="6"/>
  <c r="DL25" i="6"/>
  <c r="DI24" i="6"/>
  <c r="DL23" i="6"/>
  <c r="DI22" i="6"/>
  <c r="DL21" i="6"/>
  <c r="DI20" i="6"/>
  <c r="DL19" i="6"/>
  <c r="DI18" i="6"/>
  <c r="DL17" i="6"/>
  <c r="DI16" i="6"/>
  <c r="DI14" i="6"/>
  <c r="DL13" i="6"/>
  <c r="DI12" i="6"/>
  <c r="DL11" i="6"/>
  <c r="DI10" i="6"/>
  <c r="DI8" i="6"/>
  <c r="DL7" i="6"/>
  <c r="DI6" i="6"/>
  <c r="AV9" i="6"/>
  <c r="DT39" i="6"/>
  <c r="DT38" i="6"/>
  <c r="DT37" i="6"/>
  <c r="DT36" i="6"/>
  <c r="DT35" i="6"/>
  <c r="DT34" i="6"/>
  <c r="DT33" i="6"/>
  <c r="DT32" i="6"/>
  <c r="DT31" i="6"/>
  <c r="DT30" i="6"/>
  <c r="DT29" i="6"/>
  <c r="DT28" i="6"/>
  <c r="DT27" i="6"/>
  <c r="DT26" i="6"/>
  <c r="DT25" i="6"/>
  <c r="DT24" i="6"/>
  <c r="DT23" i="6"/>
  <c r="DT22" i="6"/>
  <c r="DT21" i="6"/>
  <c r="DT20" i="6"/>
  <c r="DT19" i="6"/>
  <c r="DT18" i="6"/>
  <c r="DT17" i="6"/>
  <c r="DT16" i="6"/>
  <c r="DT15" i="6"/>
  <c r="DT14" i="6"/>
  <c r="DT13" i="6"/>
  <c r="DT12" i="6"/>
  <c r="DT11" i="6"/>
  <c r="DT10" i="6"/>
  <c r="DT9" i="6"/>
  <c r="DT8" i="6"/>
  <c r="DT7" i="6"/>
  <c r="DT6" i="6"/>
  <c r="AV21" i="6"/>
  <c r="AV13" i="6"/>
  <c r="DK39" i="6"/>
  <c r="DK38" i="6"/>
  <c r="DK37" i="6"/>
  <c r="DK36" i="6"/>
  <c r="DK35" i="6"/>
  <c r="DK34" i="6"/>
  <c r="DK33" i="6"/>
  <c r="DK32" i="6"/>
  <c r="DK31" i="6"/>
  <c r="DK30" i="6"/>
  <c r="DK29" i="6"/>
  <c r="DK28" i="6"/>
  <c r="DK27" i="6"/>
  <c r="DK26" i="6"/>
  <c r="DK25" i="6"/>
  <c r="DK24" i="6"/>
  <c r="DK23" i="6"/>
  <c r="DK22" i="6"/>
  <c r="DK21" i="6"/>
  <c r="DK20" i="6"/>
  <c r="DK19" i="6"/>
  <c r="DK18" i="6"/>
  <c r="DK17" i="6"/>
  <c r="DK16" i="6"/>
  <c r="DK15" i="6"/>
  <c r="DK14" i="6"/>
  <c r="DK13" i="6"/>
  <c r="DK12" i="6"/>
  <c r="DK11" i="6"/>
  <c r="DK10" i="6"/>
  <c r="DK9" i="6"/>
  <c r="DK8" i="6"/>
  <c r="DK7" i="6"/>
  <c r="DK6" i="6"/>
  <c r="AV40" i="6"/>
  <c r="AV39" i="6"/>
  <c r="AV38" i="6"/>
  <c r="AV37" i="6"/>
  <c r="AV36" i="6"/>
  <c r="AV35" i="6"/>
  <c r="AV34" i="6"/>
  <c r="AV33" i="6"/>
  <c r="AV32" i="6"/>
  <c r="AV31" i="6"/>
  <c r="AV30" i="6"/>
  <c r="AV28" i="6"/>
  <c r="AV27" i="6"/>
  <c r="AV26" i="6"/>
  <c r="AV25" i="6"/>
  <c r="AV24" i="6"/>
  <c r="AV23" i="6"/>
  <c r="AV22" i="6"/>
  <c r="AV20" i="6"/>
  <c r="AV19" i="6"/>
  <c r="AV18" i="6"/>
  <c r="AV17" i="6"/>
  <c r="AV16" i="6"/>
  <c r="AV15" i="6"/>
  <c r="AV14" i="6"/>
  <c r="AV12" i="6"/>
  <c r="AV11" i="6"/>
  <c r="AV10" i="6"/>
  <c r="AV8" i="6"/>
  <c r="AV7" i="6"/>
  <c r="AV6" i="6"/>
  <c r="DQ40" i="6"/>
  <c r="DR38" i="6"/>
  <c r="DQ38" i="6"/>
  <c r="DR36" i="6"/>
  <c r="DQ36" i="6"/>
  <c r="DR34" i="6"/>
  <c r="DQ34" i="6"/>
  <c r="DR32" i="6"/>
  <c r="DQ32" i="6"/>
  <c r="DR30" i="6"/>
  <c r="DQ30" i="6"/>
  <c r="DR28" i="6"/>
  <c r="DQ28" i="6"/>
  <c r="DR26" i="6"/>
  <c r="DQ26" i="6"/>
  <c r="DR24" i="6"/>
  <c r="DQ24" i="6"/>
  <c r="DR22" i="6"/>
  <c r="DQ22" i="6"/>
  <c r="DR20" i="6"/>
  <c r="DQ20" i="6"/>
  <c r="DR18" i="6"/>
  <c r="DQ18" i="6"/>
  <c r="DR16" i="6"/>
  <c r="DQ16" i="6"/>
  <c r="DR14" i="6"/>
  <c r="DQ14" i="6"/>
  <c r="DQ12" i="6"/>
  <c r="DQ10" i="6"/>
  <c r="DQ8" i="6"/>
  <c r="DQ6" i="6"/>
  <c r="AV5" i="6"/>
  <c r="AU40" i="6"/>
  <c r="AU38" i="6"/>
  <c r="AU37" i="6"/>
  <c r="AU35" i="6"/>
  <c r="AU32" i="6"/>
  <c r="AU31" i="6"/>
  <c r="AU30" i="6"/>
  <c r="AU29" i="6"/>
  <c r="AU27" i="6"/>
  <c r="AU25" i="6"/>
  <c r="AU24" i="6"/>
  <c r="AU22" i="6"/>
  <c r="AU21" i="6"/>
  <c r="AU19" i="6"/>
  <c r="AU18" i="6"/>
  <c r="AU16" i="6"/>
  <c r="AU14" i="6"/>
  <c r="AU13" i="6"/>
  <c r="AU12" i="6"/>
  <c r="AU11" i="6"/>
  <c r="AU7" i="6"/>
  <c r="AU6" i="6"/>
  <c r="DA9" i="6"/>
  <c r="DL34" i="6"/>
  <c r="DL36" i="6"/>
  <c r="DI7" i="6"/>
  <c r="DI9" i="6"/>
  <c r="DI11" i="6"/>
  <c r="DI13" i="6"/>
  <c r="DI15" i="6"/>
  <c r="DI17" i="6"/>
  <c r="DI19" i="6"/>
  <c r="DI21" i="6"/>
  <c r="DI23" i="6"/>
  <c r="DI25" i="6"/>
  <c r="DI27" i="6"/>
  <c r="DI29" i="6"/>
  <c r="DI31" i="6"/>
  <c r="DI33" i="6"/>
  <c r="DI35" i="6"/>
  <c r="DI37" i="6"/>
  <c r="DI39" i="6"/>
  <c r="AU8" i="6"/>
  <c r="AU33" i="6"/>
  <c r="AU20" i="6"/>
  <c r="DL6" i="6"/>
  <c r="DL10" i="6"/>
  <c r="DL14" i="6"/>
  <c r="DL20" i="6"/>
  <c r="DL24" i="6"/>
  <c r="DL28" i="6"/>
  <c r="DL32" i="6"/>
  <c r="AU39" i="6"/>
  <c r="AU26" i="6"/>
  <c r="DL8" i="6"/>
  <c r="DL12" i="6"/>
  <c r="DL16" i="6"/>
  <c r="DL18" i="6"/>
  <c r="DL22" i="6"/>
  <c r="DL26" i="6"/>
  <c r="DL30" i="6"/>
  <c r="DL38" i="6"/>
  <c r="DR7" i="6"/>
  <c r="DR9" i="6"/>
  <c r="DR11" i="6"/>
  <c r="DR13" i="6"/>
  <c r="DR15" i="6"/>
  <c r="DR17" i="6"/>
  <c r="DR19" i="6"/>
  <c r="DR21" i="6"/>
  <c r="DR23" i="6"/>
  <c r="DR25" i="6"/>
  <c r="DR27" i="6"/>
  <c r="DR29" i="6"/>
  <c r="DR31" i="6"/>
  <c r="DR33" i="6"/>
  <c r="DR35" i="6"/>
  <c r="DR37" i="6"/>
  <c r="DR39" i="6"/>
  <c r="AU36" i="6"/>
  <c r="AU23" i="6"/>
  <c r="AU17" i="6"/>
  <c r="AU10" i="6"/>
  <c r="DL9" i="6"/>
  <c r="DL15" i="6"/>
  <c r="DS13" i="6"/>
  <c r="DS15" i="6"/>
  <c r="DS17" i="6"/>
  <c r="DS19" i="6"/>
  <c r="DS21" i="6"/>
  <c r="DS23" i="6"/>
  <c r="DS25" i="6"/>
  <c r="DS27" i="6"/>
  <c r="DS29" i="6"/>
  <c r="DS31" i="6"/>
  <c r="DS33" i="6"/>
  <c r="DS35" i="6"/>
  <c r="DS37" i="6"/>
  <c r="DS39" i="6"/>
  <c r="DI28" i="6"/>
  <c r="DI34" i="6"/>
  <c r="AQ28" i="6"/>
  <c r="AQ3" i="6" s="1"/>
  <c r="CT9" i="6"/>
  <c r="CN13" i="6"/>
  <c r="CC24" i="6"/>
  <c r="CF11" i="6"/>
  <c r="BW13" i="6"/>
  <c r="DB30" i="6"/>
  <c r="DB20" i="6"/>
  <c r="DB19" i="6"/>
  <c r="DA15" i="6"/>
  <c r="DB14" i="6"/>
  <c r="DB12" i="6"/>
  <c r="DB9" i="6"/>
  <c r="DA7" i="6"/>
  <c r="CT27" i="6"/>
  <c r="CU21" i="6"/>
  <c r="CT17" i="6"/>
  <c r="CU16" i="6"/>
  <c r="CU11" i="6"/>
  <c r="CT11" i="6"/>
  <c r="CU6" i="6"/>
  <c r="CN34" i="6"/>
  <c r="CN21" i="6"/>
  <c r="CM21" i="6"/>
  <c r="CN17" i="6"/>
  <c r="CM17" i="6"/>
  <c r="CN15" i="6"/>
  <c r="CM13" i="6"/>
  <c r="CN11" i="6"/>
  <c r="CN9" i="6"/>
  <c r="CM9" i="6"/>
  <c r="CN7" i="6"/>
  <c r="CF31" i="6"/>
  <c r="CF27" i="6"/>
  <c r="CC20" i="6"/>
  <c r="CF19" i="6"/>
  <c r="CC18" i="6"/>
  <c r="CC16" i="6"/>
  <c r="CF15" i="6"/>
  <c r="CC14" i="6"/>
  <c r="CC12" i="6"/>
  <c r="CC10" i="6"/>
  <c r="CC8" i="6"/>
  <c r="CF7" i="6"/>
  <c r="BV29" i="6"/>
  <c r="BV18" i="6"/>
  <c r="BX15" i="6"/>
  <c r="BV9" i="6"/>
  <c r="BV7" i="6"/>
  <c r="CN39" i="6"/>
  <c r="CN29" i="6"/>
  <c r="CM29" i="6"/>
  <c r="CN24" i="6"/>
  <c r="CL24" i="6"/>
  <c r="CN23" i="6"/>
  <c r="CM23" i="6"/>
  <c r="CN22" i="6"/>
  <c r="CL22" i="6"/>
  <c r="CN20" i="6"/>
  <c r="CL20" i="6"/>
  <c r="CN19" i="6"/>
  <c r="CM19" i="6"/>
  <c r="CN18" i="6"/>
  <c r="CL18" i="6"/>
  <c r="CN16" i="6"/>
  <c r="CL16" i="6"/>
  <c r="CM15" i="6"/>
  <c r="CN14" i="6"/>
  <c r="CL14" i="6"/>
  <c r="CN12" i="6"/>
  <c r="CL12" i="6"/>
  <c r="CM11" i="6"/>
  <c r="CN10" i="6"/>
  <c r="CL10" i="6"/>
  <c r="CN8" i="6"/>
  <c r="CL8" i="6"/>
  <c r="CM7" i="6"/>
  <c r="CN6" i="6"/>
  <c r="CL6" i="6"/>
  <c r="CC40" i="6"/>
  <c r="CF39" i="6"/>
  <c r="CC36" i="6"/>
  <c r="CF35" i="6"/>
  <c r="CC32" i="6"/>
  <c r="CC28" i="6"/>
  <c r="CF23" i="6"/>
  <c r="CE22" i="6"/>
  <c r="CC22" i="6"/>
  <c r="CF21" i="6"/>
  <c r="CC21" i="6"/>
  <c r="CE20" i="6"/>
  <c r="CC19" i="6"/>
  <c r="CE18" i="6"/>
  <c r="CF17" i="6"/>
  <c r="CC17" i="6"/>
  <c r="CE16" i="6"/>
  <c r="CC15" i="6"/>
  <c r="CE14" i="6"/>
  <c r="CF13" i="6"/>
  <c r="CC13" i="6"/>
  <c r="CE12" i="6"/>
  <c r="CC11" i="6"/>
  <c r="CE10" i="6"/>
  <c r="CF9" i="6"/>
  <c r="CC9" i="6"/>
  <c r="CE8" i="6"/>
  <c r="CE7" i="6"/>
  <c r="CC7" i="6"/>
  <c r="CC6" i="6"/>
  <c r="BV39" i="6"/>
  <c r="BX38" i="6"/>
  <c r="BU36" i="6"/>
  <c r="BX35" i="6"/>
  <c r="BX32" i="6"/>
  <c r="BV32" i="6"/>
  <c r="BX29" i="6"/>
  <c r="BX26" i="6"/>
  <c r="BV26" i="6"/>
  <c r="BU24" i="6"/>
  <c r="BX23" i="6"/>
  <c r="BW21" i="6"/>
  <c r="BV21" i="6"/>
  <c r="BX18" i="6"/>
  <c r="BU16" i="6"/>
  <c r="BV13" i="6"/>
  <c r="BW11" i="6"/>
  <c r="BV11" i="6"/>
  <c r="BW9" i="6"/>
  <c r="BW7" i="6"/>
  <c r="CE6" i="6"/>
  <c r="DB36" i="6"/>
  <c r="DB35" i="6"/>
  <c r="DA31" i="6"/>
  <c r="DB25" i="6"/>
  <c r="DA25" i="6"/>
  <c r="DB22" i="6"/>
  <c r="DB21" i="6"/>
  <c r="DA21" i="6"/>
  <c r="DA19" i="6"/>
  <c r="DB18" i="6"/>
  <c r="DB17" i="6"/>
  <c r="DA17" i="6"/>
  <c r="DB16" i="6"/>
  <c r="DB15" i="6"/>
  <c r="DB13" i="6"/>
  <c r="DA13" i="6"/>
  <c r="DB11" i="6"/>
  <c r="DA11" i="6"/>
  <c r="DB10" i="6"/>
  <c r="DB8" i="6"/>
  <c r="DB7" i="6"/>
  <c r="DB6" i="6"/>
  <c r="CU38" i="6"/>
  <c r="CU37" i="6"/>
  <c r="CT33" i="6"/>
  <c r="CU32" i="6"/>
  <c r="CU27" i="6"/>
  <c r="CU22" i="6"/>
  <c r="CU19" i="6"/>
  <c r="CT19" i="6"/>
  <c r="CU18" i="6"/>
  <c r="CU17" i="6"/>
  <c r="CU15" i="6"/>
  <c r="CT15" i="6"/>
  <c r="CU14" i="6"/>
  <c r="CU13" i="6"/>
  <c r="CT13" i="6"/>
  <c r="CU12" i="6"/>
  <c r="CU10" i="6"/>
  <c r="CU9" i="6"/>
  <c r="CU8" i="6"/>
  <c r="CU7" i="6"/>
  <c r="CT7" i="6"/>
  <c r="CS40" i="6"/>
  <c r="CV39" i="6"/>
  <c r="CU39" i="6"/>
  <c r="CT39" i="6"/>
  <c r="CS39" i="6"/>
  <c r="CV38" i="6"/>
  <c r="CT38" i="6"/>
  <c r="CS38" i="6"/>
  <c r="CV37" i="6"/>
  <c r="CT37" i="6"/>
  <c r="CS37" i="6"/>
  <c r="CV36" i="6"/>
  <c r="CU36" i="6"/>
  <c r="CT36" i="6"/>
  <c r="CS36" i="6"/>
  <c r="CV35" i="6"/>
  <c r="CU35" i="6"/>
  <c r="CT35" i="6"/>
  <c r="CS35" i="6"/>
  <c r="CV34" i="6"/>
  <c r="CU34" i="6"/>
  <c r="CT34" i="6"/>
  <c r="CS34" i="6"/>
  <c r="CV33" i="6"/>
  <c r="CU33" i="6"/>
  <c r="CS33" i="6"/>
  <c r="CV32" i="6"/>
  <c r="CT32" i="6"/>
  <c r="CS32" i="6"/>
  <c r="CV31" i="6"/>
  <c r="CU31" i="6"/>
  <c r="CT31" i="6"/>
  <c r="CS31" i="6"/>
  <c r="CV30" i="6"/>
  <c r="CU30" i="6"/>
  <c r="CT30" i="6"/>
  <c r="CS30" i="6"/>
  <c r="CV29" i="6"/>
  <c r="CU29" i="6"/>
  <c r="CT29" i="6"/>
  <c r="CS29" i="6"/>
  <c r="CV28" i="6"/>
  <c r="CU28" i="6"/>
  <c r="CT28" i="6"/>
  <c r="CS28" i="6"/>
  <c r="CV27" i="6"/>
  <c r="CS27" i="6"/>
  <c r="CV26" i="6"/>
  <c r="CU26" i="6"/>
  <c r="CT26" i="6"/>
  <c r="CS26" i="6"/>
  <c r="CV25" i="6"/>
  <c r="CU25" i="6"/>
  <c r="CT25" i="6"/>
  <c r="CS25" i="6"/>
  <c r="CV24" i="6"/>
  <c r="CU24" i="6"/>
  <c r="CT24" i="6"/>
  <c r="CS24" i="6"/>
  <c r="CV23" i="6"/>
  <c r="CU23" i="6"/>
  <c r="CT23" i="6"/>
  <c r="CS23" i="6"/>
  <c r="CV22" i="6"/>
  <c r="CT22" i="6"/>
  <c r="CS22" i="6"/>
  <c r="CV21" i="6"/>
  <c r="CT21" i="6"/>
  <c r="CS21" i="6"/>
  <c r="CV20" i="6"/>
  <c r="CU20" i="6"/>
  <c r="CK40" i="6"/>
  <c r="CM39" i="6"/>
  <c r="CL39" i="6"/>
  <c r="CK39" i="6"/>
  <c r="CN38" i="6"/>
  <c r="CM38" i="6"/>
  <c r="CL38" i="6"/>
  <c r="CK38" i="6"/>
  <c r="CN37" i="6"/>
  <c r="CM37" i="6"/>
  <c r="CL37" i="6"/>
  <c r="CK37" i="6"/>
  <c r="CN36" i="6"/>
  <c r="CM36" i="6"/>
  <c r="CL36" i="6"/>
  <c r="CK36" i="6"/>
  <c r="CN35" i="6"/>
  <c r="CL35" i="6"/>
  <c r="CK35" i="6"/>
  <c r="CM34" i="6"/>
  <c r="CL34" i="6"/>
  <c r="CK34" i="6"/>
  <c r="CN33" i="6"/>
  <c r="CM33" i="6"/>
  <c r="CL33" i="6"/>
  <c r="CK33" i="6"/>
  <c r="CN32" i="6"/>
  <c r="CM32" i="6"/>
  <c r="CL32" i="6"/>
  <c r="CK32" i="6"/>
  <c r="CN31" i="6"/>
  <c r="CM31" i="6"/>
  <c r="CL31" i="6"/>
  <c r="CK31" i="6"/>
  <c r="CN30" i="6"/>
  <c r="CM30" i="6"/>
  <c r="CL30" i="6"/>
  <c r="CK30" i="6"/>
  <c r="CL29" i="6"/>
  <c r="CK29" i="6"/>
  <c r="CN28" i="6"/>
  <c r="CM28" i="6"/>
  <c r="CL28" i="6"/>
  <c r="CK28" i="6"/>
  <c r="CN27" i="6"/>
  <c r="CM27" i="6"/>
  <c r="CL27" i="6"/>
  <c r="CK27" i="6"/>
  <c r="CN26" i="6"/>
  <c r="CM26" i="6"/>
  <c r="CL26" i="6"/>
  <c r="CM25" i="6"/>
  <c r="CE39" i="6"/>
  <c r="CD39" i="6"/>
  <c r="CC39" i="6"/>
  <c r="CF38" i="6"/>
  <c r="CE38" i="6"/>
  <c r="CD38" i="6"/>
  <c r="CC38" i="6"/>
  <c r="CF37" i="6"/>
  <c r="CE37" i="6"/>
  <c r="CD37" i="6"/>
  <c r="CC37" i="6"/>
  <c r="CF36" i="6"/>
  <c r="CE36" i="6"/>
  <c r="CD36" i="6"/>
  <c r="CE35" i="6"/>
  <c r="CD35" i="6"/>
  <c r="CC35" i="6"/>
  <c r="CF34" i="6"/>
  <c r="CE34" i="6"/>
  <c r="CD34" i="6"/>
  <c r="CC34" i="6"/>
  <c r="CF33" i="6"/>
  <c r="CE33" i="6"/>
  <c r="CD33" i="6"/>
  <c r="CC33" i="6"/>
  <c r="CF32" i="6"/>
  <c r="CE32" i="6"/>
  <c r="CD32" i="6"/>
  <c r="CE31" i="6"/>
  <c r="CD31" i="6"/>
  <c r="CC31" i="6"/>
  <c r="CF30" i="6"/>
  <c r="CE30" i="6"/>
  <c r="CD30" i="6"/>
  <c r="CC30" i="6"/>
  <c r="CF29" i="6"/>
  <c r="CE29" i="6"/>
  <c r="CD29" i="6"/>
  <c r="CC29" i="6"/>
  <c r="CF28" i="6"/>
  <c r="CE28" i="6"/>
  <c r="CD28" i="6"/>
  <c r="CE27" i="6"/>
  <c r="CD27" i="6"/>
  <c r="CC27" i="6"/>
  <c r="CF26" i="6"/>
  <c r="CE26" i="6"/>
  <c r="CD26" i="6"/>
  <c r="CC26" i="6"/>
  <c r="CF25" i="6"/>
  <c r="CE25" i="6"/>
  <c r="CD25" i="6"/>
  <c r="CC25" i="6"/>
  <c r="CF24" i="6"/>
  <c r="CE24" i="6"/>
  <c r="CD24" i="6"/>
  <c r="CC23" i="6"/>
  <c r="CN25" i="6"/>
  <c r="BU40" i="6"/>
  <c r="BX39" i="6"/>
  <c r="BW39" i="6"/>
  <c r="BU39" i="6"/>
  <c r="BW38" i="6"/>
  <c r="BV38" i="6"/>
  <c r="BU38" i="6"/>
  <c r="BX37" i="6"/>
  <c r="BW37" i="6"/>
  <c r="BV37" i="6"/>
  <c r="BU37" i="6"/>
  <c r="BX36" i="6"/>
  <c r="BW36" i="6"/>
  <c r="BV36" i="6"/>
  <c r="BW35" i="6"/>
  <c r="BV35" i="6"/>
  <c r="BU35" i="6"/>
  <c r="BX34" i="6"/>
  <c r="BW34" i="6"/>
  <c r="BV34" i="6"/>
  <c r="BU34" i="6"/>
  <c r="BX33" i="6"/>
  <c r="BW33" i="6"/>
  <c r="BV33" i="6"/>
  <c r="BU33" i="6"/>
  <c r="BW32" i="6"/>
  <c r="BU32" i="6"/>
  <c r="BX31" i="6"/>
  <c r="BW31" i="6"/>
  <c r="BV31" i="6"/>
  <c r="BU31" i="6"/>
  <c r="BX30" i="6"/>
  <c r="BW30" i="6"/>
  <c r="BV30" i="6"/>
  <c r="BU30" i="6"/>
  <c r="BW29" i="6"/>
  <c r="BU29" i="6"/>
  <c r="BX28" i="6"/>
  <c r="BW28" i="6"/>
  <c r="BV28" i="6"/>
  <c r="BU28" i="6"/>
  <c r="BX27" i="6"/>
  <c r="BW27" i="6"/>
  <c r="BV27" i="6"/>
  <c r="BU27" i="6"/>
  <c r="BW26" i="6"/>
  <c r="BU26" i="6"/>
  <c r="BX25" i="6"/>
  <c r="BW25" i="6"/>
  <c r="BV25" i="6"/>
  <c r="BU25" i="6"/>
  <c r="BX24" i="6"/>
  <c r="BW24" i="6"/>
  <c r="BV24" i="6"/>
  <c r="BW23" i="6"/>
  <c r="BV23" i="6"/>
  <c r="BU23" i="6"/>
  <c r="BX22" i="6"/>
  <c r="BW22" i="6"/>
  <c r="BV22" i="6"/>
  <c r="BU22" i="6"/>
  <c r="BX21" i="6"/>
  <c r="BU21" i="6"/>
  <c r="BX20" i="6"/>
  <c r="BW20" i="6"/>
  <c r="BV20" i="6"/>
  <c r="BU20" i="6"/>
  <c r="BX19" i="6"/>
  <c r="BW19" i="6"/>
  <c r="BV19" i="6"/>
  <c r="BU19" i="6"/>
  <c r="BW18" i="6"/>
  <c r="BU18" i="6"/>
  <c r="BX17" i="6"/>
  <c r="BW17" i="6"/>
  <c r="BV17" i="6"/>
  <c r="BU17" i="6"/>
  <c r="BX16" i="6"/>
  <c r="BW16" i="6"/>
  <c r="BV16" i="6"/>
  <c r="BW15" i="6"/>
  <c r="BV15" i="6"/>
  <c r="BU15" i="6"/>
  <c r="BX14" i="6"/>
  <c r="BW14" i="6"/>
  <c r="BV14" i="6"/>
  <c r="BU14" i="6"/>
  <c r="BX13" i="6"/>
  <c r="BU13" i="6"/>
  <c r="BX12" i="6"/>
  <c r="BW12" i="6"/>
  <c r="BV12" i="6"/>
  <c r="BU12" i="6"/>
  <c r="BX11" i="6"/>
  <c r="BU11" i="6"/>
  <c r="BX10" i="6"/>
  <c r="BW10" i="6"/>
  <c r="BV10" i="6"/>
  <c r="BU10" i="6"/>
  <c r="BX9" i="6"/>
  <c r="BU9" i="6"/>
  <c r="BX8" i="6"/>
  <c r="BW8" i="6"/>
  <c r="BV8" i="6"/>
  <c r="BU8" i="6"/>
  <c r="BX7" i="6"/>
  <c r="BU7" i="6"/>
  <c r="BX6" i="6"/>
  <c r="BW6" i="6"/>
  <c r="BV6" i="6"/>
  <c r="BU6" i="6"/>
  <c r="BO12" i="6"/>
  <c r="DA40" i="6"/>
  <c r="DD39" i="6"/>
  <c r="DC39" i="6"/>
  <c r="DB39" i="6"/>
  <c r="DA39" i="6"/>
  <c r="DD38" i="6"/>
  <c r="DC38" i="6"/>
  <c r="DB38" i="6"/>
  <c r="DA38" i="6"/>
  <c r="DD37" i="6"/>
  <c r="DC37" i="6"/>
  <c r="DB37" i="6"/>
  <c r="DA37" i="6"/>
  <c r="DD36" i="6"/>
  <c r="DC36" i="6"/>
  <c r="DA36" i="6"/>
  <c r="DD35" i="6"/>
  <c r="DC35" i="6"/>
  <c r="DA35" i="6"/>
  <c r="DD34" i="6"/>
  <c r="DC34" i="6"/>
  <c r="DB34" i="6"/>
  <c r="DA34" i="6"/>
  <c r="DD33" i="6"/>
  <c r="DC33" i="6"/>
  <c r="DB33" i="6"/>
  <c r="DA33" i="6"/>
  <c r="DD32" i="6"/>
  <c r="DC32" i="6"/>
  <c r="DB32" i="6"/>
  <c r="DA32" i="6"/>
  <c r="DD31" i="6"/>
  <c r="DC31" i="6"/>
  <c r="DB31" i="6"/>
  <c r="DD30" i="6"/>
  <c r="DC30" i="6"/>
  <c r="DA30" i="6"/>
  <c r="DD29" i="6"/>
  <c r="DC29" i="6"/>
  <c r="DB29" i="6"/>
  <c r="DA29" i="6"/>
  <c r="DD28" i="6"/>
  <c r="DC28" i="6"/>
  <c r="DB28" i="6"/>
  <c r="DA28" i="6"/>
  <c r="DD27" i="6"/>
  <c r="DC27" i="6"/>
  <c r="DB27" i="6"/>
  <c r="DA27" i="6"/>
  <c r="DD26" i="6"/>
  <c r="DC26" i="6"/>
  <c r="DB26" i="6"/>
  <c r="DA26" i="6"/>
  <c r="DD25" i="6"/>
  <c r="DC25" i="6"/>
  <c r="DD24" i="6"/>
  <c r="DC24" i="6"/>
  <c r="DB24" i="6"/>
  <c r="DA24" i="6"/>
  <c r="DD23" i="6"/>
  <c r="DC23" i="6"/>
  <c r="DB23" i="6"/>
  <c r="DA23" i="6"/>
  <c r="CM35" i="6"/>
  <c r="DD22" i="6"/>
  <c r="DC22" i="6"/>
  <c r="DA22" i="6"/>
  <c r="DD21" i="6"/>
  <c r="DC21" i="6"/>
  <c r="DD20" i="6"/>
  <c r="DC20" i="6"/>
  <c r="DA20" i="6"/>
  <c r="DD19" i="6"/>
  <c r="DC19" i="6"/>
  <c r="DD18" i="6"/>
  <c r="DC18" i="6"/>
  <c r="DA18" i="6"/>
  <c r="DD17" i="6"/>
  <c r="DC17" i="6"/>
  <c r="DD16" i="6"/>
  <c r="DC16" i="6"/>
  <c r="DA16" i="6"/>
  <c r="DD15" i="6"/>
  <c r="DC15" i="6"/>
  <c r="DD14" i="6"/>
  <c r="DC14" i="6"/>
  <c r="DA14" i="6"/>
  <c r="DD13" i="6"/>
  <c r="DC13" i="6"/>
  <c r="DD12" i="6"/>
  <c r="DC12" i="6"/>
  <c r="DA12" i="6"/>
  <c r="DD11" i="6"/>
  <c r="DC11" i="6"/>
  <c r="DD10" i="6"/>
  <c r="DC10" i="6"/>
  <c r="DA10" i="6"/>
  <c r="DD9" i="6"/>
  <c r="DC9" i="6"/>
  <c r="DD8" i="6"/>
  <c r="DC8" i="6"/>
  <c r="DA8" i="6"/>
  <c r="DD7" i="6"/>
  <c r="DC7" i="6"/>
  <c r="DD6" i="6"/>
  <c r="DC6" i="6"/>
  <c r="DA6" i="6"/>
  <c r="CT20" i="6"/>
  <c r="CS20" i="6"/>
  <c r="CV19" i="6"/>
  <c r="CS19" i="6"/>
  <c r="CV18" i="6"/>
  <c r="CT18" i="6"/>
  <c r="CS18" i="6"/>
  <c r="CV17" i="6"/>
  <c r="CS17" i="6"/>
  <c r="CV16" i="6"/>
  <c r="CT16" i="6"/>
  <c r="CS16" i="6"/>
  <c r="CV15" i="6"/>
  <c r="CS15" i="6"/>
  <c r="CV14" i="6"/>
  <c r="CT14" i="6"/>
  <c r="CS14" i="6"/>
  <c r="CV13" i="6"/>
  <c r="CS13" i="6"/>
  <c r="CV12" i="6"/>
  <c r="CT12" i="6"/>
  <c r="CS12" i="6"/>
  <c r="CV11" i="6"/>
  <c r="CS11" i="6"/>
  <c r="CV10" i="6"/>
  <c r="CT10" i="6"/>
  <c r="CS10" i="6"/>
  <c r="CV9" i="6"/>
  <c r="CS9" i="6"/>
  <c r="CV8" i="6"/>
  <c r="CT8" i="6"/>
  <c r="CS8" i="6"/>
  <c r="CV7" i="6"/>
  <c r="CS7" i="6"/>
  <c r="CV6" i="6"/>
  <c r="CT6" i="6"/>
  <c r="CS6" i="6"/>
  <c r="CK26" i="6"/>
  <c r="CL25" i="6"/>
  <c r="CK25" i="6"/>
  <c r="CM24" i="6"/>
  <c r="CK24" i="6"/>
  <c r="CL23" i="6"/>
  <c r="CK23" i="6"/>
  <c r="CM22" i="6"/>
  <c r="CK22" i="6"/>
  <c r="CL21" i="6"/>
  <c r="CK21" i="6"/>
  <c r="CM20" i="6"/>
  <c r="CK20" i="6"/>
  <c r="CL19" i="6"/>
  <c r="CK19" i="6"/>
  <c r="CM18" i="6"/>
  <c r="CK18" i="6"/>
  <c r="CL17" i="6"/>
  <c r="CK17" i="6"/>
  <c r="CM16" i="6"/>
  <c r="CK16" i="6"/>
  <c r="CL15" i="6"/>
  <c r="CK15" i="6"/>
  <c r="CM14" i="6"/>
  <c r="CK14" i="6"/>
  <c r="CL13" i="6"/>
  <c r="CK13" i="6"/>
  <c r="CM12" i="6"/>
  <c r="CK12" i="6"/>
  <c r="CL11" i="6"/>
  <c r="CK11" i="6"/>
  <c r="CM10" i="6"/>
  <c r="CK10" i="6"/>
  <c r="CL9" i="6"/>
  <c r="CK9" i="6"/>
  <c r="CM8" i="6"/>
  <c r="CK8" i="6"/>
  <c r="CL7" i="6"/>
  <c r="CK7" i="6"/>
  <c r="CM6" i="6"/>
  <c r="CK6" i="6"/>
  <c r="CE23" i="6"/>
  <c r="CD23" i="6"/>
  <c r="CF22" i="6"/>
  <c r="CD22" i="6"/>
  <c r="CE21" i="6"/>
  <c r="CD21" i="6"/>
  <c r="CF20" i="6"/>
  <c r="CD20" i="6"/>
  <c r="CE19" i="6"/>
  <c r="CD19" i="6"/>
  <c r="CF18" i="6"/>
  <c r="CD18" i="6"/>
  <c r="CE17" i="6"/>
  <c r="CD17" i="6"/>
  <c r="CF16" i="6"/>
  <c r="CD16" i="6"/>
  <c r="CE15" i="6"/>
  <c r="CD15" i="6"/>
  <c r="CF14" i="6"/>
  <c r="CD14" i="6"/>
  <c r="CE13" i="6"/>
  <c r="CD13" i="6"/>
  <c r="CF12" i="6"/>
  <c r="CD12" i="6"/>
  <c r="CE11" i="6"/>
  <c r="CD11" i="6"/>
  <c r="CF10" i="6"/>
  <c r="CD10" i="6"/>
  <c r="CE9" i="6"/>
  <c r="CD9" i="6"/>
  <c r="CF8" i="6"/>
  <c r="CD8" i="6"/>
  <c r="CD7" i="6"/>
  <c r="CF6" i="6"/>
  <c r="CD6" i="6"/>
  <c r="AR3" i="6"/>
  <c r="AS3" i="6"/>
  <c r="AT3" i="6"/>
  <c r="AN3" i="6"/>
  <c r="AM3" i="6"/>
  <c r="AO3" i="6"/>
  <c r="AP3" i="6"/>
  <c r="BO10" i="6"/>
  <c r="BO8" i="6"/>
  <c r="BH14" i="6"/>
  <c r="BH12" i="6"/>
  <c r="BH10" i="6"/>
  <c r="BO24" i="6"/>
  <c r="BO22" i="6"/>
  <c r="BO20" i="6"/>
  <c r="BO18" i="6"/>
  <c r="BO16" i="6"/>
  <c r="BO14" i="6"/>
  <c r="BO6" i="6"/>
  <c r="BE40" i="6"/>
  <c r="BH39" i="6"/>
  <c r="BF38" i="6"/>
  <c r="BF31" i="6"/>
  <c r="BH28" i="6"/>
  <c r="BH26" i="6"/>
  <c r="BH24" i="6"/>
  <c r="BH22" i="6"/>
  <c r="BH20" i="6"/>
  <c r="BH18" i="6"/>
  <c r="BH16" i="6"/>
  <c r="BH8" i="6"/>
  <c r="BH6" i="6"/>
  <c r="BM40" i="6"/>
  <c r="BP39" i="6"/>
  <c r="BO39" i="6"/>
  <c r="BN39" i="6"/>
  <c r="BM39" i="6"/>
  <c r="BP38" i="6"/>
  <c r="BO38" i="6"/>
  <c r="BN38" i="6"/>
  <c r="BM38" i="6"/>
  <c r="BP37" i="6"/>
  <c r="BO37" i="6"/>
  <c r="BN37" i="6"/>
  <c r="BM37" i="6"/>
  <c r="BP36" i="6"/>
  <c r="BO36" i="6"/>
  <c r="BN36" i="6"/>
  <c r="BM36" i="6"/>
  <c r="BP35" i="6"/>
  <c r="BO35" i="6"/>
  <c r="BN35" i="6"/>
  <c r="BM35" i="6"/>
  <c r="BP34" i="6"/>
  <c r="BO34" i="6"/>
  <c r="BN34" i="6"/>
  <c r="BM34" i="6"/>
  <c r="BP33" i="6"/>
  <c r="BO33" i="6"/>
  <c r="BN33" i="6"/>
  <c r="BM33" i="6"/>
  <c r="BP32" i="6"/>
  <c r="BO32" i="6"/>
  <c r="BN32" i="6"/>
  <c r="BM32" i="6"/>
  <c r="BP31" i="6"/>
  <c r="BO31" i="6"/>
  <c r="BN31" i="6"/>
  <c r="BM31" i="6"/>
  <c r="BP30" i="6"/>
  <c r="BO30" i="6"/>
  <c r="BN30" i="6"/>
  <c r="BM30" i="6"/>
  <c r="BP29" i="6"/>
  <c r="BO29" i="6"/>
  <c r="BN29" i="6"/>
  <c r="BM29" i="6"/>
  <c r="BP28" i="6"/>
  <c r="BO28" i="6"/>
  <c r="BN28" i="6"/>
  <c r="BM28" i="6"/>
  <c r="BP27" i="6"/>
  <c r="BO27" i="6"/>
  <c r="BN27" i="6"/>
  <c r="BM27" i="6"/>
  <c r="BP26" i="6"/>
  <c r="BF39" i="6"/>
  <c r="BH38" i="6"/>
  <c r="BH37" i="6"/>
  <c r="BE37" i="6"/>
  <c r="BF36" i="6"/>
  <c r="BG35" i="6"/>
  <c r="BH34" i="6"/>
  <c r="BE34" i="6"/>
  <c r="BF33" i="6"/>
  <c r="BF32" i="6"/>
  <c r="BG31" i="6"/>
  <c r="BG30" i="6"/>
  <c r="BF30" i="6"/>
  <c r="BG29" i="6"/>
  <c r="BE28" i="6"/>
  <c r="BG39" i="6"/>
  <c r="BG38" i="6"/>
  <c r="BG37" i="6"/>
  <c r="BH36" i="6"/>
  <c r="BE36" i="6"/>
  <c r="BE35" i="6"/>
  <c r="BF34" i="6"/>
  <c r="BG33" i="6"/>
  <c r="BH32" i="6"/>
  <c r="BE32" i="6"/>
  <c r="BE31" i="6"/>
  <c r="BE30" i="6"/>
  <c r="BF29" i="6"/>
  <c r="BF28" i="6"/>
  <c r="BE39" i="6"/>
  <c r="BE38" i="6"/>
  <c r="BF37" i="6"/>
  <c r="BG36" i="6"/>
  <c r="BH35" i="6"/>
  <c r="BF35" i="6"/>
  <c r="BG34" i="6"/>
  <c r="BH33" i="6"/>
  <c r="BE33" i="6"/>
  <c r="BG32" i="6"/>
  <c r="BH31" i="6"/>
  <c r="BH30" i="6"/>
  <c r="BH29" i="6"/>
  <c r="BE29" i="6"/>
  <c r="BG28" i="6"/>
  <c r="BO26" i="6"/>
  <c r="BN26" i="6"/>
  <c r="BM26" i="6"/>
  <c r="BP25" i="6"/>
  <c r="BO25" i="6"/>
  <c r="BN25" i="6"/>
  <c r="BM25" i="6"/>
  <c r="BP24" i="6"/>
  <c r="BN24" i="6"/>
  <c r="BM24" i="6"/>
  <c r="BP23" i="6"/>
  <c r="BO23" i="6"/>
  <c r="BN23" i="6"/>
  <c r="BM23" i="6"/>
  <c r="BP22" i="6"/>
  <c r="BN22" i="6"/>
  <c r="BM22" i="6"/>
  <c r="BP21" i="6"/>
  <c r="BO21" i="6"/>
  <c r="BN21" i="6"/>
  <c r="BM21" i="6"/>
  <c r="BP20" i="6"/>
  <c r="BN20" i="6"/>
  <c r="BM20" i="6"/>
  <c r="BP19" i="6"/>
  <c r="BO19" i="6"/>
  <c r="BN19" i="6"/>
  <c r="BM19" i="6"/>
  <c r="BP18" i="6"/>
  <c r="BN18" i="6"/>
  <c r="BM18" i="6"/>
  <c r="BP17" i="6"/>
  <c r="BO17" i="6"/>
  <c r="BN17" i="6"/>
  <c r="BM17" i="6"/>
  <c r="BP16" i="6"/>
  <c r="BN16" i="6"/>
  <c r="BM16" i="6"/>
  <c r="BP15" i="6"/>
  <c r="BO15" i="6"/>
  <c r="BN15" i="6"/>
  <c r="BM15" i="6"/>
  <c r="BP14" i="6"/>
  <c r="BN14" i="6"/>
  <c r="BM14" i="6"/>
  <c r="BP13" i="6"/>
  <c r="BO13" i="6"/>
  <c r="BN13" i="6"/>
  <c r="BM13" i="6"/>
  <c r="BP12" i="6"/>
  <c r="BN12" i="6"/>
  <c r="BM12" i="6"/>
  <c r="BP11" i="6"/>
  <c r="BO11" i="6"/>
  <c r="BN11" i="6"/>
  <c r="BM11" i="6"/>
  <c r="BP10" i="6"/>
  <c r="BN10" i="6"/>
  <c r="BM10" i="6"/>
  <c r="BP9" i="6"/>
  <c r="BO9" i="6"/>
  <c r="BN9" i="6"/>
  <c r="BM9" i="6"/>
  <c r="BP8" i="6"/>
  <c r="BN8" i="6"/>
  <c r="BM8" i="6"/>
  <c r="BP7" i="6"/>
  <c r="BO7" i="6"/>
  <c r="BN7" i="6"/>
  <c r="BM7" i="6"/>
  <c r="BP6" i="6"/>
  <c r="BN6" i="6"/>
  <c r="BM6" i="6"/>
  <c r="BH27" i="6"/>
  <c r="BG27" i="6"/>
  <c r="BF27" i="6"/>
  <c r="BE27" i="6"/>
  <c r="BG26" i="6"/>
  <c r="BF26" i="6"/>
  <c r="BE26" i="6"/>
  <c r="BH25" i="6"/>
  <c r="BG25" i="6"/>
  <c r="BF25" i="6"/>
  <c r="BE25" i="6"/>
  <c r="BG24" i="6"/>
  <c r="BF24" i="6"/>
  <c r="BE24" i="6"/>
  <c r="BH23" i="6"/>
  <c r="BG23" i="6"/>
  <c r="BF23" i="6"/>
  <c r="BE23" i="6"/>
  <c r="BG22" i="6"/>
  <c r="BF22" i="6"/>
  <c r="BE22" i="6"/>
  <c r="BH21" i="6"/>
  <c r="BG21" i="6"/>
  <c r="BF21" i="6"/>
  <c r="BE21" i="6"/>
  <c r="BG20" i="6"/>
  <c r="BF20" i="6"/>
  <c r="BE20" i="6"/>
  <c r="BH19" i="6"/>
  <c r="BG19" i="6"/>
  <c r="BF19" i="6"/>
  <c r="BE19" i="6"/>
  <c r="BG18" i="6"/>
  <c r="BF18" i="6"/>
  <c r="BE18" i="6"/>
  <c r="BH17" i="6"/>
  <c r="BG17" i="6"/>
  <c r="BF17" i="6"/>
  <c r="BE17" i="6"/>
  <c r="BG16" i="6"/>
  <c r="BF16" i="6"/>
  <c r="BE16" i="6"/>
  <c r="BH15" i="6"/>
  <c r="BG15" i="6"/>
  <c r="BF15" i="6"/>
  <c r="BE15" i="6"/>
  <c r="BG14" i="6"/>
  <c r="BF14" i="6"/>
  <c r="BE14" i="6"/>
  <c r="BH13" i="6"/>
  <c r="BG13" i="6"/>
  <c r="BF13" i="6"/>
  <c r="BE13" i="6"/>
  <c r="BG12" i="6"/>
  <c r="BF12" i="6"/>
  <c r="BE12" i="6"/>
  <c r="BH11" i="6"/>
  <c r="BG11" i="6"/>
  <c r="BF11" i="6"/>
  <c r="BE11" i="6"/>
  <c r="BG10" i="6"/>
  <c r="BF10" i="6"/>
  <c r="BE10" i="6"/>
  <c r="BH9" i="6"/>
  <c r="BG9" i="6"/>
  <c r="BF9" i="6"/>
  <c r="BE9" i="6"/>
  <c r="BG8" i="6"/>
  <c r="BF8" i="6"/>
  <c r="BE8" i="6"/>
  <c r="BH7" i="6"/>
  <c r="BG7" i="6"/>
  <c r="BF7" i="6"/>
  <c r="BE7" i="6"/>
  <c r="BG6" i="6"/>
  <c r="BF6" i="6"/>
  <c r="BE6" i="6"/>
  <c r="EH3" i="6" l="1"/>
  <c r="EJ3" i="6"/>
  <c r="FF3" i="6"/>
  <c r="EP3" i="6"/>
  <c r="ER3" i="6"/>
  <c r="EB3" i="6"/>
  <c r="DY3" i="6"/>
  <c r="EW3" i="6"/>
  <c r="EX3" i="6"/>
  <c r="EI3" i="6"/>
  <c r="FH3" i="6"/>
  <c r="FE3" i="6"/>
  <c r="DZ3" i="6"/>
  <c r="EO3" i="6"/>
  <c r="EQ3" i="6"/>
  <c r="EY3" i="6"/>
  <c r="EA3" i="6"/>
  <c r="EG3" i="6"/>
  <c r="EZ3" i="6"/>
  <c r="DJ3" i="6"/>
  <c r="DK3" i="6"/>
  <c r="BM3" i="6"/>
  <c r="DQ3" i="6"/>
  <c r="DT3" i="6"/>
  <c r="AV3" i="6"/>
  <c r="DL3" i="6"/>
  <c r="AU3" i="6"/>
  <c r="DR3" i="6"/>
  <c r="DS3" i="6"/>
  <c r="DI3" i="6"/>
  <c r="BG3" i="6"/>
  <c r="DA3" i="6"/>
  <c r="DB3" i="6"/>
  <c r="BP3" i="6"/>
  <c r="CE3" i="6"/>
  <c r="BW3" i="6"/>
  <c r="BX3" i="6"/>
  <c r="CF3" i="6"/>
  <c r="CU3" i="6"/>
  <c r="CN3" i="6"/>
  <c r="DC3" i="6"/>
  <c r="CV3" i="6"/>
  <c r="DD3" i="6"/>
  <c r="CM3" i="6"/>
  <c r="BN3" i="6"/>
  <c r="BO3" i="6"/>
  <c r="CT3" i="6"/>
  <c r="BE3" i="6"/>
  <c r="CK3" i="6"/>
  <c r="BU3" i="6"/>
  <c r="CC3" i="6"/>
  <c r="BH3" i="6"/>
  <c r="BF3" i="6"/>
  <c r="CL3" i="6"/>
  <c r="BV3" i="6"/>
  <c r="CD3" i="6"/>
  <c r="CS3" i="6"/>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D21" i="2"/>
  <c r="E21" i="2"/>
  <c r="D22" i="2"/>
  <c r="E22" i="2"/>
  <c r="D23" i="2"/>
  <c r="E23" i="2"/>
  <c r="D24" i="2"/>
  <c r="E24" i="2"/>
  <c r="D25" i="2"/>
  <c r="E25" i="2"/>
  <c r="D26" i="2"/>
  <c r="E26" i="2"/>
  <c r="D27" i="2"/>
  <c r="E27" i="2"/>
  <c r="D28" i="2"/>
  <c r="E28" i="2"/>
  <c r="D29" i="2"/>
  <c r="E29" i="2"/>
  <c r="D30" i="2"/>
  <c r="E30" i="2"/>
  <c r="D31" i="2"/>
  <c r="E31" i="2"/>
  <c r="D32" i="2"/>
  <c r="E32" i="2"/>
  <c r="D33" i="2"/>
  <c r="E33" i="2"/>
  <c r="D34" i="2"/>
  <c r="E34" i="2"/>
  <c r="D35" i="2"/>
  <c r="E35" i="2"/>
  <c r="D36" i="2"/>
  <c r="E36" i="2"/>
  <c r="D37" i="2"/>
  <c r="E37" i="2"/>
  <c r="D38" i="2"/>
  <c r="E38" i="2"/>
  <c r="D39" i="2"/>
  <c r="E39" i="2"/>
  <c r="D40" i="2"/>
  <c r="E40" i="2"/>
  <c r="D41" i="2"/>
  <c r="E41" i="2"/>
  <c r="D42" i="2"/>
  <c r="E42" i="2"/>
  <c r="D43" i="2"/>
  <c r="E43" i="2"/>
  <c r="D44" i="2"/>
  <c r="E44" i="2"/>
  <c r="D45" i="2"/>
  <c r="E45" i="2"/>
  <c r="D46" i="2"/>
  <c r="E46" i="2"/>
  <c r="D47" i="2"/>
  <c r="E47" i="2"/>
  <c r="D48" i="2"/>
  <c r="E48" i="2"/>
  <c r="D49" i="2"/>
  <c r="E49" i="2"/>
  <c r="D50" i="2"/>
  <c r="E50" i="2"/>
  <c r="D51" i="2"/>
  <c r="E51" i="2"/>
  <c r="D52" i="2"/>
  <c r="E52" i="2"/>
  <c r="D53" i="2"/>
  <c r="E53" i="2"/>
  <c r="D54" i="2"/>
  <c r="E54" i="2"/>
  <c r="D55" i="2"/>
  <c r="E55" i="2"/>
  <c r="D56" i="2"/>
  <c r="E56" i="2"/>
  <c r="D57" i="2"/>
  <c r="E57" i="2"/>
  <c r="D58" i="2"/>
  <c r="E58" i="2"/>
  <c r="D59" i="2"/>
  <c r="E59" i="2"/>
  <c r="D60" i="2"/>
  <c r="E60" i="2"/>
  <c r="D61" i="2"/>
  <c r="E61" i="2"/>
  <c r="D62" i="2"/>
  <c r="E62" i="2"/>
  <c r="D63" i="2"/>
  <c r="E63" i="2"/>
  <c r="D64" i="2"/>
  <c r="E64" i="2"/>
  <c r="D65" i="2"/>
  <c r="E65" i="2"/>
  <c r="D66" i="2"/>
  <c r="E66" i="2"/>
  <c r="D67" i="2"/>
  <c r="E67" i="2"/>
  <c r="D68" i="2"/>
  <c r="E68" i="2"/>
  <c r="D69" i="2"/>
  <c r="E69" i="2"/>
  <c r="D70" i="2"/>
  <c r="E70" i="2"/>
  <c r="D71" i="2"/>
  <c r="E71" i="2"/>
  <c r="D72" i="2"/>
  <c r="E72" i="2"/>
  <c r="D73" i="2"/>
  <c r="E73" i="2"/>
  <c r="D74" i="2"/>
  <c r="E74" i="2"/>
  <c r="D75" i="2"/>
  <c r="E75" i="2"/>
  <c r="D76" i="2"/>
  <c r="E76" i="2"/>
  <c r="D77" i="2"/>
  <c r="E77" i="2"/>
  <c r="D78" i="2"/>
  <c r="E78" i="2"/>
  <c r="D79" i="2"/>
  <c r="E79" i="2"/>
  <c r="D80" i="2"/>
  <c r="E80" i="2"/>
  <c r="D81" i="2"/>
  <c r="E81" i="2"/>
  <c r="D82" i="2"/>
  <c r="E82" i="2"/>
  <c r="D83" i="2"/>
  <c r="E83" i="2"/>
  <c r="D84" i="2"/>
  <c r="E84" i="2"/>
  <c r="D85" i="2"/>
  <c r="E85" i="2"/>
  <c r="D86" i="2"/>
  <c r="E86" i="2"/>
  <c r="D87" i="2"/>
  <c r="E87" i="2"/>
  <c r="D88" i="2"/>
  <c r="E88" i="2"/>
  <c r="Z25" i="2" s="1"/>
  <c r="D89" i="2"/>
  <c r="E89" i="2"/>
  <c r="D90" i="2"/>
  <c r="E90" i="2"/>
  <c r="D91" i="2"/>
  <c r="E91" i="2"/>
  <c r="D92" i="2"/>
  <c r="E92" i="2"/>
  <c r="Z26" i="2" s="1"/>
  <c r="D93" i="2"/>
  <c r="E93" i="2"/>
  <c r="D94" i="2"/>
  <c r="E94" i="2"/>
  <c r="D95" i="2"/>
  <c r="E95" i="2"/>
  <c r="D96" i="2"/>
  <c r="E96" i="2"/>
  <c r="Z27" i="2" s="1"/>
  <c r="D97" i="2"/>
  <c r="E97" i="2"/>
  <c r="D98" i="2"/>
  <c r="E98" i="2"/>
  <c r="D99" i="2"/>
  <c r="E99" i="2"/>
  <c r="D100" i="2"/>
  <c r="E100" i="2"/>
  <c r="Z28" i="2" s="1"/>
  <c r="D101" i="2"/>
  <c r="E101" i="2"/>
  <c r="D102" i="2"/>
  <c r="E102" i="2"/>
  <c r="D103" i="2"/>
  <c r="E103" i="2"/>
  <c r="D104" i="2"/>
  <c r="E104" i="2"/>
  <c r="Z29" i="2" s="1"/>
  <c r="D105" i="2"/>
  <c r="E105" i="2"/>
  <c r="D106" i="2"/>
  <c r="E106" i="2"/>
  <c r="D107" i="2"/>
  <c r="E107" i="2"/>
  <c r="D108" i="2"/>
  <c r="E108" i="2"/>
  <c r="Z30" i="2" s="1"/>
  <c r="D109" i="2"/>
  <c r="E109" i="2"/>
  <c r="D110" i="2"/>
  <c r="E110" i="2"/>
  <c r="D111" i="2"/>
  <c r="E111" i="2"/>
  <c r="D112" i="2"/>
  <c r="E112" i="2"/>
  <c r="Z31" i="2" s="1"/>
  <c r="D113" i="2"/>
  <c r="E113" i="2"/>
  <c r="D114" i="2"/>
  <c r="E114" i="2"/>
  <c r="D115" i="2"/>
  <c r="E115" i="2"/>
  <c r="D116" i="2"/>
  <c r="E116" i="2"/>
  <c r="Z32" i="2" s="1"/>
  <c r="D117" i="2"/>
  <c r="E117" i="2"/>
  <c r="D118" i="2"/>
  <c r="E118" i="2"/>
  <c r="D119" i="2"/>
  <c r="E119" i="2"/>
  <c r="D120" i="2"/>
  <c r="E120" i="2"/>
  <c r="Z33" i="2" s="1"/>
  <c r="D121" i="2"/>
  <c r="E121" i="2"/>
  <c r="D122" i="2"/>
  <c r="E122" i="2"/>
  <c r="D123" i="2"/>
  <c r="E123" i="2"/>
  <c r="D124" i="2"/>
  <c r="E124" i="2"/>
  <c r="Z34" i="2" s="1"/>
  <c r="D125" i="2"/>
  <c r="E125" i="2"/>
  <c r="D126" i="2"/>
  <c r="E126" i="2"/>
  <c r="D127" i="2"/>
  <c r="E127" i="2"/>
  <c r="D128" i="2"/>
  <c r="E128" i="2"/>
  <c r="Z35" i="2" s="1"/>
  <c r="D129" i="2"/>
  <c r="E129" i="2"/>
  <c r="D130" i="2"/>
  <c r="E130" i="2"/>
  <c r="D131" i="2"/>
  <c r="E131" i="2"/>
  <c r="D132" i="2"/>
  <c r="E132" i="2"/>
  <c r="Y36" i="2" s="1"/>
  <c r="D133" i="2"/>
  <c r="E133" i="2"/>
  <c r="D134" i="2"/>
  <c r="E134" i="2"/>
  <c r="D135" i="2"/>
  <c r="E135" i="2"/>
  <c r="D136" i="2"/>
  <c r="E136" i="2"/>
  <c r="Y37" i="2" s="1"/>
  <c r="D137" i="2"/>
  <c r="E137" i="2"/>
  <c r="D138" i="2"/>
  <c r="E138" i="2"/>
  <c r="D139" i="2"/>
  <c r="E139" i="2"/>
  <c r="D140" i="2"/>
  <c r="E140" i="2"/>
  <c r="Y38" i="2" s="1"/>
  <c r="D141" i="2"/>
  <c r="E141" i="2"/>
  <c r="D142" i="2"/>
  <c r="E142" i="2"/>
  <c r="D143" i="2"/>
  <c r="E143" i="2"/>
  <c r="D144" i="2"/>
  <c r="E144" i="2"/>
  <c r="Y39" i="2" s="1"/>
  <c r="D145" i="2"/>
  <c r="E145" i="2"/>
  <c r="D146" i="2"/>
  <c r="E146" i="2"/>
  <c r="D147" i="2"/>
  <c r="E147" i="2"/>
  <c r="D148" i="2"/>
  <c r="E148" i="2"/>
  <c r="E5" i="2"/>
  <c r="D5" i="2"/>
  <c r="B6" i="2"/>
  <c r="C6" i="2"/>
  <c r="B7" i="2"/>
  <c r="C7" i="2"/>
  <c r="B8" i="2"/>
  <c r="C8" i="2"/>
  <c r="B9" i="2"/>
  <c r="C9" i="2"/>
  <c r="B10" i="2"/>
  <c r="C10" i="2"/>
  <c r="B11" i="2"/>
  <c r="C11" i="2"/>
  <c r="B12" i="2"/>
  <c r="C12" i="2"/>
  <c r="B13" i="2"/>
  <c r="C13" i="2"/>
  <c r="B14" i="2"/>
  <c r="C14" i="2"/>
  <c r="B15" i="2"/>
  <c r="C15" i="2"/>
  <c r="B16" i="2"/>
  <c r="C16" i="2"/>
  <c r="B17" i="2"/>
  <c r="C17" i="2"/>
  <c r="B18" i="2"/>
  <c r="C18" i="2"/>
  <c r="B19" i="2"/>
  <c r="C19" i="2"/>
  <c r="B20" i="2"/>
  <c r="C20" i="2"/>
  <c r="B21" i="2"/>
  <c r="C21" i="2"/>
  <c r="B22" i="2"/>
  <c r="C22" i="2"/>
  <c r="B23" i="2"/>
  <c r="C23" i="2"/>
  <c r="B24" i="2"/>
  <c r="C24" i="2"/>
  <c r="B25" i="2"/>
  <c r="C25" i="2"/>
  <c r="B26" i="2"/>
  <c r="C26" i="2"/>
  <c r="B27" i="2"/>
  <c r="C27" i="2"/>
  <c r="B28" i="2"/>
  <c r="C28" i="2"/>
  <c r="B29" i="2"/>
  <c r="C29" i="2"/>
  <c r="B30" i="2"/>
  <c r="C30" i="2"/>
  <c r="B31" i="2"/>
  <c r="C31" i="2"/>
  <c r="B32" i="2"/>
  <c r="C32" i="2"/>
  <c r="B33" i="2"/>
  <c r="C33" i="2"/>
  <c r="B34" i="2"/>
  <c r="C34" i="2"/>
  <c r="B35" i="2"/>
  <c r="C35" i="2"/>
  <c r="B36" i="2"/>
  <c r="C36" i="2"/>
  <c r="B37" i="2"/>
  <c r="C37" i="2"/>
  <c r="B38" i="2"/>
  <c r="C38" i="2"/>
  <c r="B39" i="2"/>
  <c r="C39" i="2"/>
  <c r="B40" i="2"/>
  <c r="C40" i="2"/>
  <c r="B41" i="2"/>
  <c r="C41" i="2"/>
  <c r="B42" i="2"/>
  <c r="C42" i="2"/>
  <c r="B43" i="2"/>
  <c r="C43" i="2"/>
  <c r="B44" i="2"/>
  <c r="C44" i="2"/>
  <c r="B45" i="2"/>
  <c r="C45" i="2"/>
  <c r="B46" i="2"/>
  <c r="C46" i="2"/>
  <c r="B47" i="2"/>
  <c r="C47" i="2"/>
  <c r="B48" i="2"/>
  <c r="C48" i="2"/>
  <c r="B49" i="2"/>
  <c r="C49" i="2"/>
  <c r="B50" i="2"/>
  <c r="C50" i="2"/>
  <c r="B51" i="2"/>
  <c r="C51" i="2"/>
  <c r="B52" i="2"/>
  <c r="C52" i="2"/>
  <c r="B53" i="2"/>
  <c r="C53" i="2"/>
  <c r="B54" i="2"/>
  <c r="C54" i="2"/>
  <c r="B55" i="2"/>
  <c r="C55" i="2"/>
  <c r="B56" i="2"/>
  <c r="C56" i="2"/>
  <c r="B57" i="2"/>
  <c r="C57" i="2"/>
  <c r="B58" i="2"/>
  <c r="C58" i="2"/>
  <c r="B59" i="2"/>
  <c r="C59" i="2"/>
  <c r="B60" i="2"/>
  <c r="C60" i="2"/>
  <c r="B61" i="2"/>
  <c r="C61" i="2"/>
  <c r="B62" i="2"/>
  <c r="C62" i="2"/>
  <c r="B63" i="2"/>
  <c r="C63" i="2"/>
  <c r="B64" i="2"/>
  <c r="C64" i="2"/>
  <c r="B65" i="2"/>
  <c r="C65" i="2"/>
  <c r="B66" i="2"/>
  <c r="C66" i="2"/>
  <c r="B67" i="2"/>
  <c r="C67" i="2"/>
  <c r="B68" i="2"/>
  <c r="C68" i="2"/>
  <c r="B69" i="2"/>
  <c r="C69" i="2"/>
  <c r="B70" i="2"/>
  <c r="C70" i="2"/>
  <c r="B71" i="2"/>
  <c r="C71" i="2"/>
  <c r="B72" i="2"/>
  <c r="C72" i="2"/>
  <c r="B73" i="2"/>
  <c r="C73" i="2"/>
  <c r="B74" i="2"/>
  <c r="C74" i="2"/>
  <c r="B75" i="2"/>
  <c r="C75" i="2"/>
  <c r="B76" i="2"/>
  <c r="C76" i="2"/>
  <c r="B77" i="2"/>
  <c r="C77" i="2"/>
  <c r="B78" i="2"/>
  <c r="C78" i="2"/>
  <c r="B79" i="2"/>
  <c r="C79" i="2"/>
  <c r="B80" i="2"/>
  <c r="C80" i="2"/>
  <c r="B81" i="2"/>
  <c r="C81" i="2"/>
  <c r="B82" i="2"/>
  <c r="C82" i="2"/>
  <c r="B83" i="2"/>
  <c r="C83" i="2"/>
  <c r="B84" i="2"/>
  <c r="C84" i="2"/>
  <c r="B85" i="2"/>
  <c r="C85" i="2"/>
  <c r="B86" i="2"/>
  <c r="C86" i="2"/>
  <c r="B87" i="2"/>
  <c r="C87" i="2"/>
  <c r="B88" i="2"/>
  <c r="C88" i="2"/>
  <c r="B89" i="2"/>
  <c r="C89" i="2"/>
  <c r="B90" i="2"/>
  <c r="C90" i="2"/>
  <c r="B91" i="2"/>
  <c r="C91" i="2"/>
  <c r="B92" i="2"/>
  <c r="C92" i="2"/>
  <c r="B93" i="2"/>
  <c r="C93" i="2"/>
  <c r="B94" i="2"/>
  <c r="C94" i="2"/>
  <c r="B95" i="2"/>
  <c r="C95" i="2"/>
  <c r="B96" i="2"/>
  <c r="C96" i="2"/>
  <c r="B97" i="2"/>
  <c r="C97" i="2"/>
  <c r="B98" i="2"/>
  <c r="C98" i="2"/>
  <c r="B99" i="2"/>
  <c r="C99" i="2"/>
  <c r="B100" i="2"/>
  <c r="C100" i="2"/>
  <c r="B101" i="2"/>
  <c r="C101" i="2"/>
  <c r="B102" i="2"/>
  <c r="C102" i="2"/>
  <c r="B103" i="2"/>
  <c r="C103" i="2"/>
  <c r="B104" i="2"/>
  <c r="C104" i="2"/>
  <c r="B105" i="2"/>
  <c r="C105" i="2"/>
  <c r="B106" i="2"/>
  <c r="C106" i="2"/>
  <c r="B107" i="2"/>
  <c r="C107" i="2"/>
  <c r="B108" i="2"/>
  <c r="C108" i="2"/>
  <c r="B109" i="2"/>
  <c r="C109" i="2"/>
  <c r="B110" i="2"/>
  <c r="C110" i="2"/>
  <c r="B111" i="2"/>
  <c r="C111" i="2"/>
  <c r="B112" i="2"/>
  <c r="C112" i="2"/>
  <c r="B113" i="2"/>
  <c r="C113" i="2"/>
  <c r="B114" i="2"/>
  <c r="C114" i="2"/>
  <c r="B115" i="2"/>
  <c r="C115" i="2"/>
  <c r="B116" i="2"/>
  <c r="C116" i="2"/>
  <c r="B117" i="2"/>
  <c r="C117" i="2"/>
  <c r="B118" i="2"/>
  <c r="C118" i="2"/>
  <c r="B119" i="2"/>
  <c r="C119" i="2"/>
  <c r="B120" i="2"/>
  <c r="C120" i="2"/>
  <c r="B121" i="2"/>
  <c r="C121" i="2"/>
  <c r="B122" i="2"/>
  <c r="C122" i="2"/>
  <c r="B123" i="2"/>
  <c r="C123" i="2"/>
  <c r="B124" i="2"/>
  <c r="C124" i="2"/>
  <c r="B125" i="2"/>
  <c r="C125" i="2"/>
  <c r="B126" i="2"/>
  <c r="C126" i="2"/>
  <c r="B127" i="2"/>
  <c r="C127" i="2"/>
  <c r="B128" i="2"/>
  <c r="C128" i="2"/>
  <c r="B129" i="2"/>
  <c r="C129" i="2"/>
  <c r="B130" i="2"/>
  <c r="C130" i="2"/>
  <c r="B131" i="2"/>
  <c r="C131" i="2"/>
  <c r="B132" i="2"/>
  <c r="C132" i="2"/>
  <c r="B133" i="2"/>
  <c r="C133" i="2"/>
  <c r="B134" i="2"/>
  <c r="C134" i="2"/>
  <c r="B135" i="2"/>
  <c r="C135" i="2"/>
  <c r="B136" i="2"/>
  <c r="C136" i="2"/>
  <c r="B137" i="2"/>
  <c r="C137" i="2"/>
  <c r="B138" i="2"/>
  <c r="C138" i="2"/>
  <c r="B139" i="2"/>
  <c r="C139" i="2"/>
  <c r="B140" i="2"/>
  <c r="C140" i="2"/>
  <c r="B141" i="2"/>
  <c r="C141" i="2"/>
  <c r="B142" i="2"/>
  <c r="C142" i="2"/>
  <c r="B143" i="2"/>
  <c r="C143" i="2"/>
  <c r="B144" i="2"/>
  <c r="C144" i="2"/>
  <c r="B145" i="2"/>
  <c r="C145" i="2"/>
  <c r="B146" i="2"/>
  <c r="C146" i="2"/>
  <c r="B147" i="2"/>
  <c r="C147" i="2"/>
  <c r="B148" i="2"/>
  <c r="C148" i="2"/>
  <c r="C5" i="2"/>
  <c r="B5" i="2"/>
  <c r="X39" i="2" l="1"/>
  <c r="X38" i="2"/>
  <c r="X37" i="2"/>
  <c r="X36" i="2"/>
  <c r="W40" i="2"/>
  <c r="W39" i="2"/>
  <c r="W38" i="2"/>
  <c r="W37" i="2"/>
  <c r="W36" i="2"/>
  <c r="Z39" i="2"/>
  <c r="Z38" i="2"/>
  <c r="Z37" i="2"/>
  <c r="Z36" i="2"/>
  <c r="Y33" i="2"/>
  <c r="P40" i="2"/>
  <c r="J20" i="11" s="1"/>
  <c r="P39" i="2"/>
  <c r="J19" i="11" s="1"/>
  <c r="P38" i="2"/>
  <c r="J18" i="11" s="1"/>
  <c r="P37" i="2"/>
  <c r="J17" i="11" s="1"/>
  <c r="P36" i="2"/>
  <c r="J16" i="11" s="1"/>
  <c r="Y35" i="2"/>
  <c r="Y34" i="2"/>
  <c r="Y32" i="2"/>
  <c r="Y31" i="2"/>
  <c r="Y30" i="2"/>
  <c r="Y29" i="2"/>
  <c r="X35" i="2"/>
  <c r="X34" i="2"/>
  <c r="X33" i="2"/>
  <c r="X32" i="2"/>
  <c r="X31" i="2"/>
  <c r="X30" i="2"/>
  <c r="X29" i="2"/>
  <c r="Q6" i="2"/>
  <c r="W35" i="2"/>
  <c r="W34" i="2"/>
  <c r="W33" i="2"/>
  <c r="W32" i="2"/>
  <c r="W31" i="2"/>
  <c r="W30" i="2"/>
  <c r="W29" i="2"/>
  <c r="S6" i="2"/>
  <c r="Y28" i="2"/>
  <c r="Y27" i="2"/>
  <c r="Y26" i="2"/>
  <c r="Y25" i="2"/>
  <c r="R6" i="2"/>
  <c r="X28" i="2"/>
  <c r="X27" i="2"/>
  <c r="X26" i="2"/>
  <c r="X25" i="2"/>
  <c r="P35" i="2"/>
  <c r="J15" i="11" s="1"/>
  <c r="P34" i="2"/>
  <c r="J14" i="11" s="1"/>
  <c r="P33" i="2"/>
  <c r="J13" i="11" s="1"/>
  <c r="P32" i="2"/>
  <c r="J12" i="11" s="1"/>
  <c r="P31" i="2"/>
  <c r="J11" i="11" s="1"/>
  <c r="P30" i="2"/>
  <c r="J10" i="11" s="1"/>
  <c r="P29" i="2"/>
  <c r="J9" i="11" s="1"/>
  <c r="P28" i="2"/>
  <c r="J8" i="11" s="1"/>
  <c r="W28" i="2"/>
  <c r="P27" i="2"/>
  <c r="J7" i="11" s="1"/>
  <c r="W27" i="2"/>
  <c r="P26" i="2"/>
  <c r="J6" i="11" s="1"/>
  <c r="W26" i="2"/>
  <c r="P25" i="2"/>
  <c r="J5" i="11" s="1"/>
  <c r="W25" i="2"/>
  <c r="P24" i="2"/>
  <c r="P23" i="2"/>
  <c r="P22" i="2"/>
  <c r="P21" i="2"/>
  <c r="P20" i="2"/>
  <c r="P19" i="2"/>
  <c r="P18" i="2"/>
  <c r="P17" i="2"/>
  <c r="P16" i="2"/>
  <c r="P15" i="2"/>
  <c r="P14" i="2"/>
  <c r="P13" i="2"/>
  <c r="P12" i="2"/>
  <c r="P11" i="2"/>
  <c r="P10" i="2"/>
  <c r="P9" i="2"/>
  <c r="P8" i="2"/>
  <c r="P7" i="2"/>
  <c r="P6" i="2"/>
  <c r="S39" i="2"/>
  <c r="M19" i="11" s="1"/>
  <c r="S38" i="2"/>
  <c r="M18" i="11" s="1"/>
  <c r="S37" i="2"/>
  <c r="M17" i="11" s="1"/>
  <c r="S36" i="2"/>
  <c r="M16" i="11" s="1"/>
  <c r="S35" i="2"/>
  <c r="M15" i="11" s="1"/>
  <c r="S34" i="2"/>
  <c r="M14" i="11" s="1"/>
  <c r="S33" i="2"/>
  <c r="M13" i="11" s="1"/>
  <c r="S32" i="2"/>
  <c r="M12" i="11" s="1"/>
  <c r="S31" i="2"/>
  <c r="M11" i="11" s="1"/>
  <c r="S30" i="2"/>
  <c r="M10" i="11" s="1"/>
  <c r="S29" i="2"/>
  <c r="M9" i="11" s="1"/>
  <c r="S28" i="2"/>
  <c r="M8" i="11" s="1"/>
  <c r="S27" i="2"/>
  <c r="M7" i="11" s="1"/>
  <c r="S26" i="2"/>
  <c r="M6" i="11" s="1"/>
  <c r="S25" i="2"/>
  <c r="M5" i="11" s="1"/>
  <c r="S24" i="2"/>
  <c r="S23" i="2"/>
  <c r="S22" i="2"/>
  <c r="S21" i="2"/>
  <c r="S20" i="2"/>
  <c r="S19" i="2"/>
  <c r="S18" i="2"/>
  <c r="S17" i="2"/>
  <c r="S16" i="2"/>
  <c r="S15" i="2"/>
  <c r="S14" i="2"/>
  <c r="S13" i="2"/>
  <c r="S12" i="2"/>
  <c r="S11" i="2"/>
  <c r="S10" i="2"/>
  <c r="S9" i="2"/>
  <c r="S8" i="2"/>
  <c r="S7" i="2"/>
  <c r="R39" i="2"/>
  <c r="L19" i="11" s="1"/>
  <c r="R38" i="2"/>
  <c r="L18" i="11" s="1"/>
  <c r="R37" i="2"/>
  <c r="L17" i="11" s="1"/>
  <c r="R36" i="2"/>
  <c r="L16" i="11" s="1"/>
  <c r="R35" i="2"/>
  <c r="L15" i="11" s="1"/>
  <c r="R34" i="2"/>
  <c r="L14" i="11" s="1"/>
  <c r="R33" i="2"/>
  <c r="L13" i="11" s="1"/>
  <c r="R32" i="2"/>
  <c r="L12" i="11" s="1"/>
  <c r="R31" i="2"/>
  <c r="L11" i="11" s="1"/>
  <c r="R30" i="2"/>
  <c r="L10" i="11" s="1"/>
  <c r="R29" i="2"/>
  <c r="L9" i="11" s="1"/>
  <c r="R28" i="2"/>
  <c r="L8" i="11" s="1"/>
  <c r="R27" i="2"/>
  <c r="L7" i="11" s="1"/>
  <c r="R26" i="2"/>
  <c r="L6" i="11" s="1"/>
  <c r="R25" i="2"/>
  <c r="L5" i="11" s="1"/>
  <c r="R24" i="2"/>
  <c r="R23" i="2"/>
  <c r="R22" i="2"/>
  <c r="R21" i="2"/>
  <c r="R20" i="2"/>
  <c r="R19" i="2"/>
  <c r="R18" i="2"/>
  <c r="R17" i="2"/>
  <c r="R16" i="2"/>
  <c r="R15" i="2"/>
  <c r="R14" i="2"/>
  <c r="R13" i="2"/>
  <c r="R12" i="2"/>
  <c r="R11" i="2"/>
  <c r="R10" i="2"/>
  <c r="R9" i="2"/>
  <c r="R8" i="2"/>
  <c r="R7" i="2"/>
  <c r="Q39" i="2"/>
  <c r="K19" i="11" s="1"/>
  <c r="Q38" i="2"/>
  <c r="K18" i="11" s="1"/>
  <c r="Q37" i="2"/>
  <c r="K17" i="11" s="1"/>
  <c r="Q36" i="2"/>
  <c r="K16" i="11" s="1"/>
  <c r="Q35" i="2"/>
  <c r="K15" i="11" s="1"/>
  <c r="Q34" i="2"/>
  <c r="K14" i="11" s="1"/>
  <c r="Q33" i="2"/>
  <c r="K13" i="11" s="1"/>
  <c r="Q32" i="2"/>
  <c r="K12" i="11" s="1"/>
  <c r="Q31" i="2"/>
  <c r="K11" i="11" s="1"/>
  <c r="Q30" i="2"/>
  <c r="K10" i="11" s="1"/>
  <c r="Q29" i="2"/>
  <c r="K9" i="11" s="1"/>
  <c r="Q28" i="2"/>
  <c r="K8" i="11" s="1"/>
  <c r="Q27" i="2"/>
  <c r="K7" i="11" s="1"/>
  <c r="Q26" i="2"/>
  <c r="K6" i="11" s="1"/>
  <c r="Q25" i="2"/>
  <c r="K5" i="11" s="1"/>
  <c r="Q24" i="2"/>
  <c r="Q23" i="2"/>
  <c r="Q22" i="2"/>
  <c r="Q21" i="2"/>
  <c r="Q20" i="2"/>
  <c r="Q19" i="2"/>
  <c r="Q18" i="2"/>
  <c r="Q17" i="2"/>
  <c r="Q16" i="2"/>
  <c r="Q15" i="2"/>
  <c r="Q14" i="2"/>
  <c r="Q13" i="2"/>
  <c r="Q12" i="2"/>
  <c r="Q11" i="2"/>
  <c r="Q10" i="2"/>
  <c r="Q9" i="2"/>
  <c r="Q8" i="2"/>
  <c r="Q7" i="2"/>
  <c r="S5" i="2"/>
  <c r="F32" i="2"/>
  <c r="L11" i="2" s="1"/>
  <c r="F148" i="2"/>
  <c r="L40" i="2" s="1"/>
  <c r="E20" i="11" s="1"/>
  <c r="F140" i="2"/>
  <c r="L38" i="2" s="1"/>
  <c r="E18" i="11" s="1"/>
  <c r="F132" i="2"/>
  <c r="L36" i="2" s="1"/>
  <c r="E16" i="11" s="1"/>
  <c r="F124" i="2"/>
  <c r="L34" i="2" s="1"/>
  <c r="E14" i="11" s="1"/>
  <c r="F52" i="2"/>
  <c r="L16" i="2" s="1"/>
  <c r="F28" i="2"/>
  <c r="L10" i="2" s="1"/>
  <c r="F5" i="2"/>
  <c r="I5" i="2" s="1"/>
  <c r="F139" i="2"/>
  <c r="K38" i="2" s="1"/>
  <c r="D18" i="11" s="1"/>
  <c r="F83" i="2"/>
  <c r="K24" i="2" s="1"/>
  <c r="F19" i="2"/>
  <c r="K8" i="2" s="1"/>
  <c r="F11" i="2"/>
  <c r="K6" i="2" s="1"/>
  <c r="F146" i="2"/>
  <c r="J40" i="2" s="1"/>
  <c r="C20" i="11" s="1"/>
  <c r="F138" i="2"/>
  <c r="J38" i="2" s="1"/>
  <c r="C18" i="11" s="1"/>
  <c r="F130" i="2"/>
  <c r="J36" i="2" s="1"/>
  <c r="C16" i="11" s="1"/>
  <c r="F90" i="2"/>
  <c r="J26" i="2" s="1"/>
  <c r="C6" i="11" s="1"/>
  <c r="F82" i="2"/>
  <c r="J24" i="2" s="1"/>
  <c r="F74" i="2"/>
  <c r="J22" i="2" s="1"/>
  <c r="F66" i="2"/>
  <c r="J20" i="2" s="1"/>
  <c r="F26" i="2"/>
  <c r="J10" i="2" s="1"/>
  <c r="F18" i="2"/>
  <c r="J8" i="2" s="1"/>
  <c r="F10" i="2"/>
  <c r="J6" i="2" s="1"/>
  <c r="F91" i="2"/>
  <c r="K26" i="2" s="1"/>
  <c r="D6" i="11" s="1"/>
  <c r="F99" i="2"/>
  <c r="K28" i="2" s="1"/>
  <c r="D8" i="11" s="1"/>
  <c r="F116" i="2"/>
  <c r="L32" i="2" s="1"/>
  <c r="E12" i="11" s="1"/>
  <c r="F108" i="2"/>
  <c r="L30" i="2" s="1"/>
  <c r="E10" i="11" s="1"/>
  <c r="F100" i="2"/>
  <c r="L28" i="2" s="1"/>
  <c r="E8" i="11" s="1"/>
  <c r="F92" i="2"/>
  <c r="L26" i="2" s="1"/>
  <c r="E6" i="11" s="1"/>
  <c r="F84" i="2"/>
  <c r="L24" i="2" s="1"/>
  <c r="F76" i="2"/>
  <c r="L22" i="2" s="1"/>
  <c r="F68" i="2"/>
  <c r="L20" i="2" s="1"/>
  <c r="F60" i="2"/>
  <c r="L18" i="2" s="1"/>
  <c r="F44" i="2"/>
  <c r="L14" i="2" s="1"/>
  <c r="F36" i="2"/>
  <c r="L12" i="2" s="1"/>
  <c r="F20" i="2"/>
  <c r="L8" i="2" s="1"/>
  <c r="F12" i="2"/>
  <c r="L6" i="2" s="1"/>
  <c r="F101" i="2"/>
  <c r="I29" i="2" s="1"/>
  <c r="B9" i="11" s="1"/>
  <c r="F61" i="2"/>
  <c r="I19" i="2" s="1"/>
  <c r="F37" i="2"/>
  <c r="I13" i="2" s="1"/>
  <c r="F147" i="2"/>
  <c r="K40" i="2" s="1"/>
  <c r="D20" i="11" s="1"/>
  <c r="F131" i="2"/>
  <c r="K36" i="2" s="1"/>
  <c r="D16" i="11" s="1"/>
  <c r="F123" i="2"/>
  <c r="K34" i="2" s="1"/>
  <c r="D14" i="11" s="1"/>
  <c r="F115" i="2"/>
  <c r="K32" i="2" s="1"/>
  <c r="D12" i="11" s="1"/>
  <c r="F107" i="2"/>
  <c r="K30" i="2" s="1"/>
  <c r="D10" i="11" s="1"/>
  <c r="F75" i="2"/>
  <c r="K22" i="2" s="1"/>
  <c r="F67" i="2"/>
  <c r="K20" i="2" s="1"/>
  <c r="F59" i="2"/>
  <c r="K18" i="2" s="1"/>
  <c r="F51" i="2"/>
  <c r="K16" i="2" s="1"/>
  <c r="F43" i="2"/>
  <c r="K14" i="2" s="1"/>
  <c r="F35" i="2"/>
  <c r="K12" i="2" s="1"/>
  <c r="F27" i="2"/>
  <c r="K10" i="2" s="1"/>
  <c r="F125" i="2"/>
  <c r="I35" i="2" s="1"/>
  <c r="B15" i="11" s="1"/>
  <c r="F77" i="2"/>
  <c r="I23" i="2" s="1"/>
  <c r="F13" i="2"/>
  <c r="I7" i="2" s="1"/>
  <c r="F122" i="2"/>
  <c r="J34" i="2" s="1"/>
  <c r="C14" i="11" s="1"/>
  <c r="F114" i="2"/>
  <c r="J32" i="2" s="1"/>
  <c r="C12" i="11" s="1"/>
  <c r="F106" i="2"/>
  <c r="J30" i="2" s="1"/>
  <c r="C10" i="11" s="1"/>
  <c r="F98" i="2"/>
  <c r="J28" i="2" s="1"/>
  <c r="C8" i="11" s="1"/>
  <c r="F58" i="2"/>
  <c r="J18" i="2" s="1"/>
  <c r="F50" i="2"/>
  <c r="J16" i="2" s="1"/>
  <c r="F42" i="2"/>
  <c r="J14" i="2" s="1"/>
  <c r="F34" i="2"/>
  <c r="J12" i="2" s="1"/>
  <c r="F133" i="2"/>
  <c r="I37" i="2" s="1"/>
  <c r="B17" i="11" s="1"/>
  <c r="F85" i="2"/>
  <c r="I25" i="2" s="1"/>
  <c r="B5" i="11" s="1"/>
  <c r="F21" i="2"/>
  <c r="I9" i="2" s="1"/>
  <c r="F145" i="2"/>
  <c r="I40" i="2" s="1"/>
  <c r="B20" i="11" s="1"/>
  <c r="F137" i="2"/>
  <c r="I38" i="2" s="1"/>
  <c r="B18" i="11" s="1"/>
  <c r="F129" i="2"/>
  <c r="I36" i="2" s="1"/>
  <c r="B16" i="11" s="1"/>
  <c r="F121" i="2"/>
  <c r="I34" i="2" s="1"/>
  <c r="B14" i="11" s="1"/>
  <c r="F113" i="2"/>
  <c r="I32" i="2" s="1"/>
  <c r="B12" i="11" s="1"/>
  <c r="F105" i="2"/>
  <c r="I30" i="2" s="1"/>
  <c r="B10" i="11" s="1"/>
  <c r="F97" i="2"/>
  <c r="I28" i="2" s="1"/>
  <c r="B8" i="11" s="1"/>
  <c r="F89" i="2"/>
  <c r="I26" i="2" s="1"/>
  <c r="B6" i="11" s="1"/>
  <c r="F81" i="2"/>
  <c r="I24" i="2" s="1"/>
  <c r="F73" i="2"/>
  <c r="I22" i="2" s="1"/>
  <c r="F65" i="2"/>
  <c r="I20" i="2" s="1"/>
  <c r="F57" i="2"/>
  <c r="I18" i="2" s="1"/>
  <c r="F49" i="2"/>
  <c r="I16" i="2" s="1"/>
  <c r="F41" i="2"/>
  <c r="I14" i="2" s="1"/>
  <c r="F33" i="2"/>
  <c r="I12" i="2" s="1"/>
  <c r="F25" i="2"/>
  <c r="I10" i="2" s="1"/>
  <c r="F17" i="2"/>
  <c r="I8" i="2" s="1"/>
  <c r="F9" i="2"/>
  <c r="I6" i="2" s="1"/>
  <c r="F141" i="2"/>
  <c r="I39" i="2" s="1"/>
  <c r="B19" i="11" s="1"/>
  <c r="F53" i="2"/>
  <c r="I17" i="2" s="1"/>
  <c r="F144" i="2"/>
  <c r="L39" i="2" s="1"/>
  <c r="E19" i="11" s="1"/>
  <c r="F136" i="2"/>
  <c r="L37" i="2" s="1"/>
  <c r="E17" i="11" s="1"/>
  <c r="F128" i="2"/>
  <c r="L35" i="2" s="1"/>
  <c r="E15" i="11" s="1"/>
  <c r="F120" i="2"/>
  <c r="L33" i="2" s="1"/>
  <c r="E13" i="11" s="1"/>
  <c r="F112" i="2"/>
  <c r="L31" i="2" s="1"/>
  <c r="E11" i="11" s="1"/>
  <c r="F104" i="2"/>
  <c r="L29" i="2" s="1"/>
  <c r="E9" i="11" s="1"/>
  <c r="F96" i="2"/>
  <c r="L27" i="2" s="1"/>
  <c r="E7" i="11" s="1"/>
  <c r="F88" i="2"/>
  <c r="L25" i="2" s="1"/>
  <c r="E5" i="11" s="1"/>
  <c r="F80" i="2"/>
  <c r="L23" i="2" s="1"/>
  <c r="F72" i="2"/>
  <c r="L21" i="2" s="1"/>
  <c r="F64" i="2"/>
  <c r="L19" i="2" s="1"/>
  <c r="F56" i="2"/>
  <c r="L17" i="2" s="1"/>
  <c r="F48" i="2"/>
  <c r="L15" i="2" s="1"/>
  <c r="F40" i="2"/>
  <c r="L13" i="2" s="1"/>
  <c r="F24" i="2"/>
  <c r="L9" i="2" s="1"/>
  <c r="F16" i="2"/>
  <c r="L7" i="2" s="1"/>
  <c r="F8" i="2"/>
  <c r="L5" i="2" s="1"/>
  <c r="F109" i="2"/>
  <c r="I31" i="2" s="1"/>
  <c r="B11" i="11" s="1"/>
  <c r="F69" i="2"/>
  <c r="I21" i="2" s="1"/>
  <c r="F29" i="2"/>
  <c r="I11" i="2" s="1"/>
  <c r="F143" i="2"/>
  <c r="K39" i="2" s="1"/>
  <c r="D19" i="11" s="1"/>
  <c r="F135" i="2"/>
  <c r="K37" i="2" s="1"/>
  <c r="D17" i="11" s="1"/>
  <c r="F127" i="2"/>
  <c r="K35" i="2" s="1"/>
  <c r="D15" i="11" s="1"/>
  <c r="F119" i="2"/>
  <c r="K33" i="2" s="1"/>
  <c r="D13" i="11" s="1"/>
  <c r="F111" i="2"/>
  <c r="K31" i="2" s="1"/>
  <c r="D11" i="11" s="1"/>
  <c r="F103" i="2"/>
  <c r="K29" i="2" s="1"/>
  <c r="D9" i="11" s="1"/>
  <c r="F95" i="2"/>
  <c r="K27" i="2" s="1"/>
  <c r="D7" i="11" s="1"/>
  <c r="F87" i="2"/>
  <c r="K25" i="2" s="1"/>
  <c r="D5" i="11" s="1"/>
  <c r="F79" i="2"/>
  <c r="K23" i="2" s="1"/>
  <c r="F71" i="2"/>
  <c r="K21" i="2" s="1"/>
  <c r="F63" i="2"/>
  <c r="K19" i="2" s="1"/>
  <c r="F55" i="2"/>
  <c r="K17" i="2" s="1"/>
  <c r="F47" i="2"/>
  <c r="K15" i="2" s="1"/>
  <c r="F39" i="2"/>
  <c r="K13" i="2" s="1"/>
  <c r="F31" i="2"/>
  <c r="K11" i="2" s="1"/>
  <c r="F23" i="2"/>
  <c r="K9" i="2" s="1"/>
  <c r="F15" i="2"/>
  <c r="K7" i="2" s="1"/>
  <c r="F7" i="2"/>
  <c r="K5" i="2" s="1"/>
  <c r="F117" i="2"/>
  <c r="I33" i="2" s="1"/>
  <c r="B13" i="11" s="1"/>
  <c r="F93" i="2"/>
  <c r="I27" i="2" s="1"/>
  <c r="B7" i="11" s="1"/>
  <c r="F45" i="2"/>
  <c r="I15" i="2" s="1"/>
  <c r="F142" i="2"/>
  <c r="J39" i="2" s="1"/>
  <c r="C19" i="11" s="1"/>
  <c r="F134" i="2"/>
  <c r="J37" i="2" s="1"/>
  <c r="C17" i="11" s="1"/>
  <c r="F126" i="2"/>
  <c r="J35" i="2" s="1"/>
  <c r="C15" i="11" s="1"/>
  <c r="F118" i="2"/>
  <c r="J33" i="2" s="1"/>
  <c r="C13" i="11" s="1"/>
  <c r="F110" i="2"/>
  <c r="J31" i="2" s="1"/>
  <c r="C11" i="11" s="1"/>
  <c r="F102" i="2"/>
  <c r="J29" i="2" s="1"/>
  <c r="C9" i="11" s="1"/>
  <c r="F94" i="2"/>
  <c r="J27" i="2" s="1"/>
  <c r="C7" i="11" s="1"/>
  <c r="F86" i="2"/>
  <c r="J25" i="2" s="1"/>
  <c r="C5" i="11" s="1"/>
  <c r="F78" i="2"/>
  <c r="J23" i="2" s="1"/>
  <c r="F70" i="2"/>
  <c r="J21" i="2" s="1"/>
  <c r="F62" i="2"/>
  <c r="J19" i="2" s="1"/>
  <c r="F54" i="2"/>
  <c r="J17" i="2" s="1"/>
  <c r="F46" i="2"/>
  <c r="J15" i="2" s="1"/>
  <c r="F38" i="2"/>
  <c r="J13" i="2" s="1"/>
  <c r="F30" i="2"/>
  <c r="J11" i="2" s="1"/>
  <c r="F22" i="2"/>
  <c r="J9" i="2" s="1"/>
  <c r="F14" i="2"/>
  <c r="J7" i="2" s="1"/>
  <c r="F6" i="2"/>
  <c r="J5" i="2" s="1"/>
</calcChain>
</file>

<file path=xl/sharedStrings.xml><?xml version="1.0" encoding="utf-8"?>
<sst xmlns="http://schemas.openxmlformats.org/spreadsheetml/2006/main" count="3323" uniqueCount="702">
  <si>
    <t>Worksheet A2: National accounts aggregates [note 1, 5]</t>
  </si>
  <si>
    <t>This worksheet contains five tables with one blank row between them. Some cells refer to notes which can be found on the notes worksheet.</t>
  </si>
  <si>
    <t xml:space="preserve">Some cells in this table are empty because data was not collected for these variables at these time points. </t>
  </si>
  <si>
    <t>Reference year 2023 = 100</t>
  </si>
  <si>
    <t>Figures are in £ million</t>
  </si>
  <si>
    <t>Table 1: Annual</t>
  </si>
  <si>
    <t>Time period and dataset code row</t>
  </si>
  <si>
    <t>Gross national income at market prices: Current prices</t>
  </si>
  <si>
    <t>Net income from abroad: Current prices [note 2]</t>
  </si>
  <si>
    <t>Gross domestic product at market prices: Current prices</t>
  </si>
  <si>
    <t>less Basic price adjustment: Current prices [note 3]</t>
  </si>
  <si>
    <t>Gross value added at basic prices: Current prices</t>
  </si>
  <si>
    <t>Gross domestic product at market prices: Chained volume measure</t>
  </si>
  <si>
    <t>less Basic price adjustment: Chained volume measure [note 3]</t>
  </si>
  <si>
    <t>Gross value added at basic prices: Chained volume measure</t>
  </si>
  <si>
    <t>Gross domestic product at market prices: Chained volume measure: Non-seasonally adjusted</t>
  </si>
  <si>
    <t>Gross value added excluding oil &amp; gas: Chained volume measure [note 4]</t>
  </si>
  <si>
    <t>Dataset identifier</t>
  </si>
  <si>
    <t>ABMZ</t>
  </si>
  <si>
    <t>CAES</t>
  </si>
  <si>
    <t>YBHA</t>
  </si>
  <si>
    <t>NTAP</t>
  </si>
  <si>
    <t>ABML</t>
  </si>
  <si>
    <t>ABMI</t>
  </si>
  <si>
    <t>NTAO</t>
  </si>
  <si>
    <t>ABMM</t>
  </si>
  <si>
    <t>BKVT</t>
  </si>
  <si>
    <t>KLS2</t>
  </si>
  <si>
    <t xml:space="preserve"> </t>
  </si>
  <si>
    <t>Table 2: Quarterly</t>
  </si>
  <si>
    <t>1955 Q1</t>
  </si>
  <si>
    <t>1955 Q2</t>
  </si>
  <si>
    <t>1955 Q3</t>
  </si>
  <si>
    <t>1955 Q4</t>
  </si>
  <si>
    <t>1956 Q1</t>
  </si>
  <si>
    <t>1956 Q2</t>
  </si>
  <si>
    <t>1956 Q3</t>
  </si>
  <si>
    <t>1956 Q4</t>
  </si>
  <si>
    <t>1957 Q1</t>
  </si>
  <si>
    <t>1957 Q2</t>
  </si>
  <si>
    <t>1957 Q3</t>
  </si>
  <si>
    <t>1957 Q4</t>
  </si>
  <si>
    <t>1958 Q1</t>
  </si>
  <si>
    <t>1958 Q2</t>
  </si>
  <si>
    <t>1958 Q3</t>
  </si>
  <si>
    <t>1958 Q4</t>
  </si>
  <si>
    <t>1959 Q1</t>
  </si>
  <si>
    <t>1959 Q2</t>
  </si>
  <si>
    <t>1959 Q3</t>
  </si>
  <si>
    <t>1959 Q4</t>
  </si>
  <si>
    <t>1960 Q1</t>
  </si>
  <si>
    <t>1960 Q2</t>
  </si>
  <si>
    <t>1960 Q3</t>
  </si>
  <si>
    <t>1960 Q4</t>
  </si>
  <si>
    <t>1961 Q1</t>
  </si>
  <si>
    <t>1961 Q2</t>
  </si>
  <si>
    <t>1961 Q3</t>
  </si>
  <si>
    <t>1961 Q4</t>
  </si>
  <si>
    <t>1962 Q1</t>
  </si>
  <si>
    <t>1962 Q2</t>
  </si>
  <si>
    <t>1962 Q3</t>
  </si>
  <si>
    <t>1962 Q4</t>
  </si>
  <si>
    <t>1963 Q1</t>
  </si>
  <si>
    <t>1963 Q2</t>
  </si>
  <si>
    <t>1963 Q3</t>
  </si>
  <si>
    <t>1963 Q4</t>
  </si>
  <si>
    <t>1964 Q1</t>
  </si>
  <si>
    <t>1964 Q2</t>
  </si>
  <si>
    <t>1964 Q3</t>
  </si>
  <si>
    <t>1964 Q4</t>
  </si>
  <si>
    <t>1965 Q1</t>
  </si>
  <si>
    <t>1965 Q2</t>
  </si>
  <si>
    <t>1965 Q3</t>
  </si>
  <si>
    <t>1965 Q4</t>
  </si>
  <si>
    <t>1966 Q1</t>
  </si>
  <si>
    <t>1966 Q2</t>
  </si>
  <si>
    <t>1966 Q3</t>
  </si>
  <si>
    <t>1966 Q4</t>
  </si>
  <si>
    <t>1967 Q1</t>
  </si>
  <si>
    <t>1967 Q2</t>
  </si>
  <si>
    <t>1967 Q3</t>
  </si>
  <si>
    <t>1967 Q4</t>
  </si>
  <si>
    <t>1968 Q1</t>
  </si>
  <si>
    <t>1968 Q2</t>
  </si>
  <si>
    <t>1968 Q3</t>
  </si>
  <si>
    <t>1968 Q4</t>
  </si>
  <si>
    <t>1969 Q1</t>
  </si>
  <si>
    <t>1969 Q2</t>
  </si>
  <si>
    <t>1969 Q3</t>
  </si>
  <si>
    <t>1969 Q4</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</si>
  <si>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</si>
  <si>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</si>
  <si>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</si>
  <si>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</si>
  <si>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</si>
  <si>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</si>
  <si>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</si>
  <si>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</si>
  <si>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</si>
  <si>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</si>
  <si>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</si>
  <si>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</si>
  <si>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</si>
  <si>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</si>
  <si>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</si>
  <si>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</si>
  <si>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</si>
  <si>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</si>
  <si>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</si>
  <si>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</si>
  <si>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</si>
  <si>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</si>
  <si>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</si>
  <si>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</si>
  <si>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</si>
  <si>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</si>
  <si>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</si>
  <si>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</si>
  <si>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</si>
  <si>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</si>
  <si>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</si>
  <si>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</si>
  <si>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</si>
  <si>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</si>
  <si>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</si>
  <si>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</si>
  <si>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</si>
  <si>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</si>
  <si>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</si>
  <si>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</si>
  <si>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</si>
  <si>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</si>
  <si>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</si>
  <si>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</si>
  <si>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</si>
  <si>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</si>
  <si>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</si>
  <si>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</si>
  <si>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</si>
  <si>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</si>
  <si>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</si>
  <si>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</si>
  <si>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</si>
  <si>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</si>
  <si>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</si>
  <si>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</si>
  <si>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</si>
  <si>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</si>
  <si>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</si>
  <si>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</si>
  <si>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</si>
  <si>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</si>
  <si>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</si>
  <si>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</si>
  <si>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</si>
  <si>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</si>
  <si>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</si>
  <si>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</si>
  <si>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</si>
  <si>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</si>
  <si>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</si>
  <si>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</si>
  <si>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</si>
  <si>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</si>
  <si>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</si>
  <si>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</si>
  <si>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</si>
  <si>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</si>
  <si>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</si>
  <si>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</si>
  <si>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</si>
  <si>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</si>
  <si>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</si>
  <si>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</si>
  <si>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</si>
  <si>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</si>
  <si>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</si>
  <si>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</si>
  <si>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</si>
  <si>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</si>
  <si>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</si>
  <si>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</si>
  <si>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</si>
  <si>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</si>
  <si>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</si>
  <si>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</si>
  <si>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</si>
  <si>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</si>
  <si>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</si>
  <si>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</si>
  <si>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</si>
  <si>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</si>
  <si>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</si>
  <si>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</si>
  <si>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</si>
  <si>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</si>
  <si>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</si>
  <si>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</si>
  <si>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</si>
  <si>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</si>
  <si>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</si>
  <si>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</si>
  <si>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</si>
  <si>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</si>
  <si>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</si>
  <si>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</si>
  <si>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</si>
  <si>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</si>
  <si>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</si>
  <si>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</si>
  <si>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</si>
  <si>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</si>
  <si>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</si>
  <si>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</si>
  <si>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</si>
  <si>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</si>
  <si>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</si>
  <si>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</si>
  <si>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</si>
  <si>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</si>
  <si>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</si>
  <si>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</si>
  <si>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</si>
  <si>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</si>
  <si>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</si>
  <si>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</si>
  <si>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</si>
  <si>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</si>
  <si>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</si>
  <si>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</si>
  <si>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</si>
  <si>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</si>
  <si>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</si>
  <si>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</si>
  <si>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</si>
  <si>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</si>
  <si>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</si>
  <si>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</si>
  <si>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</si>
  <si>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</si>
  <si>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</si>
  <si>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</si>
  <si>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</si>
  <si>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</si>
  <si>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</si>
  <si>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</si>
  <si>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</si>
  <si>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</si>
  <si>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</si>
  <si>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</si>
  <si>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</si>
  <si>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</si>
  <si>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</si>
  <si>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</si>
  <si>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</si>
  <si>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</si>
  <si>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</si>
  <si>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</si>
  <si>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</si>
  <si>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</si>
  <si>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</si>
  <si>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</si>
  <si>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</si>
  <si>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</si>
  <si>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</si>
  <si>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</si>
  <si>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</si>
  <si>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</si>
  <si>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</si>
  <si>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</si>
  <si>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</si>
  <si>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</si>
  <si>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</si>
  <si>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</si>
  <si>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</si>
  <si>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</si>
  <si>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</si>
  <si>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</si>
  <si>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</si>
  <si>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</si>
  <si>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</si>
  <si>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</si>
  <si>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</si>
  <si>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</si>
  <si>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</si>
  <si>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</si>
  <si>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</si>
  <si>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</si>
  <si>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</si>
  <si>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</si>
  <si>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</si>
  <si>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</si>
  <si>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</si>
  <si>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</si>
  <si>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</si>
  <si>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</si>
  <si>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</si>
  <si>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</si>
  <si>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</si>
  <si>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</si>
  <si>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</si>
  <si>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</si>
  <si>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</si>
  <si>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</si>
  <si>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</si>
  <si>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</si>
  <si>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</si>
  <si>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</si>
  <si>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</si>
  <si>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</si>
  <si>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</si>
  <si>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</si>
  <si>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</si>
  <si>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</si>
  <si>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Table 3: Percentage change, latest year on previous year</t>
  </si>
  <si>
    <t>KH74</t>
  </si>
  <si>
    <t>IHYM</t>
  </si>
  <si>
    <t>KGL6</t>
  </si>
  <si>
    <t>IHYP</t>
  </si>
  <si>
    <t>KGM7</t>
  </si>
  <si>
    <t>KLH8</t>
  </si>
  <si>
    <t>Table 4: Percentage change, latest quarter on previous quarter</t>
  </si>
  <si>
    <t>KH75</t>
  </si>
  <si>
    <t>IHYN</t>
  </si>
  <si>
    <t>KGL8</t>
  </si>
  <si>
    <t>IHYQ</t>
  </si>
  <si>
    <t>KGM9</t>
  </si>
  <si>
    <t>BFDW</t>
  </si>
  <si>
    <t>Table 5: Percentage change, latest quarter on corresponding quarter of previous year</t>
  </si>
  <si>
    <t>KH76</t>
  </si>
  <si>
    <t>IHYO</t>
  </si>
  <si>
    <t>KGM2</t>
  </si>
  <si>
    <t>IHYR</t>
  </si>
  <si>
    <t>KGN3</t>
  </si>
  <si>
    <t>BFDY</t>
  </si>
  <si>
    <t>KLH9</t>
  </si>
  <si>
    <t>Date</t>
  </si>
  <si>
    <t>GDP SA</t>
  </si>
  <si>
    <t>GDP NSA</t>
  </si>
  <si>
    <t>Year</t>
  </si>
  <si>
    <t>Quarter</t>
  </si>
  <si>
    <t>Levels &gt;&gt;</t>
  </si>
  <si>
    <t>Ratio</t>
  </si>
  <si>
    <t>Q1</t>
  </si>
  <si>
    <t>Q2</t>
  </si>
  <si>
    <t>Q3</t>
  </si>
  <si>
    <t>Q4</t>
  </si>
  <si>
    <t>Quarterly ratios of levels &gt;&gt;</t>
  </si>
  <si>
    <t>One line</t>
  </si>
  <si>
    <t>quarter vs past 3q to future 3Q window</t>
  </si>
  <si>
    <t>Chains of reasoning:</t>
  </si>
  <si>
    <t>Headline GDP appears to be stronger in Q1 since the pandemic</t>
  </si>
  <si>
    <t xml:space="preserve">NSA data suggests that this is due to a shift in actual output more towards Q1, rather than being a function of the ONS' adjustments. But it does suggest the ONS isn't squeezing this underlying seasonality change out of the system. </t>
  </si>
  <si>
    <t>Question is whether we've now seen a long enough time series (a few years after pandemic distortions) to judge whether the shift in seasonality towards Q1 is a sustained shift (the implication being that the ONS should be adjusting for a sustained shift)</t>
  </si>
  <si>
    <t>This regime shift in output comes from XYZ (e.g. need to take a look at the expenditure components)</t>
  </si>
  <si>
    <t>Implications - creates difficulty for policymakers. Users should take care to not overemphasise individual monthly/quarterly GDP outturns, and instead look at a broader sweep of indicators</t>
  </si>
  <si>
    <t>https://www.ons.gov.uk/economy/grossdomesticproductgdp/datasets/uksecondestimateofgdpdatatables</t>
  </si>
  <si>
    <t>ONS data link:</t>
  </si>
  <si>
    <t>BKVTQ@UK</t>
  </si>
  <si>
    <t>ABMIQ@UK</t>
  </si>
  <si>
    <t>ABJRQ@UK</t>
  </si>
  <si>
    <t>NMRYQ@UK</t>
  </si>
  <si>
    <t>19901 !Q</t>
  </si>
  <si>
    <t>19901</t>
  </si>
  <si>
    <t>.FRQ</t>
  </si>
  <si>
    <t>.DTLM</t>
  </si>
  <si>
    <t>.LSOURCE</t>
  </si>
  <si>
    <t>.TN</t>
  </si>
  <si>
    <t>.T1</t>
  </si>
  <si>
    <t>.DESC</t>
  </si>
  <si>
    <t>Quarterly</t>
  </si>
  <si>
    <t>Mar-31-2026 07:04</t>
  </si>
  <si>
    <t>Office for National Statistics</t>
  </si>
  <si>
    <t>Q4-2025</t>
  </si>
  <si>
    <t>Q1-1955</t>
  </si>
  <si>
    <t>UK: Real Gross Domestic Product (SA, Mil.Chn.2023.GBP)</t>
  </si>
  <si>
    <t>UK: Household Final Consumption Expenditure (SA, Mil.Chn.2023.GBP)</t>
  </si>
  <si>
    <t>UK: General Govt Final Consumption Expenditure (SA, Mil.Chn.2023.GBP)</t>
  </si>
  <si>
    <t>19902</t>
  </si>
  <si>
    <t>19903</t>
  </si>
  <si>
    <t>19904</t>
  </si>
  <si>
    <t>19911</t>
  </si>
  <si>
    <t>19912</t>
  </si>
  <si>
    <t>19913</t>
  </si>
  <si>
    <t>19914</t>
  </si>
  <si>
    <t>19921</t>
  </si>
  <si>
    <t>19922</t>
  </si>
  <si>
    <t>19923</t>
  </si>
  <si>
    <t>19924</t>
  </si>
  <si>
    <t>19931</t>
  </si>
  <si>
    <t>19932</t>
  </si>
  <si>
    <t>19933</t>
  </si>
  <si>
    <t>19934</t>
  </si>
  <si>
    <t>19941</t>
  </si>
  <si>
    <t>19942</t>
  </si>
  <si>
    <t>19943</t>
  </si>
  <si>
    <t>19944</t>
  </si>
  <si>
    <t>19951</t>
  </si>
  <si>
    <t>19952</t>
  </si>
  <si>
    <t>19953</t>
  </si>
  <si>
    <t>19954</t>
  </si>
  <si>
    <t>19961</t>
  </si>
  <si>
    <t>19962</t>
  </si>
  <si>
    <t>19963</t>
  </si>
  <si>
    <t>19964</t>
  </si>
  <si>
    <t>19971</t>
  </si>
  <si>
    <t>19972</t>
  </si>
  <si>
    <t>19973</t>
  </si>
  <si>
    <t>19974</t>
  </si>
  <si>
    <t>19981</t>
  </si>
  <si>
    <t>19982</t>
  </si>
  <si>
    <t>19983</t>
  </si>
  <si>
    <t>19984</t>
  </si>
  <si>
    <t>19991</t>
  </si>
  <si>
    <t>19992</t>
  </si>
  <si>
    <t>19993</t>
  </si>
  <si>
    <t>19994</t>
  </si>
  <si>
    <t>20001</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</si>
  <si>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</si>
  <si>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</si>
  <si>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</si>
  <si>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</si>
  <si>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</si>
  <si>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</si>
  <si>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</si>
  <si>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</si>
  <si>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</si>
  <si>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</si>
  <si>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</si>
  <si>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</si>
  <si>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</si>
  <si>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</si>
  <si>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</si>
  <si>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</si>
  <si>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</si>
  <si>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</si>
  <si>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</si>
  <si>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</si>
  <si>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</si>
  <si>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</si>
  <si>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</si>
  <si>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</si>
  <si>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</si>
  <si>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</si>
  <si>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</si>
  <si>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</si>
  <si>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</si>
  <si>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</si>
  <si>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</si>
  <si>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</si>
  <si>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</si>
  <si>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</si>
  <si>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</si>
  <si>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</si>
  <si>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</si>
  <si>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</si>
  <si>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</si>
  <si>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</si>
  <si>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</si>
  <si>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</si>
  <si>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</si>
  <si>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</si>
  <si>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</si>
  <si>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</si>
  <si>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</si>
  <si>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</si>
  <si>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</si>
  <si>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</si>
  <si>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</si>
  <si>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</si>
  <si>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</si>
  <si>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</si>
  <si>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</si>
  <si>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</si>
  <si>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</si>
  <si>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</si>
  <si>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</si>
  <si>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</si>
  <si>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</si>
  <si>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</si>
  <si>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</si>
  <si>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</si>
  <si>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</si>
  <si>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</si>
  <si>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</si>
  <si>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</si>
  <si>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</si>
  <si>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</si>
  <si>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</si>
  <si>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</si>
  <si>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</si>
  <si>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</si>
  <si>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</si>
  <si>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</si>
  <si>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</si>
  <si>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</si>
  <si>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</si>
  <si>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</si>
  <si>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</si>
  <si>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</si>
  <si>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</si>
  <si>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</si>
  <si>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</si>
  <si>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</si>
  <si>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</si>
  <si>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</si>
  <si>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</si>
  <si>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</si>
  <si>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</si>
  <si>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</si>
  <si>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</si>
  <si>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</si>
  <si>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</si>
  <si>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</si>
  <si>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</si>
  <si>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20243</t>
  </si>
  <si>
    <t>20244</t>
  </si>
  <si>
    <t>20251</t>
  </si>
  <si>
    <t>20252</t>
  </si>
  <si>
    <t>20253</t>
  </si>
  <si>
    <t>20254</t>
  </si>
  <si>
    <t>Seasonally adjusted &gt;&gt;</t>
  </si>
  <si>
    <t>NPQTQ@UK</t>
  </si>
  <si>
    <t>CAFUQ@UK</t>
  </si>
  <si>
    <t>NPJRQ@UK</t>
  </si>
  <si>
    <t>IKBKQ@UK</t>
  </si>
  <si>
    <t>IKBLQ@UK</t>
  </si>
  <si>
    <t>GIXSQ@UK</t>
  </si>
  <si>
    <t>UK: Gross Fixed Capital Formation (SA, Mil.Chn.2023.GBP)</t>
  </si>
  <si>
    <t>UK: Change in Inventories/Stocks: All Industries (SA, Mil.Chn.2023.GBP)</t>
  </si>
  <si>
    <t>UK: Acquisitions less Disposals of Valuables (SA, Mil.Chn.2023.GBP)</t>
  </si>
  <si>
    <t>UK: Exports of Goods &amp; Services (SA, Mil.Chn.2023.Pounds)</t>
  </si>
  <si>
    <t>UK: Imports of Goods &amp; Services (SA, Mil.Chn.2023.Pounds)</t>
  </si>
  <si>
    <t>UK: Statistical Discrepancy (SA, Mil.Chn.2023.GBP)</t>
  </si>
  <si>
    <t>Non seasonally adjusted &gt;&gt;</t>
  </si>
  <si>
    <t>GDP</t>
  </si>
  <si>
    <t>Consumer spending</t>
  </si>
  <si>
    <t>Government consumption</t>
  </si>
  <si>
    <t>Investment</t>
  </si>
  <si>
    <t>Inventories</t>
  </si>
  <si>
    <t>Acquisitions</t>
  </si>
  <si>
    <t>Exports</t>
  </si>
  <si>
    <t>Imports</t>
  </si>
  <si>
    <t>Statistical discrepancy</t>
  </si>
  <si>
    <t>NPISH</t>
  </si>
  <si>
    <t>HAYOQ@UK</t>
  </si>
  <si>
    <t>UK: Nonprofit Inst Final Consumption Expenditure (SA, Mil.Chn.2023.GBP)</t>
  </si>
  <si>
    <t>Mar-31-2026 07:46</t>
  </si>
  <si>
    <t>U.K.: Gross Domestic Product (NSA, Mil.Chn.2023.GBP)</t>
  </si>
  <si>
    <t>ABPFQ@UK</t>
  </si>
  <si>
    <t>ABNUQ@UK</t>
  </si>
  <si>
    <t>NMRUQ@UK</t>
  </si>
  <si>
    <t>NPQRQ@UK</t>
  </si>
  <si>
    <t>ABMQQ@UK</t>
  </si>
  <si>
    <t>NPJPQ@UK</t>
  </si>
  <si>
    <t>KTMZQ@UK</t>
  </si>
  <si>
    <t>KTNBQ@UK</t>
  </si>
  <si>
    <t>UK: HH Final Consumption Expenditure: National Concept (NSA, Mil.Chn.2023.GBP)</t>
  </si>
  <si>
    <t>U.K.: Nonprofit Inst Final Consumption Expenditure (NSA, Mil.Chn.2023.GBP)</t>
  </si>
  <si>
    <t>UK: General Government Final Consumption Expenditure (NSA, Mil.Chn.2023.GBP)</t>
  </si>
  <si>
    <t>UK: Gross Fixed Capital Formation (NSA, Mil.Chn.2023.GBP)</t>
  </si>
  <si>
    <t>U.K.: Changes in Inventories (NSA, Mil.Chn.2023.GBP)</t>
  </si>
  <si>
    <t>UK: Acquisitions less Disposals of Valuables (NSA, Mil.Chn.2023.GBP)</t>
  </si>
  <si>
    <t>UK: Exports: Goods &amp; Services (NSA, Mil.Chn.2023.Pounds)</t>
  </si>
  <si>
    <t>UK: Imports: Goods &amp; Services (NSA, Mil.Chn.2023.Pounds)</t>
  </si>
  <si>
    <t>Non-seasonally adjusted &gt;&gt;</t>
  </si>
  <si>
    <t>Ratios &gt;&gt;</t>
  </si>
  <si>
    <t>NPISH &gt;&gt;</t>
  </si>
  <si>
    <t>Government consumption &gt;&gt;</t>
  </si>
  <si>
    <t>Investments &gt;&gt;</t>
  </si>
  <si>
    <t>*Interesting</t>
  </si>
  <si>
    <t>Inventories &gt;&gt;</t>
  </si>
  <si>
    <t>Exports &gt;&gt;</t>
  </si>
  <si>
    <t>Imports &gt;&gt;</t>
  </si>
  <si>
    <t>Rolling windows - consumer spending &gt;&gt;</t>
  </si>
  <si>
    <t>2010-19</t>
  </si>
  <si>
    <t>Investment has been running very hot in Q1 and very soft in Q3 and Q4 since the pandemic/energy crisis</t>
  </si>
  <si>
    <t>Investment detail &gt;&gt;</t>
  </si>
  <si>
    <t>IPNR SA</t>
  </si>
  <si>
    <t>GI SA</t>
  </si>
  <si>
    <t>IPNR NSA</t>
  </si>
  <si>
    <t>GI NSA</t>
  </si>
  <si>
    <t>NPELQ@UK</t>
  </si>
  <si>
    <t>DLWFQ@UK</t>
  </si>
  <si>
    <t>NPENQ@UK</t>
  </si>
  <si>
    <t>EQDNQ@UK</t>
  </si>
  <si>
    <t>Mar-31-2026 10:14</t>
  </si>
  <si>
    <t>Q1-1997</t>
  </si>
  <si>
    <t>UK: Gross Fixed Capital Formation: Business Investment (SA, Mil.Chn.2023.GBP)</t>
  </si>
  <si>
    <t>UK: Gross Fixed Capital Formation: General Government (SA, Mil.Chn.2023.GBP)</t>
  </si>
  <si>
    <t>UK: GFCF: Total Business Investment (NSA, Mil.Chn.2023.GBP)</t>
  </si>
  <si>
    <t>UK: GFCF: General Government (NSA, Mil.Chn.2023.GBP)</t>
  </si>
  <si>
    <t>Business investment</t>
  </si>
  <si>
    <t>Government investment</t>
  </si>
  <si>
    <t>Business investment &gt;&gt;</t>
  </si>
  <si>
    <t>Government investment &gt;&gt;</t>
  </si>
  <si>
    <t>Do the same but on the output side of GDP, particularly for IoS. Not sure this is possible</t>
  </si>
  <si>
    <t>Transport SA</t>
  </si>
  <si>
    <t>ICT SA</t>
  </si>
  <si>
    <t>Dwellings SA</t>
  </si>
  <si>
    <t>Other buildings SA</t>
  </si>
  <si>
    <t>IP SA</t>
  </si>
  <si>
    <t>Transport NSA</t>
  </si>
  <si>
    <t>ICT NSA</t>
  </si>
  <si>
    <t>Dwellings NSA</t>
  </si>
  <si>
    <t>Other buildings NSA</t>
  </si>
  <si>
    <t>IP NSA</t>
  </si>
  <si>
    <t>DLWLQ@UK</t>
  </si>
  <si>
    <t>DLWOQ@UK</t>
  </si>
  <si>
    <t>DFEGQ@UK</t>
  </si>
  <si>
    <t>DLWTQ@UK</t>
  </si>
  <si>
    <t>EQDOQ@UK</t>
  </si>
  <si>
    <t>DLWJQ@UK</t>
  </si>
  <si>
    <t>UK: Gross Fixed Capital Formation: Transport Equipment (SA, Mil.Chn.2023.GBP)</t>
  </si>
  <si>
    <t>UK: GDP: GFCF: Plant &amp; Machinery (SA, Mil.Chained.2023.Pounds)</t>
  </si>
  <si>
    <t>UK: Gross Fixed Capital Formation: Dwellings (SA, Mil.Chn.2023.GBP)</t>
  </si>
  <si>
    <t>UK: GFCF: Other Buildings &amp; Structures (SA, Mil.Chn.2023.GBP)</t>
  </si>
  <si>
    <t>UK: GDP: GFCF: All Intangible Fixed Assets (SA, Mil.Chained.2023.Pounds)</t>
  </si>
  <si>
    <t>U.K.: GDP: GFCF: Vehicles, Ships &amp; Aircraft (NSA, Mil.Chained.2023.Pounds)</t>
  </si>
  <si>
    <t>DLWMQ@UK</t>
  </si>
  <si>
    <t>DFDVQ@UK</t>
  </si>
  <si>
    <t>DLWQQ@UK</t>
  </si>
  <si>
    <t>EQDTQ@UK</t>
  </si>
  <si>
    <t>U.K.: GDP: GFCF: Plant &amp; Machinery (NSA, Mil.Chained.2023.Pounds)</t>
  </si>
  <si>
    <t>UK: GFCF: Asset: Dwellings (NSA, Mil.Chn.2023.GBP)</t>
  </si>
  <si>
    <t>UK: GFCF: Asset: Other New Buildings &amp; Structures (NSA, Mil.Chn.2023.GBP)</t>
  </si>
  <si>
    <t>U.K.: GDP: GFCF: All Intangible Fixed Assets (NSA, Mil.Chained.2023.Pounds)</t>
  </si>
  <si>
    <t>Transport investment &gt;&gt;</t>
  </si>
  <si>
    <t>ICT equipment investment &gt;&gt;</t>
  </si>
  <si>
    <t>Dwellings investment &gt;&gt;</t>
  </si>
  <si>
    <t>Other buildings investment &gt;&gt;</t>
  </si>
  <si>
    <t>Intellectual property investment &gt;&gt;</t>
  </si>
  <si>
    <t>Look at what's driving those investment gains in Q1. Looks to be business investment - ICT investment, other buildings investment, and intellectual property investment</t>
  </si>
  <si>
    <t>Nominal GDP and components</t>
  </si>
  <si>
    <t>SA &gt;&gt;</t>
  </si>
  <si>
    <t>NSA &gt;&gt;</t>
  </si>
  <si>
    <t>YBHAQ@UK</t>
  </si>
  <si>
    <t>ABJQQ@UK</t>
  </si>
  <si>
    <t>HAYEQ@UK</t>
  </si>
  <si>
    <t>NMRPQ@UK</t>
  </si>
  <si>
    <t>NPQSQ@UK</t>
  </si>
  <si>
    <t>CAEXQ@UK</t>
  </si>
  <si>
    <t>Apr-16-2026 07:03</t>
  </si>
  <si>
    <t>UK: Gross Domestic Product [GDP] (SA, Mil.Pounds)</t>
  </si>
  <si>
    <t>UK: GDP: Household Final Consumption Expenditure (SA, Mil.Pounds)</t>
  </si>
  <si>
    <t>UK: GDP: Nonprofit Institutions Final Consumption Expenditure (SA,Mil.Pounds)</t>
  </si>
  <si>
    <t>UK: GDP: General Government Final Consumption Expenditure (SA, Mil.Pounds)</t>
  </si>
  <si>
    <t>UK: GDP: Gross Fixed Capital Formation (SA, Mil.Pounds)</t>
  </si>
  <si>
    <t>UK: GDP: Changes in Inventories and Stocks (SA, Mil.Pounds)</t>
  </si>
  <si>
    <t>NPJQQ@UK</t>
  </si>
  <si>
    <t>IKBHQ@UK</t>
  </si>
  <si>
    <t>IKBIQ@UK</t>
  </si>
  <si>
    <t>Q1-1986</t>
  </si>
  <si>
    <t>UK: GDP: Acquisitions Less Disposals of Valuables (SA, Mil.Pounds)</t>
  </si>
  <si>
    <t>Mar-31-2026 07:02</t>
  </si>
  <si>
    <t>UK: GDP: Exports of Goods and Services (SA, Mil.Pounds)</t>
  </si>
  <si>
    <t>UK: GDP: Imports of Goods and Services (SA, Mil.Pounds)</t>
  </si>
  <si>
    <t>BKTLQ@UK</t>
  </si>
  <si>
    <t>ABPBQ@UK</t>
  </si>
  <si>
    <t>ABNVQ@UK</t>
  </si>
  <si>
    <t>NMRKQ@UK</t>
  </si>
  <si>
    <t>NPQXQ@UK</t>
  </si>
  <si>
    <t>ABMPQ@UK</t>
  </si>
  <si>
    <t>NPJOQ@UK</t>
  </si>
  <si>
    <t>KTMWQ@UK</t>
  </si>
  <si>
    <t>KTMXQ@UK</t>
  </si>
  <si>
    <t>UK: Gross Domestic Product [GDP] (NSA, Mil.Pounds)</t>
  </si>
  <si>
    <t>UK: GDP: Household Final Consumption Expenditure (NSA, Mil.Pounds)</t>
  </si>
  <si>
    <t>UK: GDP: Nonprofit Institutions Final Consumption Expenditure (NSA, Mil.Pounds)</t>
  </si>
  <si>
    <t>UK: GDP: General Government Final Consumption Expenditure (NSA, Mil.Pounds)</t>
  </si>
  <si>
    <t>UK: GDP: Gross Fixed Capital Formation (NSA, Mil.Pounds)</t>
  </si>
  <si>
    <t>UK: GDP: Changes in Inventories and Stocks (NSA, Mil.Pounds)</t>
  </si>
  <si>
    <t>UK: GDP: Acquisitions Less Disposals of Valuables (NSA, Mil.Pounds)</t>
  </si>
  <si>
    <t>UK: GDP: Exports of Goods and Services (NSA, Mil.Pounds)</t>
  </si>
  <si>
    <t>UK: GDP: Imports of Goods and Services (NSA, Mil.Pounds)</t>
  </si>
  <si>
    <t>1.</t>
  </si>
  <si>
    <t>2.</t>
  </si>
  <si>
    <t>The ONS is now making downwards adjustments to the Q1 NSA data when forming its seasonally adjusted GDP series</t>
  </si>
  <si>
    <t>We can also see that the non-seasonally adjusted data in Q1 is now much stronger than is used to be. There has been a clear regime shift towards Q1 and away from Q4</t>
  </si>
  <si>
    <t>We can also see that the non-seasonally adjusted data in Q1 is now much stronger than is used to be. In other words, there has been a clear regime shift in underlying activity towards Q1</t>
  </si>
  <si>
    <t>Conclusions</t>
  </si>
  <si>
    <t>3.</t>
  </si>
  <si>
    <t>4.</t>
  </si>
  <si>
    <t>5.</t>
  </si>
  <si>
    <t>6.</t>
  </si>
  <si>
    <t>We can also see that the non-seasonally adjusted data in Q1 is now much stronger than is used to be (i.e. there has been a regime shift in underlying activity towards Q1). This suggests the ONS should be squeezing  this shift in underlying activity towards Q1 out of the system</t>
  </si>
  <si>
    <t xml:space="preserve">The headline GDP data has been showing signs of residual seasonality for some time now </t>
  </si>
  <si>
    <t xml:space="preserve">The ONS is now making downwards adjustments to the Q1 NSA data when forming its seasonally adjusted GDP series. However, these downward adjustments need to be bigger. </t>
  </si>
  <si>
    <t>The ONS' downward adjustments to Q1 are now increasingly geared towards lowering investment - so they have correctly identified the source of the issues, but they clearly need to go further in brining Q1 investment lower</t>
  </si>
  <si>
    <t>Where is this coming from? Our analysis suggests the change in pattern of activity towards Q1 is coming from investments, specifically business investment. Within this, there are some signs it results from ICT, building, and IP investment. No signs this is coming from deflators</t>
  </si>
  <si>
    <t>The key question for the ONS is whether we've now seen a long enough period to judge whether the shift in output towards Q1 is a sustained shift. If so, further downward adjustments to Q1 would be warranted.</t>
  </si>
  <si>
    <t>7.</t>
  </si>
  <si>
    <t>Last year's note suggests the ONS is watching this closely, given the scrutiny from us and other economists. The takeaway is that, for the timing being at least, we're likely to continue seeing stronger Q1's and weaker H2's, which clients and policymakers need to be aware of. Broader sweep of indicators is better</t>
  </si>
  <si>
    <t>Ratio of SA to NSA GDP level &gt;&gt;</t>
  </si>
  <si>
    <t>Zeroline</t>
  </si>
  <si>
    <t>NSA GDP vs rolling window</t>
  </si>
  <si>
    <t>GDP lvl</t>
  </si>
  <si>
    <t>March bad (-0.3 m/m)</t>
  </si>
  <si>
    <t>March worse (-0.6 m/m)</t>
  </si>
  <si>
    <t>March terrible (-1.2 m/m)</t>
  </si>
  <si>
    <t>Seven-quarter rolling window &gt;&gt;</t>
  </si>
  <si>
    <t>2x4 MA &gt;&gt;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</si>
</sst>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9" x14ac:knownFonts="1">
    <font>
      <sz val="11"/>
      <color theme="1"/>
      <name val="Aptos Narrow"/>
      <family val="2"/>
      <scheme val="minor"/>
    </font>
    <font>
      <b/>
      <sz val="11"/>
      <color theme="1"/>
      <name val="Aptos Narrow"/>
      <family val="2"/>
      <scheme val="minor"/>
    </font>
    <font>
      <b/>
      <sz val="14"/>
      <color theme="1"/>
      <name val="Arial"/>
      <family val="2"/>
    </font>
    <font>
      <sz val="12"/>
      <color theme="1"/>
      <name val="Arial"/>
      <family val="2"/>
    </font>
    <font>
      <b/>
      <sz val="12"/>
      <color theme="1"/>
      <name val="Arial"/>
      <family val="2"/>
    </font>
    <font>
      <u/>
      <sz val="12"/>
      <color theme="1"/>
      <name val="Arial"/>
      <family val="2"/>
    </font>
    <font>
      <sz val="8"/>
      <name val="Aptos Narrow"/>
      <family val="2"/>
      <scheme val="minor"/>
    </font>
    <font>
      <u/>
      <sz val="11"/>
      <color theme="10"/>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9">
    <xf numFmtId="0" fontId="0" fillId="0" borderId="0" xfId="0"/>
    <xf numFmtId="0" fontId="2" fillId="0" borderId="0" xfId="0" applyFont="1"/>
    <xf numFmtId="0" fontId="3" fillId="0" borderId="0" xfId="0" applyFont="1" applyAlignment="1">
      <alignment horizontal="left"/>
    </xf>
    <xf numFmtId="0" fontId="4" fillId="0" borderId="0" xfId="0" applyFont="1" applyAlignment="1">
      <alignment horizontal="left"/>
    </xf>
    <xf numFmtId="0" fontId="4" fillId="0" borderId="0" xfId="0" applyFont="1" applyAlignment="1">
      <alignment horizontal="left" wrapText="1"/>
    </xf>
    <xf numFmtId="0" fontId="5" fillId="0" borderId="0" xfId="0" applyFont="1"/>
    <xf numFmtId="0" fontId="4" fillId="2" borderId="0" xfId="0" applyFont="1" applyFill="1" applyAlignment="1">
      <alignment horizontal="left" wrapText="1"/>
    </xf>
    <xf numFmtId="0" fontId="1" fillId="0" borderId="0" xfId="0" applyFont="1"/>
    <xf numFmtId="164" fontId="0" fillId="0" borderId="0" xfId="0" applyNumberFormat="1"/>
    <xf numFmtId="165" fontId="0" fillId="0" borderId="0" xfId="0" applyNumberFormat="1"/>
    <xf numFmtId="0" fontId="0" fillId="0" borderId="0" xfId="0" applyFill="1"/>
    <xf numFmtId="0" fontId="7" fillId="0" borderId="0" xfId="1"/>
    <xf numFmtId="0" fontId="0" fillId="0" borderId="0" xfId="0" quotePrefix="1"/>
    <xf numFmtId="1" fontId="0" fillId="0" borderId="0" xfId="0" applyNumberFormat="1"/>
    <xf numFmtId="0" fontId="0" fillId="0" borderId="0" xfId="0" applyAlignment="1">
      <alignment wrapText="1"/>
    </xf>
    <xf numFmtId="2" fontId="0" fillId="0" borderId="0" xfId="0" applyNumberFormat="1"/>
    <xf numFmtId="0" fontId="8" fillId="0" borderId="0" xfId="0" applyFont="1"/>
    <xf numFmtId="0" fontId="0" fillId="0" borderId="0" xfId="0" applyFont="1"/>
    <xf numFmtId="17" fontId="0" fillId="0" borderId="0" xfId="0" applyNumberFormat="1"/>
  </cellXfs>
  <cellStyles count="2">
    <cellStyle name="Hyperlink" xfId="1" builtinId="8"/>
    <cellStyle name="Normal" xfId="0" builtinId="0"/>
  </cellStyles>
  <dxfs count="0"/>
  <tableStyles count="0" defaultTableStyle="TableStyleMedium2" defaultPivotStyle="PivotStyleLight16"/>
  <colors>
    <mruColors>
      <color rgb="FF0034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hartsheet" Target="chartsheets/sheet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hartsheet" Target="chartsheets/sheet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1.xml"/></Relationships>
</file>

<file path=xl/charts/_rels/chart32.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sz="1600" b="1">
                <a:solidFill>
                  <a:srgbClr val="495057"/>
                </a:solidFill>
              </a:rPr>
              <a:t>UK: Ratio of SA GDP to NSA GDP</a:t>
            </a:r>
          </a:p>
        </c:rich>
      </c:tx>
      <c:layout>
        <c:manualLayout>
          <c:xMode val="edge"/>
          <c:yMode val="edge"/>
          <c:x val="5.7079299439240826E-3"/>
          <c:y val="1.060842225195921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6.5431442097930059E-2"/>
          <c:y val="0.11436938272157314"/>
          <c:w val="0.88327335709041732"/>
          <c:h val="0.81419924944491351"/>
        </c:manualLayout>
      </c:layout>
      <c:lineChart>
        <c:grouping val="standard"/>
        <c:varyColors val="0"/>
        <c:ser>
          <c:idx val="0"/>
          <c:order val="0"/>
          <c:tx>
            <c:strRef>
              <c:f>'GDP calculations'!$I$4</c:f>
              <c:strCache>
                <c:ptCount val="1"/>
                <c:pt idx="0">
                  <c:v>Q1</c:v>
                </c:pt>
              </c:strCache>
            </c:strRef>
          </c:tx>
          <c:spPr>
            <a:ln w="38100" cap="rnd">
              <a:solidFill>
                <a:srgbClr val="BD1B21"/>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calculations'!$I$5:$I$40</c15:sqref>
                  </c15:fullRef>
                </c:ext>
              </c:extLst>
              <c:f>('GDP calculations'!$I$25:$I$33,'GDP calculations'!$I$37:$I$40)</c:f>
              <c:numCache>
                <c:formatCode>0.000</c:formatCode>
                <c:ptCount val="13"/>
                <c:pt idx="0">
                  <c:v>1.0069672465159241</c:v>
                </c:pt>
                <c:pt idx="1">
                  <c:v>1.0100762983368317</c:v>
                </c:pt>
                <c:pt idx="2">
                  <c:v>1.008984533089335</c:v>
                </c:pt>
                <c:pt idx="3">
                  <c:v>1.0111483770146696</c:v>
                </c:pt>
                <c:pt idx="4">
                  <c:v>1.0062564714849929</c:v>
                </c:pt>
                <c:pt idx="5">
                  <c:v>1.0118685889236407</c:v>
                </c:pt>
                <c:pt idx="6">
                  <c:v>1.0111500050145097</c:v>
                </c:pt>
                <c:pt idx="7">
                  <c:v>1.0119360199091174</c:v>
                </c:pt>
                <c:pt idx="8">
                  <c:v>1.011499962322937</c:v>
                </c:pt>
                <c:pt idx="9">
                  <c:v>1.0033930248934535</c:v>
                </c:pt>
                <c:pt idx="10">
                  <c:v>1.0106845377756921</c:v>
                </c:pt>
                <c:pt idx="11">
                  <c:v>0.99852007723346936</c:v>
                </c:pt>
                <c:pt idx="12">
                  <c:v>0.99380965428409207</c:v>
                </c:pt>
              </c:numCache>
            </c:numRef>
          </c:val>
          <c:smooth val="0"/>
          <c:extLst>
            <c:ext xmlns:c16="http://schemas.microsoft.com/office/drawing/2014/chart" uri="{C3380CC4-5D6E-409C-BE32-E72D297353CC}">
              <c16:uniqueId val="{00000000-7B8A-4C0D-A90C-2603DCAA6FAA}"/>
            </c:ext>
          </c:extLst>
        </c:ser>
        <c:ser>
          <c:idx val="1"/>
          <c:order val="1"/>
          <c:tx>
            <c:strRef>
              <c:f>'GDP calculations'!$J$4</c:f>
              <c:strCache>
                <c:ptCount val="1"/>
                <c:pt idx="0">
                  <c:v>Q2</c:v>
                </c:pt>
              </c:strCache>
            </c:strRef>
          </c:tx>
          <c:spPr>
            <a:ln w="38100" cap="rnd">
              <a:solidFill>
                <a:srgbClr val="003469"/>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calculations'!$J$5:$J$40</c15:sqref>
                  </c15:fullRef>
                </c:ext>
              </c:extLst>
              <c:f>('GDP calculations'!$J$25:$J$33,'GDP calculations'!$J$37:$J$40)</c:f>
              <c:numCache>
                <c:formatCode>0.000</c:formatCode>
                <c:ptCount val="13"/>
                <c:pt idx="0">
                  <c:v>1.0239363300176436</c:v>
                </c:pt>
                <c:pt idx="1">
                  <c:v>1.0197176254623006</c:v>
                </c:pt>
                <c:pt idx="2">
                  <c:v>1.0188730230970531</c:v>
                </c:pt>
                <c:pt idx="3">
                  <c:v>1.0142085296361498</c:v>
                </c:pt>
                <c:pt idx="4">
                  <c:v>1.0085093130261809</c:v>
                </c:pt>
                <c:pt idx="5">
                  <c:v>1.0092489565426863</c:v>
                </c:pt>
                <c:pt idx="6">
                  <c:v>1.0083283159539853</c:v>
                </c:pt>
                <c:pt idx="7">
                  <c:v>1.011851238765997</c:v>
                </c:pt>
                <c:pt idx="8">
                  <c:v>1.0120291032138509</c:v>
                </c:pt>
                <c:pt idx="9">
                  <c:v>1.0239603147961658</c:v>
                </c:pt>
                <c:pt idx="10">
                  <c:v>1.0136756107493652</c:v>
                </c:pt>
                <c:pt idx="11">
                  <c:v>1.0195073946533224</c:v>
                </c:pt>
                <c:pt idx="12">
                  <c:v>1.02118794416115</c:v>
                </c:pt>
              </c:numCache>
            </c:numRef>
          </c:val>
          <c:smooth val="0"/>
          <c:extLst>
            <c:ext xmlns:c16="http://schemas.microsoft.com/office/drawing/2014/chart" uri="{C3380CC4-5D6E-409C-BE32-E72D297353CC}">
              <c16:uniqueId val="{00000001-7B8A-4C0D-A90C-2603DCAA6FAA}"/>
            </c:ext>
          </c:extLst>
        </c:ser>
        <c:ser>
          <c:idx val="2"/>
          <c:order val="2"/>
          <c:tx>
            <c:strRef>
              <c:f>'GDP calculations'!$K$4</c:f>
              <c:strCache>
                <c:ptCount val="1"/>
                <c:pt idx="0">
                  <c:v>Q3</c:v>
                </c:pt>
              </c:strCache>
            </c:strRef>
          </c:tx>
          <c:spPr>
            <a:ln w="38100" cap="rnd">
              <a:solidFill>
                <a:srgbClr val="D1A21E"/>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calculations'!$K$5:$K$40</c15:sqref>
                  </c15:fullRef>
                </c:ext>
              </c:extLst>
              <c:f>('GDP calculations'!$K$25:$K$33,'GDP calculations'!$K$37:$K$40)</c:f>
              <c:numCache>
                <c:formatCode>0.000</c:formatCode>
                <c:ptCount val="13"/>
                <c:pt idx="0">
                  <c:v>0.99011909596291992</c:v>
                </c:pt>
                <c:pt idx="1">
                  <c:v>0.99275008701644651</c:v>
                </c:pt>
                <c:pt idx="2">
                  <c:v>0.99777373036290606</c:v>
                </c:pt>
                <c:pt idx="3">
                  <c:v>0.99768932440731684</c:v>
                </c:pt>
                <c:pt idx="4">
                  <c:v>1.0025393156395757</c:v>
                </c:pt>
                <c:pt idx="5">
                  <c:v>0.99889489730138448</c:v>
                </c:pt>
                <c:pt idx="6">
                  <c:v>1.0047323422790859</c:v>
                </c:pt>
                <c:pt idx="7">
                  <c:v>1.0018752649330065</c:v>
                </c:pt>
                <c:pt idx="8">
                  <c:v>1.0031067301361924</c:v>
                </c:pt>
                <c:pt idx="9">
                  <c:v>0.99323414904244411</c:v>
                </c:pt>
                <c:pt idx="10">
                  <c:v>0.99962941109790238</c:v>
                </c:pt>
                <c:pt idx="11">
                  <c:v>0.99854965289123543</c:v>
                </c:pt>
                <c:pt idx="12">
                  <c:v>1.0004167924841256</c:v>
                </c:pt>
              </c:numCache>
            </c:numRef>
          </c:val>
          <c:smooth val="0"/>
          <c:extLst>
            <c:ext xmlns:c16="http://schemas.microsoft.com/office/drawing/2014/chart" uri="{C3380CC4-5D6E-409C-BE32-E72D297353CC}">
              <c16:uniqueId val="{00000002-7B8A-4C0D-A90C-2603DCAA6FAA}"/>
            </c:ext>
          </c:extLst>
        </c:ser>
        <c:ser>
          <c:idx val="3"/>
          <c:order val="3"/>
          <c:tx>
            <c:strRef>
              <c:f>'GDP calculations'!$L$4</c:f>
              <c:strCache>
                <c:ptCount val="1"/>
                <c:pt idx="0">
                  <c:v>Q4</c:v>
                </c:pt>
              </c:strCache>
            </c:strRef>
          </c:tx>
          <c:spPr>
            <a:ln w="38100" cap="rnd">
              <a:solidFill>
                <a:srgbClr val="7B7C77"/>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calculations'!$L$5:$L$40</c15:sqref>
                  </c15:fullRef>
                </c:ext>
              </c:extLst>
              <c:f>('GDP calculations'!$L$25:$L$33,'GDP calculations'!$L$37:$L$40)</c:f>
              <c:numCache>
                <c:formatCode>0.000</c:formatCode>
                <c:ptCount val="13"/>
                <c:pt idx="0">
                  <c:v>0.98034273757000345</c:v>
                </c:pt>
                <c:pt idx="1">
                  <c:v>0.97852622295106817</c:v>
                </c:pt>
                <c:pt idx="2">
                  <c:v>0.97565152831796442</c:v>
                </c:pt>
                <c:pt idx="3">
                  <c:v>0.97817767202062267</c:v>
                </c:pt>
                <c:pt idx="4">
                  <c:v>0.98338025902984472</c:v>
                </c:pt>
                <c:pt idx="5">
                  <c:v>0.98083798151451074</c:v>
                </c:pt>
                <c:pt idx="6">
                  <c:v>0.97686291665707292</c:v>
                </c:pt>
                <c:pt idx="7">
                  <c:v>0.9756714909005616</c:v>
                </c:pt>
                <c:pt idx="8">
                  <c:v>0.97444961669274044</c:v>
                </c:pt>
                <c:pt idx="9">
                  <c:v>0.98051544117123723</c:v>
                </c:pt>
                <c:pt idx="10">
                  <c:v>0.97673232558503964</c:v>
                </c:pt>
                <c:pt idx="11">
                  <c:v>0.98414182124812943</c:v>
                </c:pt>
                <c:pt idx="12">
                  <c:v>0.98529042377422527</c:v>
                </c:pt>
              </c:numCache>
            </c:numRef>
          </c:val>
          <c:smooth val="0"/>
          <c:extLst>
            <c:ext xmlns:c16="http://schemas.microsoft.com/office/drawing/2014/chart" uri="{C3380CC4-5D6E-409C-BE32-E72D297353CC}">
              <c16:uniqueId val="{00000003-7B8A-4C0D-A90C-2603DCAA6FAA}"/>
            </c:ext>
          </c:extLst>
        </c:ser>
        <c:ser>
          <c:idx val="4"/>
          <c:order val="4"/>
          <c:tx>
            <c:strRef>
              <c:f>'GDP calculations'!$M$4</c:f>
              <c:strCache>
                <c:ptCount val="1"/>
                <c:pt idx="0">
                  <c:v>One line</c:v>
                </c:pt>
              </c:strCache>
            </c:strRef>
          </c:tx>
          <c:spPr>
            <a:ln w="12700" cap="rnd">
              <a:solidFill>
                <a:schemeClr val="tx1">
                  <a:lumMod val="75000"/>
                  <a:lumOff val="25000"/>
                </a:schemeClr>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calculations'!$M$5:$M$40</c15:sqref>
                  </c15:fullRef>
                </c:ext>
              </c:extLst>
              <c:f>('GDP calculations'!$M$25:$M$33,'GDP calculations'!$M$37:$M$40)</c:f>
              <c:numCache>
                <c:formatCode>0.000</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5-7B8A-4C0D-A90C-2603DCAA6FAA}"/>
            </c:ext>
          </c:extLst>
        </c:ser>
        <c:dLbls>
          <c:showLegendKey val="0"/>
          <c:showVal val="0"/>
          <c:showCatName val="0"/>
          <c:showSerName val="0"/>
          <c:showPercent val="0"/>
          <c:showBubbleSize val="0"/>
        </c:dLbls>
        <c:smooth val="0"/>
        <c:axId val="1416168240"/>
        <c:axId val="1416165360"/>
      </c:lineChart>
      <c:catAx>
        <c:axId val="1416168240"/>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50" b="0" i="0" u="none" strike="noStrike" kern="1200" baseline="0">
                <a:solidFill>
                  <a:srgbClr val="495057"/>
                </a:solidFill>
                <a:latin typeface="Segoe UI"/>
                <a:ea typeface="Segoe UI"/>
                <a:cs typeface="Segoe UI"/>
              </a:defRPr>
            </a:pPr>
            <a:endParaRPr lang="en-US"/>
          </a:p>
        </c:txPr>
        <c:crossAx val="1416165360"/>
        <c:crosses val="autoZero"/>
        <c:auto val="1"/>
        <c:lblAlgn val="ctr"/>
        <c:lblOffset val="100"/>
        <c:noMultiLvlLbl val="0"/>
      </c:catAx>
      <c:valAx>
        <c:axId val="1416165360"/>
        <c:scaling>
          <c:orientation val="minMax"/>
          <c:max val="1.05"/>
          <c:min val="0.95000000000000007"/>
        </c:scaling>
        <c:delete val="0"/>
        <c:axPos val="l"/>
        <c:numFmt formatCode="0.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416168240"/>
        <c:crosses val="autoZero"/>
        <c:crossBetween val="midCat"/>
      </c:valAx>
      <c:spPr>
        <a:noFill/>
        <a:ln>
          <a:noFill/>
        </a:ln>
        <a:effectLst/>
      </c:spPr>
    </c:plotArea>
    <c:legend>
      <c:legendPos val="b"/>
      <c:legendEntry>
        <c:idx val="4"/>
        <c:delete val="1"/>
      </c:legendEntry>
      <c:layout>
        <c:manualLayout>
          <c:xMode val="edge"/>
          <c:yMode val="edge"/>
          <c:x val="0.34680080421256593"/>
          <c:y val="0.11076403375820044"/>
          <c:w val="0.47507889807935871"/>
          <c:h val="9.1865481736679314E-2"/>
        </c:manualLayout>
      </c:layout>
      <c:overlay val="0"/>
      <c:spPr>
        <a:noFill/>
        <a:ln>
          <a:noFill/>
        </a:ln>
        <a:effectLst/>
      </c:spPr>
      <c:txPr>
        <a:bodyPr rot="0" spcFirstLastPara="1" vertOverflow="ellipsis" vert="horz" wrap="square" anchor="ctr" anchorCtr="1"/>
        <a:lstStyle/>
        <a:p>
          <a:pPr>
            <a:defRPr sz="14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0342319498198319E-2"/>
          <c:y val="0.1194524959742351"/>
          <c:w val="0.93005855465100762"/>
          <c:h val="0.76058503556620638"/>
        </c:manualLayout>
      </c:layout>
      <c:lineChart>
        <c:grouping val="standard"/>
        <c:varyColors val="0"/>
        <c:ser>
          <c:idx val="0"/>
          <c:order val="0"/>
          <c:tx>
            <c:strRef>
              <c:f>'GDP calculations'!$T$4</c:f>
              <c:strCache>
                <c:ptCount val="1"/>
                <c:pt idx="0">
                  <c:v>One line</c:v>
                </c:pt>
              </c:strCache>
            </c:strRef>
          </c:tx>
          <c:spPr>
            <a:ln w="28575" cap="rnd">
              <a:solidFill>
                <a:schemeClr val="accent1"/>
              </a:solidFill>
              <a:round/>
            </a:ln>
            <a:effectLst/>
          </c:spPr>
          <c:marker>
            <c:symbol val="none"/>
          </c:marker>
          <c:cat>
            <c:numRef>
              <c:f>'GDP calculations'!$H$5:$H$40</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numCache>
            </c:numRef>
          </c:cat>
          <c:val>
            <c:numRef>
              <c:f>'GDP calculations'!$T$5:$T$40</c:f>
              <c:numCache>
                <c:formatCode>0.000</c:formatCode>
                <c:ptCount val="3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numCache>
            </c:numRef>
          </c:val>
          <c:smooth val="0"/>
          <c:extLst>
            <c:ext xmlns:c16="http://schemas.microsoft.com/office/drawing/2014/chart" uri="{C3380CC4-5D6E-409C-BE32-E72D297353CC}">
              <c16:uniqueId val="{00000000-BABC-4071-A121-EE304CCDE039}"/>
            </c:ext>
          </c:extLst>
        </c:ser>
        <c:ser>
          <c:idx val="1"/>
          <c:order val="1"/>
          <c:tx>
            <c:strRef>
              <c:f>'GDP calculations'!$U$4</c:f>
              <c:strCache>
                <c:ptCount val="1"/>
              </c:strCache>
            </c:strRef>
          </c:tx>
          <c:spPr>
            <a:ln w="28575" cap="rnd">
              <a:solidFill>
                <a:schemeClr val="accent2"/>
              </a:solidFill>
              <a:round/>
            </a:ln>
            <a:effectLst/>
          </c:spPr>
          <c:marker>
            <c:symbol val="none"/>
          </c:marker>
          <c:cat>
            <c:numRef>
              <c:f>'GDP calculations'!$H$5:$H$40</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numCache>
            </c:numRef>
          </c:cat>
          <c:val>
            <c:numRef>
              <c:f>'GDP calculations'!$U$5:$U$40</c:f>
              <c:numCache>
                <c:formatCode>General</c:formatCode>
                <c:ptCount val="36"/>
              </c:numCache>
            </c:numRef>
          </c:val>
          <c:smooth val="0"/>
          <c:extLst>
            <c:ext xmlns:c16="http://schemas.microsoft.com/office/drawing/2014/chart" uri="{C3380CC4-5D6E-409C-BE32-E72D297353CC}">
              <c16:uniqueId val="{00000001-BABC-4071-A121-EE304CCDE039}"/>
            </c:ext>
          </c:extLst>
        </c:ser>
        <c:ser>
          <c:idx val="2"/>
          <c:order val="2"/>
          <c:tx>
            <c:strRef>
              <c:f>'GDP calculations'!$V$4</c:f>
              <c:strCache>
                <c:ptCount val="1"/>
              </c:strCache>
            </c:strRef>
          </c:tx>
          <c:spPr>
            <a:ln w="28575" cap="rnd">
              <a:solidFill>
                <a:schemeClr val="accent3"/>
              </a:solidFill>
              <a:round/>
            </a:ln>
            <a:effectLst/>
          </c:spPr>
          <c:marker>
            <c:symbol val="none"/>
          </c:marker>
          <c:cat>
            <c:numRef>
              <c:f>'GDP calculations'!$H$5:$H$40</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numCache>
            </c:numRef>
          </c:cat>
          <c:val>
            <c:numRef>
              <c:f>'GDP calculations'!$V$5:$V$40</c:f>
              <c:numCache>
                <c:formatCode>General</c:formatCode>
                <c:ptCount val="36"/>
              </c:numCache>
            </c:numRef>
          </c:val>
          <c:smooth val="0"/>
          <c:extLst>
            <c:ext xmlns:c16="http://schemas.microsoft.com/office/drawing/2014/chart" uri="{C3380CC4-5D6E-409C-BE32-E72D297353CC}">
              <c16:uniqueId val="{00000002-BABC-4071-A121-EE304CCDE039}"/>
            </c:ext>
          </c:extLst>
        </c:ser>
        <c:ser>
          <c:idx val="3"/>
          <c:order val="3"/>
          <c:tx>
            <c:strRef>
              <c:f>'GDP calculations'!$W$4</c:f>
              <c:strCache>
                <c:ptCount val="1"/>
                <c:pt idx="0">
                  <c:v>Q1</c:v>
                </c:pt>
              </c:strCache>
            </c:strRef>
          </c:tx>
          <c:spPr>
            <a:ln w="28575" cap="rnd">
              <a:solidFill>
                <a:schemeClr val="accent4"/>
              </a:solidFill>
              <a:round/>
            </a:ln>
            <a:effectLst/>
          </c:spPr>
          <c:marker>
            <c:symbol val="none"/>
          </c:marker>
          <c:cat>
            <c:numRef>
              <c:f>'GDP calculations'!$H$5:$H$40</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numCache>
            </c:numRef>
          </c:cat>
          <c:val>
            <c:numRef>
              <c:f>'GDP calculations'!$W$5:$W$28</c:f>
              <c:numCache>
                <c:formatCode>0.000</c:formatCode>
                <c:ptCount val="24"/>
                <c:pt idx="20">
                  <c:v>0.991812657509345</c:v>
                </c:pt>
                <c:pt idx="21">
                  <c:v>0.99081884481590132</c:v>
                </c:pt>
                <c:pt idx="22">
                  <c:v>0.99382477217234677</c:v>
                </c:pt>
                <c:pt idx="23">
                  <c:v>0.98586029489045257</c:v>
                </c:pt>
              </c:numCache>
            </c:numRef>
          </c:val>
          <c:smooth val="0"/>
          <c:extLst>
            <c:ext xmlns:c16="http://schemas.microsoft.com/office/drawing/2014/chart" uri="{C3380CC4-5D6E-409C-BE32-E72D297353CC}">
              <c16:uniqueId val="{00000003-BABC-4071-A121-EE304CCDE039}"/>
            </c:ext>
          </c:extLst>
        </c:ser>
        <c:dLbls>
          <c:showLegendKey val="0"/>
          <c:showVal val="0"/>
          <c:showCatName val="0"/>
          <c:showSerName val="0"/>
          <c:showPercent val="0"/>
          <c:showBubbleSize val="0"/>
        </c:dLbls>
        <c:smooth val="0"/>
        <c:axId val="1416168240"/>
        <c:axId val="1416165360"/>
      </c:lineChart>
      <c:catAx>
        <c:axId val="14161682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165360"/>
        <c:crosses val="autoZero"/>
        <c:auto val="1"/>
        <c:lblAlgn val="ctr"/>
        <c:lblOffset val="100"/>
        <c:noMultiLvlLbl val="0"/>
      </c:catAx>
      <c:valAx>
        <c:axId val="1416165360"/>
        <c:scaling>
          <c:orientation val="minMax"/>
          <c:min val="-5"/>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168240"/>
        <c:crosses val="autoZero"/>
        <c:crossBetween val="between"/>
      </c:valAx>
      <c:spPr>
        <a:noFill/>
        <a:ln>
          <a:noFill/>
        </a:ln>
        <a:effectLst/>
      </c:spPr>
    </c:plotArea>
    <c:legend>
      <c:legendPos val="b"/>
      <c:layout>
        <c:manualLayout>
          <c:xMode val="edge"/>
          <c:yMode val="edge"/>
          <c:x val="0.36466627646159949"/>
          <c:y val="0.15338126212484315"/>
          <c:w val="0.35206817184987155"/>
          <c:h val="5.43482064741907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sz="1200" b="1">
                <a:solidFill>
                  <a:srgbClr val="495057"/>
                </a:solidFill>
              </a:rPr>
              <a:t>UK: NSA GDP ratio to 7Q rolling window (excl 2019-2021)</a:t>
            </a:r>
          </a:p>
        </c:rich>
      </c:tx>
      <c:layout>
        <c:manualLayout>
          <c:xMode val="edge"/>
          <c:yMode val="edge"/>
          <c:x val="1.3321182989078396E-3"/>
          <c:y val="4.0377225906118156E-5"/>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6.7697363853079368E-2"/>
          <c:y val="0.12126106764274601"/>
          <c:w val="0.86943291220954566"/>
          <c:h val="0.75732305747730722"/>
        </c:manualLayout>
      </c:layout>
      <c:lineChart>
        <c:grouping val="standard"/>
        <c:varyColors val="0"/>
        <c:ser>
          <c:idx val="0"/>
          <c:order val="0"/>
          <c:tx>
            <c:strRef>
              <c:f>'GDP calculations'!$P$4</c:f>
              <c:strCache>
                <c:ptCount val="1"/>
                <c:pt idx="0">
                  <c:v>Q1</c:v>
                </c:pt>
              </c:strCache>
            </c:strRef>
          </c:tx>
          <c:spPr>
            <a:ln w="38100" cap="rnd">
              <a:solidFill>
                <a:srgbClr val="BD1B21"/>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calculations'!$P$5:$P$40</c15:sqref>
                  </c15:fullRef>
                </c:ext>
              </c:extLst>
              <c:f>('GDP calculations'!$P$25:$P$33,'GDP calculations'!$P$37:$P$40)</c:f>
              <c:numCache>
                <c:formatCode>0.000</c:formatCode>
                <c:ptCount val="13"/>
                <c:pt idx="0">
                  <c:v>0.99015883181759956</c:v>
                </c:pt>
                <c:pt idx="1">
                  <c:v>0.99032145846147634</c:v>
                </c:pt>
                <c:pt idx="2">
                  <c:v>0.99164392480778685</c:v>
                </c:pt>
                <c:pt idx="3">
                  <c:v>0.98397373977289782</c:v>
                </c:pt>
                <c:pt idx="4">
                  <c:v>0.99126822761068401</c:v>
                </c:pt>
                <c:pt idx="5">
                  <c:v>0.98778657244968437</c:v>
                </c:pt>
                <c:pt idx="6">
                  <c:v>0.98643252437563855</c:v>
                </c:pt>
                <c:pt idx="7">
                  <c:v>0.98641081186659629</c:v>
                </c:pt>
                <c:pt idx="8">
                  <c:v>0.98837661504360885</c:v>
                </c:pt>
                <c:pt idx="9">
                  <c:v>1.0048008106722759</c:v>
                </c:pt>
                <c:pt idx="10">
                  <c:v>0.99102841745087311</c:v>
                </c:pt>
                <c:pt idx="11">
                  <c:v>0.99821872374225051</c:v>
                </c:pt>
                <c:pt idx="12">
                  <c:v>1.0093227005793926</c:v>
                </c:pt>
              </c:numCache>
            </c:numRef>
          </c:val>
          <c:smooth val="0"/>
          <c:extLst>
            <c:ext xmlns:c16="http://schemas.microsoft.com/office/drawing/2014/chart" uri="{C3380CC4-5D6E-409C-BE32-E72D297353CC}">
              <c16:uniqueId val="{00000000-3E22-4A58-9843-0084BD7D75BC}"/>
            </c:ext>
          </c:extLst>
        </c:ser>
        <c:ser>
          <c:idx val="1"/>
          <c:order val="1"/>
          <c:tx>
            <c:strRef>
              <c:f>'GDP calculations'!$Q$4</c:f>
              <c:strCache>
                <c:ptCount val="1"/>
                <c:pt idx="0">
                  <c:v>Q2</c:v>
                </c:pt>
              </c:strCache>
            </c:strRef>
          </c:tx>
          <c:spPr>
            <a:ln w="38100" cap="rnd">
              <a:solidFill>
                <a:srgbClr val="003469"/>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calculations'!$Q$5:$Q$40</c15:sqref>
                  </c15:fullRef>
                </c:ext>
              </c:extLst>
              <c:f>('GDP calculations'!$Q$25:$Q$33,'GDP calculations'!$Q$37:$Q$40)</c:f>
              <c:numCache>
                <c:formatCode>0.000</c:formatCode>
                <c:ptCount val="13"/>
                <c:pt idx="0">
                  <c:v>0.9784894894657955</c:v>
                </c:pt>
                <c:pt idx="1">
                  <c:v>0.97578839861184941</c:v>
                </c:pt>
                <c:pt idx="2">
                  <c:v>0.97718471515886718</c:v>
                </c:pt>
                <c:pt idx="3">
                  <c:v>0.98020250365142203</c:v>
                </c:pt>
                <c:pt idx="4">
                  <c:v>0.99115061871698917</c:v>
                </c:pt>
                <c:pt idx="5">
                  <c:v>0.99003479570473651</c:v>
                </c:pt>
                <c:pt idx="6">
                  <c:v>0.99090038661569813</c:v>
                </c:pt>
                <c:pt idx="7">
                  <c:v>0.98925182297706993</c:v>
                </c:pt>
                <c:pt idx="8">
                  <c:v>0.98661434855796637</c:v>
                </c:pt>
                <c:pt idx="9">
                  <c:v>0.98171967730785226</c:v>
                </c:pt>
                <c:pt idx="10">
                  <c:v>0.98408885258600831</c:v>
                </c:pt>
                <c:pt idx="11">
                  <c:v>0.97805732309177806</c:v>
                </c:pt>
              </c:numCache>
            </c:numRef>
          </c:val>
          <c:smooth val="0"/>
          <c:extLst>
            <c:ext xmlns:c16="http://schemas.microsoft.com/office/drawing/2014/chart" uri="{C3380CC4-5D6E-409C-BE32-E72D297353CC}">
              <c16:uniqueId val="{00000001-3E22-4A58-9843-0084BD7D75BC}"/>
            </c:ext>
          </c:extLst>
        </c:ser>
        <c:ser>
          <c:idx val="2"/>
          <c:order val="2"/>
          <c:tx>
            <c:strRef>
              <c:f>'GDP calculations'!$R$4</c:f>
              <c:strCache>
                <c:ptCount val="1"/>
                <c:pt idx="0">
                  <c:v>Q3</c:v>
                </c:pt>
              </c:strCache>
            </c:strRef>
          </c:tx>
          <c:spPr>
            <a:ln w="38100" cap="rnd">
              <a:solidFill>
                <a:srgbClr val="D1A21E"/>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calculations'!$R$5:$R$40</c15:sqref>
                  </c15:fullRef>
                </c:ext>
              </c:extLst>
              <c:f>('GDP calculations'!$R$25:$R$33,'GDP calculations'!$R$37:$R$40)</c:f>
              <c:numCache>
                <c:formatCode>0.000</c:formatCode>
                <c:ptCount val="13"/>
                <c:pt idx="0">
                  <c:v>1.0179234313943093</c:v>
                </c:pt>
                <c:pt idx="1">
                  <c:v>1.0062611651620543</c:v>
                </c:pt>
                <c:pt idx="2">
                  <c:v>1.0072646315416769</c:v>
                </c:pt>
                <c:pt idx="3">
                  <c:v>0.99995710383513536</c:v>
                </c:pt>
                <c:pt idx="4">
                  <c:v>1.0002382797616729</c:v>
                </c:pt>
                <c:pt idx="5">
                  <c:v>0.99981423508469269</c:v>
                </c:pt>
                <c:pt idx="6">
                  <c:v>0.99401356726243761</c:v>
                </c:pt>
                <c:pt idx="7">
                  <c:v>1.0010388695342394</c:v>
                </c:pt>
                <c:pt idx="8">
                  <c:v>0.9960060453243923</c:v>
                </c:pt>
                <c:pt idx="9">
                  <c:v>1.0089165399607556</c:v>
                </c:pt>
                <c:pt idx="10">
                  <c:v>0.99755966780996186</c:v>
                </c:pt>
                <c:pt idx="11">
                  <c:v>1.0004028772027418</c:v>
                </c:pt>
              </c:numCache>
            </c:numRef>
          </c:val>
          <c:smooth val="0"/>
          <c:extLst>
            <c:ext xmlns:c16="http://schemas.microsoft.com/office/drawing/2014/chart" uri="{C3380CC4-5D6E-409C-BE32-E72D297353CC}">
              <c16:uniqueId val="{00000002-3E22-4A58-9843-0084BD7D75BC}"/>
            </c:ext>
          </c:extLst>
        </c:ser>
        <c:ser>
          <c:idx val="3"/>
          <c:order val="3"/>
          <c:tx>
            <c:strRef>
              <c:f>'GDP calculations'!$S$4</c:f>
              <c:strCache>
                <c:ptCount val="1"/>
                <c:pt idx="0">
                  <c:v>Q4</c:v>
                </c:pt>
              </c:strCache>
            </c:strRef>
          </c:tx>
          <c:spPr>
            <a:ln w="38100" cap="rnd">
              <a:solidFill>
                <a:srgbClr val="7B7C77"/>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calculations'!$S$5:$S$40</c15:sqref>
                  </c15:fullRef>
                </c:ext>
              </c:extLst>
              <c:f>('GDP calculations'!$S$25:$S$33,'GDP calculations'!$S$37:$S$40)</c:f>
              <c:numCache>
                <c:formatCode>0.000</c:formatCode>
                <c:ptCount val="13"/>
                <c:pt idx="0">
                  <c:v>1.0260242784596272</c:v>
                </c:pt>
                <c:pt idx="1">
                  <c:v>1.0209506150972361</c:v>
                </c:pt>
                <c:pt idx="2">
                  <c:v>1.0263474828662318</c:v>
                </c:pt>
                <c:pt idx="3">
                  <c:v>1.0233971037909313</c:v>
                </c:pt>
                <c:pt idx="4">
                  <c:v>1.0231270908279408</c:v>
                </c:pt>
                <c:pt idx="5">
                  <c:v>1.0224469995959813</c:v>
                </c:pt>
                <c:pt idx="6">
                  <c:v>1.0247734107743056</c:v>
                </c:pt>
                <c:pt idx="7">
                  <c:v>1.0338793297191815</c:v>
                </c:pt>
                <c:pt idx="8">
                  <c:v>1.0283803286628088</c:v>
                </c:pt>
                <c:pt idx="9">
                  <c:v>1.0255737802015512</c:v>
                </c:pt>
                <c:pt idx="10">
                  <c:v>1.0186634740966478</c:v>
                </c:pt>
                <c:pt idx="11">
                  <c:v>1.0177465053367847</c:v>
                </c:pt>
              </c:numCache>
            </c:numRef>
          </c:val>
          <c:smooth val="0"/>
          <c:extLst>
            <c:ext xmlns:c16="http://schemas.microsoft.com/office/drawing/2014/chart" uri="{C3380CC4-5D6E-409C-BE32-E72D297353CC}">
              <c16:uniqueId val="{00000003-3E22-4A58-9843-0084BD7D75BC}"/>
            </c:ext>
          </c:extLst>
        </c:ser>
        <c:ser>
          <c:idx val="4"/>
          <c:order val="4"/>
          <c:tx>
            <c:strRef>
              <c:f>'GDP calculations'!$T$4</c:f>
              <c:strCache>
                <c:ptCount val="1"/>
                <c:pt idx="0">
                  <c:v>One line</c:v>
                </c:pt>
              </c:strCache>
            </c:strRef>
          </c:tx>
          <c:spPr>
            <a:ln w="12700" cap="rnd">
              <a:solidFill>
                <a:schemeClr val="tx1">
                  <a:lumMod val="65000"/>
                  <a:lumOff val="35000"/>
                </a:schemeClr>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calculations'!$T$5:$T$40</c15:sqref>
                  </c15:fullRef>
                </c:ext>
              </c:extLst>
              <c:f>('GDP calculations'!$T$25:$T$33,'GDP calculations'!$T$37:$T$40)</c:f>
              <c:numCache>
                <c:formatCode>0.000</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4-3E22-4A58-9843-0084BD7D75BC}"/>
            </c:ext>
          </c:extLst>
        </c:ser>
        <c:dLbls>
          <c:showLegendKey val="0"/>
          <c:showVal val="0"/>
          <c:showCatName val="0"/>
          <c:showSerName val="0"/>
          <c:showPercent val="0"/>
          <c:showBubbleSize val="0"/>
        </c:dLbls>
        <c:smooth val="0"/>
        <c:axId val="1416168240"/>
        <c:axId val="1416165360"/>
      </c:lineChart>
      <c:catAx>
        <c:axId val="1416168240"/>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416165360"/>
        <c:crosses val="autoZero"/>
        <c:auto val="1"/>
        <c:lblAlgn val="ctr"/>
        <c:lblOffset val="100"/>
        <c:noMultiLvlLbl val="0"/>
      </c:catAx>
      <c:valAx>
        <c:axId val="1416165360"/>
        <c:scaling>
          <c:orientation val="minMax"/>
          <c:max val="1.05"/>
          <c:min val="0.95000000000000007"/>
        </c:scaling>
        <c:delete val="0"/>
        <c:axPos val="l"/>
        <c:numFmt formatCode="0.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416168240"/>
        <c:crosses val="autoZero"/>
        <c:crossBetween val="midCat"/>
      </c:valAx>
      <c:spPr>
        <a:noFill/>
        <a:ln>
          <a:noFill/>
        </a:ln>
        <a:effectLst/>
      </c:spPr>
    </c:plotArea>
    <c:legend>
      <c:legendPos val="b"/>
      <c:legendEntry>
        <c:idx val="4"/>
        <c:delete val="1"/>
      </c:legendEntry>
      <c:layout>
        <c:manualLayout>
          <c:xMode val="edge"/>
          <c:yMode val="edge"/>
          <c:x val="0.14222983137742323"/>
          <c:y val="0.11073373854058227"/>
          <c:w val="0.47507889807935871"/>
          <c:h val="9.1865481736679314E-2"/>
        </c:manualLayout>
      </c:layout>
      <c:overlay val="0"/>
      <c:spPr>
        <a:noFill/>
        <a:ln>
          <a:noFill/>
        </a:ln>
        <a:effectLst/>
      </c:spPr>
      <c:txPr>
        <a:bodyPr rot="0" spcFirstLastPara="1" vertOverflow="ellipsis" vert="horz" wrap="square" anchor="ctr" anchorCtr="1"/>
        <a:lstStyle/>
        <a:p>
          <a:pPr>
            <a:defRPr sz="14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sz="1200" b="1">
                <a:solidFill>
                  <a:srgbClr val="495057"/>
                </a:solidFill>
              </a:rPr>
              <a:t>UK: NSA GDP ratio to 2x4 MA (excl 2019-2021)</a:t>
            </a:r>
          </a:p>
        </c:rich>
      </c:tx>
      <c:layout>
        <c:manualLayout>
          <c:xMode val="edge"/>
          <c:yMode val="edge"/>
          <c:x val="1.3321182989078396E-3"/>
          <c:y val="4.0377225906118156E-5"/>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6.7697363853079368E-2"/>
          <c:y val="0.12126106764274601"/>
          <c:w val="0.86943291220954566"/>
          <c:h val="0.75732305747730722"/>
        </c:manualLayout>
      </c:layout>
      <c:lineChart>
        <c:grouping val="standard"/>
        <c:varyColors val="0"/>
        <c:ser>
          <c:idx val="0"/>
          <c:order val="0"/>
          <c:tx>
            <c:strRef>
              <c:f>'GDP calculations'!$W$4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'GDP calculations'!$H$25:$H$40</c15:sqref>
                  </c15:fullRef>
                </c:ext>
              </c:extLst>
              <c:f>('GDP calculations'!$H$25:$H$33,'GDP calculations'!$H$38:$H$40)</c:f>
              <c:numCache>
                <c:formatCode>General</c:formatCode>
                <c:ptCount val="12"/>
                <c:pt idx="0">
                  <c:v>2010</c:v>
                </c:pt>
                <c:pt idx="1">
                  <c:v>2011</c:v>
                </c:pt>
                <c:pt idx="2">
                  <c:v>2012</c:v>
                </c:pt>
                <c:pt idx="3">
                  <c:v>2013</c:v>
                </c:pt>
                <c:pt idx="4">
                  <c:v>2014</c:v>
                </c:pt>
                <c:pt idx="5">
                  <c:v>2015</c:v>
                </c:pt>
                <c:pt idx="6">
                  <c:v>2016</c:v>
                </c:pt>
                <c:pt idx="7">
                  <c:v>2017</c:v>
                </c:pt>
                <c:pt idx="8">
                  <c:v>2018</c:v>
                </c:pt>
                <c:pt idx="9">
                  <c:v>2023</c:v>
                </c:pt>
                <c:pt idx="10">
                  <c:v>2024</c:v>
                </c:pt>
                <c:pt idx="11">
                  <c:v>2025</c:v>
                </c:pt>
              </c:numCache>
            </c:numRef>
          </c:cat>
          <c:val>
            <c:numRef>
              <c:extLst>
                <c:ext xmlns:c15="http://schemas.microsoft.com/office/drawing/2012/chart" uri="{02D57815-91ED-43cb-92C2-25804820EDAC}">
                  <c15:fullRef>
                    <c15:sqref>'GDP calculations'!$W$25:$W$40</c15:sqref>
                  </c15:fullRef>
                </c:ext>
              </c:extLst>
              <c:f>('GDP calculations'!$W$25:$W$33,'GDP calculations'!$W$38:$W$40)</c:f>
              <c:numCache>
                <c:formatCode>0.000</c:formatCode>
                <c:ptCount val="12"/>
                <c:pt idx="0">
                  <c:v>0.991812657509345</c:v>
                </c:pt>
                <c:pt idx="1">
                  <c:v>0.99081884481590132</c:v>
                </c:pt>
                <c:pt idx="2">
                  <c:v>0.99382477217234677</c:v>
                </c:pt>
                <c:pt idx="3">
                  <c:v>0.98586029489045257</c:v>
                </c:pt>
                <c:pt idx="4">
                  <c:v>0.99122979125386212</c:v>
                </c:pt>
                <c:pt idx="5">
                  <c:v>0.98920928645452588</c:v>
                </c:pt>
                <c:pt idx="6">
                  <c:v>0.9887169095619488</c:v>
                </c:pt>
                <c:pt idx="7">
                  <c:v>0.98929960483177304</c:v>
                </c:pt>
                <c:pt idx="8">
                  <c:v>0.98885253579909171</c:v>
                </c:pt>
                <c:pt idx="9">
                  <c:v>0.98849019559401197</c:v>
                </c:pt>
                <c:pt idx="10">
                  <c:v>0.98188426667281081</c:v>
                </c:pt>
                <c:pt idx="11">
                  <c:v>0.98031958949320397</c:v>
                </c:pt>
              </c:numCache>
            </c:numRef>
          </c:val>
          <c:smooth val="0"/>
          <c:extLst>
            <c:ext xmlns:c16="http://schemas.microsoft.com/office/drawing/2014/chart" uri="{C3380CC4-5D6E-409C-BE32-E72D297353CC}">
              <c16:uniqueId val="{00000000-AD56-4D18-B2C5-97202E70E1C6}"/>
            </c:ext>
          </c:extLst>
        </c:ser>
        <c:ser>
          <c:idx val="1"/>
          <c:order val="1"/>
          <c:tx>
            <c:strRef>
              <c:f>'GDP calculations'!$X$4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'GDP calculations'!$H$25:$H$40</c15:sqref>
                  </c15:fullRef>
                </c:ext>
              </c:extLst>
              <c:f>('GDP calculations'!$H$25:$H$33,'GDP calculations'!$H$38:$H$40)</c:f>
              <c:numCache>
                <c:formatCode>General</c:formatCode>
                <c:ptCount val="12"/>
                <c:pt idx="0">
                  <c:v>2010</c:v>
                </c:pt>
                <c:pt idx="1">
                  <c:v>2011</c:v>
                </c:pt>
                <c:pt idx="2">
                  <c:v>2012</c:v>
                </c:pt>
                <c:pt idx="3">
                  <c:v>2013</c:v>
                </c:pt>
                <c:pt idx="4">
                  <c:v>2014</c:v>
                </c:pt>
                <c:pt idx="5">
                  <c:v>2015</c:v>
                </c:pt>
                <c:pt idx="6">
                  <c:v>2016</c:v>
                </c:pt>
                <c:pt idx="7">
                  <c:v>2017</c:v>
                </c:pt>
                <c:pt idx="8">
                  <c:v>2018</c:v>
                </c:pt>
                <c:pt idx="9">
                  <c:v>2023</c:v>
                </c:pt>
                <c:pt idx="10">
                  <c:v>2024</c:v>
                </c:pt>
                <c:pt idx="11">
                  <c:v>2025</c:v>
                </c:pt>
              </c:numCache>
            </c:numRef>
          </c:cat>
          <c:val>
            <c:numRef>
              <c:extLst>
                <c:ext xmlns:c15="http://schemas.microsoft.com/office/drawing/2012/chart" uri="{02D57815-91ED-43cb-92C2-25804820EDAC}">
                  <c15:fullRef>
                    <c15:sqref>'GDP calculations'!$X$25:$X$40</c15:sqref>
                  </c15:fullRef>
                </c:ext>
              </c:extLst>
              <c:f>('GDP calculations'!$X$25:$X$33,'GDP calculations'!$X$38:$X$40)</c:f>
              <c:numCache>
                <c:formatCode>0.000</c:formatCode>
                <c:ptCount val="12"/>
                <c:pt idx="0">
                  <c:v>0.97973939210817673</c:v>
                </c:pt>
                <c:pt idx="1">
                  <c:v>0.9801889877470864</c:v>
                </c:pt>
                <c:pt idx="2">
                  <c:v>0.97921929554462928</c:v>
                </c:pt>
                <c:pt idx="3">
                  <c:v>0.98484870202789621</c:v>
                </c:pt>
                <c:pt idx="4">
                  <c:v>0.9915608381716422</c:v>
                </c:pt>
                <c:pt idx="5">
                  <c:v>0.99107819143914844</c:v>
                </c:pt>
                <c:pt idx="6">
                  <c:v>0.99323735423412873</c:v>
                </c:pt>
                <c:pt idx="7">
                  <c:v>0.98939042144365508</c:v>
                </c:pt>
                <c:pt idx="8">
                  <c:v>0.98786172996415733</c:v>
                </c:pt>
                <c:pt idx="9">
                  <c:v>0.99826198476117523</c:v>
                </c:pt>
                <c:pt idx="10">
                  <c:v>1.000396422874962</c:v>
                </c:pt>
              </c:numCache>
            </c:numRef>
          </c:val>
          <c:smooth val="0"/>
          <c:extLst>
            <c:ext xmlns:c16="http://schemas.microsoft.com/office/drawing/2014/chart" uri="{C3380CC4-5D6E-409C-BE32-E72D297353CC}">
              <c16:uniqueId val="{00000001-AD56-4D18-B2C5-97202E70E1C6}"/>
            </c:ext>
          </c:extLst>
        </c:ser>
        <c:ser>
          <c:idx val="2"/>
          <c:order val="2"/>
          <c:tx>
            <c:strRef>
              <c:f>'GDP calculations'!$Y$4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'GDP calculations'!$H$25:$H$40</c15:sqref>
                  </c15:fullRef>
                </c:ext>
              </c:extLst>
              <c:f>('GDP calculations'!$H$25:$H$33,'GDP calculations'!$H$38:$H$40)</c:f>
              <c:numCache>
                <c:formatCode>General</c:formatCode>
                <c:ptCount val="12"/>
                <c:pt idx="0">
                  <c:v>2010</c:v>
                </c:pt>
                <c:pt idx="1">
                  <c:v>2011</c:v>
                </c:pt>
                <c:pt idx="2">
                  <c:v>2012</c:v>
                </c:pt>
                <c:pt idx="3">
                  <c:v>2013</c:v>
                </c:pt>
                <c:pt idx="4">
                  <c:v>2014</c:v>
                </c:pt>
                <c:pt idx="5">
                  <c:v>2015</c:v>
                </c:pt>
                <c:pt idx="6">
                  <c:v>2016</c:v>
                </c:pt>
                <c:pt idx="7">
                  <c:v>2017</c:v>
                </c:pt>
                <c:pt idx="8">
                  <c:v>2018</c:v>
                </c:pt>
                <c:pt idx="9">
                  <c:v>2023</c:v>
                </c:pt>
                <c:pt idx="10">
                  <c:v>2024</c:v>
                </c:pt>
                <c:pt idx="11">
                  <c:v>2025</c:v>
                </c:pt>
              </c:numCache>
            </c:numRef>
          </c:cat>
          <c:val>
            <c:numRef>
              <c:extLst>
                <c:ext xmlns:c15="http://schemas.microsoft.com/office/drawing/2012/chart" uri="{02D57815-91ED-43cb-92C2-25804820EDAC}">
                  <c15:fullRef>
                    <c15:sqref>'GDP calculations'!$Y$25:$Y$40</c15:sqref>
                  </c15:fullRef>
                </c:ext>
              </c:extLst>
              <c:f>('GDP calculations'!$Y$25:$Y$33,'GDP calculations'!$Y$38:$Y$40)</c:f>
              <c:numCache>
                <c:formatCode>0.000</c:formatCode>
                <c:ptCount val="12"/>
                <c:pt idx="0">
                  <c:v>1.0136285781643346</c:v>
                </c:pt>
                <c:pt idx="1">
                  <c:v>1.0062754602312178</c:v>
                </c:pt>
                <c:pt idx="2">
                  <c:v>1.0065275054280254</c:v>
                </c:pt>
                <c:pt idx="3">
                  <c:v>1.001935025880732</c:v>
                </c:pt>
                <c:pt idx="4">
                  <c:v>0.9995096721652007</c:v>
                </c:pt>
                <c:pt idx="5">
                  <c:v>1.0001799750943556</c:v>
                </c:pt>
                <c:pt idx="6">
                  <c:v>0.99446584711836017</c:v>
                </c:pt>
                <c:pt idx="7">
                  <c:v>0.99876593868042107</c:v>
                </c:pt>
                <c:pt idx="8">
                  <c:v>0.99757572455872734</c:v>
                </c:pt>
                <c:pt idx="9">
                  <c:v>1.0162303684817895</c:v>
                </c:pt>
                <c:pt idx="10">
                  <c:v>1.0139560825621141</c:v>
                </c:pt>
              </c:numCache>
            </c:numRef>
          </c:val>
          <c:smooth val="0"/>
          <c:extLst>
            <c:ext xmlns:c16="http://schemas.microsoft.com/office/drawing/2014/chart" uri="{C3380CC4-5D6E-409C-BE32-E72D297353CC}">
              <c16:uniqueId val="{00000002-AD56-4D18-B2C5-97202E70E1C6}"/>
            </c:ext>
          </c:extLst>
        </c:ser>
        <c:ser>
          <c:idx val="3"/>
          <c:order val="3"/>
          <c:tx>
            <c:strRef>
              <c:f>'GDP calculations'!$Z$4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'GDP calculations'!$H$25:$H$40</c15:sqref>
                  </c15:fullRef>
                </c:ext>
              </c:extLst>
              <c:f>('GDP calculations'!$H$25:$H$33,'GDP calculations'!$H$38:$H$40)</c:f>
              <c:numCache>
                <c:formatCode>General</c:formatCode>
                <c:ptCount val="12"/>
                <c:pt idx="0">
                  <c:v>2010</c:v>
                </c:pt>
                <c:pt idx="1">
                  <c:v>2011</c:v>
                </c:pt>
                <c:pt idx="2">
                  <c:v>2012</c:v>
                </c:pt>
                <c:pt idx="3">
                  <c:v>2013</c:v>
                </c:pt>
                <c:pt idx="4">
                  <c:v>2014</c:v>
                </c:pt>
                <c:pt idx="5">
                  <c:v>2015</c:v>
                </c:pt>
                <c:pt idx="6">
                  <c:v>2016</c:v>
                </c:pt>
                <c:pt idx="7">
                  <c:v>2017</c:v>
                </c:pt>
                <c:pt idx="8">
                  <c:v>2018</c:v>
                </c:pt>
                <c:pt idx="9">
                  <c:v>2023</c:v>
                </c:pt>
                <c:pt idx="10">
                  <c:v>2024</c:v>
                </c:pt>
                <c:pt idx="11">
                  <c:v>2025</c:v>
                </c:pt>
              </c:numCache>
            </c:numRef>
          </c:cat>
          <c:val>
            <c:numRef>
              <c:extLst>
                <c:ext xmlns:c15="http://schemas.microsoft.com/office/drawing/2012/chart" uri="{02D57815-91ED-43cb-92C2-25804820EDAC}">
                  <c15:fullRef>
                    <c15:sqref>'GDP calculations'!$Z$25:$Z$40</c15:sqref>
                  </c15:fullRef>
                </c:ext>
              </c:extLst>
              <c:f>('GDP calculations'!$Z$25:$Z$33,'GDP calculations'!$Z$38:$Z$40)</c:f>
              <c:numCache>
                <c:formatCode>0.000</c:formatCode>
                <c:ptCount val="12"/>
                <c:pt idx="0">
                  <c:v>1.0207453582531658</c:v>
                </c:pt>
                <c:pt idx="1">
                  <c:v>1.0186233883648401</c:v>
                </c:pt>
                <c:pt idx="2">
                  <c:v>1.0238726389475263</c:v>
                </c:pt>
                <c:pt idx="3">
                  <c:v>1.0196837499275984</c:v>
                </c:pt>
                <c:pt idx="4">
                  <c:v>1.0202559503816315</c:v>
                </c:pt>
                <c:pt idx="5">
                  <c:v>1.0192235865798749</c:v>
                </c:pt>
                <c:pt idx="6">
                  <c:v>1.0225982415152848</c:v>
                </c:pt>
                <c:pt idx="7">
                  <c:v>1.0280911009107803</c:v>
                </c:pt>
                <c:pt idx="8">
                  <c:v>1.0248539693085739</c:v>
                </c:pt>
                <c:pt idx="9">
                  <c:v>0.99965687397017045</c:v>
                </c:pt>
                <c:pt idx="10">
                  <c:v>1.0077184887382296</c:v>
                </c:pt>
              </c:numCache>
            </c:numRef>
          </c:val>
          <c:smooth val="0"/>
          <c:extLst>
            <c:ext xmlns:c16="http://schemas.microsoft.com/office/drawing/2014/chart" uri="{C3380CC4-5D6E-409C-BE32-E72D297353CC}">
              <c16:uniqueId val="{00000003-AD56-4D18-B2C5-97202E70E1C6}"/>
            </c:ext>
          </c:extLst>
        </c:ser>
        <c:ser>
          <c:idx val="4"/>
          <c:order val="4"/>
          <c:tx>
            <c:strRef>
              <c:f>'GDP calculations'!$AA$4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'GDP calculations'!$H$25:$H$40</c15:sqref>
                  </c15:fullRef>
                </c:ext>
              </c:extLst>
              <c:f>('GDP calculations'!$H$25:$H$33,'GDP calculations'!$H$38:$H$40)</c:f>
              <c:numCache>
                <c:formatCode>General</c:formatCode>
                <c:ptCount val="12"/>
                <c:pt idx="0">
                  <c:v>2010</c:v>
                </c:pt>
                <c:pt idx="1">
                  <c:v>2011</c:v>
                </c:pt>
                <c:pt idx="2">
                  <c:v>2012</c:v>
                </c:pt>
                <c:pt idx="3">
                  <c:v>2013</c:v>
                </c:pt>
                <c:pt idx="4">
                  <c:v>2014</c:v>
                </c:pt>
                <c:pt idx="5">
                  <c:v>2015</c:v>
                </c:pt>
                <c:pt idx="6">
                  <c:v>2016</c:v>
                </c:pt>
                <c:pt idx="7">
                  <c:v>2017</c:v>
                </c:pt>
                <c:pt idx="8">
                  <c:v>2018</c:v>
                </c:pt>
                <c:pt idx="9">
                  <c:v>2023</c:v>
                </c:pt>
                <c:pt idx="10">
                  <c:v>2024</c:v>
                </c:pt>
                <c:pt idx="11">
                  <c:v>2025</c:v>
                </c:pt>
              </c:numCache>
            </c:numRef>
          </c:cat>
          <c:val>
            <c:numRef>
              <c:extLst>
                <c:ext xmlns:c15="http://schemas.microsoft.com/office/drawing/2012/chart" uri="{02D57815-91ED-43cb-92C2-25804820EDAC}">
                  <c15:fullRef>
                    <c15:sqref>'GDP calculations'!$AA$25:$AA$40</c15:sqref>
                  </c15:fullRef>
                </c:ext>
              </c:extLst>
              <c:f>('GDP calculations'!$AA$25:$AA$33,'GDP calculations'!$AA$38:$AA$40)</c:f>
              <c:numCache>
                <c:formatCode>0.000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4-AD56-4D18-B2C5-97202E70E1C6}"/>
            </c:ext>
          </c:extLst>
        </c:ser>
        <c:dLbls>
          <c:showLegendKey val="0"/>
          <c:showVal val="0"/>
          <c:showCatName val="0"/>
          <c:showSerName val="0"/>
          <c:showPercent val="0"/>
          <c:showBubbleSize val="0"/>
        </c:dLbls>
        <c:smooth val="0"/>
        <c:axId val="1416168240"/>
        <c:axId val="1416165360"/>
      </c:lineChart>
      <c:catAx>
        <c:axId val="1416168240"/>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416165360"/>
        <c:crosses val="autoZero"/>
        <c:auto val="1"/>
        <c:lblAlgn val="ctr"/>
        <c:lblOffset val="100"/>
        <c:noMultiLvlLbl val="0"/>
      </c:catAx>
      <c:valAx>
        <c:axId val="1416165360"/>
        <c:scaling>
          <c:orientation val="minMax"/>
          <c:max val="1.05"/>
          <c:min val="0.95000000000000007"/>
        </c:scaling>
        <c:delete val="0"/>
        <c:axPos val="l"/>
        <c:numFmt formatCode="0.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416168240"/>
        <c:crosses val="autoZero"/>
        <c:crossBetween val="midCat"/>
      </c:valAx>
      <c:spPr>
        <a:noFill/>
        <a:ln>
          <a:noFill/>
        </a:ln>
        <a:effectLst/>
      </c:spPr>
    </c:plotArea>
    <c:legend>
      <c:legendPos val="b"/>
      <c:legendEntry>
        <c:idx val="4"/>
        <c:delete val="1"/>
      </c:legendEntry>
      <c:layout>
        <c:manualLayout>
          <c:xMode val="edge"/>
          <c:yMode val="edge"/>
          <c:x val="0.14222983137742323"/>
          <c:y val="0.11073373854058227"/>
          <c:w val="0.47507889807935871"/>
          <c:h val="9.1865481736679314E-2"/>
        </c:manualLayout>
      </c:layout>
      <c:overlay val="0"/>
      <c:spPr>
        <a:noFill/>
        <a:ln>
          <a:noFill/>
        </a:ln>
        <a:effectLst/>
      </c:spPr>
      <c:txPr>
        <a:bodyPr rot="0" spcFirstLastPara="1" vertOverflow="ellipsis" vert="horz" wrap="square" anchor="ctr" anchorCtr="1"/>
        <a:lstStyle/>
        <a:p>
          <a:pPr>
            <a:defRPr sz="14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GB" b="1"/>
              <a:t>UK: SA vs NSA ratios</a:t>
            </a:r>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6.4985925774331377E-2"/>
          <c:y val="0.20244525785936268"/>
          <c:w val="0.91182674801650432"/>
          <c:h val="0.71448511602506837"/>
        </c:manualLayout>
      </c:layout>
      <c:lineChart>
        <c:grouping val="standard"/>
        <c:varyColors val="0"/>
        <c:ser>
          <c:idx val="0"/>
          <c:order val="0"/>
          <c:tx>
            <c:strRef>
              <c:f>'Component calculations'!$AM$4</c:f>
              <c:strCache>
                <c:ptCount val="1"/>
                <c:pt idx="0">
                  <c:v>Consumer spending</c:v>
                </c:pt>
              </c:strCache>
            </c:strRef>
          </c:tx>
          <c:spPr>
            <a:ln w="25400" cap="rnd">
              <a:solidFill>
                <a:srgbClr val="003469"/>
              </a:solidFill>
              <a:prstDash val="solid"/>
              <a:round/>
            </a:ln>
            <a:effectLst/>
          </c:spPr>
          <c:marker>
            <c:symbol val="none"/>
          </c:marker>
          <c:cat>
            <c:numRef>
              <c:f>'Component calculations'!$AL$25:$AL$40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'Component calculations'!$AM$25:$AM$40</c:f>
              <c:numCache>
                <c:formatCode>0.00</c:formatCode>
                <c:ptCount val="16"/>
                <c:pt idx="0">
                  <c:v>1.026141355147324</c:v>
                </c:pt>
                <c:pt idx="1">
                  <c:v>1.0286541827828273</c:v>
                </c:pt>
                <c:pt idx="2">
                  <c:v>1.0289372414166902</c:v>
                </c:pt>
                <c:pt idx="3">
                  <c:v>1.0258966575954225</c:v>
                </c:pt>
                <c:pt idx="4">
                  <c:v>1.0309428602394657</c:v>
                </c:pt>
                <c:pt idx="5">
                  <c:v>1.0294746583650258</c:v>
                </c:pt>
                <c:pt idx="6">
                  <c:v>1.0290593225047691</c:v>
                </c:pt>
                <c:pt idx="7">
                  <c:v>1.0314187809781739</c:v>
                </c:pt>
                <c:pt idx="8">
                  <c:v>1.0323741098645189</c:v>
                </c:pt>
                <c:pt idx="9">
                  <c:v>1.0352797533959557</c:v>
                </c:pt>
                <c:pt idx="10">
                  <c:v>1.0263799532844322</c:v>
                </c:pt>
                <c:pt idx="11">
                  <c:v>1.0132655073607035</c:v>
                </c:pt>
                <c:pt idx="12">
                  <c:v>1.0299793489621465</c:v>
                </c:pt>
                <c:pt idx="13">
                  <c:v>1.0266110806146116</c:v>
                </c:pt>
                <c:pt idx="14">
                  <c:v>1.0267235958196501</c:v>
                </c:pt>
                <c:pt idx="15">
                  <c:v>1.0275416970611144</c:v>
                </c:pt>
              </c:numCache>
            </c:numRef>
          </c:val>
          <c:smooth val="0"/>
          <c:extLst>
            <c:ext xmlns:c16="http://schemas.microsoft.com/office/drawing/2014/chart" uri="{C3380CC4-5D6E-409C-BE32-E72D297353CC}">
              <c16:uniqueId val="{00000000-3779-4428-9CEE-013A9C0F3332}"/>
            </c:ext>
          </c:extLst>
        </c:ser>
        <c:ser>
          <c:idx val="1"/>
          <c:order val="1"/>
          <c:tx>
            <c:strRef>
              <c:f>'Component calculations'!$AN$4</c:f>
              <c:strCache>
                <c:ptCount val="1"/>
                <c:pt idx="0">
                  <c:v>NPISH</c:v>
                </c:pt>
              </c:strCache>
            </c:strRef>
          </c:tx>
          <c:spPr>
            <a:ln w="25400" cap="rnd">
              <a:solidFill>
                <a:srgbClr val="EF4130"/>
              </a:solidFill>
              <a:prstDash val="solid"/>
              <a:round/>
            </a:ln>
            <a:effectLst/>
          </c:spPr>
          <c:marker>
            <c:symbol val="none"/>
          </c:marker>
          <c:cat>
            <c:numRef>
              <c:f>'Component calculations'!$AL$25:$AL$40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'Component calculations'!$AN$25:$AN$40</c:f>
              <c:numCache>
                <c:formatCode>0.00</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01-3779-4428-9CEE-013A9C0F3332}"/>
            </c:ext>
          </c:extLst>
        </c:ser>
        <c:ser>
          <c:idx val="2"/>
          <c:order val="2"/>
          <c:tx>
            <c:strRef>
              <c:f>'Component calculations'!$AO$4</c:f>
              <c:strCache>
                <c:ptCount val="1"/>
                <c:pt idx="0">
                  <c:v>Government consumption</c:v>
                </c:pt>
              </c:strCache>
            </c:strRef>
          </c:tx>
          <c:spPr>
            <a:ln w="25400" cap="rnd">
              <a:solidFill>
                <a:srgbClr val="008AC8"/>
              </a:solidFill>
              <a:prstDash val="solid"/>
              <a:round/>
            </a:ln>
            <a:effectLst/>
          </c:spPr>
          <c:marker>
            <c:symbol val="none"/>
          </c:marker>
          <c:cat>
            <c:numRef>
              <c:f>'Component calculations'!$AL$25:$AL$40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'Component calculations'!$AO$25:$AO$40</c:f>
              <c:numCache>
                <c:formatCode>0.00</c:formatCode>
                <c:ptCount val="16"/>
                <c:pt idx="0">
                  <c:v>0.9865335073103817</c:v>
                </c:pt>
                <c:pt idx="1">
                  <c:v>0.98592527661545082</c:v>
                </c:pt>
                <c:pt idx="2">
                  <c:v>0.98467923671795199</c:v>
                </c:pt>
                <c:pt idx="3">
                  <c:v>0.98722333836983411</c:v>
                </c:pt>
                <c:pt idx="4">
                  <c:v>0.98360827315250909</c:v>
                </c:pt>
                <c:pt idx="5">
                  <c:v>0.98428940319038538</c:v>
                </c:pt>
                <c:pt idx="6">
                  <c:v>0.98733395608049268</c:v>
                </c:pt>
                <c:pt idx="7">
                  <c:v>0.98391911637626284</c:v>
                </c:pt>
                <c:pt idx="8">
                  <c:v>0.98677640817600254</c:v>
                </c:pt>
                <c:pt idx="9">
                  <c:v>0.98269352513595765</c:v>
                </c:pt>
                <c:pt idx="10">
                  <c:v>0.9840279890477639</c:v>
                </c:pt>
                <c:pt idx="11">
                  <c:v>0.98503806437024199</c:v>
                </c:pt>
                <c:pt idx="12">
                  <c:v>0.98511548212743427</c:v>
                </c:pt>
                <c:pt idx="13">
                  <c:v>0.98612160524627557</c:v>
                </c:pt>
                <c:pt idx="14">
                  <c:v>0.99357008469845554</c:v>
                </c:pt>
                <c:pt idx="15">
                  <c:v>0.99127493717281012</c:v>
                </c:pt>
              </c:numCache>
            </c:numRef>
          </c:val>
          <c:smooth val="0"/>
          <c:extLst>
            <c:ext xmlns:c16="http://schemas.microsoft.com/office/drawing/2014/chart" uri="{C3380CC4-5D6E-409C-BE32-E72D297353CC}">
              <c16:uniqueId val="{00000002-3779-4428-9CEE-013A9C0F3332}"/>
            </c:ext>
          </c:extLst>
        </c:ser>
        <c:ser>
          <c:idx val="3"/>
          <c:order val="3"/>
          <c:tx>
            <c:strRef>
              <c:f>'Component calculations'!$AP$4</c:f>
              <c:strCache>
                <c:ptCount val="1"/>
                <c:pt idx="0">
                  <c:v>Investment</c:v>
                </c:pt>
              </c:strCache>
            </c:strRef>
          </c:tx>
          <c:spPr>
            <a:ln w="25400" cap="rnd">
              <a:solidFill>
                <a:srgbClr val="E7A800"/>
              </a:solidFill>
              <a:prstDash val="solid"/>
              <a:round/>
            </a:ln>
            <a:effectLst/>
          </c:spPr>
          <c:marker>
            <c:symbol val="none"/>
          </c:marker>
          <c:cat>
            <c:numRef>
              <c:f>'Component calculations'!$AL$25:$AL$40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'Component calculations'!$AP$25:$AP$40</c:f>
              <c:numCache>
                <c:formatCode>0.00</c:formatCode>
                <c:ptCount val="16"/>
                <c:pt idx="0">
                  <c:v>0.95826546147540115</c:v>
                </c:pt>
                <c:pt idx="1">
                  <c:v>0.95871510417784267</c:v>
                </c:pt>
                <c:pt idx="2">
                  <c:v>0.97879780732152988</c:v>
                </c:pt>
                <c:pt idx="3">
                  <c:v>0.97896624472573834</c:v>
                </c:pt>
                <c:pt idx="4">
                  <c:v>0.97631385591090147</c:v>
                </c:pt>
                <c:pt idx="5">
                  <c:v>0.98706239121462791</c:v>
                </c:pt>
                <c:pt idx="6">
                  <c:v>0.97122252864900049</c:v>
                </c:pt>
                <c:pt idx="7">
                  <c:v>0.98813031610754498</c:v>
                </c:pt>
                <c:pt idx="8">
                  <c:v>1.0075623979855477</c:v>
                </c:pt>
                <c:pt idx="9">
                  <c:v>0.98608348325025164</c:v>
                </c:pt>
                <c:pt idx="10">
                  <c:v>0.98479065074827643</c:v>
                </c:pt>
                <c:pt idx="11">
                  <c:v>0.98340612840881036</c:v>
                </c:pt>
                <c:pt idx="12">
                  <c:v>0.95282991180829679</c:v>
                </c:pt>
                <c:pt idx="13">
                  <c:v>0.96328650948620054</c:v>
                </c:pt>
                <c:pt idx="14">
                  <c:v>0.9517179559468818</c:v>
                </c:pt>
                <c:pt idx="15">
                  <c:v>0.94945152170757496</c:v>
                </c:pt>
              </c:numCache>
            </c:numRef>
          </c:val>
          <c:smooth val="0"/>
          <c:extLst>
            <c:ext xmlns:c16="http://schemas.microsoft.com/office/drawing/2014/chart" uri="{C3380CC4-5D6E-409C-BE32-E72D297353CC}">
              <c16:uniqueId val="{00000003-3779-4428-9CEE-013A9C0F3332}"/>
            </c:ext>
          </c:extLst>
        </c:ser>
        <c:ser>
          <c:idx val="6"/>
          <c:order val="6"/>
          <c:tx>
            <c:strRef>
              <c:f>'Component calculations'!$AS$4</c:f>
              <c:strCache>
                <c:ptCount val="1"/>
                <c:pt idx="0">
                  <c:v>Exports</c:v>
                </c:pt>
              </c:strCache>
            </c:strRef>
          </c:tx>
          <c:spPr>
            <a:ln w="25400" cap="rnd">
              <a:solidFill>
                <a:srgbClr val="7D8992"/>
              </a:solidFill>
              <a:prstDash val="solid"/>
              <a:round/>
            </a:ln>
            <a:effectLst/>
          </c:spPr>
          <c:marker>
            <c:symbol val="none"/>
          </c:marker>
          <c:cat>
            <c:numRef>
              <c:f>'Component calculations'!$AL$25:$AL$40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'Component calculations'!$AS$25:$AS$40</c:f>
              <c:numCache>
                <c:formatCode>0.00</c:formatCode>
                <c:ptCount val="16"/>
                <c:pt idx="0">
                  <c:v>1.0307114002858393</c:v>
                </c:pt>
                <c:pt idx="1">
                  <c:v>1.0250376968124277</c:v>
                </c:pt>
                <c:pt idx="2">
                  <c:v>1.0162440081276169</c:v>
                </c:pt>
                <c:pt idx="3">
                  <c:v>1.0277300010530379</c:v>
                </c:pt>
                <c:pt idx="4">
                  <c:v>1.0234378637612329</c:v>
                </c:pt>
                <c:pt idx="5">
                  <c:v>1.022169210119672</c:v>
                </c:pt>
                <c:pt idx="6">
                  <c:v>1.0232135768701638</c:v>
                </c:pt>
                <c:pt idx="7">
                  <c:v>1.0160898867218835</c:v>
                </c:pt>
                <c:pt idx="8">
                  <c:v>1.0189076857187354</c:v>
                </c:pt>
                <c:pt idx="9">
                  <c:v>1.0235525357922834</c:v>
                </c:pt>
                <c:pt idx="10">
                  <c:v>1.0183051513959891</c:v>
                </c:pt>
                <c:pt idx="11">
                  <c:v>1.0196770469108241</c:v>
                </c:pt>
                <c:pt idx="12">
                  <c:v>1.0298044629427401</c:v>
                </c:pt>
                <c:pt idx="13">
                  <c:v>1.0252066509607398</c:v>
                </c:pt>
                <c:pt idx="14">
                  <c:v>1.0248406808845136</c:v>
                </c:pt>
                <c:pt idx="15">
                  <c:v>1.025795113356466</c:v>
                </c:pt>
              </c:numCache>
            </c:numRef>
          </c:val>
          <c:smooth val="0"/>
          <c:extLst>
            <c:ext xmlns:c16="http://schemas.microsoft.com/office/drawing/2014/chart" uri="{C3380CC4-5D6E-409C-BE32-E72D297353CC}">
              <c16:uniqueId val="{00000006-3779-4428-9CEE-013A9C0F3332}"/>
            </c:ext>
          </c:extLst>
        </c:ser>
        <c:ser>
          <c:idx val="7"/>
          <c:order val="7"/>
          <c:tx>
            <c:strRef>
              <c:f>'Component calculations'!$AT$4</c:f>
              <c:strCache>
                <c:ptCount val="1"/>
                <c:pt idx="0">
                  <c:v>Imports</c:v>
                </c:pt>
              </c:strCache>
            </c:strRef>
          </c:tx>
          <c:spPr>
            <a:ln w="25400" cap="rnd">
              <a:solidFill>
                <a:srgbClr val="8BA612"/>
              </a:solidFill>
              <a:prstDash val="solid"/>
              <a:round/>
            </a:ln>
            <a:effectLst/>
          </c:spPr>
          <c:marker>
            <c:symbol val="none"/>
          </c:marker>
          <c:cat>
            <c:numRef>
              <c:f>'Component calculations'!$AL$25:$AL$40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'Component calculations'!$AT$25:$AT$40</c:f>
              <c:numCache>
                <c:formatCode>0.00</c:formatCode>
                <c:ptCount val="16"/>
                <c:pt idx="0">
                  <c:v>1.0256768862908372</c:v>
                </c:pt>
                <c:pt idx="1">
                  <c:v>1.0202983182264269</c:v>
                </c:pt>
                <c:pt idx="2">
                  <c:v>1.0126588188604144</c:v>
                </c:pt>
                <c:pt idx="3">
                  <c:v>1.0221401126747283</c:v>
                </c:pt>
                <c:pt idx="4">
                  <c:v>1.0192310904484843</c:v>
                </c:pt>
                <c:pt idx="5">
                  <c:v>1.0194637232053678</c:v>
                </c:pt>
                <c:pt idx="6">
                  <c:v>1.0151014817581869</c:v>
                </c:pt>
                <c:pt idx="7">
                  <c:v>1.007932407966204</c:v>
                </c:pt>
                <c:pt idx="8">
                  <c:v>1.0137206514841712</c:v>
                </c:pt>
                <c:pt idx="9">
                  <c:v>1.0162323175568482</c:v>
                </c:pt>
                <c:pt idx="10">
                  <c:v>1.0145166168218018</c:v>
                </c:pt>
                <c:pt idx="11">
                  <c:v>1.0089346798321301</c:v>
                </c:pt>
                <c:pt idx="12">
                  <c:v>1.0156668007203931</c:v>
                </c:pt>
                <c:pt idx="13">
                  <c:v>1.0109291076490403</c:v>
                </c:pt>
                <c:pt idx="14">
                  <c:v>1.0277230881414638</c:v>
                </c:pt>
                <c:pt idx="15">
                  <c:v>1.0285153075047413</c:v>
                </c:pt>
              </c:numCache>
            </c:numRef>
          </c:val>
          <c:smooth val="0"/>
          <c:extLst>
            <c:ext xmlns:c16="http://schemas.microsoft.com/office/drawing/2014/chart" uri="{C3380CC4-5D6E-409C-BE32-E72D297353CC}">
              <c16:uniqueId val="{00000007-3779-4428-9CEE-013A9C0F3332}"/>
            </c:ext>
          </c:extLst>
        </c:ser>
        <c:dLbls>
          <c:showLegendKey val="0"/>
          <c:showVal val="0"/>
          <c:showCatName val="0"/>
          <c:showSerName val="0"/>
          <c:showPercent val="0"/>
          <c:showBubbleSize val="0"/>
        </c:dLbls>
        <c:smooth val="0"/>
        <c:axId val="1424948991"/>
        <c:axId val="1424949471"/>
        <c:extLst>
          <c:ext xmlns:c15="http://schemas.microsoft.com/office/drawing/2012/chart" uri="{02D57815-91ED-43cb-92C2-25804820EDAC}">
            <c15:filteredLineSeries>
              <c15:ser>
                <c:idx val="4"/>
                <c:order val="4"/>
                <c:tx>
                  <c:strRef>
                    <c:extLst>
                      <c:ext uri="{02D57815-91ED-43cb-92C2-25804820EDAC}">
                        <c15:formulaRef>
                          <c15:sqref>'Component calculations'!$AQ$4</c15:sqref>
                        </c15:formulaRef>
                      </c:ext>
                    </c:extLst>
                    <c:strCache>
                      <c:ptCount val="1"/>
                      <c:pt idx="0">
                        <c:v>Inventories</c:v>
                      </c:pt>
                    </c:strCache>
                  </c:strRef>
                </c:tx>
                <c:spPr>
                  <a:ln w="28575" cap="rnd">
                    <a:solidFill>
                      <a:schemeClr val="accent5"/>
                    </a:solidFill>
                    <a:round/>
                  </a:ln>
                  <a:effectLst/>
                </c:spPr>
                <c:marker>
                  <c:symbol val="none"/>
                </c:marker>
                <c:cat>
                  <c:numRef>
                    <c:extLst>
                      <c:ext uri="{02D57815-91ED-43cb-92C2-25804820EDAC}">
                        <c15:formulaRef>
                          <c15:sqref>'Component calculations'!$AL$25:$AL$40</c15:sqref>
                        </c15:formulaRef>
                      </c:ext>
                    </c:extLst>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extLst>
                      <c:ext uri="{02D57815-91ED-43cb-92C2-25804820EDAC}">
                        <c15:formulaRef>
                          <c15:sqref>'Component calculations'!$AQ$25:$AQ$40</c15:sqref>
                        </c15:formulaRef>
                      </c:ext>
                    </c:extLst>
                    <c:numCache>
                      <c:formatCode>0.00</c:formatCode>
                      <c:ptCount val="16"/>
                      <c:pt idx="0">
                        <c:v>0.69137931034482758</c:v>
                      </c:pt>
                      <c:pt idx="1">
                        <c:v>3.5244608100999476E-2</c:v>
                      </c:pt>
                      <c:pt idx="2">
                        <c:v>3.253968253968254</c:v>
                      </c:pt>
                      <c:pt idx="3">
                        <c:v>0.14603174603174604</c:v>
                      </c:pt>
                      <c:pt idx="4">
                        <c:v>-1.8772708922083166E-2</c:v>
                      </c:pt>
                      <c:pt idx="5">
                        <c:v>0.4910208393354461</c:v>
                      </c:pt>
                      <c:pt idx="6">
                        <c:v>33.958083832335326</c:v>
                      </c:pt>
                      <c:pt idx="7">
                        <c:v>-2.5724217844727693</c:v>
                      </c:pt>
                      <c:pt idx="8">
                        <c:v>2.428063943161634</c:v>
                      </c:pt>
                      <c:pt idx="9">
                        <c:v>4.1667458432304034</c:v>
                      </c:pt>
                      <c:pt idx="10">
                        <c:v>-1.8270594653573378</c:v>
                      </c:pt>
                      <c:pt idx="11">
                        <c:v>0.7689488152899594</c:v>
                      </c:pt>
                      <c:pt idx="12">
                        <c:v>0.90349440349440346</c:v>
                      </c:pt>
                      <c:pt idx="13">
                        <c:v>1.175694939415538</c:v>
                      </c:pt>
                      <c:pt idx="14">
                        <c:v>-7.1303331385154878E-2</c:v>
                      </c:pt>
                      <c:pt idx="15">
                        <c:v>3.5604192355117137E-2</c:v>
                      </c:pt>
                    </c:numCache>
                  </c:numRef>
                </c:val>
                <c:smooth val="0"/>
                <c:extLst>
                  <c:ext xmlns:c16="http://schemas.microsoft.com/office/drawing/2014/chart" uri="{C3380CC4-5D6E-409C-BE32-E72D297353CC}">
                    <c16:uniqueId val="{00000004-3779-4428-9CEE-013A9C0F3332}"/>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'Component calculations'!$AR$4</c15:sqref>
                        </c15:formulaRef>
                      </c:ext>
                    </c:extLst>
                    <c:strCache>
                      <c:ptCount val="1"/>
                      <c:pt idx="0">
                        <c:v>Acquisitions</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'Component calculations'!$AL$25:$AL$40</c15:sqref>
                        </c15:formulaRef>
                      </c:ext>
                    </c:extLst>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extLst xmlns:c15="http://schemas.microsoft.com/office/drawing/2012/chart">
                      <c:ext xmlns:c15="http://schemas.microsoft.com/office/drawing/2012/chart" uri="{02D57815-91ED-43cb-92C2-25804820EDAC}">
                        <c15:formulaRef>
                          <c15:sqref>'Component calculations'!$AR$25:$AR$40</c15:sqref>
                        </c15:formulaRef>
                      </c:ext>
                    </c:extLst>
                    <c:numCache>
                      <c:formatCode>0.00</c:formatCode>
                      <c:ptCount val="16"/>
                      <c:pt idx="0">
                        <c:v>0.76923076923076927</c:v>
                      </c:pt>
                      <c:pt idx="1">
                        <c:v>0.95136986301369864</c:v>
                      </c:pt>
                      <c:pt idx="2">
                        <c:v>0.93062827225130895</c:v>
                      </c:pt>
                      <c:pt idx="3">
                        <c:v>1.4527938342967244</c:v>
                      </c:pt>
                      <c:pt idx="4">
                        <c:v>1.3795423956931359</c:v>
                      </c:pt>
                      <c:pt idx="5">
                        <c:v>1.1742027605901952</c:v>
                      </c:pt>
                      <c:pt idx="6">
                        <c:v>10.095238095238095</c:v>
                      </c:pt>
                      <c:pt idx="7">
                        <c:v>0.70351390922401169</c:v>
                      </c:pt>
                      <c:pt idx="8">
                        <c:v>-0.24542124542124541</c:v>
                      </c:pt>
                      <c:pt idx="9">
                        <c:v>1.0195817015248729</c:v>
                      </c:pt>
                      <c:pt idx="10">
                        <c:v>1.3483365949119375</c:v>
                      </c:pt>
                      <c:pt idx="11">
                        <c:v>1.0056754952147786</c:v>
                      </c:pt>
                      <c:pt idx="12">
                        <c:v>1.0025609620309541</c:v>
                      </c:pt>
                      <c:pt idx="13">
                        <c:v>0.98108326596604689</c:v>
                      </c:pt>
                      <c:pt idx="14">
                        <c:v>0.87669114804793202</c:v>
                      </c:pt>
                      <c:pt idx="15">
                        <c:v>1.0849950149551346</c:v>
                      </c:pt>
                    </c:numCache>
                  </c:numRef>
                </c:val>
                <c:smooth val="0"/>
                <c:extLst xmlns:c15="http://schemas.microsoft.com/office/drawing/2012/chart">
                  <c:ext xmlns:c16="http://schemas.microsoft.com/office/drawing/2014/chart" uri="{C3380CC4-5D6E-409C-BE32-E72D297353CC}">
                    <c16:uniqueId val="{00000005-3779-4428-9CEE-013A9C0F3332}"/>
                  </c:ext>
                </c:extLst>
              </c15:ser>
            </c15:filteredLineSeries>
          </c:ext>
        </c:extLst>
      </c:lineChart>
      <c:catAx>
        <c:axId val="1424948991"/>
        <c:scaling>
          <c:orientation val="minMax"/>
        </c:scaling>
        <c:delete val="0"/>
        <c:axPos val="b"/>
        <c:numFmt formatCode="General" sourceLinked="1"/>
        <c:majorTickMark val="none"/>
        <c:minorTickMark val="none"/>
        <c:tickLblPos val="low"/>
        <c:spPr>
          <a:noFill/>
          <a:ln w="7620" cap="flat" cmpd="sng" algn="ctr">
            <a:solidFill>
              <a:srgbClr val="3E515A"/>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06"/>
          <c:min val="0.94000000000000006"/>
        </c:scaling>
        <c:delete val="0"/>
        <c:axPos val="l"/>
        <c:majorGridlines>
          <c:spPr>
            <a:ln w="3175" cap="flat" cmpd="sng" algn="ctr">
              <a:solidFill>
                <a:srgbClr val="B1B6BB"/>
              </a:solidFill>
              <a:prstDash val="solid"/>
              <a:round/>
            </a:ln>
            <a:effectLst/>
          </c:spPr>
        </c:majorGridlines>
        <c:numFmt formatCode="0.0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crossAx val="1424948991"/>
        <c:crosses val="autoZero"/>
        <c:crossBetween val="between"/>
      </c:valAx>
      <c:spPr>
        <a:noFill/>
        <a:ln>
          <a:noFill/>
        </a:ln>
        <a:effectLst/>
      </c:spPr>
    </c:plotArea>
    <c:legend>
      <c:legendPos val="b"/>
      <c:layout>
        <c:manualLayout>
          <c:xMode val="edge"/>
          <c:yMode val="edge"/>
          <c:x val="0.15773758894175846"/>
          <c:y val="6.8401829008643555E-2"/>
          <c:w val="0.84226240796751184"/>
          <c:h val="0.12624679782839174"/>
        </c:manualLayout>
      </c:layout>
      <c:overlay val="0"/>
      <c:spPr>
        <a:solidFill>
          <a:srgbClr val="FFFFFF"/>
        </a:solid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Consumer spending</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calculations'!$BE$4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calculations'!$BE$25:$BE$40</c15:sqref>
                  </c15:fullRef>
                </c:ext>
              </c:extLst>
              <c:f>('Component calculations'!$BE$25:$BE$33,'Component calculations'!$BE$37:$BE$40)</c:f>
              <c:numCache>
                <c:formatCode>0.000</c:formatCode>
                <c:ptCount val="13"/>
                <c:pt idx="0">
                  <c:v>0.96125964461021818</c:v>
                </c:pt>
                <c:pt idx="1">
                  <c:v>0.96583357713911044</c:v>
                </c:pt>
                <c:pt idx="2">
                  <c:v>0.95900870072453093</c:v>
                </c:pt>
                <c:pt idx="3">
                  <c:v>0.96782308465047173</c:v>
                </c:pt>
                <c:pt idx="4">
                  <c:v>0.96057502260247429</c:v>
                </c:pt>
                <c:pt idx="5">
                  <c:v>0.96944099275252127</c:v>
                </c:pt>
                <c:pt idx="6">
                  <c:v>0.97127216804966676</c:v>
                </c:pt>
                <c:pt idx="7">
                  <c:v>0.96786851553299258</c:v>
                </c:pt>
                <c:pt idx="8">
                  <c:v>0.96677422752808995</c:v>
                </c:pt>
                <c:pt idx="9">
                  <c:v>0.97123945960014002</c:v>
                </c:pt>
                <c:pt idx="10">
                  <c:v>0.97156043686013394</c:v>
                </c:pt>
                <c:pt idx="11">
                  <c:v>0.96775466692426315</c:v>
                </c:pt>
                <c:pt idx="12">
                  <c:v>0.97158155651563893</c:v>
                </c:pt>
              </c:numCache>
            </c:numRef>
          </c:val>
          <c:smooth val="0"/>
          <c:extLst>
            <c:ext xmlns:c16="http://schemas.microsoft.com/office/drawing/2014/chart" uri="{C3380CC4-5D6E-409C-BE32-E72D297353CC}">
              <c16:uniqueId val="{00000000-F928-490F-A7DD-8B6A6D8ADF00}"/>
            </c:ext>
          </c:extLst>
        </c:ser>
        <c:ser>
          <c:idx val="1"/>
          <c:order val="1"/>
          <c:tx>
            <c:strRef>
              <c:f>'Component calculations'!$BF$4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calculations'!$BF$25:$BF$40</c15:sqref>
                  </c15:fullRef>
                </c:ext>
              </c:extLst>
              <c:f>('Component calculations'!$BF$25:$BF$33,'Component calculations'!$BF$37:$BF$40)</c:f>
              <c:numCache>
                <c:formatCode>0.000</c:formatCode>
                <c:ptCount val="13"/>
                <c:pt idx="0">
                  <c:v>0.99952823093724086</c:v>
                </c:pt>
                <c:pt idx="1">
                  <c:v>0.98142647349143985</c:v>
                </c:pt>
                <c:pt idx="2">
                  <c:v>0.98012022871093862</c:v>
                </c:pt>
                <c:pt idx="3">
                  <c:v>0.98108521222787426</c:v>
                </c:pt>
                <c:pt idx="4">
                  <c:v>0.98283385372591359</c:v>
                </c:pt>
                <c:pt idx="5">
                  <c:v>0.98328321928478513</c:v>
                </c:pt>
                <c:pt idx="6">
                  <c:v>0.99134779701179421</c:v>
                </c:pt>
                <c:pt idx="7">
                  <c:v>0.98863445096467384</c:v>
                </c:pt>
                <c:pt idx="8">
                  <c:v>0.98633504456680743</c:v>
                </c:pt>
                <c:pt idx="9">
                  <c:v>1.0108040965938843</c:v>
                </c:pt>
                <c:pt idx="10">
                  <c:v>1.0029263625778753</c:v>
                </c:pt>
                <c:pt idx="11">
                  <c:v>0.99290510214824379</c:v>
                </c:pt>
              </c:numCache>
            </c:numRef>
          </c:val>
          <c:smooth val="0"/>
          <c:extLst>
            <c:ext xmlns:c16="http://schemas.microsoft.com/office/drawing/2014/chart" uri="{C3380CC4-5D6E-409C-BE32-E72D297353CC}">
              <c16:uniqueId val="{00000001-F928-490F-A7DD-8B6A6D8ADF00}"/>
            </c:ext>
          </c:extLst>
        </c:ser>
        <c:ser>
          <c:idx val="2"/>
          <c:order val="2"/>
          <c:tx>
            <c:strRef>
              <c:f>'Component calculations'!$BG$4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calculations'!$BG$25:$BG$40</c15:sqref>
                  </c15:fullRef>
                </c:ext>
              </c:extLst>
              <c:f>('Component calculations'!$BG$25:$BG$33,'Component calculations'!$BG$37:$BG$40)</c:f>
              <c:numCache>
                <c:formatCode>0.000</c:formatCode>
                <c:ptCount val="13"/>
                <c:pt idx="0">
                  <c:v>1.0246002892821102</c:v>
                </c:pt>
                <c:pt idx="1">
                  <c:v>1.0068030936454848</c:v>
                </c:pt>
                <c:pt idx="2">
                  <c:v>1.0162877741997554</c:v>
                </c:pt>
                <c:pt idx="3">
                  <c:v>1.0149279830215752</c:v>
                </c:pt>
                <c:pt idx="4">
                  <c:v>1.0220614029137409</c:v>
                </c:pt>
                <c:pt idx="5">
                  <c:v>1.0167845868591208</c:v>
                </c:pt>
                <c:pt idx="6">
                  <c:v>1.0199262449352551</c:v>
                </c:pt>
                <c:pt idx="7">
                  <c:v>1.0136437644086622</c:v>
                </c:pt>
                <c:pt idx="8">
                  <c:v>1.0126457535463602</c:v>
                </c:pt>
                <c:pt idx="9">
                  <c:v>1.0123109936713306</c:v>
                </c:pt>
                <c:pt idx="10">
                  <c:v>0.99903808937778804</c:v>
                </c:pt>
                <c:pt idx="11">
                  <c:v>1.0094361856574545</c:v>
                </c:pt>
              </c:numCache>
            </c:numRef>
          </c:val>
          <c:smooth val="0"/>
          <c:extLst>
            <c:ext xmlns:c16="http://schemas.microsoft.com/office/drawing/2014/chart" uri="{C3380CC4-5D6E-409C-BE32-E72D297353CC}">
              <c16:uniqueId val="{00000002-F928-490F-A7DD-8B6A6D8ADF00}"/>
            </c:ext>
          </c:extLst>
        </c:ser>
        <c:ser>
          <c:idx val="3"/>
          <c:order val="3"/>
          <c:tx>
            <c:strRef>
              <c:f>'Component calculations'!$BH$4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calculations'!$BH$25:$BH$40</c15:sqref>
                  </c15:fullRef>
                </c:ext>
              </c:extLst>
              <c:f>('Component calculations'!$BH$25:$BH$33,'Component calculations'!$BH$37:$BH$40)</c:f>
              <c:numCache>
                <c:formatCode>0.000</c:formatCode>
                <c:ptCount val="13"/>
                <c:pt idx="0">
                  <c:v>1.0423384688630657</c:v>
                </c:pt>
                <c:pt idx="1">
                  <c:v>1.0278501917529499</c:v>
                </c:pt>
                <c:pt idx="2">
                  <c:v>1.045777961211857</c:v>
                </c:pt>
                <c:pt idx="3">
                  <c:v>1.030119468950913</c:v>
                </c:pt>
                <c:pt idx="4">
                  <c:v>1.0335645910719828</c:v>
                </c:pt>
                <c:pt idx="5">
                  <c:v>1.0204222319572733</c:v>
                </c:pt>
                <c:pt idx="6">
                  <c:v>1.031328220994379</c:v>
                </c:pt>
                <c:pt idx="7">
                  <c:v>1.0318152071077471</c:v>
                </c:pt>
                <c:pt idx="8">
                  <c:v>1.0371141531674881</c:v>
                </c:pt>
                <c:pt idx="9">
                  <c:v>1.0379200182140098</c:v>
                </c:pt>
                <c:pt idx="10">
                  <c:v>1.0206416259070414</c:v>
                </c:pt>
                <c:pt idx="11">
                  <c:v>1.0267851455727226</c:v>
                </c:pt>
              </c:numCache>
            </c:numRef>
          </c:val>
          <c:smooth val="0"/>
          <c:extLst>
            <c:ext xmlns:c16="http://schemas.microsoft.com/office/drawing/2014/chart" uri="{C3380CC4-5D6E-409C-BE32-E72D297353CC}">
              <c16:uniqueId val="{00000003-F928-490F-A7DD-8B6A6D8ADF00}"/>
            </c:ext>
          </c:extLst>
        </c:ser>
        <c:ser>
          <c:idx val="4"/>
          <c:order val="4"/>
          <c:tx>
            <c:strRef>
              <c:f>'Component calculations'!$BI$4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calculations'!$BI$25:$BI$40</c15:sqref>
                  </c15:fullRef>
                </c:ext>
              </c:extLst>
              <c:f>('Component calculations'!$BI$25:$BI$33,'Component calculations'!$BI$37:$BI$40)</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8-F928-490F-A7DD-8B6A6D8ADF00}"/>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1000000000000001"/>
          <c:min val="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27105266509272863"/>
          <c:h val="5.19704813369533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NPISH</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calculations'!$BE$4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calculations'!$BE$25:$BE$40</c15:sqref>
                  </c15:fullRef>
                </c:ext>
              </c:extLst>
              <c:f>('Component calculations'!$BE$25:$BE$33,'Component calculations'!$BE$37:$BE$40)</c:f>
              <c:numCache>
                <c:formatCode>0.000</c:formatCode>
                <c:ptCount val="13"/>
                <c:pt idx="0">
                  <c:v>0.96125964461021818</c:v>
                </c:pt>
                <c:pt idx="1">
                  <c:v>0.96583357713911044</c:v>
                </c:pt>
                <c:pt idx="2">
                  <c:v>0.95900870072453093</c:v>
                </c:pt>
                <c:pt idx="3">
                  <c:v>0.96782308465047173</c:v>
                </c:pt>
                <c:pt idx="4">
                  <c:v>0.96057502260247429</c:v>
                </c:pt>
                <c:pt idx="5">
                  <c:v>0.96944099275252127</c:v>
                </c:pt>
                <c:pt idx="6">
                  <c:v>0.97127216804966676</c:v>
                </c:pt>
                <c:pt idx="7">
                  <c:v>0.96786851553299258</c:v>
                </c:pt>
                <c:pt idx="8">
                  <c:v>0.96677422752808995</c:v>
                </c:pt>
                <c:pt idx="9">
                  <c:v>0.97123945960014002</c:v>
                </c:pt>
                <c:pt idx="10">
                  <c:v>0.97156043686013394</c:v>
                </c:pt>
                <c:pt idx="11">
                  <c:v>0.96775466692426315</c:v>
                </c:pt>
                <c:pt idx="12">
                  <c:v>0.97158155651563893</c:v>
                </c:pt>
              </c:numCache>
            </c:numRef>
          </c:val>
          <c:smooth val="0"/>
          <c:extLst>
            <c:ext xmlns:c16="http://schemas.microsoft.com/office/drawing/2014/chart" uri="{C3380CC4-5D6E-409C-BE32-E72D297353CC}">
              <c16:uniqueId val="{00000000-7836-4D46-B711-7616FD28C1F0}"/>
            </c:ext>
          </c:extLst>
        </c:ser>
        <c:ser>
          <c:idx val="1"/>
          <c:order val="1"/>
          <c:tx>
            <c:strRef>
              <c:f>'Component calculations'!$BF$4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calculations'!$BF$25:$BF$40</c15:sqref>
                  </c15:fullRef>
                </c:ext>
              </c:extLst>
              <c:f>('Component calculations'!$BF$25:$BF$33,'Component calculations'!$BF$37:$BF$40)</c:f>
              <c:numCache>
                <c:formatCode>0.000</c:formatCode>
                <c:ptCount val="13"/>
                <c:pt idx="0">
                  <c:v>0.99952823093724086</c:v>
                </c:pt>
                <c:pt idx="1">
                  <c:v>0.98142647349143985</c:v>
                </c:pt>
                <c:pt idx="2">
                  <c:v>0.98012022871093862</c:v>
                </c:pt>
                <c:pt idx="3">
                  <c:v>0.98108521222787426</c:v>
                </c:pt>
                <c:pt idx="4">
                  <c:v>0.98283385372591359</c:v>
                </c:pt>
                <c:pt idx="5">
                  <c:v>0.98328321928478513</c:v>
                </c:pt>
                <c:pt idx="6">
                  <c:v>0.99134779701179421</c:v>
                </c:pt>
                <c:pt idx="7">
                  <c:v>0.98863445096467384</c:v>
                </c:pt>
                <c:pt idx="8">
                  <c:v>0.98633504456680743</c:v>
                </c:pt>
                <c:pt idx="9">
                  <c:v>1.0108040965938843</c:v>
                </c:pt>
                <c:pt idx="10">
                  <c:v>1.0029263625778753</c:v>
                </c:pt>
                <c:pt idx="11">
                  <c:v>0.99290510214824379</c:v>
                </c:pt>
              </c:numCache>
            </c:numRef>
          </c:val>
          <c:smooth val="0"/>
          <c:extLst>
            <c:ext xmlns:c16="http://schemas.microsoft.com/office/drawing/2014/chart" uri="{C3380CC4-5D6E-409C-BE32-E72D297353CC}">
              <c16:uniqueId val="{00000001-7836-4D46-B711-7616FD28C1F0}"/>
            </c:ext>
          </c:extLst>
        </c:ser>
        <c:ser>
          <c:idx val="2"/>
          <c:order val="2"/>
          <c:tx>
            <c:strRef>
              <c:f>'Component calculations'!$BG$4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calculations'!$BG$25:$BG$40</c15:sqref>
                  </c15:fullRef>
                </c:ext>
              </c:extLst>
              <c:f>('Component calculations'!$BG$25:$BG$33,'Component calculations'!$BG$37:$BG$40)</c:f>
              <c:numCache>
                <c:formatCode>0.000</c:formatCode>
                <c:ptCount val="13"/>
                <c:pt idx="0">
                  <c:v>1.0246002892821102</c:v>
                </c:pt>
                <c:pt idx="1">
                  <c:v>1.0068030936454848</c:v>
                </c:pt>
                <c:pt idx="2">
                  <c:v>1.0162877741997554</c:v>
                </c:pt>
                <c:pt idx="3">
                  <c:v>1.0149279830215752</c:v>
                </c:pt>
                <c:pt idx="4">
                  <c:v>1.0220614029137409</c:v>
                </c:pt>
                <c:pt idx="5">
                  <c:v>1.0167845868591208</c:v>
                </c:pt>
                <c:pt idx="6">
                  <c:v>1.0199262449352551</c:v>
                </c:pt>
                <c:pt idx="7">
                  <c:v>1.0136437644086622</c:v>
                </c:pt>
                <c:pt idx="8">
                  <c:v>1.0126457535463602</c:v>
                </c:pt>
                <c:pt idx="9">
                  <c:v>1.0123109936713306</c:v>
                </c:pt>
                <c:pt idx="10">
                  <c:v>0.99903808937778804</c:v>
                </c:pt>
                <c:pt idx="11">
                  <c:v>1.0094361856574545</c:v>
                </c:pt>
              </c:numCache>
            </c:numRef>
          </c:val>
          <c:smooth val="0"/>
          <c:extLst>
            <c:ext xmlns:c16="http://schemas.microsoft.com/office/drawing/2014/chart" uri="{C3380CC4-5D6E-409C-BE32-E72D297353CC}">
              <c16:uniqueId val="{00000002-7836-4D46-B711-7616FD28C1F0}"/>
            </c:ext>
          </c:extLst>
        </c:ser>
        <c:ser>
          <c:idx val="3"/>
          <c:order val="3"/>
          <c:tx>
            <c:strRef>
              <c:f>'Component calculations'!$BH$4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calculations'!$BH$25:$BH$40</c15:sqref>
                  </c15:fullRef>
                </c:ext>
              </c:extLst>
              <c:f>('Component calculations'!$BH$25:$BH$33,'Component calculations'!$BH$37:$BH$40)</c:f>
              <c:numCache>
                <c:formatCode>0.000</c:formatCode>
                <c:ptCount val="13"/>
                <c:pt idx="0">
                  <c:v>1.0423384688630657</c:v>
                </c:pt>
                <c:pt idx="1">
                  <c:v>1.0278501917529499</c:v>
                </c:pt>
                <c:pt idx="2">
                  <c:v>1.045777961211857</c:v>
                </c:pt>
                <c:pt idx="3">
                  <c:v>1.030119468950913</c:v>
                </c:pt>
                <c:pt idx="4">
                  <c:v>1.0335645910719828</c:v>
                </c:pt>
                <c:pt idx="5">
                  <c:v>1.0204222319572733</c:v>
                </c:pt>
                <c:pt idx="6">
                  <c:v>1.031328220994379</c:v>
                </c:pt>
                <c:pt idx="7">
                  <c:v>1.0318152071077471</c:v>
                </c:pt>
                <c:pt idx="8">
                  <c:v>1.0371141531674881</c:v>
                </c:pt>
                <c:pt idx="9">
                  <c:v>1.0379200182140098</c:v>
                </c:pt>
                <c:pt idx="10">
                  <c:v>1.0206416259070414</c:v>
                </c:pt>
                <c:pt idx="11">
                  <c:v>1.0267851455727226</c:v>
                </c:pt>
              </c:numCache>
            </c:numRef>
          </c:val>
          <c:smooth val="0"/>
          <c:extLst>
            <c:ext xmlns:c16="http://schemas.microsoft.com/office/drawing/2014/chart" uri="{C3380CC4-5D6E-409C-BE32-E72D297353CC}">
              <c16:uniqueId val="{00000003-7836-4D46-B711-7616FD28C1F0}"/>
            </c:ext>
          </c:extLst>
        </c:ser>
        <c:ser>
          <c:idx val="4"/>
          <c:order val="4"/>
          <c:tx>
            <c:strRef>
              <c:f>'Component calculations'!$BI$4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calculations'!$BI$25:$BI$40</c15:sqref>
                  </c15:fullRef>
                </c:ext>
              </c:extLst>
              <c:f>('Component calculations'!$BI$25:$BI$33,'Component calculations'!$BI$37:$BI$40)</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4-7836-4D46-B711-7616FD28C1F0}"/>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1000000000000001"/>
          <c:min val="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50781062094062923"/>
          <c:h val="5.20105256797025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Government consumption</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calculations'!$BU$4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calculations'!$BU$25:$BU$40</c15:sqref>
                  </c15:fullRef>
                </c:ext>
              </c:extLst>
              <c:f>('Component calculations'!$BU$25:$BU$33,'Component calculations'!$BU$37:$BU$40)</c:f>
              <c:numCache>
                <c:formatCode>0.000</c:formatCode>
                <c:ptCount val="13"/>
                <c:pt idx="0">
                  <c:v>1.01028889299334</c:v>
                </c:pt>
                <c:pt idx="1">
                  <c:v>1.024573337529352</c:v>
                </c:pt>
                <c:pt idx="2">
                  <c:v>1.0401455062303888</c:v>
                </c:pt>
                <c:pt idx="3">
                  <c:v>1.0099778642339683</c:v>
                </c:pt>
                <c:pt idx="4">
                  <c:v>1.0240192493189599</c:v>
                </c:pt>
                <c:pt idx="5">
                  <c:v>1.0102900916506641</c:v>
                </c:pt>
                <c:pt idx="6">
                  <c:v>1.0159144854906124</c:v>
                </c:pt>
                <c:pt idx="7">
                  <c:v>1.0151059811027139</c:v>
                </c:pt>
                <c:pt idx="8">
                  <c:v>1.013689313478161</c:v>
                </c:pt>
                <c:pt idx="9">
                  <c:v>1.0267159624581015</c:v>
                </c:pt>
                <c:pt idx="10">
                  <c:v>1.0023312164581433</c:v>
                </c:pt>
                <c:pt idx="11">
                  <c:v>1.0046070324005527</c:v>
                </c:pt>
                <c:pt idx="12">
                  <c:v>1.0059078731946955</c:v>
                </c:pt>
              </c:numCache>
            </c:numRef>
          </c:val>
          <c:smooth val="0"/>
          <c:extLst>
            <c:ext xmlns:c16="http://schemas.microsoft.com/office/drawing/2014/chart" uri="{C3380CC4-5D6E-409C-BE32-E72D297353CC}">
              <c16:uniqueId val="{00000000-5AE6-4A84-99C4-13E810223BC4}"/>
            </c:ext>
          </c:extLst>
        </c:ser>
        <c:ser>
          <c:idx val="1"/>
          <c:order val="1"/>
          <c:tx>
            <c:strRef>
              <c:f>'Component calculations'!$BV$4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calculations'!$BV$25:$BV$40</c15:sqref>
                  </c15:fullRef>
                </c:ext>
              </c:extLst>
              <c:f>('Component calculations'!$BV$25:$BV$33,'Component calculations'!$BV$37:$BV$40)</c:f>
              <c:numCache>
                <c:formatCode>0.000</c:formatCode>
                <c:ptCount val="13"/>
                <c:pt idx="0">
                  <c:v>0.98713722852200647</c:v>
                </c:pt>
                <c:pt idx="1">
                  <c:v>0.98187217146991035</c:v>
                </c:pt>
                <c:pt idx="2">
                  <c:v>0.98370138715680822</c:v>
                </c:pt>
                <c:pt idx="3">
                  <c:v>0.98811448391369172</c:v>
                </c:pt>
                <c:pt idx="4">
                  <c:v>0.99840616563473106</c:v>
                </c:pt>
                <c:pt idx="5">
                  <c:v>0.99426741807420826</c:v>
                </c:pt>
                <c:pt idx="6">
                  <c:v>0.99523965218822807</c:v>
                </c:pt>
                <c:pt idx="7">
                  <c:v>0.99283358212002559</c:v>
                </c:pt>
                <c:pt idx="8">
                  <c:v>0.98801065520058173</c:v>
                </c:pt>
                <c:pt idx="9">
                  <c:v>0.97426995994823318</c:v>
                </c:pt>
                <c:pt idx="10">
                  <c:v>0.9940355842083064</c:v>
                </c:pt>
                <c:pt idx="11">
                  <c:v>0.99568829323531083</c:v>
                </c:pt>
              </c:numCache>
            </c:numRef>
          </c:val>
          <c:smooth val="0"/>
          <c:extLst>
            <c:ext xmlns:c16="http://schemas.microsoft.com/office/drawing/2014/chart" uri="{C3380CC4-5D6E-409C-BE32-E72D297353CC}">
              <c16:uniqueId val="{00000001-5AE6-4A84-99C4-13E810223BC4}"/>
            </c:ext>
          </c:extLst>
        </c:ser>
        <c:ser>
          <c:idx val="2"/>
          <c:order val="2"/>
          <c:tx>
            <c:strRef>
              <c:f>'Component calculations'!$BW$4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calculations'!$BW$25:$BW$40</c15:sqref>
                  </c15:fullRef>
                </c:ext>
              </c:extLst>
              <c:f>('Component calculations'!$BW$25:$BW$33,'Component calculations'!$BW$37:$BW$40)</c:f>
              <c:numCache>
                <c:formatCode>0.000</c:formatCode>
                <c:ptCount val="13"/>
                <c:pt idx="0">
                  <c:v>0.9916479956874249</c:v>
                </c:pt>
                <c:pt idx="1">
                  <c:v>0.9786449609010025</c:v>
                </c:pt>
                <c:pt idx="2">
                  <c:v>0.98642453338816438</c:v>
                </c:pt>
                <c:pt idx="3">
                  <c:v>0.97749533320171333</c:v>
                </c:pt>
                <c:pt idx="4">
                  <c:v>0.99090521925915231</c:v>
                </c:pt>
                <c:pt idx="5">
                  <c:v>0.99541029287305771</c:v>
                </c:pt>
                <c:pt idx="6">
                  <c:v>0.98973833437372682</c:v>
                </c:pt>
                <c:pt idx="7">
                  <c:v>0.99284666509715858</c:v>
                </c:pt>
                <c:pt idx="8">
                  <c:v>0.98015797280510542</c:v>
                </c:pt>
                <c:pt idx="9">
                  <c:v>0.98484079256912815</c:v>
                </c:pt>
                <c:pt idx="10">
                  <c:v>1.0021095987244006</c:v>
                </c:pt>
                <c:pt idx="11">
                  <c:v>0.99622707850079362</c:v>
                </c:pt>
              </c:numCache>
            </c:numRef>
          </c:val>
          <c:smooth val="0"/>
          <c:extLst>
            <c:ext xmlns:c16="http://schemas.microsoft.com/office/drawing/2014/chart" uri="{C3380CC4-5D6E-409C-BE32-E72D297353CC}">
              <c16:uniqueId val="{00000002-5AE6-4A84-99C4-13E810223BC4}"/>
            </c:ext>
          </c:extLst>
        </c:ser>
        <c:ser>
          <c:idx val="3"/>
          <c:order val="3"/>
          <c:tx>
            <c:strRef>
              <c:f>'Component calculations'!$BX$4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calculations'!$BX$25:$BX$40</c15:sqref>
                  </c15:fullRef>
                </c:ext>
              </c:extLst>
              <c:f>('Component calculations'!$BX$25:$BX$33,'Component calculations'!$BX$37:$BX$40)</c:f>
              <c:numCache>
                <c:formatCode>0.000</c:formatCode>
                <c:ptCount val="13"/>
                <c:pt idx="0">
                  <c:v>1.0061169322533439</c:v>
                </c:pt>
                <c:pt idx="1">
                  <c:v>0.99619044408296742</c:v>
                </c:pt>
                <c:pt idx="2">
                  <c:v>1.0091878469353719</c:v>
                </c:pt>
                <c:pt idx="3">
                  <c:v>1.0065152579595837</c:v>
                </c:pt>
                <c:pt idx="4">
                  <c:v>0.99652077778500359</c:v>
                </c:pt>
                <c:pt idx="5">
                  <c:v>1.001268145518261</c:v>
                </c:pt>
                <c:pt idx="6">
                  <c:v>0.99703706912669354</c:v>
                </c:pt>
                <c:pt idx="7">
                  <c:v>1.0052193271208183</c:v>
                </c:pt>
                <c:pt idx="8">
                  <c:v>1.0006133439601761</c:v>
                </c:pt>
                <c:pt idx="9">
                  <c:v>0.99005120433327132</c:v>
                </c:pt>
                <c:pt idx="10">
                  <c:v>1.0055664989273723</c:v>
                </c:pt>
                <c:pt idx="11">
                  <c:v>1.0091218138578035</c:v>
                </c:pt>
              </c:numCache>
            </c:numRef>
          </c:val>
          <c:smooth val="0"/>
          <c:extLst>
            <c:ext xmlns:c16="http://schemas.microsoft.com/office/drawing/2014/chart" uri="{C3380CC4-5D6E-409C-BE32-E72D297353CC}">
              <c16:uniqueId val="{00000003-5AE6-4A84-99C4-13E810223BC4}"/>
            </c:ext>
          </c:extLst>
        </c:ser>
        <c:ser>
          <c:idx val="4"/>
          <c:order val="4"/>
          <c:tx>
            <c:strRef>
              <c:f>'Component calculations'!$BY$4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calculations'!$BY$25:$BY$40</c15:sqref>
                  </c15:fullRef>
                </c:ext>
              </c:extLst>
              <c:f>('Component calculations'!$BY$25:$BY$33,'Component calculations'!$BY$37:$BY$40)</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4-5AE6-4A84-99C4-13E810223BC4}"/>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05"/>
          <c:min val="0.95000000000000007"/>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27094196993834163"/>
          <c:h val="5.205063178004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Investments</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calculations'!$CC$4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calculations'!$CC$25:$CC$40</c15:sqref>
                  </c15:fullRef>
                </c:ext>
              </c:extLst>
              <c:f>('Component calculations'!$CC$25:$CC$33,'Component calculations'!$CC$37:$CC$40)</c:f>
              <c:numCache>
                <c:formatCode>0.000</c:formatCode>
                <c:ptCount val="13"/>
                <c:pt idx="0">
                  <c:v>1.0625741390177286</c:v>
                </c:pt>
                <c:pt idx="1">
                  <c:v>1.0390990807336293</c:v>
                </c:pt>
                <c:pt idx="2">
                  <c:v>1.0491076206364693</c:v>
                </c:pt>
                <c:pt idx="3">
                  <c:v>1.0113202026297983</c:v>
                </c:pt>
                <c:pt idx="4">
                  <c:v>1.0341797572423093</c:v>
                </c:pt>
                <c:pt idx="5">
                  <c:v>1.0438236671349252</c:v>
                </c:pt>
                <c:pt idx="6">
                  <c:v>1.0290079142252091</c:v>
                </c:pt>
                <c:pt idx="7">
                  <c:v>1.0055866792653738</c:v>
                </c:pt>
                <c:pt idx="8">
                  <c:v>1.0064982315611206</c:v>
                </c:pt>
                <c:pt idx="9">
                  <c:v>1.0784849676926347</c:v>
                </c:pt>
                <c:pt idx="10">
                  <c:v>1.0659734473017923</c:v>
                </c:pt>
                <c:pt idx="11">
                  <c:v>1.0616314153024395</c:v>
                </c:pt>
                <c:pt idx="12">
                  <c:v>1.0741263206349443</c:v>
                </c:pt>
              </c:numCache>
            </c:numRef>
          </c:val>
          <c:smooth val="0"/>
          <c:extLst>
            <c:ext xmlns:c16="http://schemas.microsoft.com/office/drawing/2014/chart" uri="{C3380CC4-5D6E-409C-BE32-E72D297353CC}">
              <c16:uniqueId val="{00000000-673C-48D0-AC8E-CC673E3FDB1E}"/>
            </c:ext>
          </c:extLst>
        </c:ser>
        <c:ser>
          <c:idx val="1"/>
          <c:order val="1"/>
          <c:tx>
            <c:strRef>
              <c:f>'Component calculations'!$CD$4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calculations'!$CD$25:$CD$40</c15:sqref>
                  </c15:fullRef>
                </c:ext>
              </c:extLst>
              <c:f>('Component calculations'!$CD$25:$CD$33,'Component calculations'!$CD$37:$CD$40)</c:f>
              <c:numCache>
                <c:formatCode>0.000</c:formatCode>
                <c:ptCount val="13"/>
                <c:pt idx="0">
                  <c:v>0.91141761017465472</c:v>
                </c:pt>
                <c:pt idx="1">
                  <c:v>0.90077138467058215</c:v>
                </c:pt>
                <c:pt idx="2">
                  <c:v>0.92270506787218531</c:v>
                </c:pt>
                <c:pt idx="3">
                  <c:v>0.93662724903705397</c:v>
                </c:pt>
                <c:pt idx="4">
                  <c:v>0.93445897707817815</c:v>
                </c:pt>
                <c:pt idx="5">
                  <c:v>0.9578635517183004</c:v>
                </c:pt>
                <c:pt idx="6">
                  <c:v>0.96071882401222264</c:v>
                </c:pt>
                <c:pt idx="7">
                  <c:v>0.96118186111640469</c:v>
                </c:pt>
                <c:pt idx="8">
                  <c:v>0.93819470503369085</c:v>
                </c:pt>
                <c:pt idx="9">
                  <c:v>0.93688485432887136</c:v>
                </c:pt>
                <c:pt idx="10">
                  <c:v>0.94155760010366718</c:v>
                </c:pt>
                <c:pt idx="11">
                  <c:v>0.94898244553809374</c:v>
                </c:pt>
              </c:numCache>
            </c:numRef>
          </c:val>
          <c:smooth val="0"/>
          <c:extLst>
            <c:ext xmlns:c16="http://schemas.microsoft.com/office/drawing/2014/chart" uri="{C3380CC4-5D6E-409C-BE32-E72D297353CC}">
              <c16:uniqueId val="{00000001-673C-48D0-AC8E-CC673E3FDB1E}"/>
            </c:ext>
          </c:extLst>
        </c:ser>
        <c:ser>
          <c:idx val="2"/>
          <c:order val="2"/>
          <c:tx>
            <c:strRef>
              <c:f>'Component calculations'!$CE$4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calculations'!$CE$25:$CE$40</c15:sqref>
                  </c15:fullRef>
                </c:ext>
              </c:extLst>
              <c:f>('Component calculations'!$CE$25:$CE$33,'Component calculations'!$CE$37:$CE$40)</c:f>
              <c:numCache>
                <c:formatCode>0.000</c:formatCode>
                <c:ptCount val="13"/>
                <c:pt idx="0">
                  <c:v>1.0109477550223867</c:v>
                </c:pt>
                <c:pt idx="1">
                  <c:v>0.98534453622994755</c:v>
                </c:pt>
                <c:pt idx="2">
                  <c:v>0.96979750353586069</c:v>
                </c:pt>
                <c:pt idx="3">
                  <c:v>1.0016482886885087</c:v>
                </c:pt>
                <c:pt idx="4">
                  <c:v>0.97831394710852626</c:v>
                </c:pt>
                <c:pt idx="5">
                  <c:v>0.96868541277910047</c:v>
                </c:pt>
                <c:pt idx="6">
                  <c:v>1.0084138364672164</c:v>
                </c:pt>
                <c:pt idx="7">
                  <c:v>1.0023144986895591</c:v>
                </c:pt>
                <c:pt idx="8">
                  <c:v>0.98934305955362822</c:v>
                </c:pt>
                <c:pt idx="9">
                  <c:v>0.98470782978938987</c:v>
                </c:pt>
                <c:pt idx="10">
                  <c:v>0.96244972015566166</c:v>
                </c:pt>
                <c:pt idx="11">
                  <c:v>0.96607351573630906</c:v>
                </c:pt>
              </c:numCache>
            </c:numRef>
          </c:val>
          <c:smooth val="0"/>
          <c:extLst>
            <c:ext xmlns:c16="http://schemas.microsoft.com/office/drawing/2014/chart" uri="{C3380CC4-5D6E-409C-BE32-E72D297353CC}">
              <c16:uniqueId val="{00000002-673C-48D0-AC8E-CC673E3FDB1E}"/>
            </c:ext>
          </c:extLst>
        </c:ser>
        <c:ser>
          <c:idx val="3"/>
          <c:order val="3"/>
          <c:tx>
            <c:strRef>
              <c:f>'Component calculations'!$CF$4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calculations'!$CF$25:$CF$40</c15:sqref>
                  </c15:fullRef>
                </c:ext>
              </c:extLst>
              <c:f>('Component calculations'!$CF$25:$CF$33,'Component calculations'!$CF$37:$CF$40)</c:f>
              <c:numCache>
                <c:formatCode>0.000</c:formatCode>
                <c:ptCount val="13"/>
                <c:pt idx="0">
                  <c:v>1.0608610286371039</c:v>
                </c:pt>
                <c:pt idx="1">
                  <c:v>1.0578166772050095</c:v>
                </c:pt>
                <c:pt idx="2">
                  <c:v>1.0499644835040483</c:v>
                </c:pt>
                <c:pt idx="3">
                  <c:v>1.0320171552276585</c:v>
                </c:pt>
                <c:pt idx="4">
                  <c:v>1.0456867076776672</c:v>
                </c:pt>
                <c:pt idx="5">
                  <c:v>1.0283426547590231</c:v>
                </c:pt>
                <c:pt idx="6">
                  <c:v>1.0277491467410858</c:v>
                </c:pt>
                <c:pt idx="7">
                  <c:v>1.0636128448579845</c:v>
                </c:pt>
                <c:pt idx="8">
                  <c:v>1.0326249657535456</c:v>
                </c:pt>
                <c:pt idx="9">
                  <c:v>1.0230225039143011</c:v>
                </c:pt>
                <c:pt idx="10">
                  <c:v>1.0198838749331498</c:v>
                </c:pt>
                <c:pt idx="11">
                  <c:v>1.0049136469872677</c:v>
                </c:pt>
              </c:numCache>
            </c:numRef>
          </c:val>
          <c:smooth val="0"/>
          <c:extLst>
            <c:ext xmlns:c16="http://schemas.microsoft.com/office/drawing/2014/chart" uri="{C3380CC4-5D6E-409C-BE32-E72D297353CC}">
              <c16:uniqueId val="{00000003-673C-48D0-AC8E-CC673E3FDB1E}"/>
            </c:ext>
          </c:extLst>
        </c:ser>
        <c:ser>
          <c:idx val="4"/>
          <c:order val="4"/>
          <c:tx>
            <c:strRef>
              <c:f>'Component calculations'!$CG$4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calculations'!$CG$25:$CG$40</c15:sqref>
                  </c15:fullRef>
                </c:ext>
              </c:extLst>
              <c:f>('Component calculations'!$CG$25:$CG$33,'Component calculations'!$CG$37:$CG$40)</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4-673C-48D0-AC8E-CC673E3FDB1E}"/>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in val="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27094196993834163"/>
          <c:h val="5.205063178004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Inventories</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calculations'!$CK$4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calculations'!$AL$30:$AL$33,'Component calculations'!$AL$39:$AL$40)</c:f>
              <c:numCache>
                <c:formatCode>General</c:formatCode>
                <c:ptCount val="6"/>
                <c:pt idx="0">
                  <c:v>2015</c:v>
                </c:pt>
                <c:pt idx="1">
                  <c:v>2016</c:v>
                </c:pt>
                <c:pt idx="2">
                  <c:v>2017</c:v>
                </c:pt>
                <c:pt idx="3">
                  <c:v>2018</c:v>
                </c:pt>
                <c:pt idx="4">
                  <c:v>2024</c:v>
                </c:pt>
                <c:pt idx="5">
                  <c:v>2025</c:v>
                </c:pt>
              </c:numCache>
            </c:numRef>
          </c:cat>
          <c:val>
            <c:numRef>
              <c:extLst>
                <c:ext xmlns:c15="http://schemas.microsoft.com/office/drawing/2012/chart" uri="{02D57815-91ED-43cb-92C2-25804820EDAC}">
                  <c15:fullRef>
                    <c15:sqref>'Component calculations'!$CK$25:$CK$40</c15:sqref>
                  </c15:fullRef>
                </c:ext>
              </c:extLst>
              <c:f>('Component calculations'!$CK$30:$CK$33,'Component calculations'!$CK$39:$CK$40)</c:f>
              <c:numCache>
                <c:formatCode>0.000</c:formatCode>
                <c:ptCount val="6"/>
                <c:pt idx="0">
                  <c:v>2.0934861278648973</c:v>
                </c:pt>
                <c:pt idx="1">
                  <c:v>6.7646548232162484E-2</c:v>
                </c:pt>
                <c:pt idx="2">
                  <c:v>-0.27623576752480677</c:v>
                </c:pt>
                <c:pt idx="3">
                  <c:v>0.91736499068901312</c:v>
                </c:pt>
                <c:pt idx="4">
                  <c:v>2.5291943828529195</c:v>
                </c:pt>
                <c:pt idx="5">
                  <c:v>9.6179584921643375</c:v>
                </c:pt>
              </c:numCache>
            </c:numRef>
          </c:val>
          <c:smooth val="0"/>
          <c:extLst>
            <c:ext xmlns:c16="http://schemas.microsoft.com/office/drawing/2014/chart" uri="{C3380CC4-5D6E-409C-BE32-E72D297353CC}">
              <c16:uniqueId val="{00000000-55A2-4C09-94BC-1CB3F981FB78}"/>
            </c:ext>
          </c:extLst>
        </c:ser>
        <c:ser>
          <c:idx val="1"/>
          <c:order val="1"/>
          <c:tx>
            <c:strRef>
              <c:f>'Component calculations'!$CL$4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calculations'!$AL$30:$AL$33,'Component calculations'!$AL$39:$AL$40)</c:f>
              <c:numCache>
                <c:formatCode>General</c:formatCode>
                <c:ptCount val="6"/>
                <c:pt idx="0">
                  <c:v>2015</c:v>
                </c:pt>
                <c:pt idx="1">
                  <c:v>2016</c:v>
                </c:pt>
                <c:pt idx="2">
                  <c:v>2017</c:v>
                </c:pt>
                <c:pt idx="3">
                  <c:v>2018</c:v>
                </c:pt>
                <c:pt idx="4">
                  <c:v>2024</c:v>
                </c:pt>
                <c:pt idx="5">
                  <c:v>2025</c:v>
                </c:pt>
              </c:numCache>
            </c:numRef>
          </c:cat>
          <c:val>
            <c:numRef>
              <c:extLst>
                <c:ext xmlns:c15="http://schemas.microsoft.com/office/drawing/2012/chart" uri="{02D57815-91ED-43cb-92C2-25804820EDAC}">
                  <c15:fullRef>
                    <c15:sqref>'Component calculations'!$CL$25:$CL$40</c15:sqref>
                  </c15:fullRef>
                </c:ext>
              </c:extLst>
              <c:f>('Component calculations'!$CL$30:$CL$33,'Component calculations'!$CL$39:$CL$40)</c:f>
              <c:numCache>
                <c:formatCode>0.000</c:formatCode>
                <c:ptCount val="6"/>
                <c:pt idx="0">
                  <c:v>-2.0979913137893593</c:v>
                </c:pt>
                <c:pt idx="1">
                  <c:v>3.493957877776499</c:v>
                </c:pt>
                <c:pt idx="2">
                  <c:v>-0.74246971808339579</c:v>
                </c:pt>
                <c:pt idx="3">
                  <c:v>-1.3204583038034492</c:v>
                </c:pt>
                <c:pt idx="4">
                  <c:v>-0.80453295782203438</c:v>
                </c:pt>
              </c:numCache>
            </c:numRef>
          </c:val>
          <c:smooth val="0"/>
          <c:extLst>
            <c:ext xmlns:c16="http://schemas.microsoft.com/office/drawing/2014/chart" uri="{C3380CC4-5D6E-409C-BE32-E72D297353CC}">
              <c16:uniqueId val="{00000001-55A2-4C09-94BC-1CB3F981FB78}"/>
            </c:ext>
          </c:extLst>
        </c:ser>
        <c:ser>
          <c:idx val="2"/>
          <c:order val="2"/>
          <c:tx>
            <c:strRef>
              <c:f>'Component calculations'!$CM$4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calculations'!$AL$30:$AL$33,'Component calculations'!$AL$39:$AL$40)</c:f>
              <c:numCache>
                <c:formatCode>General</c:formatCode>
                <c:ptCount val="6"/>
                <c:pt idx="0">
                  <c:v>2015</c:v>
                </c:pt>
                <c:pt idx="1">
                  <c:v>2016</c:v>
                </c:pt>
                <c:pt idx="2">
                  <c:v>2017</c:v>
                </c:pt>
                <c:pt idx="3">
                  <c:v>2018</c:v>
                </c:pt>
                <c:pt idx="4">
                  <c:v>2024</c:v>
                </c:pt>
                <c:pt idx="5">
                  <c:v>2025</c:v>
                </c:pt>
              </c:numCache>
            </c:numRef>
          </c:cat>
          <c:val>
            <c:numRef>
              <c:extLst>
                <c:ext xmlns:c15="http://schemas.microsoft.com/office/drawing/2012/chart" uri="{02D57815-91ED-43cb-92C2-25804820EDAC}">
                  <c15:fullRef>
                    <c15:sqref>'Component calculations'!$CM$25:$CM$40</c15:sqref>
                  </c15:fullRef>
                </c:ext>
              </c:extLst>
              <c:f>('Component calculations'!$CM$30:$CM$33,'Component calculations'!$CM$39:$CM$40)</c:f>
              <c:numCache>
                <c:formatCode>0.000</c:formatCode>
                <c:ptCount val="6"/>
                <c:pt idx="0">
                  <c:v>-1.7228331177231566</c:v>
                </c:pt>
                <c:pt idx="1">
                  <c:v>2.5253012048192769</c:v>
                </c:pt>
                <c:pt idx="2">
                  <c:v>0.46818210204209082</c:v>
                </c:pt>
                <c:pt idx="3">
                  <c:v>0.15870589733791873</c:v>
                </c:pt>
                <c:pt idx="4">
                  <c:v>3.2918149466192173</c:v>
                </c:pt>
              </c:numCache>
            </c:numRef>
          </c:val>
          <c:smooth val="0"/>
          <c:extLst>
            <c:ext xmlns:c16="http://schemas.microsoft.com/office/drawing/2014/chart" uri="{C3380CC4-5D6E-409C-BE32-E72D297353CC}">
              <c16:uniqueId val="{00000002-55A2-4C09-94BC-1CB3F981FB78}"/>
            </c:ext>
          </c:extLst>
        </c:ser>
        <c:ser>
          <c:idx val="3"/>
          <c:order val="3"/>
          <c:tx>
            <c:strRef>
              <c:f>'Component calculations'!$CN$4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calculations'!$AL$30:$AL$33,'Component calculations'!$AL$39:$AL$40)</c:f>
              <c:numCache>
                <c:formatCode>General</c:formatCode>
                <c:ptCount val="6"/>
                <c:pt idx="0">
                  <c:v>2015</c:v>
                </c:pt>
                <c:pt idx="1">
                  <c:v>2016</c:v>
                </c:pt>
                <c:pt idx="2">
                  <c:v>2017</c:v>
                </c:pt>
                <c:pt idx="3">
                  <c:v>2018</c:v>
                </c:pt>
                <c:pt idx="4">
                  <c:v>2024</c:v>
                </c:pt>
                <c:pt idx="5">
                  <c:v>2025</c:v>
                </c:pt>
              </c:numCache>
            </c:numRef>
          </c:cat>
          <c:val>
            <c:numRef>
              <c:extLst>
                <c:ext xmlns:c15="http://schemas.microsoft.com/office/drawing/2012/chart" uri="{02D57815-91ED-43cb-92C2-25804820EDAC}">
                  <c15:fullRef>
                    <c15:sqref>'Component calculations'!$CN$25:$CN$40</c15:sqref>
                  </c15:fullRef>
                </c:ext>
              </c:extLst>
              <c:f>('Component calculations'!$CN$30:$CN$33,'Component calculations'!$CN$39:$CN$40)</c:f>
              <c:numCache>
                <c:formatCode>0.000</c:formatCode>
                <c:ptCount val="6"/>
                <c:pt idx="0">
                  <c:v>20.791260702686746</c:v>
                </c:pt>
                <c:pt idx="1">
                  <c:v>5.1143488173268734</c:v>
                </c:pt>
                <c:pt idx="2">
                  <c:v>9.433962264150944</c:v>
                </c:pt>
                <c:pt idx="3">
                  <c:v>5.3545221843003414</c:v>
                </c:pt>
                <c:pt idx="4">
                  <c:v>-0.47058823529411764</c:v>
                </c:pt>
              </c:numCache>
            </c:numRef>
          </c:val>
          <c:smooth val="0"/>
          <c:extLst>
            <c:ext xmlns:c16="http://schemas.microsoft.com/office/drawing/2014/chart" uri="{C3380CC4-5D6E-409C-BE32-E72D297353CC}">
              <c16:uniqueId val="{00000003-55A2-4C09-94BC-1CB3F981FB78}"/>
            </c:ext>
          </c:extLst>
        </c:ser>
        <c:ser>
          <c:idx val="4"/>
          <c:order val="4"/>
          <c:tx>
            <c:strRef>
              <c:f>'Component calculations'!$CO$4</c:f>
              <c:strCache>
                <c:ptCount val="1"/>
                <c:pt idx="0">
                  <c:v>One line</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calculations'!$AL$30:$AL$33,'Component calculations'!$AL$39:$AL$40)</c:f>
              <c:numCache>
                <c:formatCode>General</c:formatCode>
                <c:ptCount val="6"/>
                <c:pt idx="0">
                  <c:v>2015</c:v>
                </c:pt>
                <c:pt idx="1">
                  <c:v>2016</c:v>
                </c:pt>
                <c:pt idx="2">
                  <c:v>2017</c:v>
                </c:pt>
                <c:pt idx="3">
                  <c:v>2018</c:v>
                </c:pt>
                <c:pt idx="4">
                  <c:v>2024</c:v>
                </c:pt>
                <c:pt idx="5">
                  <c:v>2025</c:v>
                </c:pt>
              </c:numCache>
            </c:numRef>
          </c:cat>
          <c:val>
            <c:numRef>
              <c:extLst>
                <c:ext xmlns:c15="http://schemas.microsoft.com/office/drawing/2012/chart" uri="{02D57815-91ED-43cb-92C2-25804820EDAC}">
                  <c15:fullRef>
                    <c15:sqref>'Component calculations'!$CO$25:$CO$40</c15:sqref>
                  </c15:fullRef>
                </c:ext>
              </c:extLst>
              <c:f>('Component calculations'!$CO$30:$CO$33,'Component calculations'!$CO$39:$CO$40)</c:f>
              <c:numCache>
                <c:formatCode>General</c:formatCode>
                <c:ptCount val="6"/>
                <c:pt idx="0">
                  <c:v>1</c:v>
                </c:pt>
                <c:pt idx="1">
                  <c:v>1</c:v>
                </c:pt>
                <c:pt idx="2">
                  <c:v>1</c:v>
                </c:pt>
                <c:pt idx="3">
                  <c:v>1</c:v>
                </c:pt>
                <c:pt idx="4">
                  <c:v>1</c:v>
                </c:pt>
                <c:pt idx="5">
                  <c:v>1</c:v>
                </c:pt>
              </c:numCache>
            </c:numRef>
          </c:val>
          <c:smooth val="0"/>
          <c:extLst>
            <c:ext xmlns:c16="http://schemas.microsoft.com/office/drawing/2014/chart" uri="{C3380CC4-5D6E-409C-BE32-E72D297353CC}">
              <c16:uniqueId val="{00000004-55A2-4C09-94BC-1CB3F981FB78}"/>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62183567831723785"/>
          <c:h val="5.205063178004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Exports</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calculations'!$CS$4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calculations'!$CS$25:$CS$40</c15:sqref>
                  </c15:fullRef>
                </c:ext>
              </c:extLst>
              <c:f>('Component calculations'!$CS$25:$CS$33,'Component calculations'!$CS$37:$CS$40)</c:f>
              <c:numCache>
                <c:formatCode>0.000</c:formatCode>
                <c:ptCount val="13"/>
                <c:pt idx="0">
                  <c:v>0.95960489683158812</c:v>
                </c:pt>
                <c:pt idx="1">
                  <c:v>1.0027192067417574</c:v>
                </c:pt>
                <c:pt idx="2">
                  <c:v>1.0183799091620271</c:v>
                </c:pt>
                <c:pt idx="3">
                  <c:v>0.97736170546447509</c:v>
                </c:pt>
                <c:pt idx="4">
                  <c:v>0.96684914988544546</c:v>
                </c:pt>
                <c:pt idx="5">
                  <c:v>0.97079236960041304</c:v>
                </c:pt>
                <c:pt idx="6">
                  <c:v>0.97026072459005519</c:v>
                </c:pt>
                <c:pt idx="7">
                  <c:v>0.98056044049641022</c:v>
                </c:pt>
                <c:pt idx="8">
                  <c:v>0.98119545470980019</c:v>
                </c:pt>
                <c:pt idx="9">
                  <c:v>0.90761814055443268</c:v>
                </c:pt>
                <c:pt idx="10">
                  <c:v>0.97383681828429403</c:v>
                </c:pt>
                <c:pt idx="11">
                  <c:v>0.96648498352318868</c:v>
                </c:pt>
                <c:pt idx="12">
                  <c:v>0.98277015344306662</c:v>
                </c:pt>
              </c:numCache>
            </c:numRef>
          </c:val>
          <c:smooth val="0"/>
          <c:extLst>
            <c:ext xmlns:c16="http://schemas.microsoft.com/office/drawing/2014/chart" uri="{C3380CC4-5D6E-409C-BE32-E72D297353CC}">
              <c16:uniqueId val="{00000000-4BBA-4348-B4B3-E1073E73D0A8}"/>
            </c:ext>
          </c:extLst>
        </c:ser>
        <c:ser>
          <c:idx val="1"/>
          <c:order val="1"/>
          <c:tx>
            <c:strRef>
              <c:f>'Component calculations'!$CT$4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calculations'!$CT$25:$CT$40</c15:sqref>
                  </c15:fullRef>
                </c:ext>
              </c:extLst>
              <c:f>('Component calculations'!$CT$25:$CT$33,'Component calculations'!$CT$37:$CT$40)</c:f>
              <c:numCache>
                <c:formatCode>0.000</c:formatCode>
                <c:ptCount val="13"/>
                <c:pt idx="0">
                  <c:v>1.0037687270449061</c:v>
                </c:pt>
                <c:pt idx="1">
                  <c:v>1.0005513941509232</c:v>
                </c:pt>
                <c:pt idx="2">
                  <c:v>0.98589759109066688</c:v>
                </c:pt>
                <c:pt idx="3">
                  <c:v>1.0178809694812607</c:v>
                </c:pt>
                <c:pt idx="4">
                  <c:v>1.0035148310588811</c:v>
                </c:pt>
                <c:pt idx="5">
                  <c:v>1.0305147356552398</c:v>
                </c:pt>
                <c:pt idx="6">
                  <c:v>1.0283999679020142</c:v>
                </c:pt>
                <c:pt idx="7">
                  <c:v>1.016741011924861</c:v>
                </c:pt>
                <c:pt idx="8">
                  <c:v>1.0176465698278951</c:v>
                </c:pt>
                <c:pt idx="9">
                  <c:v>1.0039624278804624</c:v>
                </c:pt>
                <c:pt idx="10">
                  <c:v>0.98083047060254158</c:v>
                </c:pt>
                <c:pt idx="11">
                  <c:v>1.0002181796586844</c:v>
                </c:pt>
              </c:numCache>
            </c:numRef>
          </c:val>
          <c:smooth val="0"/>
          <c:extLst>
            <c:ext xmlns:c16="http://schemas.microsoft.com/office/drawing/2014/chart" uri="{C3380CC4-5D6E-409C-BE32-E72D297353CC}">
              <c16:uniqueId val="{00000001-4BBA-4348-B4B3-E1073E73D0A8}"/>
            </c:ext>
          </c:extLst>
        </c:ser>
        <c:ser>
          <c:idx val="2"/>
          <c:order val="2"/>
          <c:tx>
            <c:strRef>
              <c:f>'Component calculations'!$CU$4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calculations'!$CU$25:$CU$40</c15:sqref>
                  </c15:fullRef>
                </c:ext>
              </c:extLst>
              <c:f>('Component calculations'!$CU$25:$CU$33,'Component calculations'!$CU$37:$CU$40)</c:f>
              <c:numCache>
                <c:formatCode>0.000</c:formatCode>
                <c:ptCount val="13"/>
                <c:pt idx="0">
                  <c:v>0.9961814444822823</c:v>
                </c:pt>
                <c:pt idx="1">
                  <c:v>1.0013530977064706</c:v>
                </c:pt>
                <c:pt idx="2">
                  <c:v>1.001751366318486</c:v>
                </c:pt>
                <c:pt idx="3">
                  <c:v>1.0129855624481796</c:v>
                </c:pt>
                <c:pt idx="4">
                  <c:v>0.98647976666719794</c:v>
                </c:pt>
                <c:pt idx="5">
                  <c:v>0.96761268422635671</c:v>
                </c:pt>
                <c:pt idx="6">
                  <c:v>0.96027587161937189</c:v>
                </c:pt>
                <c:pt idx="7">
                  <c:v>1.0033302088651206</c:v>
                </c:pt>
                <c:pt idx="8">
                  <c:v>1.0000715529372481</c:v>
                </c:pt>
                <c:pt idx="9">
                  <c:v>1.0653480247659493</c:v>
                </c:pt>
                <c:pt idx="10">
                  <c:v>0.97041589316534016</c:v>
                </c:pt>
                <c:pt idx="11">
                  <c:v>1.0025930260131599</c:v>
                </c:pt>
              </c:numCache>
            </c:numRef>
          </c:val>
          <c:smooth val="0"/>
          <c:extLst>
            <c:ext xmlns:c16="http://schemas.microsoft.com/office/drawing/2014/chart" uri="{C3380CC4-5D6E-409C-BE32-E72D297353CC}">
              <c16:uniqueId val="{00000002-4BBA-4348-B4B3-E1073E73D0A8}"/>
            </c:ext>
          </c:extLst>
        </c:ser>
        <c:ser>
          <c:idx val="3"/>
          <c:order val="3"/>
          <c:tx>
            <c:strRef>
              <c:f>'Component calculations'!$CV$4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calculations'!$CV$25:$CV$40</c15:sqref>
                  </c15:fullRef>
                </c:ext>
              </c:extLst>
              <c:f>('Component calculations'!$CV$25:$CV$33,'Component calculations'!$CV$37:$CV$40)</c:f>
              <c:numCache>
                <c:formatCode>0.000</c:formatCode>
                <c:ptCount val="13"/>
                <c:pt idx="0">
                  <c:v>1.0223928441373933</c:v>
                </c:pt>
                <c:pt idx="1">
                  <c:v>1.0189587694846063</c:v>
                </c:pt>
                <c:pt idx="2">
                  <c:v>0.99245828076205045</c:v>
                </c:pt>
                <c:pt idx="3">
                  <c:v>1.0036507896489664</c:v>
                </c:pt>
                <c:pt idx="4">
                  <c:v>1.0304222715846942</c:v>
                </c:pt>
                <c:pt idx="5">
                  <c:v>1.0287156178550234</c:v>
                </c:pt>
                <c:pt idx="6">
                  <c:v>1.020032301931918</c:v>
                </c:pt>
                <c:pt idx="7">
                  <c:v>1.0163952481557164</c:v>
                </c:pt>
                <c:pt idx="8">
                  <c:v>1.0351125272768724</c:v>
                </c:pt>
                <c:pt idx="9">
                  <c:v>1.1229577869883873</c:v>
                </c:pt>
                <c:pt idx="10">
                  <c:v>1.0025913987173847</c:v>
                </c:pt>
                <c:pt idx="11">
                  <c:v>1.038288839800906</c:v>
                </c:pt>
              </c:numCache>
            </c:numRef>
          </c:val>
          <c:smooth val="0"/>
          <c:extLst>
            <c:ext xmlns:c16="http://schemas.microsoft.com/office/drawing/2014/chart" uri="{C3380CC4-5D6E-409C-BE32-E72D297353CC}">
              <c16:uniqueId val="{00000003-4BBA-4348-B4B3-E1073E73D0A8}"/>
            </c:ext>
          </c:extLst>
        </c:ser>
        <c:ser>
          <c:idx val="4"/>
          <c:order val="4"/>
          <c:tx>
            <c:strRef>
              <c:f>'Component calculations'!$CW$4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calculations'!$CW$25:$CW$40</c15:sqref>
                  </c15:fullRef>
                </c:ext>
              </c:extLst>
              <c:f>('Component calculations'!$CW$25:$CW$33,'Component calculations'!$CW$37:$CW$40)</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4-4BBA-4348-B4B3-E1073E73D0A8}"/>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1500000000000001"/>
          <c:min val="0.850000000000000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27094196993834163"/>
          <c:h val="5.205063178004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Imports</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calculations'!$DA$4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calculations'!$DA$25:$DA$40</c15:sqref>
                  </c15:fullRef>
                </c:ext>
              </c:extLst>
              <c:f>('Component calculations'!$DA$25:$DA$33,'Component calculations'!$DA$37:$DA$40)</c:f>
              <c:numCache>
                <c:formatCode>0.000</c:formatCode>
                <c:ptCount val="13"/>
                <c:pt idx="0">
                  <c:v>0.96375641328248263</c:v>
                </c:pt>
                <c:pt idx="1">
                  <c:v>0.96567576726659932</c:v>
                </c:pt>
                <c:pt idx="2">
                  <c:v>0.98809004018591962</c:v>
                </c:pt>
                <c:pt idx="3">
                  <c:v>0.95478023506111243</c:v>
                </c:pt>
                <c:pt idx="4">
                  <c:v>0.96390885902037027</c:v>
                </c:pt>
                <c:pt idx="5">
                  <c:v>0.99897299075326196</c:v>
                </c:pt>
                <c:pt idx="6">
                  <c:v>0.98614412856834122</c:v>
                </c:pt>
                <c:pt idx="7">
                  <c:v>0.97932302006029093</c:v>
                </c:pt>
                <c:pt idx="8">
                  <c:v>0.97423204440129685</c:v>
                </c:pt>
                <c:pt idx="9">
                  <c:v>1.0387477020836604</c:v>
                </c:pt>
                <c:pt idx="10">
                  <c:v>0.97893089999831984</c:v>
                </c:pt>
                <c:pt idx="11">
                  <c:v>0.94779283993523167</c:v>
                </c:pt>
                <c:pt idx="12">
                  <c:v>0.97948236174969172</c:v>
                </c:pt>
              </c:numCache>
            </c:numRef>
          </c:val>
          <c:smooth val="0"/>
          <c:extLst>
            <c:ext xmlns:c16="http://schemas.microsoft.com/office/drawing/2014/chart" uri="{C3380CC4-5D6E-409C-BE32-E72D297353CC}">
              <c16:uniqueId val="{00000000-6340-408F-868D-12CE96963C3D}"/>
            </c:ext>
          </c:extLst>
        </c:ser>
        <c:ser>
          <c:idx val="1"/>
          <c:order val="1"/>
          <c:tx>
            <c:strRef>
              <c:f>'Component calculations'!$DB$4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calculations'!$DB$25:$DB$40</c15:sqref>
                  </c15:fullRef>
                </c:ext>
              </c:extLst>
              <c:f>('Component calculations'!$DB$25:$DB$33,'Component calculations'!$DB$37:$DB$40)</c:f>
              <c:numCache>
                <c:formatCode>0.000</c:formatCode>
                <c:ptCount val="13"/>
                <c:pt idx="0">
                  <c:v>0.99777806959947479</c:v>
                </c:pt>
                <c:pt idx="1">
                  <c:v>0.99566758730784266</c:v>
                </c:pt>
                <c:pt idx="2">
                  <c:v>1.0073698327301022</c:v>
                </c:pt>
                <c:pt idx="3">
                  <c:v>1.0106010886089933</c:v>
                </c:pt>
                <c:pt idx="4">
                  <c:v>0.96284510315666905</c:v>
                </c:pt>
                <c:pt idx="5">
                  <c:v>0.98110163914574999</c:v>
                </c:pt>
                <c:pt idx="6">
                  <c:v>0.99611154733431306</c:v>
                </c:pt>
                <c:pt idx="7">
                  <c:v>1.0045538698825225</c:v>
                </c:pt>
                <c:pt idx="8">
                  <c:v>0.98150509016244469</c:v>
                </c:pt>
                <c:pt idx="9">
                  <c:v>1.0416425863644811</c:v>
                </c:pt>
                <c:pt idx="10">
                  <c:v>1.0117266310378021</c:v>
                </c:pt>
                <c:pt idx="11">
                  <c:v>1.0227229133724662</c:v>
                </c:pt>
              </c:numCache>
            </c:numRef>
          </c:val>
          <c:smooth val="0"/>
          <c:extLst>
            <c:ext xmlns:c16="http://schemas.microsoft.com/office/drawing/2014/chart" uri="{C3380CC4-5D6E-409C-BE32-E72D297353CC}">
              <c16:uniqueId val="{00000001-6340-408F-868D-12CE96963C3D}"/>
            </c:ext>
          </c:extLst>
        </c:ser>
        <c:ser>
          <c:idx val="2"/>
          <c:order val="2"/>
          <c:tx>
            <c:strRef>
              <c:f>'Component calculations'!$DC$4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calculations'!$DC$25:$DC$40</c15:sqref>
                  </c15:fullRef>
                </c:ext>
              </c:extLst>
              <c:f>('Component calculations'!$DC$25:$DC$33,'Component calculations'!$DC$37:$DC$40)</c:f>
              <c:numCache>
                <c:formatCode>0.000</c:formatCode>
                <c:ptCount val="13"/>
                <c:pt idx="0">
                  <c:v>1.0524066383935025</c:v>
                </c:pt>
                <c:pt idx="1">
                  <c:v>1.0231930487596308</c:v>
                </c:pt>
                <c:pt idx="2">
                  <c:v>1.0250574356019473</c:v>
                </c:pt>
                <c:pt idx="3">
                  <c:v>1.0307083885043997</c:v>
                </c:pt>
                <c:pt idx="4">
                  <c:v>1.0198234687421717</c:v>
                </c:pt>
                <c:pt idx="5">
                  <c:v>1.001119919331481</c:v>
                </c:pt>
                <c:pt idx="6">
                  <c:v>1.0426650352430222</c:v>
                </c:pt>
                <c:pt idx="7">
                  <c:v>1.0342749468552175</c:v>
                </c:pt>
                <c:pt idx="8">
                  <c:v>1.0020726721012163</c:v>
                </c:pt>
                <c:pt idx="9">
                  <c:v>1.0014888468244523</c:v>
                </c:pt>
                <c:pt idx="10">
                  <c:v>0.99067064965284113</c:v>
                </c:pt>
                <c:pt idx="11">
                  <c:v>0.99798254093852046</c:v>
                </c:pt>
              </c:numCache>
            </c:numRef>
          </c:val>
          <c:smooth val="0"/>
          <c:extLst>
            <c:ext xmlns:c16="http://schemas.microsoft.com/office/drawing/2014/chart" uri="{C3380CC4-5D6E-409C-BE32-E72D297353CC}">
              <c16:uniqueId val="{00000002-6340-408F-868D-12CE96963C3D}"/>
            </c:ext>
          </c:extLst>
        </c:ser>
        <c:ser>
          <c:idx val="3"/>
          <c:order val="3"/>
          <c:tx>
            <c:strRef>
              <c:f>'Component calculations'!$DD$4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calculations'!$DD$25:$DD$40</c15:sqref>
                  </c15:fullRef>
                </c:ext>
              </c:extLst>
              <c:f>('Component calculations'!$DD$25:$DD$33,'Component calculations'!$DD$37:$DD$40)</c:f>
              <c:numCache>
                <c:formatCode>0.000</c:formatCode>
                <c:ptCount val="13"/>
                <c:pt idx="0">
                  <c:v>1.0233434666007224</c:v>
                </c:pt>
                <c:pt idx="1">
                  <c:v>0.99659837989651645</c:v>
                </c:pt>
                <c:pt idx="2">
                  <c:v>0.97978233250910607</c:v>
                </c:pt>
                <c:pt idx="3">
                  <c:v>1.0135310113158893</c:v>
                </c:pt>
                <c:pt idx="4">
                  <c:v>1.0434992746526994</c:v>
                </c:pt>
                <c:pt idx="5">
                  <c:v>1.0038457295288097</c:v>
                </c:pt>
                <c:pt idx="6">
                  <c:v>0.98340609391731504</c:v>
                </c:pt>
                <c:pt idx="7">
                  <c:v>0.98605411933326248</c:v>
                </c:pt>
                <c:pt idx="8">
                  <c:v>1.018351436886719</c:v>
                </c:pt>
                <c:pt idx="9">
                  <c:v>1.0222306028313184</c:v>
                </c:pt>
                <c:pt idx="10">
                  <c:v>0.99996253608243568</c:v>
                </c:pt>
                <c:pt idx="11">
                  <c:v>1.0280496939173338</c:v>
                </c:pt>
              </c:numCache>
            </c:numRef>
          </c:val>
          <c:smooth val="0"/>
          <c:extLst>
            <c:ext xmlns:c16="http://schemas.microsoft.com/office/drawing/2014/chart" uri="{C3380CC4-5D6E-409C-BE32-E72D297353CC}">
              <c16:uniqueId val="{00000003-6340-408F-868D-12CE96963C3D}"/>
            </c:ext>
          </c:extLst>
        </c:ser>
        <c:ser>
          <c:idx val="4"/>
          <c:order val="4"/>
          <c:tx>
            <c:strRef>
              <c:f>'Component calculations'!$DE$4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calculations'!$DE$25:$DE$40</c15:sqref>
                  </c15:fullRef>
                </c:ext>
              </c:extLst>
              <c:f>('Component calculations'!$DE$25:$DE$33,'Component calculations'!$DE$37:$DE$40)</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4-6340-408F-868D-12CE96963C3D}"/>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1000000000000001"/>
          <c:min val="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27094196993834163"/>
          <c:h val="5.205063178004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GB" b="1"/>
              <a:t>UK: SA vs NSA ratios</a:t>
            </a:r>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6.4985925774331377E-2"/>
          <c:y val="0.20244525785936268"/>
          <c:w val="0.91182674801650432"/>
          <c:h val="0.71448511602506837"/>
        </c:manualLayout>
      </c:layout>
      <c:lineChart>
        <c:grouping val="standard"/>
        <c:varyColors val="0"/>
        <c:ser>
          <c:idx val="0"/>
          <c:order val="0"/>
          <c:tx>
            <c:strRef>
              <c:f>'Component calculations'!$AU$4</c:f>
              <c:strCache>
                <c:ptCount val="1"/>
                <c:pt idx="0">
                  <c:v>Business investment</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calculations'!$AU$25:$AU$40</c15:sqref>
                  </c15:fullRef>
                </c:ext>
              </c:extLst>
              <c:f>('Component calculations'!$AU$25:$AU$34,'Component calculations'!$AU$37:$AU$40)</c:f>
              <c:numCache>
                <c:formatCode>0.00</c:formatCode>
                <c:ptCount val="14"/>
                <c:pt idx="0">
                  <c:v>1.0274963505239993</c:v>
                </c:pt>
                <c:pt idx="1">
                  <c:v>1.0286338797814207</c:v>
                </c:pt>
                <c:pt idx="2">
                  <c:v>1.0647792516333399</c:v>
                </c:pt>
                <c:pt idx="3">
                  <c:v>1.0454713493530499</c:v>
                </c:pt>
                <c:pt idx="4">
                  <c:v>1.044229071649257</c:v>
                </c:pt>
                <c:pt idx="5">
                  <c:v>1.0495392082909711</c:v>
                </c:pt>
                <c:pt idx="6">
                  <c:v>1.0467517524337255</c:v>
                </c:pt>
                <c:pt idx="7">
                  <c:v>1.0474494415937217</c:v>
                </c:pt>
                <c:pt idx="8">
                  <c:v>1.0723304119590304</c:v>
                </c:pt>
                <c:pt idx="9">
                  <c:v>1.0367307549550888</c:v>
                </c:pt>
                <c:pt idx="10">
                  <c:v>1.0111652485191129</c:v>
                </c:pt>
                <c:pt idx="11">
                  <c:v>1.032857870606215</c:v>
                </c:pt>
                <c:pt idx="12">
                  <c:v>1.0138107345810234</c:v>
                </c:pt>
                <c:pt idx="13">
                  <c:v>1.0114205337325144</c:v>
                </c:pt>
              </c:numCache>
            </c:numRef>
          </c:val>
          <c:smooth val="0"/>
          <c:extLst>
            <c:ext xmlns:c16="http://schemas.microsoft.com/office/drawing/2014/chart" uri="{C3380CC4-5D6E-409C-BE32-E72D297353CC}">
              <c16:uniqueId val="{00000000-A5FD-463A-A1B8-EEF1DA44E158}"/>
            </c:ext>
          </c:extLst>
        </c:ser>
        <c:ser>
          <c:idx val="1"/>
          <c:order val="1"/>
          <c:tx>
            <c:strRef>
              <c:f>'Component calculations'!$AV$4</c:f>
              <c:strCache>
                <c:ptCount val="1"/>
                <c:pt idx="0">
                  <c:v>Government investment</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calculations'!$AV$25:$AV$40</c15:sqref>
                  </c15:fullRef>
                </c:ext>
              </c:extLst>
              <c:f>('Component calculations'!$AV$25:$AV$34,'Component calculations'!$AV$37:$AV$40)</c:f>
              <c:numCache>
                <c:formatCode>0.00</c:formatCode>
                <c:ptCount val="14"/>
                <c:pt idx="0">
                  <c:v>0.76463604356014081</c:v>
                </c:pt>
                <c:pt idx="1">
                  <c:v>0.74603752223839559</c:v>
                </c:pt>
                <c:pt idx="2">
                  <c:v>0.73016994041050542</c:v>
                </c:pt>
                <c:pt idx="3">
                  <c:v>0.72599880739415623</c:v>
                </c:pt>
                <c:pt idx="4">
                  <c:v>0.73398292661895315</c:v>
                </c:pt>
                <c:pt idx="5">
                  <c:v>0.75315292206404172</c:v>
                </c:pt>
                <c:pt idx="6">
                  <c:v>0.64866095828019676</c:v>
                </c:pt>
                <c:pt idx="7">
                  <c:v>0.72953769493402232</c:v>
                </c:pt>
                <c:pt idx="8">
                  <c:v>0.77737634408602152</c:v>
                </c:pt>
                <c:pt idx="9">
                  <c:v>0.77291337305930519</c:v>
                </c:pt>
                <c:pt idx="10">
                  <c:v>0.71030955227846415</c:v>
                </c:pt>
                <c:pt idx="11">
                  <c:v>0.71809535846314254</c:v>
                </c:pt>
                <c:pt idx="12">
                  <c:v>0.72354832725248908</c:v>
                </c:pt>
                <c:pt idx="13">
                  <c:v>0.71408310449923051</c:v>
                </c:pt>
              </c:numCache>
            </c:numRef>
          </c:val>
          <c:smooth val="0"/>
          <c:extLst>
            <c:ext xmlns:c16="http://schemas.microsoft.com/office/drawing/2014/chart" uri="{C3380CC4-5D6E-409C-BE32-E72D297353CC}">
              <c16:uniqueId val="{00000001-A5FD-463A-A1B8-EEF1DA44E158}"/>
            </c:ext>
          </c:extLst>
        </c:ser>
        <c:ser>
          <c:idx val="2"/>
          <c:order val="2"/>
          <c:tx>
            <c:strRef>
              <c:f>'Component calculations'!$AW$4</c:f>
              <c:strCache>
                <c:ptCount val="1"/>
                <c:pt idx="0">
                  <c:v>Transport SA</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calculations'!$AW$25:$AW$40</c15:sqref>
                  </c15:fullRef>
                </c:ext>
              </c:extLst>
              <c:f>('Component calculations'!$AW$25:$AW$34,'Component calculations'!$AW$37:$AW$40)</c:f>
              <c:numCache>
                <c:formatCode>0.00</c:formatCode>
                <c:ptCount val="14"/>
                <c:pt idx="0">
                  <c:v>1.1278213935230619</c:v>
                </c:pt>
                <c:pt idx="1">
                  <c:v>1.153067678684377</c:v>
                </c:pt>
                <c:pt idx="2">
                  <c:v>1.0901120311738919</c:v>
                </c:pt>
                <c:pt idx="3">
                  <c:v>1.0928393005828476</c:v>
                </c:pt>
                <c:pt idx="4">
                  <c:v>1.1067238267148014</c:v>
                </c:pt>
                <c:pt idx="5">
                  <c:v>1.0647991900101248</c:v>
                </c:pt>
                <c:pt idx="6">
                  <c:v>1.0559309309309308</c:v>
                </c:pt>
                <c:pt idx="7">
                  <c:v>1.0783576241968345</c:v>
                </c:pt>
                <c:pt idx="8">
                  <c:v>1.109477756286267</c:v>
                </c:pt>
                <c:pt idx="9">
                  <c:v>1.0821246939159916</c:v>
                </c:pt>
                <c:pt idx="10">
                  <c:v>1.0127208480565371</c:v>
                </c:pt>
                <c:pt idx="11">
                  <c:v>1.0074792243767312</c:v>
                </c:pt>
                <c:pt idx="12">
                  <c:v>1.0829851606396772</c:v>
                </c:pt>
                <c:pt idx="13">
                  <c:v>1.1102303320370925</c:v>
                </c:pt>
              </c:numCache>
            </c:numRef>
          </c:val>
          <c:smooth val="0"/>
          <c:extLst>
            <c:ext xmlns:c16="http://schemas.microsoft.com/office/drawing/2014/chart" uri="{C3380CC4-5D6E-409C-BE32-E72D297353CC}">
              <c16:uniqueId val="{00000008-A5FD-463A-A1B8-EEF1DA44E158}"/>
            </c:ext>
          </c:extLst>
        </c:ser>
        <c:ser>
          <c:idx val="3"/>
          <c:order val="3"/>
          <c:tx>
            <c:strRef>
              <c:f>'Component calculations'!$AX$4</c:f>
              <c:strCache>
                <c:ptCount val="1"/>
                <c:pt idx="0">
                  <c:v>ICT SA</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calculations'!$AX$25:$AX$40</c15:sqref>
                  </c15:fullRef>
                </c:ext>
              </c:extLst>
              <c:f>('Component calculations'!$AX$25:$AX$34,'Component calculations'!$AX$37:$AX$40)</c:f>
              <c:numCache>
                <c:formatCode>0.00</c:formatCode>
                <c:ptCount val="14"/>
                <c:pt idx="0">
                  <c:v>0.87501428081800525</c:v>
                </c:pt>
                <c:pt idx="1">
                  <c:v>0.90133705088397442</c:v>
                </c:pt>
                <c:pt idx="2">
                  <c:v>0.94593074134266786</c:v>
                </c:pt>
                <c:pt idx="3">
                  <c:v>0.9170698389208265</c:v>
                </c:pt>
                <c:pt idx="4">
                  <c:v>0.93423027742258302</c:v>
                </c:pt>
                <c:pt idx="5">
                  <c:v>0.94231531276535518</c:v>
                </c:pt>
                <c:pt idx="6">
                  <c:v>0.95485089132004219</c:v>
                </c:pt>
                <c:pt idx="7">
                  <c:v>0.9600042492165507</c:v>
                </c:pt>
                <c:pt idx="8">
                  <c:v>0.97258604934511117</c:v>
                </c:pt>
                <c:pt idx="9">
                  <c:v>0.9498137521393335</c:v>
                </c:pt>
                <c:pt idx="10">
                  <c:v>0.93443867864827235</c:v>
                </c:pt>
                <c:pt idx="11">
                  <c:v>0.92838826984941025</c:v>
                </c:pt>
                <c:pt idx="12">
                  <c:v>0.90590705219963741</c:v>
                </c:pt>
                <c:pt idx="13">
                  <c:v>0.90262620885458256</c:v>
                </c:pt>
              </c:numCache>
            </c:numRef>
          </c:val>
          <c:smooth val="0"/>
          <c:extLst>
            <c:ext xmlns:c16="http://schemas.microsoft.com/office/drawing/2014/chart" uri="{C3380CC4-5D6E-409C-BE32-E72D297353CC}">
              <c16:uniqueId val="{00000009-A5FD-463A-A1B8-EEF1DA44E158}"/>
            </c:ext>
          </c:extLst>
        </c:ser>
        <c:ser>
          <c:idx val="4"/>
          <c:order val="4"/>
          <c:tx>
            <c:strRef>
              <c:f>'Component calculations'!$AY$4</c:f>
              <c:strCache>
                <c:ptCount val="1"/>
                <c:pt idx="0">
                  <c:v>Dwellings SA</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calculations'!$AY$25:$AY$40</c15:sqref>
                  </c15:fullRef>
                </c:ext>
              </c:extLst>
              <c:f>('Component calculations'!$AY$25:$AY$34,'Component calculations'!$AY$37:$AY$40)</c:f>
              <c:numCache>
                <c:formatCode>0.00</c:formatCode>
                <c:ptCount val="14"/>
                <c:pt idx="0">
                  <c:v>1.0078632478632479</c:v>
                </c:pt>
                <c:pt idx="1">
                  <c:v>1.0330766247437531</c:v>
                </c:pt>
                <c:pt idx="2">
                  <c:v>1.0129947190411204</c:v>
                </c:pt>
                <c:pt idx="3">
                  <c:v>1.0351929844804708</c:v>
                </c:pt>
                <c:pt idx="4">
                  <c:v>1.0357815442561205</c:v>
                </c:pt>
                <c:pt idx="5">
                  <c:v>1.0354169819887997</c:v>
                </c:pt>
                <c:pt idx="6">
                  <c:v>1.0327604478643506</c:v>
                </c:pt>
                <c:pt idx="7">
                  <c:v>1.0286120639170082</c:v>
                </c:pt>
                <c:pt idx="8">
                  <c:v>1.0269344170850268</c:v>
                </c:pt>
                <c:pt idx="9">
                  <c:v>1.0249481816468815</c:v>
                </c:pt>
                <c:pt idx="10">
                  <c:v>1.0182715020147284</c:v>
                </c:pt>
                <c:pt idx="11">
                  <c:v>1.0170387145476114</c:v>
                </c:pt>
                <c:pt idx="12">
                  <c:v>1.0201496407141271</c:v>
                </c:pt>
                <c:pt idx="13">
                  <c:v>1.0192746734533478</c:v>
                </c:pt>
              </c:numCache>
            </c:numRef>
          </c:val>
          <c:smooth val="0"/>
          <c:extLst>
            <c:ext xmlns:c16="http://schemas.microsoft.com/office/drawing/2014/chart" uri="{C3380CC4-5D6E-409C-BE32-E72D297353CC}">
              <c16:uniqueId val="{0000000A-A5FD-463A-A1B8-EEF1DA44E158}"/>
            </c:ext>
          </c:extLst>
        </c:ser>
        <c:ser>
          <c:idx val="5"/>
          <c:order val="5"/>
          <c:tx>
            <c:strRef>
              <c:f>'Component calculations'!$AZ$4</c:f>
              <c:strCache>
                <c:ptCount val="1"/>
                <c:pt idx="0">
                  <c:v>Other buildings SA</c:v>
                </c:pt>
              </c:strCache>
            </c:strRef>
          </c:tx>
          <c:spPr>
            <a:ln w="28575" cap="rnd">
              <a:solidFill>
                <a:schemeClr val="accent6"/>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calculations'!$AZ$25:$AZ$40</c15:sqref>
                  </c15:fullRef>
                </c:ext>
              </c:extLst>
              <c:f>('Component calculations'!$AZ$25:$AZ$34,'Component calculations'!$AZ$37:$AZ$40)</c:f>
              <c:numCache>
                <c:formatCode>0.00</c:formatCode>
                <c:ptCount val="14"/>
                <c:pt idx="0">
                  <c:v>0.95064686152371825</c:v>
                </c:pt>
                <c:pt idx="1">
                  <c:v>0.91425890114890229</c:v>
                </c:pt>
                <c:pt idx="2">
                  <c:v>0.92930924159785488</c:v>
                </c:pt>
                <c:pt idx="3">
                  <c:v>0.98321357225916095</c:v>
                </c:pt>
                <c:pt idx="4">
                  <c:v>0.9499303449971318</c:v>
                </c:pt>
                <c:pt idx="5">
                  <c:v>0.96906478498747251</c:v>
                </c:pt>
                <c:pt idx="6">
                  <c:v>0.9237588225375184</c:v>
                </c:pt>
                <c:pt idx="7">
                  <c:v>0.96658489532474334</c:v>
                </c:pt>
                <c:pt idx="8">
                  <c:v>1.0216505842990835</c:v>
                </c:pt>
                <c:pt idx="9">
                  <c:v>0.97789162743469027</c:v>
                </c:pt>
                <c:pt idx="10">
                  <c:v>0.91661939875212706</c:v>
                </c:pt>
                <c:pt idx="11">
                  <c:v>0.94695530790178262</c:v>
                </c:pt>
                <c:pt idx="12">
                  <c:v>0.90985302812737567</c:v>
                </c:pt>
                <c:pt idx="13">
                  <c:v>0.90638255894248787</c:v>
                </c:pt>
              </c:numCache>
            </c:numRef>
          </c:val>
          <c:smooth val="0"/>
          <c:extLst>
            <c:ext xmlns:c16="http://schemas.microsoft.com/office/drawing/2014/chart" uri="{C3380CC4-5D6E-409C-BE32-E72D297353CC}">
              <c16:uniqueId val="{0000000B-A5FD-463A-A1B8-EEF1DA44E158}"/>
            </c:ext>
          </c:extLst>
        </c:ser>
        <c:ser>
          <c:idx val="6"/>
          <c:order val="6"/>
          <c:tx>
            <c:strRef>
              <c:f>'Component calculations'!$BA$4</c:f>
              <c:strCache>
                <c:ptCount val="1"/>
                <c:pt idx="0">
                  <c:v>IP SA</c:v>
                </c:pt>
              </c:strCache>
            </c:strRef>
          </c:tx>
          <c:spPr>
            <a:ln w="28575" cap="rnd">
              <a:solidFill>
                <a:schemeClr val="accent1">
                  <a:lumMod val="60000"/>
                </a:schemeClr>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calculations'!$BA$25:$BA$40</c15:sqref>
                  </c15:fullRef>
                </c:ext>
              </c:extLst>
              <c:f>('Component calculations'!$BA$25:$BA$34,'Component calculations'!$BA$37:$BA$40)</c:f>
              <c:numCache>
                <c:formatCode>0.00</c:formatCode>
                <c:ptCount val="14"/>
                <c:pt idx="0">
                  <c:v>0.96701509872241576</c:v>
                </c:pt>
                <c:pt idx="1">
                  <c:v>0.98125947361168531</c:v>
                </c:pt>
                <c:pt idx="2">
                  <c:v>1.0037842033766737</c:v>
                </c:pt>
                <c:pt idx="3">
                  <c:v>0.96890572875911207</c:v>
                </c:pt>
                <c:pt idx="4">
                  <c:v>0.9740707375347617</c:v>
                </c:pt>
                <c:pt idx="5">
                  <c:v>0.97735279315551082</c:v>
                </c:pt>
                <c:pt idx="6">
                  <c:v>0.98011073874398946</c:v>
                </c:pt>
                <c:pt idx="7">
                  <c:v>0.98311972491403565</c:v>
                </c:pt>
                <c:pt idx="8">
                  <c:v>0.97810860996188553</c:v>
                </c:pt>
                <c:pt idx="9">
                  <c:v>0.97225234419850737</c:v>
                </c:pt>
                <c:pt idx="10">
                  <c:v>0.94806203626818097</c:v>
                </c:pt>
                <c:pt idx="11">
                  <c:v>0.95524486870926739</c:v>
                </c:pt>
                <c:pt idx="12">
                  <c:v>0.95684470190415483</c:v>
                </c:pt>
                <c:pt idx="13">
                  <c:v>0.95728293157382827</c:v>
                </c:pt>
              </c:numCache>
            </c:numRef>
          </c:val>
          <c:smooth val="0"/>
          <c:extLst>
            <c:ext xmlns:c16="http://schemas.microsoft.com/office/drawing/2014/chart" uri="{C3380CC4-5D6E-409C-BE32-E72D297353CC}">
              <c16:uniqueId val="{0000000C-A5FD-463A-A1B8-EEF1DA44E158}"/>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7620" cap="flat" cmpd="sng" algn="ctr">
            <a:solidFill>
              <a:srgbClr val="3E515A"/>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in val="0.60000000000000009"/>
        </c:scaling>
        <c:delete val="0"/>
        <c:axPos val="l"/>
        <c:majorGridlines>
          <c:spPr>
            <a:ln w="3175" cap="flat" cmpd="sng" algn="ctr">
              <a:solidFill>
                <a:srgbClr val="B1B6BB"/>
              </a:solidFill>
              <a:prstDash val="solid"/>
              <a:round/>
            </a:ln>
            <a:effectLst/>
          </c:spPr>
        </c:majorGridlines>
        <c:numFmt formatCode="0.0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crossAx val="1424948991"/>
        <c:crosses val="autoZero"/>
        <c:crossBetween val="between"/>
      </c:valAx>
      <c:spPr>
        <a:noFill/>
        <a:ln>
          <a:noFill/>
        </a:ln>
        <a:effectLst/>
      </c:spPr>
    </c:plotArea>
    <c:legend>
      <c:legendPos val="b"/>
      <c:layout>
        <c:manualLayout>
          <c:xMode val="edge"/>
          <c:yMode val="edge"/>
          <c:x val="0.15773758894175846"/>
          <c:y val="6.8401829008643555E-2"/>
          <c:w val="0.80234003481164706"/>
          <c:h val="0.11414222502440671"/>
        </c:manualLayout>
      </c:layout>
      <c:overlay val="0"/>
      <c:spPr>
        <a:solidFill>
          <a:srgbClr val="FFFFFF"/>
        </a:solid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Business investment</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calculations'!$DI$4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calculations'!$DI$25:$DI$40</c15:sqref>
                  </c15:fullRef>
                </c:ext>
              </c:extLst>
              <c:f>('Component calculations'!$DI$25:$DI$33,'Component calculations'!$DI$37:$DI$40)</c:f>
              <c:numCache>
                <c:formatCode>0.000</c:formatCode>
                <c:ptCount val="13"/>
                <c:pt idx="0">
                  <c:v>0.97426356871235964</c:v>
                </c:pt>
                <c:pt idx="1">
                  <c:v>0.92933836331979103</c:v>
                </c:pt>
                <c:pt idx="2">
                  <c:v>0.96762981734984876</c:v>
                </c:pt>
                <c:pt idx="3">
                  <c:v>0.94062848880836036</c:v>
                </c:pt>
                <c:pt idx="4">
                  <c:v>0.9384765215676123</c:v>
                </c:pt>
                <c:pt idx="5">
                  <c:v>0.97509908057792238</c:v>
                </c:pt>
                <c:pt idx="6">
                  <c:v>0.98022824651301832</c:v>
                </c:pt>
                <c:pt idx="7">
                  <c:v>0.9484101830078725</c:v>
                </c:pt>
                <c:pt idx="8">
                  <c:v>0.94939114708217054</c:v>
                </c:pt>
                <c:pt idx="9">
                  <c:v>0.99909372174216282</c:v>
                </c:pt>
                <c:pt idx="10">
                  <c:v>0.98069442957570574</c:v>
                </c:pt>
                <c:pt idx="11">
                  <c:v>0.97221209121381058</c:v>
                </c:pt>
                <c:pt idx="12">
                  <c:v>1.0091436927123931</c:v>
                </c:pt>
              </c:numCache>
            </c:numRef>
          </c:val>
          <c:smooth val="0"/>
          <c:extLst>
            <c:ext xmlns:c16="http://schemas.microsoft.com/office/drawing/2014/chart" uri="{C3380CC4-5D6E-409C-BE32-E72D297353CC}">
              <c16:uniqueId val="{00000000-A5B6-4450-A4C8-5193BBD221CB}"/>
            </c:ext>
          </c:extLst>
        </c:ser>
        <c:ser>
          <c:idx val="1"/>
          <c:order val="1"/>
          <c:tx>
            <c:strRef>
              <c:f>'Component calculations'!$DJ$4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calculations'!$DJ$25:$DJ$40</c15:sqref>
                  </c15:fullRef>
                </c:ext>
              </c:extLst>
              <c:f>('Component calculations'!$DJ$25:$DJ$33,'Component calculations'!$DJ$37:$DJ$40)</c:f>
              <c:numCache>
                <c:formatCode>0.000</c:formatCode>
                <c:ptCount val="13"/>
                <c:pt idx="0">
                  <c:v>0.9515923566878981</c:v>
                </c:pt>
                <c:pt idx="1">
                  <c:v>0.95668731622370029</c:v>
                </c:pt>
                <c:pt idx="2">
                  <c:v>0.95970389164017034</c:v>
                </c:pt>
                <c:pt idx="3">
                  <c:v>0.96673829186838223</c:v>
                </c:pt>
                <c:pt idx="4">
                  <c:v>0.97757858385706442</c:v>
                </c:pt>
                <c:pt idx="5">
                  <c:v>0.9810588230019861</c:v>
                </c:pt>
                <c:pt idx="6">
                  <c:v>0.99955828437651839</c:v>
                </c:pt>
                <c:pt idx="7">
                  <c:v>0.97888219654697028</c:v>
                </c:pt>
                <c:pt idx="8">
                  <c:v>0.95804105521366789</c:v>
                </c:pt>
                <c:pt idx="9">
                  <c:v>0.96744333606412547</c:v>
                </c:pt>
                <c:pt idx="10">
                  <c:v>0.99399870359388209</c:v>
                </c:pt>
                <c:pt idx="11">
                  <c:v>0.99272386990814132</c:v>
                </c:pt>
              </c:numCache>
            </c:numRef>
          </c:val>
          <c:smooth val="0"/>
          <c:extLst>
            <c:ext xmlns:c16="http://schemas.microsoft.com/office/drawing/2014/chart" uri="{C3380CC4-5D6E-409C-BE32-E72D297353CC}">
              <c16:uniqueId val="{00000001-A5B6-4450-A4C8-5193BBD221CB}"/>
            </c:ext>
          </c:extLst>
        </c:ser>
        <c:ser>
          <c:idx val="2"/>
          <c:order val="2"/>
          <c:tx>
            <c:strRef>
              <c:f>'Component calculations'!$DK$4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calculations'!$DK$25:$DK$40</c15:sqref>
                  </c15:fullRef>
                </c:ext>
              </c:extLst>
              <c:f>('Component calculations'!$DK$25:$DK$33,'Component calculations'!$DK$37:$DK$40)</c:f>
              <c:numCache>
                <c:formatCode>0.000</c:formatCode>
                <c:ptCount val="13"/>
                <c:pt idx="0">
                  <c:v>1.012289949880661</c:v>
                </c:pt>
                <c:pt idx="1">
                  <c:v>1.0053861388382825</c:v>
                </c:pt>
                <c:pt idx="2">
                  <c:v>0.98928339787874786</c:v>
                </c:pt>
                <c:pt idx="3">
                  <c:v>1.0188905777017103</c:v>
                </c:pt>
                <c:pt idx="4">
                  <c:v>0.97820973577065895</c:v>
                </c:pt>
                <c:pt idx="5">
                  <c:v>0.96280448313336331</c:v>
                </c:pt>
                <c:pt idx="6">
                  <c:v>1.0252216511136618</c:v>
                </c:pt>
                <c:pt idx="7">
                  <c:v>1.0007255004092566</c:v>
                </c:pt>
                <c:pt idx="8">
                  <c:v>0.99274853465942481</c:v>
                </c:pt>
                <c:pt idx="9">
                  <c:v>0.98506069839041588</c:v>
                </c:pt>
                <c:pt idx="10">
                  <c:v>0.97075374820291638</c:v>
                </c:pt>
                <c:pt idx="11">
                  <c:v>0.98167835630626288</c:v>
                </c:pt>
              </c:numCache>
            </c:numRef>
          </c:val>
          <c:smooth val="0"/>
          <c:extLst>
            <c:ext xmlns:c16="http://schemas.microsoft.com/office/drawing/2014/chart" uri="{C3380CC4-5D6E-409C-BE32-E72D297353CC}">
              <c16:uniqueId val="{00000002-A5B6-4450-A4C8-5193BBD221CB}"/>
            </c:ext>
          </c:extLst>
        </c:ser>
        <c:ser>
          <c:idx val="3"/>
          <c:order val="3"/>
          <c:tx>
            <c:strRef>
              <c:f>'Component calculations'!$DL$4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calculations'!$DL$25:$DL$40</c15:sqref>
                  </c15:fullRef>
                </c:ext>
              </c:extLst>
              <c:f>('Component calculations'!$DL$25:$DL$33,'Component calculations'!$DL$37:$DL$40)</c:f>
              <c:numCache>
                <c:formatCode>0.000</c:formatCode>
                <c:ptCount val="13"/>
                <c:pt idx="0">
                  <c:v>1.0943696070889759</c:v>
                </c:pt>
                <c:pt idx="1">
                  <c:v>1.0926290503964353</c:v>
                </c:pt>
                <c:pt idx="2">
                  <c:v>1.0895407685098406</c:v>
                </c:pt>
                <c:pt idx="3">
                  <c:v>1.0634745239346908</c:v>
                </c:pt>
                <c:pt idx="4">
                  <c:v>1.0805274473133419</c:v>
                </c:pt>
                <c:pt idx="5">
                  <c:v>1.0674673015032519</c:v>
                </c:pt>
                <c:pt idx="6">
                  <c:v>1.0483857858287606</c:v>
                </c:pt>
                <c:pt idx="7">
                  <c:v>1.0949205445405672</c:v>
                </c:pt>
                <c:pt idx="8">
                  <c:v>1.0703029223683775</c:v>
                </c:pt>
                <c:pt idx="9">
                  <c:v>1.0464322657748586</c:v>
                </c:pt>
                <c:pt idx="10">
                  <c:v>1.0540135415443623</c:v>
                </c:pt>
                <c:pt idx="11">
                  <c:v>1.0279307587268298</c:v>
                </c:pt>
              </c:numCache>
            </c:numRef>
          </c:val>
          <c:smooth val="0"/>
          <c:extLst>
            <c:ext xmlns:c16="http://schemas.microsoft.com/office/drawing/2014/chart" uri="{C3380CC4-5D6E-409C-BE32-E72D297353CC}">
              <c16:uniqueId val="{00000003-A5B6-4450-A4C8-5193BBD221CB}"/>
            </c:ext>
          </c:extLst>
        </c:ser>
        <c:ser>
          <c:idx val="4"/>
          <c:order val="4"/>
          <c:tx>
            <c:strRef>
              <c:f>'Component calculations'!$DM$4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calculations'!$DM$25:$DM$40</c15:sqref>
                  </c15:fullRef>
                </c:ext>
              </c:extLst>
              <c:f>('Component calculations'!$DM$25:$DM$33,'Component calculations'!$DM$37:$DM$40)</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4-A5B6-4450-A4C8-5193BBD221CB}"/>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1500000000000001"/>
          <c:min val="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27094196993834163"/>
          <c:h val="5.205063178004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Government investment</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calculations'!$DQ$4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calculations'!$DQ$25:$DQ$40</c15:sqref>
                  </c15:fullRef>
                </c:ext>
              </c:extLst>
              <c:f>('Component calculations'!$DQ$25:$DQ$33,'Component calculations'!$DQ$37:$DQ$40)</c:f>
              <c:numCache>
                <c:formatCode>0.000</c:formatCode>
                <c:ptCount val="13"/>
                <c:pt idx="0">
                  <c:v>1.4453132264308839</c:v>
                </c:pt>
                <c:pt idx="1">
                  <c:v>1.52459622734558</c:v>
                </c:pt>
                <c:pt idx="2">
                  <c:v>1.5292671166827387</c:v>
                </c:pt>
                <c:pt idx="3">
                  <c:v>1.4438078448655796</c:v>
                </c:pt>
                <c:pt idx="4">
                  <c:v>1.5671470352602774</c:v>
                </c:pt>
                <c:pt idx="5">
                  <c:v>1.5054337832371005</c:v>
                </c:pt>
                <c:pt idx="6">
                  <c:v>1.4211134638323053</c:v>
                </c:pt>
                <c:pt idx="7">
                  <c:v>1.3293087888691264</c:v>
                </c:pt>
                <c:pt idx="8">
                  <c:v>1.3568718996206595</c:v>
                </c:pt>
                <c:pt idx="9">
                  <c:v>1.5130082701585112</c:v>
                </c:pt>
                <c:pt idx="10">
                  <c:v>1.5563696907535161</c:v>
                </c:pt>
                <c:pt idx="11">
                  <c:v>1.524446329852063</c:v>
                </c:pt>
                <c:pt idx="12">
                  <c:v>1.4865680632633966</c:v>
                </c:pt>
              </c:numCache>
            </c:numRef>
          </c:val>
          <c:smooth val="0"/>
          <c:extLst>
            <c:ext xmlns:c16="http://schemas.microsoft.com/office/drawing/2014/chart" uri="{C3380CC4-5D6E-409C-BE32-E72D297353CC}">
              <c16:uniqueId val="{00000000-C2E0-417A-861E-B1D88D9D7685}"/>
            </c:ext>
          </c:extLst>
        </c:ser>
        <c:ser>
          <c:idx val="1"/>
          <c:order val="1"/>
          <c:tx>
            <c:strRef>
              <c:f>'Component calculations'!$DR$4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calculations'!$DR$25:$DR$40</c15:sqref>
                  </c15:fullRef>
                </c:ext>
              </c:extLst>
              <c:f>('Component calculations'!$DR$25:$DR$33,'Component calculations'!$DR$37:$DR$40)</c:f>
              <c:numCache>
                <c:formatCode>0.000</c:formatCode>
                <c:ptCount val="13"/>
                <c:pt idx="0">
                  <c:v>0.71516646115906291</c:v>
                </c:pt>
                <c:pt idx="1">
                  <c:v>0.65864457267496279</c:v>
                </c:pt>
                <c:pt idx="2">
                  <c:v>0.75267006939062731</c:v>
                </c:pt>
                <c:pt idx="3">
                  <c:v>0.6899530775600331</c:v>
                </c:pt>
                <c:pt idx="4">
                  <c:v>0.70247422148453287</c:v>
                </c:pt>
                <c:pt idx="5">
                  <c:v>0.79806973481953114</c:v>
                </c:pt>
                <c:pt idx="6">
                  <c:v>0.76762150537634399</c:v>
                </c:pt>
                <c:pt idx="7">
                  <c:v>0.85189553496208925</c:v>
                </c:pt>
                <c:pt idx="8">
                  <c:v>0.75182701667104435</c:v>
                </c:pt>
                <c:pt idx="9">
                  <c:v>0.71201615311700617</c:v>
                </c:pt>
                <c:pt idx="10">
                  <c:v>0.71786745146867392</c:v>
                </c:pt>
                <c:pt idx="11">
                  <c:v>0.74284504657070283</c:v>
                </c:pt>
              </c:numCache>
            </c:numRef>
          </c:val>
          <c:smooth val="0"/>
          <c:extLst>
            <c:ext xmlns:c16="http://schemas.microsoft.com/office/drawing/2014/chart" uri="{C3380CC4-5D6E-409C-BE32-E72D297353CC}">
              <c16:uniqueId val="{00000001-C2E0-417A-861E-B1D88D9D7685}"/>
            </c:ext>
          </c:extLst>
        </c:ser>
        <c:ser>
          <c:idx val="2"/>
          <c:order val="2"/>
          <c:tx>
            <c:strRef>
              <c:f>'Component calculations'!$DS$4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calculations'!$DS$25:$DS$40</c15:sqref>
                  </c15:fullRef>
                </c:ext>
              </c:extLst>
              <c:f>('Component calculations'!$DS$25:$DS$33,'Component calculations'!$DS$37:$DS$40)</c:f>
              <c:numCache>
                <c:formatCode>0.000</c:formatCode>
                <c:ptCount val="13"/>
                <c:pt idx="0">
                  <c:v>0.93669056706216758</c:v>
                </c:pt>
                <c:pt idx="1">
                  <c:v>0.88372919504827341</c:v>
                </c:pt>
                <c:pt idx="2">
                  <c:v>0.85297438365292066</c:v>
                </c:pt>
                <c:pt idx="3">
                  <c:v>0.86357190835136954</c:v>
                </c:pt>
                <c:pt idx="4">
                  <c:v>0.89111534108447366</c:v>
                </c:pt>
                <c:pt idx="5">
                  <c:v>0.8896641357137971</c:v>
                </c:pt>
                <c:pt idx="6">
                  <c:v>0.91342210477546892</c:v>
                </c:pt>
                <c:pt idx="7">
                  <c:v>0.97000705430190781</c:v>
                </c:pt>
                <c:pt idx="8">
                  <c:v>0.92951878999234661</c:v>
                </c:pt>
                <c:pt idx="9">
                  <c:v>0.85556378252591492</c:v>
                </c:pt>
                <c:pt idx="10">
                  <c:v>0.86070256011234891</c:v>
                </c:pt>
                <c:pt idx="11">
                  <c:v>0.87489372555687805</c:v>
                </c:pt>
              </c:numCache>
            </c:numRef>
          </c:val>
          <c:smooth val="0"/>
          <c:extLst>
            <c:ext xmlns:c16="http://schemas.microsoft.com/office/drawing/2014/chart" uri="{C3380CC4-5D6E-409C-BE32-E72D297353CC}">
              <c16:uniqueId val="{00000002-C2E0-417A-861E-B1D88D9D7685}"/>
            </c:ext>
          </c:extLst>
        </c:ser>
        <c:ser>
          <c:idx val="3"/>
          <c:order val="3"/>
          <c:tx>
            <c:strRef>
              <c:f>'Component calculations'!$DT$4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calculations'!$DT$25:$DT$40</c15:sqref>
                  </c15:fullRef>
                </c:ext>
              </c:extLst>
              <c:f>('Component calculations'!$DT$25:$DT$33,'Component calculations'!$DT$37:$DT$40)</c:f>
              <c:numCache>
                <c:formatCode>0.000</c:formatCode>
                <c:ptCount val="13"/>
                <c:pt idx="0">
                  <c:v>0.96713641809779194</c:v>
                </c:pt>
                <c:pt idx="1">
                  <c:v>0.93566264849602698</c:v>
                </c:pt>
                <c:pt idx="2">
                  <c:v>0.92693581409391546</c:v>
                </c:pt>
                <c:pt idx="3">
                  <c:v>0.92247509351505497</c:v>
                </c:pt>
                <c:pt idx="4">
                  <c:v>0.93849512617368391</c:v>
                </c:pt>
                <c:pt idx="5">
                  <c:v>0.88365681896255588</c:v>
                </c:pt>
                <c:pt idx="6">
                  <c:v>0.88864601286308786</c:v>
                </c:pt>
                <c:pt idx="7">
                  <c:v>0.9596110635779912</c:v>
                </c:pt>
                <c:pt idx="8">
                  <c:v>0.91603777312418511</c:v>
                </c:pt>
                <c:pt idx="9">
                  <c:v>0.92145236289285359</c:v>
                </c:pt>
                <c:pt idx="10">
                  <c:v>0.91916295950901683</c:v>
                </c:pt>
                <c:pt idx="11">
                  <c:v>0.91478968461828947</c:v>
                </c:pt>
              </c:numCache>
            </c:numRef>
          </c:val>
          <c:smooth val="0"/>
          <c:extLst>
            <c:ext xmlns:c16="http://schemas.microsoft.com/office/drawing/2014/chart" uri="{C3380CC4-5D6E-409C-BE32-E72D297353CC}">
              <c16:uniqueId val="{00000003-C2E0-417A-861E-B1D88D9D7685}"/>
            </c:ext>
          </c:extLst>
        </c:ser>
        <c:ser>
          <c:idx val="4"/>
          <c:order val="4"/>
          <c:tx>
            <c:strRef>
              <c:f>'Component calculations'!$DU$4</c:f>
              <c:strCache>
                <c:ptCount val="1"/>
                <c:pt idx="0">
                  <c:v>One line</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calculations'!$DU$25:$DU$40</c15:sqref>
                  </c15:fullRef>
                </c:ext>
              </c:extLst>
              <c:f>('Component calculations'!$DU$25:$DU$33,'Component calculations'!$DU$37:$DU$40)</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4-C2E0-417A-861E-B1D88D9D7685}"/>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6"/>
          <c:min val="0.600000000000000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41715790343279158"/>
          <c:y val="3.4110730667355774E-2"/>
          <c:w val="0.27094196993834163"/>
          <c:h val="5.205063178004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Transport investment</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calculations'!$DY$4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calculations'!$DY$25:$DY$40</c15:sqref>
                  </c15:fullRef>
                </c:ext>
              </c:extLst>
              <c:f>('Component calculations'!$DY$25:$DY$33,'Component calculations'!$DY$37:$DY$40)</c:f>
              <c:numCache>
                <c:formatCode>0.000</c:formatCode>
                <c:ptCount val="13"/>
                <c:pt idx="0">
                  <c:v>0.82783032553821168</c:v>
                </c:pt>
                <c:pt idx="1">
                  <c:v>0.66456494325346782</c:v>
                </c:pt>
                <c:pt idx="2">
                  <c:v>1.9100212652844231</c:v>
                </c:pt>
                <c:pt idx="3">
                  <c:v>0.71768823629844636</c:v>
                </c:pt>
                <c:pt idx="4">
                  <c:v>0.9372809667673716</c:v>
                </c:pt>
                <c:pt idx="5">
                  <c:v>1.4697420634920635</c:v>
                </c:pt>
                <c:pt idx="6">
                  <c:v>1.1610493109745974</c:v>
                </c:pt>
                <c:pt idx="7">
                  <c:v>0.84132903882013899</c:v>
                </c:pt>
                <c:pt idx="8">
                  <c:v>0.78797247866225395</c:v>
                </c:pt>
                <c:pt idx="9">
                  <c:v>0.73840763381541674</c:v>
                </c:pt>
                <c:pt idx="10">
                  <c:v>0.97357065803667742</c:v>
                </c:pt>
                <c:pt idx="11">
                  <c:v>0.88800146212190445</c:v>
                </c:pt>
                <c:pt idx="12">
                  <c:v>0.95578655012559477</c:v>
                </c:pt>
              </c:numCache>
            </c:numRef>
          </c:val>
          <c:smooth val="0"/>
          <c:extLst>
            <c:ext xmlns:c16="http://schemas.microsoft.com/office/drawing/2014/chart" uri="{C3380CC4-5D6E-409C-BE32-E72D297353CC}">
              <c16:uniqueId val="{00000000-B9A3-4A31-809C-028FF2F67822}"/>
            </c:ext>
          </c:extLst>
        </c:ser>
        <c:ser>
          <c:idx val="1"/>
          <c:order val="1"/>
          <c:tx>
            <c:strRef>
              <c:f>'Component calculations'!$DZ$4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calculations'!$DZ$25:$DZ$40</c15:sqref>
                  </c15:fullRef>
                </c:ext>
              </c:extLst>
              <c:f>('Component calculations'!$DZ$25:$DZ$33,'Component calculations'!$DZ$37:$DZ$40)</c:f>
              <c:numCache>
                <c:formatCode>0.000</c:formatCode>
                <c:ptCount val="13"/>
                <c:pt idx="0">
                  <c:v>0.96032016877113524</c:v>
                </c:pt>
                <c:pt idx="1">
                  <c:v>0.84084537416433036</c:v>
                </c:pt>
                <c:pt idx="2">
                  <c:v>0.78607089365951077</c:v>
                </c:pt>
                <c:pt idx="3">
                  <c:v>0.91554368499858363</c:v>
                </c:pt>
                <c:pt idx="4">
                  <c:v>0.99065975178677412</c:v>
                </c:pt>
                <c:pt idx="5">
                  <c:v>0.87384876123363742</c:v>
                </c:pt>
                <c:pt idx="6">
                  <c:v>1.2046684501807339</c:v>
                </c:pt>
                <c:pt idx="7">
                  <c:v>1.2053417345587349</c:v>
                </c:pt>
                <c:pt idx="8">
                  <c:v>0.66379876219054768</c:v>
                </c:pt>
                <c:pt idx="9">
                  <c:v>1.0547032747696521</c:v>
                </c:pt>
                <c:pt idx="10">
                  <c:v>1.0450335173125036</c:v>
                </c:pt>
                <c:pt idx="11">
                  <c:v>1.1340512093162138</c:v>
                </c:pt>
              </c:numCache>
            </c:numRef>
          </c:val>
          <c:smooth val="0"/>
          <c:extLst>
            <c:ext xmlns:c16="http://schemas.microsoft.com/office/drawing/2014/chart" uri="{C3380CC4-5D6E-409C-BE32-E72D297353CC}">
              <c16:uniqueId val="{00000001-B9A3-4A31-809C-028FF2F67822}"/>
            </c:ext>
          </c:extLst>
        </c:ser>
        <c:ser>
          <c:idx val="2"/>
          <c:order val="2"/>
          <c:tx>
            <c:strRef>
              <c:f>'Component calculations'!$EA$4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calculations'!$EA$25:$EA$40</c15:sqref>
                  </c15:fullRef>
                </c:ext>
              </c:extLst>
              <c:f>('Component calculations'!$EA$25:$EA$33,'Component calculations'!$EA$37:$EA$40)</c:f>
              <c:numCache>
                <c:formatCode>0.000</c:formatCode>
                <c:ptCount val="13"/>
                <c:pt idx="0">
                  <c:v>1.0226252746912625</c:v>
                </c:pt>
                <c:pt idx="1">
                  <c:v>0.68610837438423644</c:v>
                </c:pt>
                <c:pt idx="2">
                  <c:v>0.37528785261945885</c:v>
                </c:pt>
                <c:pt idx="3">
                  <c:v>1.1229359715738869</c:v>
                </c:pt>
                <c:pt idx="4">
                  <c:v>0.85162264150943401</c:v>
                </c:pt>
                <c:pt idx="5">
                  <c:v>0.70875831027790392</c:v>
                </c:pt>
                <c:pt idx="6">
                  <c:v>1.0634830180077501</c:v>
                </c:pt>
                <c:pt idx="7">
                  <c:v>1.0182428456223709</c:v>
                </c:pt>
                <c:pt idx="8">
                  <c:v>0.92166502785971816</c:v>
                </c:pt>
                <c:pt idx="9">
                  <c:v>0.85527770689801819</c:v>
                </c:pt>
                <c:pt idx="10">
                  <c:v>0.81778067129629628</c:v>
                </c:pt>
                <c:pt idx="11">
                  <c:v>0.88117539710619919</c:v>
                </c:pt>
              </c:numCache>
            </c:numRef>
          </c:val>
          <c:smooth val="0"/>
          <c:extLst>
            <c:ext xmlns:c16="http://schemas.microsoft.com/office/drawing/2014/chart" uri="{C3380CC4-5D6E-409C-BE32-E72D297353CC}">
              <c16:uniqueId val="{00000002-B9A3-4A31-809C-028FF2F67822}"/>
            </c:ext>
          </c:extLst>
        </c:ser>
        <c:ser>
          <c:idx val="3"/>
          <c:order val="3"/>
          <c:tx>
            <c:strRef>
              <c:f>'Component calculations'!$EB$4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calculations'!$EB$25:$EB$40</c15:sqref>
                  </c15:fullRef>
                </c:ext>
              </c:extLst>
              <c:f>('Component calculations'!$EB$25:$EB$33,'Component calculations'!$EB$37:$EB$40)</c:f>
              <c:numCache>
                <c:formatCode>0.000</c:formatCode>
                <c:ptCount val="13"/>
                <c:pt idx="0">
                  <c:v>1.6526983728089466</c:v>
                </c:pt>
                <c:pt idx="1">
                  <c:v>1.3165192040408151</c:v>
                </c:pt>
                <c:pt idx="2">
                  <c:v>0.98003650042832136</c:v>
                </c:pt>
                <c:pt idx="3">
                  <c:v>1.1260450592619953</c:v>
                </c:pt>
                <c:pt idx="4">
                  <c:v>1.0042646062764971</c:v>
                </c:pt>
                <c:pt idx="5">
                  <c:v>0.95310867036065705</c:v>
                </c:pt>
                <c:pt idx="6">
                  <c:v>0.84940758972010766</c:v>
                </c:pt>
                <c:pt idx="7">
                  <c:v>1.3443349208107209</c:v>
                </c:pt>
                <c:pt idx="8">
                  <c:v>1.2787637698898409</c:v>
                </c:pt>
                <c:pt idx="9">
                  <c:v>1.3280779979945811</c:v>
                </c:pt>
                <c:pt idx="10">
                  <c:v>1.2224291330436583</c:v>
                </c:pt>
                <c:pt idx="11">
                  <c:v>1.2318988865482998</c:v>
                </c:pt>
              </c:numCache>
            </c:numRef>
          </c:val>
          <c:smooth val="0"/>
          <c:extLst>
            <c:ext xmlns:c16="http://schemas.microsoft.com/office/drawing/2014/chart" uri="{C3380CC4-5D6E-409C-BE32-E72D297353CC}">
              <c16:uniqueId val="{00000003-B9A3-4A31-809C-028FF2F67822}"/>
            </c:ext>
          </c:extLst>
        </c:ser>
        <c:ser>
          <c:idx val="4"/>
          <c:order val="4"/>
          <c:tx>
            <c:strRef>
              <c:f>'Component calculations'!$EC$4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calculations'!$EC$25:$EC$40</c15:sqref>
                  </c15:fullRef>
                </c:ext>
              </c:extLst>
              <c:f>('Component calculations'!$EC$25:$EC$33,'Component calculations'!$EC$37:$EC$40)</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4-B9A3-4A31-809C-028FF2F67822}"/>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27094196993834163"/>
          <c:h val="5.205063178004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ICT equipment investment</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calculations'!$EG$4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calculations'!$EG$25:$EG$40</c15:sqref>
                  </c15:fullRef>
                </c:ext>
              </c:extLst>
              <c:f>('Component calculations'!$EG$25:$EG$33,'Component calculations'!$EG$37:$EG$40)</c:f>
              <c:numCache>
                <c:formatCode>0.000</c:formatCode>
                <c:ptCount val="13"/>
                <c:pt idx="0">
                  <c:v>1.2418748416518877</c:v>
                </c:pt>
                <c:pt idx="1">
                  <c:v>1.0986275484833417</c:v>
                </c:pt>
                <c:pt idx="2">
                  <c:v>1.0231703974417541</c:v>
                </c:pt>
                <c:pt idx="3">
                  <c:v>1.0928810727710587</c:v>
                </c:pt>
                <c:pt idx="4">
                  <c:v>1.0881427707199032</c:v>
                </c:pt>
                <c:pt idx="5">
                  <c:v>1.0379401519284845</c:v>
                </c:pt>
                <c:pt idx="6">
                  <c:v>1.0280818230755426</c:v>
                </c:pt>
                <c:pt idx="7">
                  <c:v>1.0239219951829694</c:v>
                </c:pt>
                <c:pt idx="8">
                  <c:v>1.0606289037260392</c:v>
                </c:pt>
                <c:pt idx="9">
                  <c:v>1.2498003886771418</c:v>
                </c:pt>
                <c:pt idx="10">
                  <c:v>1.1427799427631979</c:v>
                </c:pt>
                <c:pt idx="11">
                  <c:v>1.1181859756097563</c:v>
                </c:pt>
                <c:pt idx="12">
                  <c:v>1.162403865986976</c:v>
                </c:pt>
              </c:numCache>
            </c:numRef>
          </c:val>
          <c:smooth val="0"/>
          <c:extLst>
            <c:ext xmlns:c16="http://schemas.microsoft.com/office/drawing/2014/chart" uri="{C3380CC4-5D6E-409C-BE32-E72D297353CC}">
              <c16:uniqueId val="{00000000-76D4-43F6-BF4B-847598054088}"/>
            </c:ext>
          </c:extLst>
        </c:ser>
        <c:ser>
          <c:idx val="1"/>
          <c:order val="1"/>
          <c:tx>
            <c:strRef>
              <c:f>'Component calculations'!$EH$4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calculations'!$EH$25:$EH$40</c15:sqref>
                  </c15:fullRef>
                </c:ext>
              </c:extLst>
              <c:f>('Component calculations'!$EH$25:$EH$33,'Component calculations'!$EH$37:$EH$40)</c:f>
              <c:numCache>
                <c:formatCode>0.000</c:formatCode>
                <c:ptCount val="13"/>
                <c:pt idx="0">
                  <c:v>0.82217155606004266</c:v>
                </c:pt>
                <c:pt idx="1">
                  <c:v>0.88704385671242048</c:v>
                </c:pt>
                <c:pt idx="2">
                  <c:v>0.90506368055128283</c:v>
                </c:pt>
                <c:pt idx="3">
                  <c:v>0.84792069632495159</c:v>
                </c:pt>
                <c:pt idx="4">
                  <c:v>0.91081468323460169</c:v>
                </c:pt>
                <c:pt idx="5">
                  <c:v>0.87962635573499548</c:v>
                </c:pt>
                <c:pt idx="6">
                  <c:v>0.93415827064391088</c:v>
                </c:pt>
                <c:pt idx="7">
                  <c:v>0.92965882057869009</c:v>
                </c:pt>
                <c:pt idx="8">
                  <c:v>0.93783800114807092</c:v>
                </c:pt>
                <c:pt idx="9">
                  <c:v>0.88114899437661487</c:v>
                </c:pt>
                <c:pt idx="10">
                  <c:v>0.89908780354059681</c:v>
                </c:pt>
                <c:pt idx="11">
                  <c:v>0.87006722430338179</c:v>
                </c:pt>
              </c:numCache>
            </c:numRef>
          </c:val>
          <c:smooth val="0"/>
          <c:extLst>
            <c:ext xmlns:c16="http://schemas.microsoft.com/office/drawing/2014/chart" uri="{C3380CC4-5D6E-409C-BE32-E72D297353CC}">
              <c16:uniqueId val="{00000001-76D4-43F6-BF4B-847598054088}"/>
            </c:ext>
          </c:extLst>
        </c:ser>
        <c:ser>
          <c:idx val="2"/>
          <c:order val="2"/>
          <c:tx>
            <c:strRef>
              <c:f>'Component calculations'!$EI$4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calculations'!$EI$25:$EI$40</c15:sqref>
                  </c15:fullRef>
                </c:ext>
              </c:extLst>
              <c:f>('Component calculations'!$EI$25:$EI$33,'Component calculations'!$EI$37:$EI$40)</c:f>
              <c:numCache>
                <c:formatCode>0.000</c:formatCode>
                <c:ptCount val="13"/>
                <c:pt idx="0">
                  <c:v>0.90640530093870786</c:v>
                </c:pt>
                <c:pt idx="1">
                  <c:v>0.9950246412182091</c:v>
                </c:pt>
                <c:pt idx="2">
                  <c:v>0.9935411750093156</c:v>
                </c:pt>
                <c:pt idx="3">
                  <c:v>0.94040177216726351</c:v>
                </c:pt>
                <c:pt idx="4">
                  <c:v>1.0099216008863967</c:v>
                </c:pt>
                <c:pt idx="5">
                  <c:v>0.93148606300511305</c:v>
                </c:pt>
                <c:pt idx="6">
                  <c:v>0.99858811348430054</c:v>
                </c:pt>
                <c:pt idx="7">
                  <c:v>0.96743540465513556</c:v>
                </c:pt>
                <c:pt idx="8">
                  <c:v>0.94956949569495697</c:v>
                </c:pt>
                <c:pt idx="9">
                  <c:v>0.94040383379112846</c:v>
                </c:pt>
                <c:pt idx="10">
                  <c:v>0.94057552017016932</c:v>
                </c:pt>
                <c:pt idx="11">
                  <c:v>0.94954597257453777</c:v>
                </c:pt>
              </c:numCache>
            </c:numRef>
          </c:val>
          <c:smooth val="0"/>
          <c:extLst>
            <c:ext xmlns:c16="http://schemas.microsoft.com/office/drawing/2014/chart" uri="{C3380CC4-5D6E-409C-BE32-E72D297353CC}">
              <c16:uniqueId val="{00000002-76D4-43F6-BF4B-847598054088}"/>
            </c:ext>
          </c:extLst>
        </c:ser>
        <c:ser>
          <c:idx val="3"/>
          <c:order val="3"/>
          <c:tx>
            <c:strRef>
              <c:f>'Component calculations'!$EJ$4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calculations'!$EJ$25:$EJ$40</c15:sqref>
                  </c15:fullRef>
                </c:ext>
              </c:extLst>
              <c:f>('Component calculations'!$EJ$25:$EJ$33,'Component calculations'!$EJ$37:$EJ$40)</c:f>
              <c:numCache>
                <c:formatCode>0.000</c:formatCode>
                <c:ptCount val="13"/>
                <c:pt idx="0">
                  <c:v>1.0028934556550764</c:v>
                </c:pt>
                <c:pt idx="1">
                  <c:v>1.0923494373356379</c:v>
                </c:pt>
                <c:pt idx="2">
                  <c:v>1.1068966755223666</c:v>
                </c:pt>
                <c:pt idx="3">
                  <c:v>1.0424857931058491</c:v>
                </c:pt>
                <c:pt idx="4">
                  <c:v>1.0882977733016241</c:v>
                </c:pt>
                <c:pt idx="5">
                  <c:v>1.0964510187731773</c:v>
                </c:pt>
                <c:pt idx="6">
                  <c:v>1.0608941458869605</c:v>
                </c:pt>
                <c:pt idx="7">
                  <c:v>1.0833628919081475</c:v>
                </c:pt>
                <c:pt idx="8">
                  <c:v>1.0492464278723821</c:v>
                </c:pt>
                <c:pt idx="9">
                  <c:v>0.96899443204650093</c:v>
                </c:pt>
                <c:pt idx="10">
                  <c:v>1.0612489871860276</c:v>
                </c:pt>
                <c:pt idx="11">
                  <c:v>0.99696126905644833</c:v>
                </c:pt>
              </c:numCache>
            </c:numRef>
          </c:val>
          <c:smooth val="0"/>
          <c:extLst>
            <c:ext xmlns:c16="http://schemas.microsoft.com/office/drawing/2014/chart" uri="{C3380CC4-5D6E-409C-BE32-E72D297353CC}">
              <c16:uniqueId val="{00000003-76D4-43F6-BF4B-847598054088}"/>
            </c:ext>
          </c:extLst>
        </c:ser>
        <c:ser>
          <c:idx val="4"/>
          <c:order val="4"/>
          <c:tx>
            <c:strRef>
              <c:f>'Component calculations'!$EK$4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calculations'!$AL$25:$AL$33,'Component calculations'!$AL$37:$AL$40)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'Component calculations'!$EK$25:$EK$40</c15:sqref>
                  </c15:fullRef>
                </c:ext>
              </c:extLst>
              <c:f>('Component calculations'!$EK$25:$EK$33,'Component calculations'!$EK$37:$EK$40)</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4-76D4-43F6-BF4B-847598054088}"/>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47568866110454483"/>
          <c:h val="5.205063178004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Dwellings investment</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calculations'!$EO$4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calculations'!$EO$25:$EO$40</c15:sqref>
                  </c15:fullRef>
                </c:ext>
              </c:extLst>
              <c:f>('Component calculations'!$EO$25:$EO$34,'Component calculations'!$EO$37:$EO$40)</c:f>
              <c:numCache>
                <c:formatCode>0.000</c:formatCode>
                <c:ptCount val="14"/>
                <c:pt idx="0">
                  <c:v>0.95538429234681588</c:v>
                </c:pt>
                <c:pt idx="1">
                  <c:v>0.97377933639061232</c:v>
                </c:pt>
                <c:pt idx="2">
                  <c:v>0.94326995346457077</c:v>
                </c:pt>
                <c:pt idx="3">
                  <c:v>0.93613820134559589</c:v>
                </c:pt>
                <c:pt idx="4">
                  <c:v>0.96689861481433304</c:v>
                </c:pt>
                <c:pt idx="5">
                  <c:v>0.95259902094733306</c:v>
                </c:pt>
                <c:pt idx="6">
                  <c:v>0.96290263287994216</c:v>
                </c:pt>
                <c:pt idx="7">
                  <c:v>0.97357520188033797</c:v>
                </c:pt>
                <c:pt idx="8">
                  <c:v>0.96218324013779422</c:v>
                </c:pt>
                <c:pt idx="9">
                  <c:v>0.98617460140483892</c:v>
                </c:pt>
                <c:pt idx="10">
                  <c:v>1.0272466368627371</c:v>
                </c:pt>
                <c:pt idx="11">
                  <c:v>0.99080594281062373</c:v>
                </c:pt>
                <c:pt idx="12">
                  <c:v>0.99288641378585685</c:v>
                </c:pt>
                <c:pt idx="13">
                  <c:v>0.97170600429137721</c:v>
                </c:pt>
              </c:numCache>
            </c:numRef>
          </c:val>
          <c:smooth val="0"/>
          <c:extLst>
            <c:ext xmlns:c16="http://schemas.microsoft.com/office/drawing/2014/chart" uri="{C3380CC4-5D6E-409C-BE32-E72D297353CC}">
              <c16:uniqueId val="{00000000-4745-4763-80D8-2216B8DAF7F3}"/>
            </c:ext>
          </c:extLst>
        </c:ser>
        <c:ser>
          <c:idx val="1"/>
          <c:order val="1"/>
          <c:tx>
            <c:strRef>
              <c:f>'Component calculations'!$EP$4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calculations'!$EP$25:$EP$40</c15:sqref>
                  </c15:fullRef>
                </c:ext>
              </c:extLst>
              <c:f>('Component calculations'!$EP$25:$EP$34,'Component calculations'!$EP$37:$EP$40)</c:f>
              <c:numCache>
                <c:formatCode>0.000</c:formatCode>
                <c:ptCount val="14"/>
                <c:pt idx="0">
                  <c:v>0.98334677794669723</c:v>
                </c:pt>
                <c:pt idx="1">
                  <c:v>0.97056511553698044</c:v>
                </c:pt>
                <c:pt idx="2">
                  <c:v>0.95231329865793357</c:v>
                </c:pt>
                <c:pt idx="3">
                  <c:v>1.0078618857901727</c:v>
                </c:pt>
                <c:pt idx="4">
                  <c:v>0.95231289634518579</c:v>
                </c:pt>
                <c:pt idx="5">
                  <c:v>1.0070479950947033</c:v>
                </c:pt>
                <c:pt idx="6">
                  <c:v>0.9737539684024723</c:v>
                </c:pt>
                <c:pt idx="7">
                  <c:v>0.99069722176105879</c:v>
                </c:pt>
                <c:pt idx="8">
                  <c:v>0.99155658228671828</c:v>
                </c:pt>
                <c:pt idx="9">
                  <c:v>1.0174377243234858</c:v>
                </c:pt>
                <c:pt idx="10">
                  <c:v>1.009886242571433</c:v>
                </c:pt>
                <c:pt idx="11">
                  <c:v>0.98699766624778806</c:v>
                </c:pt>
                <c:pt idx="12">
                  <c:v>1.0061560698215426</c:v>
                </c:pt>
              </c:numCache>
            </c:numRef>
          </c:val>
          <c:smooth val="0"/>
          <c:extLst>
            <c:ext xmlns:c16="http://schemas.microsoft.com/office/drawing/2014/chart" uri="{C3380CC4-5D6E-409C-BE32-E72D297353CC}">
              <c16:uniqueId val="{00000001-4745-4763-80D8-2216B8DAF7F3}"/>
            </c:ext>
          </c:extLst>
        </c:ser>
        <c:ser>
          <c:idx val="2"/>
          <c:order val="2"/>
          <c:tx>
            <c:strRef>
              <c:f>'Component calculations'!$EQ$4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calculations'!$EQ$25:$EQ$40</c15:sqref>
                  </c15:fullRef>
                </c:ext>
              </c:extLst>
              <c:f>('Component calculations'!$EQ$25:$EQ$34,'Component calculations'!$EQ$37:$EQ$40)</c:f>
              <c:numCache>
                <c:formatCode>0.000</c:formatCode>
                <c:ptCount val="14"/>
                <c:pt idx="0">
                  <c:v>1.0589915927027469</c:v>
                </c:pt>
                <c:pt idx="1">
                  <c:v>1.0141603731674811</c:v>
                </c:pt>
                <c:pt idx="2">
                  <c:v>1.0045173751336856</c:v>
                </c:pt>
                <c:pt idx="3">
                  <c:v>1.0499103497114617</c:v>
                </c:pt>
                <c:pt idx="4">
                  <c:v>1.0208198574099216</c:v>
                </c:pt>
                <c:pt idx="5">
                  <c:v>1.0138949919439673</c:v>
                </c:pt>
                <c:pt idx="6">
                  <c:v>1.0067729766803841</c:v>
                </c:pt>
                <c:pt idx="7">
                  <c:v>1.0160449823476996</c:v>
                </c:pt>
                <c:pt idx="8">
                  <c:v>1.0062688334050798</c:v>
                </c:pt>
                <c:pt idx="9">
                  <c:v>1.1094091530054644</c:v>
                </c:pt>
                <c:pt idx="10">
                  <c:v>1.0342808313855587</c:v>
                </c:pt>
                <c:pt idx="11">
                  <c:v>0.98099762470308782</c:v>
                </c:pt>
                <c:pt idx="12">
                  <c:v>0.99219861507042773</c:v>
                </c:pt>
              </c:numCache>
            </c:numRef>
          </c:val>
          <c:smooth val="0"/>
          <c:extLst>
            <c:ext xmlns:c16="http://schemas.microsoft.com/office/drawing/2014/chart" uri="{C3380CC4-5D6E-409C-BE32-E72D297353CC}">
              <c16:uniqueId val="{00000002-4745-4763-80D8-2216B8DAF7F3}"/>
            </c:ext>
          </c:extLst>
        </c:ser>
        <c:ser>
          <c:idx val="3"/>
          <c:order val="3"/>
          <c:tx>
            <c:strRef>
              <c:f>'Component calculations'!$ER$4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calculations'!$ER$25:$ER$40</c15:sqref>
                  </c15:fullRef>
                </c:ext>
              </c:extLst>
              <c:f>('Component calculations'!$ER$25:$ER$34,'Component calculations'!$ER$37:$ER$40)</c:f>
              <c:numCache>
                <c:formatCode>0.000</c:formatCode>
                <c:ptCount val="14"/>
                <c:pt idx="0">
                  <c:v>1.0529662171101271</c:v>
                </c:pt>
                <c:pt idx="1">
                  <c:v>1.0551612980827059</c:v>
                </c:pt>
                <c:pt idx="2">
                  <c:v>1.0193900557731104</c:v>
                </c:pt>
                <c:pt idx="3">
                  <c:v>1.0411283983210478</c:v>
                </c:pt>
                <c:pt idx="4">
                  <c:v>1.0265342529252293</c:v>
                </c:pt>
                <c:pt idx="5">
                  <c:v>1.025463993089186</c:v>
                </c:pt>
                <c:pt idx="6">
                  <c:v>1.0413386299265519</c:v>
                </c:pt>
                <c:pt idx="7">
                  <c:v>1.0520815898414397</c:v>
                </c:pt>
                <c:pt idx="8">
                  <c:v>1.0217891873366747</c:v>
                </c:pt>
                <c:pt idx="9">
                  <c:v>1.0817688318903653</c:v>
                </c:pt>
                <c:pt idx="10">
                  <c:v>1.0273349783772601</c:v>
                </c:pt>
                <c:pt idx="11">
                  <c:v>0.99667598160779736</c:v>
                </c:pt>
                <c:pt idx="12">
                  <c:v>1.0015128435198131</c:v>
                </c:pt>
              </c:numCache>
            </c:numRef>
          </c:val>
          <c:smooth val="0"/>
          <c:extLst>
            <c:ext xmlns:c16="http://schemas.microsoft.com/office/drawing/2014/chart" uri="{C3380CC4-5D6E-409C-BE32-E72D297353CC}">
              <c16:uniqueId val="{00000003-4745-4763-80D8-2216B8DAF7F3}"/>
            </c:ext>
          </c:extLst>
        </c:ser>
        <c:ser>
          <c:idx val="4"/>
          <c:order val="4"/>
          <c:tx>
            <c:strRef>
              <c:f>'Component calculations'!$ES$4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calculations'!$ES$25:$ES$40</c15:sqref>
                  </c15:fullRef>
                </c:ext>
              </c:extLst>
              <c:f>('Component calculations'!$ES$25:$ES$34,'Component calculations'!$ES$37:$ES$40)</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4-4745-4763-80D8-2216B8DAF7F3}"/>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in val="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47568866110454483"/>
          <c:h val="5.205063178004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Other buildings investment</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calculations'!$EW$4</c:f>
              <c:strCache>
                <c:ptCount val="1"/>
                <c:pt idx="0">
                  <c:v>Q1</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calculations'!$EW$25:$EW$40</c15:sqref>
                  </c15:fullRef>
                </c:ext>
              </c:extLst>
              <c:f>('Component calculations'!$EW$25:$EW$34,'Component calculations'!$EW$37:$EW$40)</c:f>
              <c:numCache>
                <c:formatCode>0.000</c:formatCode>
                <c:ptCount val="14"/>
                <c:pt idx="0">
                  <c:v>1.0864739239564936</c:v>
                </c:pt>
                <c:pt idx="1">
                  <c:v>1.1324855533880527</c:v>
                </c:pt>
                <c:pt idx="2">
                  <c:v>1.0467674250121886</c:v>
                </c:pt>
                <c:pt idx="3">
                  <c:v>1.0190198401847295</c:v>
                </c:pt>
                <c:pt idx="4">
                  <c:v>1.0532409405324095</c:v>
                </c:pt>
                <c:pt idx="5">
                  <c:v>1.0447115384615384</c:v>
                </c:pt>
                <c:pt idx="6">
                  <c:v>1.0505137048203659</c:v>
                </c:pt>
                <c:pt idx="7">
                  <c:v>1.0470648169919274</c:v>
                </c:pt>
                <c:pt idx="8">
                  <c:v>1.0195597899591431</c:v>
                </c:pt>
                <c:pt idx="9">
                  <c:v>1.0537718085365091</c:v>
                </c:pt>
                <c:pt idx="10">
                  <c:v>1.0641621695421914</c:v>
                </c:pt>
                <c:pt idx="11">
                  <c:v>1.0953777510402567</c:v>
                </c:pt>
                <c:pt idx="12">
                  <c:v>1.1510378688444898</c:v>
                </c:pt>
                <c:pt idx="13">
                  <c:v>1.1422376325600263</c:v>
                </c:pt>
              </c:numCache>
            </c:numRef>
          </c:val>
          <c:smooth val="0"/>
          <c:extLst>
            <c:ext xmlns:c16="http://schemas.microsoft.com/office/drawing/2014/chart" uri="{C3380CC4-5D6E-409C-BE32-E72D297353CC}">
              <c16:uniqueId val="{00000000-6E17-4DC6-AD0A-41F3A7E8DC99}"/>
            </c:ext>
          </c:extLst>
        </c:ser>
        <c:ser>
          <c:idx val="1"/>
          <c:order val="1"/>
          <c:tx>
            <c:strRef>
              <c:f>'Component calculations'!$EX$4</c:f>
              <c:strCache>
                <c:ptCount val="1"/>
                <c:pt idx="0">
                  <c:v>Q2</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calculations'!$EX$25:$EX$40</c15:sqref>
                  </c15:fullRef>
                </c:ext>
              </c:extLst>
              <c:f>('Component calculations'!$EX$25:$EX$34,'Component calculations'!$EX$37:$EX$40)</c:f>
              <c:numCache>
                <c:formatCode>0.000</c:formatCode>
                <c:ptCount val="14"/>
                <c:pt idx="0">
                  <c:v>0.84559989962088955</c:v>
                </c:pt>
                <c:pt idx="1">
                  <c:v>0.82674473823326489</c:v>
                </c:pt>
                <c:pt idx="2">
                  <c:v>0.89669306624897971</c:v>
                </c:pt>
                <c:pt idx="3">
                  <c:v>0.91703891716078267</c:v>
                </c:pt>
                <c:pt idx="4">
                  <c:v>0.91099630643826024</c:v>
                </c:pt>
                <c:pt idx="5">
                  <c:v>0.95161963122242932</c:v>
                </c:pt>
                <c:pt idx="6">
                  <c:v>0.90920157003030755</c:v>
                </c:pt>
                <c:pt idx="7">
                  <c:v>0.90485202123744946</c:v>
                </c:pt>
                <c:pt idx="8">
                  <c:v>0.91005075441080008</c:v>
                </c:pt>
                <c:pt idx="9">
                  <c:v>0.91593994085083785</c:v>
                </c:pt>
                <c:pt idx="10">
                  <c:v>0.88779161900364156</c:v>
                </c:pt>
                <c:pt idx="11">
                  <c:v>0.85981491877296723</c:v>
                </c:pt>
                <c:pt idx="12">
                  <c:v>0.89503455285894384</c:v>
                </c:pt>
              </c:numCache>
            </c:numRef>
          </c:val>
          <c:smooth val="0"/>
          <c:extLst>
            <c:ext xmlns:c16="http://schemas.microsoft.com/office/drawing/2014/chart" uri="{C3380CC4-5D6E-409C-BE32-E72D297353CC}">
              <c16:uniqueId val="{00000001-6E17-4DC6-AD0A-41F3A7E8DC99}"/>
            </c:ext>
          </c:extLst>
        </c:ser>
        <c:ser>
          <c:idx val="2"/>
          <c:order val="2"/>
          <c:tx>
            <c:strRef>
              <c:f>'Component calculations'!$EY$4</c:f>
              <c:strCache>
                <c:ptCount val="1"/>
                <c:pt idx="0">
                  <c:v>Q3</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calculations'!$EY$25:$EY$40</c15:sqref>
                  </c15:fullRef>
                </c:ext>
              </c:extLst>
              <c:f>('Component calculations'!$EY$25:$EY$34,'Component calculations'!$EY$37:$EY$40)</c:f>
              <c:numCache>
                <c:formatCode>0.000</c:formatCode>
                <c:ptCount val="14"/>
                <c:pt idx="0">
                  <c:v>1.0454949383903622</c:v>
                </c:pt>
                <c:pt idx="1">
                  <c:v>1.0041977590704831</c:v>
                </c:pt>
                <c:pt idx="2">
                  <c:v>0.9967787690390657</c:v>
                </c:pt>
                <c:pt idx="3">
                  <c:v>1.0037368048012281</c:v>
                </c:pt>
                <c:pt idx="4">
                  <c:v>0.96550012801071339</c:v>
                </c:pt>
                <c:pt idx="5">
                  <c:v>1.0110174841086923</c:v>
                </c:pt>
                <c:pt idx="6">
                  <c:v>1.0104185686819973</c:v>
                </c:pt>
                <c:pt idx="7">
                  <c:v>1.0231744504425468</c:v>
                </c:pt>
                <c:pt idx="8">
                  <c:v>1.0257971439749609</c:v>
                </c:pt>
                <c:pt idx="9">
                  <c:v>1.0555483694792969</c:v>
                </c:pt>
                <c:pt idx="10">
                  <c:v>1.0176841222935729</c:v>
                </c:pt>
                <c:pt idx="11">
                  <c:v>0.96402123746399704</c:v>
                </c:pt>
                <c:pt idx="12">
                  <c:v>0.95312479571157749</c:v>
                </c:pt>
              </c:numCache>
            </c:numRef>
          </c:val>
          <c:smooth val="0"/>
          <c:extLst>
            <c:ext xmlns:c16="http://schemas.microsoft.com/office/drawing/2014/chart" uri="{C3380CC4-5D6E-409C-BE32-E72D297353CC}">
              <c16:uniqueId val="{00000002-6E17-4DC6-AD0A-41F3A7E8DC99}"/>
            </c:ext>
          </c:extLst>
        </c:ser>
        <c:ser>
          <c:idx val="3"/>
          <c:order val="3"/>
          <c:tx>
            <c:strRef>
              <c:f>'Component calculations'!$EZ$4</c:f>
              <c:strCache>
                <c:ptCount val="1"/>
                <c:pt idx="0">
                  <c:v>Q4</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calculations'!$EZ$25:$EZ$40</c15:sqref>
                  </c15:fullRef>
                </c:ext>
              </c:extLst>
              <c:f>('Component calculations'!$EZ$25:$EZ$34,'Component calculations'!$EZ$37:$EZ$40)</c:f>
              <c:numCache>
                <c:formatCode>0.000</c:formatCode>
                <c:ptCount val="14"/>
                <c:pt idx="0">
                  <c:v>1.0394050104384134</c:v>
                </c:pt>
                <c:pt idx="1">
                  <c:v>1.0310161597564644</c:v>
                </c:pt>
                <c:pt idx="2">
                  <c:v>1.079813832001788</c:v>
                </c:pt>
                <c:pt idx="3">
                  <c:v>1.0291490736932232</c:v>
                </c:pt>
                <c:pt idx="4">
                  <c:v>1.0461639750590606</c:v>
                </c:pt>
                <c:pt idx="5">
                  <c:v>1.0333694379711382</c:v>
                </c:pt>
                <c:pt idx="6">
                  <c:v>1.0376728098261996</c:v>
                </c:pt>
                <c:pt idx="7">
                  <c:v>1.0400206284616254</c:v>
                </c:pt>
                <c:pt idx="8">
                  <c:v>1.0289470189881822</c:v>
                </c:pt>
                <c:pt idx="9">
                  <c:v>1.1075029770792548</c:v>
                </c:pt>
                <c:pt idx="10">
                  <c:v>1.0414849810523612</c:v>
                </c:pt>
                <c:pt idx="11">
                  <c:v>1.0039461217293524</c:v>
                </c:pt>
                <c:pt idx="12">
                  <c:v>0.98205509716398398</c:v>
                </c:pt>
              </c:numCache>
            </c:numRef>
          </c:val>
          <c:smooth val="0"/>
          <c:extLst>
            <c:ext xmlns:c16="http://schemas.microsoft.com/office/drawing/2014/chart" uri="{C3380CC4-5D6E-409C-BE32-E72D297353CC}">
              <c16:uniqueId val="{00000003-6E17-4DC6-AD0A-41F3A7E8DC99}"/>
            </c:ext>
          </c:extLst>
        </c:ser>
        <c:ser>
          <c:idx val="4"/>
          <c:order val="4"/>
          <c:tx>
            <c:strRef>
              <c:f>'Component calculations'!$FA$4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'Component calculations'!$AL$25:$AL$40</c15:sqref>
                  </c15:fullRef>
                </c:ext>
              </c:extLst>
              <c:f>('Component calculations'!$AL$25:$AL$34,'Component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'Component calculations'!$FA$25:$FA$40</c15:sqref>
                  </c15:fullRef>
                </c:ext>
              </c:extLst>
              <c:f>('Component calculations'!$FA$25:$FA$34,'Component calculations'!$FA$37:$FA$40)</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4-6E17-4DC6-AD0A-41F3A7E8DC99}"/>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in val="0.8"/>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47568866110454483"/>
          <c:h val="5.205063178004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Intellectual property investment</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0"/>
          <c:order val="0"/>
          <c:tx>
            <c:strRef>
              <c:f>'Component calculations'!$FE$4</c:f>
              <c:strCache>
                <c:ptCount val="1"/>
                <c:pt idx="0">
                  <c:v>Q1</c:v>
                </c:pt>
              </c:strCache>
            </c:strRef>
          </c:tx>
          <c:spPr>
            <a:ln w="28575" cap="rnd">
              <a:solidFill>
                <a:schemeClr val="accent1"/>
              </a:solidFill>
              <a:round/>
            </a:ln>
            <a:effectLst/>
          </c:spPr>
          <c:marker>
            <c:symbol val="none"/>
          </c:marker>
          <c:cat>
            <c:numRef>
              <c:f>'Component calculations'!$AL$25:$AL$40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'Component calculations'!$FE$25:$FE$40</c:f>
              <c:numCache>
                <c:formatCode>0.000</c:formatCode>
                <c:ptCount val="16"/>
                <c:pt idx="0">
                  <c:v>1.0453741284212716</c:v>
                </c:pt>
                <c:pt idx="1">
                  <c:v>1.0211470038394275</c:v>
                </c:pt>
                <c:pt idx="2">
                  <c:v>0.94751635188736238</c:v>
                </c:pt>
                <c:pt idx="3">
                  <c:v>1.0439528041717083</c:v>
                </c:pt>
                <c:pt idx="4">
                  <c:v>1.0446338284204557</c:v>
                </c:pt>
                <c:pt idx="5">
                  <c:v>1.0105912073417467</c:v>
                </c:pt>
                <c:pt idx="6">
                  <c:v>1.0150811636002515</c:v>
                </c:pt>
                <c:pt idx="7">
                  <c:v>1.0113156230868821</c:v>
                </c:pt>
                <c:pt idx="8">
                  <c:v>1.0393733161135537</c:v>
                </c:pt>
                <c:pt idx="9">
                  <c:v>1.0304179831830196</c:v>
                </c:pt>
                <c:pt idx="10">
                  <c:v>1.0371301141933971</c:v>
                </c:pt>
                <c:pt idx="11">
                  <c:v>1.0423500644409527</c:v>
                </c:pt>
                <c:pt idx="12">
                  <c:v>1.1003827513463666</c:v>
                </c:pt>
                <c:pt idx="13">
                  <c:v>1.069026468268226</c:v>
                </c:pt>
                <c:pt idx="14">
                  <c:v>1.0185601187331368</c:v>
                </c:pt>
                <c:pt idx="15">
                  <c:v>1.0442054161732297</c:v>
                </c:pt>
              </c:numCache>
            </c:numRef>
          </c:val>
          <c:smooth val="0"/>
          <c:extLst>
            <c:ext xmlns:c16="http://schemas.microsoft.com/office/drawing/2014/chart" uri="{C3380CC4-5D6E-409C-BE32-E72D297353CC}">
              <c16:uniqueId val="{00000000-3969-42EF-8AD6-861784331958}"/>
            </c:ext>
          </c:extLst>
        </c:ser>
        <c:ser>
          <c:idx val="1"/>
          <c:order val="1"/>
          <c:tx>
            <c:strRef>
              <c:f>'Component calculations'!$FF$4</c:f>
              <c:strCache>
                <c:ptCount val="1"/>
                <c:pt idx="0">
                  <c:v>Q2</c:v>
                </c:pt>
              </c:strCache>
            </c:strRef>
          </c:tx>
          <c:spPr>
            <a:ln w="28575" cap="rnd">
              <a:solidFill>
                <a:schemeClr val="accent2"/>
              </a:solidFill>
              <a:round/>
            </a:ln>
            <a:effectLst/>
          </c:spPr>
          <c:marker>
            <c:symbol val="none"/>
          </c:marker>
          <c:cat>
            <c:numRef>
              <c:f>'Component calculations'!$AL$25:$AL$40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'Component calculations'!$FF$25:$FF$40</c:f>
              <c:numCache>
                <c:formatCode>0.000</c:formatCode>
                <c:ptCount val="16"/>
                <c:pt idx="0">
                  <c:v>0.99952928656215467</c:v>
                </c:pt>
                <c:pt idx="1">
                  <c:v>0.96937322893863909</c:v>
                </c:pt>
                <c:pt idx="2">
                  <c:v>0.97615016609591243</c:v>
                </c:pt>
                <c:pt idx="3">
                  <c:v>0.97514361002899219</c:v>
                </c:pt>
                <c:pt idx="4">
                  <c:v>0.95309837424584354</c:v>
                </c:pt>
                <c:pt idx="5">
                  <c:v>1.0029005653366023</c:v>
                </c:pt>
                <c:pt idx="6">
                  <c:v>0.97000849307788106</c:v>
                </c:pt>
                <c:pt idx="7">
                  <c:v>0.96940762301852657</c:v>
                </c:pt>
                <c:pt idx="8">
                  <c:v>0.98504241950773364</c:v>
                </c:pt>
                <c:pt idx="9">
                  <c:v>0.97835361329574122</c:v>
                </c:pt>
                <c:pt idx="10">
                  <c:v>0.96531286788010506</c:v>
                </c:pt>
                <c:pt idx="11">
                  <c:v>0.99221641535298155</c:v>
                </c:pt>
                <c:pt idx="12">
                  <c:v>0.94388539280225037</c:v>
                </c:pt>
                <c:pt idx="13">
                  <c:v>1.0024300891439737</c:v>
                </c:pt>
                <c:pt idx="14">
                  <c:v>0.97387275677701546</c:v>
                </c:pt>
              </c:numCache>
            </c:numRef>
          </c:val>
          <c:smooth val="0"/>
          <c:extLst>
            <c:ext xmlns:c16="http://schemas.microsoft.com/office/drawing/2014/chart" uri="{C3380CC4-5D6E-409C-BE32-E72D297353CC}">
              <c16:uniqueId val="{00000001-3969-42EF-8AD6-861784331958}"/>
            </c:ext>
          </c:extLst>
        </c:ser>
        <c:ser>
          <c:idx val="2"/>
          <c:order val="2"/>
          <c:tx>
            <c:strRef>
              <c:f>'Component calculations'!$FG$4</c:f>
              <c:strCache>
                <c:ptCount val="1"/>
                <c:pt idx="0">
                  <c:v>Q3</c:v>
                </c:pt>
              </c:strCache>
            </c:strRef>
          </c:tx>
          <c:spPr>
            <a:ln w="28575" cap="rnd">
              <a:solidFill>
                <a:schemeClr val="accent3"/>
              </a:solidFill>
              <a:round/>
            </a:ln>
            <a:effectLst/>
          </c:spPr>
          <c:marker>
            <c:symbol val="none"/>
          </c:marker>
          <c:cat>
            <c:numRef>
              <c:f>'Component calculations'!$AL$25:$AL$40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'Component calculations'!$FG$25:$FG$40</c:f>
              <c:numCache>
                <c:formatCode>0.000</c:formatCode>
                <c:ptCount val="16"/>
                <c:pt idx="0">
                  <c:v>1.0073897141151003</c:v>
                </c:pt>
                <c:pt idx="1">
                  <c:v>1.0142246368569308</c:v>
                </c:pt>
                <c:pt idx="2">
                  <c:v>1.0121279851670295</c:v>
                </c:pt>
                <c:pt idx="3">
                  <c:v>0.9864041032499985</c:v>
                </c:pt>
                <c:pt idx="4">
                  <c:v>0.97270865596796063</c:v>
                </c:pt>
                <c:pt idx="5">
                  <c:v>0.97670190778154109</c:v>
                </c:pt>
                <c:pt idx="6">
                  <c:v>0.99945959577764165</c:v>
                </c:pt>
                <c:pt idx="7">
                  <c:v>0.98704083671649212</c:v>
                </c:pt>
                <c:pt idx="8">
                  <c:v>0.97290832879437317</c:v>
                </c:pt>
                <c:pt idx="9">
                  <c:v>1.004304299686289</c:v>
                </c:pt>
                <c:pt idx="10">
                  <c:v>0.9610275970383666</c:v>
                </c:pt>
                <c:pt idx="11">
                  <c:v>0.98499530572277005</c:v>
                </c:pt>
                <c:pt idx="12">
                  <c:v>0.96100871265491561</c:v>
                </c:pt>
                <c:pt idx="13">
                  <c:v>0.9920086751394942</c:v>
                </c:pt>
                <c:pt idx="14">
                  <c:v>0.98876279483756124</c:v>
                </c:pt>
              </c:numCache>
            </c:numRef>
          </c:val>
          <c:smooth val="0"/>
          <c:extLst>
            <c:ext xmlns:c16="http://schemas.microsoft.com/office/drawing/2014/chart" uri="{C3380CC4-5D6E-409C-BE32-E72D297353CC}">
              <c16:uniqueId val="{00000002-3969-42EF-8AD6-861784331958}"/>
            </c:ext>
          </c:extLst>
        </c:ser>
        <c:ser>
          <c:idx val="3"/>
          <c:order val="3"/>
          <c:tx>
            <c:strRef>
              <c:f>'Component calculations'!$FH$4</c:f>
              <c:strCache>
                <c:ptCount val="1"/>
                <c:pt idx="0">
                  <c:v>Q4</c:v>
                </c:pt>
              </c:strCache>
            </c:strRef>
          </c:tx>
          <c:spPr>
            <a:ln w="28575" cap="rnd">
              <a:solidFill>
                <a:schemeClr val="accent4"/>
              </a:solidFill>
              <a:round/>
            </a:ln>
            <a:effectLst/>
          </c:spPr>
          <c:marker>
            <c:symbol val="none"/>
          </c:marker>
          <c:cat>
            <c:numRef>
              <c:f>'Component calculations'!$AL$25:$AL$40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'Component calculations'!$FH$25:$FH$40</c:f>
              <c:numCache>
                <c:formatCode>0.000</c:formatCode>
                <c:ptCount val="16"/>
                <c:pt idx="0">
                  <c:v>0.99627281640766663</c:v>
                </c:pt>
                <c:pt idx="1">
                  <c:v>1.0131292332342405</c:v>
                </c:pt>
                <c:pt idx="2">
                  <c:v>1.0115746701250417</c:v>
                </c:pt>
                <c:pt idx="3">
                  <c:v>1.0024206483076177</c:v>
                </c:pt>
                <c:pt idx="4">
                  <c:v>1.0388924806746311</c:v>
                </c:pt>
                <c:pt idx="5">
                  <c:v>0.99936078210189883</c:v>
                </c:pt>
                <c:pt idx="6">
                  <c:v>1.0313852318550951</c:v>
                </c:pt>
                <c:pt idx="7">
                  <c:v>1.0243927356934708</c:v>
                </c:pt>
                <c:pt idx="8">
                  <c:v>0.9890927773823609</c:v>
                </c:pt>
                <c:pt idx="9">
                  <c:v>1.0157467637019386</c:v>
                </c:pt>
                <c:pt idx="10">
                  <c:v>0.97434834915118296</c:v>
                </c:pt>
                <c:pt idx="11">
                  <c:v>1.0113353677785961</c:v>
                </c:pt>
                <c:pt idx="12">
                  <c:v>0.9649052384092669</c:v>
                </c:pt>
                <c:pt idx="13">
                  <c:v>0.99314562436254705</c:v>
                </c:pt>
                <c:pt idx="14">
                  <c:v>0.99508091537748622</c:v>
                </c:pt>
              </c:numCache>
            </c:numRef>
          </c:val>
          <c:smooth val="0"/>
          <c:extLst>
            <c:ext xmlns:c16="http://schemas.microsoft.com/office/drawing/2014/chart" uri="{C3380CC4-5D6E-409C-BE32-E72D297353CC}">
              <c16:uniqueId val="{00000003-3969-42EF-8AD6-861784331958}"/>
            </c:ext>
          </c:extLst>
        </c:ser>
        <c:ser>
          <c:idx val="4"/>
          <c:order val="4"/>
          <c:tx>
            <c:strRef>
              <c:f>'Component calculations'!$FI$4</c:f>
              <c:strCache>
                <c:ptCount val="1"/>
                <c:pt idx="0">
                  <c:v>One line</c:v>
                </c:pt>
              </c:strCache>
            </c:strRef>
          </c:tx>
          <c:spPr>
            <a:ln w="12700" cap="rnd">
              <a:solidFill>
                <a:schemeClr val="tx1"/>
              </a:solidFill>
              <a:round/>
            </a:ln>
            <a:effectLst/>
          </c:spPr>
          <c:marker>
            <c:symbol val="none"/>
          </c:marker>
          <c:cat>
            <c:numRef>
              <c:f>'Component calculations'!$AL$25:$AL$40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'Component calculations'!$FI$25:$FI$40</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04-3969-42EF-8AD6-861784331958}"/>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in val="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b"/>
      <c:legendEntry>
        <c:idx val="4"/>
        <c:delete val="1"/>
      </c:legendEntry>
      <c:layout>
        <c:manualLayout>
          <c:xMode val="edge"/>
          <c:yMode val="edge"/>
          <c:x val="0.13869772208172063"/>
          <c:y val="0.11739123071451563"/>
          <c:w val="0.47568866110454483"/>
          <c:h val="5.205063178004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sz="1600" b="1">
                <a:solidFill>
                  <a:srgbClr val="495057"/>
                </a:solidFill>
              </a:rPr>
              <a:t>UK: Ratio of SA GDP to NSA GDP</a:t>
            </a:r>
          </a:p>
        </c:rich>
      </c:tx>
      <c:layout>
        <c:manualLayout>
          <c:xMode val="edge"/>
          <c:yMode val="edge"/>
          <c:x val="5.7079299439240826E-3"/>
          <c:y val="1.060842225195921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6.5431442097930059E-2"/>
          <c:y val="0.11436938272157314"/>
          <c:w val="0.88327335709041732"/>
          <c:h val="0.77158203813177784"/>
        </c:manualLayout>
      </c:layout>
      <c:lineChart>
        <c:grouping val="standard"/>
        <c:varyColors val="0"/>
        <c:ser>
          <c:idx val="1"/>
          <c:order val="0"/>
          <c:tx>
            <c:strRef>
              <c:f>'GDP! calculations'!$I$4</c:f>
              <c:strCache>
                <c:ptCount val="1"/>
                <c:pt idx="0">
                  <c:v>Q1</c:v>
                </c:pt>
              </c:strCache>
            </c:strRef>
          </c:tx>
          <c:spPr>
            <a:ln w="38100" cap="rnd">
              <a:solidFill>
                <a:srgbClr val="BD1B21"/>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calculations'!$H$15:$H$34,'GDP! calculations'!$H$37:$H$40)</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2022</c:v>
                </c:pt>
                <c:pt idx="21">
                  <c:v>2023</c:v>
                </c:pt>
                <c:pt idx="22">
                  <c:v>2024</c:v>
                </c:pt>
                <c:pt idx="23">
                  <c:v>2025</c:v>
                </c:pt>
              </c:numCache>
            </c:numRef>
          </c:cat>
          <c:val>
            <c:numRef>
              <c:extLst>
                <c:ext xmlns:c15="http://schemas.microsoft.com/office/drawing/2012/chart" uri="{02D57815-91ED-43cb-92C2-25804820EDAC}">
                  <c15:fullRef>
                    <c15:sqref>'GDP! calculations'!$I$5:$I$40</c15:sqref>
                  </c15:fullRef>
                </c:ext>
              </c:extLst>
              <c:f>('GDP! calculations'!$I$15:$I$34,'GDP! calculations'!$I$37:$I$40)</c:f>
              <c:numCache>
                <c:formatCode>0.000</c:formatCode>
                <c:ptCount val="24"/>
                <c:pt idx="0">
                  <c:v>1.0146249369454912</c:v>
                </c:pt>
                <c:pt idx="1">
                  <c:v>1.0043967403232772</c:v>
                </c:pt>
                <c:pt idx="2">
                  <c:v>1.0080713489409141</c:v>
                </c:pt>
                <c:pt idx="3">
                  <c:v>1.0017946421301196</c:v>
                </c:pt>
                <c:pt idx="4">
                  <c:v>1.0067770406405125</c:v>
                </c:pt>
                <c:pt idx="5">
                  <c:v>1.001312278296733</c:v>
                </c:pt>
                <c:pt idx="6">
                  <c:v>1.002477197891064</c:v>
                </c:pt>
                <c:pt idx="7">
                  <c:v>1.0042565379627493</c:v>
                </c:pt>
                <c:pt idx="8">
                  <c:v>1.0061696852227102</c:v>
                </c:pt>
                <c:pt idx="9">
                  <c:v>1.0037598341552605</c:v>
                </c:pt>
                <c:pt idx="10">
                  <c:v>1.0054194656295772</c:v>
                </c:pt>
                <c:pt idx="11">
                  <c:v>1.0083618396047129</c:v>
                </c:pt>
                <c:pt idx="12">
                  <c:v>1.006117073331777</c:v>
                </c:pt>
                <c:pt idx="13">
                  <c:v>1.0095786978936041</c:v>
                </c:pt>
                <c:pt idx="14">
                  <c:v>1.0034524294430154</c:v>
                </c:pt>
                <c:pt idx="15">
                  <c:v>1.0124347393279607</c:v>
                </c:pt>
                <c:pt idx="16">
                  <c:v>1.0095867335019244</c:v>
                </c:pt>
                <c:pt idx="17">
                  <c:v>1.0136715726521519</c:v>
                </c:pt>
                <c:pt idx="18">
                  <c:v>1.0140963837157302</c:v>
                </c:pt>
                <c:pt idx="19">
                  <c:v>1.0146152775437542</c:v>
                </c:pt>
                <c:pt idx="20">
                  <c:v>1.0057989545092036</c:v>
                </c:pt>
                <c:pt idx="21">
                  <c:v>1.0094900633017692</c:v>
                </c:pt>
                <c:pt idx="22">
                  <c:v>0.99263374549281169</c:v>
                </c:pt>
                <c:pt idx="23">
                  <c:v>0.99111310747084636</c:v>
                </c:pt>
              </c:numCache>
            </c:numRef>
          </c:val>
          <c:smooth val="0"/>
          <c:extLst>
            <c:ext xmlns:c16="http://schemas.microsoft.com/office/drawing/2014/chart" uri="{C3380CC4-5D6E-409C-BE32-E72D297353CC}">
              <c16:uniqueId val="{00000001-F818-49D1-B506-E9D06B35ED66}"/>
            </c:ext>
          </c:extLst>
        </c:ser>
        <c:ser>
          <c:idx val="2"/>
          <c:order val="1"/>
          <c:tx>
            <c:strRef>
              <c:f>'GDP! calculations'!$J$4</c:f>
              <c:strCache>
                <c:ptCount val="1"/>
                <c:pt idx="0">
                  <c:v>Q2</c:v>
                </c:pt>
              </c:strCache>
            </c:strRef>
          </c:tx>
          <c:spPr>
            <a:ln w="38100" cap="rnd">
              <a:solidFill>
                <a:srgbClr val="003469"/>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calculations'!$H$15:$H$34,'GDP! calculations'!$H$37:$H$40)</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2022</c:v>
                </c:pt>
                <c:pt idx="21">
                  <c:v>2023</c:v>
                </c:pt>
                <c:pt idx="22">
                  <c:v>2024</c:v>
                </c:pt>
                <c:pt idx="23">
                  <c:v>2025</c:v>
                </c:pt>
              </c:numCache>
            </c:numRef>
          </c:cat>
          <c:val>
            <c:numRef>
              <c:extLst>
                <c:ext xmlns:c15="http://schemas.microsoft.com/office/drawing/2012/chart" uri="{02D57815-91ED-43cb-92C2-25804820EDAC}">
                  <c15:fullRef>
                    <c15:sqref>'GDP! calculations'!$J$5:$J$40</c15:sqref>
                  </c15:fullRef>
                </c:ext>
              </c:extLst>
              <c:f>('GDP! calculations'!$J$15:$J$34,'GDP! calculations'!$J$37:$J$40)</c:f>
              <c:numCache>
                <c:formatCode>0.000</c:formatCode>
                <c:ptCount val="24"/>
                <c:pt idx="0">
                  <c:v>1.0099970629267934</c:v>
                </c:pt>
                <c:pt idx="1">
                  <c:v>1.0171419881452559</c:v>
                </c:pt>
                <c:pt idx="2">
                  <c:v>1.0114735451176984</c:v>
                </c:pt>
                <c:pt idx="3">
                  <c:v>1.017883049400707</c:v>
                </c:pt>
                <c:pt idx="4">
                  <c:v>1.0174530099450503</c:v>
                </c:pt>
                <c:pt idx="5">
                  <c:v>1.015762238615596</c:v>
                </c:pt>
                <c:pt idx="6">
                  <c:v>1.0181712691154734</c:v>
                </c:pt>
                <c:pt idx="7">
                  <c:v>1.0248614405951317</c:v>
                </c:pt>
                <c:pt idx="8">
                  <c:v>1.0140363070461054</c:v>
                </c:pt>
                <c:pt idx="9">
                  <c:v>1.0231365238950338</c:v>
                </c:pt>
                <c:pt idx="10">
                  <c:v>1.020101418491786</c:v>
                </c:pt>
                <c:pt idx="11">
                  <c:v>1.0172323143976061</c:v>
                </c:pt>
                <c:pt idx="12">
                  <c:v>1.0160637406179753</c:v>
                </c:pt>
                <c:pt idx="13">
                  <c:v>1.0128008145765366</c:v>
                </c:pt>
                <c:pt idx="14">
                  <c:v>1.0092592592592593</c:v>
                </c:pt>
                <c:pt idx="15">
                  <c:v>1.0099375348930297</c:v>
                </c:pt>
                <c:pt idx="16">
                  <c:v>1.0089209415805189</c:v>
                </c:pt>
                <c:pt idx="17">
                  <c:v>1.0130216678222062</c:v>
                </c:pt>
                <c:pt idx="18">
                  <c:v>1.0113816180789101</c:v>
                </c:pt>
                <c:pt idx="19">
                  <c:v>1.0083871234467374</c:v>
                </c:pt>
                <c:pt idx="20">
                  <c:v>1.0174219299557887</c:v>
                </c:pt>
                <c:pt idx="21">
                  <c:v>1.0146066589180363</c:v>
                </c:pt>
                <c:pt idx="22">
                  <c:v>1.0117543426940558</c:v>
                </c:pt>
                <c:pt idx="23">
                  <c:v>1.0125390593167241</c:v>
                </c:pt>
              </c:numCache>
            </c:numRef>
          </c:val>
          <c:smooth val="0"/>
          <c:extLst>
            <c:ext xmlns:c16="http://schemas.microsoft.com/office/drawing/2014/chart" uri="{C3380CC4-5D6E-409C-BE32-E72D297353CC}">
              <c16:uniqueId val="{00000002-F818-49D1-B506-E9D06B35ED66}"/>
            </c:ext>
          </c:extLst>
        </c:ser>
        <c:ser>
          <c:idx val="3"/>
          <c:order val="2"/>
          <c:tx>
            <c:strRef>
              <c:f>'GDP! calculations'!$K$4</c:f>
              <c:strCache>
                <c:ptCount val="1"/>
                <c:pt idx="0">
                  <c:v>Q3</c:v>
                </c:pt>
              </c:strCache>
            </c:strRef>
          </c:tx>
          <c:spPr>
            <a:ln w="38100" cap="rnd">
              <a:solidFill>
                <a:srgbClr val="D1A21E"/>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calculations'!$H$15:$H$34,'GDP! calculations'!$H$37:$H$40)</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2022</c:v>
                </c:pt>
                <c:pt idx="21">
                  <c:v>2023</c:v>
                </c:pt>
                <c:pt idx="22">
                  <c:v>2024</c:v>
                </c:pt>
                <c:pt idx="23">
                  <c:v>2025</c:v>
                </c:pt>
              </c:numCache>
            </c:numRef>
          </c:cat>
          <c:val>
            <c:numRef>
              <c:extLst>
                <c:ext xmlns:c15="http://schemas.microsoft.com/office/drawing/2012/chart" uri="{02D57815-91ED-43cb-92C2-25804820EDAC}">
                  <c15:fullRef>
                    <c15:sqref>'GDP! calculations'!$K$5:$K$40</c15:sqref>
                  </c15:fullRef>
                </c:ext>
              </c:extLst>
              <c:f>('GDP! calculations'!$K$15:$K$34,'GDP! calculations'!$K$37:$K$40)</c:f>
              <c:numCache>
                <c:formatCode>0.000</c:formatCode>
                <c:ptCount val="24"/>
                <c:pt idx="0">
                  <c:v>0.99685554955927325</c:v>
                </c:pt>
                <c:pt idx="1">
                  <c:v>0.99270566357532275</c:v>
                </c:pt>
                <c:pt idx="2">
                  <c:v>0.99086991864545682</c:v>
                </c:pt>
                <c:pt idx="3">
                  <c:v>0.99711692104678906</c:v>
                </c:pt>
                <c:pt idx="4">
                  <c:v>0.98727742923905071</c:v>
                </c:pt>
                <c:pt idx="5">
                  <c:v>0.9997878353262668</c:v>
                </c:pt>
                <c:pt idx="6">
                  <c:v>0.99780130314968007</c:v>
                </c:pt>
                <c:pt idx="7">
                  <c:v>0.98826652508627555</c:v>
                </c:pt>
                <c:pt idx="8">
                  <c:v>0.99473612605592865</c:v>
                </c:pt>
                <c:pt idx="9">
                  <c:v>0.9915063493270474</c:v>
                </c:pt>
                <c:pt idx="10">
                  <c:v>0.99238929663907427</c:v>
                </c:pt>
                <c:pt idx="11">
                  <c:v>0.99746172912546549</c:v>
                </c:pt>
                <c:pt idx="12">
                  <c:v>1.0023550150484999</c:v>
                </c:pt>
                <c:pt idx="13">
                  <c:v>0.99911332779163198</c:v>
                </c:pt>
                <c:pt idx="14">
                  <c:v>1.0056655721570325</c:v>
                </c:pt>
                <c:pt idx="15">
                  <c:v>0.99773453551777025</c:v>
                </c:pt>
                <c:pt idx="16">
                  <c:v>1.0063388375006983</c:v>
                </c:pt>
                <c:pt idx="17">
                  <c:v>1.0007527164488552</c:v>
                </c:pt>
                <c:pt idx="18">
                  <c:v>1.0013702807054925</c:v>
                </c:pt>
                <c:pt idx="19">
                  <c:v>1.0082586624449408</c:v>
                </c:pt>
                <c:pt idx="20">
                  <c:v>1.0007957322891847</c:v>
                </c:pt>
                <c:pt idx="21">
                  <c:v>0.99732026181416256</c:v>
                </c:pt>
                <c:pt idx="22">
                  <c:v>1.0022396278180725</c:v>
                </c:pt>
                <c:pt idx="23">
                  <c:v>1.0035342134964171</c:v>
                </c:pt>
              </c:numCache>
            </c:numRef>
          </c:val>
          <c:smooth val="0"/>
          <c:extLst>
            <c:ext xmlns:c16="http://schemas.microsoft.com/office/drawing/2014/chart" uri="{C3380CC4-5D6E-409C-BE32-E72D297353CC}">
              <c16:uniqueId val="{00000003-F818-49D1-B506-E9D06B35ED66}"/>
            </c:ext>
          </c:extLst>
        </c:ser>
        <c:ser>
          <c:idx val="4"/>
          <c:order val="3"/>
          <c:tx>
            <c:strRef>
              <c:f>'GDP! calculations'!$L$4</c:f>
              <c:strCache>
                <c:ptCount val="1"/>
                <c:pt idx="0">
                  <c:v>Q4</c:v>
                </c:pt>
              </c:strCache>
            </c:strRef>
          </c:tx>
          <c:spPr>
            <a:ln w="38100" cap="rnd">
              <a:solidFill>
                <a:srgbClr val="7B7C77"/>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calculations'!$H$15:$H$34,'GDP! calculations'!$H$37:$H$40)</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2022</c:v>
                </c:pt>
                <c:pt idx="21">
                  <c:v>2023</c:v>
                </c:pt>
                <c:pt idx="22">
                  <c:v>2024</c:v>
                </c:pt>
                <c:pt idx="23">
                  <c:v>2025</c:v>
                </c:pt>
              </c:numCache>
            </c:numRef>
          </c:cat>
          <c:val>
            <c:numRef>
              <c:extLst>
                <c:ext xmlns:c15="http://schemas.microsoft.com/office/drawing/2012/chart" uri="{02D57815-91ED-43cb-92C2-25804820EDAC}">
                  <c15:fullRef>
                    <c15:sqref>'GDP! calculations'!$L$5:$L$40</c15:sqref>
                  </c15:fullRef>
                </c:ext>
              </c:extLst>
              <c:f>('GDP! calculations'!$L$15:$L$34,'GDP! calculations'!$L$37:$L$40)</c:f>
              <c:numCache>
                <c:formatCode>0.000</c:formatCode>
                <c:ptCount val="24"/>
                <c:pt idx="0">
                  <c:v>0.97966442081166771</c:v>
                </c:pt>
                <c:pt idx="1">
                  <c:v>0.98651329782708574</c:v>
                </c:pt>
                <c:pt idx="2">
                  <c:v>0.99035726040610961</c:v>
                </c:pt>
                <c:pt idx="3">
                  <c:v>0.98431160648050631</c:v>
                </c:pt>
                <c:pt idx="4">
                  <c:v>0.98956640949728003</c:v>
                </c:pt>
                <c:pt idx="5">
                  <c:v>0.98407938887699009</c:v>
                </c:pt>
                <c:pt idx="6">
                  <c:v>0.98254219450808722</c:v>
                </c:pt>
                <c:pt idx="7">
                  <c:v>0.98408593346297579</c:v>
                </c:pt>
                <c:pt idx="8">
                  <c:v>0.98538805770441107</c:v>
                </c:pt>
                <c:pt idx="9">
                  <c:v>0.9825622335686468</c:v>
                </c:pt>
                <c:pt idx="10">
                  <c:v>0.98322544938277545</c:v>
                </c:pt>
                <c:pt idx="11">
                  <c:v>0.97816420499269741</c:v>
                </c:pt>
                <c:pt idx="12">
                  <c:v>0.97674596118789114</c:v>
                </c:pt>
                <c:pt idx="13">
                  <c:v>0.97978300453600253</c:v>
                </c:pt>
                <c:pt idx="14">
                  <c:v>0.98240315954069335</c:v>
                </c:pt>
                <c:pt idx="15">
                  <c:v>0.98091753447790597</c:v>
                </c:pt>
                <c:pt idx="16">
                  <c:v>0.97657439208157082</c:v>
                </c:pt>
                <c:pt idx="17">
                  <c:v>0.9742752404900441</c:v>
                </c:pt>
                <c:pt idx="18">
                  <c:v>0.97473383771227029</c:v>
                </c:pt>
                <c:pt idx="19">
                  <c:v>0.97057967932633016</c:v>
                </c:pt>
                <c:pt idx="20">
                  <c:v>0.97797107386625504</c:v>
                </c:pt>
                <c:pt idx="21">
                  <c:v>0.97949692191350712</c:v>
                </c:pt>
                <c:pt idx="22">
                  <c:v>0.99362602037519654</c:v>
                </c:pt>
                <c:pt idx="23">
                  <c:v>0.9930651030875266</c:v>
                </c:pt>
              </c:numCache>
            </c:numRef>
          </c:val>
          <c:smooth val="0"/>
          <c:extLst>
            <c:ext xmlns:c16="http://schemas.microsoft.com/office/drawing/2014/chart" uri="{C3380CC4-5D6E-409C-BE32-E72D297353CC}">
              <c16:uniqueId val="{00000004-F818-49D1-B506-E9D06B35ED66}"/>
            </c:ext>
          </c:extLst>
        </c:ser>
        <c:ser>
          <c:idx val="5"/>
          <c:order val="4"/>
          <c:tx>
            <c:strRef>
              <c:f>'GDP! calculations'!$M$4</c:f>
              <c:strCache>
                <c:ptCount val="1"/>
                <c:pt idx="0">
                  <c:v>One line</c:v>
                </c:pt>
              </c:strCache>
            </c:strRef>
          </c:tx>
          <c:spPr>
            <a:ln w="12700" cap="rnd">
              <a:solidFill>
                <a:schemeClr val="tx1">
                  <a:lumMod val="75000"/>
                  <a:lumOff val="25000"/>
                </a:schemeClr>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calculations'!$H$15:$H$34,'GDP! calculations'!$H$37:$H$40)</c:f>
              <c:numCache>
                <c:formatCode>General</c:formatCode>
                <c:ptCount val="24"/>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2022</c:v>
                </c:pt>
                <c:pt idx="21">
                  <c:v>2023</c:v>
                </c:pt>
                <c:pt idx="22">
                  <c:v>2024</c:v>
                </c:pt>
                <c:pt idx="23">
                  <c:v>2025</c:v>
                </c:pt>
              </c:numCache>
            </c:numRef>
          </c:cat>
          <c:val>
            <c:numRef>
              <c:extLst>
                <c:ext xmlns:c15="http://schemas.microsoft.com/office/drawing/2012/chart" uri="{02D57815-91ED-43cb-92C2-25804820EDAC}">
                  <c15:fullRef>
                    <c15:sqref>'GDP! calculations'!$M$5:$M$40</c15:sqref>
                  </c15:fullRef>
                </c:ext>
              </c:extLst>
              <c:f>('GDP! calculations'!$M$15:$M$34,'GDP! calculations'!$M$37:$M$40)</c:f>
              <c:numCache>
                <c:formatCode>0.000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5-F818-49D1-B506-E9D06B35ED66}"/>
            </c:ext>
          </c:extLst>
        </c:ser>
        <c:dLbls>
          <c:showLegendKey val="0"/>
          <c:showVal val="0"/>
          <c:showCatName val="0"/>
          <c:showSerName val="0"/>
          <c:showPercent val="0"/>
          <c:showBubbleSize val="0"/>
        </c:dLbls>
        <c:smooth val="0"/>
        <c:axId val="1416168240"/>
        <c:axId val="1416165360"/>
      </c:lineChart>
      <c:catAx>
        <c:axId val="1416168240"/>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50" b="0" i="0" u="none" strike="noStrike" kern="1200" baseline="0">
                <a:solidFill>
                  <a:srgbClr val="495057"/>
                </a:solidFill>
                <a:latin typeface="Segoe UI"/>
                <a:ea typeface="Segoe UI"/>
                <a:cs typeface="Segoe UI"/>
              </a:defRPr>
            </a:pPr>
            <a:endParaRPr lang="en-US"/>
          </a:p>
        </c:txPr>
        <c:crossAx val="1416165360"/>
        <c:crosses val="autoZero"/>
        <c:auto val="1"/>
        <c:lblAlgn val="ctr"/>
        <c:lblOffset val="100"/>
        <c:noMultiLvlLbl val="0"/>
      </c:catAx>
      <c:valAx>
        <c:axId val="1416165360"/>
        <c:scaling>
          <c:orientation val="minMax"/>
          <c:min val="0.96000000000000008"/>
        </c:scaling>
        <c:delete val="0"/>
        <c:axPos val="l"/>
        <c:numFmt formatCode="0.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416168240"/>
        <c:crosses val="autoZero"/>
        <c:crossBetween val="midCat"/>
      </c:valAx>
      <c:spPr>
        <a:noFill/>
        <a:ln>
          <a:noFill/>
        </a:ln>
        <a:effectLst/>
      </c:spPr>
    </c:plotArea>
    <c:legend>
      <c:legendPos val="r"/>
      <c:legendEntry>
        <c:idx val="4"/>
        <c:delete val="1"/>
      </c:legendEntry>
      <c:layout>
        <c:manualLayout>
          <c:xMode val="edge"/>
          <c:yMode val="edge"/>
          <c:x val="0.31892783328547841"/>
          <c:y val="8.3125262162963315E-2"/>
          <c:w val="0.56593903758644937"/>
          <c:h val="0.20381004580511292"/>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0342319498198319E-2"/>
          <c:y val="0.1194524959742351"/>
          <c:w val="0.93005855465100762"/>
          <c:h val="0.76058503556620638"/>
        </c:manualLayout>
      </c:layout>
      <c:lineChart>
        <c:grouping val="standard"/>
        <c:varyColors val="0"/>
        <c:ser>
          <c:idx val="0"/>
          <c:order val="0"/>
          <c:tx>
            <c:strRef>
              <c:f>'GDP calculations'!$T$4</c:f>
              <c:strCache>
                <c:ptCount val="1"/>
                <c:pt idx="0">
                  <c:v>One line</c:v>
                </c:pt>
              </c:strCache>
            </c:strRef>
          </c:tx>
          <c:spPr>
            <a:ln w="28575" cap="rnd">
              <a:solidFill>
                <a:schemeClr val="accent1"/>
              </a:solidFill>
              <a:round/>
            </a:ln>
            <a:effectLst/>
          </c:spPr>
          <c:marker>
            <c:symbol val="none"/>
          </c:marker>
          <c:cat>
            <c:numRef>
              <c:f>'GDP calculations'!$H$5:$H$40</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numCache>
            </c:numRef>
          </c:cat>
          <c:val>
            <c:numRef>
              <c:f>'GDP calculations'!$T$5:$T$40</c:f>
              <c:numCache>
                <c:formatCode>0.000</c:formatCode>
                <c:ptCount val="3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numCache>
            </c:numRef>
          </c:val>
          <c:smooth val="0"/>
          <c:extLst>
            <c:ext xmlns:c16="http://schemas.microsoft.com/office/drawing/2014/chart" uri="{C3380CC4-5D6E-409C-BE32-E72D297353CC}">
              <c16:uniqueId val="{00000000-C44E-4428-828D-CE20786C709D}"/>
            </c:ext>
          </c:extLst>
        </c:ser>
        <c:ser>
          <c:idx val="1"/>
          <c:order val="1"/>
          <c:tx>
            <c:strRef>
              <c:f>'GDP calculations'!$U$4</c:f>
              <c:strCache>
                <c:ptCount val="1"/>
              </c:strCache>
            </c:strRef>
          </c:tx>
          <c:spPr>
            <a:ln w="28575" cap="rnd">
              <a:solidFill>
                <a:schemeClr val="accent2"/>
              </a:solidFill>
              <a:round/>
            </a:ln>
            <a:effectLst/>
          </c:spPr>
          <c:marker>
            <c:symbol val="none"/>
          </c:marker>
          <c:cat>
            <c:numRef>
              <c:f>'GDP calculations'!$H$5:$H$40</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numCache>
            </c:numRef>
          </c:cat>
          <c:val>
            <c:numRef>
              <c:f>'GDP calculations'!$U$5:$U$40</c:f>
              <c:numCache>
                <c:formatCode>General</c:formatCode>
                <c:ptCount val="36"/>
              </c:numCache>
            </c:numRef>
          </c:val>
          <c:smooth val="0"/>
          <c:extLst>
            <c:ext xmlns:c16="http://schemas.microsoft.com/office/drawing/2014/chart" uri="{C3380CC4-5D6E-409C-BE32-E72D297353CC}">
              <c16:uniqueId val="{00000001-C44E-4428-828D-CE20786C709D}"/>
            </c:ext>
          </c:extLst>
        </c:ser>
        <c:ser>
          <c:idx val="2"/>
          <c:order val="2"/>
          <c:tx>
            <c:strRef>
              <c:f>'GDP calculations'!$V$4</c:f>
              <c:strCache>
                <c:ptCount val="1"/>
              </c:strCache>
            </c:strRef>
          </c:tx>
          <c:spPr>
            <a:ln w="28575" cap="rnd">
              <a:solidFill>
                <a:schemeClr val="accent3"/>
              </a:solidFill>
              <a:round/>
            </a:ln>
            <a:effectLst/>
          </c:spPr>
          <c:marker>
            <c:symbol val="none"/>
          </c:marker>
          <c:cat>
            <c:numRef>
              <c:f>'GDP calculations'!$H$5:$H$40</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numCache>
            </c:numRef>
          </c:cat>
          <c:val>
            <c:numRef>
              <c:f>'GDP calculations'!$V$5:$V$40</c:f>
              <c:numCache>
                <c:formatCode>General</c:formatCode>
                <c:ptCount val="36"/>
              </c:numCache>
            </c:numRef>
          </c:val>
          <c:smooth val="0"/>
          <c:extLst>
            <c:ext xmlns:c16="http://schemas.microsoft.com/office/drawing/2014/chart" uri="{C3380CC4-5D6E-409C-BE32-E72D297353CC}">
              <c16:uniqueId val="{00000002-C44E-4428-828D-CE20786C709D}"/>
            </c:ext>
          </c:extLst>
        </c:ser>
        <c:ser>
          <c:idx val="3"/>
          <c:order val="3"/>
          <c:tx>
            <c:strRef>
              <c:f>'GDP calculations'!$W$4</c:f>
              <c:strCache>
                <c:ptCount val="1"/>
                <c:pt idx="0">
                  <c:v>Q1</c:v>
                </c:pt>
              </c:strCache>
            </c:strRef>
          </c:tx>
          <c:spPr>
            <a:ln w="28575" cap="rnd">
              <a:solidFill>
                <a:schemeClr val="accent4"/>
              </a:solidFill>
              <a:round/>
            </a:ln>
            <a:effectLst/>
          </c:spPr>
          <c:marker>
            <c:symbol val="none"/>
          </c:marker>
          <c:cat>
            <c:numRef>
              <c:f>'GDP calculations'!$H$5:$H$40</c:f>
              <c:numCache>
                <c:formatCode>General</c:formatCode>
                <c:ptCount val="36"/>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numCache>
            </c:numRef>
          </c:cat>
          <c:val>
            <c:numRef>
              <c:f>'GDP calculations'!$W$5:$W$28</c:f>
              <c:numCache>
                <c:formatCode>0.000</c:formatCode>
                <c:ptCount val="24"/>
                <c:pt idx="20">
                  <c:v>0.991812657509345</c:v>
                </c:pt>
                <c:pt idx="21">
                  <c:v>0.99081884481590132</c:v>
                </c:pt>
                <c:pt idx="22">
                  <c:v>0.99382477217234677</c:v>
                </c:pt>
                <c:pt idx="23">
                  <c:v>0.98586029489045257</c:v>
                </c:pt>
              </c:numCache>
            </c:numRef>
          </c:val>
          <c:smooth val="0"/>
          <c:extLst>
            <c:ext xmlns:c16="http://schemas.microsoft.com/office/drawing/2014/chart" uri="{C3380CC4-5D6E-409C-BE32-E72D297353CC}">
              <c16:uniqueId val="{00000003-C44E-4428-828D-CE20786C709D}"/>
            </c:ext>
          </c:extLst>
        </c:ser>
        <c:dLbls>
          <c:showLegendKey val="0"/>
          <c:showVal val="0"/>
          <c:showCatName val="0"/>
          <c:showSerName val="0"/>
          <c:showPercent val="0"/>
          <c:showBubbleSize val="0"/>
        </c:dLbls>
        <c:smooth val="0"/>
        <c:axId val="1416168240"/>
        <c:axId val="1416165360"/>
      </c:lineChart>
      <c:catAx>
        <c:axId val="14161682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165360"/>
        <c:crosses val="autoZero"/>
        <c:auto val="1"/>
        <c:lblAlgn val="ctr"/>
        <c:lblOffset val="100"/>
        <c:noMultiLvlLbl val="0"/>
      </c:catAx>
      <c:valAx>
        <c:axId val="1416165360"/>
        <c:scaling>
          <c:orientation val="minMax"/>
          <c:min val="-5"/>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168240"/>
        <c:crosses val="autoZero"/>
        <c:crossBetween val="between"/>
      </c:valAx>
      <c:spPr>
        <a:noFill/>
        <a:ln>
          <a:noFill/>
        </a:ln>
        <a:effectLst/>
      </c:spPr>
    </c:plotArea>
    <c:legend>
      <c:legendPos val="b"/>
      <c:layout>
        <c:manualLayout>
          <c:xMode val="edge"/>
          <c:yMode val="edge"/>
          <c:x val="0.36466627646159949"/>
          <c:y val="0.15338126212484315"/>
          <c:w val="0.35206817184987155"/>
          <c:h val="5.43482064741907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r>
              <a:rPr lang="en-GB" sz="1300" b="1">
                <a:solidFill>
                  <a:srgbClr val="495057"/>
                </a:solidFill>
              </a:rPr>
              <a:t>UK: NSA GDP ratio to 7Q rolling window (excluding 2019-2021)</a:t>
            </a:r>
          </a:p>
        </c:rich>
      </c:tx>
      <c:layout>
        <c:manualLayout>
          <c:xMode val="edge"/>
          <c:yMode val="edge"/>
          <c:x val="7.9441581975893544E-3"/>
          <c:y val="1.137266753976515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rgbClr val="495057"/>
              </a:solidFill>
              <a:latin typeface="Segoe UI"/>
              <a:ea typeface="Segoe UI"/>
              <a:cs typeface="Segoe UI"/>
            </a:defRPr>
          </a:pPr>
          <a:endParaRPr lang="en-US"/>
        </a:p>
      </c:txPr>
    </c:title>
    <c:autoTitleDeleted val="0"/>
    <c:plotArea>
      <c:layout>
        <c:manualLayout>
          <c:layoutTarget val="inner"/>
          <c:xMode val="edge"/>
          <c:yMode val="edge"/>
          <c:x val="6.7697363853079368E-2"/>
          <c:y val="0.12126106764274601"/>
          <c:w val="0.86943291220954566"/>
          <c:h val="0.7544819100564315"/>
        </c:manualLayout>
      </c:layout>
      <c:lineChart>
        <c:grouping val="standard"/>
        <c:varyColors val="0"/>
        <c:ser>
          <c:idx val="1"/>
          <c:order val="0"/>
          <c:tx>
            <c:strRef>
              <c:f>'GDP! calculations'!$P$4</c:f>
              <c:strCache>
                <c:ptCount val="1"/>
                <c:pt idx="0">
                  <c:v>Q1</c:v>
                </c:pt>
              </c:strCache>
            </c:strRef>
          </c:tx>
          <c:spPr>
            <a:ln w="38100" cap="rnd">
              <a:solidFill>
                <a:srgbClr val="BD1B21"/>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calculations'!$P$5:$P$40</c15:sqref>
                  </c15:fullRef>
                </c:ext>
              </c:extLst>
              <c:f>('GDP! calculations'!$P$25:$P$33,'GDP! calculations'!$P$37:$P$40)</c:f>
              <c:numCache>
                <c:formatCode>0.000</c:formatCode>
                <c:ptCount val="13"/>
                <c:pt idx="0">
                  <c:v>0.99459297312561612</c:v>
                </c:pt>
                <c:pt idx="1">
                  <c:v>1.0005761636429322</c:v>
                </c:pt>
                <c:pt idx="2">
                  <c:v>0.99658462102487555</c:v>
                </c:pt>
                <c:pt idx="3">
                  <c:v>0.98844080822335423</c:v>
                </c:pt>
                <c:pt idx="4">
                  <c:v>0.99547869992488247</c:v>
                </c:pt>
                <c:pt idx="5">
                  <c:v>0.98834623959138579</c:v>
                </c:pt>
                <c:pt idx="6">
                  <c:v>0.98703587154462813</c:v>
                </c:pt>
                <c:pt idx="7">
                  <c:v>0.98845935997427781</c:v>
                </c:pt>
                <c:pt idx="8">
                  <c:v>0.98286954309912689</c:v>
                </c:pt>
                <c:pt idx="9">
                  <c:v>0.99404597740676426</c:v>
                </c:pt>
                <c:pt idx="10">
                  <c:v>0.99914546795706383</c:v>
                </c:pt>
                <c:pt idx="11">
                  <c:v>1.0009785147216776</c:v>
                </c:pt>
                <c:pt idx="12">
                  <c:v>1.0119630395272787</c:v>
                </c:pt>
              </c:numCache>
            </c:numRef>
          </c:val>
          <c:smooth val="0"/>
          <c:extLst>
            <c:ext xmlns:c16="http://schemas.microsoft.com/office/drawing/2014/chart" uri="{C3380CC4-5D6E-409C-BE32-E72D297353CC}">
              <c16:uniqueId val="{00000001-FE98-4468-AC3A-56A91B2688A6}"/>
            </c:ext>
          </c:extLst>
        </c:ser>
        <c:ser>
          <c:idx val="2"/>
          <c:order val="1"/>
          <c:tx>
            <c:strRef>
              <c:f>'GDP! calculations'!$Q$4</c:f>
              <c:strCache>
                <c:ptCount val="1"/>
                <c:pt idx="0">
                  <c:v>Q2</c:v>
                </c:pt>
              </c:strCache>
            </c:strRef>
          </c:tx>
          <c:spPr>
            <a:ln w="38100" cap="rnd">
              <a:solidFill>
                <a:srgbClr val="003469"/>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calculations'!$Q$5:$Q$40</c15:sqref>
                  </c15:fullRef>
                </c:ext>
              </c:extLst>
              <c:f>('GDP! calculations'!$Q$25:$Q$33,'GDP! calculations'!$Q$37:$Q$40)</c:f>
              <c:numCache>
                <c:formatCode>0.000</c:formatCode>
                <c:ptCount val="13"/>
                <c:pt idx="0">
                  <c:v>0.98061245298610289</c:v>
                </c:pt>
                <c:pt idx="1">
                  <c:v>0.97612634495725392</c:v>
                </c:pt>
                <c:pt idx="2">
                  <c:v>0.97746941484453631</c:v>
                </c:pt>
                <c:pt idx="3">
                  <c:v>0.98089073555936168</c:v>
                </c:pt>
                <c:pt idx="4">
                  <c:v>0.9878699767441218</c:v>
                </c:pt>
                <c:pt idx="5">
                  <c:v>0.9854986449840385</c:v>
                </c:pt>
                <c:pt idx="6">
                  <c:v>0.98636754960257877</c:v>
                </c:pt>
                <c:pt idx="7">
                  <c:v>0.98775113905610024</c:v>
                </c:pt>
                <c:pt idx="8">
                  <c:v>0.98756922005148362</c:v>
                </c:pt>
                <c:pt idx="9">
                  <c:v>0.98507501461905467</c:v>
                </c:pt>
                <c:pt idx="10">
                  <c:v>0.99200943088983384</c:v>
                </c:pt>
                <c:pt idx="11">
                  <c:v>0.9843155200268896</c:v>
                </c:pt>
              </c:numCache>
            </c:numRef>
          </c:val>
          <c:smooth val="0"/>
          <c:extLst>
            <c:ext xmlns:c16="http://schemas.microsoft.com/office/drawing/2014/chart" uri="{C3380CC4-5D6E-409C-BE32-E72D297353CC}">
              <c16:uniqueId val="{00000002-FE98-4468-AC3A-56A91B2688A6}"/>
            </c:ext>
          </c:extLst>
        </c:ser>
        <c:ser>
          <c:idx val="3"/>
          <c:order val="2"/>
          <c:tx>
            <c:strRef>
              <c:f>'GDP! calculations'!$R$4</c:f>
              <c:strCache>
                <c:ptCount val="1"/>
                <c:pt idx="0">
                  <c:v>Q3</c:v>
                </c:pt>
              </c:strCache>
            </c:strRef>
          </c:tx>
          <c:spPr>
            <a:ln w="38100" cap="rnd">
              <a:solidFill>
                <a:srgbClr val="D1A21E"/>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calculations'!$R$5:$R$40</c15:sqref>
                  </c15:fullRef>
                </c:ext>
              </c:extLst>
              <c:f>('GDP! calculations'!$R$25:$R$33,'GDP! calculations'!$R$37:$R$40)</c:f>
              <c:numCache>
                <c:formatCode>0.000</c:formatCode>
                <c:ptCount val="13"/>
                <c:pt idx="0">
                  <c:v>1.0116177125362049</c:v>
                </c:pt>
                <c:pt idx="1">
                  <c:v>1.0016231294755535</c:v>
                </c:pt>
                <c:pt idx="2">
                  <c:v>0.99987575419023955</c:v>
                </c:pt>
                <c:pt idx="3">
                  <c:v>1.0012282811578057</c:v>
                </c:pt>
                <c:pt idx="4">
                  <c:v>1.0043113981657006</c:v>
                </c:pt>
                <c:pt idx="5">
                  <c:v>0.99815430722561316</c:v>
                </c:pt>
                <c:pt idx="6">
                  <c:v>0.99460142909184202</c:v>
                </c:pt>
                <c:pt idx="7">
                  <c:v>0.99751528304592085</c:v>
                </c:pt>
                <c:pt idx="8">
                  <c:v>0.99732800015074152</c:v>
                </c:pt>
                <c:pt idx="9">
                  <c:v>0.99730544043155067</c:v>
                </c:pt>
                <c:pt idx="10">
                  <c:v>1.0016361327300063</c:v>
                </c:pt>
                <c:pt idx="11">
                  <c:v>0.99964878999229922</c:v>
                </c:pt>
              </c:numCache>
            </c:numRef>
          </c:val>
          <c:smooth val="0"/>
          <c:extLst>
            <c:ext xmlns:c16="http://schemas.microsoft.com/office/drawing/2014/chart" uri="{C3380CC4-5D6E-409C-BE32-E72D297353CC}">
              <c16:uniqueId val="{00000003-FE98-4468-AC3A-56A91B2688A6}"/>
            </c:ext>
          </c:extLst>
        </c:ser>
        <c:ser>
          <c:idx val="4"/>
          <c:order val="3"/>
          <c:tx>
            <c:strRef>
              <c:f>'GDP! calculations'!$S$4</c:f>
              <c:strCache>
                <c:ptCount val="1"/>
                <c:pt idx="0">
                  <c:v>Q4</c:v>
                </c:pt>
              </c:strCache>
            </c:strRef>
          </c:tx>
          <c:spPr>
            <a:ln w="38100" cap="rnd">
              <a:solidFill>
                <a:srgbClr val="7B7C77"/>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calculations'!$S$5:$S$40</c15:sqref>
                  </c15:fullRef>
                </c:ext>
              </c:extLst>
              <c:f>('GDP! calculations'!$S$25:$S$33,'GDP! calculations'!$S$37:$S$40)</c:f>
              <c:numCache>
                <c:formatCode>0.000</c:formatCode>
                <c:ptCount val="13"/>
                <c:pt idx="0">
                  <c:v>1.0188696427289268</c:v>
                </c:pt>
                <c:pt idx="1">
                  <c:v>1.0232358356880413</c:v>
                </c:pt>
                <c:pt idx="2">
                  <c:v>1.0233960183345012</c:v>
                </c:pt>
                <c:pt idx="3">
                  <c:v>1.0215212685969919</c:v>
                </c:pt>
                <c:pt idx="4">
                  <c:v>1.0251643997480686</c:v>
                </c:pt>
                <c:pt idx="5">
                  <c:v>1.0211449866108047</c:v>
                </c:pt>
                <c:pt idx="6">
                  <c:v>1.0297524925023089</c:v>
                </c:pt>
                <c:pt idx="7">
                  <c:v>1.0341571827600153</c:v>
                </c:pt>
                <c:pt idx="8">
                  <c:v>1.0304465171195523</c:v>
                </c:pt>
                <c:pt idx="9">
                  <c:v>1.0336977442218425</c:v>
                </c:pt>
                <c:pt idx="10">
                  <c:v>1.0067342836108151</c:v>
                </c:pt>
                <c:pt idx="11">
                  <c:v>1.0084116267235923</c:v>
                </c:pt>
              </c:numCache>
            </c:numRef>
          </c:val>
          <c:smooth val="0"/>
          <c:extLst>
            <c:ext xmlns:c16="http://schemas.microsoft.com/office/drawing/2014/chart" uri="{C3380CC4-5D6E-409C-BE32-E72D297353CC}">
              <c16:uniqueId val="{00000004-FE98-4468-AC3A-56A91B2688A6}"/>
            </c:ext>
          </c:extLst>
        </c:ser>
        <c:ser>
          <c:idx val="5"/>
          <c:order val="4"/>
          <c:tx>
            <c:strRef>
              <c:f>'GDP! calculations'!$T$4</c:f>
              <c:strCache>
                <c:ptCount val="1"/>
                <c:pt idx="0">
                  <c:v>One line</c:v>
                </c:pt>
              </c:strCache>
            </c:strRef>
          </c:tx>
          <c:spPr>
            <a:ln w="12700" cap="rnd">
              <a:solidFill>
                <a:schemeClr val="tx1">
                  <a:lumMod val="65000"/>
                  <a:lumOff val="35000"/>
                </a:schemeClr>
              </a:solidFill>
              <a:prstDash val="solid"/>
              <a:round/>
            </a:ln>
            <a:effectLst/>
          </c:spPr>
          <c:marker>
            <c:symbol val="none"/>
          </c:marker>
          <c:cat>
            <c:numRef>
              <c:extLst>
                <c:ext xmlns:c15="http://schemas.microsoft.com/office/drawing/2012/chart" uri="{02D57815-91ED-43cb-92C2-25804820EDAC}">
                  <c15:fullRef>
                    <c15:sqref>'GDP! calculations'!$H$5:$H$40</c15:sqref>
                  </c15:fullRef>
                </c:ext>
              </c:extLst>
              <c:f>('GDP! calculations'!$H$25:$H$33,'GDP! calculations'!$H$37:$H$40)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'GDP! calculations'!$T$5:$T$40</c15:sqref>
                  </c15:fullRef>
                </c:ext>
              </c:extLst>
              <c:f>('GDP! calculations'!$T$25:$T$33,'GDP! calculations'!$T$37:$T$40)</c:f>
              <c:numCache>
                <c:formatCode>0.000</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5-FE98-4468-AC3A-56A91B2688A6}"/>
            </c:ext>
          </c:extLst>
        </c:ser>
        <c:dLbls>
          <c:showLegendKey val="0"/>
          <c:showVal val="0"/>
          <c:showCatName val="0"/>
          <c:showSerName val="0"/>
          <c:showPercent val="0"/>
          <c:showBubbleSize val="0"/>
        </c:dLbls>
        <c:smooth val="0"/>
        <c:axId val="1416168240"/>
        <c:axId val="1416165360"/>
      </c:lineChart>
      <c:catAx>
        <c:axId val="1416168240"/>
        <c:scaling>
          <c:orientation val="minMax"/>
        </c:scaling>
        <c:delete val="0"/>
        <c:axPos val="b"/>
        <c:numFmt formatCode="General" sourceLinked="1"/>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416165360"/>
        <c:crosses val="autoZero"/>
        <c:auto val="1"/>
        <c:lblAlgn val="ctr"/>
        <c:lblOffset val="100"/>
        <c:noMultiLvlLbl val="0"/>
      </c:catAx>
      <c:valAx>
        <c:axId val="1416165360"/>
        <c:scaling>
          <c:orientation val="minMax"/>
          <c:max val="1.06"/>
          <c:min val="0.94000000000000006"/>
        </c:scaling>
        <c:delete val="0"/>
        <c:axPos val="l"/>
        <c:numFmt formatCode="0.00" sourceLinked="0"/>
        <c:majorTickMark val="out"/>
        <c:minorTickMark val="none"/>
        <c:tickLblPos val="nextTo"/>
        <c:spPr>
          <a:noFill/>
          <a:ln>
            <a:solidFill>
              <a:srgbClr val="495057"/>
            </a:solidFill>
          </a:ln>
          <a:effectLst/>
        </c:spPr>
        <c:txPr>
          <a:bodyPr rot="-60000000" spcFirstLastPara="1" vertOverflow="ellipsis" vert="horz" wrap="square" anchor="ctr" anchorCtr="1"/>
          <a:lstStyle/>
          <a:p>
            <a:pPr>
              <a:defRPr sz="1000" b="0" i="0" u="none" strike="noStrike" kern="1200" baseline="0">
                <a:solidFill>
                  <a:srgbClr val="495057"/>
                </a:solidFill>
                <a:latin typeface="Segoe UI"/>
                <a:ea typeface="Segoe UI"/>
                <a:cs typeface="Segoe UI"/>
              </a:defRPr>
            </a:pPr>
            <a:endParaRPr lang="en-US"/>
          </a:p>
        </c:txPr>
        <c:crossAx val="1416168240"/>
        <c:crosses val="autoZero"/>
        <c:crossBetween val="midCat"/>
      </c:valAx>
      <c:spPr>
        <a:noFill/>
        <a:ln>
          <a:noFill/>
        </a:ln>
        <a:effectLst/>
      </c:spPr>
    </c:plotArea>
    <c:legend>
      <c:legendPos val="r"/>
      <c:legendEntry>
        <c:idx val="4"/>
        <c:delete val="1"/>
      </c:legendEntry>
      <c:layout>
        <c:manualLayout>
          <c:xMode val="edge"/>
          <c:yMode val="edge"/>
          <c:x val="0.17798900280111432"/>
          <c:y val="0.1314247683178506"/>
          <c:w val="0.51035752697289749"/>
          <c:h val="0.19812775096336147"/>
        </c:manualLayout>
      </c:layout>
      <c:overlay val="0"/>
      <c:spPr>
        <a:noFill/>
        <a:ln>
          <a:noFill/>
        </a:ln>
        <a:effectLst/>
      </c:spPr>
      <c:txPr>
        <a:bodyPr rot="0" spcFirstLastPara="1" vertOverflow="ellipsis" vert="horz" wrap="square" anchor="ctr" anchorCtr="1"/>
        <a:lstStyle/>
        <a:p>
          <a:pPr>
            <a:defRPr lang="en-US" sz="1400" b="0" i="0" u="none" strike="noStrike" kern="1200" baseline="0">
              <a:solidFill>
                <a:srgbClr val="495057"/>
              </a:solidFill>
              <a:latin typeface="Segoe UI"/>
              <a:ea typeface="Segoe UI"/>
              <a:cs typeface="Segoe UI"/>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39370078740157499" l="1.1811023622047201" r="1.1811023622047201" t="0.39370078740157499" header="0.78740157480314998" footer="0.78740157480314998"/>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GB" b="1"/>
              <a:t>UK: SA vs NSA ratios</a:t>
            </a:r>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6.4985925774331377E-2"/>
          <c:y val="0.20244525785936268"/>
          <c:w val="0.91182674801650432"/>
          <c:h val="0.71448511602506837"/>
        </c:manualLayout>
      </c:layout>
      <c:lineChart>
        <c:grouping val="standard"/>
        <c:varyColors val="0"/>
        <c:ser>
          <c:idx val="1"/>
          <c:order val="0"/>
          <c:tx>
            <c:strRef>
              <c:f>'Nominal component calculations'!$AM$4</c:f>
              <c:strCache>
                <c:ptCount val="1"/>
                <c:pt idx="0">
                  <c:v>Consumer spending</c:v>
                </c:pt>
              </c:strCache>
            </c:strRef>
          </c:tx>
          <c:spPr>
            <a:ln w="25400" cap="rnd">
              <a:solidFill>
                <a:srgbClr val="003469"/>
              </a:solidFill>
              <a:prstDash val="solid"/>
              <a:round/>
            </a:ln>
            <a:effectLst/>
          </c:spPr>
          <c:marker>
            <c:symbol val="none"/>
          </c:marker>
          <c:cat>
            <c:numRef>
              <c:extLst>
                <c:ext xmlns:c15="http://schemas.microsoft.com/office/drawing/2012/chart" uri="{02D57815-91ED-43cb-92C2-25804820EDAC}">
                  <c15:fullRef>
                    <c15:sqref>'Nominal component calculations'!$AL$25:$AL$40</c15:sqref>
                  </c15:fullRef>
                </c:ext>
              </c:extLst>
              <c:f>('Nominal component calculations'!$AL$25:$AL$34,'Nominal 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calculations'!$AM$25:$AM$40</c15:sqref>
                  </c15:fullRef>
                </c:ext>
              </c:extLst>
              <c:f>('Nominal component calculations'!$AM$25:$AM$34,'Nominal component calculations'!$AM$37:$AM$40)</c:f>
              <c:numCache>
                <c:formatCode>0.00</c:formatCode>
                <c:ptCount val="14"/>
                <c:pt idx="0">
                  <c:v>1.0286732796032239</c:v>
                </c:pt>
                <c:pt idx="1">
                  <c:v>1.0298817552487847</c:v>
                </c:pt>
                <c:pt idx="2">
                  <c:v>1.0295402248602075</c:v>
                </c:pt>
                <c:pt idx="3">
                  <c:v>1.0272041632098952</c:v>
                </c:pt>
                <c:pt idx="4">
                  <c:v>1.0326792623303191</c:v>
                </c:pt>
                <c:pt idx="5">
                  <c:v>1.0327529912332298</c:v>
                </c:pt>
                <c:pt idx="6">
                  <c:v>1.0349630000575216</c:v>
                </c:pt>
                <c:pt idx="7">
                  <c:v>1.0374961475449724</c:v>
                </c:pt>
                <c:pt idx="8">
                  <c:v>1.0376751579427315</c:v>
                </c:pt>
                <c:pt idx="9">
                  <c:v>1.0411952475464865</c:v>
                </c:pt>
                <c:pt idx="10">
                  <c:v>1.0352335125955279</c:v>
                </c:pt>
                <c:pt idx="11">
                  <c:v>1.0314382865531562</c:v>
                </c:pt>
                <c:pt idx="12">
                  <c:v>1.037102246630548</c:v>
                </c:pt>
                <c:pt idx="13">
                  <c:v>1.0376392909170025</c:v>
                </c:pt>
              </c:numCache>
            </c:numRef>
          </c:val>
          <c:smooth val="0"/>
          <c:extLst>
            <c:ext xmlns:c16="http://schemas.microsoft.com/office/drawing/2014/chart" uri="{C3380CC4-5D6E-409C-BE32-E72D297353CC}">
              <c16:uniqueId val="{00000001-236B-4A21-BE82-7FCB40ED1E27}"/>
            </c:ext>
          </c:extLst>
        </c:ser>
        <c:ser>
          <c:idx val="3"/>
          <c:order val="2"/>
          <c:tx>
            <c:strRef>
              <c:f>'Nominal component calculations'!$AO$4</c:f>
              <c:strCache>
                <c:ptCount val="1"/>
                <c:pt idx="0">
                  <c:v>Government consumption</c:v>
                </c:pt>
              </c:strCache>
            </c:strRef>
          </c:tx>
          <c:spPr>
            <a:ln w="25400" cap="rnd">
              <a:solidFill>
                <a:srgbClr val="008AC8"/>
              </a:solidFill>
              <a:prstDash val="solid"/>
              <a:round/>
            </a:ln>
            <a:effectLst/>
          </c:spPr>
          <c:marker>
            <c:symbol val="none"/>
          </c:marker>
          <c:cat>
            <c:numRef>
              <c:extLst>
                <c:ext xmlns:c15="http://schemas.microsoft.com/office/drawing/2012/chart" uri="{02D57815-91ED-43cb-92C2-25804820EDAC}">
                  <c15:fullRef>
                    <c15:sqref>'Nominal component calculations'!$AL$25:$AL$40</c15:sqref>
                  </c15:fullRef>
                </c:ext>
              </c:extLst>
              <c:f>('Nominal component calculations'!$AL$25:$AL$34,'Nominal 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calculations'!$AO$25:$AO$40</c15:sqref>
                  </c15:fullRef>
                </c:ext>
              </c:extLst>
              <c:f>('Nominal component calculations'!$AO$25:$AO$34,'Nominal component calculations'!$AO$37:$AO$40)</c:f>
              <c:numCache>
                <c:formatCode>0.00</c:formatCode>
                <c:ptCount val="14"/>
                <c:pt idx="0">
                  <c:v>0.98277078544279306</c:v>
                </c:pt>
                <c:pt idx="1">
                  <c:v>0.9835527406572272</c:v>
                </c:pt>
                <c:pt idx="2">
                  <c:v>0.9833850628350661</c:v>
                </c:pt>
                <c:pt idx="3">
                  <c:v>0.98493602514720857</c:v>
                </c:pt>
                <c:pt idx="4">
                  <c:v>0.98534009069085093</c:v>
                </c:pt>
                <c:pt idx="5">
                  <c:v>0.98579037091155508</c:v>
                </c:pt>
                <c:pt idx="6">
                  <c:v>0.98493676135185571</c:v>
                </c:pt>
                <c:pt idx="7">
                  <c:v>0.98554504059408965</c:v>
                </c:pt>
                <c:pt idx="8">
                  <c:v>0.98589165915690402</c:v>
                </c:pt>
                <c:pt idx="9">
                  <c:v>0.98608573571552205</c:v>
                </c:pt>
                <c:pt idx="10">
                  <c:v>0.99058416602613375</c:v>
                </c:pt>
                <c:pt idx="11">
                  <c:v>0.99149510235204408</c:v>
                </c:pt>
                <c:pt idx="12">
                  <c:v>0.99081070458041653</c:v>
                </c:pt>
                <c:pt idx="13">
                  <c:v>0.99179381729416738</c:v>
                </c:pt>
              </c:numCache>
            </c:numRef>
          </c:val>
          <c:smooth val="0"/>
          <c:extLst>
            <c:ext xmlns:c16="http://schemas.microsoft.com/office/drawing/2014/chart" uri="{C3380CC4-5D6E-409C-BE32-E72D297353CC}">
              <c16:uniqueId val="{00000003-236B-4A21-BE82-7FCB40ED1E27}"/>
            </c:ext>
          </c:extLst>
        </c:ser>
        <c:ser>
          <c:idx val="4"/>
          <c:order val="3"/>
          <c:tx>
            <c:strRef>
              <c:f>'Nominal component calculations'!$AP$4</c:f>
              <c:strCache>
                <c:ptCount val="1"/>
                <c:pt idx="0">
                  <c:v>Investment</c:v>
                </c:pt>
              </c:strCache>
            </c:strRef>
          </c:tx>
          <c:spPr>
            <a:ln w="25400" cap="rnd">
              <a:solidFill>
                <a:srgbClr val="E7A800"/>
              </a:solidFill>
              <a:prstDash val="solid"/>
              <a:round/>
            </a:ln>
            <a:effectLst/>
          </c:spPr>
          <c:marker>
            <c:symbol val="none"/>
          </c:marker>
          <c:cat>
            <c:numRef>
              <c:extLst>
                <c:ext xmlns:c15="http://schemas.microsoft.com/office/drawing/2012/chart" uri="{02D57815-91ED-43cb-92C2-25804820EDAC}">
                  <c15:fullRef>
                    <c15:sqref>'Nominal component calculations'!$AL$25:$AL$40</c15:sqref>
                  </c15:fullRef>
                </c:ext>
              </c:extLst>
              <c:f>('Nominal component calculations'!$AL$25:$AL$34,'Nominal 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calculations'!$AP$25:$AP$40</c15:sqref>
                  </c15:fullRef>
                </c:ext>
              </c:extLst>
              <c:f>('Nominal component calculations'!$AP$25:$AP$34,'Nominal component calculations'!$AP$37:$AP$40)</c:f>
              <c:numCache>
                <c:formatCode>0.00</c:formatCode>
                <c:ptCount val="14"/>
                <c:pt idx="0">
                  <c:v>0.95386772744183379</c:v>
                </c:pt>
                <c:pt idx="1">
                  <c:v>0.95944150856218779</c:v>
                </c:pt>
                <c:pt idx="2">
                  <c:v>0.96349498669940659</c:v>
                </c:pt>
                <c:pt idx="3">
                  <c:v>0.97505513623101059</c:v>
                </c:pt>
                <c:pt idx="4">
                  <c:v>0.97698908440647236</c:v>
                </c:pt>
                <c:pt idx="5">
                  <c:v>0.98813090441590046</c:v>
                </c:pt>
                <c:pt idx="6">
                  <c:v>0.974606973834521</c:v>
                </c:pt>
                <c:pt idx="7">
                  <c:v>0.99019252477759712</c:v>
                </c:pt>
                <c:pt idx="8">
                  <c:v>0.99428022957434725</c:v>
                </c:pt>
                <c:pt idx="9">
                  <c:v>0.98849441462892862</c:v>
                </c:pt>
                <c:pt idx="10">
                  <c:v>0.98142347443005751</c:v>
                </c:pt>
                <c:pt idx="11">
                  <c:v>0.96844530201096091</c:v>
                </c:pt>
                <c:pt idx="12">
                  <c:v>0.94608733091744102</c:v>
                </c:pt>
                <c:pt idx="13">
                  <c:v>0.94829618516930991</c:v>
                </c:pt>
              </c:numCache>
            </c:numRef>
          </c:val>
          <c:smooth val="0"/>
          <c:extLst xmlns:c15="http://schemas.microsoft.com/office/drawing/2012/chart">
            <c:ext xmlns:c16="http://schemas.microsoft.com/office/drawing/2014/chart" uri="{C3380CC4-5D6E-409C-BE32-E72D297353CC}">
              <c16:uniqueId val="{00000006-236B-4A21-BE82-7FCB40ED1E27}"/>
            </c:ext>
          </c:extLst>
        </c:ser>
        <c:ser>
          <c:idx val="7"/>
          <c:order val="6"/>
          <c:tx>
            <c:strRef>
              <c:f>'Nominal component calculations'!$AS$4</c:f>
              <c:strCache>
                <c:ptCount val="1"/>
                <c:pt idx="0">
                  <c:v>Exports</c:v>
                </c:pt>
              </c:strCache>
            </c:strRef>
          </c:tx>
          <c:spPr>
            <a:ln w="25400" cap="rnd">
              <a:solidFill>
                <a:srgbClr val="7D8992"/>
              </a:solidFill>
              <a:prstDash val="solid"/>
              <a:round/>
            </a:ln>
            <a:effectLst/>
          </c:spPr>
          <c:marker>
            <c:symbol val="none"/>
          </c:marker>
          <c:cat>
            <c:numRef>
              <c:extLst>
                <c:ext xmlns:c15="http://schemas.microsoft.com/office/drawing/2012/chart" uri="{02D57815-91ED-43cb-92C2-25804820EDAC}">
                  <c15:fullRef>
                    <c15:sqref>'Nominal component calculations'!$AL$25:$AL$40</c15:sqref>
                  </c15:fullRef>
                </c:ext>
              </c:extLst>
              <c:f>('Nominal component calculations'!$AL$25:$AL$34,'Nominal 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calculations'!$AS$25:$AS$40</c15:sqref>
                  </c15:fullRef>
                </c:ext>
              </c:extLst>
              <c:f>('Nominal component calculations'!$AS$25:$AS$34,'Nominal component calculations'!$AS$37:$AS$40)</c:f>
              <c:numCache>
                <c:formatCode>0.00</c:formatCode>
                <c:ptCount val="14"/>
                <c:pt idx="0">
                  <c:v>1.0259667995919504</c:v>
                </c:pt>
                <c:pt idx="1">
                  <c:v>1.0206897097583563</c:v>
                </c:pt>
                <c:pt idx="2">
                  <c:v>1.0158421013357213</c:v>
                </c:pt>
                <c:pt idx="3">
                  <c:v>1.0251756396003964</c:v>
                </c:pt>
                <c:pt idx="4">
                  <c:v>1.022875842037904</c:v>
                </c:pt>
                <c:pt idx="5">
                  <c:v>1.0255564082885649</c:v>
                </c:pt>
                <c:pt idx="6">
                  <c:v>1.0243748655525142</c:v>
                </c:pt>
                <c:pt idx="7">
                  <c:v>1.0190496959745492</c:v>
                </c:pt>
                <c:pt idx="8">
                  <c:v>1.0234448475077254</c:v>
                </c:pt>
                <c:pt idx="9">
                  <c:v>1.0238098039677124</c:v>
                </c:pt>
                <c:pt idx="10">
                  <c:v>1.0339016664371299</c:v>
                </c:pt>
                <c:pt idx="11">
                  <c:v>1.0283487433730798</c:v>
                </c:pt>
                <c:pt idx="12">
                  <c:v>1.0252730505461012</c:v>
                </c:pt>
                <c:pt idx="13">
                  <c:v>1.0261052390817642</c:v>
                </c:pt>
              </c:numCache>
            </c:numRef>
          </c:val>
          <c:smooth val="0"/>
          <c:extLst>
            <c:ext xmlns:c16="http://schemas.microsoft.com/office/drawing/2014/chart" uri="{C3380CC4-5D6E-409C-BE32-E72D297353CC}">
              <c16:uniqueId val="{00000005-236B-4A21-BE82-7FCB40ED1E27}"/>
            </c:ext>
          </c:extLst>
        </c:ser>
        <c:ser>
          <c:idx val="8"/>
          <c:order val="7"/>
          <c:tx>
            <c:strRef>
              <c:f>'Nominal component calculations'!$AT$4</c:f>
              <c:strCache>
                <c:ptCount val="1"/>
                <c:pt idx="0">
                  <c:v>Imports</c:v>
                </c:pt>
              </c:strCache>
            </c:strRef>
          </c:tx>
          <c:spPr>
            <a:ln w="25400" cap="rnd">
              <a:solidFill>
                <a:srgbClr val="8BA612"/>
              </a:solidFill>
              <a:prstDash val="solid"/>
              <a:round/>
            </a:ln>
            <a:effectLst/>
          </c:spPr>
          <c:marker>
            <c:symbol val="none"/>
          </c:marker>
          <c:cat>
            <c:numRef>
              <c:extLst>
                <c:ext xmlns:c15="http://schemas.microsoft.com/office/drawing/2012/chart" uri="{02D57815-91ED-43cb-92C2-25804820EDAC}">
                  <c15:fullRef>
                    <c15:sqref>'Nominal component calculations'!$AL$25:$AL$40</c15:sqref>
                  </c15:fullRef>
                </c:ext>
              </c:extLst>
              <c:f>('Nominal component calculations'!$AL$25:$AL$34,'Nominal component calculations'!$AL$37:$AL$40)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calculations'!$AT$25:$AT$40</c15:sqref>
                  </c15:fullRef>
                </c:ext>
              </c:extLst>
              <c:f>('Nominal component calculations'!$AT$25:$AT$34,'Nominal component calculations'!$AT$37:$AT$40)</c:f>
              <c:numCache>
                <c:formatCode>0.00</c:formatCode>
                <c:ptCount val="14"/>
                <c:pt idx="0">
                  <c:v>1.0267807327506044</c:v>
                </c:pt>
                <c:pt idx="1">
                  <c:v>1.0226374273192227</c:v>
                </c:pt>
                <c:pt idx="2">
                  <c:v>1.0169425685770632</c:v>
                </c:pt>
                <c:pt idx="3">
                  <c:v>1.0298233797335727</c:v>
                </c:pt>
                <c:pt idx="4">
                  <c:v>1.0273977629686171</c:v>
                </c:pt>
                <c:pt idx="5">
                  <c:v>1.0259271695875516</c:v>
                </c:pt>
                <c:pt idx="6">
                  <c:v>1.0250852617041066</c:v>
                </c:pt>
                <c:pt idx="7">
                  <c:v>1.016898228122995</c:v>
                </c:pt>
                <c:pt idx="8">
                  <c:v>1.0212887027325097</c:v>
                </c:pt>
                <c:pt idx="9">
                  <c:v>1.0248011182601189</c:v>
                </c:pt>
                <c:pt idx="10">
                  <c:v>1.0124925752571932</c:v>
                </c:pt>
                <c:pt idx="11">
                  <c:v>1.0196371228839878</c:v>
                </c:pt>
                <c:pt idx="12">
                  <c:v>1.0362933678940056</c:v>
                </c:pt>
                <c:pt idx="13">
                  <c:v>1.0350069937227073</c:v>
                </c:pt>
              </c:numCache>
            </c:numRef>
          </c:val>
          <c:smooth val="0"/>
          <c:extLst>
            <c:ext xmlns:c16="http://schemas.microsoft.com/office/drawing/2014/chart" uri="{C3380CC4-5D6E-409C-BE32-E72D297353CC}">
              <c16:uniqueId val="{00000008-236B-4A21-BE82-7FCB40ED1E27}"/>
            </c:ext>
          </c:extLst>
        </c:ser>
        <c:dLbls>
          <c:showLegendKey val="0"/>
          <c:showVal val="0"/>
          <c:showCatName val="0"/>
          <c:showSerName val="0"/>
          <c:showPercent val="0"/>
          <c:showBubbleSize val="0"/>
        </c:dLbls>
        <c:smooth val="0"/>
        <c:axId val="1424948991"/>
        <c:axId val="1424949471"/>
        <c:extLst>
          <c:ext xmlns:c15="http://schemas.microsoft.com/office/drawing/2012/chart" uri="{02D57815-91ED-43cb-92C2-25804820EDAC}">
            <c15:filteredLineSeries>
              <c15:ser>
                <c:idx val="2"/>
                <c:order val="1"/>
                <c:tx>
                  <c:strRef>
                    <c:extLst>
                      <c:ext uri="{02D57815-91ED-43cb-92C2-25804820EDAC}">
                        <c15:formulaRef>
                          <c15:sqref>'Nominal component calculations'!$AN$4</c15:sqref>
                        </c15:formulaRef>
                      </c:ext>
                    </c:extLst>
                    <c:strCache>
                      <c:ptCount val="1"/>
                      <c:pt idx="0">
                        <c:v>NPISH</c:v>
                      </c:pt>
                    </c:strCache>
                  </c:strRef>
                </c:tx>
                <c:spPr>
                  <a:ln w="25400" cap="rnd">
                    <a:solidFill>
                      <a:srgbClr val="EF4130"/>
                    </a:solidFill>
                    <a:prstDash val="solid"/>
                    <a:round/>
                  </a:ln>
                  <a:effectLst/>
                </c:spPr>
                <c:marker>
                  <c:symbol val="none"/>
                </c:marker>
                <c:cat>
                  <c:numRef>
                    <c:extLst>
                      <c:ext uri="{02D57815-91ED-43cb-92C2-25804820EDAC}">
                        <c15:fullRef>
                          <c15:sqref>'Nominal component calculations'!$AL$25:$AL$40</c15:sqref>
                        </c15:fullRef>
                        <c15:formulaRef>
                          <c15:sqref>('Nominal component calculations'!$AL$25:$AL$34,'Nominal component calculations'!$AL$37:$AL$40)</c15:sqref>
                        </c15:formulaRef>
                      </c:ext>
                    </c:extLst>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uri="{02D57815-91ED-43cb-92C2-25804820EDAC}">
                        <c15:fullRef>
                          <c15:sqref>'Nominal component calculations'!$AN$25:$AN$40</c15:sqref>
                        </c15:fullRef>
                        <c15:formulaRef>
                          <c15:sqref>('Nominal component calculations'!$AN$25:$AN$34,'Nominal component calculations'!$AN$37:$AN$40)</c15:sqref>
                        </c15:formulaRef>
                      </c:ext>
                    </c:extLst>
                    <c:numCache>
                      <c:formatCode>0.00</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2-236B-4A21-BE82-7FCB40ED1E27}"/>
                  </c:ext>
                </c:extLst>
              </c15:ser>
            </c15:filteredLineSeries>
            <c15:filteredLineSeries>
              <c15:ser>
                <c:idx val="5"/>
                <c:order val="4"/>
                <c:tx>
                  <c:strRef>
                    <c:extLst xmlns:c15="http://schemas.microsoft.com/office/drawing/2012/chart">
                      <c:ext xmlns:c15="http://schemas.microsoft.com/office/drawing/2012/chart" uri="{02D57815-91ED-43cb-92C2-25804820EDAC}">
                        <c15:formulaRef>
                          <c15:sqref>'Nominal component calculations'!$AQ$4</c15:sqref>
                        </c15:formulaRef>
                      </c:ext>
                    </c:extLst>
                    <c:strCache>
                      <c:ptCount val="1"/>
                      <c:pt idx="0">
                        <c:v>Inventories</c:v>
                      </c:pt>
                    </c:strCache>
                  </c:strRef>
                </c:tx>
                <c:spPr>
                  <a:ln w="28575" cap="rnd">
                    <a:solidFill>
                      <a:schemeClr val="accent6"/>
                    </a:solidFill>
                    <a:round/>
                  </a:ln>
                  <a:effectLst/>
                </c:spPr>
                <c:marker>
                  <c:symbol val="none"/>
                </c:marker>
                <c:cat>
                  <c:numRef>
                    <c:extLst>
                      <c:ext xmlns:c15="http://schemas.microsoft.com/office/drawing/2012/chart" uri="{02D57815-91ED-43cb-92C2-25804820EDAC}">
                        <c15:fullRef>
                          <c15:sqref>'Nominal component calculations'!$AL$25:$AL$40</c15:sqref>
                        </c15:fullRef>
                        <c15:formulaRef>
                          <c15:sqref>('Nominal component calculations'!$AL$25:$AL$34,'Nominal component calculations'!$AL$37:$AL$40)</c15:sqref>
                        </c15:formulaRef>
                      </c:ext>
                    </c:extLst>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calculations'!$AQ$25:$AQ$40</c15:sqref>
                        </c15:fullRef>
                        <c15:formulaRef>
                          <c15:sqref>('Nominal component calculations'!$AQ$25:$AQ$34,'Nominal component calculations'!$AQ$37:$AQ$40)</c15:sqref>
                        </c15:formulaRef>
                      </c:ext>
                    </c:extLst>
                    <c:numCache>
                      <c:formatCode>0.00</c:formatCode>
                      <c:ptCount val="14"/>
                      <c:pt idx="0">
                        <c:v>1.2114384748700173</c:v>
                      </c:pt>
                      <c:pt idx="1">
                        <c:v>0.66274023558586481</c:v>
                      </c:pt>
                      <c:pt idx="2">
                        <c:v>1.3097587719298245</c:v>
                      </c:pt>
                      <c:pt idx="3">
                        <c:v>0.62473347547974412</c:v>
                      </c:pt>
                      <c:pt idx="4">
                        <c:v>0.35165037801954635</c:v>
                      </c:pt>
                      <c:pt idx="5">
                        <c:v>0.81423685335613505</c:v>
                      </c:pt>
                      <c:pt idx="6">
                        <c:v>-0.65922330097087378</c:v>
                      </c:pt>
                      <c:pt idx="7">
                        <c:v>0.45326203208556148</c:v>
                      </c:pt>
                      <c:pt idx="8">
                        <c:v>-1.2105654761904763</c:v>
                      </c:pt>
                      <c:pt idx="9">
                        <c:v>0.7113482561166059</c:v>
                      </c:pt>
                      <c:pt idx="10">
                        <c:v>0.52251116364591543</c:v>
                      </c:pt>
                      <c:pt idx="11">
                        <c:v>7.7828282828282829</c:v>
                      </c:pt>
                      <c:pt idx="12">
                        <c:v>0.33384615384615385</c:v>
                      </c:pt>
                      <c:pt idx="13">
                        <c:v>2.046783625730994E-2</c:v>
                      </c:pt>
                    </c:numCache>
                  </c:numRef>
                </c:val>
                <c:smooth val="0"/>
                <c:extLst xmlns:c15="http://schemas.microsoft.com/office/drawing/2012/chart">
                  <c:ext xmlns:c16="http://schemas.microsoft.com/office/drawing/2014/chart" uri="{C3380CC4-5D6E-409C-BE32-E72D297353CC}">
                    <c16:uniqueId val="{00000007-236B-4A21-BE82-7FCB40ED1E27}"/>
                  </c:ext>
                </c:extLst>
              </c15:ser>
            </c15:filteredLineSeries>
            <c15:filteredLineSeries>
              <c15:ser>
                <c:idx val="6"/>
                <c:order val="5"/>
                <c:tx>
                  <c:strRef>
                    <c:extLst xmlns:c15="http://schemas.microsoft.com/office/drawing/2012/chart">
                      <c:ext xmlns:c15="http://schemas.microsoft.com/office/drawing/2012/chart" uri="{02D57815-91ED-43cb-92C2-25804820EDAC}">
                        <c15:formulaRef>
                          <c15:sqref>'Nominal component calculations'!$AR$4</c15:sqref>
                        </c15:formulaRef>
                      </c:ext>
                    </c:extLst>
                    <c:strCache>
                      <c:ptCount val="1"/>
                      <c:pt idx="0">
                        <c:v>Acquisitions</c:v>
                      </c:pt>
                    </c:strCache>
                  </c:strRef>
                </c:tx>
                <c:spPr>
                  <a:ln w="28575" cap="rnd">
                    <a:solidFill>
                      <a:schemeClr val="accent1">
                        <a:lumMod val="60000"/>
                      </a:schemeClr>
                    </a:solidFill>
                    <a:round/>
                  </a:ln>
                  <a:effectLst/>
                </c:spPr>
                <c:marker>
                  <c:symbol val="none"/>
                </c:marker>
                <c:cat>
                  <c:numRef>
                    <c:extLst>
                      <c:ext xmlns:c15="http://schemas.microsoft.com/office/drawing/2012/chart" uri="{02D57815-91ED-43cb-92C2-25804820EDAC}">
                        <c15:fullRef>
                          <c15:sqref>'Nominal component calculations'!$AL$25:$AL$40</c15:sqref>
                        </c15:fullRef>
                        <c15:formulaRef>
                          <c15:sqref>('Nominal component calculations'!$AL$25:$AL$34,'Nominal component calculations'!$AL$37:$AL$40)</c15:sqref>
                        </c15:formulaRef>
                      </c:ext>
                    </c:extLst>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calculations'!$AR$25:$AR$40</c15:sqref>
                        </c15:fullRef>
                        <c15:formulaRef>
                          <c15:sqref>('Nominal component calculations'!$AR$25:$AR$34,'Nominal component calculations'!$AR$37:$AR$40)</c15:sqref>
                        </c15:formulaRef>
                      </c:ext>
                    </c:extLst>
                    <c:numCache>
                      <c:formatCode>0.00</c:formatCode>
                      <c:ptCount val="14"/>
                      <c:pt idx="0">
                        <c:v>0.75882352941176467</c:v>
                      </c:pt>
                      <c:pt idx="1">
                        <c:v>0.9576271186440678</c:v>
                      </c:pt>
                      <c:pt idx="2">
                        <c:v>0.93833992094861662</c:v>
                      </c:pt>
                      <c:pt idx="3">
                        <c:v>1.1190476190476191</c:v>
                      </c:pt>
                      <c:pt idx="4">
                        <c:v>1.084664536741214</c:v>
                      </c:pt>
                      <c:pt idx="5">
                        <c:v>1.0498495917490331</c:v>
                      </c:pt>
                      <c:pt idx="6">
                        <c:v>1.1724137931034482</c:v>
                      </c:pt>
                      <c:pt idx="7">
                        <c:v>0.87399770904925544</c:v>
                      </c:pt>
                      <c:pt idx="8">
                        <c:v>3.0476190476190474</c:v>
                      </c:pt>
                      <c:pt idx="9">
                        <c:v>1.0133261783382523</c:v>
                      </c:pt>
                      <c:pt idx="10">
                        <c:v>1.0248818113958695</c:v>
                      </c:pt>
                      <c:pt idx="11">
                        <c:v>0.96827720839433873</c:v>
                      </c:pt>
                      <c:pt idx="12">
                        <c:v>0.91351351351351351</c:v>
                      </c:pt>
                      <c:pt idx="13">
                        <c:v>1.042121098157202</c:v>
                      </c:pt>
                    </c:numCache>
                  </c:numRef>
                </c:val>
                <c:smooth val="0"/>
                <c:extLst xmlns:c15="http://schemas.microsoft.com/office/drawing/2012/chart">
                  <c:ext xmlns:c16="http://schemas.microsoft.com/office/drawing/2014/chart" uri="{C3380CC4-5D6E-409C-BE32-E72D297353CC}">
                    <c16:uniqueId val="{00000004-236B-4A21-BE82-7FCB40ED1E27}"/>
                  </c:ext>
                </c:extLst>
              </c15:ser>
            </c15:filteredLineSeries>
          </c:ext>
        </c:extLst>
      </c:lineChart>
      <c:catAx>
        <c:axId val="1424948991"/>
        <c:scaling>
          <c:orientation val="minMax"/>
        </c:scaling>
        <c:delete val="0"/>
        <c:axPos val="b"/>
        <c:numFmt formatCode="General" sourceLinked="1"/>
        <c:majorTickMark val="none"/>
        <c:minorTickMark val="none"/>
        <c:tickLblPos val="low"/>
        <c:spPr>
          <a:noFill/>
          <a:ln w="7620" cap="flat" cmpd="sng" algn="ctr">
            <a:solidFill>
              <a:srgbClr val="3E515A"/>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1000000000000001"/>
          <c:min val="0.9"/>
        </c:scaling>
        <c:delete val="0"/>
        <c:axPos val="l"/>
        <c:majorGridlines>
          <c:spPr>
            <a:ln w="3175" cap="flat" cmpd="sng" algn="ctr">
              <a:solidFill>
                <a:srgbClr val="B1B6BB"/>
              </a:solidFill>
              <a:prstDash val="solid"/>
              <a:round/>
            </a:ln>
            <a:effectLst/>
          </c:spPr>
        </c:majorGridlines>
        <c:numFmt formatCode="0.00" sourceLinked="1"/>
        <c:majorTickMark val="none"/>
        <c:minorTickMark val="none"/>
        <c:tickLblPos val="nextTo"/>
        <c:spPr>
          <a:noFill/>
          <a:ln>
            <a:noFill/>
          </a:ln>
          <a:effectLst/>
          <a:extLst>
            <a:ext uri="{91240B29-F687-4F45-9708-019B960494DF}">
              <a14:hiddenLine xmlns:a14="http://schemas.microsoft.com/office/drawing/2010/main">
                <a:noFill/>
              </a14:hiddenLine>
            </a:ext>
          </a:extLst>
        </c:spPr>
        <c:txPr>
          <a:bodyPr rot="-60000000" spcFirstLastPara="1" vertOverflow="ellipsis" vert="horz" wrap="square" anchor="ctr" anchorCtr="1"/>
          <a:lstStyle/>
          <a:p>
            <a:pPr>
              <a:defRPr lang="en-US" sz="1050" b="0" i="0" u="none" strike="noStrike" kern="1200" baseline="0">
                <a:solidFill>
                  <a:schemeClr val="tx1"/>
                </a:solidFill>
                <a:latin typeface="+mn-lt"/>
                <a:ea typeface="+mn-ea"/>
                <a:cs typeface="+mn-cs"/>
              </a:defRPr>
            </a:pPr>
            <a:endParaRPr lang="en-US"/>
          </a:p>
        </c:txPr>
        <c:crossAx val="1424948991"/>
        <c:crosses val="autoZero"/>
        <c:crossBetween val="between"/>
      </c:valAx>
      <c:spPr>
        <a:noFill/>
        <a:ln>
          <a:noFill/>
        </a:ln>
        <a:effectLst/>
      </c:spPr>
    </c:plotArea>
    <c:legend>
      <c:legendPos val="b"/>
      <c:layout>
        <c:manualLayout>
          <c:xMode val="edge"/>
          <c:yMode val="edge"/>
          <c:x val="0.15773758894175846"/>
          <c:y val="6.8401829008643555E-2"/>
          <c:w val="0.83630928240761615"/>
          <c:h val="5.9424836144842431E-2"/>
        </c:manualLayout>
      </c:layout>
      <c:overlay val="0"/>
      <c:spPr>
        <a:solidFill>
          <a:srgbClr val="FFFFFF"/>
        </a:solid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25400"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Consumer spending</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1"/>
          <c:order val="0"/>
          <c:tx>
            <c:strRef>
              <c:f>'Nominal component calculations'!$BE$4</c:f>
              <c:strCache>
                <c:ptCount val="1"/>
                <c:pt idx="0">
                  <c:v>Q1</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calculations'!$BE$25:$BE$40</c15:sqref>
                  </c15:fullRef>
                </c:ext>
              </c:extLst>
              <c:f>('Nominal component calculations'!$BE$25:$BE$34,'Nominal component calculations'!$BE$37:$BE$40)</c:f>
              <c:numCache>
                <c:formatCode>0.000</c:formatCode>
                <c:ptCount val="14"/>
                <c:pt idx="0">
                  <c:v>0.95079269565644531</c:v>
                </c:pt>
                <c:pt idx="1">
                  <c:v>0.97082296187034689</c:v>
                </c:pt>
                <c:pt idx="2">
                  <c:v>0.96071424091040236</c:v>
                </c:pt>
                <c:pt idx="3">
                  <c:v>0.96849745831113743</c:v>
                </c:pt>
                <c:pt idx="4">
                  <c:v>0.96040135477730948</c:v>
                </c:pt>
                <c:pt idx="5">
                  <c:v>0.96052148907120338</c:v>
                </c:pt>
                <c:pt idx="6">
                  <c:v>0.96208689715724971</c:v>
                </c:pt>
                <c:pt idx="7">
                  <c:v>0.96070431866470285</c:v>
                </c:pt>
                <c:pt idx="8">
                  <c:v>0.96214191341792887</c:v>
                </c:pt>
                <c:pt idx="9">
                  <c:v>0.95636249581381871</c:v>
                </c:pt>
                <c:pt idx="10">
                  <c:v>0.95651235583760297</c:v>
                </c:pt>
                <c:pt idx="11">
                  <c:v>0.97924755492210158</c:v>
                </c:pt>
                <c:pt idx="12">
                  <c:v>0.95965255624988788</c:v>
                </c:pt>
                <c:pt idx="13">
                  <c:v>0.96352212558763617</c:v>
                </c:pt>
              </c:numCache>
            </c:numRef>
          </c:val>
          <c:smooth val="0"/>
          <c:extLst>
            <c:ext xmlns:c16="http://schemas.microsoft.com/office/drawing/2014/chart" uri="{C3380CC4-5D6E-409C-BE32-E72D297353CC}">
              <c16:uniqueId val="{00000001-BC1A-4FC1-8988-33F538CC33B9}"/>
            </c:ext>
          </c:extLst>
        </c:ser>
        <c:ser>
          <c:idx val="2"/>
          <c:order val="1"/>
          <c:tx>
            <c:strRef>
              <c:f>'Nominal component calculations'!$BF$4</c:f>
              <c:strCache>
                <c:ptCount val="1"/>
                <c:pt idx="0">
                  <c:v>Q2</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calculations'!$BF$25:$BF$40</c15:sqref>
                  </c15:fullRef>
                </c:ext>
              </c:extLst>
              <c:f>('Nominal component calculations'!$BF$25:$BF$34,'Nominal component calculations'!$BF$37:$BF$40)</c:f>
              <c:numCache>
                <c:formatCode>0.000</c:formatCode>
                <c:ptCount val="14"/>
                <c:pt idx="0">
                  <c:v>0.99802335579537549</c:v>
                </c:pt>
                <c:pt idx="1">
                  <c:v>0.9872225147522028</c:v>
                </c:pt>
                <c:pt idx="2">
                  <c:v>0.9853085921131135</c:v>
                </c:pt>
                <c:pt idx="3">
                  <c:v>0.98767046322499463</c:v>
                </c:pt>
                <c:pt idx="4">
                  <c:v>0.99044164643037835</c:v>
                </c:pt>
                <c:pt idx="5">
                  <c:v>0.98176810136514459</c:v>
                </c:pt>
                <c:pt idx="6">
                  <c:v>0.98850308421195454</c:v>
                </c:pt>
                <c:pt idx="7">
                  <c:v>0.9878448433385999</c:v>
                </c:pt>
                <c:pt idx="8">
                  <c:v>0.98684874971832792</c:v>
                </c:pt>
                <c:pt idx="9">
                  <c:v>0.99876516246444669</c:v>
                </c:pt>
                <c:pt idx="10">
                  <c:v>1.0124139477874332</c:v>
                </c:pt>
                <c:pt idx="11">
                  <c:v>1.011469311193069</c:v>
                </c:pt>
                <c:pt idx="12">
                  <c:v>0.9951508735280703</c:v>
                </c:pt>
              </c:numCache>
            </c:numRef>
          </c:val>
          <c:smooth val="0"/>
          <c:extLst>
            <c:ext xmlns:c16="http://schemas.microsoft.com/office/drawing/2014/chart" uri="{C3380CC4-5D6E-409C-BE32-E72D297353CC}">
              <c16:uniqueId val="{00000002-BC1A-4FC1-8988-33F538CC33B9}"/>
            </c:ext>
          </c:extLst>
        </c:ser>
        <c:ser>
          <c:idx val="3"/>
          <c:order val="2"/>
          <c:tx>
            <c:strRef>
              <c:f>'Nominal component calculations'!$BG$4</c:f>
              <c:strCache>
                <c:ptCount val="1"/>
                <c:pt idx="0">
                  <c:v>Q3</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calculations'!$BG$25:$BG$40</c15:sqref>
                  </c15:fullRef>
                </c:ext>
              </c:extLst>
              <c:f>('Nominal component calculations'!$BG$25:$BG$34,'Nominal component calculations'!$BG$37:$BG$40)</c:f>
              <c:numCache>
                <c:formatCode>0.000</c:formatCode>
                <c:ptCount val="14"/>
                <c:pt idx="0">
                  <c:v>1.020617234524509</c:v>
                </c:pt>
                <c:pt idx="1">
                  <c:v>1.0092746560113284</c:v>
                </c:pt>
                <c:pt idx="2">
                  <c:v>1.0099187406820411</c:v>
                </c:pt>
                <c:pt idx="3">
                  <c:v>1.0204238313466345</c:v>
                </c:pt>
                <c:pt idx="4">
                  <c:v>1.0290586916657756</c:v>
                </c:pt>
                <c:pt idx="5">
                  <c:v>1.0197752770262121</c:v>
                </c:pt>
                <c:pt idx="6">
                  <c:v>1.0280566918911782</c:v>
                </c:pt>
                <c:pt idx="7">
                  <c:v>1.0180346663917184</c:v>
                </c:pt>
                <c:pt idx="8">
                  <c:v>1.0199313369802141</c:v>
                </c:pt>
                <c:pt idx="9">
                  <c:v>1.0656323155072938</c:v>
                </c:pt>
                <c:pt idx="10">
                  <c:v>1.0100083873673344</c:v>
                </c:pt>
                <c:pt idx="11">
                  <c:v>1.0054236887919061</c:v>
                </c:pt>
                <c:pt idx="12">
                  <c:v>1.0143013487981334</c:v>
                </c:pt>
              </c:numCache>
            </c:numRef>
          </c:val>
          <c:smooth val="0"/>
          <c:extLst>
            <c:ext xmlns:c16="http://schemas.microsoft.com/office/drawing/2014/chart" uri="{C3380CC4-5D6E-409C-BE32-E72D297353CC}">
              <c16:uniqueId val="{00000003-BC1A-4FC1-8988-33F538CC33B9}"/>
            </c:ext>
          </c:extLst>
        </c:ser>
        <c:ser>
          <c:idx val="4"/>
          <c:order val="3"/>
          <c:tx>
            <c:strRef>
              <c:f>'Nominal component calculations'!$BH$4</c:f>
              <c:strCache>
                <c:ptCount val="1"/>
                <c:pt idx="0">
                  <c:v>Q4</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calculations'!$BH$25:$BH$40</c15:sqref>
                  </c15:fullRef>
                </c:ext>
              </c:extLst>
              <c:f>('Nominal component calculations'!$BH$25:$BH$34,'Nominal component calculations'!$BH$37:$BH$40)</c:f>
              <c:numCache>
                <c:formatCode>0.000</c:formatCode>
                <c:ptCount val="14"/>
                <c:pt idx="0">
                  <c:v>1.036745438421194</c:v>
                </c:pt>
                <c:pt idx="1">
                  <c:v>1.0290641474444571</c:v>
                </c:pt>
                <c:pt idx="2">
                  <c:v>1.0376332020501868</c:v>
                </c:pt>
                <c:pt idx="3">
                  <c:v>1.0251581286683003</c:v>
                </c:pt>
                <c:pt idx="4">
                  <c:v>1.0323228851055053</c:v>
                </c:pt>
                <c:pt idx="5">
                  <c:v>1.0195150492712557</c:v>
                </c:pt>
                <c:pt idx="6">
                  <c:v>1.0326320139686231</c:v>
                </c:pt>
                <c:pt idx="7">
                  <c:v>1.0320205143992611</c:v>
                </c:pt>
                <c:pt idx="8">
                  <c:v>1.039534051634448</c:v>
                </c:pt>
                <c:pt idx="9">
                  <c:v>1.1023669038974555</c:v>
                </c:pt>
                <c:pt idx="10">
                  <c:v>1.0539419191664736</c:v>
                </c:pt>
                <c:pt idx="11">
                  <c:v>1.0173402224810479</c:v>
                </c:pt>
                <c:pt idx="12">
                  <c:v>1.0224204329670787</c:v>
                </c:pt>
              </c:numCache>
            </c:numRef>
          </c:val>
          <c:smooth val="0"/>
          <c:extLst>
            <c:ext xmlns:c16="http://schemas.microsoft.com/office/drawing/2014/chart" uri="{C3380CC4-5D6E-409C-BE32-E72D297353CC}">
              <c16:uniqueId val="{00000004-BC1A-4FC1-8988-33F538CC33B9}"/>
            </c:ext>
          </c:extLst>
        </c:ser>
        <c:ser>
          <c:idx val="5"/>
          <c:order val="4"/>
          <c:tx>
            <c:strRef>
              <c:f>'Nominal component calculations'!$BI$4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calculations'!$BI$25:$BI$40</c15:sqref>
                  </c15:fullRef>
                </c:ext>
              </c:extLst>
              <c:f>('Nominal component calculations'!$BI$25:$BI$34,'Nominal component calculations'!$BI$37:$BI$40)</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5-BC1A-4FC1-8988-33F538CC33B9}"/>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1500000000000001"/>
          <c:min val="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r"/>
      <c:legendEntry>
        <c:idx val="4"/>
        <c:delete val="1"/>
      </c:legendEntry>
      <c:layout>
        <c:manualLayout>
          <c:xMode val="edge"/>
          <c:yMode val="edge"/>
          <c:x val="0.16367815252105583"/>
          <c:y val="0.13491193967453038"/>
          <c:w val="0.31680136645232448"/>
          <c:h val="0.18226455248166482"/>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NPISH</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2"/>
          <c:order val="0"/>
          <c:tx>
            <c:strRef>
              <c:f>'Nominal component calculations'!$BM$4</c:f>
              <c:strCache>
                <c:ptCount val="1"/>
                <c:pt idx="0">
                  <c:v>Q1</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'Nominal component calculations'!$BL$25:$BL$40</c15:sqref>
                  </c15:fullRef>
                </c:ext>
              </c:extLst>
              <c:f>('Nominal component calculations'!$BL$25:$BL$34,'Nominal component calculations'!$BL$37:$BL$40)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calculations'!$BM$25:$BM$40</c15:sqref>
                  </c15:fullRef>
                </c:ext>
              </c:extLst>
              <c:f>('Nominal component calculations'!$BM$25:$BM$34,'Nominal component calculations'!$BM$37:$BM$40)</c:f>
              <c:numCache>
                <c:formatCode>0.000</c:formatCode>
                <c:ptCount val="14"/>
                <c:pt idx="0">
                  <c:v>1.0054661086370473</c:v>
                </c:pt>
                <c:pt idx="1">
                  <c:v>0.98737078782923549</c:v>
                </c:pt>
                <c:pt idx="2">
                  <c:v>0.99226134384191444</c:v>
                </c:pt>
                <c:pt idx="3">
                  <c:v>0.98971436814772074</c:v>
                </c:pt>
                <c:pt idx="4">
                  <c:v>0.98970537624754984</c:v>
                </c:pt>
                <c:pt idx="5">
                  <c:v>0.98137914464199905</c:v>
                </c:pt>
                <c:pt idx="6">
                  <c:v>0.98912361430663043</c:v>
                </c:pt>
                <c:pt idx="7">
                  <c:v>0.99095588449123218</c:v>
                </c:pt>
                <c:pt idx="8">
                  <c:v>0.98721446947844382</c:v>
                </c:pt>
                <c:pt idx="9">
                  <c:v>1.0252537934497974</c:v>
                </c:pt>
                <c:pt idx="10">
                  <c:v>1.0022771913920008</c:v>
                </c:pt>
                <c:pt idx="11">
                  <c:v>1.0044839857651247</c:v>
                </c:pt>
                <c:pt idx="12">
                  <c:v>0.97019237544922843</c:v>
                </c:pt>
                <c:pt idx="13">
                  <c:v>1.007175252149191</c:v>
                </c:pt>
              </c:numCache>
            </c:numRef>
          </c:val>
          <c:smooth val="0"/>
          <c:extLst>
            <c:ext xmlns:c16="http://schemas.microsoft.com/office/drawing/2014/chart" uri="{C3380CC4-5D6E-409C-BE32-E72D297353CC}">
              <c16:uniqueId val="{00000001-DC84-45F2-B16E-2AA3E5E582A9}"/>
            </c:ext>
          </c:extLst>
        </c:ser>
        <c:ser>
          <c:idx val="3"/>
          <c:order val="1"/>
          <c:tx>
            <c:strRef>
              <c:f>'Nominal component calculations'!$BN$4</c:f>
              <c:strCache>
                <c:ptCount val="1"/>
                <c:pt idx="0">
                  <c:v>Q2</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'Nominal component calculations'!$BL$25:$BL$40</c15:sqref>
                  </c15:fullRef>
                </c:ext>
              </c:extLst>
              <c:f>('Nominal component calculations'!$BL$25:$BL$34,'Nominal component calculations'!$BL$37:$BL$40)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calculations'!$BN$25:$BN$40</c15:sqref>
                  </c15:fullRef>
                </c:ext>
              </c:extLst>
              <c:f>('Nominal component calculations'!$BN$25:$BN$34,'Nominal component calculations'!$BN$37:$BN$40)</c:f>
              <c:numCache>
                <c:formatCode>0.000</c:formatCode>
                <c:ptCount val="14"/>
                <c:pt idx="0">
                  <c:v>1.0029000517866391</c:v>
                </c:pt>
                <c:pt idx="1">
                  <c:v>1.0025895805752361</c:v>
                </c:pt>
                <c:pt idx="2">
                  <c:v>1.013486870303169</c:v>
                </c:pt>
                <c:pt idx="3">
                  <c:v>1.0027536970933197</c:v>
                </c:pt>
                <c:pt idx="4">
                  <c:v>0.99404537574432816</c:v>
                </c:pt>
                <c:pt idx="5">
                  <c:v>1.0140177097403571</c:v>
                </c:pt>
                <c:pt idx="6">
                  <c:v>0.98600376018383118</c:v>
                </c:pt>
                <c:pt idx="7">
                  <c:v>0.9852538895537698</c:v>
                </c:pt>
                <c:pt idx="8">
                  <c:v>1.0067816265819594</c:v>
                </c:pt>
                <c:pt idx="9">
                  <c:v>1.0164358418154513</c:v>
                </c:pt>
                <c:pt idx="10">
                  <c:v>1.0184801892371378</c:v>
                </c:pt>
                <c:pt idx="11">
                  <c:v>1.0070063046573112</c:v>
                </c:pt>
                <c:pt idx="12">
                  <c:v>0.97869470065654696</c:v>
                </c:pt>
              </c:numCache>
            </c:numRef>
          </c:val>
          <c:smooth val="0"/>
          <c:extLst>
            <c:ext xmlns:c16="http://schemas.microsoft.com/office/drawing/2014/chart" uri="{C3380CC4-5D6E-409C-BE32-E72D297353CC}">
              <c16:uniqueId val="{00000002-DC84-45F2-B16E-2AA3E5E582A9}"/>
            </c:ext>
          </c:extLst>
        </c:ser>
        <c:ser>
          <c:idx val="4"/>
          <c:order val="2"/>
          <c:tx>
            <c:strRef>
              <c:f>'Nominal component calculations'!$BO$4</c:f>
              <c:strCache>
                <c:ptCount val="1"/>
                <c:pt idx="0">
                  <c:v>Q3</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'Nominal component calculations'!$BL$25:$BL$40</c15:sqref>
                  </c15:fullRef>
                </c:ext>
              </c:extLst>
              <c:f>('Nominal component calculations'!$BL$25:$BL$34,'Nominal component calculations'!$BL$37:$BL$40)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calculations'!$BO$25:$BO$40</c15:sqref>
                  </c15:fullRef>
                </c:ext>
              </c:extLst>
              <c:f>('Nominal component calculations'!$BO$25:$BO$34,'Nominal component calculations'!$BO$37:$BO$40)</c:f>
              <c:numCache>
                <c:formatCode>0.000</c:formatCode>
                <c:ptCount val="14"/>
                <c:pt idx="0">
                  <c:v>1.0037840862241594</c:v>
                </c:pt>
                <c:pt idx="1">
                  <c:v>1.0082017010935602</c:v>
                </c:pt>
                <c:pt idx="2">
                  <c:v>1.0174039989122501</c:v>
                </c:pt>
                <c:pt idx="3">
                  <c:v>1.0038144329896908</c:v>
                </c:pt>
                <c:pt idx="4">
                  <c:v>0.99426415094339626</c:v>
                </c:pt>
                <c:pt idx="5">
                  <c:v>1.0196519651965197</c:v>
                </c:pt>
                <c:pt idx="6">
                  <c:v>0.98591989521782486</c:v>
                </c:pt>
                <c:pt idx="7">
                  <c:v>0.98660844250363899</c:v>
                </c:pt>
                <c:pt idx="8">
                  <c:v>1.0232212224025177</c:v>
                </c:pt>
                <c:pt idx="9">
                  <c:v>1.0289574112683955</c:v>
                </c:pt>
                <c:pt idx="10">
                  <c:v>1.0093293854864682</c:v>
                </c:pt>
                <c:pt idx="11">
                  <c:v>1.0075671393166212</c:v>
                </c:pt>
                <c:pt idx="12">
                  <c:v>0.99333749739745991</c:v>
                </c:pt>
              </c:numCache>
            </c:numRef>
          </c:val>
          <c:smooth val="0"/>
          <c:extLst>
            <c:ext xmlns:c16="http://schemas.microsoft.com/office/drawing/2014/chart" uri="{C3380CC4-5D6E-409C-BE32-E72D297353CC}">
              <c16:uniqueId val="{00000003-DC84-45F2-B16E-2AA3E5E582A9}"/>
            </c:ext>
          </c:extLst>
        </c:ser>
        <c:ser>
          <c:idx val="5"/>
          <c:order val="3"/>
          <c:tx>
            <c:strRef>
              <c:f>'Nominal component calculations'!$BP$4</c:f>
              <c:strCache>
                <c:ptCount val="1"/>
                <c:pt idx="0">
                  <c:v>Q4</c:v>
                </c:pt>
              </c:strCache>
            </c:strRef>
          </c:tx>
          <c:spPr>
            <a:ln w="28575" cap="rnd">
              <a:solidFill>
                <a:schemeClr val="accent6"/>
              </a:solidFill>
              <a:round/>
            </a:ln>
            <a:effectLst/>
          </c:spPr>
          <c:marker>
            <c:symbol val="none"/>
          </c:marker>
          <c:cat>
            <c:numRef>
              <c:extLst>
                <c:ext xmlns:c15="http://schemas.microsoft.com/office/drawing/2012/chart" uri="{02D57815-91ED-43cb-92C2-25804820EDAC}">
                  <c15:fullRef>
                    <c15:sqref>'Nominal component calculations'!$BL$25:$BL$40</c15:sqref>
                  </c15:fullRef>
                </c:ext>
              </c:extLst>
              <c:f>('Nominal component calculations'!$BL$25:$BL$34,'Nominal component calculations'!$BL$37:$BL$40)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calculations'!$BP$25:$BP$40</c15:sqref>
                  </c15:fullRef>
                </c:ext>
              </c:extLst>
              <c:f>('Nominal component calculations'!$BP$25:$BP$34,'Nominal component calculations'!$BP$37:$BP$40)</c:f>
              <c:numCache>
                <c:formatCode>0.000</c:formatCode>
                <c:ptCount val="14"/>
                <c:pt idx="0">
                  <c:v>0.99464989812819726</c:v>
                </c:pt>
                <c:pt idx="1">
                  <c:v>0.99709740922219181</c:v>
                </c:pt>
                <c:pt idx="2">
                  <c:v>1.0150517268592254</c:v>
                </c:pt>
                <c:pt idx="3">
                  <c:v>0.99525325873459902</c:v>
                </c:pt>
                <c:pt idx="4">
                  <c:v>0.99384082523906336</c:v>
                </c:pt>
                <c:pt idx="5">
                  <c:v>1.0113501761751256</c:v>
                </c:pt>
                <c:pt idx="6">
                  <c:v>0.98976638412238993</c:v>
                </c:pt>
                <c:pt idx="7">
                  <c:v>0.98854279996239136</c:v>
                </c:pt>
                <c:pt idx="8">
                  <c:v>1.0342502111231753</c:v>
                </c:pt>
                <c:pt idx="9">
                  <c:v>1.009678181795564</c:v>
                </c:pt>
                <c:pt idx="10">
                  <c:v>1.0109929587584423</c:v>
                </c:pt>
                <c:pt idx="11">
                  <c:v>1.0065150870366992</c:v>
                </c:pt>
                <c:pt idx="12">
                  <c:v>1.0142576590730557</c:v>
                </c:pt>
              </c:numCache>
            </c:numRef>
          </c:val>
          <c:smooth val="0"/>
          <c:extLst>
            <c:ext xmlns:c16="http://schemas.microsoft.com/office/drawing/2014/chart" uri="{C3380CC4-5D6E-409C-BE32-E72D297353CC}">
              <c16:uniqueId val="{00000004-DC84-45F2-B16E-2AA3E5E582A9}"/>
            </c:ext>
          </c:extLst>
        </c:ser>
        <c:ser>
          <c:idx val="0"/>
          <c:order val="4"/>
          <c:tx>
            <c:strRef>
              <c:f>'Nominal component calculations'!$BQ$4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'Nominal component calculations'!$BL$25:$BL$40</c15:sqref>
                  </c15:fullRef>
                </c:ext>
              </c:extLst>
              <c:f>('Nominal component calculations'!$BL$25:$BL$34,'Nominal component calculations'!$BL$37:$BL$40)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calculations'!$BQ$25:$BQ$40</c15:sqref>
                  </c15:fullRef>
                </c:ext>
              </c:extLst>
              <c:f>('Nominal component calculations'!$BQ$25:$BQ$34,'Nominal component calculations'!$BQ$37:$BQ$40)</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5-DC84-45F2-B16E-2AA3E5E582A9}"/>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05"/>
          <c:min val="0.95000000000000007"/>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r"/>
      <c:legendEntry>
        <c:idx val="4"/>
        <c:delete val="1"/>
      </c:legendEntry>
      <c:layout>
        <c:manualLayout>
          <c:xMode val="edge"/>
          <c:yMode val="edge"/>
          <c:x val="0.23524914381666526"/>
          <c:y val="0.10103512228148848"/>
          <c:w val="0.26789941795490962"/>
          <c:h val="0.19150368449794897"/>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Government consumption</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1"/>
          <c:order val="0"/>
          <c:tx>
            <c:strRef>
              <c:f>'Nominal component calculations'!$BU$4</c:f>
              <c:strCache>
                <c:ptCount val="1"/>
                <c:pt idx="0">
                  <c:v>Q1</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calculations'!$BU$25:$BU$40</c15:sqref>
                  </c15:fullRef>
                </c:ext>
              </c:extLst>
              <c:f>('Nominal component calculations'!$BU$25:$BU$34,'Nominal component calculations'!$BU$37:$BU$40)</c:f>
              <c:numCache>
                <c:formatCode>0.000</c:formatCode>
                <c:ptCount val="14"/>
                <c:pt idx="0">
                  <c:v>1.0270299150650579</c:v>
                </c:pt>
                <c:pt idx="1">
                  <c:v>1.0465781541268393</c:v>
                </c:pt>
                <c:pt idx="2">
                  <c:v>1.0541590467458648</c:v>
                </c:pt>
                <c:pt idx="3">
                  <c:v>1.0206441117803124</c:v>
                </c:pt>
                <c:pt idx="4">
                  <c:v>1.0334575125820094</c:v>
                </c:pt>
                <c:pt idx="5">
                  <c:v>1.0214423776658124</c:v>
                </c:pt>
                <c:pt idx="6">
                  <c:v>1.023698090780774</c:v>
                </c:pt>
                <c:pt idx="7">
                  <c:v>1.0222641077174603</c:v>
                </c:pt>
                <c:pt idx="8">
                  <c:v>1.017623434641032</c:v>
                </c:pt>
                <c:pt idx="9">
                  <c:v>1.0059559343769346</c:v>
                </c:pt>
                <c:pt idx="10">
                  <c:v>1.0424186126369848</c:v>
                </c:pt>
                <c:pt idx="11">
                  <c:v>0.99179343557950816</c:v>
                </c:pt>
                <c:pt idx="12">
                  <c:v>0.99763181709746929</c:v>
                </c:pt>
                <c:pt idx="13">
                  <c:v>1.0069877467170929</c:v>
                </c:pt>
              </c:numCache>
            </c:numRef>
          </c:val>
          <c:smooth val="0"/>
          <c:extLst>
            <c:ext xmlns:c16="http://schemas.microsoft.com/office/drawing/2014/chart" uri="{C3380CC4-5D6E-409C-BE32-E72D297353CC}">
              <c16:uniqueId val="{00000000-F95A-4246-8903-A5660190B674}"/>
            </c:ext>
          </c:extLst>
        </c:ser>
        <c:ser>
          <c:idx val="2"/>
          <c:order val="1"/>
          <c:tx>
            <c:strRef>
              <c:f>'Nominal component calculations'!$BV$4</c:f>
              <c:strCache>
                <c:ptCount val="1"/>
                <c:pt idx="0">
                  <c:v>Q2</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calculations'!$BV$25:$BV$40</c15:sqref>
                  </c15:fullRef>
                </c:ext>
              </c:extLst>
              <c:f>('Nominal component calculations'!$BV$25:$BV$34,'Nominal component calculations'!$BV$37:$BV$40)</c:f>
              <c:numCache>
                <c:formatCode>0.000</c:formatCode>
                <c:ptCount val="14"/>
                <c:pt idx="0">
                  <c:v>0.98601094121857524</c:v>
                </c:pt>
                <c:pt idx="1">
                  <c:v>0.97142931857592785</c:v>
                </c:pt>
                <c:pt idx="2">
                  <c:v>0.98085112931521845</c:v>
                </c:pt>
                <c:pt idx="3">
                  <c:v>0.98629059659992757</c:v>
                </c:pt>
                <c:pt idx="4">
                  <c:v>0.9837413975751732</c:v>
                </c:pt>
                <c:pt idx="5">
                  <c:v>0.9838985812575447</c:v>
                </c:pt>
                <c:pt idx="6">
                  <c:v>0.99227646732854069</c:v>
                </c:pt>
                <c:pt idx="7">
                  <c:v>0.98800172942726738</c:v>
                </c:pt>
                <c:pt idx="8">
                  <c:v>0.99081439380320346</c:v>
                </c:pt>
                <c:pt idx="9">
                  <c:v>1.0056461612085748</c:v>
                </c:pt>
                <c:pt idx="10">
                  <c:v>0.98469169104930554</c:v>
                </c:pt>
                <c:pt idx="11">
                  <c:v>1.0150609810180462</c:v>
                </c:pt>
                <c:pt idx="12">
                  <c:v>0.99148518202978808</c:v>
                </c:pt>
              </c:numCache>
            </c:numRef>
          </c:val>
          <c:smooth val="0"/>
          <c:extLst>
            <c:ext xmlns:c16="http://schemas.microsoft.com/office/drawing/2014/chart" uri="{C3380CC4-5D6E-409C-BE32-E72D297353CC}">
              <c16:uniqueId val="{00000001-F95A-4246-8903-A5660190B674}"/>
            </c:ext>
          </c:extLst>
        </c:ser>
        <c:ser>
          <c:idx val="3"/>
          <c:order val="2"/>
          <c:tx>
            <c:strRef>
              <c:f>'Nominal component calculations'!$BW$4</c:f>
              <c:strCache>
                <c:ptCount val="1"/>
                <c:pt idx="0">
                  <c:v>Q3</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calculations'!$BW$25:$BW$40</c15:sqref>
                  </c15:fullRef>
                </c:ext>
              </c:extLst>
              <c:f>('Nominal component calculations'!$BW$25:$BW$34,'Nominal component calculations'!$BW$37:$BW$40)</c:f>
              <c:numCache>
                <c:formatCode>0.000</c:formatCode>
                <c:ptCount val="14"/>
                <c:pt idx="0">
                  <c:v>0.98650865155820455</c:v>
                </c:pt>
                <c:pt idx="1">
                  <c:v>0.97428643679286064</c:v>
                </c:pt>
                <c:pt idx="2">
                  <c:v>0.98166149203493602</c:v>
                </c:pt>
                <c:pt idx="3">
                  <c:v>0.97075328081072976</c:v>
                </c:pt>
                <c:pt idx="4">
                  <c:v>0.99922226129851377</c:v>
                </c:pt>
                <c:pt idx="5">
                  <c:v>0.99726161906010713</c:v>
                </c:pt>
                <c:pt idx="6">
                  <c:v>0.9944184918702168</c:v>
                </c:pt>
                <c:pt idx="7">
                  <c:v>0.98758644785383243</c:v>
                </c:pt>
                <c:pt idx="8">
                  <c:v>0.98298890753632107</c:v>
                </c:pt>
                <c:pt idx="9">
                  <c:v>0.98947018092059646</c:v>
                </c:pt>
                <c:pt idx="10">
                  <c:v>0.9859097007400317</c:v>
                </c:pt>
                <c:pt idx="11">
                  <c:v>1.0047445507807216</c:v>
                </c:pt>
                <c:pt idx="12">
                  <c:v>0.98897205686856182</c:v>
                </c:pt>
              </c:numCache>
            </c:numRef>
          </c:val>
          <c:smooth val="0"/>
          <c:extLst>
            <c:ext xmlns:c16="http://schemas.microsoft.com/office/drawing/2014/chart" uri="{C3380CC4-5D6E-409C-BE32-E72D297353CC}">
              <c16:uniqueId val="{00000002-F95A-4246-8903-A5660190B674}"/>
            </c:ext>
          </c:extLst>
        </c:ser>
        <c:ser>
          <c:idx val="4"/>
          <c:order val="3"/>
          <c:tx>
            <c:strRef>
              <c:f>'Nominal component calculations'!$BX$4</c:f>
              <c:strCache>
                <c:ptCount val="1"/>
                <c:pt idx="0">
                  <c:v>Q4</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calculations'!$BX$25:$BX$40</c15:sqref>
                  </c15:fullRef>
                </c:ext>
              </c:extLst>
              <c:f>('Nominal component calculations'!$BX$25:$BX$34,'Nominal component calculations'!$BX$37:$BX$40)</c:f>
              <c:numCache>
                <c:formatCode>0.000</c:formatCode>
                <c:ptCount val="14"/>
                <c:pt idx="0">
                  <c:v>1.0023425385199116</c:v>
                </c:pt>
                <c:pt idx="1">
                  <c:v>0.99103465935130541</c:v>
                </c:pt>
                <c:pt idx="2">
                  <c:v>1.0058239073328727</c:v>
                </c:pt>
                <c:pt idx="3">
                  <c:v>1.0054260491441411</c:v>
                </c:pt>
                <c:pt idx="4">
                  <c:v>0.99717900363890011</c:v>
                </c:pt>
                <c:pt idx="5">
                  <c:v>0.98813598962430638</c:v>
                </c:pt>
                <c:pt idx="6">
                  <c:v>0.99662720818050998</c:v>
                </c:pt>
                <c:pt idx="7">
                  <c:v>0.9959918610239159</c:v>
                </c:pt>
                <c:pt idx="8">
                  <c:v>0.98500659189323103</c:v>
                </c:pt>
                <c:pt idx="9">
                  <c:v>0.98233281965520491</c:v>
                </c:pt>
                <c:pt idx="10">
                  <c:v>0.98550164680041952</c:v>
                </c:pt>
                <c:pt idx="11">
                  <c:v>1.0034988186191145</c:v>
                </c:pt>
                <c:pt idx="12">
                  <c:v>1.0112898977563871</c:v>
                </c:pt>
              </c:numCache>
            </c:numRef>
          </c:val>
          <c:smooth val="0"/>
          <c:extLst>
            <c:ext xmlns:c16="http://schemas.microsoft.com/office/drawing/2014/chart" uri="{C3380CC4-5D6E-409C-BE32-E72D297353CC}">
              <c16:uniqueId val="{00000003-F95A-4246-8903-A5660190B674}"/>
            </c:ext>
          </c:extLst>
        </c:ser>
        <c:ser>
          <c:idx val="5"/>
          <c:order val="4"/>
          <c:tx>
            <c:strRef>
              <c:f>'Nominal component calculations'!$BY$4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calculations'!$BY$25:$BY$40</c15:sqref>
                  </c15:fullRef>
                </c:ext>
              </c:extLst>
              <c:f>('Nominal component calculations'!$BY$25:$BY$34,'Nominal component calculations'!$BY$37:$BY$40)</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4-F95A-4246-8903-A5660190B674}"/>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1000000000000001"/>
          <c:min val="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r"/>
      <c:legendEntry>
        <c:idx val="4"/>
        <c:delete val="1"/>
      </c:legendEntry>
      <c:layout>
        <c:manualLayout>
          <c:xMode val="edge"/>
          <c:yMode val="edge"/>
          <c:x val="0.16367815252105583"/>
          <c:y val="0.13491193967453038"/>
          <c:w val="0.31680136645232448"/>
          <c:h val="0.18226455248166482"/>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Investments</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1"/>
          <c:order val="0"/>
          <c:tx>
            <c:strRef>
              <c:f>'Nominal component calculations'!$CC$4</c:f>
              <c:strCache>
                <c:ptCount val="1"/>
                <c:pt idx="0">
                  <c:v>Q1</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calculations'!$CC$25:$CC$40</c15:sqref>
                  </c15:fullRef>
                </c:ext>
              </c:extLst>
              <c:f>('Nominal component calculations'!$CC$25:$CC$34,'Nominal component calculations'!$CC$37:$CC$40)</c:f>
              <c:numCache>
                <c:formatCode>0.000</c:formatCode>
                <c:ptCount val="14"/>
                <c:pt idx="0">
                  <c:v>1.0602948093015998</c:v>
                </c:pt>
                <c:pt idx="1">
                  <c:v>1.0349306105545393</c:v>
                </c:pt>
                <c:pt idx="2">
                  <c:v>1.0665493008977027</c:v>
                </c:pt>
                <c:pt idx="3">
                  <c:v>1.0144200514945121</c:v>
                </c:pt>
                <c:pt idx="4">
                  <c:v>1.0324201264496655</c:v>
                </c:pt>
                <c:pt idx="5">
                  <c:v>1.0377230703257545</c:v>
                </c:pt>
                <c:pt idx="6">
                  <c:v>1.0192990432858118</c:v>
                </c:pt>
                <c:pt idx="7">
                  <c:v>0.9967145475645921</c:v>
                </c:pt>
                <c:pt idx="8">
                  <c:v>1.0107650664260601</c:v>
                </c:pt>
                <c:pt idx="9">
                  <c:v>1.0337405068768053</c:v>
                </c:pt>
                <c:pt idx="10">
                  <c:v>1.0229087419896508</c:v>
                </c:pt>
                <c:pt idx="11">
                  <c:v>1.0706722385433523</c:v>
                </c:pt>
                <c:pt idx="12">
                  <c:v>1.0561997877823253</c:v>
                </c:pt>
                <c:pt idx="13">
                  <c:v>1.0725644246320059</c:v>
                </c:pt>
              </c:numCache>
            </c:numRef>
          </c:val>
          <c:smooth val="0"/>
          <c:extLst>
            <c:ext xmlns:c16="http://schemas.microsoft.com/office/drawing/2014/chart" uri="{C3380CC4-5D6E-409C-BE32-E72D297353CC}">
              <c16:uniqueId val="{00000000-AE6F-4A1A-942B-F5DBAD05A888}"/>
            </c:ext>
          </c:extLst>
        </c:ser>
        <c:ser>
          <c:idx val="2"/>
          <c:order val="1"/>
          <c:tx>
            <c:strRef>
              <c:f>'Nominal component calculations'!$CD$4</c:f>
              <c:strCache>
                <c:ptCount val="1"/>
                <c:pt idx="0">
                  <c:v>Q2</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calculations'!$CD$25:$CD$40</c15:sqref>
                  </c15:fullRef>
                </c:ext>
              </c:extLst>
              <c:f>('Nominal component calculations'!$CD$25:$CD$34,'Nominal component calculations'!$CD$37:$CD$40)</c:f>
              <c:numCache>
                <c:formatCode>0.000</c:formatCode>
                <c:ptCount val="14"/>
                <c:pt idx="0">
                  <c:v>0.91120083738202984</c:v>
                </c:pt>
                <c:pt idx="1">
                  <c:v>0.9002094918314828</c:v>
                </c:pt>
                <c:pt idx="2">
                  <c:v>0.92340661505867339</c:v>
                </c:pt>
                <c:pt idx="3">
                  <c:v>0.93658535646065677</c:v>
                </c:pt>
                <c:pt idx="4">
                  <c:v>0.94183669848479479</c:v>
                </c:pt>
                <c:pt idx="5">
                  <c:v>0.96361133748086902</c:v>
                </c:pt>
                <c:pt idx="6">
                  <c:v>0.96519786000034125</c:v>
                </c:pt>
                <c:pt idx="7">
                  <c:v>0.96609541883150685</c:v>
                </c:pt>
                <c:pt idx="8">
                  <c:v>0.94389174623435235</c:v>
                </c:pt>
                <c:pt idx="9">
                  <c:v>0.97169245417757677</c:v>
                </c:pt>
                <c:pt idx="10">
                  <c:v>0.93828037238369466</c:v>
                </c:pt>
                <c:pt idx="11">
                  <c:v>0.9449976317954919</c:v>
                </c:pt>
                <c:pt idx="12">
                  <c:v>0.94827595289040878</c:v>
                </c:pt>
              </c:numCache>
            </c:numRef>
          </c:val>
          <c:smooth val="0"/>
          <c:extLst>
            <c:ext xmlns:c16="http://schemas.microsoft.com/office/drawing/2014/chart" uri="{C3380CC4-5D6E-409C-BE32-E72D297353CC}">
              <c16:uniqueId val="{00000001-AE6F-4A1A-942B-F5DBAD05A888}"/>
            </c:ext>
          </c:extLst>
        </c:ser>
        <c:ser>
          <c:idx val="3"/>
          <c:order val="2"/>
          <c:tx>
            <c:strRef>
              <c:f>'Nominal component calculations'!$CE$4</c:f>
              <c:strCache>
                <c:ptCount val="1"/>
                <c:pt idx="0">
                  <c:v>Q3</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calculations'!$CE$25:$CE$40</c15:sqref>
                  </c15:fullRef>
                </c:ext>
              </c:extLst>
              <c:f>('Nominal component calculations'!$CE$25:$CE$34,'Nominal component calculations'!$CE$37:$CE$40)</c:f>
              <c:numCache>
                <c:formatCode>0.000</c:formatCode>
                <c:ptCount val="14"/>
                <c:pt idx="0">
                  <c:v>1.0098795486461318</c:v>
                </c:pt>
                <c:pt idx="1">
                  <c:v>0.98709209602460801</c:v>
                </c:pt>
                <c:pt idx="2">
                  <c:v>0.96410111166182821</c:v>
                </c:pt>
                <c:pt idx="3">
                  <c:v>1.0089056351763104</c:v>
                </c:pt>
                <c:pt idx="4">
                  <c:v>0.98038583575261806</c:v>
                </c:pt>
                <c:pt idx="5">
                  <c:v>0.97266621510237727</c:v>
                </c:pt>
                <c:pt idx="6">
                  <c:v>1.010281622401539</c:v>
                </c:pt>
                <c:pt idx="7">
                  <c:v>1.0027572668322275</c:v>
                </c:pt>
                <c:pt idx="8">
                  <c:v>0.97538591117705165</c:v>
                </c:pt>
                <c:pt idx="9">
                  <c:v>1.03963304189471</c:v>
                </c:pt>
                <c:pt idx="10">
                  <c:v>1.0069541301972835</c:v>
                </c:pt>
                <c:pt idx="11">
                  <c:v>0.97264610442535204</c:v>
                </c:pt>
                <c:pt idx="12">
                  <c:v>0.9766533345735281</c:v>
                </c:pt>
              </c:numCache>
            </c:numRef>
          </c:val>
          <c:smooth val="0"/>
          <c:extLst>
            <c:ext xmlns:c16="http://schemas.microsoft.com/office/drawing/2014/chart" uri="{C3380CC4-5D6E-409C-BE32-E72D297353CC}">
              <c16:uniqueId val="{00000002-AE6F-4A1A-942B-F5DBAD05A888}"/>
            </c:ext>
          </c:extLst>
        </c:ser>
        <c:ser>
          <c:idx val="4"/>
          <c:order val="3"/>
          <c:tx>
            <c:strRef>
              <c:f>'Nominal component calculations'!$CF$4</c:f>
              <c:strCache>
                <c:ptCount val="1"/>
                <c:pt idx="0">
                  <c:v>Q4</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calculations'!$CF$25:$CF$40</c15:sqref>
                  </c15:fullRef>
                </c:ext>
              </c:extLst>
              <c:f>('Nominal component calculations'!$CF$25:$CF$34,'Nominal component calculations'!$CF$37:$CF$40)</c:f>
              <c:numCache>
                <c:formatCode>0.000</c:formatCode>
                <c:ptCount val="14"/>
                <c:pt idx="0">
                  <c:v>1.0512097439512802</c:v>
                </c:pt>
                <c:pt idx="1">
                  <c:v>1.0526227433830735</c:v>
                </c:pt>
                <c:pt idx="2">
                  <c:v>1.0365233156776901</c:v>
                </c:pt>
                <c:pt idx="3">
                  <c:v>1.0297399791443167</c:v>
                </c:pt>
                <c:pt idx="4">
                  <c:v>1.0400841616735359</c:v>
                </c:pt>
                <c:pt idx="5">
                  <c:v>1.0219098149212036</c:v>
                </c:pt>
                <c:pt idx="6">
                  <c:v>1.0224192880015068</c:v>
                </c:pt>
                <c:pt idx="7">
                  <c:v>1.0681875207001414</c:v>
                </c:pt>
                <c:pt idx="8">
                  <c:v>1.0302057739770543</c:v>
                </c:pt>
                <c:pt idx="9">
                  <c:v>1.0765857509542214</c:v>
                </c:pt>
                <c:pt idx="10">
                  <c:v>1.0533465252745602</c:v>
                </c:pt>
                <c:pt idx="11">
                  <c:v>1.0043959454429641</c:v>
                </c:pt>
                <c:pt idx="12">
                  <c:v>1.0024127112933727</c:v>
                </c:pt>
              </c:numCache>
            </c:numRef>
          </c:val>
          <c:smooth val="0"/>
          <c:extLst>
            <c:ext xmlns:c16="http://schemas.microsoft.com/office/drawing/2014/chart" uri="{C3380CC4-5D6E-409C-BE32-E72D297353CC}">
              <c16:uniqueId val="{00000003-AE6F-4A1A-942B-F5DBAD05A888}"/>
            </c:ext>
          </c:extLst>
        </c:ser>
        <c:ser>
          <c:idx val="5"/>
          <c:order val="4"/>
          <c:tx>
            <c:strRef>
              <c:f>'Nominal component calculations'!$CG$4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calculations'!$CG$25:$CG$40</c15:sqref>
                  </c15:fullRef>
                </c:ext>
              </c:extLst>
              <c:f>('Nominal component calculations'!$CG$25:$CG$34,'Nominal component calculations'!$CG$37:$CG$40)</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4-AE6F-4A1A-942B-F5DBAD05A888}"/>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1000000000000001"/>
          <c:min val="0.9"/>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r"/>
      <c:legendEntry>
        <c:idx val="4"/>
        <c:delete val="1"/>
      </c:legendEntry>
      <c:layout>
        <c:manualLayout>
          <c:xMode val="edge"/>
          <c:yMode val="edge"/>
          <c:x val="0.16367815252105583"/>
          <c:y val="0.13491193967453038"/>
          <c:w val="0.31680136645232448"/>
          <c:h val="0.18226455248166482"/>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Exports</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1"/>
          <c:order val="0"/>
          <c:tx>
            <c:strRef>
              <c:f>'Nominal component calculations'!$CS$4</c:f>
              <c:strCache>
                <c:ptCount val="1"/>
                <c:pt idx="0">
                  <c:v>Q1</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calculations'!$CS$25:$CS$40</c15:sqref>
                  </c15:fullRef>
                </c:ext>
              </c:extLst>
              <c:f>('Nominal component calculations'!$CS$25:$CS$34,'Nominal component calculations'!$CS$37:$CS$40)</c:f>
              <c:numCache>
                <c:formatCode>0.000</c:formatCode>
                <c:ptCount val="14"/>
                <c:pt idx="0">
                  <c:v>0.96758480035175121</c:v>
                </c:pt>
                <c:pt idx="1">
                  <c:v>1.0064055295343957</c:v>
                </c:pt>
                <c:pt idx="2">
                  <c:v>1.0186702458634542</c:v>
                </c:pt>
                <c:pt idx="3">
                  <c:v>0.99364277824116864</c:v>
                </c:pt>
                <c:pt idx="4">
                  <c:v>0.96841599704834291</c:v>
                </c:pt>
                <c:pt idx="5">
                  <c:v>0.96823846627460142</c:v>
                </c:pt>
                <c:pt idx="6">
                  <c:v>0.95337665407859562</c:v>
                </c:pt>
                <c:pt idx="7">
                  <c:v>0.99449968652951726</c:v>
                </c:pt>
                <c:pt idx="8">
                  <c:v>0.96693160747818074</c:v>
                </c:pt>
                <c:pt idx="9">
                  <c:v>0.95432214720959163</c:v>
                </c:pt>
                <c:pt idx="10">
                  <c:v>0.90484389764886919</c:v>
                </c:pt>
                <c:pt idx="11">
                  <c:v>0.98197952374364961</c:v>
                </c:pt>
                <c:pt idx="12">
                  <c:v>0.95692141300594591</c:v>
                </c:pt>
                <c:pt idx="13">
                  <c:v>0.98512205056336266</c:v>
                </c:pt>
              </c:numCache>
            </c:numRef>
          </c:val>
          <c:smooth val="0"/>
          <c:extLst>
            <c:ext xmlns:c16="http://schemas.microsoft.com/office/drawing/2014/chart" uri="{C3380CC4-5D6E-409C-BE32-E72D297353CC}">
              <c16:uniqueId val="{00000000-8D36-4A0A-941A-DF54503966D6}"/>
            </c:ext>
          </c:extLst>
        </c:ser>
        <c:ser>
          <c:idx val="2"/>
          <c:order val="1"/>
          <c:tx>
            <c:strRef>
              <c:f>'Nominal component calculations'!$CT$4</c:f>
              <c:strCache>
                <c:ptCount val="1"/>
                <c:pt idx="0">
                  <c:v>Q2</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calculations'!$CT$25:$CT$40</c15:sqref>
                  </c15:fullRef>
                </c:ext>
              </c:extLst>
              <c:f>('Nominal component calculations'!$CT$25:$CT$34,'Nominal component calculations'!$CT$37:$CT$40)</c:f>
              <c:numCache>
                <c:formatCode>0.000</c:formatCode>
                <c:ptCount val="14"/>
                <c:pt idx="0">
                  <c:v>1.0214936166136015</c:v>
                </c:pt>
                <c:pt idx="1">
                  <c:v>1.0251391407666812</c:v>
                </c:pt>
                <c:pt idx="2">
                  <c:v>0.99101700283308236</c:v>
                </c:pt>
                <c:pt idx="3">
                  <c:v>1.036285560923242</c:v>
                </c:pt>
                <c:pt idx="4">
                  <c:v>1.0073995376224216</c:v>
                </c:pt>
                <c:pt idx="5">
                  <c:v>1.0300386866698155</c:v>
                </c:pt>
                <c:pt idx="6">
                  <c:v>1.0081640920947716</c:v>
                </c:pt>
                <c:pt idx="7">
                  <c:v>1.0152666489262097</c:v>
                </c:pt>
                <c:pt idx="8">
                  <c:v>1.0141899828909158</c:v>
                </c:pt>
                <c:pt idx="9">
                  <c:v>0.96142693490363174</c:v>
                </c:pt>
                <c:pt idx="10">
                  <c:v>1.0070838900864656</c:v>
                </c:pt>
                <c:pt idx="11">
                  <c:v>0.97503672002021735</c:v>
                </c:pt>
                <c:pt idx="12">
                  <c:v>1.005033879171541</c:v>
                </c:pt>
              </c:numCache>
            </c:numRef>
          </c:val>
          <c:smooth val="0"/>
          <c:extLst>
            <c:ext xmlns:c16="http://schemas.microsoft.com/office/drawing/2014/chart" uri="{C3380CC4-5D6E-409C-BE32-E72D297353CC}">
              <c16:uniqueId val="{00000001-8D36-4A0A-941A-DF54503966D6}"/>
            </c:ext>
          </c:extLst>
        </c:ser>
        <c:ser>
          <c:idx val="3"/>
          <c:order val="2"/>
          <c:tx>
            <c:strRef>
              <c:f>'Nominal component calculations'!$CU$4</c:f>
              <c:strCache>
                <c:ptCount val="1"/>
                <c:pt idx="0">
                  <c:v>Q3</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calculations'!$CU$25:$CU$40</c15:sqref>
                  </c15:fullRef>
                </c:ext>
              </c:extLst>
              <c:f>('Nominal component calculations'!$CU$25:$CU$34,'Nominal component calculations'!$CU$37:$CU$40)</c:f>
              <c:numCache>
                <c:formatCode>0.000</c:formatCode>
                <c:ptCount val="14"/>
                <c:pt idx="0">
                  <c:v>0.97988542008429447</c:v>
                </c:pt>
                <c:pt idx="1">
                  <c:v>1.0059271459104782</c:v>
                </c:pt>
                <c:pt idx="2">
                  <c:v>0.98160271815695699</c:v>
                </c:pt>
                <c:pt idx="3">
                  <c:v>1.0180787326187608</c:v>
                </c:pt>
                <c:pt idx="4">
                  <c:v>0.98381141206442613</c:v>
                </c:pt>
                <c:pt idx="5">
                  <c:v>0.94993515675944995</c:v>
                </c:pt>
                <c:pt idx="6">
                  <c:v>0.96702359910672264</c:v>
                </c:pt>
                <c:pt idx="7">
                  <c:v>0.99797806426717495</c:v>
                </c:pt>
                <c:pt idx="8">
                  <c:v>1.0129526819553329</c:v>
                </c:pt>
                <c:pt idx="9">
                  <c:v>1.0470807644098448</c:v>
                </c:pt>
                <c:pt idx="10">
                  <c:v>1.092876086650808</c:v>
                </c:pt>
                <c:pt idx="11">
                  <c:v>0.96102050077837731</c:v>
                </c:pt>
                <c:pt idx="12">
                  <c:v>1.0021387930733567</c:v>
                </c:pt>
              </c:numCache>
            </c:numRef>
          </c:val>
          <c:smooth val="0"/>
          <c:extLst>
            <c:ext xmlns:c16="http://schemas.microsoft.com/office/drawing/2014/chart" uri="{C3380CC4-5D6E-409C-BE32-E72D297353CC}">
              <c16:uniqueId val="{00000002-8D36-4A0A-941A-DF54503966D6}"/>
            </c:ext>
          </c:extLst>
        </c:ser>
        <c:ser>
          <c:idx val="4"/>
          <c:order val="3"/>
          <c:tx>
            <c:strRef>
              <c:f>'Nominal component calculations'!$CV$4</c:f>
              <c:strCache>
                <c:ptCount val="1"/>
                <c:pt idx="0">
                  <c:v>Q4</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calculations'!$CV$25:$CV$40</c15:sqref>
                  </c15:fullRef>
                </c:ext>
              </c:extLst>
              <c:f>('Nominal component calculations'!$CV$25:$CV$34,'Nominal component calculations'!$CV$37:$CV$40)</c:f>
              <c:numCache>
                <c:formatCode>0.000</c:formatCode>
                <c:ptCount val="14"/>
                <c:pt idx="0">
                  <c:v>1.0089364561673861</c:v>
                </c:pt>
                <c:pt idx="1">
                  <c:v>1.022321029338952</c:v>
                </c:pt>
                <c:pt idx="2">
                  <c:v>0.97919158558399932</c:v>
                </c:pt>
                <c:pt idx="3">
                  <c:v>1.0020769816666633</c:v>
                </c:pt>
                <c:pt idx="4">
                  <c:v>1.0348109706132811</c:v>
                </c:pt>
                <c:pt idx="5">
                  <c:v>1.0119746458441516</c:v>
                </c:pt>
                <c:pt idx="6">
                  <c:v>1.0475256181254111</c:v>
                </c:pt>
                <c:pt idx="7">
                  <c:v>1.0167749799363999</c:v>
                </c:pt>
                <c:pt idx="8">
                  <c:v>1.0445286839700689</c:v>
                </c:pt>
                <c:pt idx="9">
                  <c:v>1.1551920115893342</c:v>
                </c:pt>
                <c:pt idx="10">
                  <c:v>1.1467150859822826</c:v>
                </c:pt>
                <c:pt idx="11">
                  <c:v>1.0094677782068464</c:v>
                </c:pt>
                <c:pt idx="12">
                  <c:v>1.0389066476212929</c:v>
                </c:pt>
              </c:numCache>
            </c:numRef>
          </c:val>
          <c:smooth val="0"/>
          <c:extLst>
            <c:ext xmlns:c16="http://schemas.microsoft.com/office/drawing/2014/chart" uri="{C3380CC4-5D6E-409C-BE32-E72D297353CC}">
              <c16:uniqueId val="{00000003-8D36-4A0A-941A-DF54503966D6}"/>
            </c:ext>
          </c:extLst>
        </c:ser>
        <c:ser>
          <c:idx val="5"/>
          <c:order val="4"/>
          <c:tx>
            <c:strRef>
              <c:f>'Nominal component calculations'!$CW$4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calculations'!$CW$25:$CW$40</c15:sqref>
                  </c15:fullRef>
                </c:ext>
              </c:extLst>
              <c:f>('Nominal component calculations'!$CW$25:$CW$34,'Nominal component calculations'!$CW$37:$CW$40)</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4-8D36-4A0A-941A-DF54503966D6}"/>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2"/>
          <c:min val="0.8"/>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r"/>
      <c:legendEntry>
        <c:idx val="4"/>
        <c:delete val="1"/>
      </c:legendEntry>
      <c:layout>
        <c:manualLayout>
          <c:xMode val="edge"/>
          <c:yMode val="edge"/>
          <c:x val="0.16367815252105583"/>
          <c:y val="0.13491193967453038"/>
          <c:w val="0.31680136645232448"/>
          <c:h val="0.18226455248166482"/>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UK:</a:t>
            </a:r>
            <a:r>
              <a:rPr lang="en-GB" b="1" baseline="0"/>
              <a:t> Imports</a:t>
            </a:r>
            <a:endParaRPr lang="en-GB" b="1"/>
          </a:p>
        </c:rich>
      </c:tx>
      <c:layout>
        <c:manualLayout>
          <c:xMode val="edge"/>
          <c:yMode val="edge"/>
          <c:x val="1.3661600808518999E-2"/>
          <c:y val="1.84356771482281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4985925774331377E-2"/>
          <c:y val="0.11396321090463045"/>
          <c:w val="0.91182674801650432"/>
          <c:h val="0.83036636674416753"/>
        </c:manualLayout>
      </c:layout>
      <c:lineChart>
        <c:grouping val="standard"/>
        <c:varyColors val="0"/>
        <c:ser>
          <c:idx val="1"/>
          <c:order val="0"/>
          <c:tx>
            <c:strRef>
              <c:f>'Nominal component calculations'!$DA$4</c:f>
              <c:strCache>
                <c:ptCount val="1"/>
                <c:pt idx="0">
                  <c:v>Q1</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calculations'!$DA$25:$DA$40</c15:sqref>
                  </c15:fullRef>
                </c:ext>
              </c:extLst>
              <c:f>('Nominal component calculations'!$DA$25:$DA$34,'Nominal component calculations'!$DA$37:$DA$40)</c:f>
              <c:numCache>
                <c:formatCode>0.000</c:formatCode>
                <c:ptCount val="14"/>
                <c:pt idx="0">
                  <c:v>0.96379161921391421</c:v>
                </c:pt>
                <c:pt idx="1">
                  <c:v>0.96482628572681528</c:v>
                </c:pt>
                <c:pt idx="2">
                  <c:v>0.98485378770919185</c:v>
                </c:pt>
                <c:pt idx="3">
                  <c:v>0.96256420336373649</c:v>
                </c:pt>
                <c:pt idx="4">
                  <c:v>0.95558917532487053</c:v>
                </c:pt>
                <c:pt idx="5">
                  <c:v>0.9841585689977641</c:v>
                </c:pt>
                <c:pt idx="6">
                  <c:v>0.95435868812330615</c:v>
                </c:pt>
                <c:pt idx="7">
                  <c:v>0.98597957853573759</c:v>
                </c:pt>
                <c:pt idx="8">
                  <c:v>0.9690531432901105</c:v>
                </c:pt>
                <c:pt idx="9">
                  <c:v>1.0533774033442271</c:v>
                </c:pt>
                <c:pt idx="10">
                  <c:v>1.0302850792376346</c:v>
                </c:pt>
                <c:pt idx="11">
                  <c:v>0.98897900353612866</c:v>
                </c:pt>
                <c:pt idx="12">
                  <c:v>0.93704946064772199</c:v>
                </c:pt>
                <c:pt idx="13">
                  <c:v>0.98115833051403645</c:v>
                </c:pt>
              </c:numCache>
            </c:numRef>
          </c:val>
          <c:smooth val="0"/>
          <c:extLst>
            <c:ext xmlns:c16="http://schemas.microsoft.com/office/drawing/2014/chart" uri="{C3380CC4-5D6E-409C-BE32-E72D297353CC}">
              <c16:uniqueId val="{00000000-015D-4D94-BE16-3B37E139C7D0}"/>
            </c:ext>
          </c:extLst>
        </c:ser>
        <c:ser>
          <c:idx val="2"/>
          <c:order val="1"/>
          <c:tx>
            <c:strRef>
              <c:f>'Nominal component calculations'!$DB$4</c:f>
              <c:strCache>
                <c:ptCount val="1"/>
                <c:pt idx="0">
                  <c:v>Q2</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calculations'!$DB$25:$DB$40</c15:sqref>
                  </c15:fullRef>
                </c:ext>
              </c:extLst>
              <c:f>('Nominal component calculations'!$DB$25:$DB$34,'Nominal component calculations'!$DB$37:$DB$40)</c:f>
              <c:numCache>
                <c:formatCode>0.000</c:formatCode>
                <c:ptCount val="14"/>
                <c:pt idx="0">
                  <c:v>1.0078811912797048</c:v>
                </c:pt>
                <c:pt idx="1">
                  <c:v>1.0189941899743278</c:v>
                </c:pt>
                <c:pt idx="2">
                  <c:v>1.0032733310325672</c:v>
                </c:pt>
                <c:pt idx="3">
                  <c:v>1.0251710312919344</c:v>
                </c:pt>
                <c:pt idx="4">
                  <c:v>0.96789432614640525</c:v>
                </c:pt>
                <c:pt idx="5">
                  <c:v>0.97333934794176369</c:v>
                </c:pt>
                <c:pt idx="6">
                  <c:v>0.97681839115029279</c:v>
                </c:pt>
                <c:pt idx="7">
                  <c:v>0.99882156418169055</c:v>
                </c:pt>
                <c:pt idx="8">
                  <c:v>0.97961179704756007</c:v>
                </c:pt>
                <c:pt idx="9">
                  <c:v>0.97386938273893286</c:v>
                </c:pt>
                <c:pt idx="10">
                  <c:v>1.0555248351604372</c:v>
                </c:pt>
                <c:pt idx="11">
                  <c:v>1.0051884211139968</c:v>
                </c:pt>
                <c:pt idx="12">
                  <c:v>1.0277167385764781</c:v>
                </c:pt>
              </c:numCache>
            </c:numRef>
          </c:val>
          <c:smooth val="0"/>
          <c:extLst>
            <c:ext xmlns:c16="http://schemas.microsoft.com/office/drawing/2014/chart" uri="{C3380CC4-5D6E-409C-BE32-E72D297353CC}">
              <c16:uniqueId val="{00000001-015D-4D94-BE16-3B37E139C7D0}"/>
            </c:ext>
          </c:extLst>
        </c:ser>
        <c:ser>
          <c:idx val="3"/>
          <c:order val="2"/>
          <c:tx>
            <c:strRef>
              <c:f>'Nominal component calculations'!$DC$4</c:f>
              <c:strCache>
                <c:ptCount val="1"/>
                <c:pt idx="0">
                  <c:v>Q3</c:v>
                </c:pt>
              </c:strCache>
            </c:strRef>
          </c:tx>
          <c:spPr>
            <a:ln w="28575" cap="rnd">
              <a:solidFill>
                <a:schemeClr val="accent4"/>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calculations'!$DC$25:$DC$40</c15:sqref>
                  </c15:fullRef>
                </c:ext>
              </c:extLst>
              <c:f>('Nominal component calculations'!$DC$25:$DC$34,'Nominal component calculations'!$DC$37:$DC$40)</c:f>
              <c:numCache>
                <c:formatCode>0.000</c:formatCode>
                <c:ptCount val="14"/>
                <c:pt idx="0">
                  <c:v>1.0373649170764307</c:v>
                </c:pt>
                <c:pt idx="1">
                  <c:v>1.0476877002964815</c:v>
                </c:pt>
                <c:pt idx="2">
                  <c:v>1.0159875759451831</c:v>
                </c:pt>
                <c:pt idx="3">
                  <c:v>1.0522028264388601</c:v>
                </c:pt>
                <c:pt idx="4">
                  <c:v>1.0317752321273801</c:v>
                </c:pt>
                <c:pt idx="5">
                  <c:v>0.99921098752243098</c:v>
                </c:pt>
                <c:pt idx="6">
                  <c:v>1.069770626057343</c:v>
                </c:pt>
                <c:pt idx="7">
                  <c:v>1.0458703959424001</c:v>
                </c:pt>
                <c:pt idx="8">
                  <c:v>1.0244429301371047</c:v>
                </c:pt>
                <c:pt idx="9">
                  <c:v>1.1039323686801801</c:v>
                </c:pt>
                <c:pt idx="10">
                  <c:v>1.0494008403096446</c:v>
                </c:pt>
                <c:pt idx="11">
                  <c:v>0.99438905239553921</c:v>
                </c:pt>
                <c:pt idx="12">
                  <c:v>0.9920518987130853</c:v>
                </c:pt>
              </c:numCache>
            </c:numRef>
          </c:val>
          <c:smooth val="0"/>
          <c:extLst>
            <c:ext xmlns:c16="http://schemas.microsoft.com/office/drawing/2014/chart" uri="{C3380CC4-5D6E-409C-BE32-E72D297353CC}">
              <c16:uniqueId val="{00000002-015D-4D94-BE16-3B37E139C7D0}"/>
            </c:ext>
          </c:extLst>
        </c:ser>
        <c:ser>
          <c:idx val="4"/>
          <c:order val="3"/>
          <c:tx>
            <c:strRef>
              <c:f>'Nominal component calculations'!$DD$4</c:f>
              <c:strCache>
                <c:ptCount val="1"/>
                <c:pt idx="0">
                  <c:v>Q4</c:v>
                </c:pt>
              </c:strCache>
            </c:strRef>
          </c:tx>
          <c:spPr>
            <a:ln w="28575" cap="rnd">
              <a:solidFill>
                <a:schemeClr val="accent5"/>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calculations'!$DD$25:$DD$40</c15:sqref>
                  </c15:fullRef>
                </c:ext>
              </c:extLst>
              <c:f>('Nominal component calculations'!$DD$25:$DD$34,'Nominal component calculations'!$DD$37:$DD$40)</c:f>
              <c:numCache>
                <c:formatCode>0.000</c:formatCode>
                <c:ptCount val="14"/>
                <c:pt idx="0">
                  <c:v>1.0082625030484276</c:v>
                </c:pt>
                <c:pt idx="1">
                  <c:v>1.0031141094907756</c:v>
                </c:pt>
                <c:pt idx="2">
                  <c:v>0.9690345422265203</c:v>
                </c:pt>
                <c:pt idx="3">
                  <c:v>1.0097463111966152</c:v>
                </c:pt>
                <c:pt idx="4">
                  <c:v>1.0482772761660999</c:v>
                </c:pt>
                <c:pt idx="5">
                  <c:v>0.97242703796426488</c:v>
                </c:pt>
                <c:pt idx="6">
                  <c:v>0.99923339648982845</c:v>
                </c:pt>
                <c:pt idx="7">
                  <c:v>0.98341052547838004</c:v>
                </c:pt>
                <c:pt idx="8">
                  <c:v>1.0178377170338635</c:v>
                </c:pt>
                <c:pt idx="9">
                  <c:v>1.0561086391508046</c:v>
                </c:pt>
                <c:pt idx="10">
                  <c:v>1.0448436021043828</c:v>
                </c:pt>
                <c:pt idx="11">
                  <c:v>1.0001804331275221</c:v>
                </c:pt>
                <c:pt idx="12">
                  <c:v>1.0205189446737013</c:v>
                </c:pt>
              </c:numCache>
            </c:numRef>
          </c:val>
          <c:smooth val="0"/>
          <c:extLst>
            <c:ext xmlns:c16="http://schemas.microsoft.com/office/drawing/2014/chart" uri="{C3380CC4-5D6E-409C-BE32-E72D297353CC}">
              <c16:uniqueId val="{00000003-015D-4D94-BE16-3B37E139C7D0}"/>
            </c:ext>
          </c:extLst>
        </c:ser>
        <c:ser>
          <c:idx val="5"/>
          <c:order val="4"/>
          <c:tx>
            <c:strRef>
              <c:f>'Nominal component calculations'!$DE$4</c:f>
              <c:strCache>
                <c:ptCount val="1"/>
                <c:pt idx="0">
                  <c:v>One line</c:v>
                </c:pt>
              </c:strCache>
            </c:strRef>
          </c:tx>
          <c:spPr>
            <a:ln w="12700" cap="rnd">
              <a:solidFill>
                <a:schemeClr val="tx1"/>
              </a:solidFill>
              <a:round/>
            </a:ln>
            <a:effectLst/>
          </c:spPr>
          <c:marker>
            <c:symbol val="none"/>
          </c:marker>
          <c:cat>
            <c:numRef>
              <c:extLst>
                <c:ext xmlns:c15="http://schemas.microsoft.com/office/drawing/2012/chart" uri="{02D57815-91ED-43cb-92C2-25804820EDAC}">
                  <c15:fullRef>
                    <c15:sqref>'Nominal component calculations'!$BD$25:$BD$40</c15:sqref>
                  </c15:fullRef>
                </c:ext>
              </c:extLst>
              <c:f>('Nominal component calculations'!$BD$25:$BD$34,'Nominal component calculations'!$BD$37:$BD$40)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'Nominal component calculations'!$DE$25:$DE$40</c15:sqref>
                  </c15:fullRef>
                </c:ext>
              </c:extLst>
              <c:f>('Nominal component calculations'!$DE$25:$DE$34,'Nominal component calculations'!$DE$37:$DE$40)</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4-015D-4D94-BE16-3B37E139C7D0}"/>
            </c:ext>
          </c:extLst>
        </c:ser>
        <c:dLbls>
          <c:showLegendKey val="0"/>
          <c:showVal val="0"/>
          <c:showCatName val="0"/>
          <c:showSerName val="0"/>
          <c:showPercent val="0"/>
          <c:showBubbleSize val="0"/>
        </c:dLbls>
        <c:smooth val="0"/>
        <c:axId val="1424948991"/>
        <c:axId val="1424949471"/>
        <c:extLst/>
      </c:lineChart>
      <c:catAx>
        <c:axId val="1424948991"/>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9471"/>
        <c:crosses val="autoZero"/>
        <c:auto val="1"/>
        <c:lblAlgn val="ctr"/>
        <c:lblOffset val="100"/>
        <c:noMultiLvlLbl val="0"/>
      </c:catAx>
      <c:valAx>
        <c:axId val="1424949471"/>
        <c:scaling>
          <c:orientation val="minMax"/>
          <c:max val="1.2"/>
          <c:min val="0.8"/>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48991"/>
        <c:crosses val="autoZero"/>
        <c:crossBetween val="between"/>
      </c:valAx>
      <c:spPr>
        <a:noFill/>
        <a:ln>
          <a:noFill/>
        </a:ln>
        <a:effectLst/>
      </c:spPr>
    </c:plotArea>
    <c:legend>
      <c:legendPos val="r"/>
      <c:legendEntry>
        <c:idx val="4"/>
        <c:delete val="1"/>
      </c:legendEntry>
      <c:layout>
        <c:manualLayout>
          <c:xMode val="edge"/>
          <c:yMode val="edge"/>
          <c:x val="0.16367815252105583"/>
          <c:y val="0.13491193967453038"/>
          <c:w val="0.31680136645232448"/>
          <c:h val="0.18226455248166482"/>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4.9566294919454771E-3"/>
          <c:y val="0.12781954887218044"/>
          <c:w val="0.99504337050805447"/>
          <c:h val="0.80200501253132828"/>
        </c:manualLayout>
      </c:layout>
      <c:lineChart>
        <c:grouping val="standard"/>
        <c:varyColors val="0"/>
        <c:ser>
          <c:idx val="0"/>
          <c:order val="0"/>
          <c:tx>
            <c:strRef>
              <c:f>'Chart data'!$J$4</c:f>
              <c:strCache>
                <c:ptCount val="1"/>
                <c:pt idx="0">
                  <c:v>Q1</c:v>
                </c:pt>
              </c:strCache>
            </c:strRef>
          </c:tx>
          <c:spPr>
            <a:ln w="25400">
              <a:solidFill>
                <a:srgbClr val="003466"/>
              </a:solidFill>
            </a:ln>
            <a:effectLst/>
          </c:spPr>
          <c:marker>
            <c:symbol val="none"/>
          </c:marker>
          <c:cat>
            <c:numRef>
              <c:extLst>
                <c:ext xmlns:c15="http://schemas.microsoft.com/office/drawing/2012/chart" uri="{02D57815-91ED-43cb-92C2-25804820EDAC}">
                  <c15:fullRef>
                    <c15:sqref>'Chart data'!$I$5:$I$20</c15:sqref>
                  </c15:fullRef>
                </c:ext>
              </c:extLst>
              <c:f>('Chart data'!$I$5:$I$13,'Chart data'!$I$17:$I$20)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'Chart data'!$J$5:$J$20</c15:sqref>
                  </c15:fullRef>
                </c:ext>
              </c:extLst>
              <c:f>('Chart data'!$J$5:$J$13,'Chart data'!$J$17:$J$20)</c:f>
              <c:numCache>
                <c:formatCode>0.000</c:formatCode>
                <c:ptCount val="13"/>
                <c:pt idx="0">
                  <c:v>0.99015883181759956</c:v>
                </c:pt>
                <c:pt idx="1">
                  <c:v>0.99032145846147634</c:v>
                </c:pt>
                <c:pt idx="2">
                  <c:v>0.99164392480778685</c:v>
                </c:pt>
                <c:pt idx="3">
                  <c:v>0.98397373977289782</c:v>
                </c:pt>
                <c:pt idx="4">
                  <c:v>0.99126822761068401</c:v>
                </c:pt>
                <c:pt idx="5">
                  <c:v>0.98778657244968437</c:v>
                </c:pt>
                <c:pt idx="6">
                  <c:v>0.98643252437563855</c:v>
                </c:pt>
                <c:pt idx="7">
                  <c:v>0.98641081186659629</c:v>
                </c:pt>
                <c:pt idx="8">
                  <c:v>0.98837661504360885</c:v>
                </c:pt>
                <c:pt idx="9">
                  <c:v>1.0048008106722759</c:v>
                </c:pt>
                <c:pt idx="10">
                  <c:v>0.99102841745087311</c:v>
                </c:pt>
                <c:pt idx="11">
                  <c:v>0.99821872374225051</c:v>
                </c:pt>
                <c:pt idx="12">
                  <c:v>1.0093227005793926</c:v>
                </c:pt>
              </c:numCache>
            </c:numRef>
          </c:val>
          <c:smooth val="0"/>
          <c:extLst>
            <c:ext xmlns:c16="http://schemas.microsoft.com/office/drawing/2014/chart" uri="{C3380CC4-5D6E-409C-BE32-E72D297353CC}">
              <c16:uniqueId val="{00000000-9D60-458C-B8F1-D78C817EEA4B}"/>
            </c:ext>
          </c:extLst>
        </c:ser>
        <c:ser>
          <c:idx val="1"/>
          <c:order val="1"/>
          <c:tx>
            <c:strRef>
              <c:f>'Chart data'!$K$4</c:f>
              <c:strCache>
                <c:ptCount val="1"/>
                <c:pt idx="0">
                  <c:v>Q2</c:v>
                </c:pt>
              </c:strCache>
            </c:strRef>
          </c:tx>
          <c:spPr>
            <a:ln w="25400">
              <a:solidFill>
                <a:srgbClr val="EF4130"/>
              </a:solidFill>
            </a:ln>
            <a:effectLst/>
          </c:spPr>
          <c:marker>
            <c:symbol val="none"/>
          </c:marker>
          <c:cat>
            <c:numRef>
              <c:extLst>
                <c:ext xmlns:c15="http://schemas.microsoft.com/office/drawing/2012/chart" uri="{02D57815-91ED-43cb-92C2-25804820EDAC}">
                  <c15:fullRef>
                    <c15:sqref>'Chart data'!$I$5:$I$20</c15:sqref>
                  </c15:fullRef>
                </c:ext>
              </c:extLst>
              <c:f>('Chart data'!$I$5:$I$13,'Chart data'!$I$17:$I$20)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'Chart data'!$K$5:$K$20</c15:sqref>
                  </c15:fullRef>
                </c:ext>
              </c:extLst>
              <c:f>('Chart data'!$K$5:$K$13,'Chart data'!$K$17:$K$20)</c:f>
              <c:numCache>
                <c:formatCode>0.000</c:formatCode>
                <c:ptCount val="13"/>
                <c:pt idx="0">
                  <c:v>0.9784894894657955</c:v>
                </c:pt>
                <c:pt idx="1">
                  <c:v>0.97578839861184941</c:v>
                </c:pt>
                <c:pt idx="2">
                  <c:v>0.97718471515886718</c:v>
                </c:pt>
                <c:pt idx="3">
                  <c:v>0.98020250365142203</c:v>
                </c:pt>
                <c:pt idx="4">
                  <c:v>0.99115061871698917</c:v>
                </c:pt>
                <c:pt idx="5">
                  <c:v>0.99003479570473651</c:v>
                </c:pt>
                <c:pt idx="6">
                  <c:v>0.99090038661569813</c:v>
                </c:pt>
                <c:pt idx="7">
                  <c:v>0.98925182297706993</c:v>
                </c:pt>
                <c:pt idx="8">
                  <c:v>0.98661434855796637</c:v>
                </c:pt>
                <c:pt idx="9">
                  <c:v>0.98171967730785226</c:v>
                </c:pt>
                <c:pt idx="10">
                  <c:v>0.98408885258600831</c:v>
                </c:pt>
                <c:pt idx="11">
                  <c:v>0.97805732309177806</c:v>
                </c:pt>
              </c:numCache>
            </c:numRef>
          </c:val>
          <c:smooth val="0"/>
          <c:extLst>
            <c:ext xmlns:c16="http://schemas.microsoft.com/office/drawing/2014/chart" uri="{C3380CC4-5D6E-409C-BE32-E72D297353CC}">
              <c16:uniqueId val="{00000001-9D60-458C-B8F1-D78C817EEA4B}"/>
            </c:ext>
          </c:extLst>
        </c:ser>
        <c:ser>
          <c:idx val="2"/>
          <c:order val="2"/>
          <c:tx>
            <c:strRef>
              <c:f>'Chart data'!$L$4</c:f>
              <c:strCache>
                <c:ptCount val="1"/>
                <c:pt idx="0">
                  <c:v>Q3</c:v>
                </c:pt>
              </c:strCache>
            </c:strRef>
          </c:tx>
          <c:spPr>
            <a:ln w="25400">
              <a:solidFill>
                <a:srgbClr val="008AC8"/>
              </a:solidFill>
            </a:ln>
            <a:effectLst/>
          </c:spPr>
          <c:marker>
            <c:symbol val="none"/>
          </c:marker>
          <c:cat>
            <c:numRef>
              <c:extLst>
                <c:ext xmlns:c15="http://schemas.microsoft.com/office/drawing/2012/chart" uri="{02D57815-91ED-43cb-92C2-25804820EDAC}">
                  <c15:fullRef>
                    <c15:sqref>'Chart data'!$I$5:$I$20</c15:sqref>
                  </c15:fullRef>
                </c:ext>
              </c:extLst>
              <c:f>('Chart data'!$I$5:$I$13,'Chart data'!$I$17:$I$20)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'Chart data'!$L$5:$L$20</c15:sqref>
                  </c15:fullRef>
                </c:ext>
              </c:extLst>
              <c:f>('Chart data'!$L$5:$L$13,'Chart data'!$L$17:$L$20)</c:f>
              <c:numCache>
                <c:formatCode>0.000</c:formatCode>
                <c:ptCount val="13"/>
                <c:pt idx="0">
                  <c:v>1.0179234313943093</c:v>
                </c:pt>
                <c:pt idx="1">
                  <c:v>1.0062611651620543</c:v>
                </c:pt>
                <c:pt idx="2">
                  <c:v>1.0072646315416769</c:v>
                </c:pt>
                <c:pt idx="3">
                  <c:v>0.99995710383513536</c:v>
                </c:pt>
                <c:pt idx="4">
                  <c:v>1.0002382797616729</c:v>
                </c:pt>
                <c:pt idx="5">
                  <c:v>0.99981423508469269</c:v>
                </c:pt>
                <c:pt idx="6">
                  <c:v>0.99401356726243761</c:v>
                </c:pt>
                <c:pt idx="7">
                  <c:v>1.0010388695342394</c:v>
                </c:pt>
                <c:pt idx="8">
                  <c:v>0.9960060453243923</c:v>
                </c:pt>
                <c:pt idx="9">
                  <c:v>1.0089165399607556</c:v>
                </c:pt>
                <c:pt idx="10">
                  <c:v>0.99755966780996186</c:v>
                </c:pt>
                <c:pt idx="11">
                  <c:v>1.0004028772027418</c:v>
                </c:pt>
              </c:numCache>
            </c:numRef>
          </c:val>
          <c:smooth val="0"/>
          <c:extLst>
            <c:ext xmlns:c16="http://schemas.microsoft.com/office/drawing/2014/chart" uri="{C3380CC4-5D6E-409C-BE32-E72D297353CC}">
              <c16:uniqueId val="{00000002-9D60-458C-B8F1-D78C817EEA4B}"/>
            </c:ext>
          </c:extLst>
        </c:ser>
        <c:ser>
          <c:idx val="3"/>
          <c:order val="3"/>
          <c:tx>
            <c:strRef>
              <c:f>'Chart data'!$M$4</c:f>
              <c:strCache>
                <c:ptCount val="1"/>
                <c:pt idx="0">
                  <c:v>Q4</c:v>
                </c:pt>
              </c:strCache>
            </c:strRef>
          </c:tx>
          <c:spPr>
            <a:ln w="25400">
              <a:solidFill>
                <a:srgbClr val="E7A800"/>
              </a:solidFill>
            </a:ln>
            <a:effectLst/>
          </c:spPr>
          <c:marker>
            <c:symbol val="none"/>
          </c:marker>
          <c:cat>
            <c:numRef>
              <c:extLst>
                <c:ext xmlns:c15="http://schemas.microsoft.com/office/drawing/2012/chart" uri="{02D57815-91ED-43cb-92C2-25804820EDAC}">
                  <c15:fullRef>
                    <c15:sqref>'Chart data'!$I$5:$I$20</c15:sqref>
                  </c15:fullRef>
                </c:ext>
              </c:extLst>
              <c:f>('Chart data'!$I$5:$I$13,'Chart data'!$I$17:$I$20)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'Chart data'!$M$5:$M$20</c15:sqref>
                  </c15:fullRef>
                </c:ext>
              </c:extLst>
              <c:f>('Chart data'!$M$5:$M$13,'Chart data'!$M$17:$M$20)</c:f>
              <c:numCache>
                <c:formatCode>0.000</c:formatCode>
                <c:ptCount val="13"/>
                <c:pt idx="0">
                  <c:v>1.0260242784596272</c:v>
                </c:pt>
                <c:pt idx="1">
                  <c:v>1.0209506150972361</c:v>
                </c:pt>
                <c:pt idx="2">
                  <c:v>1.0263474828662318</c:v>
                </c:pt>
                <c:pt idx="3">
                  <c:v>1.0233971037909313</c:v>
                </c:pt>
                <c:pt idx="4">
                  <c:v>1.0231270908279408</c:v>
                </c:pt>
                <c:pt idx="5">
                  <c:v>1.0224469995959813</c:v>
                </c:pt>
                <c:pt idx="6">
                  <c:v>1.0247734107743056</c:v>
                </c:pt>
                <c:pt idx="7">
                  <c:v>1.0338793297191815</c:v>
                </c:pt>
                <c:pt idx="8">
                  <c:v>1.0283803286628088</c:v>
                </c:pt>
                <c:pt idx="9">
                  <c:v>1.0255737802015512</c:v>
                </c:pt>
                <c:pt idx="10">
                  <c:v>1.0186634740966478</c:v>
                </c:pt>
                <c:pt idx="11">
                  <c:v>1.0177465053367847</c:v>
                </c:pt>
              </c:numCache>
            </c:numRef>
          </c:val>
          <c:smooth val="0"/>
          <c:extLst>
            <c:ext xmlns:c16="http://schemas.microsoft.com/office/drawing/2014/chart" uri="{C3380CC4-5D6E-409C-BE32-E72D297353CC}">
              <c16:uniqueId val="{00000003-9D60-458C-B8F1-D78C817EEA4B}"/>
            </c:ext>
          </c:extLst>
        </c:ser>
        <c:ser>
          <c:idx val="4"/>
          <c:order val="4"/>
          <c:tx>
            <c:strRef>
              <c:f>'Chart data'!$N$4</c:f>
              <c:strCache>
                <c:ptCount val="1"/>
                <c:pt idx="0">
                  <c:v>Zeroline</c:v>
                </c:pt>
              </c:strCache>
            </c:strRef>
          </c:tx>
          <c:spPr>
            <a:ln w="6350">
              <a:solidFill>
                <a:sysClr val="windowText" lastClr="000000"/>
              </a:solidFill>
            </a:ln>
            <a:effectLst/>
          </c:spPr>
          <c:marker>
            <c:symbol val="none"/>
          </c:marker>
          <c:cat>
            <c:numRef>
              <c:extLst>
                <c:ext xmlns:c15="http://schemas.microsoft.com/office/drawing/2012/chart" uri="{02D57815-91ED-43cb-92C2-25804820EDAC}">
                  <c15:fullRef>
                    <c15:sqref>'Chart data'!$I$5:$I$20</c15:sqref>
                  </c15:fullRef>
                </c:ext>
              </c:extLst>
              <c:f>('Chart data'!$I$5:$I$13,'Chart data'!$I$17:$I$20)</c:f>
              <c:numCache>
                <c:formatCode>General</c:formatCode>
                <c:ptCount val="13"/>
                <c:pt idx="0">
                  <c:v>2010</c:v>
                </c:pt>
                <c:pt idx="1">
                  <c:v>2011</c:v>
                </c:pt>
                <c:pt idx="2">
                  <c:v>2012</c:v>
                </c:pt>
                <c:pt idx="3">
                  <c:v>2013</c:v>
                </c:pt>
                <c:pt idx="4">
                  <c:v>2014</c:v>
                </c:pt>
                <c:pt idx="5">
                  <c:v>2015</c:v>
                </c:pt>
                <c:pt idx="6">
                  <c:v>2016</c:v>
                </c:pt>
                <c:pt idx="7">
                  <c:v>2017</c:v>
                </c:pt>
                <c:pt idx="8">
                  <c:v>2018</c:v>
                </c:pt>
                <c:pt idx="9">
                  <c:v>2022</c:v>
                </c:pt>
                <c:pt idx="10">
                  <c:v>2023</c:v>
                </c:pt>
                <c:pt idx="11">
                  <c:v>2024</c:v>
                </c:pt>
                <c:pt idx="12">
                  <c:v>2025</c:v>
                </c:pt>
              </c:numCache>
            </c:numRef>
          </c:cat>
          <c:val>
            <c:numRef>
              <c:extLst>
                <c:ext xmlns:c15="http://schemas.microsoft.com/office/drawing/2012/chart" uri="{02D57815-91ED-43cb-92C2-25804820EDAC}">
                  <c15:fullRef>
                    <c15:sqref>'Chart data'!$N$5:$N$20</c15:sqref>
                  </c15:fullRef>
                </c:ext>
              </c:extLst>
              <c:f>('Chart data'!$N$5:$N$13,'Chart data'!$N$17:$N$20)</c:f>
              <c:numCache>
                <c:formatCode>0.000</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val>
          <c:smooth val="0"/>
          <c:extLst>
            <c:ext xmlns:c16="http://schemas.microsoft.com/office/drawing/2014/chart" uri="{C3380CC4-5D6E-409C-BE32-E72D297353CC}">
              <c16:uniqueId val="{00000004-9D60-458C-B8F1-D78C817EEA4B}"/>
            </c:ext>
          </c:extLst>
        </c:ser>
        <c:dLbls>
          <c:showLegendKey val="0"/>
          <c:showVal val="0"/>
          <c:showCatName val="0"/>
          <c:showSerName val="0"/>
          <c:showPercent val="0"/>
          <c:showBubbleSize val="0"/>
        </c:dLbls>
        <c:smooth val="0"/>
        <c:axId val="274926592"/>
        <c:axId val="274950400"/>
      </c:line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noMultiLvlLbl val="0"/>
      </c:catAx>
      <c:valAx>
        <c:axId val="274950400"/>
        <c:scaling>
          <c:orientation val="minMax"/>
          <c:max val="1.04"/>
          <c:min val="0.97"/>
        </c:scaling>
        <c:delete val="0"/>
        <c:axPos val="l"/>
        <c:majorGridlines>
          <c:spPr>
            <a:ln w="3175">
              <a:solidFill>
                <a:srgbClr val="B1B6BB"/>
              </a:solidFill>
            </a:ln>
          </c:spPr>
        </c:majorGridlines>
        <c:numFmt formatCode="#,##0.00" sourceLinked="0"/>
        <c:majorTickMark val="out"/>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majorUnit val="1.0000000000000002E-2"/>
      </c:valAx>
      <c:spPr>
        <a:noFill/>
        <a:ln w="25400">
          <a:noFill/>
        </a:ln>
      </c:spPr>
    </c:plotArea>
    <c:legend>
      <c:legendPos val="t"/>
      <c:legendEntry>
        <c:idx val="4"/>
        <c:delete val="1"/>
      </c:legendEntry>
      <c:layout>
        <c:manualLayout>
          <c:xMode val="edge"/>
          <c:yMode val="edge"/>
          <c:x val="0.45188666857742787"/>
          <c:y val="8.2706766917293228E-2"/>
          <c:w val="0.45549480748365428"/>
          <c:h val="6.3420953959702403E-2"/>
        </c:manualLayout>
      </c:layout>
      <c:overlay val="1"/>
      <c:spPr>
        <a:solidFill>
          <a:srgbClr val="FFFFFF"/>
        </a:solidFill>
      </c:spPr>
      <c:txPr>
        <a:bodyPr/>
        <a:lstStyle/>
        <a:p>
          <a:pPr>
            <a:defRPr sz="130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8126920937856742E-2"/>
          <c:y val="0.15225563909774437"/>
          <c:w val="0.91529315341158568"/>
          <c:h val="0.71248968878890151"/>
        </c:manualLayout>
      </c:layout>
      <c:lineChart>
        <c:grouping val="standard"/>
        <c:varyColors val="0"/>
        <c:ser>
          <c:idx val="1"/>
          <c:order val="0"/>
          <c:tx>
            <c:strRef>
              <c:f>'Chart data'!$B$4</c:f>
              <c:strCache>
                <c:ptCount val="1"/>
                <c:pt idx="0">
                  <c:v>Q1</c:v>
                </c:pt>
              </c:strCache>
            </c:strRef>
          </c:tx>
          <c:spPr>
            <a:ln w="25400">
              <a:solidFill>
                <a:srgbClr val="003469"/>
              </a:solidFill>
              <a:prstDash val="solid"/>
            </a:ln>
            <a:effectLst/>
          </c:spPr>
          <c:marker>
            <c:symbol val="none"/>
          </c:marker>
          <c:cat>
            <c:numRef>
              <c:extLst>
                <c:ext xmlns:c15="http://schemas.microsoft.com/office/drawing/2012/chart" uri="{02D57815-91ED-43cb-92C2-25804820EDAC}">
                  <c15:fullRef>
                    <c15:sqref>'Chart data'!$A$5:$A$20</c15:sqref>
                  </c15:fullRef>
                </c:ext>
              </c:extLst>
              <c:f>('Chart data'!$A$5:$A$14,'Chart data'!$A$17:$A$20)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'Chart data'!$B$5:$B$20</c15:sqref>
                  </c15:fullRef>
                </c:ext>
              </c:extLst>
              <c:f>('Chart data'!$B$5:$B$14,'Chart data'!$B$17:$B$20)</c:f>
              <c:numCache>
                <c:formatCode>0.000</c:formatCode>
                <c:ptCount val="14"/>
                <c:pt idx="0">
                  <c:v>1.0069672465159241</c:v>
                </c:pt>
                <c:pt idx="1">
                  <c:v>1.0100762983368317</c:v>
                </c:pt>
                <c:pt idx="2">
                  <c:v>1.008984533089335</c:v>
                </c:pt>
                <c:pt idx="3">
                  <c:v>1.0111483770146696</c:v>
                </c:pt>
                <c:pt idx="4">
                  <c:v>1.0062564714849929</c:v>
                </c:pt>
                <c:pt idx="5">
                  <c:v>1.0118685889236407</c:v>
                </c:pt>
                <c:pt idx="6">
                  <c:v>1.0111500050145097</c:v>
                </c:pt>
                <c:pt idx="7">
                  <c:v>1.0119360199091174</c:v>
                </c:pt>
                <c:pt idx="8">
                  <c:v>1.011499962322937</c:v>
                </c:pt>
                <c:pt idx="9">
                  <c:v>1.0141039102348213</c:v>
                </c:pt>
                <c:pt idx="10">
                  <c:v>1.0033930248934535</c:v>
                </c:pt>
                <c:pt idx="11">
                  <c:v>1.0106845377756921</c:v>
                </c:pt>
                <c:pt idx="12">
                  <c:v>0.99852007723346936</c:v>
                </c:pt>
                <c:pt idx="13">
                  <c:v>0.99380965428409207</c:v>
                </c:pt>
              </c:numCache>
            </c:numRef>
          </c:val>
          <c:smooth val="0"/>
          <c:extLst>
            <c:ext xmlns:c16="http://schemas.microsoft.com/office/drawing/2014/chart" uri="{C3380CC4-5D6E-409C-BE32-E72D297353CC}">
              <c16:uniqueId val="{00000001-9D60-458C-B8F1-D78C817EEA4B}"/>
            </c:ext>
          </c:extLst>
        </c:ser>
        <c:ser>
          <c:idx val="2"/>
          <c:order val="1"/>
          <c:tx>
            <c:strRef>
              <c:f>'Chart data'!$C$4</c:f>
              <c:strCache>
                <c:ptCount val="1"/>
                <c:pt idx="0">
                  <c:v>Q2</c:v>
                </c:pt>
              </c:strCache>
            </c:strRef>
          </c:tx>
          <c:spPr>
            <a:ln w="25400">
              <a:solidFill>
                <a:srgbClr val="EF4130"/>
              </a:solidFill>
              <a:prstDash val="solid"/>
            </a:ln>
            <a:effectLst/>
          </c:spPr>
          <c:marker>
            <c:symbol val="none"/>
          </c:marker>
          <c:cat>
            <c:numRef>
              <c:extLst>
                <c:ext xmlns:c15="http://schemas.microsoft.com/office/drawing/2012/chart" uri="{02D57815-91ED-43cb-92C2-25804820EDAC}">
                  <c15:fullRef>
                    <c15:sqref>'Chart data'!$A$5:$A$20</c15:sqref>
                  </c15:fullRef>
                </c:ext>
              </c:extLst>
              <c:f>('Chart data'!$A$5:$A$14,'Chart data'!$A$17:$A$20)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'Chart data'!$C$5:$C$20</c15:sqref>
                  </c15:fullRef>
                </c:ext>
              </c:extLst>
              <c:f>('Chart data'!$C$5:$C$14,'Chart data'!$C$17:$C$20)</c:f>
              <c:numCache>
                <c:formatCode>0.000</c:formatCode>
                <c:ptCount val="14"/>
                <c:pt idx="0">
                  <c:v>1.0239363300176436</c:v>
                </c:pt>
                <c:pt idx="1">
                  <c:v>1.0197176254623006</c:v>
                </c:pt>
                <c:pt idx="2">
                  <c:v>1.0188730230970531</c:v>
                </c:pt>
                <c:pt idx="3">
                  <c:v>1.0142085296361498</c:v>
                </c:pt>
                <c:pt idx="4">
                  <c:v>1.0085093130261809</c:v>
                </c:pt>
                <c:pt idx="5">
                  <c:v>1.0092489565426863</c:v>
                </c:pt>
                <c:pt idx="6">
                  <c:v>1.0083283159539853</c:v>
                </c:pt>
                <c:pt idx="7">
                  <c:v>1.011851238765997</c:v>
                </c:pt>
                <c:pt idx="8">
                  <c:v>1.0120291032138509</c:v>
                </c:pt>
                <c:pt idx="9">
                  <c:v>1.0060070026384349</c:v>
                </c:pt>
                <c:pt idx="10">
                  <c:v>1.0239603147961658</c:v>
                </c:pt>
                <c:pt idx="11">
                  <c:v>1.0136756107493652</c:v>
                </c:pt>
                <c:pt idx="12">
                  <c:v>1.0195073946533224</c:v>
                </c:pt>
                <c:pt idx="13">
                  <c:v>1.02118794416115</c:v>
                </c:pt>
              </c:numCache>
            </c:numRef>
          </c:val>
          <c:smooth val="0"/>
          <c:extLst>
            <c:ext xmlns:c16="http://schemas.microsoft.com/office/drawing/2014/chart" uri="{C3380CC4-5D6E-409C-BE32-E72D297353CC}">
              <c16:uniqueId val="{00000002-9D60-458C-B8F1-D78C817EEA4B}"/>
            </c:ext>
          </c:extLst>
        </c:ser>
        <c:ser>
          <c:idx val="3"/>
          <c:order val="2"/>
          <c:tx>
            <c:strRef>
              <c:f>'Chart data'!$D$4</c:f>
              <c:strCache>
                <c:ptCount val="1"/>
                <c:pt idx="0">
                  <c:v>Q3</c:v>
                </c:pt>
              </c:strCache>
            </c:strRef>
          </c:tx>
          <c:spPr>
            <a:ln w="25400">
              <a:solidFill>
                <a:srgbClr val="008AC8"/>
              </a:solidFill>
              <a:prstDash val="solid"/>
            </a:ln>
            <a:effectLst/>
          </c:spPr>
          <c:marker>
            <c:symbol val="none"/>
          </c:marker>
          <c:cat>
            <c:numRef>
              <c:extLst>
                <c:ext xmlns:c15="http://schemas.microsoft.com/office/drawing/2012/chart" uri="{02D57815-91ED-43cb-92C2-25804820EDAC}">
                  <c15:fullRef>
                    <c15:sqref>'Chart data'!$A$5:$A$20</c15:sqref>
                  </c15:fullRef>
                </c:ext>
              </c:extLst>
              <c:f>('Chart data'!$A$5:$A$14,'Chart data'!$A$17:$A$20)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'Chart data'!$D$5:$D$20</c15:sqref>
                  </c15:fullRef>
                </c:ext>
              </c:extLst>
              <c:f>('Chart data'!$D$5:$D$14,'Chart data'!$D$17:$D$20)</c:f>
              <c:numCache>
                <c:formatCode>0.000</c:formatCode>
                <c:ptCount val="14"/>
                <c:pt idx="0">
                  <c:v>0.99011909596291992</c:v>
                </c:pt>
                <c:pt idx="1">
                  <c:v>0.99275008701644651</c:v>
                </c:pt>
                <c:pt idx="2">
                  <c:v>0.99777373036290606</c:v>
                </c:pt>
                <c:pt idx="3">
                  <c:v>0.99768932440731684</c:v>
                </c:pt>
                <c:pt idx="4">
                  <c:v>1.0025393156395757</c:v>
                </c:pt>
                <c:pt idx="5">
                  <c:v>0.99889489730138448</c:v>
                </c:pt>
                <c:pt idx="6">
                  <c:v>1.0047323422790859</c:v>
                </c:pt>
                <c:pt idx="7">
                  <c:v>1.0018752649330065</c:v>
                </c:pt>
                <c:pt idx="8">
                  <c:v>1.0031067301361924</c:v>
                </c:pt>
                <c:pt idx="9">
                  <c:v>1.0072568482656268</c:v>
                </c:pt>
                <c:pt idx="10">
                  <c:v>0.99323414904244411</c:v>
                </c:pt>
                <c:pt idx="11">
                  <c:v>0.99962941109790238</c:v>
                </c:pt>
                <c:pt idx="12">
                  <c:v>0.99854965289123543</c:v>
                </c:pt>
                <c:pt idx="13">
                  <c:v>1.0004167924841256</c:v>
                </c:pt>
              </c:numCache>
            </c:numRef>
          </c:val>
          <c:smooth val="0"/>
          <c:extLst>
            <c:ext xmlns:c16="http://schemas.microsoft.com/office/drawing/2014/chart" uri="{C3380CC4-5D6E-409C-BE32-E72D297353CC}">
              <c16:uniqueId val="{00000003-9D60-458C-B8F1-D78C817EEA4B}"/>
            </c:ext>
          </c:extLst>
        </c:ser>
        <c:ser>
          <c:idx val="4"/>
          <c:order val="3"/>
          <c:tx>
            <c:strRef>
              <c:f>'Chart data'!$E$4</c:f>
              <c:strCache>
                <c:ptCount val="1"/>
                <c:pt idx="0">
                  <c:v>Q4</c:v>
                </c:pt>
              </c:strCache>
            </c:strRef>
          </c:tx>
          <c:spPr>
            <a:ln w="25400">
              <a:solidFill>
                <a:srgbClr val="E7A800"/>
              </a:solidFill>
              <a:prstDash val="solid"/>
            </a:ln>
            <a:effectLst/>
          </c:spPr>
          <c:marker>
            <c:symbol val="none"/>
          </c:marker>
          <c:cat>
            <c:numRef>
              <c:extLst>
                <c:ext xmlns:c15="http://schemas.microsoft.com/office/drawing/2012/chart" uri="{02D57815-91ED-43cb-92C2-25804820EDAC}">
                  <c15:fullRef>
                    <c15:sqref>'Chart data'!$A$5:$A$20</c15:sqref>
                  </c15:fullRef>
                </c:ext>
              </c:extLst>
              <c:f>('Chart data'!$A$5:$A$14,'Chart data'!$A$17:$A$20)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'Chart data'!$E$5:$E$20</c15:sqref>
                  </c15:fullRef>
                </c:ext>
              </c:extLst>
              <c:f>('Chart data'!$E$5:$E$14,'Chart data'!$E$17:$E$20)</c:f>
              <c:numCache>
                <c:formatCode>0.000</c:formatCode>
                <c:ptCount val="14"/>
                <c:pt idx="0">
                  <c:v>0.98034273757000345</c:v>
                </c:pt>
                <c:pt idx="1">
                  <c:v>0.97852622295106817</c:v>
                </c:pt>
                <c:pt idx="2">
                  <c:v>0.97565152831796442</c:v>
                </c:pt>
                <c:pt idx="3">
                  <c:v>0.97817767202062267</c:v>
                </c:pt>
                <c:pt idx="4">
                  <c:v>0.98338025902984472</c:v>
                </c:pt>
                <c:pt idx="5">
                  <c:v>0.98083798151451074</c:v>
                </c:pt>
                <c:pt idx="6">
                  <c:v>0.97686291665707292</c:v>
                </c:pt>
                <c:pt idx="7">
                  <c:v>0.9756714909005616</c:v>
                </c:pt>
                <c:pt idx="8">
                  <c:v>0.97444961669274044</c:v>
                </c:pt>
                <c:pt idx="9">
                  <c:v>0.97376335029877081</c:v>
                </c:pt>
                <c:pt idx="10">
                  <c:v>0.98051544117123723</c:v>
                </c:pt>
                <c:pt idx="11">
                  <c:v>0.97673232558503964</c:v>
                </c:pt>
                <c:pt idx="12">
                  <c:v>0.98414182124812943</c:v>
                </c:pt>
                <c:pt idx="13">
                  <c:v>0.98529042377422527</c:v>
                </c:pt>
              </c:numCache>
            </c:numRef>
          </c:val>
          <c:smooth val="0"/>
          <c:extLst>
            <c:ext xmlns:c16="http://schemas.microsoft.com/office/drawing/2014/chart" uri="{C3380CC4-5D6E-409C-BE32-E72D297353CC}">
              <c16:uniqueId val="{00000004-9D60-458C-B8F1-D78C817EEA4B}"/>
            </c:ext>
          </c:extLst>
        </c:ser>
        <c:ser>
          <c:idx val="5"/>
          <c:order val="4"/>
          <c:tx>
            <c:strRef>
              <c:f>'Chart data'!$F$4</c:f>
              <c:strCache>
                <c:ptCount val="1"/>
                <c:pt idx="0">
                  <c:v>Zeroline</c:v>
                </c:pt>
              </c:strCache>
            </c:strRef>
          </c:tx>
          <c:spPr>
            <a:ln w="6350">
              <a:solidFill>
                <a:sysClr val="windowText" lastClr="000000"/>
              </a:solidFill>
              <a:prstDash val="solid"/>
            </a:ln>
            <a:effectLst/>
          </c:spPr>
          <c:marker>
            <c:symbol val="none"/>
          </c:marker>
          <c:cat>
            <c:numRef>
              <c:extLst>
                <c:ext xmlns:c15="http://schemas.microsoft.com/office/drawing/2012/chart" uri="{02D57815-91ED-43cb-92C2-25804820EDAC}">
                  <c15:fullRef>
                    <c15:sqref>'Chart data'!$A$5:$A$20</c15:sqref>
                  </c15:fullRef>
                </c:ext>
              </c:extLst>
              <c:f>('Chart data'!$A$5:$A$14,'Chart data'!$A$17:$A$20)</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2022</c:v>
                </c:pt>
                <c:pt idx="11">
                  <c:v>2023</c:v>
                </c:pt>
                <c:pt idx="12">
                  <c:v>2024</c:v>
                </c:pt>
                <c:pt idx="13">
                  <c:v>2025</c:v>
                </c:pt>
              </c:numCache>
            </c:numRef>
          </c:cat>
          <c:val>
            <c:numRef>
              <c:extLst>
                <c:ext xmlns:c15="http://schemas.microsoft.com/office/drawing/2012/chart" uri="{02D57815-91ED-43cb-92C2-25804820EDAC}">
                  <c15:fullRef>
                    <c15:sqref>'Chart data'!$F$5:$F$20</c15:sqref>
                  </c15:fullRef>
                </c:ext>
              </c:extLst>
              <c:f>('Chart data'!$F$5:$F$14,'Chart data'!$F$17:$F$20)</c:f>
              <c:numCache>
                <c:formatCode>0.00</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c:ext xmlns:c16="http://schemas.microsoft.com/office/drawing/2014/chart" uri="{C3380CC4-5D6E-409C-BE32-E72D297353CC}">
              <c16:uniqueId val="{00000005-9D60-458C-B8F1-D78C817EEA4B}"/>
            </c:ext>
          </c:extLst>
        </c:ser>
        <c:dLbls>
          <c:showLegendKey val="0"/>
          <c:showVal val="0"/>
          <c:showCatName val="0"/>
          <c:showSerName val="0"/>
          <c:showPercent val="0"/>
          <c:showBubbleSize val="0"/>
        </c:dLbls>
        <c:smooth val="0"/>
        <c:axId val="274926592"/>
        <c:axId val="274950400"/>
      </c:lineChart>
      <c:catAx>
        <c:axId val="274926592"/>
        <c:scaling>
          <c:orientation val="minMax"/>
        </c:scaling>
        <c:delete val="0"/>
        <c:axPos val="b"/>
        <c:numFmt formatCode="General"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50400"/>
        <c:crosses val="autoZero"/>
        <c:auto val="0"/>
        <c:lblAlgn val="ctr"/>
        <c:lblOffset val="100"/>
        <c:noMultiLvlLbl val="0"/>
      </c:catAx>
      <c:valAx>
        <c:axId val="274950400"/>
        <c:scaling>
          <c:orientation val="minMax"/>
          <c:max val="1.03"/>
          <c:min val="0.97"/>
        </c:scaling>
        <c:delete val="0"/>
        <c:axPos val="l"/>
        <c:majorGridlines>
          <c:spPr>
            <a:ln w="3175">
              <a:solidFill>
                <a:srgbClr val="B1B6BB"/>
              </a:solidFill>
              <a:prstDash val="solid"/>
            </a:ln>
          </c:spPr>
        </c:majorGridlines>
        <c:numFmt formatCode="#,##0.00" sourceLinked="0"/>
        <c:majorTickMark val="none"/>
        <c:minorTickMark val="none"/>
        <c:tickLblPos val="nextTo"/>
        <c:spPr>
          <a:ln>
            <a:no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74926592"/>
        <c:crosses val="autoZero"/>
        <c:crossBetween val="midCat"/>
      </c:valAx>
      <c:spPr>
        <a:noFill/>
        <a:ln w="25400">
          <a:noFill/>
        </a:ln>
      </c:spPr>
    </c:plotArea>
    <c:legend>
      <c:legendPos val="t"/>
      <c:legendEntry>
        <c:idx val="4"/>
        <c:delete val="1"/>
      </c:legendEntry>
      <c:layout>
        <c:manualLayout>
          <c:xMode val="edge"/>
          <c:yMode val="edge"/>
          <c:x val="0.2796402540760472"/>
          <c:y val="8.2706766917293228E-2"/>
          <c:w val="0.43201642548954305"/>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C279FB0-D7B1-4A30-9F4B-BAB310E21414}">
  <sheetPr/>
  <sheetViews>
    <sheetView tabSelected="1" zoomScale="70" workbookViewId="0"/>
  </sheetViews>
  <pageMargins left="0.1" right="0.1" top="1.3" bottom="1.3" header="1.3" footer="1.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94A480-1823-4BA5-95CA-6F82E37A1BFD}">
  <sheetPr/>
  <sheetViews>
    <sheetView zoomScale="70" workbookViewId="0"/>
  </sheetViews>
  <pageMargins left="0.1" right="0.1" top="1.3" bottom="1.3" header="1.3" footer="1.3"/>
  <pageSetup paperSize="9" orientation="landscape" r:id="rId1"/>
  <drawing r:id="rId2"/>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chart" Target="../charts/chart6.xml"/><Relationship Id="rId16" Type="http://schemas.openxmlformats.org/officeDocument/2006/relationships/chart" Target="../charts/chart20.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7</xdr:col>
      <xdr:colOff>373716</xdr:colOff>
      <xdr:row>41</xdr:row>
      <xdr:rowOff>9153</xdr:rowOff>
    </xdr:from>
    <xdr:to>
      <xdr:col>19</xdr:col>
      <xdr:colOff>268941</xdr:colOff>
      <xdr:row>66</xdr:row>
      <xdr:rowOff>0</xdr:rowOff>
    </xdr:to>
    <xdr:graphicFrame macro="">
      <xdr:nvGraphicFramePr>
        <xdr:cNvPr id="3" name="Chart 2">
          <a:extLst>
            <a:ext uri="{FF2B5EF4-FFF2-40B4-BE49-F238E27FC236}">
              <a16:creationId xmlns:a16="http://schemas.microsoft.com/office/drawing/2014/main" id="{788C3EB4-2B37-BD5C-6382-F27C3E376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453091</xdr:colOff>
      <xdr:row>98</xdr:row>
      <xdr:rowOff>3175</xdr:rowOff>
    </xdr:from>
    <xdr:to>
      <xdr:col>32</xdr:col>
      <xdr:colOff>396314</xdr:colOff>
      <xdr:row>120</xdr:row>
      <xdr:rowOff>5230</xdr:rowOff>
    </xdr:to>
    <xdr:graphicFrame macro="">
      <xdr:nvGraphicFramePr>
        <xdr:cNvPr id="5" name="Chart 4">
          <a:extLst>
            <a:ext uri="{FF2B5EF4-FFF2-40B4-BE49-F238E27FC236}">
              <a16:creationId xmlns:a16="http://schemas.microsoft.com/office/drawing/2014/main" id="{2683757B-EAA5-4B4E-8C01-82EA68AA0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476999</xdr:colOff>
      <xdr:row>41</xdr:row>
      <xdr:rowOff>72092</xdr:rowOff>
    </xdr:from>
    <xdr:to>
      <xdr:col>30</xdr:col>
      <xdr:colOff>218516</xdr:colOff>
      <xdr:row>66</xdr:row>
      <xdr:rowOff>66114</xdr:rowOff>
    </xdr:to>
    <xdr:graphicFrame macro="">
      <xdr:nvGraphicFramePr>
        <xdr:cNvPr id="6" name="Chart 5">
          <a:extLst>
            <a:ext uri="{FF2B5EF4-FFF2-40B4-BE49-F238E27FC236}">
              <a16:creationId xmlns:a16="http://schemas.microsoft.com/office/drawing/2014/main" id="{414CC5BA-148C-4226-BD57-30D420C74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392206</xdr:colOff>
      <xdr:row>41</xdr:row>
      <xdr:rowOff>33618</xdr:rowOff>
    </xdr:from>
    <xdr:to>
      <xdr:col>40</xdr:col>
      <xdr:colOff>100105</xdr:colOff>
      <xdr:row>66</xdr:row>
      <xdr:rowOff>33990</xdr:rowOff>
    </xdr:to>
    <xdr:graphicFrame macro="">
      <xdr:nvGraphicFramePr>
        <xdr:cNvPr id="2" name="Chart 1">
          <a:extLst>
            <a:ext uri="{FF2B5EF4-FFF2-40B4-BE49-F238E27FC236}">
              <a16:creationId xmlns:a16="http://schemas.microsoft.com/office/drawing/2014/main" id="{05E05FF7-FBB9-44A8-A3F5-CDACF3DE8B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37</xdr:col>
      <xdr:colOff>28015</xdr:colOff>
      <xdr:row>41</xdr:row>
      <xdr:rowOff>8032</xdr:rowOff>
    </xdr:from>
    <xdr:to>
      <xdr:col>49</xdr:col>
      <xdr:colOff>11207</xdr:colOff>
      <xdr:row>64</xdr:row>
      <xdr:rowOff>8031</xdr:rowOff>
    </xdr:to>
    <xdr:graphicFrame macro="">
      <xdr:nvGraphicFramePr>
        <xdr:cNvPr id="2" name="Chart 1">
          <a:extLst>
            <a:ext uri="{FF2B5EF4-FFF2-40B4-BE49-F238E27FC236}">
              <a16:creationId xmlns:a16="http://schemas.microsoft.com/office/drawing/2014/main" id="{29065EE9-4107-6517-B8A1-C043CCD46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54</xdr:col>
      <xdr:colOff>190500</xdr:colOff>
      <xdr:row>40</xdr:row>
      <xdr:rowOff>143996</xdr:rowOff>
    </xdr:from>
    <xdr:to>
      <xdr:col>69</xdr:col>
      <xdr:colOff>11206</xdr:colOff>
      <xdr:row>63</xdr:row>
      <xdr:rowOff>137646</xdr:rowOff>
    </xdr:to>
    <xdr:graphicFrame macro="">
      <xdr:nvGraphicFramePr>
        <xdr:cNvPr id="3" name="Chart 2">
          <a:extLst>
            <a:ext uri="{FF2B5EF4-FFF2-40B4-BE49-F238E27FC236}">
              <a16:creationId xmlns:a16="http://schemas.microsoft.com/office/drawing/2014/main" id="{0EE63451-9294-4B76-AA6C-41913802A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182470</xdr:colOff>
      <xdr:row>64</xdr:row>
      <xdr:rowOff>89647</xdr:rowOff>
    </xdr:from>
    <xdr:to>
      <xdr:col>69</xdr:col>
      <xdr:colOff>0</xdr:colOff>
      <xdr:row>87</xdr:row>
      <xdr:rowOff>89647</xdr:rowOff>
    </xdr:to>
    <xdr:graphicFrame macro="">
      <xdr:nvGraphicFramePr>
        <xdr:cNvPr id="4" name="Chart 3">
          <a:extLst>
            <a:ext uri="{FF2B5EF4-FFF2-40B4-BE49-F238E27FC236}">
              <a16:creationId xmlns:a16="http://schemas.microsoft.com/office/drawing/2014/main" id="{28FBCDC4-E756-47A8-8E38-D0950EF6D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70</xdr:col>
      <xdr:colOff>30443</xdr:colOff>
      <xdr:row>41</xdr:row>
      <xdr:rowOff>14381</xdr:rowOff>
    </xdr:from>
    <xdr:to>
      <xdr:col>84</xdr:col>
      <xdr:colOff>470647</xdr:colOff>
      <xdr:row>64</xdr:row>
      <xdr:rowOff>4855</xdr:rowOff>
    </xdr:to>
    <xdr:graphicFrame macro="">
      <xdr:nvGraphicFramePr>
        <xdr:cNvPr id="5" name="Chart 4">
          <a:extLst>
            <a:ext uri="{FF2B5EF4-FFF2-40B4-BE49-F238E27FC236}">
              <a16:creationId xmlns:a16="http://schemas.microsoft.com/office/drawing/2014/main" id="{B6220416-C97A-47DD-9328-FAC7964B8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70</xdr:col>
      <xdr:colOff>22412</xdr:colOff>
      <xdr:row>64</xdr:row>
      <xdr:rowOff>105708</xdr:rowOff>
    </xdr:from>
    <xdr:to>
      <xdr:col>84</xdr:col>
      <xdr:colOff>507440</xdr:colOff>
      <xdr:row>87</xdr:row>
      <xdr:rowOff>105708</xdr:rowOff>
    </xdr:to>
    <xdr:graphicFrame macro="">
      <xdr:nvGraphicFramePr>
        <xdr:cNvPr id="6" name="Chart 5">
          <a:extLst>
            <a:ext uri="{FF2B5EF4-FFF2-40B4-BE49-F238E27FC236}">
              <a16:creationId xmlns:a16="http://schemas.microsoft.com/office/drawing/2014/main" id="{56C7BD49-3DDE-458F-BF4D-1A47D765A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85</xdr:col>
      <xdr:colOff>112058</xdr:colOff>
      <xdr:row>43</xdr:row>
      <xdr:rowOff>8031</xdr:rowOff>
    </xdr:from>
    <xdr:to>
      <xdr:col>92</xdr:col>
      <xdr:colOff>593912</xdr:colOff>
      <xdr:row>66</xdr:row>
      <xdr:rowOff>8030</xdr:rowOff>
    </xdr:to>
    <xdr:graphicFrame macro="">
      <xdr:nvGraphicFramePr>
        <xdr:cNvPr id="7" name="Chart 6">
          <a:extLst>
            <a:ext uri="{FF2B5EF4-FFF2-40B4-BE49-F238E27FC236}">
              <a16:creationId xmlns:a16="http://schemas.microsoft.com/office/drawing/2014/main" id="{E5EDCCBB-EF49-4A27-B5F0-16EBC79CD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95</xdr:col>
      <xdr:colOff>8030</xdr:colOff>
      <xdr:row>41</xdr:row>
      <xdr:rowOff>11206</xdr:rowOff>
    </xdr:from>
    <xdr:to>
      <xdr:col>109</xdr:col>
      <xdr:colOff>78441</xdr:colOff>
      <xdr:row>64</xdr:row>
      <xdr:rowOff>1680</xdr:rowOff>
    </xdr:to>
    <xdr:graphicFrame macro="">
      <xdr:nvGraphicFramePr>
        <xdr:cNvPr id="8" name="Chart 7">
          <a:extLst>
            <a:ext uri="{FF2B5EF4-FFF2-40B4-BE49-F238E27FC236}">
              <a16:creationId xmlns:a16="http://schemas.microsoft.com/office/drawing/2014/main" id="{D41AF4B0-C558-41C4-BFC5-4623C4945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95</xdr:col>
      <xdr:colOff>22412</xdr:colOff>
      <xdr:row>64</xdr:row>
      <xdr:rowOff>168088</xdr:rowOff>
    </xdr:from>
    <xdr:to>
      <xdr:col>109</xdr:col>
      <xdr:colOff>86473</xdr:colOff>
      <xdr:row>87</xdr:row>
      <xdr:rowOff>158563</xdr:rowOff>
    </xdr:to>
    <xdr:graphicFrame macro="">
      <xdr:nvGraphicFramePr>
        <xdr:cNvPr id="9" name="Chart 8">
          <a:extLst>
            <a:ext uri="{FF2B5EF4-FFF2-40B4-BE49-F238E27FC236}">
              <a16:creationId xmlns:a16="http://schemas.microsoft.com/office/drawing/2014/main" id="{0D09D519-5623-41A2-A611-3FF67FA0A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37</xdr:col>
      <xdr:colOff>64062</xdr:colOff>
      <xdr:row>64</xdr:row>
      <xdr:rowOff>112058</xdr:rowOff>
    </xdr:from>
    <xdr:to>
      <xdr:col>49</xdr:col>
      <xdr:colOff>235324</xdr:colOff>
      <xdr:row>87</xdr:row>
      <xdr:rowOff>115233</xdr:rowOff>
    </xdr:to>
    <xdr:graphicFrame macro="">
      <xdr:nvGraphicFramePr>
        <xdr:cNvPr id="10" name="Chart 9">
          <a:extLst>
            <a:ext uri="{FF2B5EF4-FFF2-40B4-BE49-F238E27FC236}">
              <a16:creationId xmlns:a16="http://schemas.microsoft.com/office/drawing/2014/main" id="{1F5C7016-6922-4AA0-BE1B-E62B09822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110</xdr:col>
      <xdr:colOff>212911</xdr:colOff>
      <xdr:row>41</xdr:row>
      <xdr:rowOff>44823</xdr:rowOff>
    </xdr:from>
    <xdr:to>
      <xdr:col>123</xdr:col>
      <xdr:colOff>518646</xdr:colOff>
      <xdr:row>64</xdr:row>
      <xdr:rowOff>38472</xdr:rowOff>
    </xdr:to>
    <xdr:graphicFrame macro="">
      <xdr:nvGraphicFramePr>
        <xdr:cNvPr id="11" name="Chart 10">
          <a:extLst>
            <a:ext uri="{FF2B5EF4-FFF2-40B4-BE49-F238E27FC236}">
              <a16:creationId xmlns:a16="http://schemas.microsoft.com/office/drawing/2014/main" id="{B12CE853-3994-4E6F-A575-DA09EB9D1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110</xdr:col>
      <xdr:colOff>134471</xdr:colOff>
      <xdr:row>65</xdr:row>
      <xdr:rowOff>11205</xdr:rowOff>
    </xdr:from>
    <xdr:to>
      <xdr:col>123</xdr:col>
      <xdr:colOff>443381</xdr:colOff>
      <xdr:row>88</xdr:row>
      <xdr:rowOff>1680</xdr:rowOff>
    </xdr:to>
    <xdr:graphicFrame macro="">
      <xdr:nvGraphicFramePr>
        <xdr:cNvPr id="12" name="Chart 11">
          <a:extLst>
            <a:ext uri="{FF2B5EF4-FFF2-40B4-BE49-F238E27FC236}">
              <a16:creationId xmlns:a16="http://schemas.microsoft.com/office/drawing/2014/main" id="{B6796F8F-5DA6-4AC0-94F2-6B092D756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124</xdr:col>
      <xdr:colOff>76574</xdr:colOff>
      <xdr:row>41</xdr:row>
      <xdr:rowOff>73585</xdr:rowOff>
    </xdr:from>
    <xdr:to>
      <xdr:col>137</xdr:col>
      <xdr:colOff>6538</xdr:colOff>
      <xdr:row>64</xdr:row>
      <xdr:rowOff>67234</xdr:rowOff>
    </xdr:to>
    <xdr:graphicFrame macro="">
      <xdr:nvGraphicFramePr>
        <xdr:cNvPr id="13" name="Chart 12">
          <a:extLst>
            <a:ext uri="{FF2B5EF4-FFF2-40B4-BE49-F238E27FC236}">
              <a16:creationId xmlns:a16="http://schemas.microsoft.com/office/drawing/2014/main" id="{557FCDE2-268E-495A-9E1A-3FD6D5CF7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124</xdr:col>
      <xdr:colOff>89648</xdr:colOff>
      <xdr:row>65</xdr:row>
      <xdr:rowOff>67235</xdr:rowOff>
    </xdr:from>
    <xdr:to>
      <xdr:col>137</xdr:col>
      <xdr:colOff>22787</xdr:colOff>
      <xdr:row>88</xdr:row>
      <xdr:rowOff>57710</xdr:rowOff>
    </xdr:to>
    <xdr:graphicFrame macro="">
      <xdr:nvGraphicFramePr>
        <xdr:cNvPr id="14" name="Chart 13">
          <a:extLst>
            <a:ext uri="{FF2B5EF4-FFF2-40B4-BE49-F238E27FC236}">
              <a16:creationId xmlns:a16="http://schemas.microsoft.com/office/drawing/2014/main" id="{46C77777-E232-48E6-AFC9-0E6B4E70C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137</xdr:col>
      <xdr:colOff>145677</xdr:colOff>
      <xdr:row>41</xdr:row>
      <xdr:rowOff>100853</xdr:rowOff>
    </xdr:from>
    <xdr:to>
      <xdr:col>148</xdr:col>
      <xdr:colOff>552638</xdr:colOff>
      <xdr:row>64</xdr:row>
      <xdr:rowOff>94502</xdr:rowOff>
    </xdr:to>
    <xdr:graphicFrame macro="">
      <xdr:nvGraphicFramePr>
        <xdr:cNvPr id="15" name="Chart 14">
          <a:extLst>
            <a:ext uri="{FF2B5EF4-FFF2-40B4-BE49-F238E27FC236}">
              <a16:creationId xmlns:a16="http://schemas.microsoft.com/office/drawing/2014/main" id="{C64BC305-2BBB-48D6-BF7C-6E7E456FA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137</xdr:col>
      <xdr:colOff>89648</xdr:colOff>
      <xdr:row>65</xdr:row>
      <xdr:rowOff>78441</xdr:rowOff>
    </xdr:from>
    <xdr:to>
      <xdr:col>148</xdr:col>
      <xdr:colOff>496609</xdr:colOff>
      <xdr:row>88</xdr:row>
      <xdr:rowOff>68916</xdr:rowOff>
    </xdr:to>
    <xdr:graphicFrame macro="">
      <xdr:nvGraphicFramePr>
        <xdr:cNvPr id="16" name="Chart 15">
          <a:extLst>
            <a:ext uri="{FF2B5EF4-FFF2-40B4-BE49-F238E27FC236}">
              <a16:creationId xmlns:a16="http://schemas.microsoft.com/office/drawing/2014/main" id="{2DFAED33-094B-4DBE-B536-770A81D4FE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150</xdr:col>
      <xdr:colOff>224118</xdr:colOff>
      <xdr:row>41</xdr:row>
      <xdr:rowOff>100852</xdr:rowOff>
    </xdr:from>
    <xdr:to>
      <xdr:col>162</xdr:col>
      <xdr:colOff>395755</xdr:colOff>
      <xdr:row>64</xdr:row>
      <xdr:rowOff>84976</xdr:rowOff>
    </xdr:to>
    <xdr:graphicFrame macro="">
      <xdr:nvGraphicFramePr>
        <xdr:cNvPr id="17" name="Chart 16">
          <a:extLst>
            <a:ext uri="{FF2B5EF4-FFF2-40B4-BE49-F238E27FC236}">
              <a16:creationId xmlns:a16="http://schemas.microsoft.com/office/drawing/2014/main" id="{F58E2677-8A8D-43B2-B4D7-55D8883FF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373716</xdr:colOff>
      <xdr:row>41</xdr:row>
      <xdr:rowOff>9153</xdr:rowOff>
    </xdr:from>
    <xdr:to>
      <xdr:col>19</xdr:col>
      <xdr:colOff>268941</xdr:colOff>
      <xdr:row>66</xdr:row>
      <xdr:rowOff>0</xdr:rowOff>
    </xdr:to>
    <xdr:graphicFrame macro="">
      <xdr:nvGraphicFramePr>
        <xdr:cNvPr id="2" name="Chart 1">
          <a:extLst>
            <a:ext uri="{FF2B5EF4-FFF2-40B4-BE49-F238E27FC236}">
              <a16:creationId xmlns:a16="http://schemas.microsoft.com/office/drawing/2014/main" id="{3F2F9C92-4435-4067-BF0E-AF65F0F4A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453091</xdr:colOff>
      <xdr:row>98</xdr:row>
      <xdr:rowOff>3175</xdr:rowOff>
    </xdr:from>
    <xdr:to>
      <xdr:col>32</xdr:col>
      <xdr:colOff>396314</xdr:colOff>
      <xdr:row>120</xdr:row>
      <xdr:rowOff>5230</xdr:rowOff>
    </xdr:to>
    <xdr:graphicFrame macro="">
      <xdr:nvGraphicFramePr>
        <xdr:cNvPr id="3" name="Chart 2">
          <a:extLst>
            <a:ext uri="{FF2B5EF4-FFF2-40B4-BE49-F238E27FC236}">
              <a16:creationId xmlns:a16="http://schemas.microsoft.com/office/drawing/2014/main" id="{956F920C-7A5A-4095-B286-3ACBCCE7F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417794</xdr:colOff>
      <xdr:row>40</xdr:row>
      <xdr:rowOff>168089</xdr:rowOff>
    </xdr:from>
    <xdr:to>
      <xdr:col>30</xdr:col>
      <xdr:colOff>156136</xdr:colOff>
      <xdr:row>65</xdr:row>
      <xdr:rowOff>152586</xdr:rowOff>
    </xdr:to>
    <xdr:graphicFrame macro="">
      <xdr:nvGraphicFramePr>
        <xdr:cNvPr id="4" name="Chart 3">
          <a:extLst>
            <a:ext uri="{FF2B5EF4-FFF2-40B4-BE49-F238E27FC236}">
              <a16:creationId xmlns:a16="http://schemas.microsoft.com/office/drawing/2014/main" id="{9AF50B37-C01E-4042-9946-783721E94F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37</xdr:col>
      <xdr:colOff>28015</xdr:colOff>
      <xdr:row>41</xdr:row>
      <xdr:rowOff>8032</xdr:rowOff>
    </xdr:from>
    <xdr:to>
      <xdr:col>49</xdr:col>
      <xdr:colOff>11207</xdr:colOff>
      <xdr:row>64</xdr:row>
      <xdr:rowOff>8031</xdr:rowOff>
    </xdr:to>
    <xdr:graphicFrame macro="">
      <xdr:nvGraphicFramePr>
        <xdr:cNvPr id="2" name="Chart 1">
          <a:extLst>
            <a:ext uri="{FF2B5EF4-FFF2-40B4-BE49-F238E27FC236}">
              <a16:creationId xmlns:a16="http://schemas.microsoft.com/office/drawing/2014/main" id="{798E8269-FBD9-4BCA-AB3A-CB5ACCBB4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54</xdr:col>
      <xdr:colOff>190500</xdr:colOff>
      <xdr:row>40</xdr:row>
      <xdr:rowOff>143996</xdr:rowOff>
    </xdr:from>
    <xdr:to>
      <xdr:col>69</xdr:col>
      <xdr:colOff>11206</xdr:colOff>
      <xdr:row>63</xdr:row>
      <xdr:rowOff>137646</xdr:rowOff>
    </xdr:to>
    <xdr:graphicFrame macro="">
      <xdr:nvGraphicFramePr>
        <xdr:cNvPr id="3" name="Chart 2">
          <a:extLst>
            <a:ext uri="{FF2B5EF4-FFF2-40B4-BE49-F238E27FC236}">
              <a16:creationId xmlns:a16="http://schemas.microsoft.com/office/drawing/2014/main" id="{C3BA0D6C-686E-4687-9A66-405155B25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54</xdr:col>
      <xdr:colOff>179293</xdr:colOff>
      <xdr:row>64</xdr:row>
      <xdr:rowOff>179293</xdr:rowOff>
    </xdr:from>
    <xdr:to>
      <xdr:col>68</xdr:col>
      <xdr:colOff>605116</xdr:colOff>
      <xdr:row>88</xdr:row>
      <xdr:rowOff>3174</xdr:rowOff>
    </xdr:to>
    <xdr:graphicFrame macro="">
      <xdr:nvGraphicFramePr>
        <xdr:cNvPr id="18" name="Chart 17">
          <a:extLst>
            <a:ext uri="{FF2B5EF4-FFF2-40B4-BE49-F238E27FC236}">
              <a16:creationId xmlns:a16="http://schemas.microsoft.com/office/drawing/2014/main" id="{A08E6FAC-2414-4B20-9DAC-D6225E64A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69</xdr:col>
      <xdr:colOff>201706</xdr:colOff>
      <xdr:row>41</xdr:row>
      <xdr:rowOff>22412</xdr:rowOff>
    </xdr:from>
    <xdr:to>
      <xdr:col>84</xdr:col>
      <xdr:colOff>381000</xdr:colOff>
      <xdr:row>64</xdr:row>
      <xdr:rowOff>25586</xdr:rowOff>
    </xdr:to>
    <xdr:graphicFrame macro="">
      <xdr:nvGraphicFramePr>
        <xdr:cNvPr id="19" name="Chart 18">
          <a:extLst>
            <a:ext uri="{FF2B5EF4-FFF2-40B4-BE49-F238E27FC236}">
              <a16:creationId xmlns:a16="http://schemas.microsoft.com/office/drawing/2014/main" id="{687F1D42-C717-406B-9FBB-00FDA1C71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69</xdr:col>
      <xdr:colOff>235323</xdr:colOff>
      <xdr:row>64</xdr:row>
      <xdr:rowOff>145676</xdr:rowOff>
    </xdr:from>
    <xdr:to>
      <xdr:col>84</xdr:col>
      <xdr:colOff>414617</xdr:colOff>
      <xdr:row>87</xdr:row>
      <xdr:rowOff>148851</xdr:rowOff>
    </xdr:to>
    <xdr:graphicFrame macro="">
      <xdr:nvGraphicFramePr>
        <xdr:cNvPr id="20" name="Chart 19">
          <a:extLst>
            <a:ext uri="{FF2B5EF4-FFF2-40B4-BE49-F238E27FC236}">
              <a16:creationId xmlns:a16="http://schemas.microsoft.com/office/drawing/2014/main" id="{A52CF623-330E-4F42-9E75-B91B8C616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85</xdr:col>
      <xdr:colOff>190500</xdr:colOff>
      <xdr:row>41</xdr:row>
      <xdr:rowOff>33618</xdr:rowOff>
    </xdr:from>
    <xdr:to>
      <xdr:col>100</xdr:col>
      <xdr:colOff>369794</xdr:colOff>
      <xdr:row>64</xdr:row>
      <xdr:rowOff>36792</xdr:rowOff>
    </xdr:to>
    <xdr:graphicFrame macro="">
      <xdr:nvGraphicFramePr>
        <xdr:cNvPr id="21" name="Chart 20">
          <a:extLst>
            <a:ext uri="{FF2B5EF4-FFF2-40B4-BE49-F238E27FC236}">
              <a16:creationId xmlns:a16="http://schemas.microsoft.com/office/drawing/2014/main" id="{DE8AD45E-2393-4F7F-AAF2-485906988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100</xdr:col>
      <xdr:colOff>582706</xdr:colOff>
      <xdr:row>41</xdr:row>
      <xdr:rowOff>67235</xdr:rowOff>
    </xdr:from>
    <xdr:to>
      <xdr:col>116</xdr:col>
      <xdr:colOff>156882</xdr:colOff>
      <xdr:row>64</xdr:row>
      <xdr:rowOff>76759</xdr:rowOff>
    </xdr:to>
    <xdr:graphicFrame macro="">
      <xdr:nvGraphicFramePr>
        <xdr:cNvPr id="22" name="Chart 21">
          <a:extLst>
            <a:ext uri="{FF2B5EF4-FFF2-40B4-BE49-F238E27FC236}">
              <a16:creationId xmlns:a16="http://schemas.microsoft.com/office/drawing/2014/main" id="{CBCF1A55-3136-46B3-8F08-4DCD61DBA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absoluteAnchor>
    <xdr:pos x="0" y="0"/>
    <xdr:ext cx="10250714" cy="5061857"/>
    <xdr:graphicFrame macro="">
      <xdr:nvGraphicFramePr>
        <xdr:cNvPr id="2" name="Chart 1">
          <a:extLst>
            <a:ext uri="{FF2B5EF4-FFF2-40B4-BE49-F238E27FC236}">
              <a16:creationId xmlns:a16="http://schemas.microsoft.com/office/drawing/2014/main" id="{3EFAAA72-2B08-3760-5927-A84C3656AAE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0.41496</cdr:x>
      <cdr:y>0.55604</cdr:y>
    </cdr:from>
    <cdr:to>
      <cdr:x>0.41936</cdr:x>
      <cdr:y>0.6054</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0.00809</cdr:y>
    </cdr:from>
    <cdr:to>
      <cdr:x>1</cdr:x>
      <cdr:y>0.08899</cdr:y>
    </cdr:to>
    <cdr:sp macro="" textlink="">
      <cdr:nvSpPr>
        <cdr:cNvPr id="3" name="TextBox 2">
          <a:extLst xmlns:a="http://schemas.openxmlformats.org/drawingml/2006/main">
            <a:ext uri="{FF2B5EF4-FFF2-40B4-BE49-F238E27FC236}">
              <a16:creationId xmlns:a16="http://schemas.microsoft.com/office/drawing/2014/main" id="{180A93E3-5D99-61AC-E136-4B11820C4709}"/>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kern="1200">
              <a:solidFill>
                <a:srgbClr val="000000"/>
              </a:solidFill>
              <a:latin typeface="Poppins Medium" panose="00000600000000000000" pitchFamily="2" charset="0"/>
              <a:cs typeface="Poppins Medium" panose="00000600000000000000" pitchFamily="2" charset="0"/>
            </a:rPr>
            <a:t>UK: Non-seasonally adjusted GDP (excluding 2019-2021)</a:t>
          </a:r>
        </a:p>
      </cdr:txBody>
    </cdr:sp>
  </cdr:relSizeAnchor>
  <cdr:relSizeAnchor xmlns:cdr="http://schemas.openxmlformats.org/drawingml/2006/chartDrawing">
    <cdr:from>
      <cdr:x>5.81132E-17</cdr:x>
      <cdr:y>0.92456</cdr:y>
    </cdr:from>
    <cdr:to>
      <cdr:x>1</cdr:x>
      <cdr:y>1</cdr:y>
    </cdr:to>
    <cdr:sp macro="" textlink="">
      <cdr:nvSpPr>
        <cdr:cNvPr id="4" name="Rectangle 3">
          <a:extLst xmlns:a="http://schemas.openxmlformats.org/drawingml/2006/main">
            <a:ext uri="{FF2B5EF4-FFF2-40B4-BE49-F238E27FC236}">
              <a16:creationId xmlns:a16="http://schemas.microsoft.com/office/drawing/2014/main" id="{FE68EE55-5FBA-9CE0-BB3D-13A0CB39C72F}"/>
            </a:ext>
          </a:extLst>
        </cdr:cNvPr>
        <cdr:cNvSpPr/>
      </cdr:nvSpPr>
      <cdr:spPr>
        <a:xfrm xmlns:a="http://schemas.openxmlformats.org/drawingml/2006/main">
          <a:off x="50800" y="4685030"/>
          <a:ext cx="102489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0.07519</cdr:y>
    </cdr:from>
    <cdr:to>
      <cdr:x>1</cdr:x>
      <cdr:y>0.13033</cdr:y>
    </cdr:to>
    <cdr:sp macro="" textlink="">
      <cdr:nvSpPr>
        <cdr:cNvPr id="7" name="TextBox 6">
          <a:extLst xmlns:a="http://schemas.openxmlformats.org/drawingml/2006/main">
            <a:ext uri="{FF2B5EF4-FFF2-40B4-BE49-F238E27FC236}">
              <a16:creationId xmlns:a16="http://schemas.microsoft.com/office/drawing/2014/main" id="{698E518F-92BC-7C24-1C4F-8ACFBA4D0181}"/>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kern="1200">
              <a:solidFill>
                <a:srgbClr val="7D8992"/>
              </a:solidFill>
              <a:latin typeface="Poppins Light" panose="00000400000000000000" pitchFamily="2" charset="0"/>
              <a:cs typeface="Poppins Light" panose="00000400000000000000" pitchFamily="2" charset="0"/>
            </a:rPr>
            <a:t>Level</a:t>
          </a:r>
          <a:r>
            <a:rPr lang="en-GB" sz="1300" b="0" kern="1200" baseline="0">
              <a:solidFill>
                <a:srgbClr val="7D8992"/>
              </a:solidFill>
              <a:latin typeface="Poppins Light" panose="00000400000000000000" pitchFamily="2" charset="0"/>
              <a:cs typeface="Poppins Light" panose="00000400000000000000" pitchFamily="2" charset="0"/>
            </a:rPr>
            <a:t> vs seven-quarter centred moving average</a:t>
          </a:r>
          <a:endParaRPr lang="en-GB" sz="1300" b="0" kern="1200">
            <a:solidFill>
              <a:srgbClr val="7D8992"/>
            </a:solidFill>
            <a:latin typeface="Poppins Light" panose="00000400000000000000" pitchFamily="2" charset="0"/>
            <a:cs typeface="Poppins Light" panose="00000400000000000000" pitchFamily="2" charset="0"/>
          </a:endParaRP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10250714" cy="5061857"/>
    <xdr:graphicFrame macro="">
      <xdr:nvGraphicFramePr>
        <xdr:cNvPr id="2" name="Chart 1">
          <a:extLst>
            <a:ext uri="{FF2B5EF4-FFF2-40B4-BE49-F238E27FC236}">
              <a16:creationId xmlns:a16="http://schemas.microsoft.com/office/drawing/2014/main" id="{D4B5C85C-D06B-3243-B166-0D67B18F2DD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0.41496</cdr:x>
      <cdr:y>0.55604</cdr:y>
    </cdr:from>
    <cdr:to>
      <cdr:x>0.41857</cdr:x>
      <cdr:y>0.61268</cdr:y>
    </cdr:to>
    <cdr:sp macro="" textlink="">
      <cdr:nvSpPr>
        <cdr:cNvPr id="221190" name="Text 2"/>
        <cdr:cNvSpPr txBox="1">
          <a:spLocks xmlns:a="http://schemas.openxmlformats.org/drawingml/2006/main" noChangeArrowheads="1"/>
        </cdr:cNvSpPr>
      </cdr:nvSpPr>
      <cdr:spPr bwMode="auto">
        <a:xfrm xmlns:a="http://schemas.openxmlformats.org/drawingml/2006/main">
          <a:off x="4252884" y="2817621"/>
          <a:ext cx="36998" cy="28700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1300" b="0" i="0" u="none" strike="noStrike" baseline="0">
            <a:solidFill>
              <a:srgbClr val="7D8992"/>
            </a:solidFill>
            <a:latin typeface="Poppins Light" panose="00000400000000000000" pitchFamily="2" charset="0"/>
            <a:cs typeface="Arial"/>
          </a:endParaRPr>
        </a:p>
      </cdr:txBody>
    </cdr:sp>
  </cdr:relSizeAnchor>
  <cdr:relSizeAnchor xmlns:cdr="http://schemas.openxmlformats.org/drawingml/2006/chartDrawing">
    <cdr:from>
      <cdr:x>0.41496</cdr:x>
      <cdr:y>0.55604</cdr:y>
    </cdr:from>
    <cdr:to>
      <cdr:x>0.41857</cdr:x>
      <cdr:y>0.61268</cdr:y>
    </cdr:to>
    <cdr:sp macro="" textlink="">
      <cdr:nvSpPr>
        <cdr:cNvPr id="2" name="Text 2">
          <a:extLst xmlns:a="http://schemas.openxmlformats.org/drawingml/2006/main">
            <a:ext uri="{FF2B5EF4-FFF2-40B4-BE49-F238E27FC236}">
              <a16:creationId xmlns:a16="http://schemas.microsoft.com/office/drawing/2014/main" id="{8E300748-4CA6-BD46-4BA8-A2FAC043CC0A}"/>
            </a:ext>
          </a:extLst>
        </cdr:cNvPr>
        <cdr:cNvSpPr txBox="1">
          <a:spLocks xmlns:a="http://schemas.openxmlformats.org/drawingml/2006/main" noChangeArrowheads="1"/>
        </cdr:cNvSpPr>
      </cdr:nvSpPr>
      <cdr:spPr bwMode="auto">
        <a:xfrm xmlns:a="http://schemas.openxmlformats.org/drawingml/2006/main">
          <a:off x="4252884" y="2817621"/>
          <a:ext cx="36998" cy="28700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1300" b="0" i="0" u="none" strike="noStrike" baseline="0">
            <a:solidFill>
              <a:srgbClr val="7D8992"/>
            </a:solidFill>
            <a:latin typeface="Poppins Light" panose="00000400000000000000" pitchFamily="2" charset="0"/>
            <a:cs typeface="Arial"/>
          </a:endParaRPr>
        </a:p>
      </cdr:txBody>
    </cdr:sp>
  </cdr:relSizeAnchor>
  <cdr:relSizeAnchor xmlns:cdr="http://schemas.openxmlformats.org/drawingml/2006/chartDrawing">
    <cdr:from>
      <cdr:x>0</cdr:x>
      <cdr:y>0.01003</cdr:y>
    </cdr:from>
    <cdr:to>
      <cdr:x>1</cdr:x>
      <cdr:y>0.11028</cdr:y>
    </cdr:to>
    <cdr:sp macro="" textlink="">
      <cdr:nvSpPr>
        <cdr:cNvPr id="3" name="TextBox 2">
          <a:extLst xmlns:a="http://schemas.openxmlformats.org/drawingml/2006/main">
            <a:ext uri="{FF2B5EF4-FFF2-40B4-BE49-F238E27FC236}">
              <a16:creationId xmlns:a16="http://schemas.microsoft.com/office/drawing/2014/main" id="{69FCA132-B8F7-94DC-6978-FEB729A7C62F}"/>
            </a:ext>
          </a:extLst>
        </cdr:cNvPr>
        <cdr:cNvSpPr txBox="1"/>
      </cdr:nvSpPr>
      <cdr:spPr>
        <a:xfrm xmlns:a="http://schemas.openxmlformats.org/drawingml/2006/main">
          <a:off x="0" y="50800"/>
          <a:ext cx="102489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kern="1200" baseline="0">
              <a:solidFill>
                <a:srgbClr val="000000"/>
              </a:solidFill>
              <a:latin typeface="Poppins Medium" panose="00000600000000000000" pitchFamily="2" charset="0"/>
              <a:cs typeface="Poppins Medium" panose="00000600000000000000" pitchFamily="2" charset="0"/>
            </a:rPr>
            <a:t>UK: Seasonally adjusted GDP vs non -seasonally adjusted GDP</a:t>
          </a:r>
        </a:p>
      </cdr:txBody>
    </cdr:sp>
  </cdr:relSizeAnchor>
  <cdr:relSizeAnchor xmlns:cdr="http://schemas.openxmlformats.org/drawingml/2006/chartDrawing">
    <cdr:from>
      <cdr:x>0</cdr:x>
      <cdr:y>0.93269</cdr:y>
    </cdr:from>
    <cdr:to>
      <cdr:x>1</cdr:x>
      <cdr:y>1</cdr:y>
    </cdr:to>
    <cdr:sp macro="" textlink="">
      <cdr:nvSpPr>
        <cdr:cNvPr id="4" name="Rectangle 3">
          <a:extLst xmlns:a="http://schemas.openxmlformats.org/drawingml/2006/main">
            <a:ext uri="{FF2B5EF4-FFF2-40B4-BE49-F238E27FC236}">
              <a16:creationId xmlns:a16="http://schemas.microsoft.com/office/drawing/2014/main" id="{5805DF0A-9801-7B92-9795-7A788CC2E62D}"/>
            </a:ext>
          </a:extLst>
        </cdr:cNvPr>
        <cdr:cNvSpPr/>
      </cdr:nvSpPr>
      <cdr:spPr>
        <a:xfrm xmlns:a="http://schemas.openxmlformats.org/drawingml/2006/main">
          <a:off x="0" y="4726214"/>
          <a:ext cx="10248900" cy="341086"/>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300" b="0" i="0" u="none" strike="noStrike" kern="1200" baseline="0">
              <a:solidFill>
                <a:srgbClr val="7D8992"/>
              </a:solidFill>
              <a:latin typeface="Poppins Light" panose="00000400000000000000" pitchFamily="2" charset="0"/>
            </a:rPr>
            <a:t>Sources: Oxford Economics, Haver Analytics</a:t>
          </a:r>
        </a:p>
      </cdr:txBody>
    </cdr:sp>
  </cdr:relSizeAnchor>
  <cdr:relSizeAnchor xmlns:cdr="http://schemas.openxmlformats.org/drawingml/2006/chartDrawing">
    <cdr:from>
      <cdr:x>0</cdr:x>
      <cdr:y>0.07519</cdr:y>
    </cdr:from>
    <cdr:to>
      <cdr:x>1</cdr:x>
      <cdr:y>0.13033</cdr:y>
    </cdr:to>
    <cdr:sp macro="" textlink="">
      <cdr:nvSpPr>
        <cdr:cNvPr id="7" name="TextBox 6">
          <a:extLst xmlns:a="http://schemas.openxmlformats.org/drawingml/2006/main">
            <a:ext uri="{FF2B5EF4-FFF2-40B4-BE49-F238E27FC236}">
              <a16:creationId xmlns:a16="http://schemas.microsoft.com/office/drawing/2014/main" id="{806615DB-C337-E90E-CCE9-BA153CB7A233}"/>
            </a:ext>
          </a:extLst>
        </cdr:cNvPr>
        <cdr:cNvSpPr txBox="1"/>
      </cdr:nvSpPr>
      <cdr:spPr>
        <a:xfrm xmlns:a="http://schemas.openxmlformats.org/drawingml/2006/main">
          <a:off x="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kern="1200" baseline="0">
              <a:solidFill>
                <a:srgbClr val="7D8992"/>
              </a:solidFill>
              <a:latin typeface="Poppins Light" panose="00000400000000000000" pitchFamily="2" charset="0"/>
              <a:cs typeface="Poppins Light" panose="00000400000000000000" pitchFamily="2" charset="0"/>
            </a:rPr>
            <a:t>Ratio (excluding 2020-2021)</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D6E5AC-11C9-4FF0-B556-BC56D7D5731A}" name="Table8" displayName="Table8" ref="A8:K87" totalsRowShown="0">
  <tableColumns count="11">
    <tableColumn id="1" xr3:uid="{0A159D65-F5AF-44A4-B7A8-AE52CD4B8E4D}" name="Time period and dataset code row"/>
    <tableColumn id="2" xr3:uid="{FE967BF9-B9E5-43B9-BF15-171F402E6A97}" name="Gross national income at market prices: Current prices"/>
    <tableColumn id="3" xr3:uid="{F05A6532-5581-41A4-9E7A-2BB4310E5A8D}" name="Net income from abroad: Current prices [note 2]"/>
    <tableColumn id="4" xr3:uid="{C73276DB-8715-4F0E-91B2-7E8EC769DE8D}" name="Gross domestic product at market prices: Current prices"/>
    <tableColumn id="5" xr3:uid="{D112E89D-D67F-452D-B2A6-D22050176241}" name="less Basic price adjustment: Current prices [note 3]"/>
    <tableColumn id="6" xr3:uid="{B45D6F0A-B120-450E-A672-2A116B3B991F}" name="Gross value added at basic prices: Current prices"/>
    <tableColumn id="7" xr3:uid="{A147F0AC-98D5-41D9-8BE3-54CC4CFC5A0F}" name="Gross domestic product at market prices: Chained volume measure"/>
    <tableColumn id="8" xr3:uid="{7AF712E8-D500-46AF-92E9-821DD9AF1415}" name="less Basic price adjustment: Chained volume measure [note 3]"/>
    <tableColumn id="9" xr3:uid="{9B57E249-B9C3-44F3-B121-217A397D4B48}" name="Gross value added at basic prices: Chained volume measure"/>
    <tableColumn id="10" xr3:uid="{938CF20C-E8D6-48E5-9ED3-BB9E8F36998B}" name="Gross domestic product at market prices: Chained volume measure: Non-seasonally adjusted"/>
    <tableColumn id="11" xr3:uid="{1C8F374A-0ED7-45E8-8A02-FE04369F4531}" name="Gross value added excluding oil &amp; gas: Chained volume measure [note 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0CDB59-380B-4703-8523-0CCA2CA5D342}" name="Table9" displayName="Table9" ref="A90:K375" totalsRowShown="0">
  <tableColumns count="11">
    <tableColumn id="1" xr3:uid="{50C4574B-98D9-4859-B9CD-DEE97A3ABDEC}" name="Time period and dataset code row"/>
    <tableColumn id="2" xr3:uid="{61655758-3D0E-44DF-964F-0027EEA8889D}" name="Gross national income at market prices: Current prices"/>
    <tableColumn id="3" xr3:uid="{B0B496BD-88C2-4E12-9901-645330C7201E}" name="Net income from abroad: Current prices [note 2]"/>
    <tableColumn id="4" xr3:uid="{25FFF836-F474-4766-9864-6007273AD905}" name="Gross domestic product at market prices: Current prices"/>
    <tableColumn id="5" xr3:uid="{DCCC50C4-6A62-4994-8DB2-98A02910AC68}" name="less Basic price adjustment: Current prices [note 3]"/>
    <tableColumn id="6" xr3:uid="{2E314E50-0C87-43C2-98C7-9AC1CDD4EFE3}" name="Gross value added at basic prices: Current prices"/>
    <tableColumn id="7" xr3:uid="{24503615-7FBA-4843-B069-FA323EF93E78}" name="Gross domestic product at market prices: Chained volume measure"/>
    <tableColumn id="8" xr3:uid="{BB282A46-C35E-48C2-ACBD-BD94E7CB516C}" name="less Basic price adjustment: Chained volume measure [note 3]"/>
    <tableColumn id="9" xr3:uid="{C0CCCF72-9B37-4ADC-B566-C9FC505CE89D}" name="Gross value added at basic prices: Chained volume measure"/>
    <tableColumn id="10" xr3:uid="{CCBDA623-5C9E-4754-A477-858060C79B3E}" name="Gross domestic product at market prices: Chained volume measure: Non-seasonally adjusted"/>
    <tableColumn id="11" xr3:uid="{B8B3007D-2E79-49E1-A7C2-18199AC51CA6}" name="Gross value added excluding oil &amp; gas: Chained volume measure [note 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EBFC35-27E4-42FD-AF49-E41932E01826}" name="Table10" displayName="Table10" ref="A378:G456" totalsRowShown="0">
  <tableColumns count="7">
    <tableColumn id="1" xr3:uid="{BE3EF597-6736-4E4B-9F96-C743429A2E71}" name="Time period and dataset code row"/>
    <tableColumn id="2" xr3:uid="{E1F16DE2-1C08-4CD4-8B5F-3E08783E1980}" name="Gross national income at market prices: Current prices"/>
    <tableColumn id="3" xr3:uid="{063B2E3D-76C2-4354-8DAC-8C819E23F1B7}" name="Gross domestic product at market prices: Current prices"/>
    <tableColumn id="4" xr3:uid="{DEE8139D-8605-4A8A-8A40-5E9336651B4D}" name="Gross value added at basic prices: Current prices"/>
    <tableColumn id="5" xr3:uid="{5DDF3757-D172-49B3-87E8-D857574120CB}" name="Gross domestic product at market prices: Chained volume measure"/>
    <tableColumn id="6" xr3:uid="{03A66EC3-B395-45D7-9D18-A90381A05FAC}" name="Gross value added at basic prices: Chained volume measure"/>
    <tableColumn id="7" xr3:uid="{01F5147B-1CD4-44B1-B9D6-AFF80955A12B}" name="Gross value added excluding oil &amp; gas: Chained volume measure [note 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46D63AE-0F4D-4689-9F05-8311A85ABE9A}" name="Table11" displayName="Table11" ref="A459:H743" totalsRowShown="0">
  <tableColumns count="8">
    <tableColumn id="1" xr3:uid="{60CA996D-924B-4C66-9C6C-C1EB32450B6D}" name="Time period and dataset code row"/>
    <tableColumn id="2" xr3:uid="{ACD42330-CEB0-4915-8EB6-6EB9AD6AEFEF}" name="Gross national income at market prices: Current prices"/>
    <tableColumn id="3" xr3:uid="{AABA20FA-80F6-47A1-830C-FDBB5D2A2536}" name="Gross domestic product at market prices: Current prices"/>
    <tableColumn id="4" xr3:uid="{74579EB4-A8E7-459A-9D71-30CA626DE8B5}" name="Gross value added at basic prices: Current prices"/>
    <tableColumn id="5" xr3:uid="{6D206162-B017-42E6-94D4-627561D2E0D5}" name="Gross domestic product at market prices: Chained volume measure"/>
    <tableColumn id="6" xr3:uid="{1F23DA7A-A48E-41F8-8E77-D2E8AF455A5F}" name="Gross value added at basic prices: Chained volume measure"/>
    <tableColumn id="7" xr3:uid="{71326EBF-F881-45FD-8407-5FD0C9837B74}" name="Gross domestic product at market prices: Chained volume measure: Non-seasonally adjusted"/>
    <tableColumn id="8" xr3:uid="{CF4ADA9B-88A8-4499-83D5-8CC706BAADF5}" name="Gross value added excluding oil &amp; gas: Chained volume measure [note 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B2F3ADA-A858-4639-8147-3C7A3F062AAA}" name="Table12" displayName="Table12" ref="A746:H1027" totalsRowShown="0">
  <tableColumns count="8">
    <tableColumn id="1" xr3:uid="{750FE4C3-FAD8-40C5-A919-46DE72438FFD}" name="Time period and dataset code row"/>
    <tableColumn id="2" xr3:uid="{4CCB0135-9FE1-464A-B414-AAE9FEB1CD08}" name="Gross national income at market prices: Current prices"/>
    <tableColumn id="3" xr3:uid="{F497F503-2912-4335-AAD9-C746B3760BA5}" name="Gross domestic product at market prices: Current prices"/>
    <tableColumn id="4" xr3:uid="{DCCF1554-80AC-4656-AA10-974D1CAAB222}" name="Gross value added at basic prices: Current prices"/>
    <tableColumn id="5" xr3:uid="{89F43FD3-B081-4C6F-A562-ECE7BC0B4498}" name="Gross domestic product at market prices: Chained volume measure"/>
    <tableColumn id="6" xr3:uid="{7BA2D1DB-4AD6-4354-A268-A0527170B456}" name="Gross value added at basic prices: Chained volume measure"/>
    <tableColumn id="7" xr3:uid="{F8BBBB9E-7059-4898-9A38-EE4A209529D8}" name="Gross domestic product at market prices: Chained volume measure: Non-seasonally adjusted"/>
    <tableColumn id="8" xr3:uid="{85C67287-551C-4C96-94F3-6ABA010D4AF9}" name="Gross value added excluding oil &amp; gas: Chained volume measure [note 4]"/>
  </tableColumns>
  <tableStyleInfo showFirstColumn="0" showLastColumn="0" showRowStripes="1" showColumnStripes="0"/>
</table>
</file>

<file path=xl/theme/theme1.xml><?xml version="1.0" encoding="utf-8"?>
<a:theme xmlns:a="http://schemas.openxmlformats.org/drawingml/2006/main" name="Office Theme">
  <a:themeElements>
    <a:clrScheme name="OE 2025 Line">
      <a:dk1>
        <a:sysClr val="windowText" lastClr="000000"/>
      </a:dk1>
      <a:lt1>
        <a:sysClr val="window" lastClr="FFFFFF"/>
      </a:lt1>
      <a:dk2>
        <a:srgbClr val="E6F2F9"/>
      </a:dk2>
      <a:lt2>
        <a:srgbClr val="ECEDEF"/>
      </a:lt2>
      <a:accent1>
        <a:srgbClr val="003466"/>
      </a:accent1>
      <a:accent2>
        <a:srgbClr val="EF4130"/>
      </a:accent2>
      <a:accent3>
        <a:srgbClr val="008AC8"/>
      </a:accent3>
      <a:accent4>
        <a:srgbClr val="E7A800"/>
      </a:accent4>
      <a:accent5>
        <a:srgbClr val="7D8992"/>
      </a:accent5>
      <a:accent6>
        <a:srgbClr val="8BA612"/>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3" Type="http://schemas.openxmlformats.org/officeDocument/2006/relationships/hyperlink" Target="mailto:ABNUQ@UK" TargetMode="External"/><Relationship Id="rId18" Type="http://schemas.openxmlformats.org/officeDocument/2006/relationships/hyperlink" Target="mailto:KTMZQ@UK" TargetMode="External"/><Relationship Id="rId26" Type="http://schemas.openxmlformats.org/officeDocument/2006/relationships/hyperlink" Target="mailto:DFEGQ@UK" TargetMode="External"/><Relationship Id="rId39" Type="http://schemas.openxmlformats.org/officeDocument/2006/relationships/hyperlink" Target="mailto:CAEXQ@UK" TargetMode="External"/><Relationship Id="rId21" Type="http://schemas.openxmlformats.org/officeDocument/2006/relationships/hyperlink" Target="mailto:DLWFQ@UK" TargetMode="External"/><Relationship Id="rId34" Type="http://schemas.openxmlformats.org/officeDocument/2006/relationships/hyperlink" Target="mailto:YBHAQ@UK" TargetMode="External"/><Relationship Id="rId42" Type="http://schemas.openxmlformats.org/officeDocument/2006/relationships/hyperlink" Target="mailto:IKBIQ@UK" TargetMode="External"/><Relationship Id="rId47" Type="http://schemas.openxmlformats.org/officeDocument/2006/relationships/hyperlink" Target="mailto:NPQXQ@UK" TargetMode="External"/><Relationship Id="rId50" Type="http://schemas.openxmlformats.org/officeDocument/2006/relationships/hyperlink" Target="mailto:KTMWQ@UK" TargetMode="External"/><Relationship Id="rId7" Type="http://schemas.openxmlformats.org/officeDocument/2006/relationships/hyperlink" Target="mailto:IKBKQ@UK" TargetMode="External"/><Relationship Id="rId2" Type="http://schemas.openxmlformats.org/officeDocument/2006/relationships/hyperlink" Target="mailto:ABJRQ@UK" TargetMode="External"/><Relationship Id="rId16" Type="http://schemas.openxmlformats.org/officeDocument/2006/relationships/hyperlink" Target="mailto:ABMQQ@UK" TargetMode="External"/><Relationship Id="rId29" Type="http://schemas.openxmlformats.org/officeDocument/2006/relationships/hyperlink" Target="mailto:DLWJQ@UK" TargetMode="External"/><Relationship Id="rId11" Type="http://schemas.openxmlformats.org/officeDocument/2006/relationships/hyperlink" Target="mailto:HAYOQ@UK" TargetMode="External"/><Relationship Id="rId24" Type="http://schemas.openxmlformats.org/officeDocument/2006/relationships/hyperlink" Target="mailto:DLWLQ@UK" TargetMode="External"/><Relationship Id="rId32" Type="http://schemas.openxmlformats.org/officeDocument/2006/relationships/hyperlink" Target="mailto:DLWQQ@UK" TargetMode="External"/><Relationship Id="rId37" Type="http://schemas.openxmlformats.org/officeDocument/2006/relationships/hyperlink" Target="mailto:NMRPQ@UK" TargetMode="External"/><Relationship Id="rId40" Type="http://schemas.openxmlformats.org/officeDocument/2006/relationships/hyperlink" Target="mailto:NPJQQ@UK" TargetMode="External"/><Relationship Id="rId45" Type="http://schemas.openxmlformats.org/officeDocument/2006/relationships/hyperlink" Target="mailto:ABNVQ@UK" TargetMode="External"/><Relationship Id="rId5" Type="http://schemas.openxmlformats.org/officeDocument/2006/relationships/hyperlink" Target="mailto:CAFUQ@UK" TargetMode="External"/><Relationship Id="rId15" Type="http://schemas.openxmlformats.org/officeDocument/2006/relationships/hyperlink" Target="mailto:NPQRQ@UK" TargetMode="External"/><Relationship Id="rId23" Type="http://schemas.openxmlformats.org/officeDocument/2006/relationships/hyperlink" Target="mailto:EQDNQ@UK" TargetMode="External"/><Relationship Id="rId28" Type="http://schemas.openxmlformats.org/officeDocument/2006/relationships/hyperlink" Target="mailto:EQDOQ@UK" TargetMode="External"/><Relationship Id="rId36" Type="http://schemas.openxmlformats.org/officeDocument/2006/relationships/hyperlink" Target="mailto:HAYEQ@UK" TargetMode="External"/><Relationship Id="rId49" Type="http://schemas.openxmlformats.org/officeDocument/2006/relationships/hyperlink" Target="mailto:NPJOQ@UK" TargetMode="External"/><Relationship Id="rId10" Type="http://schemas.openxmlformats.org/officeDocument/2006/relationships/hyperlink" Target="mailto:BKVTQ@UK" TargetMode="External"/><Relationship Id="rId19" Type="http://schemas.openxmlformats.org/officeDocument/2006/relationships/hyperlink" Target="mailto:KTNBQ@UK" TargetMode="External"/><Relationship Id="rId31" Type="http://schemas.openxmlformats.org/officeDocument/2006/relationships/hyperlink" Target="mailto:DFDVQ@UK" TargetMode="External"/><Relationship Id="rId44" Type="http://schemas.openxmlformats.org/officeDocument/2006/relationships/hyperlink" Target="mailto:ABPBQ@UK" TargetMode="External"/><Relationship Id="rId4" Type="http://schemas.openxmlformats.org/officeDocument/2006/relationships/hyperlink" Target="mailto:NPQTQ@UK" TargetMode="External"/><Relationship Id="rId9" Type="http://schemas.openxmlformats.org/officeDocument/2006/relationships/hyperlink" Target="mailto:GIXSQ@UK" TargetMode="External"/><Relationship Id="rId14" Type="http://schemas.openxmlformats.org/officeDocument/2006/relationships/hyperlink" Target="mailto:NMRUQ@UK" TargetMode="External"/><Relationship Id="rId22" Type="http://schemas.openxmlformats.org/officeDocument/2006/relationships/hyperlink" Target="mailto:NPENQ@UK" TargetMode="External"/><Relationship Id="rId27" Type="http://schemas.openxmlformats.org/officeDocument/2006/relationships/hyperlink" Target="mailto:DLWTQ@UK" TargetMode="External"/><Relationship Id="rId30" Type="http://schemas.openxmlformats.org/officeDocument/2006/relationships/hyperlink" Target="mailto:DLWMQ@UK" TargetMode="External"/><Relationship Id="rId35" Type="http://schemas.openxmlformats.org/officeDocument/2006/relationships/hyperlink" Target="mailto:ABJQQ@UK" TargetMode="External"/><Relationship Id="rId43" Type="http://schemas.openxmlformats.org/officeDocument/2006/relationships/hyperlink" Target="mailto:BKTLQ@UK" TargetMode="External"/><Relationship Id="rId48" Type="http://schemas.openxmlformats.org/officeDocument/2006/relationships/hyperlink" Target="mailto:ABMPQ@UK" TargetMode="External"/><Relationship Id="rId8" Type="http://schemas.openxmlformats.org/officeDocument/2006/relationships/hyperlink" Target="mailto:IKBLQ@UK" TargetMode="External"/><Relationship Id="rId51" Type="http://schemas.openxmlformats.org/officeDocument/2006/relationships/hyperlink" Target="mailto:KTMXQ@UK" TargetMode="External"/><Relationship Id="rId3" Type="http://schemas.openxmlformats.org/officeDocument/2006/relationships/hyperlink" Target="mailto:NMRYQ@UK" TargetMode="External"/><Relationship Id="rId12" Type="http://schemas.openxmlformats.org/officeDocument/2006/relationships/hyperlink" Target="mailto:ABPFQ@UK" TargetMode="External"/><Relationship Id="rId17" Type="http://schemas.openxmlformats.org/officeDocument/2006/relationships/hyperlink" Target="mailto:NPJPQ@UK" TargetMode="External"/><Relationship Id="rId25" Type="http://schemas.openxmlformats.org/officeDocument/2006/relationships/hyperlink" Target="mailto:DLWOQ@UK" TargetMode="External"/><Relationship Id="rId33" Type="http://schemas.openxmlformats.org/officeDocument/2006/relationships/hyperlink" Target="mailto:EQDTQ@UK" TargetMode="External"/><Relationship Id="rId38" Type="http://schemas.openxmlformats.org/officeDocument/2006/relationships/hyperlink" Target="mailto:NPQSQ@UK" TargetMode="External"/><Relationship Id="rId46" Type="http://schemas.openxmlformats.org/officeDocument/2006/relationships/hyperlink" Target="mailto:NMRKQ@UK" TargetMode="External"/><Relationship Id="rId20" Type="http://schemas.openxmlformats.org/officeDocument/2006/relationships/hyperlink" Target="mailto:NPELQ@UK" TargetMode="External"/><Relationship Id="rId41" Type="http://schemas.openxmlformats.org/officeDocument/2006/relationships/hyperlink" Target="mailto:IKBHQ@UK" TargetMode="External"/><Relationship Id="rId1" Type="http://schemas.openxmlformats.org/officeDocument/2006/relationships/hyperlink" Target="mailto:ABMIQ@UK" TargetMode="External"/><Relationship Id="rId6" Type="http://schemas.openxmlformats.org/officeDocument/2006/relationships/hyperlink" Target="mailto:NPJRQ@U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C8E1C-4875-46C3-9058-2F10447ACFA3}">
  <sheetPr>
    <tabColor rgb="FFC00000"/>
  </sheetPr>
  <dimension ref="A3:B40"/>
  <sheetViews>
    <sheetView zoomScale="95" zoomScaleNormal="95" workbookViewId="0">
      <selection activeCell="B40" sqref="B40"/>
    </sheetView>
  </sheetViews>
  <sheetFormatPr defaultRowHeight="14.5" x14ac:dyDescent="0.35"/>
  <cols>
    <col min="1" max="1" width="2.6328125" customWidth="1"/>
  </cols>
  <sheetData>
    <row r="3" spans="1:2" x14ac:dyDescent="0.35">
      <c r="A3" t="s">
        <v>350</v>
      </c>
    </row>
    <row r="4" spans="1:2" x14ac:dyDescent="0.35">
      <c r="A4">
        <v>1</v>
      </c>
      <c r="B4" t="s">
        <v>351</v>
      </c>
    </row>
    <row r="5" spans="1:2" x14ac:dyDescent="0.35">
      <c r="A5">
        <v>2</v>
      </c>
      <c r="B5" t="s">
        <v>352</v>
      </c>
    </row>
    <row r="6" spans="1:2" x14ac:dyDescent="0.35">
      <c r="A6">
        <v>3</v>
      </c>
      <c r="B6" t="s">
        <v>354</v>
      </c>
    </row>
    <row r="7" spans="1:2" x14ac:dyDescent="0.35">
      <c r="A7">
        <v>4</v>
      </c>
      <c r="B7" t="s">
        <v>355</v>
      </c>
    </row>
    <row r="10" spans="1:2" x14ac:dyDescent="0.35">
      <c r="B10" t="s">
        <v>353</v>
      </c>
    </row>
    <row r="13" spans="1:2" x14ac:dyDescent="0.35">
      <c r="A13" s="7" t="s">
        <v>357</v>
      </c>
    </row>
    <row r="14" spans="1:2" x14ac:dyDescent="0.35">
      <c r="A14" t="s">
        <v>356</v>
      </c>
    </row>
    <row r="16" spans="1:2" x14ac:dyDescent="0.35">
      <c r="A16" s="10" t="s">
        <v>576</v>
      </c>
    </row>
    <row r="18" spans="1:2" x14ac:dyDescent="0.35">
      <c r="A18" t="s">
        <v>632</v>
      </c>
    </row>
    <row r="20" spans="1:2" x14ac:dyDescent="0.35">
      <c r="A20" t="s">
        <v>596</v>
      </c>
    </row>
    <row r="26" spans="1:2" x14ac:dyDescent="0.35">
      <c r="A26" s="7" t="s">
        <v>680</v>
      </c>
    </row>
    <row r="28" spans="1:2" x14ac:dyDescent="0.35">
      <c r="A28" s="12" t="s">
        <v>675</v>
      </c>
      <c r="B28" s="17" t="s">
        <v>686</v>
      </c>
    </row>
    <row r="29" spans="1:2" x14ac:dyDescent="0.35">
      <c r="B29" s="17"/>
    </row>
    <row r="30" spans="1:2" x14ac:dyDescent="0.35">
      <c r="A30" s="12" t="s">
        <v>676</v>
      </c>
      <c r="B30" s="17" t="s">
        <v>687</v>
      </c>
    </row>
    <row r="31" spans="1:2" x14ac:dyDescent="0.35">
      <c r="B31" s="17"/>
    </row>
    <row r="32" spans="1:2" x14ac:dyDescent="0.35">
      <c r="A32" s="12" t="s">
        <v>681</v>
      </c>
      <c r="B32" s="17" t="s">
        <v>685</v>
      </c>
    </row>
    <row r="33" spans="1:2" x14ac:dyDescent="0.35">
      <c r="B33" s="17"/>
    </row>
    <row r="34" spans="1:2" x14ac:dyDescent="0.35">
      <c r="A34" s="12" t="s">
        <v>682</v>
      </c>
      <c r="B34" s="17" t="s">
        <v>689</v>
      </c>
    </row>
    <row r="35" spans="1:2" x14ac:dyDescent="0.35">
      <c r="B35" s="17"/>
    </row>
    <row r="36" spans="1:2" x14ac:dyDescent="0.35">
      <c r="A36" s="12" t="s">
        <v>683</v>
      </c>
      <c r="B36" s="17" t="s">
        <v>688</v>
      </c>
    </row>
    <row r="37" spans="1:2" x14ac:dyDescent="0.35">
      <c r="B37" s="17"/>
    </row>
    <row r="38" spans="1:2" x14ac:dyDescent="0.35">
      <c r="A38" s="12" t="s">
        <v>684</v>
      </c>
      <c r="B38" s="17" t="s">
        <v>690</v>
      </c>
    </row>
    <row r="39" spans="1:2" x14ac:dyDescent="0.35">
      <c r="B39" s="17"/>
    </row>
    <row r="40" spans="1:2" x14ac:dyDescent="0.35">
      <c r="A40" s="12" t="s">
        <v>691</v>
      </c>
      <c r="B40" s="17" t="s">
        <v>692</v>
      </c>
    </row>
  </sheetData>
  <pageMargins left="0.7" right="0.7" top="0.75" bottom="0.75" header="0.3" footer="0.3"/>
  <ignoredErrors>
    <ignoredError sqref="A28:A31 A33 A32 A34:A38 A4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E1EA4-D54D-42CF-B4E7-693437315635}">
  <dimension ref="A1:K1027"/>
  <sheetViews>
    <sheetView topLeftCell="A297" zoomScale="70" zoomScaleNormal="70" workbookViewId="0">
      <selection activeCell="E368" sqref="E368"/>
    </sheetView>
  </sheetViews>
  <sheetFormatPr defaultRowHeight="14.5" x14ac:dyDescent="0.35"/>
  <cols>
    <col min="1" max="9" width="17.54296875" customWidth="1"/>
    <col min="10" max="10" width="19.08984375" customWidth="1"/>
    <col min="11" max="11" width="17.54296875" customWidth="1"/>
  </cols>
  <sheetData>
    <row r="1" spans="1:11" ht="18" x14ac:dyDescent="0.4">
      <c r="A1" s="1" t="s">
        <v>0</v>
      </c>
    </row>
    <row r="2" spans="1:11" ht="15.5" x14ac:dyDescent="0.35">
      <c r="A2" s="2" t="s">
        <v>1</v>
      </c>
    </row>
    <row r="3" spans="1:11" ht="15.5" x14ac:dyDescent="0.35">
      <c r="A3" s="2" t="s">
        <v>2</v>
      </c>
    </row>
    <row r="4" spans="1:11" ht="15.5" x14ac:dyDescent="0.35">
      <c r="A4" s="2" t="s">
        <v>3</v>
      </c>
    </row>
    <row r="5" spans="1:11" ht="15.5" x14ac:dyDescent="0.35">
      <c r="A5" s="2" t="s">
        <v>4</v>
      </c>
    </row>
    <row r="7" spans="1:11" ht="15.5" x14ac:dyDescent="0.35">
      <c r="A7" s="3" t="s">
        <v>5</v>
      </c>
    </row>
    <row r="8" spans="1:11" ht="108.5" x14ac:dyDescent="0.35">
      <c r="A8" s="4" t="s">
        <v>6</v>
      </c>
      <c r="B8" s="4" t="s">
        <v>7</v>
      </c>
      <c r="C8" s="4" t="s">
        <v>8</v>
      </c>
      <c r="D8" s="4" t="s">
        <v>9</v>
      </c>
      <c r="E8" s="4" t="s">
        <v>10</v>
      </c>
      <c r="F8" s="4" t="s">
        <v>11</v>
      </c>
      <c r="G8" s="4" t="s">
        <v>12</v>
      </c>
      <c r="H8" s="4" t="s">
        <v>13</v>
      </c>
      <c r="I8" s="4" t="s">
        <v>14</v>
      </c>
      <c r="J8" s="4" t="s">
        <v>15</v>
      </c>
      <c r="K8" s="4" t="s">
        <v>16</v>
      </c>
    </row>
    <row r="9" spans="1:11" ht="31" x14ac:dyDescent="0.35">
      <c r="A9" s="4" t="s">
        <v>17</v>
      </c>
      <c r="B9" s="5" t="s">
        <v>18</v>
      </c>
      <c r="C9" s="5" t="s">
        <v>19</v>
      </c>
      <c r="D9" s="5" t="s">
        <v>20</v>
      </c>
      <c r="E9" s="5" t="s">
        <v>21</v>
      </c>
      <c r="F9" s="5" t="s">
        <v>22</v>
      </c>
      <c r="G9" s="5" t="s">
        <v>23</v>
      </c>
      <c r="H9" s="5" t="s">
        <v>24</v>
      </c>
      <c r="I9" s="5" t="s">
        <v>25</v>
      </c>
      <c r="J9" s="5" t="s">
        <v>26</v>
      </c>
      <c r="K9" s="5" t="s">
        <v>27</v>
      </c>
    </row>
    <row r="10" spans="1:11" ht="15.5" x14ac:dyDescent="0.35">
      <c r="A10" s="2">
        <v>1948</v>
      </c>
      <c r="B10" s="2">
        <v>11632</v>
      </c>
      <c r="C10" s="2" t="s">
        <v>28</v>
      </c>
      <c r="D10" s="2">
        <v>11429</v>
      </c>
      <c r="E10" s="2">
        <v>1049</v>
      </c>
      <c r="F10" s="2">
        <v>10380</v>
      </c>
      <c r="G10" s="2">
        <v>455134</v>
      </c>
      <c r="H10" s="2">
        <v>53600</v>
      </c>
      <c r="I10" s="2">
        <v>403688</v>
      </c>
      <c r="J10" s="2">
        <v>455134</v>
      </c>
      <c r="K10" s="2" t="s">
        <v>28</v>
      </c>
    </row>
    <row r="11" spans="1:11" ht="15.5" x14ac:dyDescent="0.35">
      <c r="A11" s="2">
        <v>1949</v>
      </c>
      <c r="B11" s="2">
        <v>12358</v>
      </c>
      <c r="C11" s="2" t="s">
        <v>28</v>
      </c>
      <c r="D11" s="2">
        <v>12172</v>
      </c>
      <c r="E11" s="2">
        <v>1045</v>
      </c>
      <c r="F11" s="2">
        <v>11127</v>
      </c>
      <c r="G11" s="2">
        <v>470210</v>
      </c>
      <c r="H11" s="2">
        <v>53600</v>
      </c>
      <c r="I11" s="2">
        <v>418450</v>
      </c>
      <c r="J11" s="2">
        <v>470210</v>
      </c>
      <c r="K11" s="2" t="s">
        <v>28</v>
      </c>
    </row>
    <row r="12" spans="1:11" ht="15.5" x14ac:dyDescent="0.35">
      <c r="A12" s="2">
        <v>1950</v>
      </c>
      <c r="B12" s="2">
        <v>13099</v>
      </c>
      <c r="C12" s="2" t="s">
        <v>28</v>
      </c>
      <c r="D12" s="2">
        <v>12742</v>
      </c>
      <c r="E12" s="2">
        <v>1160</v>
      </c>
      <c r="F12" s="2">
        <v>11582</v>
      </c>
      <c r="G12" s="2">
        <v>485925</v>
      </c>
      <c r="H12" s="2">
        <v>56267</v>
      </c>
      <c r="I12" s="2">
        <v>431768</v>
      </c>
      <c r="J12" s="2">
        <v>485925</v>
      </c>
      <c r="K12" s="2" t="s">
        <v>28</v>
      </c>
    </row>
    <row r="13" spans="1:11" ht="15.5" x14ac:dyDescent="0.35">
      <c r="A13" s="2">
        <v>1951</v>
      </c>
      <c r="B13" s="2">
        <v>14606</v>
      </c>
      <c r="C13" s="2" t="s">
        <v>28</v>
      </c>
      <c r="D13" s="2">
        <v>14305</v>
      </c>
      <c r="E13" s="2">
        <v>1345</v>
      </c>
      <c r="F13" s="2">
        <v>12960</v>
      </c>
      <c r="G13" s="2">
        <v>503980</v>
      </c>
      <c r="H13" s="2">
        <v>59808</v>
      </c>
      <c r="I13" s="2">
        <v>446669</v>
      </c>
      <c r="J13" s="2">
        <v>503980</v>
      </c>
      <c r="K13" s="2" t="s">
        <v>28</v>
      </c>
    </row>
    <row r="14" spans="1:11" ht="15.5" x14ac:dyDescent="0.35">
      <c r="A14" s="2">
        <v>1952</v>
      </c>
      <c r="B14" s="2">
        <v>15745</v>
      </c>
      <c r="C14" s="2" t="s">
        <v>28</v>
      </c>
      <c r="D14" s="2">
        <v>15536</v>
      </c>
      <c r="E14" s="2">
        <v>1386</v>
      </c>
      <c r="F14" s="2">
        <v>14150</v>
      </c>
      <c r="G14" s="2">
        <v>511536</v>
      </c>
      <c r="H14" s="2">
        <v>58207</v>
      </c>
      <c r="I14" s="2">
        <v>455294</v>
      </c>
      <c r="J14" s="2">
        <v>511536</v>
      </c>
      <c r="K14" s="2" t="s">
        <v>28</v>
      </c>
    </row>
    <row r="15" spans="1:11" ht="15.5" x14ac:dyDescent="0.35">
      <c r="A15" s="2">
        <v>1953</v>
      </c>
      <c r="B15" s="2">
        <v>16862</v>
      </c>
      <c r="C15" s="2" t="s">
        <v>28</v>
      </c>
      <c r="D15" s="2">
        <v>16682</v>
      </c>
      <c r="E15" s="2">
        <v>1476</v>
      </c>
      <c r="F15" s="2">
        <v>15206</v>
      </c>
      <c r="G15" s="2">
        <v>539917</v>
      </c>
      <c r="H15" s="2">
        <v>60475</v>
      </c>
      <c r="I15" s="2">
        <v>481238</v>
      </c>
      <c r="J15" s="2">
        <v>539917</v>
      </c>
      <c r="K15" s="2" t="s">
        <v>28</v>
      </c>
    </row>
    <row r="16" spans="1:11" ht="15.5" x14ac:dyDescent="0.35">
      <c r="A16" s="2">
        <v>1954</v>
      </c>
      <c r="B16" s="2">
        <v>17796</v>
      </c>
      <c r="C16" s="2" t="s">
        <v>28</v>
      </c>
      <c r="D16" s="2">
        <v>17598</v>
      </c>
      <c r="E16" s="2">
        <v>1493</v>
      </c>
      <c r="F16" s="2">
        <v>16105</v>
      </c>
      <c r="G16" s="2">
        <v>563461</v>
      </c>
      <c r="H16" s="2">
        <v>61909</v>
      </c>
      <c r="I16" s="2">
        <v>503188</v>
      </c>
      <c r="J16" s="2">
        <v>563461</v>
      </c>
      <c r="K16" s="2" t="s">
        <v>28</v>
      </c>
    </row>
    <row r="17" spans="1:11" ht="15.5" x14ac:dyDescent="0.35">
      <c r="A17" s="2">
        <v>1955</v>
      </c>
      <c r="B17" s="2">
        <v>19291</v>
      </c>
      <c r="C17" s="2" t="s">
        <v>28</v>
      </c>
      <c r="D17" s="2">
        <v>19170</v>
      </c>
      <c r="E17" s="2">
        <v>1678</v>
      </c>
      <c r="F17" s="2">
        <v>17492</v>
      </c>
      <c r="G17" s="2">
        <v>586122</v>
      </c>
      <c r="H17" s="2">
        <v>65724</v>
      </c>
      <c r="I17" s="2">
        <v>522421</v>
      </c>
      <c r="J17" s="2">
        <v>586122</v>
      </c>
      <c r="K17" s="2" t="s">
        <v>28</v>
      </c>
    </row>
    <row r="18" spans="1:11" ht="15.5" x14ac:dyDescent="0.35">
      <c r="A18" s="2">
        <v>1956</v>
      </c>
      <c r="B18" s="2">
        <v>21019</v>
      </c>
      <c r="C18" s="2" t="s">
        <v>28</v>
      </c>
      <c r="D18" s="2">
        <v>20846</v>
      </c>
      <c r="E18" s="2">
        <v>1789</v>
      </c>
      <c r="F18" s="2">
        <v>19057</v>
      </c>
      <c r="G18" s="2">
        <v>596062</v>
      </c>
      <c r="H18" s="2">
        <v>64980</v>
      </c>
      <c r="I18" s="2">
        <v>532656</v>
      </c>
      <c r="J18" s="2">
        <v>596062</v>
      </c>
      <c r="K18" s="2" t="s">
        <v>28</v>
      </c>
    </row>
    <row r="19" spans="1:11" ht="15.5" x14ac:dyDescent="0.35">
      <c r="A19" s="2">
        <v>1957</v>
      </c>
      <c r="B19" s="2">
        <v>22298</v>
      </c>
      <c r="C19" s="2" t="s">
        <v>28</v>
      </c>
      <c r="D19" s="2">
        <v>22107</v>
      </c>
      <c r="E19" s="2">
        <v>1799</v>
      </c>
      <c r="F19" s="2">
        <v>20308</v>
      </c>
      <c r="G19" s="2">
        <v>607813</v>
      </c>
      <c r="H19" s="2">
        <v>64653</v>
      </c>
      <c r="I19" s="2">
        <v>544373</v>
      </c>
      <c r="J19" s="2">
        <v>607813</v>
      </c>
      <c r="K19" s="2" t="s">
        <v>28</v>
      </c>
    </row>
    <row r="20" spans="1:11" ht="15.5" x14ac:dyDescent="0.35">
      <c r="A20" s="2">
        <v>1958</v>
      </c>
      <c r="B20" s="2">
        <v>23450</v>
      </c>
      <c r="C20" s="2" t="s">
        <v>28</v>
      </c>
      <c r="D20" s="2">
        <v>23223</v>
      </c>
      <c r="E20" s="2">
        <v>1858</v>
      </c>
      <c r="F20" s="2">
        <v>21365</v>
      </c>
      <c r="G20" s="2">
        <v>615967</v>
      </c>
      <c r="H20" s="2">
        <v>67312</v>
      </c>
      <c r="I20" s="2">
        <v>550345</v>
      </c>
      <c r="J20" s="2">
        <v>615967</v>
      </c>
      <c r="K20" s="2" t="s">
        <v>28</v>
      </c>
    </row>
    <row r="21" spans="1:11" ht="15.5" x14ac:dyDescent="0.35">
      <c r="A21" s="2">
        <v>1959</v>
      </c>
      <c r="B21" s="2">
        <v>24587</v>
      </c>
      <c r="C21" s="2" t="s">
        <v>28</v>
      </c>
      <c r="D21" s="2">
        <v>24392</v>
      </c>
      <c r="E21" s="2">
        <v>1969</v>
      </c>
      <c r="F21" s="2">
        <v>22423</v>
      </c>
      <c r="G21" s="2">
        <v>642287</v>
      </c>
      <c r="H21" s="2">
        <v>72638</v>
      </c>
      <c r="I21" s="2">
        <v>572136</v>
      </c>
      <c r="J21" s="2">
        <v>642287</v>
      </c>
      <c r="K21" s="2" t="s">
        <v>28</v>
      </c>
    </row>
    <row r="22" spans="1:11" ht="15.5" x14ac:dyDescent="0.35">
      <c r="A22" s="2">
        <v>1960</v>
      </c>
      <c r="B22" s="2">
        <v>26370</v>
      </c>
      <c r="C22" s="2" t="s">
        <v>28</v>
      </c>
      <c r="D22" s="2">
        <v>26206</v>
      </c>
      <c r="E22" s="2">
        <v>1967</v>
      </c>
      <c r="F22" s="2">
        <v>24239</v>
      </c>
      <c r="G22" s="2">
        <v>682893</v>
      </c>
      <c r="H22" s="2">
        <v>74519</v>
      </c>
      <c r="I22" s="2">
        <v>610286</v>
      </c>
      <c r="J22" s="2">
        <v>682893</v>
      </c>
      <c r="K22" s="2" t="s">
        <v>28</v>
      </c>
    </row>
    <row r="23" spans="1:11" ht="15.5" x14ac:dyDescent="0.35">
      <c r="A23" s="2">
        <v>1961</v>
      </c>
      <c r="B23" s="2">
        <v>28112</v>
      </c>
      <c r="C23" s="2" t="s">
        <v>28</v>
      </c>
      <c r="D23" s="2">
        <v>27924</v>
      </c>
      <c r="E23" s="2">
        <v>2044</v>
      </c>
      <c r="F23" s="2">
        <v>25880</v>
      </c>
      <c r="G23" s="2">
        <v>701144</v>
      </c>
      <c r="H23" s="2">
        <v>74822</v>
      </c>
      <c r="I23" s="2">
        <v>627610</v>
      </c>
      <c r="J23" s="2">
        <v>701144</v>
      </c>
      <c r="K23" s="2" t="s">
        <v>28</v>
      </c>
    </row>
    <row r="24" spans="1:11" ht="15.5" x14ac:dyDescent="0.35">
      <c r="A24" s="2">
        <v>1962</v>
      </c>
      <c r="B24" s="2">
        <v>29507</v>
      </c>
      <c r="C24" s="2" t="s">
        <v>28</v>
      </c>
      <c r="D24" s="2">
        <v>29242</v>
      </c>
      <c r="E24" s="2">
        <v>2213</v>
      </c>
      <c r="F24" s="2">
        <v>27029</v>
      </c>
      <c r="G24" s="2">
        <v>708681</v>
      </c>
      <c r="H24" s="2">
        <v>73944</v>
      </c>
      <c r="I24" s="2">
        <v>635463</v>
      </c>
      <c r="J24" s="2">
        <v>708681</v>
      </c>
      <c r="K24" s="2" t="s">
        <v>28</v>
      </c>
    </row>
    <row r="25" spans="1:11" ht="15.5" x14ac:dyDescent="0.35">
      <c r="A25" s="2">
        <v>1963</v>
      </c>
      <c r="B25" s="2">
        <v>31433</v>
      </c>
      <c r="C25" s="2" t="s">
        <v>28</v>
      </c>
      <c r="D25" s="2">
        <v>31107</v>
      </c>
      <c r="E25" s="2">
        <v>2268</v>
      </c>
      <c r="F25" s="2">
        <v>28839</v>
      </c>
      <c r="G25" s="2">
        <v>742895</v>
      </c>
      <c r="H25" s="2">
        <v>74345</v>
      </c>
      <c r="I25" s="2">
        <v>668424</v>
      </c>
      <c r="J25" s="2">
        <v>742895</v>
      </c>
      <c r="K25" s="2" t="s">
        <v>28</v>
      </c>
    </row>
    <row r="26" spans="1:11" ht="15.5" x14ac:dyDescent="0.35">
      <c r="A26" s="2">
        <v>1964</v>
      </c>
      <c r="B26" s="2">
        <v>34388</v>
      </c>
      <c r="C26" s="2" t="s">
        <v>28</v>
      </c>
      <c r="D26" s="2">
        <v>34056</v>
      </c>
      <c r="E26" s="2">
        <v>2633</v>
      </c>
      <c r="F26" s="2">
        <v>31423</v>
      </c>
      <c r="G26" s="2">
        <v>785288</v>
      </c>
      <c r="H26" s="2">
        <v>77852</v>
      </c>
      <c r="I26" s="2">
        <v>707105</v>
      </c>
      <c r="J26" s="2">
        <v>785288</v>
      </c>
      <c r="K26" s="2" t="s">
        <v>28</v>
      </c>
    </row>
    <row r="27" spans="1:11" ht="15.5" x14ac:dyDescent="0.35">
      <c r="A27" s="2">
        <v>1965</v>
      </c>
      <c r="B27" s="2">
        <v>37210</v>
      </c>
      <c r="C27" s="2" t="s">
        <v>28</v>
      </c>
      <c r="D27" s="2">
        <v>36839</v>
      </c>
      <c r="E27" s="2">
        <v>2977</v>
      </c>
      <c r="F27" s="2">
        <v>33862</v>
      </c>
      <c r="G27" s="2">
        <v>801911</v>
      </c>
      <c r="H27" s="2">
        <v>76255</v>
      </c>
      <c r="I27" s="2">
        <v>724546</v>
      </c>
      <c r="J27" s="2">
        <v>801911</v>
      </c>
      <c r="K27" s="2" t="s">
        <v>28</v>
      </c>
    </row>
    <row r="28" spans="1:11" ht="15.5" x14ac:dyDescent="0.35">
      <c r="A28" s="2">
        <v>1966</v>
      </c>
      <c r="B28" s="2">
        <v>39726</v>
      </c>
      <c r="C28" s="2" t="s">
        <v>28</v>
      </c>
      <c r="D28" s="2">
        <v>39407</v>
      </c>
      <c r="E28" s="2">
        <v>3282</v>
      </c>
      <c r="F28" s="2">
        <v>36125</v>
      </c>
      <c r="G28" s="2">
        <v>814393</v>
      </c>
      <c r="H28" s="2">
        <v>78945</v>
      </c>
      <c r="I28" s="2">
        <v>734548</v>
      </c>
      <c r="J28" s="2">
        <v>814393</v>
      </c>
      <c r="K28" s="2" t="s">
        <v>28</v>
      </c>
    </row>
    <row r="29" spans="1:11" ht="15.5" x14ac:dyDescent="0.35">
      <c r="A29" s="2">
        <v>1967</v>
      </c>
      <c r="B29" s="2">
        <v>42003</v>
      </c>
      <c r="C29" s="2" t="s">
        <v>28</v>
      </c>
      <c r="D29" s="2">
        <v>41687</v>
      </c>
      <c r="E29" s="2">
        <v>3175</v>
      </c>
      <c r="F29" s="2">
        <v>38512</v>
      </c>
      <c r="G29" s="2">
        <v>836815</v>
      </c>
      <c r="H29" s="2">
        <v>85319</v>
      </c>
      <c r="I29" s="2">
        <v>751196</v>
      </c>
      <c r="J29" s="2">
        <v>836815</v>
      </c>
      <c r="K29" s="2" t="s">
        <v>28</v>
      </c>
    </row>
    <row r="30" spans="1:11" ht="15.5" x14ac:dyDescent="0.35">
      <c r="A30" s="2">
        <v>1968</v>
      </c>
      <c r="B30" s="2">
        <v>46067</v>
      </c>
      <c r="C30" s="2" t="s">
        <v>28</v>
      </c>
      <c r="D30" s="2">
        <v>45811</v>
      </c>
      <c r="E30" s="2">
        <v>3666</v>
      </c>
      <c r="F30" s="2">
        <v>42145</v>
      </c>
      <c r="G30" s="2">
        <v>882470</v>
      </c>
      <c r="H30" s="2">
        <v>88060</v>
      </c>
      <c r="I30" s="2">
        <v>793541</v>
      </c>
      <c r="J30" s="2">
        <v>882470</v>
      </c>
      <c r="K30" s="2" t="s">
        <v>28</v>
      </c>
    </row>
    <row r="31" spans="1:11" ht="15.5" x14ac:dyDescent="0.35">
      <c r="A31" s="2">
        <v>1969</v>
      </c>
      <c r="B31" s="2">
        <v>50198</v>
      </c>
      <c r="C31" s="2" t="s">
        <v>28</v>
      </c>
      <c r="D31" s="2">
        <v>49776</v>
      </c>
      <c r="E31" s="2">
        <v>4271</v>
      </c>
      <c r="F31" s="2">
        <v>45505</v>
      </c>
      <c r="G31" s="2">
        <v>899298</v>
      </c>
      <c r="H31" s="2">
        <v>89213</v>
      </c>
      <c r="I31" s="2">
        <v>809190</v>
      </c>
      <c r="J31" s="2">
        <v>899298</v>
      </c>
      <c r="K31" s="2" t="s">
        <v>28</v>
      </c>
    </row>
    <row r="32" spans="1:11" ht="15.5" x14ac:dyDescent="0.35">
      <c r="A32" s="2">
        <v>1970</v>
      </c>
      <c r="B32" s="2">
        <v>56525</v>
      </c>
      <c r="C32" s="2" t="s">
        <v>28</v>
      </c>
      <c r="D32" s="2">
        <v>56056</v>
      </c>
      <c r="E32" s="2">
        <v>4636</v>
      </c>
      <c r="F32" s="2">
        <v>51420</v>
      </c>
      <c r="G32" s="2">
        <v>923582</v>
      </c>
      <c r="H32" s="2">
        <v>92430</v>
      </c>
      <c r="I32" s="2">
        <v>830349</v>
      </c>
      <c r="J32" s="2">
        <v>923582</v>
      </c>
      <c r="K32" s="2" t="s">
        <v>28</v>
      </c>
    </row>
    <row r="33" spans="1:11" ht="15.5" x14ac:dyDescent="0.35">
      <c r="A33" s="2">
        <v>1971</v>
      </c>
      <c r="B33" s="2">
        <v>63277</v>
      </c>
      <c r="C33" s="2" t="s">
        <v>28</v>
      </c>
      <c r="D33" s="2">
        <v>62886</v>
      </c>
      <c r="E33" s="2">
        <v>4808</v>
      </c>
      <c r="F33" s="2">
        <v>58078</v>
      </c>
      <c r="G33" s="2">
        <v>956960</v>
      </c>
      <c r="H33" s="2">
        <v>92370</v>
      </c>
      <c r="I33" s="2">
        <v>863016</v>
      </c>
      <c r="J33" s="2">
        <v>956960</v>
      </c>
      <c r="K33" s="2" t="s">
        <v>28</v>
      </c>
    </row>
    <row r="34" spans="1:11" ht="15.5" x14ac:dyDescent="0.35">
      <c r="A34" s="2">
        <v>1972</v>
      </c>
      <c r="B34" s="2">
        <v>70893</v>
      </c>
      <c r="C34" s="2" t="s">
        <v>28</v>
      </c>
      <c r="D34" s="2">
        <v>70595</v>
      </c>
      <c r="E34" s="2">
        <v>5022</v>
      </c>
      <c r="F34" s="2">
        <v>65573</v>
      </c>
      <c r="G34" s="2">
        <v>998663</v>
      </c>
      <c r="H34" s="2">
        <v>95790</v>
      </c>
      <c r="I34" s="2">
        <v>901175</v>
      </c>
      <c r="J34" s="2">
        <v>998663</v>
      </c>
      <c r="K34" s="2" t="s">
        <v>28</v>
      </c>
    </row>
    <row r="35" spans="1:11" ht="15.5" x14ac:dyDescent="0.35">
      <c r="A35" s="2">
        <v>1973</v>
      </c>
      <c r="B35" s="2">
        <v>82557</v>
      </c>
      <c r="C35" s="2" t="s">
        <v>28</v>
      </c>
      <c r="D35" s="2">
        <v>81809</v>
      </c>
      <c r="E35" s="2">
        <v>5336</v>
      </c>
      <c r="F35" s="2">
        <v>76473</v>
      </c>
      <c r="G35" s="2">
        <v>1063550</v>
      </c>
      <c r="H35" s="2">
        <v>98212</v>
      </c>
      <c r="I35" s="2">
        <v>962363</v>
      </c>
      <c r="J35" s="2">
        <v>1063550</v>
      </c>
      <c r="K35" s="2" t="s">
        <v>28</v>
      </c>
    </row>
    <row r="36" spans="1:11" ht="15.5" x14ac:dyDescent="0.35">
      <c r="A36" s="2">
        <v>1974</v>
      </c>
      <c r="B36" s="2">
        <v>93497</v>
      </c>
      <c r="C36" s="2" t="s">
        <v>28</v>
      </c>
      <c r="D36" s="2">
        <v>92686</v>
      </c>
      <c r="E36" s="2">
        <v>5294</v>
      </c>
      <c r="F36" s="2">
        <v>87392</v>
      </c>
      <c r="G36" s="2">
        <v>1036973</v>
      </c>
      <c r="H36" s="2">
        <v>92506</v>
      </c>
      <c r="I36" s="2">
        <v>940333</v>
      </c>
      <c r="J36" s="2">
        <v>1036973</v>
      </c>
      <c r="K36" s="2" t="s">
        <v>28</v>
      </c>
    </row>
    <row r="37" spans="1:11" ht="15.5" x14ac:dyDescent="0.35">
      <c r="A37" s="2">
        <v>1975</v>
      </c>
      <c r="B37" s="2">
        <v>115213</v>
      </c>
      <c r="C37" s="2" t="s">
        <v>28</v>
      </c>
      <c r="D37" s="2">
        <v>115095</v>
      </c>
      <c r="E37" s="2">
        <v>6507</v>
      </c>
      <c r="F37" s="2">
        <v>108588</v>
      </c>
      <c r="G37" s="2">
        <v>1021204</v>
      </c>
      <c r="H37" s="2">
        <v>90549</v>
      </c>
      <c r="I37" s="2">
        <v>926401</v>
      </c>
      <c r="J37" s="2">
        <v>1021204</v>
      </c>
      <c r="K37" s="2" t="s">
        <v>28</v>
      </c>
    </row>
    <row r="38" spans="1:11" ht="15.5" x14ac:dyDescent="0.35">
      <c r="A38" s="2">
        <v>1976</v>
      </c>
      <c r="B38" s="2">
        <v>137325</v>
      </c>
      <c r="C38" s="2" t="s">
        <v>28</v>
      </c>
      <c r="D38" s="2">
        <v>136995</v>
      </c>
      <c r="E38" s="2">
        <v>8612</v>
      </c>
      <c r="F38" s="2">
        <v>128383</v>
      </c>
      <c r="G38" s="2">
        <v>1051973</v>
      </c>
      <c r="H38" s="2">
        <v>95949</v>
      </c>
      <c r="I38" s="2">
        <v>952526</v>
      </c>
      <c r="J38" s="2">
        <v>1051973</v>
      </c>
      <c r="K38" s="2" t="s">
        <v>28</v>
      </c>
    </row>
    <row r="39" spans="1:11" ht="15.5" x14ac:dyDescent="0.35">
      <c r="A39" s="2">
        <v>1977</v>
      </c>
      <c r="B39" s="2">
        <v>158343</v>
      </c>
      <c r="C39" s="2" t="s">
        <v>28</v>
      </c>
      <c r="D39" s="2">
        <v>159775</v>
      </c>
      <c r="E39" s="2">
        <v>10637</v>
      </c>
      <c r="F39" s="2">
        <v>149138</v>
      </c>
      <c r="G39" s="2">
        <v>1077816</v>
      </c>
      <c r="H39" s="2">
        <v>100817</v>
      </c>
      <c r="I39" s="2">
        <v>974468</v>
      </c>
      <c r="J39" s="2">
        <v>1077816</v>
      </c>
      <c r="K39" s="2" t="s">
        <v>28</v>
      </c>
    </row>
    <row r="40" spans="1:11" ht="15.5" x14ac:dyDescent="0.35">
      <c r="A40" s="2">
        <v>1978</v>
      </c>
      <c r="B40" s="2">
        <v>185045</v>
      </c>
      <c r="C40" s="2" t="s">
        <v>28</v>
      </c>
      <c r="D40" s="2">
        <v>186141</v>
      </c>
      <c r="E40" s="2">
        <v>11769</v>
      </c>
      <c r="F40" s="2">
        <v>174372</v>
      </c>
      <c r="G40" s="2">
        <v>1122953</v>
      </c>
      <c r="H40" s="2">
        <v>111613</v>
      </c>
      <c r="I40" s="2">
        <v>1010716</v>
      </c>
      <c r="J40" s="2">
        <v>1122953</v>
      </c>
      <c r="K40" s="2" t="s">
        <v>28</v>
      </c>
    </row>
    <row r="41" spans="1:11" ht="15.5" x14ac:dyDescent="0.35">
      <c r="A41" s="2">
        <v>1979</v>
      </c>
      <c r="B41" s="2">
        <v>218877</v>
      </c>
      <c r="C41" s="2" t="s">
        <v>28</v>
      </c>
      <c r="D41" s="2">
        <v>220966</v>
      </c>
      <c r="E41" s="2">
        <v>15423</v>
      </c>
      <c r="F41" s="2">
        <v>205543</v>
      </c>
      <c r="G41" s="2">
        <v>1164860</v>
      </c>
      <c r="H41" s="2">
        <v>122709</v>
      </c>
      <c r="I41" s="2">
        <v>1044268</v>
      </c>
      <c r="J41" s="2">
        <v>1164860</v>
      </c>
      <c r="K41" s="2" t="s">
        <v>28</v>
      </c>
    </row>
    <row r="42" spans="1:11" ht="15.5" x14ac:dyDescent="0.35">
      <c r="A42" s="2">
        <v>1980</v>
      </c>
      <c r="B42" s="2">
        <v>256252</v>
      </c>
      <c r="C42" s="2" t="s">
        <v>28</v>
      </c>
      <c r="D42" s="2">
        <v>259956</v>
      </c>
      <c r="E42" s="2">
        <v>20006</v>
      </c>
      <c r="F42" s="2">
        <v>239950</v>
      </c>
      <c r="G42" s="2">
        <v>1140989</v>
      </c>
      <c r="H42" s="2">
        <v>119765</v>
      </c>
      <c r="I42" s="2">
        <v>1023231</v>
      </c>
      <c r="J42" s="2">
        <v>1140989</v>
      </c>
      <c r="K42" s="2" t="s">
        <v>28</v>
      </c>
    </row>
    <row r="43" spans="1:11" ht="15.5" x14ac:dyDescent="0.35">
      <c r="A43" s="2">
        <v>1981</v>
      </c>
      <c r="B43" s="2">
        <v>287073</v>
      </c>
      <c r="C43" s="2" t="s">
        <v>28</v>
      </c>
      <c r="D43" s="2">
        <v>290550</v>
      </c>
      <c r="E43" s="2">
        <v>21455</v>
      </c>
      <c r="F43" s="2">
        <v>269095</v>
      </c>
      <c r="G43" s="2">
        <v>1134663</v>
      </c>
      <c r="H43" s="2">
        <v>115006</v>
      </c>
      <c r="I43" s="2">
        <v>1020442</v>
      </c>
      <c r="J43" s="2">
        <v>1134663</v>
      </c>
      <c r="K43" s="2" t="s">
        <v>28</v>
      </c>
    </row>
    <row r="44" spans="1:11" ht="15.5" x14ac:dyDescent="0.35">
      <c r="A44" s="2">
        <v>1982</v>
      </c>
      <c r="B44" s="2">
        <v>315490</v>
      </c>
      <c r="C44" s="2" t="s">
        <v>28</v>
      </c>
      <c r="D44" s="2">
        <v>320013</v>
      </c>
      <c r="E44" s="2">
        <v>26006</v>
      </c>
      <c r="F44" s="2">
        <v>294007</v>
      </c>
      <c r="G44" s="2">
        <v>1157191</v>
      </c>
      <c r="H44" s="2">
        <v>113371</v>
      </c>
      <c r="I44" s="2">
        <v>1043582</v>
      </c>
      <c r="J44" s="2">
        <v>1157191</v>
      </c>
      <c r="K44" s="2" t="s">
        <v>28</v>
      </c>
    </row>
    <row r="45" spans="1:11" ht="15.5" x14ac:dyDescent="0.35">
      <c r="A45" s="2">
        <v>1983</v>
      </c>
      <c r="B45" s="2">
        <v>348832</v>
      </c>
      <c r="C45" s="2" t="s">
        <v>28</v>
      </c>
      <c r="D45" s="2">
        <v>351900</v>
      </c>
      <c r="E45" s="2">
        <v>28060</v>
      </c>
      <c r="F45" s="2">
        <v>323840</v>
      </c>
      <c r="G45" s="2">
        <v>1205632</v>
      </c>
      <c r="H45" s="2">
        <v>118572</v>
      </c>
      <c r="I45" s="2">
        <v>1086905</v>
      </c>
      <c r="J45" s="2">
        <v>1205632</v>
      </c>
      <c r="K45" s="2" t="s">
        <v>28</v>
      </c>
    </row>
    <row r="46" spans="1:11" ht="15.5" x14ac:dyDescent="0.35">
      <c r="A46" s="2">
        <v>1984</v>
      </c>
      <c r="B46" s="2">
        <v>376271</v>
      </c>
      <c r="C46" s="2" t="s">
        <v>28</v>
      </c>
      <c r="D46" s="2">
        <v>378608</v>
      </c>
      <c r="E46" s="2">
        <v>31331</v>
      </c>
      <c r="F46" s="2">
        <v>347277</v>
      </c>
      <c r="G46" s="2">
        <v>1232675</v>
      </c>
      <c r="H46" s="2">
        <v>125573</v>
      </c>
      <c r="I46" s="2">
        <v>1107830</v>
      </c>
      <c r="J46" s="2">
        <v>1232675</v>
      </c>
      <c r="K46" s="2" t="s">
        <v>28</v>
      </c>
    </row>
    <row r="47" spans="1:11" ht="15.5" x14ac:dyDescent="0.35">
      <c r="A47" s="2">
        <v>1985</v>
      </c>
      <c r="B47" s="2">
        <v>410236</v>
      </c>
      <c r="C47" s="2" t="s">
        <v>28</v>
      </c>
      <c r="D47" s="2">
        <v>415455</v>
      </c>
      <c r="E47" s="2">
        <v>34489</v>
      </c>
      <c r="F47" s="2">
        <v>380966</v>
      </c>
      <c r="G47" s="2">
        <v>1283200</v>
      </c>
      <c r="H47" s="2">
        <v>127822</v>
      </c>
      <c r="I47" s="2">
        <v>1155519</v>
      </c>
      <c r="J47" s="2">
        <v>1283200</v>
      </c>
      <c r="K47" s="2" t="s">
        <v>28</v>
      </c>
    </row>
    <row r="48" spans="1:11" ht="15.5" x14ac:dyDescent="0.35">
      <c r="A48" s="2">
        <v>1986</v>
      </c>
      <c r="B48" s="2">
        <v>444348</v>
      </c>
      <c r="C48" s="2" t="s">
        <v>28</v>
      </c>
      <c r="D48" s="2">
        <v>447561</v>
      </c>
      <c r="E48" s="2">
        <v>39405</v>
      </c>
      <c r="F48" s="2">
        <v>408156</v>
      </c>
      <c r="G48" s="2">
        <v>1323173</v>
      </c>
      <c r="H48" s="2">
        <v>135798</v>
      </c>
      <c r="I48" s="2">
        <v>1188269</v>
      </c>
      <c r="J48" s="2">
        <v>1323173</v>
      </c>
      <c r="K48" s="2" t="s">
        <v>28</v>
      </c>
    </row>
    <row r="49" spans="1:11" ht="15.5" x14ac:dyDescent="0.35">
      <c r="A49" s="2">
        <v>1987</v>
      </c>
      <c r="B49" s="2">
        <v>496650</v>
      </c>
      <c r="C49" s="2" t="s">
        <v>28</v>
      </c>
      <c r="D49" s="2">
        <v>498040</v>
      </c>
      <c r="E49" s="2">
        <v>43917</v>
      </c>
      <c r="F49" s="2">
        <v>454123</v>
      </c>
      <c r="G49" s="2">
        <v>1395353</v>
      </c>
      <c r="H49" s="2">
        <v>144189</v>
      </c>
      <c r="I49" s="2">
        <v>1252258</v>
      </c>
      <c r="J49" s="2">
        <v>1395353</v>
      </c>
      <c r="K49" s="2" t="s">
        <v>28</v>
      </c>
    </row>
    <row r="50" spans="1:11" ht="15.5" x14ac:dyDescent="0.35">
      <c r="A50" s="2">
        <v>1988</v>
      </c>
      <c r="B50" s="2">
        <v>555462</v>
      </c>
      <c r="C50" s="2" t="s">
        <v>28</v>
      </c>
      <c r="D50" s="2">
        <v>557277</v>
      </c>
      <c r="E50" s="2">
        <v>49199</v>
      </c>
      <c r="F50" s="2">
        <v>508078</v>
      </c>
      <c r="G50" s="2">
        <v>1471002</v>
      </c>
      <c r="H50" s="2">
        <v>153973</v>
      </c>
      <c r="I50" s="2">
        <v>1318498</v>
      </c>
      <c r="J50" s="2">
        <v>1471002</v>
      </c>
      <c r="K50" s="2" t="s">
        <v>28</v>
      </c>
    </row>
    <row r="51" spans="1:11" ht="15.5" x14ac:dyDescent="0.35">
      <c r="A51" s="2">
        <v>1989</v>
      </c>
      <c r="B51" s="2">
        <v>613377</v>
      </c>
      <c r="C51" s="2" t="s">
        <v>28</v>
      </c>
      <c r="D51" s="2">
        <v>616595</v>
      </c>
      <c r="E51" s="2">
        <v>52646</v>
      </c>
      <c r="F51" s="2">
        <v>563949</v>
      </c>
      <c r="G51" s="2">
        <v>1506644</v>
      </c>
      <c r="H51" s="2">
        <v>156702</v>
      </c>
      <c r="I51" s="2">
        <v>1351275</v>
      </c>
      <c r="J51" s="2">
        <v>1506644</v>
      </c>
      <c r="K51" s="2" t="s">
        <v>28</v>
      </c>
    </row>
    <row r="52" spans="1:11" ht="15.5" x14ac:dyDescent="0.35">
      <c r="A52" s="2">
        <v>1990</v>
      </c>
      <c r="B52" s="2">
        <v>667749</v>
      </c>
      <c r="C52" s="2" t="s">
        <v>28</v>
      </c>
      <c r="D52" s="2">
        <v>672977</v>
      </c>
      <c r="E52" s="2">
        <v>55862</v>
      </c>
      <c r="F52" s="2">
        <v>617115</v>
      </c>
      <c r="G52" s="2">
        <v>1515202</v>
      </c>
      <c r="H52" s="2">
        <v>153859</v>
      </c>
      <c r="I52" s="2">
        <v>1361956</v>
      </c>
      <c r="J52" s="2">
        <v>1515202</v>
      </c>
      <c r="K52" s="2" t="s">
        <v>28</v>
      </c>
    </row>
    <row r="53" spans="1:11" ht="15.5" x14ac:dyDescent="0.35">
      <c r="A53" s="2">
        <v>1991</v>
      </c>
      <c r="B53" s="2">
        <v>702064</v>
      </c>
      <c r="C53" s="2" t="s">
        <v>28</v>
      </c>
      <c r="D53" s="2">
        <v>708072</v>
      </c>
      <c r="E53" s="2">
        <v>62272</v>
      </c>
      <c r="F53" s="2">
        <v>645800</v>
      </c>
      <c r="G53" s="2">
        <v>1493903</v>
      </c>
      <c r="H53" s="2">
        <v>145486</v>
      </c>
      <c r="I53" s="2">
        <v>1347787</v>
      </c>
      <c r="J53" s="2">
        <v>1493903</v>
      </c>
      <c r="K53" s="2" t="s">
        <v>28</v>
      </c>
    </row>
    <row r="54" spans="1:11" ht="15.5" x14ac:dyDescent="0.35">
      <c r="A54" s="2">
        <v>1992</v>
      </c>
      <c r="B54" s="2">
        <v>731988</v>
      </c>
      <c r="C54" s="2" t="s">
        <v>28</v>
      </c>
      <c r="D54" s="2">
        <v>733221</v>
      </c>
      <c r="E54" s="2">
        <v>64479</v>
      </c>
      <c r="F54" s="2">
        <v>668742</v>
      </c>
      <c r="G54" s="2">
        <v>1498023</v>
      </c>
      <c r="H54" s="2">
        <v>143748</v>
      </c>
      <c r="I54" s="2">
        <v>1353416</v>
      </c>
      <c r="J54" s="2">
        <v>1498023</v>
      </c>
      <c r="K54" s="2" t="s">
        <v>28</v>
      </c>
    </row>
    <row r="55" spans="1:11" ht="15.5" x14ac:dyDescent="0.35">
      <c r="A55" s="2">
        <v>1993</v>
      </c>
      <c r="B55" s="2">
        <v>769898</v>
      </c>
      <c r="C55" s="2" t="s">
        <v>28</v>
      </c>
      <c r="D55" s="2">
        <v>772390</v>
      </c>
      <c r="E55" s="2">
        <v>66922</v>
      </c>
      <c r="F55" s="2">
        <v>705468</v>
      </c>
      <c r="G55" s="2">
        <v>1532082</v>
      </c>
      <c r="H55" s="2">
        <v>146609</v>
      </c>
      <c r="I55" s="2">
        <v>1384557</v>
      </c>
      <c r="J55" s="2">
        <v>1532082</v>
      </c>
      <c r="K55" s="2" t="s">
        <v>28</v>
      </c>
    </row>
    <row r="56" spans="1:11" ht="15.5" x14ac:dyDescent="0.35">
      <c r="A56" s="2">
        <v>1994</v>
      </c>
      <c r="B56" s="2">
        <v>815040</v>
      </c>
      <c r="C56" s="2" t="s">
        <v>28</v>
      </c>
      <c r="D56" s="2">
        <v>813527</v>
      </c>
      <c r="E56" s="2">
        <v>72645</v>
      </c>
      <c r="F56" s="2">
        <v>740882</v>
      </c>
      <c r="G56" s="2">
        <v>1584459</v>
      </c>
      <c r="H56" s="2">
        <v>156018</v>
      </c>
      <c r="I56" s="2">
        <v>1427951</v>
      </c>
      <c r="J56" s="2">
        <v>1584459</v>
      </c>
      <c r="K56" s="2" t="s">
        <v>28</v>
      </c>
    </row>
    <row r="57" spans="1:11" ht="15.5" x14ac:dyDescent="0.35">
      <c r="A57" s="2">
        <v>1995</v>
      </c>
      <c r="B57" s="2">
        <v>854108</v>
      </c>
      <c r="C57" s="2" t="s">
        <v>28</v>
      </c>
      <c r="D57" s="2">
        <v>854921</v>
      </c>
      <c r="E57" s="2">
        <v>79331</v>
      </c>
      <c r="F57" s="2">
        <v>775590</v>
      </c>
      <c r="G57" s="2">
        <v>1622576</v>
      </c>
      <c r="H57" s="2">
        <v>161456</v>
      </c>
      <c r="I57" s="2">
        <v>1460792</v>
      </c>
      <c r="J57" s="2">
        <v>1622576</v>
      </c>
      <c r="K57" s="2" t="s">
        <v>28</v>
      </c>
    </row>
    <row r="58" spans="1:11" ht="15.5" x14ac:dyDescent="0.35">
      <c r="A58" s="2">
        <v>1996</v>
      </c>
      <c r="B58" s="2">
        <v>912967</v>
      </c>
      <c r="C58" s="2" t="s">
        <v>28</v>
      </c>
      <c r="D58" s="2">
        <v>913609</v>
      </c>
      <c r="E58" s="2">
        <v>83316</v>
      </c>
      <c r="F58" s="2">
        <v>830293</v>
      </c>
      <c r="G58" s="2">
        <v>1665005</v>
      </c>
      <c r="H58" s="2">
        <v>161059</v>
      </c>
      <c r="I58" s="2">
        <v>1503264</v>
      </c>
      <c r="J58" s="2">
        <v>1665005</v>
      </c>
      <c r="K58" s="2" t="s">
        <v>28</v>
      </c>
    </row>
    <row r="59" spans="1:11" ht="15.5" x14ac:dyDescent="0.35">
      <c r="A59" s="2">
        <v>1997</v>
      </c>
      <c r="B59" s="2">
        <v>957920</v>
      </c>
      <c r="C59" s="2">
        <v>-619</v>
      </c>
      <c r="D59" s="2">
        <v>958539</v>
      </c>
      <c r="E59" s="2">
        <v>91510</v>
      </c>
      <c r="F59" s="2">
        <v>867029</v>
      </c>
      <c r="G59" s="2">
        <v>1746257</v>
      </c>
      <c r="H59" s="2">
        <v>180523</v>
      </c>
      <c r="I59" s="2">
        <v>1565755</v>
      </c>
      <c r="J59" s="2">
        <v>1746257</v>
      </c>
      <c r="K59" s="2">
        <v>1499012</v>
      </c>
    </row>
    <row r="60" spans="1:11" ht="15.5" x14ac:dyDescent="0.35">
      <c r="A60" s="2">
        <v>1998</v>
      </c>
      <c r="B60" s="2">
        <v>1013611</v>
      </c>
      <c r="C60" s="2">
        <v>10807</v>
      </c>
      <c r="D60" s="2">
        <v>1002804</v>
      </c>
      <c r="E60" s="2">
        <v>98710</v>
      </c>
      <c r="F60" s="2">
        <v>904094</v>
      </c>
      <c r="G60" s="2">
        <v>1802946</v>
      </c>
      <c r="H60" s="2">
        <v>185366</v>
      </c>
      <c r="I60" s="2">
        <v>1617515</v>
      </c>
      <c r="J60" s="2">
        <v>1802946</v>
      </c>
      <c r="K60" s="2">
        <v>1548754</v>
      </c>
    </row>
    <row r="61" spans="1:11" ht="15.5" x14ac:dyDescent="0.35">
      <c r="A61" s="2">
        <v>1999</v>
      </c>
      <c r="B61" s="2">
        <v>1043174</v>
      </c>
      <c r="C61" s="2">
        <v>-3556</v>
      </c>
      <c r="D61" s="2">
        <v>1046727</v>
      </c>
      <c r="E61" s="2">
        <v>107063</v>
      </c>
      <c r="F61" s="2">
        <v>939664</v>
      </c>
      <c r="G61" s="2">
        <v>1856033</v>
      </c>
      <c r="H61" s="2">
        <v>189603</v>
      </c>
      <c r="I61" s="2">
        <v>1666306</v>
      </c>
      <c r="J61" s="2">
        <v>1856033</v>
      </c>
      <c r="K61" s="2">
        <v>1595763</v>
      </c>
    </row>
    <row r="62" spans="1:11" ht="15.5" x14ac:dyDescent="0.35">
      <c r="A62" s="2">
        <v>2000</v>
      </c>
      <c r="B62" s="2">
        <v>1107797</v>
      </c>
      <c r="C62" s="2">
        <v>3038</v>
      </c>
      <c r="D62" s="2">
        <v>1104759</v>
      </c>
      <c r="E62" s="2">
        <v>113237</v>
      </c>
      <c r="F62" s="2">
        <v>991522</v>
      </c>
      <c r="G62" s="2">
        <v>1940007</v>
      </c>
      <c r="H62" s="2">
        <v>197096</v>
      </c>
      <c r="I62" s="2">
        <v>1742783</v>
      </c>
      <c r="J62" s="2">
        <v>1940007</v>
      </c>
      <c r="K62" s="2">
        <v>1671783</v>
      </c>
    </row>
    <row r="63" spans="1:11" ht="15.5" x14ac:dyDescent="0.35">
      <c r="A63" s="2">
        <v>2001</v>
      </c>
      <c r="B63" s="2">
        <v>1156730</v>
      </c>
      <c r="C63" s="2">
        <v>6191</v>
      </c>
      <c r="D63" s="2">
        <v>1150542</v>
      </c>
      <c r="E63" s="2">
        <v>115018</v>
      </c>
      <c r="F63" s="2">
        <v>1035524</v>
      </c>
      <c r="G63" s="2">
        <v>1986393</v>
      </c>
      <c r="H63" s="2">
        <v>201320</v>
      </c>
      <c r="I63" s="2">
        <v>1784946</v>
      </c>
      <c r="J63" s="2">
        <v>1986393</v>
      </c>
      <c r="K63" s="2">
        <v>1715551</v>
      </c>
    </row>
    <row r="64" spans="1:11" ht="15.5" x14ac:dyDescent="0.35">
      <c r="A64" s="2">
        <v>2002</v>
      </c>
      <c r="B64" s="2">
        <v>1208435</v>
      </c>
      <c r="C64" s="2">
        <v>13788</v>
      </c>
      <c r="D64" s="2">
        <v>1194646</v>
      </c>
      <c r="E64" s="2">
        <v>119282</v>
      </c>
      <c r="F64" s="2">
        <v>1075364</v>
      </c>
      <c r="G64" s="2">
        <v>2020341</v>
      </c>
      <c r="H64" s="2">
        <v>208136</v>
      </c>
      <c r="I64" s="2">
        <v>1812127</v>
      </c>
      <c r="J64" s="2">
        <v>2020341</v>
      </c>
      <c r="K64" s="2">
        <v>1743698</v>
      </c>
    </row>
    <row r="65" spans="1:11" ht="15.5" x14ac:dyDescent="0.35">
      <c r="A65" s="2">
        <v>2003</v>
      </c>
      <c r="B65" s="2">
        <v>1276902</v>
      </c>
      <c r="C65" s="2">
        <v>14396</v>
      </c>
      <c r="D65" s="2">
        <v>1262502</v>
      </c>
      <c r="E65" s="2">
        <v>125442</v>
      </c>
      <c r="F65" s="2">
        <v>1137060</v>
      </c>
      <c r="G65" s="2">
        <v>2085366</v>
      </c>
      <c r="H65" s="2">
        <v>215723</v>
      </c>
      <c r="I65" s="2">
        <v>1869594</v>
      </c>
      <c r="J65" s="2">
        <v>2085366</v>
      </c>
      <c r="K65" s="2">
        <v>1801377</v>
      </c>
    </row>
    <row r="66" spans="1:11" ht="15.5" x14ac:dyDescent="0.35">
      <c r="A66" s="2">
        <v>2004</v>
      </c>
      <c r="B66" s="2">
        <v>1338028</v>
      </c>
      <c r="C66" s="2">
        <v>10885</v>
      </c>
      <c r="D66" s="2">
        <v>1327143</v>
      </c>
      <c r="E66" s="2">
        <v>133224</v>
      </c>
      <c r="F66" s="2">
        <v>1193919</v>
      </c>
      <c r="G66" s="2">
        <v>2133872</v>
      </c>
      <c r="H66" s="2">
        <v>225408</v>
      </c>
      <c r="I66" s="2">
        <v>1908618</v>
      </c>
      <c r="J66" s="2">
        <v>2133872</v>
      </c>
      <c r="K66" s="2">
        <v>1841379</v>
      </c>
    </row>
    <row r="67" spans="1:11" ht="15.5" x14ac:dyDescent="0.35">
      <c r="A67" s="2">
        <v>2005</v>
      </c>
      <c r="B67" s="2">
        <v>1417765</v>
      </c>
      <c r="C67" s="2">
        <v>14515</v>
      </c>
      <c r="D67" s="2">
        <v>1403249</v>
      </c>
      <c r="E67" s="2">
        <v>138843</v>
      </c>
      <c r="F67" s="2">
        <v>1264406</v>
      </c>
      <c r="G67" s="2">
        <v>2193421</v>
      </c>
      <c r="H67" s="2">
        <v>226520</v>
      </c>
      <c r="I67" s="2">
        <v>1966774</v>
      </c>
      <c r="J67" s="2">
        <v>2193421</v>
      </c>
      <c r="K67" s="2">
        <v>1901664</v>
      </c>
    </row>
    <row r="68" spans="1:11" ht="15.5" x14ac:dyDescent="0.35">
      <c r="A68" s="2">
        <v>2006</v>
      </c>
      <c r="B68" s="2">
        <v>1472303</v>
      </c>
      <c r="C68" s="2">
        <v>-5780</v>
      </c>
      <c r="D68" s="2">
        <v>1478080</v>
      </c>
      <c r="E68" s="2">
        <v>146111</v>
      </c>
      <c r="F68" s="2">
        <v>1331969</v>
      </c>
      <c r="G68" s="2">
        <v>2241453</v>
      </c>
      <c r="H68" s="2">
        <v>228207</v>
      </c>
      <c r="I68" s="2">
        <v>2012964</v>
      </c>
      <c r="J68" s="2">
        <v>2241453</v>
      </c>
      <c r="K68" s="2">
        <v>1952689</v>
      </c>
    </row>
    <row r="69" spans="1:11" ht="15.5" x14ac:dyDescent="0.35">
      <c r="A69" s="2">
        <v>2007</v>
      </c>
      <c r="B69" s="2">
        <v>1537626</v>
      </c>
      <c r="C69" s="2">
        <v>-14105</v>
      </c>
      <c r="D69" s="2">
        <v>1551729</v>
      </c>
      <c r="E69" s="2">
        <v>154479</v>
      </c>
      <c r="F69" s="2">
        <v>1397250</v>
      </c>
      <c r="G69" s="2">
        <v>2307148</v>
      </c>
      <c r="H69" s="2">
        <v>234884</v>
      </c>
      <c r="I69" s="2">
        <v>2071973</v>
      </c>
      <c r="J69" s="2">
        <v>2307148</v>
      </c>
      <c r="K69" s="2">
        <v>2013717</v>
      </c>
    </row>
    <row r="70" spans="1:11" ht="15.5" x14ac:dyDescent="0.35">
      <c r="A70" s="2">
        <v>2008</v>
      </c>
      <c r="B70" s="2">
        <v>1581186</v>
      </c>
      <c r="C70" s="2">
        <v>-21031</v>
      </c>
      <c r="D70" s="2">
        <v>1602217</v>
      </c>
      <c r="E70" s="2">
        <v>151577</v>
      </c>
      <c r="F70" s="2">
        <v>1450640</v>
      </c>
      <c r="G70" s="2">
        <v>2306008</v>
      </c>
      <c r="H70" s="2">
        <v>229852</v>
      </c>
      <c r="I70" s="2">
        <v>2075743</v>
      </c>
      <c r="J70" s="2">
        <v>2306008</v>
      </c>
      <c r="K70" s="2">
        <v>2020533</v>
      </c>
    </row>
    <row r="71" spans="1:11" ht="15.5" x14ac:dyDescent="0.35">
      <c r="A71" s="2">
        <v>2009</v>
      </c>
      <c r="B71" s="2">
        <v>1546393</v>
      </c>
      <c r="C71" s="2">
        <v>-13012</v>
      </c>
      <c r="D71" s="2">
        <v>1559405</v>
      </c>
      <c r="E71" s="2">
        <v>138624</v>
      </c>
      <c r="F71" s="2">
        <v>1420781</v>
      </c>
      <c r="G71" s="2">
        <v>2200222</v>
      </c>
      <c r="H71" s="2">
        <v>218296</v>
      </c>
      <c r="I71" s="2">
        <v>1981475</v>
      </c>
      <c r="J71" s="2">
        <v>2200222</v>
      </c>
      <c r="K71" s="2">
        <v>1930174</v>
      </c>
    </row>
    <row r="72" spans="1:11" ht="15.5" x14ac:dyDescent="0.35">
      <c r="A72" s="2">
        <v>2010</v>
      </c>
      <c r="B72" s="2">
        <v>1616546</v>
      </c>
      <c r="C72" s="2">
        <v>707</v>
      </c>
      <c r="D72" s="2">
        <v>1615839</v>
      </c>
      <c r="E72" s="2">
        <v>159570</v>
      </c>
      <c r="F72" s="2">
        <v>1456269</v>
      </c>
      <c r="G72" s="2">
        <v>2249959</v>
      </c>
      <c r="H72" s="2">
        <v>219713</v>
      </c>
      <c r="I72" s="2">
        <v>2029383</v>
      </c>
      <c r="J72" s="2">
        <v>2249959</v>
      </c>
      <c r="K72" s="2">
        <v>1980708</v>
      </c>
    </row>
    <row r="73" spans="1:11" ht="15.5" x14ac:dyDescent="0.35">
      <c r="A73" s="2">
        <v>2011</v>
      </c>
      <c r="B73" s="2">
        <v>1676890</v>
      </c>
      <c r="C73" s="2">
        <v>6941</v>
      </c>
      <c r="D73" s="2">
        <v>1669945</v>
      </c>
      <c r="E73" s="2">
        <v>178297</v>
      </c>
      <c r="F73" s="2">
        <v>1491648</v>
      </c>
      <c r="G73" s="2">
        <v>2269116</v>
      </c>
      <c r="H73" s="2">
        <v>220883</v>
      </c>
      <c r="I73" s="2">
        <v>2047371</v>
      </c>
      <c r="J73" s="2">
        <v>2269116</v>
      </c>
      <c r="K73" s="2">
        <v>2007666</v>
      </c>
    </row>
    <row r="74" spans="1:11" ht="15.5" x14ac:dyDescent="0.35">
      <c r="A74" s="2">
        <v>2012</v>
      </c>
      <c r="B74" s="2">
        <v>1705748</v>
      </c>
      <c r="C74" s="2">
        <v>-15960</v>
      </c>
      <c r="D74" s="2">
        <v>1721708</v>
      </c>
      <c r="E74" s="2">
        <v>182114</v>
      </c>
      <c r="F74" s="2">
        <v>1539594</v>
      </c>
      <c r="G74" s="2">
        <v>2303794</v>
      </c>
      <c r="H74" s="2">
        <v>220804</v>
      </c>
      <c r="I74" s="2">
        <v>2082487</v>
      </c>
      <c r="J74" s="2">
        <v>2303794</v>
      </c>
      <c r="K74" s="2">
        <v>2049074</v>
      </c>
    </row>
    <row r="75" spans="1:11" ht="15.5" x14ac:dyDescent="0.35">
      <c r="A75" s="2">
        <v>2013</v>
      </c>
      <c r="B75" s="2">
        <v>1757503</v>
      </c>
      <c r="C75" s="2">
        <v>-31569</v>
      </c>
      <c r="D75" s="2">
        <v>1789072</v>
      </c>
      <c r="E75" s="2">
        <v>191528</v>
      </c>
      <c r="F75" s="2">
        <v>1597544</v>
      </c>
      <c r="G75" s="2">
        <v>2343384</v>
      </c>
      <c r="H75" s="2">
        <v>225935</v>
      </c>
      <c r="I75" s="2">
        <v>2116783</v>
      </c>
      <c r="J75" s="2">
        <v>2343384</v>
      </c>
      <c r="K75" s="2">
        <v>2087782</v>
      </c>
    </row>
    <row r="76" spans="1:11" ht="15.5" x14ac:dyDescent="0.35">
      <c r="A76" s="2">
        <v>2014</v>
      </c>
      <c r="B76" s="2">
        <v>1841794</v>
      </c>
      <c r="C76" s="2">
        <v>-33272</v>
      </c>
      <c r="D76" s="2">
        <v>1875066</v>
      </c>
      <c r="E76" s="2">
        <v>201767</v>
      </c>
      <c r="F76" s="2">
        <v>1673299</v>
      </c>
      <c r="G76" s="2">
        <v>2417439</v>
      </c>
      <c r="H76" s="2">
        <v>231673</v>
      </c>
      <c r="I76" s="2">
        <v>2185252</v>
      </c>
      <c r="J76" s="2">
        <v>2417439</v>
      </c>
      <c r="K76" s="2">
        <v>2155831</v>
      </c>
    </row>
    <row r="77" spans="1:11" ht="15.5" x14ac:dyDescent="0.35">
      <c r="A77" s="2">
        <v>2015</v>
      </c>
      <c r="B77" s="2">
        <v>1886247</v>
      </c>
      <c r="C77" s="2">
        <v>-41769</v>
      </c>
      <c r="D77" s="2">
        <v>1928016</v>
      </c>
      <c r="E77" s="2">
        <v>207425</v>
      </c>
      <c r="F77" s="2">
        <v>1720591</v>
      </c>
      <c r="G77" s="2">
        <v>2469182</v>
      </c>
      <c r="H77" s="2">
        <v>241486</v>
      </c>
      <c r="I77" s="2">
        <v>2226505</v>
      </c>
      <c r="J77" s="2">
        <v>2469182</v>
      </c>
      <c r="K77" s="2">
        <v>2195071</v>
      </c>
    </row>
    <row r="78" spans="1:11" ht="15.5" x14ac:dyDescent="0.35">
      <c r="A78" s="2">
        <v>2016</v>
      </c>
      <c r="B78" s="2">
        <v>1958022</v>
      </c>
      <c r="C78" s="2">
        <v>-46733</v>
      </c>
      <c r="D78" s="2">
        <v>2004755</v>
      </c>
      <c r="E78" s="2">
        <v>217012</v>
      </c>
      <c r="F78" s="2">
        <v>1787743</v>
      </c>
      <c r="G78" s="2">
        <v>2523665</v>
      </c>
      <c r="H78" s="2">
        <v>243595</v>
      </c>
      <c r="I78" s="2">
        <v>2279211</v>
      </c>
      <c r="J78" s="2">
        <v>2523665</v>
      </c>
      <c r="K78" s="2">
        <v>2244316</v>
      </c>
    </row>
    <row r="79" spans="1:11" ht="15.5" x14ac:dyDescent="0.35">
      <c r="A79" s="2">
        <v>2017</v>
      </c>
      <c r="B79" s="2">
        <v>2074819</v>
      </c>
      <c r="C79" s="2">
        <v>-22403</v>
      </c>
      <c r="D79" s="2">
        <v>2097222</v>
      </c>
      <c r="E79" s="2">
        <v>225717</v>
      </c>
      <c r="F79" s="2">
        <v>1871505</v>
      </c>
      <c r="G79" s="2">
        <v>2599961</v>
      </c>
      <c r="H79" s="2">
        <v>248677</v>
      </c>
      <c r="I79" s="2">
        <v>2350709</v>
      </c>
      <c r="J79" s="2">
        <v>2599961</v>
      </c>
      <c r="K79" s="2">
        <v>2315596</v>
      </c>
    </row>
    <row r="80" spans="1:11" ht="15.5" x14ac:dyDescent="0.35">
      <c r="A80" s="2">
        <v>2018</v>
      </c>
      <c r="B80" s="2">
        <v>2142305</v>
      </c>
      <c r="C80" s="2">
        <v>-29254</v>
      </c>
      <c r="D80" s="2">
        <v>2171559</v>
      </c>
      <c r="E80" s="2">
        <v>232013</v>
      </c>
      <c r="F80" s="2">
        <v>1939546</v>
      </c>
      <c r="G80" s="2">
        <v>2640295</v>
      </c>
      <c r="H80" s="2">
        <v>254080</v>
      </c>
      <c r="I80" s="2">
        <v>2385415</v>
      </c>
      <c r="J80" s="2">
        <v>2640295</v>
      </c>
      <c r="K80" s="2">
        <v>2348685</v>
      </c>
    </row>
    <row r="81" spans="1:11" ht="15.5" x14ac:dyDescent="0.35">
      <c r="A81" s="2">
        <v>2019</v>
      </c>
      <c r="B81" s="2">
        <v>2250702</v>
      </c>
      <c r="C81" s="2">
        <v>-2259</v>
      </c>
      <c r="D81" s="2">
        <v>2252961</v>
      </c>
      <c r="E81" s="2">
        <v>238214</v>
      </c>
      <c r="F81" s="2">
        <v>2014747</v>
      </c>
      <c r="G81" s="2">
        <v>2673465</v>
      </c>
      <c r="H81" s="2">
        <v>255131</v>
      </c>
      <c r="I81" s="2">
        <v>2417787</v>
      </c>
      <c r="J81" s="2">
        <v>2673465</v>
      </c>
      <c r="K81" s="2">
        <v>2381147</v>
      </c>
    </row>
    <row r="82" spans="1:11" ht="15.5" x14ac:dyDescent="0.35">
      <c r="A82" s="2">
        <v>2020</v>
      </c>
      <c r="B82" s="2">
        <v>2079747</v>
      </c>
      <c r="C82" s="2">
        <v>-44966</v>
      </c>
      <c r="D82" s="2">
        <v>2124720</v>
      </c>
      <c r="E82" s="2">
        <v>206329</v>
      </c>
      <c r="F82" s="2">
        <v>1918391</v>
      </c>
      <c r="G82" s="2">
        <v>2404838</v>
      </c>
      <c r="H82" s="2">
        <v>219177</v>
      </c>
      <c r="I82" s="2">
        <v>2186412</v>
      </c>
      <c r="J82" s="2">
        <v>2404838</v>
      </c>
      <c r="K82" s="2">
        <v>2151234</v>
      </c>
    </row>
    <row r="83" spans="1:11" ht="15.5" x14ac:dyDescent="0.35">
      <c r="A83" s="2">
        <v>2021</v>
      </c>
      <c r="B83" s="2">
        <v>2322788</v>
      </c>
      <c r="C83" s="2">
        <v>136</v>
      </c>
      <c r="D83" s="2">
        <v>2322652</v>
      </c>
      <c r="E83" s="2">
        <v>236395</v>
      </c>
      <c r="F83" s="2">
        <v>2086257</v>
      </c>
      <c r="G83" s="2">
        <v>2610286</v>
      </c>
      <c r="H83" s="2">
        <v>235838</v>
      </c>
      <c r="I83" s="2">
        <v>2375414</v>
      </c>
      <c r="J83" s="2">
        <v>2610286</v>
      </c>
      <c r="K83" s="2">
        <v>2341055</v>
      </c>
    </row>
    <row r="84" spans="1:11" ht="15.5" x14ac:dyDescent="0.35">
      <c r="A84" s="2">
        <v>2022</v>
      </c>
      <c r="B84" s="2">
        <v>2582315</v>
      </c>
      <c r="C84" s="2">
        <v>1366</v>
      </c>
      <c r="D84" s="2">
        <v>2580949</v>
      </c>
      <c r="E84" s="2">
        <v>258492</v>
      </c>
      <c r="F84" s="2">
        <v>2322457</v>
      </c>
      <c r="G84" s="2">
        <v>2744708</v>
      </c>
      <c r="H84" s="2">
        <v>256560</v>
      </c>
      <c r="I84" s="2">
        <v>2487952</v>
      </c>
      <c r="J84" s="2">
        <v>2744708</v>
      </c>
      <c r="K84" s="2">
        <v>2451911</v>
      </c>
    </row>
    <row r="85" spans="1:11" ht="15.5" x14ac:dyDescent="0.35">
      <c r="A85" s="2">
        <v>2023</v>
      </c>
      <c r="B85" s="2">
        <v>2706216</v>
      </c>
      <c r="C85" s="2">
        <v>-45948</v>
      </c>
      <c r="D85" s="2">
        <v>2752164</v>
      </c>
      <c r="E85" s="2">
        <v>254774</v>
      </c>
      <c r="F85" s="2">
        <v>2497390</v>
      </c>
      <c r="G85" s="2">
        <v>2752164</v>
      </c>
      <c r="H85" s="2">
        <v>254774</v>
      </c>
      <c r="I85" s="2">
        <v>2497390</v>
      </c>
      <c r="J85" s="2">
        <v>2752164</v>
      </c>
      <c r="K85" s="2">
        <v>2470714</v>
      </c>
    </row>
    <row r="86" spans="1:11" ht="15.5" x14ac:dyDescent="0.35">
      <c r="A86" s="2">
        <v>2024</v>
      </c>
      <c r="B86" s="2">
        <v>2844039</v>
      </c>
      <c r="C86" s="2">
        <v>-47405</v>
      </c>
      <c r="D86" s="2">
        <v>2891444</v>
      </c>
      <c r="E86" s="2">
        <v>282449</v>
      </c>
      <c r="F86" s="2">
        <v>2608995</v>
      </c>
      <c r="G86" s="2">
        <v>2781895</v>
      </c>
      <c r="H86" s="2">
        <v>255765</v>
      </c>
      <c r="I86" s="2">
        <v>2526130</v>
      </c>
      <c r="J86" s="2">
        <v>2781895</v>
      </c>
      <c r="K86" s="2">
        <v>2502557</v>
      </c>
    </row>
    <row r="87" spans="1:11" ht="15.5" x14ac:dyDescent="0.35">
      <c r="A87" s="2">
        <v>2025</v>
      </c>
      <c r="B87" s="2">
        <v>3021037</v>
      </c>
      <c r="C87" s="2">
        <v>-18824</v>
      </c>
      <c r="D87" s="2">
        <v>3039861</v>
      </c>
      <c r="E87" s="2">
        <v>297086</v>
      </c>
      <c r="F87" s="2">
        <v>2742775</v>
      </c>
      <c r="G87" s="2">
        <v>2820520</v>
      </c>
      <c r="H87" s="2">
        <v>258843</v>
      </c>
      <c r="I87" s="2">
        <v>2561677</v>
      </c>
      <c r="J87" s="2">
        <v>2820520</v>
      </c>
      <c r="K87" s="2">
        <v>2538746</v>
      </c>
    </row>
    <row r="89" spans="1:11" ht="15.5" x14ac:dyDescent="0.35">
      <c r="A89" s="3" t="s">
        <v>29</v>
      </c>
    </row>
    <row r="90" spans="1:11" ht="108.5" x14ac:dyDescent="0.35">
      <c r="A90" s="4" t="s">
        <v>6</v>
      </c>
      <c r="B90" s="4" t="s">
        <v>7</v>
      </c>
      <c r="C90" s="4" t="s">
        <v>8</v>
      </c>
      <c r="D90" s="4" t="s">
        <v>9</v>
      </c>
      <c r="E90" s="4" t="s">
        <v>10</v>
      </c>
      <c r="F90" s="4" t="s">
        <v>11</v>
      </c>
      <c r="G90" s="6" t="s">
        <v>12</v>
      </c>
      <c r="H90" s="4" t="s">
        <v>13</v>
      </c>
      <c r="I90" s="4" t="s">
        <v>14</v>
      </c>
      <c r="J90" s="6" t="s">
        <v>15</v>
      </c>
      <c r="K90" s="4" t="s">
        <v>16</v>
      </c>
    </row>
    <row r="91" spans="1:11" ht="31" x14ac:dyDescent="0.35">
      <c r="A91" s="4" t="s">
        <v>17</v>
      </c>
      <c r="B91" s="5" t="s">
        <v>18</v>
      </c>
      <c r="C91" s="5" t="s">
        <v>19</v>
      </c>
      <c r="D91" s="5" t="s">
        <v>20</v>
      </c>
      <c r="E91" s="5" t="s">
        <v>21</v>
      </c>
      <c r="F91" s="5" t="s">
        <v>22</v>
      </c>
      <c r="G91" s="5" t="s">
        <v>23</v>
      </c>
      <c r="H91" s="5" t="s">
        <v>24</v>
      </c>
      <c r="I91" s="5" t="s">
        <v>25</v>
      </c>
      <c r="J91" s="5" t="s">
        <v>26</v>
      </c>
      <c r="K91" s="5" t="s">
        <v>27</v>
      </c>
    </row>
    <row r="92" spans="1:11" ht="15.5" x14ac:dyDescent="0.35">
      <c r="A92" s="2" t="s">
        <v>30</v>
      </c>
      <c r="B92" s="2">
        <v>4694</v>
      </c>
      <c r="C92" s="2" t="s">
        <v>28</v>
      </c>
      <c r="D92" s="2">
        <v>4666</v>
      </c>
      <c r="E92" s="2">
        <v>394</v>
      </c>
      <c r="F92" s="2">
        <v>4272</v>
      </c>
      <c r="G92" s="2">
        <v>145457</v>
      </c>
      <c r="H92" s="2">
        <v>15759</v>
      </c>
      <c r="I92" s="2">
        <v>130040</v>
      </c>
      <c r="J92" s="2">
        <v>142178</v>
      </c>
      <c r="K92" s="2" t="s">
        <v>28</v>
      </c>
    </row>
    <row r="93" spans="1:11" ht="15.5" x14ac:dyDescent="0.35">
      <c r="A93" s="2" t="s">
        <v>31</v>
      </c>
      <c r="B93" s="2">
        <v>4725</v>
      </c>
      <c r="C93" s="2" t="s">
        <v>28</v>
      </c>
      <c r="D93" s="2">
        <v>4688</v>
      </c>
      <c r="E93" s="2">
        <v>417</v>
      </c>
      <c r="F93" s="2">
        <v>4271</v>
      </c>
      <c r="G93" s="2">
        <v>145551</v>
      </c>
      <c r="H93" s="2">
        <v>16295</v>
      </c>
      <c r="I93" s="2">
        <v>129812</v>
      </c>
      <c r="J93" s="2">
        <v>144515</v>
      </c>
      <c r="K93" s="2" t="s">
        <v>28</v>
      </c>
    </row>
    <row r="94" spans="1:11" ht="15.5" x14ac:dyDescent="0.35">
      <c r="A94" s="2" t="s">
        <v>32</v>
      </c>
      <c r="B94" s="2">
        <v>4911</v>
      </c>
      <c r="C94" s="2" t="s">
        <v>28</v>
      </c>
      <c r="D94" s="2">
        <v>4862</v>
      </c>
      <c r="E94" s="2">
        <v>440</v>
      </c>
      <c r="F94" s="2">
        <v>4422</v>
      </c>
      <c r="G94" s="2">
        <v>147995</v>
      </c>
      <c r="H94" s="2">
        <v>17110</v>
      </c>
      <c r="I94" s="2">
        <v>131515</v>
      </c>
      <c r="J94" s="2">
        <v>149341</v>
      </c>
      <c r="K94" s="2" t="s">
        <v>28</v>
      </c>
    </row>
    <row r="95" spans="1:11" ht="15.5" x14ac:dyDescent="0.35">
      <c r="A95" s="2" t="s">
        <v>33</v>
      </c>
      <c r="B95" s="2">
        <v>4961</v>
      </c>
      <c r="C95" s="2" t="s">
        <v>28</v>
      </c>
      <c r="D95" s="2">
        <v>4954</v>
      </c>
      <c r="E95" s="2">
        <v>427</v>
      </c>
      <c r="F95" s="2">
        <v>4527</v>
      </c>
      <c r="G95" s="2">
        <v>147119</v>
      </c>
      <c r="H95" s="2">
        <v>16560</v>
      </c>
      <c r="I95" s="2">
        <v>131054</v>
      </c>
      <c r="J95" s="2">
        <v>150088</v>
      </c>
      <c r="K95" s="2" t="s">
        <v>28</v>
      </c>
    </row>
    <row r="96" spans="1:11" ht="15.5" x14ac:dyDescent="0.35">
      <c r="A96" s="2" t="s">
        <v>34</v>
      </c>
      <c r="B96" s="2">
        <v>5110</v>
      </c>
      <c r="C96" s="2" t="s">
        <v>28</v>
      </c>
      <c r="D96" s="2">
        <v>5086</v>
      </c>
      <c r="E96" s="2">
        <v>435</v>
      </c>
      <c r="F96" s="2">
        <v>4651</v>
      </c>
      <c r="G96" s="2">
        <v>148955</v>
      </c>
      <c r="H96" s="2">
        <v>16629</v>
      </c>
      <c r="I96" s="2">
        <v>132807</v>
      </c>
      <c r="J96" s="2">
        <v>143984</v>
      </c>
      <c r="K96" s="2" t="s">
        <v>28</v>
      </c>
    </row>
    <row r="97" spans="1:11" ht="15.5" x14ac:dyDescent="0.35">
      <c r="A97" s="2" t="s">
        <v>35</v>
      </c>
      <c r="B97" s="2">
        <v>5192</v>
      </c>
      <c r="C97" s="2" t="s">
        <v>28</v>
      </c>
      <c r="D97" s="2">
        <v>5155</v>
      </c>
      <c r="E97" s="2">
        <v>447</v>
      </c>
      <c r="F97" s="2">
        <v>4708</v>
      </c>
      <c r="G97" s="2">
        <v>148835</v>
      </c>
      <c r="H97" s="2">
        <v>16021</v>
      </c>
      <c r="I97" s="2">
        <v>133157</v>
      </c>
      <c r="J97" s="2">
        <v>150105</v>
      </c>
      <c r="K97" s="2" t="s">
        <v>28</v>
      </c>
    </row>
    <row r="98" spans="1:11" ht="15.5" x14ac:dyDescent="0.35">
      <c r="A98" s="2" t="s">
        <v>36</v>
      </c>
      <c r="B98" s="2">
        <v>5287</v>
      </c>
      <c r="C98" s="2" t="s">
        <v>28</v>
      </c>
      <c r="D98" s="2">
        <v>5235</v>
      </c>
      <c r="E98" s="2">
        <v>451</v>
      </c>
      <c r="F98" s="2">
        <v>4784</v>
      </c>
      <c r="G98" s="2">
        <v>148665</v>
      </c>
      <c r="H98" s="2">
        <v>15872</v>
      </c>
      <c r="I98" s="2">
        <v>133118</v>
      </c>
      <c r="J98" s="2">
        <v>148483</v>
      </c>
      <c r="K98" s="2" t="s">
        <v>28</v>
      </c>
    </row>
    <row r="99" spans="1:11" ht="15.5" x14ac:dyDescent="0.35">
      <c r="A99" s="2" t="s">
        <v>37</v>
      </c>
      <c r="B99" s="2">
        <v>5430</v>
      </c>
      <c r="C99" s="2" t="s">
        <v>28</v>
      </c>
      <c r="D99" s="2">
        <v>5370</v>
      </c>
      <c r="E99" s="2">
        <v>456</v>
      </c>
      <c r="F99" s="2">
        <v>4914</v>
      </c>
      <c r="G99" s="2">
        <v>149607</v>
      </c>
      <c r="H99" s="2">
        <v>16458</v>
      </c>
      <c r="I99" s="2">
        <v>133574</v>
      </c>
      <c r="J99" s="2">
        <v>153490</v>
      </c>
      <c r="K99" s="2" t="s">
        <v>28</v>
      </c>
    </row>
    <row r="100" spans="1:11" ht="15.5" x14ac:dyDescent="0.35">
      <c r="A100" s="2" t="s">
        <v>38</v>
      </c>
      <c r="B100" s="2">
        <v>5404</v>
      </c>
      <c r="C100" s="2" t="s">
        <v>28</v>
      </c>
      <c r="D100" s="2">
        <v>5380</v>
      </c>
      <c r="E100" s="2">
        <v>447</v>
      </c>
      <c r="F100" s="2">
        <v>4933</v>
      </c>
      <c r="G100" s="2">
        <v>152331</v>
      </c>
      <c r="H100" s="2">
        <v>16308</v>
      </c>
      <c r="I100" s="2">
        <v>136329</v>
      </c>
      <c r="J100" s="2">
        <v>148510</v>
      </c>
      <c r="K100" s="2" t="s">
        <v>28</v>
      </c>
    </row>
    <row r="101" spans="1:11" ht="15.5" x14ac:dyDescent="0.35">
      <c r="A101" s="2" t="s">
        <v>39</v>
      </c>
      <c r="B101" s="2">
        <v>5503</v>
      </c>
      <c r="C101" s="2" t="s">
        <v>28</v>
      </c>
      <c r="D101" s="2">
        <v>5461</v>
      </c>
      <c r="E101" s="2">
        <v>453</v>
      </c>
      <c r="F101" s="2">
        <v>5008</v>
      </c>
      <c r="G101" s="2">
        <v>152285</v>
      </c>
      <c r="H101" s="2">
        <v>16053</v>
      </c>
      <c r="I101" s="2">
        <v>136512</v>
      </c>
      <c r="J101" s="2">
        <v>153733</v>
      </c>
      <c r="K101" s="2" t="s">
        <v>28</v>
      </c>
    </row>
    <row r="102" spans="1:11" ht="15.5" x14ac:dyDescent="0.35">
      <c r="A102" s="2" t="s">
        <v>40</v>
      </c>
      <c r="B102" s="2">
        <v>5637</v>
      </c>
      <c r="C102" s="2" t="s">
        <v>28</v>
      </c>
      <c r="D102" s="2">
        <v>5578</v>
      </c>
      <c r="E102" s="2">
        <v>449</v>
      </c>
      <c r="F102" s="2">
        <v>5129</v>
      </c>
      <c r="G102" s="2">
        <v>151340</v>
      </c>
      <c r="H102" s="2">
        <v>16235</v>
      </c>
      <c r="I102" s="2">
        <v>135441</v>
      </c>
      <c r="J102" s="2">
        <v>151117</v>
      </c>
      <c r="K102" s="2" t="s">
        <v>28</v>
      </c>
    </row>
    <row r="103" spans="1:11" ht="15.5" x14ac:dyDescent="0.35">
      <c r="A103" s="2" t="s">
        <v>41</v>
      </c>
      <c r="B103" s="2">
        <v>5754</v>
      </c>
      <c r="C103" s="2" t="s">
        <v>28</v>
      </c>
      <c r="D103" s="2">
        <v>5688</v>
      </c>
      <c r="E103" s="2">
        <v>450</v>
      </c>
      <c r="F103" s="2">
        <v>5238</v>
      </c>
      <c r="G103" s="2">
        <v>151857</v>
      </c>
      <c r="H103" s="2">
        <v>16057</v>
      </c>
      <c r="I103" s="2">
        <v>136091</v>
      </c>
      <c r="J103" s="2">
        <v>154453</v>
      </c>
      <c r="K103" s="2" t="s">
        <v>28</v>
      </c>
    </row>
    <row r="104" spans="1:11" ht="15.5" x14ac:dyDescent="0.35">
      <c r="A104" s="2" t="s">
        <v>42</v>
      </c>
      <c r="B104" s="2">
        <v>5862</v>
      </c>
      <c r="C104" s="2" t="s">
        <v>28</v>
      </c>
      <c r="D104" s="2">
        <v>5800</v>
      </c>
      <c r="E104" s="2">
        <v>458</v>
      </c>
      <c r="F104" s="2">
        <v>5342</v>
      </c>
      <c r="G104" s="2">
        <v>155117</v>
      </c>
      <c r="H104" s="2">
        <v>16424</v>
      </c>
      <c r="I104" s="2">
        <v>138981</v>
      </c>
      <c r="J104" s="2">
        <v>150281</v>
      </c>
      <c r="K104" s="2" t="s">
        <v>28</v>
      </c>
    </row>
    <row r="105" spans="1:11" ht="15.5" x14ac:dyDescent="0.35">
      <c r="A105" s="2" t="s">
        <v>43</v>
      </c>
      <c r="B105" s="2">
        <v>5746</v>
      </c>
      <c r="C105" s="2" t="s">
        <v>28</v>
      </c>
      <c r="D105" s="2">
        <v>5725</v>
      </c>
      <c r="E105" s="2">
        <v>462</v>
      </c>
      <c r="F105" s="2">
        <v>5263</v>
      </c>
      <c r="G105" s="2">
        <v>151257</v>
      </c>
      <c r="H105" s="2">
        <v>16891</v>
      </c>
      <c r="I105" s="2">
        <v>134876</v>
      </c>
      <c r="J105" s="2">
        <v>152540</v>
      </c>
      <c r="K105" s="2" t="s">
        <v>28</v>
      </c>
    </row>
    <row r="106" spans="1:11" ht="15.5" x14ac:dyDescent="0.35">
      <c r="A106" s="2" t="s">
        <v>44</v>
      </c>
      <c r="B106" s="2">
        <v>5910</v>
      </c>
      <c r="C106" s="2" t="s">
        <v>28</v>
      </c>
      <c r="D106" s="2">
        <v>5824</v>
      </c>
      <c r="E106" s="2">
        <v>460</v>
      </c>
      <c r="F106" s="2">
        <v>5364</v>
      </c>
      <c r="G106" s="2">
        <v>154551</v>
      </c>
      <c r="H106" s="2">
        <v>16784</v>
      </c>
      <c r="I106" s="2">
        <v>138156</v>
      </c>
      <c r="J106" s="2">
        <v>154608</v>
      </c>
      <c r="K106" s="2" t="s">
        <v>28</v>
      </c>
    </row>
    <row r="107" spans="1:11" ht="15.5" x14ac:dyDescent="0.35">
      <c r="A107" s="2" t="s">
        <v>45</v>
      </c>
      <c r="B107" s="2">
        <v>5932</v>
      </c>
      <c r="C107" s="2" t="s">
        <v>28</v>
      </c>
      <c r="D107" s="2">
        <v>5874</v>
      </c>
      <c r="E107" s="2">
        <v>478</v>
      </c>
      <c r="F107" s="2">
        <v>5396</v>
      </c>
      <c r="G107" s="2">
        <v>155042</v>
      </c>
      <c r="H107" s="2">
        <v>17213</v>
      </c>
      <c r="I107" s="2">
        <v>138332</v>
      </c>
      <c r="J107" s="2">
        <v>158538</v>
      </c>
      <c r="K107" s="2" t="s">
        <v>28</v>
      </c>
    </row>
    <row r="108" spans="1:11" ht="15.5" x14ac:dyDescent="0.35">
      <c r="A108" s="2" t="s">
        <v>46</v>
      </c>
      <c r="B108" s="2">
        <v>5916</v>
      </c>
      <c r="C108" s="2" t="s">
        <v>28</v>
      </c>
      <c r="D108" s="2">
        <v>5886</v>
      </c>
      <c r="E108" s="2">
        <v>489</v>
      </c>
      <c r="F108" s="2">
        <v>5397</v>
      </c>
      <c r="G108" s="2">
        <v>156009</v>
      </c>
      <c r="H108" s="2">
        <v>17286</v>
      </c>
      <c r="I108" s="2">
        <v>139238</v>
      </c>
      <c r="J108" s="2">
        <v>152069</v>
      </c>
      <c r="K108" s="2" t="s">
        <v>28</v>
      </c>
    </row>
    <row r="109" spans="1:11" ht="15.5" x14ac:dyDescent="0.35">
      <c r="A109" s="2" t="s">
        <v>47</v>
      </c>
      <c r="B109" s="2">
        <v>6139</v>
      </c>
      <c r="C109" s="2" t="s">
        <v>28</v>
      </c>
      <c r="D109" s="2">
        <v>6080</v>
      </c>
      <c r="E109" s="2">
        <v>492</v>
      </c>
      <c r="F109" s="2">
        <v>5588</v>
      </c>
      <c r="G109" s="2">
        <v>158487</v>
      </c>
      <c r="H109" s="2">
        <v>18403</v>
      </c>
      <c r="I109" s="2">
        <v>140832</v>
      </c>
      <c r="J109" s="2">
        <v>159994</v>
      </c>
      <c r="K109" s="2" t="s">
        <v>28</v>
      </c>
    </row>
    <row r="110" spans="1:11" ht="15.5" x14ac:dyDescent="0.35">
      <c r="A110" s="2" t="s">
        <v>48</v>
      </c>
      <c r="B110" s="2">
        <v>6171</v>
      </c>
      <c r="C110" s="2" t="s">
        <v>28</v>
      </c>
      <c r="D110" s="2">
        <v>6104</v>
      </c>
      <c r="E110" s="2">
        <v>483</v>
      </c>
      <c r="F110" s="2">
        <v>5621</v>
      </c>
      <c r="G110" s="2">
        <v>161850</v>
      </c>
      <c r="H110" s="2">
        <v>17968</v>
      </c>
      <c r="I110" s="2">
        <v>144413</v>
      </c>
      <c r="J110" s="2">
        <v>161483</v>
      </c>
      <c r="K110" s="2" t="s">
        <v>28</v>
      </c>
    </row>
    <row r="111" spans="1:11" ht="15.5" x14ac:dyDescent="0.35">
      <c r="A111" s="2" t="s">
        <v>49</v>
      </c>
      <c r="B111" s="2">
        <v>6361</v>
      </c>
      <c r="C111" s="2" t="s">
        <v>28</v>
      </c>
      <c r="D111" s="2">
        <v>6322</v>
      </c>
      <c r="E111" s="2">
        <v>505</v>
      </c>
      <c r="F111" s="2">
        <v>5817</v>
      </c>
      <c r="G111" s="2">
        <v>165941</v>
      </c>
      <c r="H111" s="2">
        <v>18981</v>
      </c>
      <c r="I111" s="2">
        <v>147653</v>
      </c>
      <c r="J111" s="2">
        <v>168741</v>
      </c>
      <c r="K111" s="2" t="s">
        <v>28</v>
      </c>
    </row>
    <row r="112" spans="1:11" ht="15.5" x14ac:dyDescent="0.35">
      <c r="A112" s="2" t="s">
        <v>50</v>
      </c>
      <c r="B112" s="2">
        <v>6462</v>
      </c>
      <c r="C112" s="2" t="s">
        <v>28</v>
      </c>
      <c r="D112" s="2">
        <v>6427</v>
      </c>
      <c r="E112" s="2">
        <v>504</v>
      </c>
      <c r="F112" s="2">
        <v>5923</v>
      </c>
      <c r="G112" s="2">
        <v>170121</v>
      </c>
      <c r="H112" s="2">
        <v>19065</v>
      </c>
      <c r="I112" s="2">
        <v>151686</v>
      </c>
      <c r="J112" s="2">
        <v>164383</v>
      </c>
      <c r="K112" s="2" t="s">
        <v>28</v>
      </c>
    </row>
    <row r="113" spans="1:11" ht="15.5" x14ac:dyDescent="0.35">
      <c r="A113" s="2" t="s">
        <v>51</v>
      </c>
      <c r="B113" s="2">
        <v>6512</v>
      </c>
      <c r="C113" s="2" t="s">
        <v>28</v>
      </c>
      <c r="D113" s="2">
        <v>6486</v>
      </c>
      <c r="E113" s="2">
        <v>485</v>
      </c>
      <c r="F113" s="2">
        <v>6001</v>
      </c>
      <c r="G113" s="2">
        <v>168948</v>
      </c>
      <c r="H113" s="2">
        <v>18667</v>
      </c>
      <c r="I113" s="2">
        <v>150856</v>
      </c>
      <c r="J113" s="2">
        <v>171051</v>
      </c>
      <c r="K113" s="2" t="s">
        <v>28</v>
      </c>
    </row>
    <row r="114" spans="1:11" ht="15.5" x14ac:dyDescent="0.35">
      <c r="A114" s="2" t="s">
        <v>52</v>
      </c>
      <c r="B114" s="2">
        <v>6623</v>
      </c>
      <c r="C114" s="2" t="s">
        <v>28</v>
      </c>
      <c r="D114" s="2">
        <v>6580</v>
      </c>
      <c r="E114" s="2">
        <v>491</v>
      </c>
      <c r="F114" s="2">
        <v>6089</v>
      </c>
      <c r="G114" s="2">
        <v>171442</v>
      </c>
      <c r="H114" s="2">
        <v>18523</v>
      </c>
      <c r="I114" s="2">
        <v>153348</v>
      </c>
      <c r="J114" s="2">
        <v>171315</v>
      </c>
      <c r="K114" s="2" t="s">
        <v>28</v>
      </c>
    </row>
    <row r="115" spans="1:11" ht="15.5" x14ac:dyDescent="0.35">
      <c r="A115" s="2" t="s">
        <v>53</v>
      </c>
      <c r="B115" s="2">
        <v>6773</v>
      </c>
      <c r="C115" s="2" t="s">
        <v>28</v>
      </c>
      <c r="D115" s="2">
        <v>6713</v>
      </c>
      <c r="E115" s="2">
        <v>487</v>
      </c>
      <c r="F115" s="2">
        <v>6226</v>
      </c>
      <c r="G115" s="2">
        <v>172382</v>
      </c>
      <c r="H115" s="2">
        <v>18264</v>
      </c>
      <c r="I115" s="2">
        <v>154396</v>
      </c>
      <c r="J115" s="2">
        <v>176144</v>
      </c>
      <c r="K115" s="2" t="s">
        <v>28</v>
      </c>
    </row>
    <row r="116" spans="1:11" ht="15.5" x14ac:dyDescent="0.35">
      <c r="A116" s="2" t="s">
        <v>54</v>
      </c>
      <c r="B116" s="2">
        <v>6942</v>
      </c>
      <c r="C116" s="2" t="s">
        <v>28</v>
      </c>
      <c r="D116" s="2">
        <v>6883</v>
      </c>
      <c r="E116" s="2">
        <v>525</v>
      </c>
      <c r="F116" s="2">
        <v>6358</v>
      </c>
      <c r="G116" s="2">
        <v>175276</v>
      </c>
      <c r="H116" s="2">
        <v>18825</v>
      </c>
      <c r="I116" s="2">
        <v>156808</v>
      </c>
      <c r="J116" s="2">
        <v>170050</v>
      </c>
      <c r="K116" s="2" t="s">
        <v>28</v>
      </c>
    </row>
    <row r="117" spans="1:11" ht="15.5" x14ac:dyDescent="0.35">
      <c r="A117" s="2" t="s">
        <v>55</v>
      </c>
      <c r="B117" s="2">
        <v>6915</v>
      </c>
      <c r="C117" s="2" t="s">
        <v>28</v>
      </c>
      <c r="D117" s="2">
        <v>6883</v>
      </c>
      <c r="E117" s="2">
        <v>509</v>
      </c>
      <c r="F117" s="2">
        <v>6374</v>
      </c>
      <c r="G117" s="2">
        <v>175974</v>
      </c>
      <c r="H117" s="2">
        <v>18938</v>
      </c>
      <c r="I117" s="2">
        <v>157416</v>
      </c>
      <c r="J117" s="2">
        <v>177737</v>
      </c>
      <c r="K117" s="2" t="s">
        <v>28</v>
      </c>
    </row>
    <row r="118" spans="1:11" ht="15.5" x14ac:dyDescent="0.35">
      <c r="A118" s="2" t="s">
        <v>56</v>
      </c>
      <c r="B118" s="2">
        <v>7185</v>
      </c>
      <c r="C118" s="2" t="s">
        <v>28</v>
      </c>
      <c r="D118" s="2">
        <v>7121</v>
      </c>
      <c r="E118" s="2">
        <v>479</v>
      </c>
      <c r="F118" s="2">
        <v>6642</v>
      </c>
      <c r="G118" s="2">
        <v>175126</v>
      </c>
      <c r="H118" s="2">
        <v>18412</v>
      </c>
      <c r="I118" s="2">
        <v>156921</v>
      </c>
      <c r="J118" s="2">
        <v>174901</v>
      </c>
      <c r="K118" s="2" t="s">
        <v>28</v>
      </c>
    </row>
    <row r="119" spans="1:11" ht="15.5" x14ac:dyDescent="0.35">
      <c r="A119" s="2" t="s">
        <v>57</v>
      </c>
      <c r="B119" s="2">
        <v>7070</v>
      </c>
      <c r="C119" s="2" t="s">
        <v>28</v>
      </c>
      <c r="D119" s="2">
        <v>7037</v>
      </c>
      <c r="E119" s="2">
        <v>531</v>
      </c>
      <c r="F119" s="2">
        <v>6506</v>
      </c>
      <c r="G119" s="2">
        <v>174768</v>
      </c>
      <c r="H119" s="2">
        <v>18647</v>
      </c>
      <c r="I119" s="2">
        <v>156465</v>
      </c>
      <c r="J119" s="2">
        <v>178456</v>
      </c>
      <c r="K119" s="2" t="s">
        <v>28</v>
      </c>
    </row>
    <row r="120" spans="1:11" ht="15.5" x14ac:dyDescent="0.35">
      <c r="A120" s="2" t="s">
        <v>58</v>
      </c>
      <c r="B120" s="2">
        <v>7208</v>
      </c>
      <c r="C120" s="2" t="s">
        <v>28</v>
      </c>
      <c r="D120" s="2">
        <v>7134</v>
      </c>
      <c r="E120" s="2">
        <v>558</v>
      </c>
      <c r="F120" s="2">
        <v>6576</v>
      </c>
      <c r="G120" s="2">
        <v>175568</v>
      </c>
      <c r="H120" s="2">
        <v>18151</v>
      </c>
      <c r="I120" s="2">
        <v>157573</v>
      </c>
      <c r="J120" s="2">
        <v>169287</v>
      </c>
      <c r="K120" s="2" t="s">
        <v>28</v>
      </c>
    </row>
    <row r="121" spans="1:11" ht="15.5" x14ac:dyDescent="0.35">
      <c r="A121" s="2" t="s">
        <v>59</v>
      </c>
      <c r="B121" s="2">
        <v>7380</v>
      </c>
      <c r="C121" s="2" t="s">
        <v>28</v>
      </c>
      <c r="D121" s="2">
        <v>7309</v>
      </c>
      <c r="E121" s="2">
        <v>544</v>
      </c>
      <c r="F121" s="2">
        <v>6765</v>
      </c>
      <c r="G121" s="2">
        <v>177216</v>
      </c>
      <c r="H121" s="2">
        <v>18449</v>
      </c>
      <c r="I121" s="2">
        <v>158917</v>
      </c>
      <c r="J121" s="2">
        <v>178978</v>
      </c>
      <c r="K121" s="2" t="s">
        <v>28</v>
      </c>
    </row>
    <row r="122" spans="1:11" ht="15.5" x14ac:dyDescent="0.35">
      <c r="A122" s="2" t="s">
        <v>60</v>
      </c>
      <c r="B122" s="2">
        <v>7452</v>
      </c>
      <c r="C122" s="2" t="s">
        <v>28</v>
      </c>
      <c r="D122" s="2">
        <v>7383</v>
      </c>
      <c r="E122" s="2">
        <v>561</v>
      </c>
      <c r="F122" s="2">
        <v>6822</v>
      </c>
      <c r="G122" s="2">
        <v>178265</v>
      </c>
      <c r="H122" s="2">
        <v>18854</v>
      </c>
      <c r="I122" s="2">
        <v>159688</v>
      </c>
      <c r="J122" s="2">
        <v>178361</v>
      </c>
      <c r="K122" s="2" t="s">
        <v>28</v>
      </c>
    </row>
    <row r="123" spans="1:11" ht="15.5" x14ac:dyDescent="0.35">
      <c r="A123" s="2" t="s">
        <v>61</v>
      </c>
      <c r="B123" s="2">
        <v>7467</v>
      </c>
      <c r="C123" s="2" t="s">
        <v>28</v>
      </c>
      <c r="D123" s="2">
        <v>7416</v>
      </c>
      <c r="E123" s="2">
        <v>550</v>
      </c>
      <c r="F123" s="2">
        <v>6866</v>
      </c>
      <c r="G123" s="2">
        <v>177632</v>
      </c>
      <c r="H123" s="2">
        <v>18490</v>
      </c>
      <c r="I123" s="2">
        <v>159285</v>
      </c>
      <c r="J123" s="2">
        <v>182055</v>
      </c>
      <c r="K123" s="2" t="s">
        <v>28</v>
      </c>
    </row>
    <row r="124" spans="1:11" ht="15.5" x14ac:dyDescent="0.35">
      <c r="A124" s="2" t="s">
        <v>62</v>
      </c>
      <c r="B124" s="2">
        <v>7446</v>
      </c>
      <c r="C124" s="2" t="s">
        <v>28</v>
      </c>
      <c r="D124" s="2">
        <v>7367</v>
      </c>
      <c r="E124" s="2">
        <v>520</v>
      </c>
      <c r="F124" s="2">
        <v>6847</v>
      </c>
      <c r="G124" s="2">
        <v>178493</v>
      </c>
      <c r="H124" s="2">
        <v>17187</v>
      </c>
      <c r="I124" s="2">
        <v>161046</v>
      </c>
      <c r="J124" s="2">
        <v>171745</v>
      </c>
      <c r="K124" s="2" t="s">
        <v>28</v>
      </c>
    </row>
    <row r="125" spans="1:11" ht="15.5" x14ac:dyDescent="0.35">
      <c r="A125" s="2" t="s">
        <v>63</v>
      </c>
      <c r="B125" s="2">
        <v>7827</v>
      </c>
      <c r="C125" s="2" t="s">
        <v>28</v>
      </c>
      <c r="D125" s="2">
        <v>7752</v>
      </c>
      <c r="E125" s="2">
        <v>549</v>
      </c>
      <c r="F125" s="2">
        <v>7203</v>
      </c>
      <c r="G125" s="2">
        <v>186171</v>
      </c>
      <c r="H125" s="2">
        <v>18714</v>
      </c>
      <c r="I125" s="2">
        <v>167435</v>
      </c>
      <c r="J125" s="2">
        <v>187680</v>
      </c>
      <c r="K125" s="2" t="s">
        <v>28</v>
      </c>
    </row>
    <row r="126" spans="1:11" ht="15.5" x14ac:dyDescent="0.35">
      <c r="A126" s="2" t="s">
        <v>64</v>
      </c>
      <c r="B126" s="2">
        <v>7964</v>
      </c>
      <c r="C126" s="2" t="s">
        <v>28</v>
      </c>
      <c r="D126" s="2">
        <v>7871</v>
      </c>
      <c r="E126" s="2">
        <v>602</v>
      </c>
      <c r="F126" s="2">
        <v>7269</v>
      </c>
      <c r="G126" s="2">
        <v>187001</v>
      </c>
      <c r="H126" s="2">
        <v>19307</v>
      </c>
      <c r="I126" s="2">
        <v>167878</v>
      </c>
      <c r="J126" s="2">
        <v>187829</v>
      </c>
      <c r="K126" s="2" t="s">
        <v>28</v>
      </c>
    </row>
    <row r="127" spans="1:11" ht="15.5" x14ac:dyDescent="0.35">
      <c r="A127" s="2" t="s">
        <v>65</v>
      </c>
      <c r="B127" s="2">
        <v>8196</v>
      </c>
      <c r="C127" s="2" t="s">
        <v>28</v>
      </c>
      <c r="D127" s="2">
        <v>8117</v>
      </c>
      <c r="E127" s="2">
        <v>597</v>
      </c>
      <c r="F127" s="2">
        <v>7520</v>
      </c>
      <c r="G127" s="2">
        <v>191230</v>
      </c>
      <c r="H127" s="2">
        <v>19137</v>
      </c>
      <c r="I127" s="2">
        <v>172065</v>
      </c>
      <c r="J127" s="2">
        <v>195641</v>
      </c>
      <c r="K127" s="2" t="s">
        <v>28</v>
      </c>
    </row>
    <row r="128" spans="1:11" ht="15.5" x14ac:dyDescent="0.35">
      <c r="A128" s="2" t="s">
        <v>66</v>
      </c>
      <c r="B128" s="2">
        <v>8260</v>
      </c>
      <c r="C128" s="2" t="s">
        <v>28</v>
      </c>
      <c r="D128" s="2">
        <v>8144</v>
      </c>
      <c r="E128" s="2">
        <v>599</v>
      </c>
      <c r="F128" s="2">
        <v>7545</v>
      </c>
      <c r="G128" s="2">
        <v>192542</v>
      </c>
      <c r="H128" s="2">
        <v>17889</v>
      </c>
      <c r="I128" s="2">
        <v>174204</v>
      </c>
      <c r="J128" s="2">
        <v>186880</v>
      </c>
      <c r="K128" s="2" t="s">
        <v>28</v>
      </c>
    </row>
    <row r="129" spans="1:11" ht="15.5" x14ac:dyDescent="0.35">
      <c r="A129" s="2" t="s">
        <v>67</v>
      </c>
      <c r="B129" s="2">
        <v>8523</v>
      </c>
      <c r="C129" s="2" t="s">
        <v>28</v>
      </c>
      <c r="D129" s="2">
        <v>8435</v>
      </c>
      <c r="E129" s="2">
        <v>658</v>
      </c>
      <c r="F129" s="2">
        <v>7777</v>
      </c>
      <c r="G129" s="2">
        <v>196109</v>
      </c>
      <c r="H129" s="2">
        <v>19580</v>
      </c>
      <c r="I129" s="2">
        <v>176471</v>
      </c>
      <c r="J129" s="2">
        <v>197257</v>
      </c>
      <c r="K129" s="2" t="s">
        <v>28</v>
      </c>
    </row>
    <row r="130" spans="1:11" ht="15.5" x14ac:dyDescent="0.35">
      <c r="A130" s="2" t="s">
        <v>68</v>
      </c>
      <c r="B130" s="2">
        <v>8689</v>
      </c>
      <c r="C130" s="2" t="s">
        <v>28</v>
      </c>
      <c r="D130" s="2">
        <v>8620</v>
      </c>
      <c r="E130" s="2">
        <v>674</v>
      </c>
      <c r="F130" s="2">
        <v>7946</v>
      </c>
      <c r="G130" s="2">
        <v>196783</v>
      </c>
      <c r="H130" s="2">
        <v>19793</v>
      </c>
      <c r="I130" s="2">
        <v>177026</v>
      </c>
      <c r="J130" s="2">
        <v>197426</v>
      </c>
      <c r="K130" s="2" t="s">
        <v>28</v>
      </c>
    </row>
    <row r="131" spans="1:11" ht="15.5" x14ac:dyDescent="0.35">
      <c r="A131" s="2" t="s">
        <v>69</v>
      </c>
      <c r="B131" s="2">
        <v>8916</v>
      </c>
      <c r="C131" s="2" t="s">
        <v>28</v>
      </c>
      <c r="D131" s="2">
        <v>8857</v>
      </c>
      <c r="E131" s="2">
        <v>702</v>
      </c>
      <c r="F131" s="2">
        <v>8155</v>
      </c>
      <c r="G131" s="2">
        <v>199854</v>
      </c>
      <c r="H131" s="2">
        <v>20590</v>
      </c>
      <c r="I131" s="2">
        <v>179404</v>
      </c>
      <c r="J131" s="2">
        <v>203725</v>
      </c>
      <c r="K131" s="2" t="s">
        <v>28</v>
      </c>
    </row>
    <row r="132" spans="1:11" ht="15.5" x14ac:dyDescent="0.35">
      <c r="A132" s="2" t="s">
        <v>70</v>
      </c>
      <c r="B132" s="2">
        <v>9121</v>
      </c>
      <c r="C132" s="2" t="s">
        <v>28</v>
      </c>
      <c r="D132" s="2">
        <v>9021</v>
      </c>
      <c r="E132" s="2">
        <v>744</v>
      </c>
      <c r="F132" s="2">
        <v>8277</v>
      </c>
      <c r="G132" s="2">
        <v>199276</v>
      </c>
      <c r="H132" s="2">
        <v>19379</v>
      </c>
      <c r="I132" s="2">
        <v>179737</v>
      </c>
      <c r="J132" s="2">
        <v>192850</v>
      </c>
      <c r="K132" s="2" t="s">
        <v>28</v>
      </c>
    </row>
    <row r="133" spans="1:11" ht="15.5" x14ac:dyDescent="0.35">
      <c r="A133" s="2" t="s">
        <v>71</v>
      </c>
      <c r="B133" s="2">
        <v>9167</v>
      </c>
      <c r="C133" s="2" t="s">
        <v>28</v>
      </c>
      <c r="D133" s="2">
        <v>9065</v>
      </c>
      <c r="E133" s="2">
        <v>724</v>
      </c>
      <c r="F133" s="2">
        <v>8341</v>
      </c>
      <c r="G133" s="2">
        <v>199419</v>
      </c>
      <c r="H133" s="2">
        <v>18454</v>
      </c>
      <c r="I133" s="2">
        <v>180573</v>
      </c>
      <c r="J133" s="2">
        <v>201096</v>
      </c>
      <c r="K133" s="2" t="s">
        <v>28</v>
      </c>
    </row>
    <row r="134" spans="1:11" ht="15.5" x14ac:dyDescent="0.35">
      <c r="A134" s="2" t="s">
        <v>72</v>
      </c>
      <c r="B134" s="2">
        <v>9378</v>
      </c>
      <c r="C134" s="2" t="s">
        <v>28</v>
      </c>
      <c r="D134" s="2">
        <v>9286</v>
      </c>
      <c r="E134" s="2">
        <v>747</v>
      </c>
      <c r="F134" s="2">
        <v>8539</v>
      </c>
      <c r="G134" s="2">
        <v>200957</v>
      </c>
      <c r="H134" s="2">
        <v>19095</v>
      </c>
      <c r="I134" s="2">
        <v>181579</v>
      </c>
      <c r="J134" s="2">
        <v>201275</v>
      </c>
      <c r="K134" s="2" t="s">
        <v>28</v>
      </c>
    </row>
    <row r="135" spans="1:11" ht="15.5" x14ac:dyDescent="0.35">
      <c r="A135" s="2" t="s">
        <v>73</v>
      </c>
      <c r="B135" s="2">
        <v>9544</v>
      </c>
      <c r="C135" s="2" t="s">
        <v>28</v>
      </c>
      <c r="D135" s="2">
        <v>9467</v>
      </c>
      <c r="E135" s="2">
        <v>762</v>
      </c>
      <c r="F135" s="2">
        <v>8705</v>
      </c>
      <c r="G135" s="2">
        <v>202259</v>
      </c>
      <c r="H135" s="2">
        <v>19327</v>
      </c>
      <c r="I135" s="2">
        <v>182657</v>
      </c>
      <c r="J135" s="2">
        <v>206690</v>
      </c>
      <c r="K135" s="2" t="s">
        <v>28</v>
      </c>
    </row>
    <row r="136" spans="1:11" ht="15.5" x14ac:dyDescent="0.35">
      <c r="A136" s="2" t="s">
        <v>74</v>
      </c>
      <c r="B136" s="2">
        <v>9683</v>
      </c>
      <c r="C136" s="2" t="s">
        <v>28</v>
      </c>
      <c r="D136" s="2">
        <v>9609</v>
      </c>
      <c r="E136" s="2">
        <v>818</v>
      </c>
      <c r="F136" s="2">
        <v>8791</v>
      </c>
      <c r="G136" s="2">
        <v>202588</v>
      </c>
      <c r="H136" s="2">
        <v>19662</v>
      </c>
      <c r="I136" s="2">
        <v>182710</v>
      </c>
      <c r="J136" s="2">
        <v>196900</v>
      </c>
      <c r="K136" s="2" t="s">
        <v>28</v>
      </c>
    </row>
    <row r="137" spans="1:11" ht="15.5" x14ac:dyDescent="0.35">
      <c r="A137" s="2" t="s">
        <v>75</v>
      </c>
      <c r="B137" s="2">
        <v>9878</v>
      </c>
      <c r="C137" s="2" t="s">
        <v>28</v>
      </c>
      <c r="D137" s="2">
        <v>9775</v>
      </c>
      <c r="E137" s="2">
        <v>842</v>
      </c>
      <c r="F137" s="2">
        <v>8933</v>
      </c>
      <c r="G137" s="2">
        <v>203766</v>
      </c>
      <c r="H137" s="2">
        <v>20073</v>
      </c>
      <c r="I137" s="2">
        <v>183509</v>
      </c>
      <c r="J137" s="2">
        <v>204474</v>
      </c>
      <c r="K137" s="2" t="s">
        <v>28</v>
      </c>
    </row>
    <row r="138" spans="1:11" ht="15.5" x14ac:dyDescent="0.35">
      <c r="A138" s="2" t="s">
        <v>76</v>
      </c>
      <c r="B138" s="2">
        <v>10035</v>
      </c>
      <c r="C138" s="2" t="s">
        <v>28</v>
      </c>
      <c r="D138" s="2">
        <v>9959</v>
      </c>
      <c r="E138" s="2">
        <v>837</v>
      </c>
      <c r="F138" s="2">
        <v>9122</v>
      </c>
      <c r="G138" s="2">
        <v>204428</v>
      </c>
      <c r="H138" s="2">
        <v>19648</v>
      </c>
      <c r="I138" s="2">
        <v>184545</v>
      </c>
      <c r="J138" s="2">
        <v>204693</v>
      </c>
      <c r="K138" s="2" t="s">
        <v>28</v>
      </c>
    </row>
    <row r="139" spans="1:11" ht="15.5" x14ac:dyDescent="0.35">
      <c r="A139" s="2" t="s">
        <v>77</v>
      </c>
      <c r="B139" s="2">
        <v>10130</v>
      </c>
      <c r="C139" s="2" t="s">
        <v>28</v>
      </c>
      <c r="D139" s="2">
        <v>10064</v>
      </c>
      <c r="E139" s="2">
        <v>785</v>
      </c>
      <c r="F139" s="2">
        <v>9279</v>
      </c>
      <c r="G139" s="2">
        <v>203611</v>
      </c>
      <c r="H139" s="2">
        <v>19562</v>
      </c>
      <c r="I139" s="2">
        <v>183784</v>
      </c>
      <c r="J139" s="2">
        <v>208326</v>
      </c>
      <c r="K139" s="2" t="s">
        <v>28</v>
      </c>
    </row>
    <row r="140" spans="1:11" ht="15.5" x14ac:dyDescent="0.35">
      <c r="A140" s="2" t="s">
        <v>78</v>
      </c>
      <c r="B140" s="2">
        <v>10242</v>
      </c>
      <c r="C140" s="2" t="s">
        <v>28</v>
      </c>
      <c r="D140" s="2">
        <v>10161</v>
      </c>
      <c r="E140" s="2">
        <v>775</v>
      </c>
      <c r="F140" s="2">
        <v>9386</v>
      </c>
      <c r="G140" s="2">
        <v>206330</v>
      </c>
      <c r="H140" s="2">
        <v>20887</v>
      </c>
      <c r="I140" s="2">
        <v>185322</v>
      </c>
      <c r="J140" s="2">
        <v>199493</v>
      </c>
      <c r="K140" s="2" t="s">
        <v>28</v>
      </c>
    </row>
    <row r="141" spans="1:11" ht="15.5" x14ac:dyDescent="0.35">
      <c r="A141" s="2" t="s">
        <v>79</v>
      </c>
      <c r="B141" s="2">
        <v>10482</v>
      </c>
      <c r="C141" s="2" t="s">
        <v>28</v>
      </c>
      <c r="D141" s="2">
        <v>10417</v>
      </c>
      <c r="E141" s="2">
        <v>804</v>
      </c>
      <c r="F141" s="2">
        <v>9613</v>
      </c>
      <c r="G141" s="2">
        <v>209227</v>
      </c>
      <c r="H141" s="2">
        <v>21692</v>
      </c>
      <c r="I141" s="2">
        <v>187522</v>
      </c>
      <c r="J141" s="2">
        <v>210075</v>
      </c>
      <c r="K141" s="2" t="s">
        <v>28</v>
      </c>
    </row>
    <row r="142" spans="1:11" ht="15.5" x14ac:dyDescent="0.35">
      <c r="A142" s="2" t="s">
        <v>80</v>
      </c>
      <c r="B142" s="2">
        <v>10563</v>
      </c>
      <c r="C142" s="2" t="s">
        <v>28</v>
      </c>
      <c r="D142" s="2">
        <v>10487</v>
      </c>
      <c r="E142" s="2">
        <v>811</v>
      </c>
      <c r="F142" s="2">
        <v>9676</v>
      </c>
      <c r="G142" s="2">
        <v>210092</v>
      </c>
      <c r="H142" s="2">
        <v>21390</v>
      </c>
      <c r="I142" s="2">
        <v>188594</v>
      </c>
      <c r="J142" s="2">
        <v>210470</v>
      </c>
      <c r="K142" s="2" t="s">
        <v>28</v>
      </c>
    </row>
    <row r="143" spans="1:11" ht="15.5" x14ac:dyDescent="0.35">
      <c r="A143" s="2" t="s">
        <v>81</v>
      </c>
      <c r="B143" s="2">
        <v>10716</v>
      </c>
      <c r="C143" s="2" t="s">
        <v>28</v>
      </c>
      <c r="D143" s="2">
        <v>10622</v>
      </c>
      <c r="E143" s="2">
        <v>785</v>
      </c>
      <c r="F143" s="2">
        <v>9837</v>
      </c>
      <c r="G143" s="2">
        <v>211166</v>
      </c>
      <c r="H143" s="2">
        <v>21350</v>
      </c>
      <c r="I143" s="2">
        <v>189758</v>
      </c>
      <c r="J143" s="2">
        <v>216777</v>
      </c>
      <c r="K143" s="2" t="s">
        <v>28</v>
      </c>
    </row>
    <row r="144" spans="1:11" ht="15.5" x14ac:dyDescent="0.35">
      <c r="A144" s="2" t="s">
        <v>82</v>
      </c>
      <c r="B144" s="2">
        <v>11161</v>
      </c>
      <c r="C144" s="2" t="s">
        <v>28</v>
      </c>
      <c r="D144" s="2">
        <v>11102</v>
      </c>
      <c r="E144" s="2">
        <v>884</v>
      </c>
      <c r="F144" s="2">
        <v>10218</v>
      </c>
      <c r="G144" s="2">
        <v>218997</v>
      </c>
      <c r="H144" s="2">
        <v>22515</v>
      </c>
      <c r="I144" s="2">
        <v>196460</v>
      </c>
      <c r="J144" s="2">
        <v>211019</v>
      </c>
      <c r="K144" s="2" t="s">
        <v>28</v>
      </c>
    </row>
    <row r="145" spans="1:11" ht="15.5" x14ac:dyDescent="0.35">
      <c r="A145" s="2" t="s">
        <v>83</v>
      </c>
      <c r="B145" s="2">
        <v>11331</v>
      </c>
      <c r="C145" s="2" t="s">
        <v>28</v>
      </c>
      <c r="D145" s="2">
        <v>11235</v>
      </c>
      <c r="E145" s="2">
        <v>887</v>
      </c>
      <c r="F145" s="2">
        <v>10348</v>
      </c>
      <c r="G145" s="2">
        <v>218081</v>
      </c>
      <c r="H145" s="2">
        <v>20859</v>
      </c>
      <c r="I145" s="2">
        <v>196804</v>
      </c>
      <c r="J145" s="2">
        <v>218946</v>
      </c>
      <c r="K145" s="2" t="s">
        <v>28</v>
      </c>
    </row>
    <row r="146" spans="1:11" ht="15.5" x14ac:dyDescent="0.35">
      <c r="A146" s="2" t="s">
        <v>84</v>
      </c>
      <c r="B146" s="2">
        <v>11668</v>
      </c>
      <c r="C146" s="2" t="s">
        <v>28</v>
      </c>
      <c r="D146" s="2">
        <v>11591</v>
      </c>
      <c r="E146" s="2">
        <v>922</v>
      </c>
      <c r="F146" s="2">
        <v>10669</v>
      </c>
      <c r="G146" s="2">
        <v>222325</v>
      </c>
      <c r="H146" s="2">
        <v>21904</v>
      </c>
      <c r="I146" s="2">
        <v>200116</v>
      </c>
      <c r="J146" s="2">
        <v>223076</v>
      </c>
      <c r="K146" s="2" t="s">
        <v>28</v>
      </c>
    </row>
    <row r="147" spans="1:11" ht="15.5" x14ac:dyDescent="0.35">
      <c r="A147" s="2" t="s">
        <v>85</v>
      </c>
      <c r="B147" s="2">
        <v>11907</v>
      </c>
      <c r="C147" s="2" t="s">
        <v>28</v>
      </c>
      <c r="D147" s="2">
        <v>11883</v>
      </c>
      <c r="E147" s="2">
        <v>973</v>
      </c>
      <c r="F147" s="2">
        <v>10910</v>
      </c>
      <c r="G147" s="2">
        <v>223067</v>
      </c>
      <c r="H147" s="2">
        <v>22782</v>
      </c>
      <c r="I147" s="2">
        <v>200161</v>
      </c>
      <c r="J147" s="2">
        <v>229429</v>
      </c>
      <c r="K147" s="2" t="s">
        <v>28</v>
      </c>
    </row>
    <row r="148" spans="1:11" ht="15.5" x14ac:dyDescent="0.35">
      <c r="A148" s="2" t="s">
        <v>86</v>
      </c>
      <c r="B148" s="2">
        <v>12220</v>
      </c>
      <c r="C148" s="2" t="s">
        <v>28</v>
      </c>
      <c r="D148" s="2">
        <v>12091</v>
      </c>
      <c r="E148" s="2">
        <v>1060</v>
      </c>
      <c r="F148" s="2">
        <v>11031</v>
      </c>
      <c r="G148" s="2">
        <v>222725</v>
      </c>
      <c r="H148" s="2">
        <v>21961</v>
      </c>
      <c r="I148" s="2">
        <v>200543</v>
      </c>
      <c r="J148" s="2">
        <v>214629</v>
      </c>
      <c r="K148" s="2" t="s">
        <v>28</v>
      </c>
    </row>
    <row r="149" spans="1:11" ht="15.5" x14ac:dyDescent="0.35">
      <c r="A149" s="2" t="s">
        <v>87</v>
      </c>
      <c r="B149" s="2">
        <v>12386</v>
      </c>
      <c r="C149" s="2" t="s">
        <v>28</v>
      </c>
      <c r="D149" s="2">
        <v>12271</v>
      </c>
      <c r="E149" s="2">
        <v>1068</v>
      </c>
      <c r="F149" s="2">
        <v>11203</v>
      </c>
      <c r="G149" s="2">
        <v>224353</v>
      </c>
      <c r="H149" s="2">
        <v>22388</v>
      </c>
      <c r="I149" s="2">
        <v>201773</v>
      </c>
      <c r="J149" s="2">
        <v>224798</v>
      </c>
      <c r="K149" s="2" t="s">
        <v>28</v>
      </c>
    </row>
    <row r="150" spans="1:11" ht="15.5" x14ac:dyDescent="0.35">
      <c r="A150" s="2" t="s">
        <v>88</v>
      </c>
      <c r="B150" s="2">
        <v>12623</v>
      </c>
      <c r="C150" s="2" t="s">
        <v>28</v>
      </c>
      <c r="D150" s="2">
        <v>12545</v>
      </c>
      <c r="E150" s="2">
        <v>1066</v>
      </c>
      <c r="F150" s="2">
        <v>11479</v>
      </c>
      <c r="G150" s="2">
        <v>225601</v>
      </c>
      <c r="H150" s="2">
        <v>22552</v>
      </c>
      <c r="I150" s="2">
        <v>202844</v>
      </c>
      <c r="J150" s="2">
        <v>226118</v>
      </c>
      <c r="K150" s="2" t="s">
        <v>28</v>
      </c>
    </row>
    <row r="151" spans="1:11" ht="15.5" x14ac:dyDescent="0.35">
      <c r="A151" s="2" t="s">
        <v>89</v>
      </c>
      <c r="B151" s="2">
        <v>12969</v>
      </c>
      <c r="C151" s="2" t="s">
        <v>28</v>
      </c>
      <c r="D151" s="2">
        <v>12869</v>
      </c>
      <c r="E151" s="2">
        <v>1077</v>
      </c>
      <c r="F151" s="2">
        <v>11792</v>
      </c>
      <c r="G151" s="2">
        <v>226619</v>
      </c>
      <c r="H151" s="2">
        <v>22312</v>
      </c>
      <c r="I151" s="2">
        <v>204030</v>
      </c>
      <c r="J151" s="2">
        <v>233753</v>
      </c>
      <c r="K151" s="2" t="s">
        <v>28</v>
      </c>
    </row>
    <row r="152" spans="1:11" ht="15.5" x14ac:dyDescent="0.35">
      <c r="A152" s="2" t="s">
        <v>90</v>
      </c>
      <c r="B152" s="2">
        <v>13342</v>
      </c>
      <c r="C152" s="2" t="s">
        <v>28</v>
      </c>
      <c r="D152" s="2">
        <v>13223</v>
      </c>
      <c r="E152" s="2">
        <v>1127</v>
      </c>
      <c r="F152" s="2">
        <v>12096</v>
      </c>
      <c r="G152" s="2">
        <v>225223</v>
      </c>
      <c r="H152" s="2">
        <v>22437</v>
      </c>
      <c r="I152" s="2">
        <v>202584</v>
      </c>
      <c r="J152" s="2">
        <v>217054</v>
      </c>
      <c r="K152" s="2" t="s">
        <v>28</v>
      </c>
    </row>
    <row r="153" spans="1:11" ht="15.5" x14ac:dyDescent="0.35">
      <c r="A153" s="2" t="s">
        <v>91</v>
      </c>
      <c r="B153" s="2">
        <v>13949</v>
      </c>
      <c r="C153" s="2" t="s">
        <v>28</v>
      </c>
      <c r="D153" s="2">
        <v>13806</v>
      </c>
      <c r="E153" s="2">
        <v>1141</v>
      </c>
      <c r="F153" s="2">
        <v>12665</v>
      </c>
      <c r="G153" s="2">
        <v>230605</v>
      </c>
      <c r="H153" s="2">
        <v>23142</v>
      </c>
      <c r="I153" s="2">
        <v>207274</v>
      </c>
      <c r="J153" s="2">
        <v>230213</v>
      </c>
      <c r="K153" s="2" t="s">
        <v>28</v>
      </c>
    </row>
    <row r="154" spans="1:11" ht="15.5" x14ac:dyDescent="0.35">
      <c r="A154" s="2" t="s">
        <v>92</v>
      </c>
      <c r="B154" s="2">
        <v>14354</v>
      </c>
      <c r="C154" s="2" t="s">
        <v>28</v>
      </c>
      <c r="D154" s="2">
        <v>14256</v>
      </c>
      <c r="E154" s="2">
        <v>1215</v>
      </c>
      <c r="F154" s="2">
        <v>13041</v>
      </c>
      <c r="G154" s="2">
        <v>232800</v>
      </c>
      <c r="H154" s="2">
        <v>24287</v>
      </c>
      <c r="I154" s="2">
        <v>208450</v>
      </c>
      <c r="J154" s="2">
        <v>233970</v>
      </c>
      <c r="K154" s="2" t="s">
        <v>28</v>
      </c>
    </row>
    <row r="155" spans="1:11" ht="15.5" x14ac:dyDescent="0.35">
      <c r="A155" s="2" t="s">
        <v>93</v>
      </c>
      <c r="B155" s="2">
        <v>14880</v>
      </c>
      <c r="C155" s="2" t="s">
        <v>28</v>
      </c>
      <c r="D155" s="2">
        <v>14771</v>
      </c>
      <c r="E155" s="2">
        <v>1153</v>
      </c>
      <c r="F155" s="2">
        <v>13618</v>
      </c>
      <c r="G155" s="2">
        <v>234954</v>
      </c>
      <c r="H155" s="2">
        <v>22564</v>
      </c>
      <c r="I155" s="2">
        <v>212041</v>
      </c>
      <c r="J155" s="2">
        <v>242345</v>
      </c>
      <c r="K155" s="2" t="s">
        <v>28</v>
      </c>
    </row>
    <row r="156" spans="1:11" ht="15.5" x14ac:dyDescent="0.35">
      <c r="A156" s="2" t="s">
        <v>94</v>
      </c>
      <c r="B156" s="2">
        <v>15106</v>
      </c>
      <c r="C156" s="2" t="s">
        <v>28</v>
      </c>
      <c r="D156" s="2">
        <v>14990</v>
      </c>
      <c r="E156" s="2">
        <v>1166</v>
      </c>
      <c r="F156" s="2">
        <v>13824</v>
      </c>
      <c r="G156" s="2">
        <v>233843</v>
      </c>
      <c r="H156" s="2">
        <v>22593</v>
      </c>
      <c r="I156" s="2">
        <v>210928</v>
      </c>
      <c r="J156" s="2">
        <v>224325</v>
      </c>
      <c r="K156" s="2" t="s">
        <v>28</v>
      </c>
    </row>
    <row r="157" spans="1:11" ht="15.5" x14ac:dyDescent="0.35">
      <c r="A157" s="2" t="s">
        <v>95</v>
      </c>
      <c r="B157" s="2">
        <v>15622</v>
      </c>
      <c r="C157" s="2" t="s">
        <v>28</v>
      </c>
      <c r="D157" s="2">
        <v>15501</v>
      </c>
      <c r="E157" s="2">
        <v>1205</v>
      </c>
      <c r="F157" s="2">
        <v>14296</v>
      </c>
      <c r="G157" s="2">
        <v>238030</v>
      </c>
      <c r="H157" s="2">
        <v>23250</v>
      </c>
      <c r="I157" s="2">
        <v>214452</v>
      </c>
      <c r="J157" s="2">
        <v>238179</v>
      </c>
      <c r="K157" s="2" t="s">
        <v>28</v>
      </c>
    </row>
    <row r="158" spans="1:11" ht="15.5" x14ac:dyDescent="0.35">
      <c r="A158" s="2" t="s">
        <v>96</v>
      </c>
      <c r="B158" s="2">
        <v>16082</v>
      </c>
      <c r="C158" s="2" t="s">
        <v>28</v>
      </c>
      <c r="D158" s="2">
        <v>15997</v>
      </c>
      <c r="E158" s="2">
        <v>1240</v>
      </c>
      <c r="F158" s="2">
        <v>14757</v>
      </c>
      <c r="G158" s="2">
        <v>242078</v>
      </c>
      <c r="H158" s="2">
        <v>23525</v>
      </c>
      <c r="I158" s="2">
        <v>218154</v>
      </c>
      <c r="J158" s="2">
        <v>242618</v>
      </c>
      <c r="K158" s="2" t="s">
        <v>28</v>
      </c>
    </row>
    <row r="159" spans="1:11" ht="15.5" x14ac:dyDescent="0.35">
      <c r="A159" s="2" t="s">
        <v>97</v>
      </c>
      <c r="B159" s="2">
        <v>16467</v>
      </c>
      <c r="C159" s="2" t="s">
        <v>28</v>
      </c>
      <c r="D159" s="2">
        <v>16398</v>
      </c>
      <c r="E159" s="2">
        <v>1197</v>
      </c>
      <c r="F159" s="2">
        <v>15201</v>
      </c>
      <c r="G159" s="2">
        <v>243009</v>
      </c>
      <c r="H159" s="2">
        <v>23002</v>
      </c>
      <c r="I159" s="2">
        <v>219482</v>
      </c>
      <c r="J159" s="2">
        <v>251838</v>
      </c>
      <c r="K159" s="2" t="s">
        <v>28</v>
      </c>
    </row>
    <row r="160" spans="1:11" ht="15.5" x14ac:dyDescent="0.35">
      <c r="A160" s="2" t="s">
        <v>98</v>
      </c>
      <c r="B160" s="2">
        <v>16684</v>
      </c>
      <c r="C160" s="2" t="s">
        <v>28</v>
      </c>
      <c r="D160" s="2">
        <v>16603</v>
      </c>
      <c r="E160" s="2">
        <v>1200</v>
      </c>
      <c r="F160" s="2">
        <v>15403</v>
      </c>
      <c r="G160" s="2">
        <v>243540</v>
      </c>
      <c r="H160" s="2">
        <v>23604</v>
      </c>
      <c r="I160" s="2">
        <v>219545</v>
      </c>
      <c r="J160" s="2">
        <v>234746</v>
      </c>
      <c r="K160" s="2" t="s">
        <v>28</v>
      </c>
    </row>
    <row r="161" spans="1:11" ht="15.5" x14ac:dyDescent="0.35">
      <c r="A161" s="2" t="s">
        <v>99</v>
      </c>
      <c r="B161" s="2">
        <v>17499</v>
      </c>
      <c r="C161" s="2" t="s">
        <v>28</v>
      </c>
      <c r="D161" s="2">
        <v>17392</v>
      </c>
      <c r="E161" s="2">
        <v>1279</v>
      </c>
      <c r="F161" s="2">
        <v>16113</v>
      </c>
      <c r="G161" s="2">
        <v>249966</v>
      </c>
      <c r="H161" s="2">
        <v>24590</v>
      </c>
      <c r="I161" s="2">
        <v>225069</v>
      </c>
      <c r="J161" s="2">
        <v>251025</v>
      </c>
      <c r="K161" s="2" t="s">
        <v>28</v>
      </c>
    </row>
    <row r="162" spans="1:11" ht="15.5" x14ac:dyDescent="0.35">
      <c r="A162" s="2" t="s">
        <v>100</v>
      </c>
      <c r="B162" s="2">
        <v>17824</v>
      </c>
      <c r="C162" s="2" t="s">
        <v>28</v>
      </c>
      <c r="D162" s="2">
        <v>17763</v>
      </c>
      <c r="E162" s="2">
        <v>1248</v>
      </c>
      <c r="F162" s="2">
        <v>16515</v>
      </c>
      <c r="G162" s="2">
        <v>250633</v>
      </c>
      <c r="H162" s="2">
        <v>23781</v>
      </c>
      <c r="I162" s="2">
        <v>226391</v>
      </c>
      <c r="J162" s="2">
        <v>251028</v>
      </c>
      <c r="K162" s="2" t="s">
        <v>28</v>
      </c>
    </row>
    <row r="163" spans="1:11" ht="15.5" x14ac:dyDescent="0.35">
      <c r="A163" s="2" t="s">
        <v>101</v>
      </c>
      <c r="B163" s="2">
        <v>18886</v>
      </c>
      <c r="C163" s="2" t="s">
        <v>28</v>
      </c>
      <c r="D163" s="2">
        <v>18837</v>
      </c>
      <c r="E163" s="2">
        <v>1295</v>
      </c>
      <c r="F163" s="2">
        <v>17542</v>
      </c>
      <c r="G163" s="2">
        <v>254524</v>
      </c>
      <c r="H163" s="2">
        <v>23815</v>
      </c>
      <c r="I163" s="2">
        <v>230170</v>
      </c>
      <c r="J163" s="2">
        <v>261864</v>
      </c>
      <c r="K163" s="2" t="s">
        <v>28</v>
      </c>
    </row>
    <row r="164" spans="1:11" ht="15.5" x14ac:dyDescent="0.35">
      <c r="A164" s="2" t="s">
        <v>102</v>
      </c>
      <c r="B164" s="2">
        <v>20012</v>
      </c>
      <c r="C164" s="2" t="s">
        <v>28</v>
      </c>
      <c r="D164" s="2">
        <v>20050</v>
      </c>
      <c r="E164" s="2">
        <v>1382</v>
      </c>
      <c r="F164" s="2">
        <v>18668</v>
      </c>
      <c r="G164" s="2">
        <v>267015</v>
      </c>
      <c r="H164" s="2">
        <v>24971</v>
      </c>
      <c r="I164" s="2">
        <v>241372</v>
      </c>
      <c r="J164" s="2">
        <v>264057</v>
      </c>
      <c r="K164" s="2" t="s">
        <v>28</v>
      </c>
    </row>
    <row r="165" spans="1:11" ht="15.5" x14ac:dyDescent="0.35">
      <c r="A165" s="2" t="s">
        <v>103</v>
      </c>
      <c r="B165" s="2">
        <v>20139</v>
      </c>
      <c r="C165" s="2" t="s">
        <v>28</v>
      </c>
      <c r="D165" s="2">
        <v>19879</v>
      </c>
      <c r="E165" s="2">
        <v>1232</v>
      </c>
      <c r="F165" s="2">
        <v>18647</v>
      </c>
      <c r="G165" s="2">
        <v>267521</v>
      </c>
      <c r="H165" s="2">
        <v>24169</v>
      </c>
      <c r="I165" s="2">
        <v>242417</v>
      </c>
      <c r="J165" s="2">
        <v>262145</v>
      </c>
      <c r="K165" s="2" t="s">
        <v>28</v>
      </c>
    </row>
    <row r="166" spans="1:11" ht="15.5" x14ac:dyDescent="0.35">
      <c r="A166" s="2" t="s">
        <v>104</v>
      </c>
      <c r="B166" s="2">
        <v>20725</v>
      </c>
      <c r="C166" s="2" t="s">
        <v>28</v>
      </c>
      <c r="D166" s="2">
        <v>20563</v>
      </c>
      <c r="E166" s="2">
        <v>1374</v>
      </c>
      <c r="F166" s="2">
        <v>19189</v>
      </c>
      <c r="G166" s="2">
        <v>265025</v>
      </c>
      <c r="H166" s="2">
        <v>24547</v>
      </c>
      <c r="I166" s="2">
        <v>239756</v>
      </c>
      <c r="J166" s="2">
        <v>266240</v>
      </c>
      <c r="K166" s="2" t="s">
        <v>28</v>
      </c>
    </row>
    <row r="167" spans="1:11" ht="15.5" x14ac:dyDescent="0.35">
      <c r="A167" s="2" t="s">
        <v>105</v>
      </c>
      <c r="B167" s="2">
        <v>21681</v>
      </c>
      <c r="C167" s="2" t="s">
        <v>28</v>
      </c>
      <c r="D167" s="2">
        <v>21317</v>
      </c>
      <c r="E167" s="2">
        <v>1348</v>
      </c>
      <c r="F167" s="2">
        <v>19969</v>
      </c>
      <c r="G167" s="2">
        <v>263989</v>
      </c>
      <c r="H167" s="2">
        <v>24525</v>
      </c>
      <c r="I167" s="2">
        <v>238818</v>
      </c>
      <c r="J167" s="2">
        <v>271108</v>
      </c>
      <c r="K167" s="2" t="s">
        <v>28</v>
      </c>
    </row>
    <row r="168" spans="1:11" ht="15.5" x14ac:dyDescent="0.35">
      <c r="A168" s="2" t="s">
        <v>106</v>
      </c>
      <c r="B168" s="2">
        <v>21375</v>
      </c>
      <c r="C168" s="2" t="s">
        <v>28</v>
      </c>
      <c r="D168" s="2">
        <v>21136</v>
      </c>
      <c r="E168" s="2">
        <v>1205</v>
      </c>
      <c r="F168" s="2">
        <v>19931</v>
      </c>
      <c r="G168" s="2">
        <v>256670</v>
      </c>
      <c r="H168" s="2">
        <v>23288</v>
      </c>
      <c r="I168" s="2">
        <v>232475</v>
      </c>
      <c r="J168" s="2">
        <v>244611</v>
      </c>
      <c r="K168" s="2" t="s">
        <v>28</v>
      </c>
    </row>
    <row r="169" spans="1:11" ht="15.5" x14ac:dyDescent="0.35">
      <c r="A169" s="2" t="s">
        <v>107</v>
      </c>
      <c r="B169" s="2">
        <v>22910</v>
      </c>
      <c r="C169" s="2" t="s">
        <v>28</v>
      </c>
      <c r="D169" s="2">
        <v>22654</v>
      </c>
      <c r="E169" s="2">
        <v>1504</v>
      </c>
      <c r="F169" s="2">
        <v>21150</v>
      </c>
      <c r="G169" s="2">
        <v>260347</v>
      </c>
      <c r="H169" s="2">
        <v>23671</v>
      </c>
      <c r="I169" s="2">
        <v>235820</v>
      </c>
      <c r="J169" s="2">
        <v>258952</v>
      </c>
      <c r="K169" s="2" t="s">
        <v>28</v>
      </c>
    </row>
    <row r="170" spans="1:11" ht="15.5" x14ac:dyDescent="0.35">
      <c r="A170" s="2" t="s">
        <v>108</v>
      </c>
      <c r="B170" s="2">
        <v>24036</v>
      </c>
      <c r="C170" s="2" t="s">
        <v>28</v>
      </c>
      <c r="D170" s="2">
        <v>23899</v>
      </c>
      <c r="E170" s="2">
        <v>1295</v>
      </c>
      <c r="F170" s="2">
        <v>22604</v>
      </c>
      <c r="G170" s="2">
        <v>261890</v>
      </c>
      <c r="H170" s="2">
        <v>22677</v>
      </c>
      <c r="I170" s="2">
        <v>237938</v>
      </c>
      <c r="J170" s="2">
        <v>264150</v>
      </c>
      <c r="K170" s="2" t="s">
        <v>28</v>
      </c>
    </row>
    <row r="171" spans="1:11" ht="15.5" x14ac:dyDescent="0.35">
      <c r="A171" s="2" t="s">
        <v>109</v>
      </c>
      <c r="B171" s="2">
        <v>25176</v>
      </c>
      <c r="C171" s="2" t="s">
        <v>28</v>
      </c>
      <c r="D171" s="2">
        <v>24997</v>
      </c>
      <c r="E171" s="2">
        <v>1290</v>
      </c>
      <c r="F171" s="2">
        <v>23707</v>
      </c>
      <c r="G171" s="2">
        <v>258066</v>
      </c>
      <c r="H171" s="2">
        <v>22870</v>
      </c>
      <c r="I171" s="2">
        <v>234100</v>
      </c>
      <c r="J171" s="2">
        <v>269260</v>
      </c>
      <c r="K171" s="2" t="s">
        <v>28</v>
      </c>
    </row>
    <row r="172" spans="1:11" ht="15.5" x14ac:dyDescent="0.35">
      <c r="A172" s="2" t="s">
        <v>110</v>
      </c>
      <c r="B172" s="2">
        <v>26855</v>
      </c>
      <c r="C172" s="2" t="s">
        <v>28</v>
      </c>
      <c r="D172" s="2">
        <v>26815</v>
      </c>
      <c r="E172" s="2">
        <v>1355</v>
      </c>
      <c r="F172" s="2">
        <v>25460</v>
      </c>
      <c r="G172" s="2">
        <v>258116</v>
      </c>
      <c r="H172" s="2">
        <v>23040</v>
      </c>
      <c r="I172" s="2">
        <v>234115</v>
      </c>
      <c r="J172" s="2">
        <v>249187</v>
      </c>
      <c r="K172" s="2" t="s">
        <v>28</v>
      </c>
    </row>
    <row r="173" spans="1:11" ht="15.5" x14ac:dyDescent="0.35">
      <c r="A173" s="2" t="s">
        <v>111</v>
      </c>
      <c r="B173" s="2">
        <v>28139</v>
      </c>
      <c r="C173" s="2" t="s">
        <v>28</v>
      </c>
      <c r="D173" s="2">
        <v>28130</v>
      </c>
      <c r="E173" s="2">
        <v>1605</v>
      </c>
      <c r="F173" s="2">
        <v>26525</v>
      </c>
      <c r="G173" s="2">
        <v>253935</v>
      </c>
      <c r="H173" s="2">
        <v>22002</v>
      </c>
      <c r="I173" s="2">
        <v>230595</v>
      </c>
      <c r="J173" s="2">
        <v>252514</v>
      </c>
      <c r="K173" s="2" t="s">
        <v>28</v>
      </c>
    </row>
    <row r="174" spans="1:11" ht="15.5" x14ac:dyDescent="0.35">
      <c r="A174" s="2" t="s">
        <v>112</v>
      </c>
      <c r="B174" s="2">
        <v>29248</v>
      </c>
      <c r="C174" s="2" t="s">
        <v>28</v>
      </c>
      <c r="D174" s="2">
        <v>29260</v>
      </c>
      <c r="E174" s="2">
        <v>1754</v>
      </c>
      <c r="F174" s="2">
        <v>27506</v>
      </c>
      <c r="G174" s="2">
        <v>253168</v>
      </c>
      <c r="H174" s="2">
        <v>22903</v>
      </c>
      <c r="I174" s="2">
        <v>229415</v>
      </c>
      <c r="J174" s="2">
        <v>254575</v>
      </c>
      <c r="K174" s="2" t="s">
        <v>28</v>
      </c>
    </row>
    <row r="175" spans="1:11" ht="15.5" x14ac:dyDescent="0.35">
      <c r="A175" s="2" t="s">
        <v>113</v>
      </c>
      <c r="B175" s="2">
        <v>30971</v>
      </c>
      <c r="C175" s="2" t="s">
        <v>28</v>
      </c>
      <c r="D175" s="2">
        <v>30890</v>
      </c>
      <c r="E175" s="2">
        <v>1793</v>
      </c>
      <c r="F175" s="2">
        <v>29097</v>
      </c>
      <c r="G175" s="2">
        <v>255985</v>
      </c>
      <c r="H175" s="2">
        <v>22604</v>
      </c>
      <c r="I175" s="2">
        <v>232276</v>
      </c>
      <c r="J175" s="2">
        <v>264928</v>
      </c>
      <c r="K175" s="2" t="s">
        <v>28</v>
      </c>
    </row>
    <row r="176" spans="1:11" ht="15.5" x14ac:dyDescent="0.35">
      <c r="A176" s="2" t="s">
        <v>114</v>
      </c>
      <c r="B176" s="2">
        <v>32450</v>
      </c>
      <c r="C176" s="2" t="s">
        <v>28</v>
      </c>
      <c r="D176" s="2">
        <v>32448</v>
      </c>
      <c r="E176" s="2">
        <v>2098</v>
      </c>
      <c r="F176" s="2">
        <v>30350</v>
      </c>
      <c r="G176" s="2">
        <v>260268</v>
      </c>
      <c r="H176" s="2">
        <v>23343</v>
      </c>
      <c r="I176" s="2">
        <v>235864</v>
      </c>
      <c r="J176" s="2">
        <v>251192</v>
      </c>
      <c r="K176" s="2" t="s">
        <v>28</v>
      </c>
    </row>
    <row r="177" spans="1:11" ht="15.5" x14ac:dyDescent="0.35">
      <c r="A177" s="2" t="s">
        <v>115</v>
      </c>
      <c r="B177" s="2">
        <v>33466</v>
      </c>
      <c r="C177" s="2" t="s">
        <v>28</v>
      </c>
      <c r="D177" s="2">
        <v>33320</v>
      </c>
      <c r="E177" s="2">
        <v>1971</v>
      </c>
      <c r="F177" s="2">
        <v>31349</v>
      </c>
      <c r="G177" s="2">
        <v>259911</v>
      </c>
      <c r="H177" s="2">
        <v>23503</v>
      </c>
      <c r="I177" s="2">
        <v>235495</v>
      </c>
      <c r="J177" s="2">
        <v>258372</v>
      </c>
      <c r="K177" s="2" t="s">
        <v>28</v>
      </c>
    </row>
    <row r="178" spans="1:11" ht="15.5" x14ac:dyDescent="0.35">
      <c r="A178" s="2" t="s">
        <v>116</v>
      </c>
      <c r="B178" s="2">
        <v>34629</v>
      </c>
      <c r="C178" s="2" t="s">
        <v>28</v>
      </c>
      <c r="D178" s="2">
        <v>34548</v>
      </c>
      <c r="E178" s="2">
        <v>2133</v>
      </c>
      <c r="F178" s="2">
        <v>32415</v>
      </c>
      <c r="G178" s="2">
        <v>263132</v>
      </c>
      <c r="H178" s="2">
        <v>23946</v>
      </c>
      <c r="I178" s="2">
        <v>238290</v>
      </c>
      <c r="J178" s="2">
        <v>265187</v>
      </c>
      <c r="K178" s="2" t="s">
        <v>28</v>
      </c>
    </row>
    <row r="179" spans="1:11" ht="15.5" x14ac:dyDescent="0.35">
      <c r="A179" s="2" t="s">
        <v>117</v>
      </c>
      <c r="B179" s="2">
        <v>36780</v>
      </c>
      <c r="C179" s="2" t="s">
        <v>28</v>
      </c>
      <c r="D179" s="2">
        <v>36679</v>
      </c>
      <c r="E179" s="2">
        <v>2410</v>
      </c>
      <c r="F179" s="2">
        <v>34269</v>
      </c>
      <c r="G179" s="2">
        <v>268662</v>
      </c>
      <c r="H179" s="2">
        <v>25157</v>
      </c>
      <c r="I179" s="2">
        <v>242877</v>
      </c>
      <c r="J179" s="2">
        <v>277222</v>
      </c>
      <c r="K179" s="2" t="s">
        <v>28</v>
      </c>
    </row>
    <row r="180" spans="1:11" ht="15.5" x14ac:dyDescent="0.35">
      <c r="A180" s="2" t="s">
        <v>118</v>
      </c>
      <c r="B180" s="2">
        <v>37730</v>
      </c>
      <c r="C180" s="2" t="s">
        <v>28</v>
      </c>
      <c r="D180" s="2">
        <v>38036</v>
      </c>
      <c r="E180" s="2">
        <v>2501</v>
      </c>
      <c r="F180" s="2">
        <v>35535</v>
      </c>
      <c r="G180" s="2">
        <v>268833</v>
      </c>
      <c r="H180" s="2">
        <v>23395</v>
      </c>
      <c r="I180" s="2">
        <v>244328</v>
      </c>
      <c r="J180" s="2">
        <v>260008</v>
      </c>
      <c r="K180" s="2" t="s">
        <v>28</v>
      </c>
    </row>
    <row r="181" spans="1:11" ht="15.5" x14ac:dyDescent="0.35">
      <c r="A181" s="2" t="s">
        <v>119</v>
      </c>
      <c r="B181" s="2">
        <v>38879</v>
      </c>
      <c r="C181" s="2" t="s">
        <v>28</v>
      </c>
      <c r="D181" s="2">
        <v>39241</v>
      </c>
      <c r="E181" s="2">
        <v>2571</v>
      </c>
      <c r="F181" s="2">
        <v>36670</v>
      </c>
      <c r="G181" s="2">
        <v>266987</v>
      </c>
      <c r="H181" s="2">
        <v>25156</v>
      </c>
      <c r="I181" s="2">
        <v>241282</v>
      </c>
      <c r="J181" s="2">
        <v>265681</v>
      </c>
      <c r="K181" s="2" t="s">
        <v>28</v>
      </c>
    </row>
    <row r="182" spans="1:11" ht="15.5" x14ac:dyDescent="0.35">
      <c r="A182" s="2" t="s">
        <v>120</v>
      </c>
      <c r="B182" s="2">
        <v>39922</v>
      </c>
      <c r="C182" s="2" t="s">
        <v>28</v>
      </c>
      <c r="D182" s="2">
        <v>40335</v>
      </c>
      <c r="E182" s="2">
        <v>2756</v>
      </c>
      <c r="F182" s="2">
        <v>37579</v>
      </c>
      <c r="G182" s="2">
        <v>268717</v>
      </c>
      <c r="H182" s="2">
        <v>25819</v>
      </c>
      <c r="I182" s="2">
        <v>242467</v>
      </c>
      <c r="J182" s="2">
        <v>270533</v>
      </c>
      <c r="K182" s="2" t="s">
        <v>28</v>
      </c>
    </row>
    <row r="183" spans="1:11" ht="15.5" x14ac:dyDescent="0.35">
      <c r="A183" s="2" t="s">
        <v>121</v>
      </c>
      <c r="B183" s="2">
        <v>41812</v>
      </c>
      <c r="C183" s="2" t="s">
        <v>28</v>
      </c>
      <c r="D183" s="2">
        <v>42163</v>
      </c>
      <c r="E183" s="2">
        <v>2809</v>
      </c>
      <c r="F183" s="2">
        <v>39354</v>
      </c>
      <c r="G183" s="2">
        <v>273279</v>
      </c>
      <c r="H183" s="2">
        <v>26447</v>
      </c>
      <c r="I183" s="2">
        <v>246391</v>
      </c>
      <c r="J183" s="2">
        <v>281594</v>
      </c>
      <c r="K183" s="2" t="s">
        <v>28</v>
      </c>
    </row>
    <row r="184" spans="1:11" ht="15.5" x14ac:dyDescent="0.35">
      <c r="A184" s="2" t="s">
        <v>122</v>
      </c>
      <c r="B184" s="2">
        <v>43746</v>
      </c>
      <c r="C184" s="2" t="s">
        <v>28</v>
      </c>
      <c r="D184" s="2">
        <v>44136</v>
      </c>
      <c r="E184" s="2">
        <v>2777</v>
      </c>
      <c r="F184" s="2">
        <v>41359</v>
      </c>
      <c r="G184" s="2">
        <v>275841</v>
      </c>
      <c r="H184" s="2">
        <v>26565</v>
      </c>
      <c r="I184" s="2">
        <v>248843</v>
      </c>
      <c r="J184" s="2">
        <v>266877</v>
      </c>
      <c r="K184" s="2" t="s">
        <v>28</v>
      </c>
    </row>
    <row r="185" spans="1:11" ht="15.5" x14ac:dyDescent="0.35">
      <c r="A185" s="2" t="s">
        <v>123</v>
      </c>
      <c r="B185" s="2">
        <v>45701</v>
      </c>
      <c r="C185" s="2" t="s">
        <v>28</v>
      </c>
      <c r="D185" s="2">
        <v>45901</v>
      </c>
      <c r="E185" s="2">
        <v>2986</v>
      </c>
      <c r="F185" s="2">
        <v>42915</v>
      </c>
      <c r="G185" s="2">
        <v>279001</v>
      </c>
      <c r="H185" s="2">
        <v>27980</v>
      </c>
      <c r="I185" s="2">
        <v>250953</v>
      </c>
      <c r="J185" s="2">
        <v>276356</v>
      </c>
      <c r="K185" s="2" t="s">
        <v>28</v>
      </c>
    </row>
    <row r="186" spans="1:11" ht="15.5" x14ac:dyDescent="0.35">
      <c r="A186" s="2" t="s">
        <v>124</v>
      </c>
      <c r="B186" s="2">
        <v>46950</v>
      </c>
      <c r="C186" s="2" t="s">
        <v>28</v>
      </c>
      <c r="D186" s="2">
        <v>47202</v>
      </c>
      <c r="E186" s="2">
        <v>3039</v>
      </c>
      <c r="F186" s="2">
        <v>44163</v>
      </c>
      <c r="G186" s="2">
        <v>282797</v>
      </c>
      <c r="H186" s="2">
        <v>28406</v>
      </c>
      <c r="I186" s="2">
        <v>254357</v>
      </c>
      <c r="J186" s="2">
        <v>286225</v>
      </c>
      <c r="K186" s="2" t="s">
        <v>28</v>
      </c>
    </row>
    <row r="187" spans="1:11" ht="15.5" x14ac:dyDescent="0.35">
      <c r="A187" s="2" t="s">
        <v>125</v>
      </c>
      <c r="B187" s="2">
        <v>48648</v>
      </c>
      <c r="C187" s="2" t="s">
        <v>28</v>
      </c>
      <c r="D187" s="2">
        <v>48902</v>
      </c>
      <c r="E187" s="2">
        <v>2967</v>
      </c>
      <c r="F187" s="2">
        <v>45935</v>
      </c>
      <c r="G187" s="2">
        <v>285314</v>
      </c>
      <c r="H187" s="2">
        <v>28662</v>
      </c>
      <c r="I187" s="2">
        <v>256563</v>
      </c>
      <c r="J187" s="2">
        <v>293495</v>
      </c>
      <c r="K187" s="2" t="s">
        <v>28</v>
      </c>
    </row>
    <row r="188" spans="1:11" ht="15.5" x14ac:dyDescent="0.35">
      <c r="A188" s="2" t="s">
        <v>126</v>
      </c>
      <c r="B188" s="2">
        <v>50082</v>
      </c>
      <c r="C188" s="2" t="s">
        <v>28</v>
      </c>
      <c r="D188" s="2">
        <v>50455</v>
      </c>
      <c r="E188" s="2">
        <v>3107</v>
      </c>
      <c r="F188" s="2">
        <v>47348</v>
      </c>
      <c r="G188" s="2">
        <v>284457</v>
      </c>
      <c r="H188" s="2">
        <v>30052</v>
      </c>
      <c r="I188" s="2">
        <v>255013</v>
      </c>
      <c r="J188" s="2">
        <v>278097</v>
      </c>
      <c r="K188" s="2" t="s">
        <v>28</v>
      </c>
    </row>
    <row r="189" spans="1:11" ht="15.5" x14ac:dyDescent="0.35">
      <c r="A189" s="2" t="s">
        <v>127</v>
      </c>
      <c r="B189" s="2">
        <v>53385</v>
      </c>
      <c r="C189" s="2" t="s">
        <v>28</v>
      </c>
      <c r="D189" s="2">
        <v>53962</v>
      </c>
      <c r="E189" s="2">
        <v>3519</v>
      </c>
      <c r="F189" s="2">
        <v>50443</v>
      </c>
      <c r="G189" s="2">
        <v>296841</v>
      </c>
      <c r="H189" s="2">
        <v>32202</v>
      </c>
      <c r="I189" s="2">
        <v>265478</v>
      </c>
      <c r="J189" s="2">
        <v>293250</v>
      </c>
      <c r="K189" s="2" t="s">
        <v>28</v>
      </c>
    </row>
    <row r="190" spans="1:11" ht="15.5" x14ac:dyDescent="0.35">
      <c r="A190" s="2" t="s">
        <v>128</v>
      </c>
      <c r="B190" s="2">
        <v>56409</v>
      </c>
      <c r="C190" s="2" t="s">
        <v>28</v>
      </c>
      <c r="D190" s="2">
        <v>56764</v>
      </c>
      <c r="E190" s="2">
        <v>4150</v>
      </c>
      <c r="F190" s="2">
        <v>52614</v>
      </c>
      <c r="G190" s="2">
        <v>290297</v>
      </c>
      <c r="H190" s="2">
        <v>29371</v>
      </c>
      <c r="I190" s="2">
        <v>260965</v>
      </c>
      <c r="J190" s="2">
        <v>294120</v>
      </c>
      <c r="K190" s="2" t="s">
        <v>28</v>
      </c>
    </row>
    <row r="191" spans="1:11" ht="15.5" x14ac:dyDescent="0.35">
      <c r="A191" s="2" t="s">
        <v>129</v>
      </c>
      <c r="B191" s="2">
        <v>59001</v>
      </c>
      <c r="C191" s="2" t="s">
        <v>28</v>
      </c>
      <c r="D191" s="2">
        <v>59785</v>
      </c>
      <c r="E191" s="2">
        <v>4647</v>
      </c>
      <c r="F191" s="2">
        <v>55138</v>
      </c>
      <c r="G191" s="2">
        <v>293265</v>
      </c>
      <c r="H191" s="2">
        <v>31084</v>
      </c>
      <c r="I191" s="2">
        <v>262812</v>
      </c>
      <c r="J191" s="2">
        <v>299393</v>
      </c>
      <c r="K191" s="2" t="s">
        <v>28</v>
      </c>
    </row>
    <row r="192" spans="1:11" ht="15.5" x14ac:dyDescent="0.35">
      <c r="A192" s="2" t="s">
        <v>130</v>
      </c>
      <c r="B192" s="2">
        <v>61052</v>
      </c>
      <c r="C192" s="2" t="s">
        <v>28</v>
      </c>
      <c r="D192" s="2">
        <v>62083</v>
      </c>
      <c r="E192" s="2">
        <v>5063</v>
      </c>
      <c r="F192" s="2">
        <v>57020</v>
      </c>
      <c r="G192" s="2">
        <v>290378</v>
      </c>
      <c r="H192" s="2">
        <v>32102</v>
      </c>
      <c r="I192" s="2">
        <v>259422</v>
      </c>
      <c r="J192" s="2">
        <v>284000</v>
      </c>
      <c r="K192" s="2" t="s">
        <v>28</v>
      </c>
    </row>
    <row r="193" spans="1:11" ht="15.5" x14ac:dyDescent="0.35">
      <c r="A193" s="2" t="s">
        <v>131</v>
      </c>
      <c r="B193" s="2">
        <v>62677</v>
      </c>
      <c r="C193" s="2" t="s">
        <v>28</v>
      </c>
      <c r="D193" s="2">
        <v>63691</v>
      </c>
      <c r="E193" s="2">
        <v>4891</v>
      </c>
      <c r="F193" s="2">
        <v>58800</v>
      </c>
      <c r="G193" s="2">
        <v>284713</v>
      </c>
      <c r="H193" s="2">
        <v>29107</v>
      </c>
      <c r="I193" s="2">
        <v>255894</v>
      </c>
      <c r="J193" s="2">
        <v>281310</v>
      </c>
      <c r="K193" s="2" t="s">
        <v>28</v>
      </c>
    </row>
    <row r="194" spans="1:11" ht="15.5" x14ac:dyDescent="0.35">
      <c r="A194" s="2" t="s">
        <v>132</v>
      </c>
      <c r="B194" s="2">
        <v>65097</v>
      </c>
      <c r="C194" s="2" t="s">
        <v>28</v>
      </c>
      <c r="D194" s="2">
        <v>66013</v>
      </c>
      <c r="E194" s="2">
        <v>5005</v>
      </c>
      <c r="F194" s="2">
        <v>61008</v>
      </c>
      <c r="G194" s="2">
        <v>284402</v>
      </c>
      <c r="H194" s="2">
        <v>28804</v>
      </c>
      <c r="I194" s="2">
        <v>255633</v>
      </c>
      <c r="J194" s="2">
        <v>287261</v>
      </c>
      <c r="K194" s="2" t="s">
        <v>28</v>
      </c>
    </row>
    <row r="195" spans="1:11" ht="15.5" x14ac:dyDescent="0.35">
      <c r="A195" s="2" t="s">
        <v>133</v>
      </c>
      <c r="B195" s="2">
        <v>67426</v>
      </c>
      <c r="C195" s="2" t="s">
        <v>28</v>
      </c>
      <c r="D195" s="2">
        <v>68169</v>
      </c>
      <c r="E195" s="2">
        <v>5047</v>
      </c>
      <c r="F195" s="2">
        <v>63122</v>
      </c>
      <c r="G195" s="2">
        <v>281496</v>
      </c>
      <c r="H195" s="2">
        <v>29752</v>
      </c>
      <c r="I195" s="2">
        <v>252282</v>
      </c>
      <c r="J195" s="2">
        <v>288418</v>
      </c>
      <c r="K195" s="2" t="s">
        <v>28</v>
      </c>
    </row>
    <row r="196" spans="1:11" ht="15.5" x14ac:dyDescent="0.35">
      <c r="A196" s="2" t="s">
        <v>134</v>
      </c>
      <c r="B196" s="2">
        <v>69150</v>
      </c>
      <c r="C196" s="2" t="s">
        <v>28</v>
      </c>
      <c r="D196" s="2">
        <v>69957</v>
      </c>
      <c r="E196" s="2">
        <v>5005</v>
      </c>
      <c r="F196" s="2">
        <v>64952</v>
      </c>
      <c r="G196" s="2">
        <v>281257</v>
      </c>
      <c r="H196" s="2">
        <v>29549</v>
      </c>
      <c r="I196" s="2">
        <v>252145</v>
      </c>
      <c r="J196" s="2">
        <v>276481</v>
      </c>
      <c r="K196" s="2" t="s">
        <v>28</v>
      </c>
    </row>
    <row r="197" spans="1:11" ht="15.5" x14ac:dyDescent="0.35">
      <c r="A197" s="2" t="s">
        <v>135</v>
      </c>
      <c r="B197" s="2">
        <v>70734</v>
      </c>
      <c r="C197" s="2" t="s">
        <v>28</v>
      </c>
      <c r="D197" s="2">
        <v>71408</v>
      </c>
      <c r="E197" s="2">
        <v>5331</v>
      </c>
      <c r="F197" s="2">
        <v>66077</v>
      </c>
      <c r="G197" s="2">
        <v>282155</v>
      </c>
      <c r="H197" s="2">
        <v>28541</v>
      </c>
      <c r="I197" s="2">
        <v>253769</v>
      </c>
      <c r="J197" s="2">
        <v>277940</v>
      </c>
      <c r="K197" s="2" t="s">
        <v>28</v>
      </c>
    </row>
    <row r="198" spans="1:11" ht="15.5" x14ac:dyDescent="0.35">
      <c r="A198" s="2" t="s">
        <v>136</v>
      </c>
      <c r="B198" s="2">
        <v>72331</v>
      </c>
      <c r="C198" s="2" t="s">
        <v>28</v>
      </c>
      <c r="D198" s="2">
        <v>73442</v>
      </c>
      <c r="E198" s="2">
        <v>5477</v>
      </c>
      <c r="F198" s="2">
        <v>67965</v>
      </c>
      <c r="G198" s="2">
        <v>285437</v>
      </c>
      <c r="H198" s="2">
        <v>28855</v>
      </c>
      <c r="I198" s="2">
        <v>256793</v>
      </c>
      <c r="J198" s="2">
        <v>287810</v>
      </c>
      <c r="K198" s="2" t="s">
        <v>28</v>
      </c>
    </row>
    <row r="199" spans="1:11" ht="15.5" x14ac:dyDescent="0.35">
      <c r="A199" s="2" t="s">
        <v>137</v>
      </c>
      <c r="B199" s="2">
        <v>74858</v>
      </c>
      <c r="C199" s="2" t="s">
        <v>28</v>
      </c>
      <c r="D199" s="2">
        <v>75743</v>
      </c>
      <c r="E199" s="2">
        <v>5642</v>
      </c>
      <c r="F199" s="2">
        <v>70101</v>
      </c>
      <c r="G199" s="2">
        <v>285814</v>
      </c>
      <c r="H199" s="2">
        <v>28061</v>
      </c>
      <c r="I199" s="2">
        <v>257735</v>
      </c>
      <c r="J199" s="2">
        <v>292432</v>
      </c>
      <c r="K199" s="2" t="s">
        <v>28</v>
      </c>
    </row>
    <row r="200" spans="1:11" ht="15.5" x14ac:dyDescent="0.35">
      <c r="A200" s="2" t="s">
        <v>138</v>
      </c>
      <c r="B200" s="2">
        <v>76207</v>
      </c>
      <c r="C200" s="2" t="s">
        <v>28</v>
      </c>
      <c r="D200" s="2">
        <v>77593</v>
      </c>
      <c r="E200" s="2">
        <v>6251</v>
      </c>
      <c r="F200" s="2">
        <v>71342</v>
      </c>
      <c r="G200" s="2">
        <v>286275</v>
      </c>
      <c r="H200" s="2">
        <v>28692</v>
      </c>
      <c r="I200" s="2">
        <v>257679</v>
      </c>
      <c r="J200" s="2">
        <v>282406</v>
      </c>
      <c r="K200" s="2" t="s">
        <v>28</v>
      </c>
    </row>
    <row r="201" spans="1:11" ht="15.5" x14ac:dyDescent="0.35">
      <c r="A201" s="2" t="s">
        <v>139</v>
      </c>
      <c r="B201" s="2">
        <v>78118</v>
      </c>
      <c r="C201" s="2" t="s">
        <v>28</v>
      </c>
      <c r="D201" s="2">
        <v>79106</v>
      </c>
      <c r="E201" s="2">
        <v>6465</v>
      </c>
      <c r="F201" s="2">
        <v>72641</v>
      </c>
      <c r="G201" s="2">
        <v>289232</v>
      </c>
      <c r="H201" s="2">
        <v>28454</v>
      </c>
      <c r="I201" s="2">
        <v>260767</v>
      </c>
      <c r="J201" s="2">
        <v>284377</v>
      </c>
      <c r="K201" s="2" t="s">
        <v>28</v>
      </c>
    </row>
    <row r="202" spans="1:11" ht="15.5" x14ac:dyDescent="0.35">
      <c r="A202" s="2" t="s">
        <v>140</v>
      </c>
      <c r="B202" s="2">
        <v>79330</v>
      </c>
      <c r="C202" s="2" t="s">
        <v>28</v>
      </c>
      <c r="D202" s="2">
        <v>80536</v>
      </c>
      <c r="E202" s="2">
        <v>6634</v>
      </c>
      <c r="F202" s="2">
        <v>73902</v>
      </c>
      <c r="G202" s="2">
        <v>289852</v>
      </c>
      <c r="H202" s="2">
        <v>27729</v>
      </c>
      <c r="I202" s="2">
        <v>261893</v>
      </c>
      <c r="J202" s="2">
        <v>291517</v>
      </c>
      <c r="K202" s="2" t="s">
        <v>28</v>
      </c>
    </row>
    <row r="203" spans="1:11" ht="15.5" x14ac:dyDescent="0.35">
      <c r="A203" s="2" t="s">
        <v>141</v>
      </c>
      <c r="B203" s="2">
        <v>81835</v>
      </c>
      <c r="C203" s="2" t="s">
        <v>28</v>
      </c>
      <c r="D203" s="2">
        <v>82778</v>
      </c>
      <c r="E203" s="2">
        <v>6656</v>
      </c>
      <c r="F203" s="2">
        <v>76122</v>
      </c>
      <c r="G203" s="2">
        <v>291832</v>
      </c>
      <c r="H203" s="2">
        <v>28496</v>
      </c>
      <c r="I203" s="2">
        <v>263243</v>
      </c>
      <c r="J203" s="2">
        <v>298891</v>
      </c>
      <c r="K203" s="2" t="s">
        <v>28</v>
      </c>
    </row>
    <row r="204" spans="1:11" ht="15.5" x14ac:dyDescent="0.35">
      <c r="A204" s="2" t="s">
        <v>142</v>
      </c>
      <c r="B204" s="2">
        <v>85035</v>
      </c>
      <c r="C204" s="2" t="s">
        <v>28</v>
      </c>
      <c r="D204" s="2">
        <v>85858</v>
      </c>
      <c r="E204" s="2">
        <v>6791</v>
      </c>
      <c r="F204" s="2">
        <v>79067</v>
      </c>
      <c r="G204" s="2">
        <v>297563</v>
      </c>
      <c r="H204" s="2">
        <v>28359</v>
      </c>
      <c r="I204" s="2">
        <v>268985</v>
      </c>
      <c r="J204" s="2">
        <v>293448</v>
      </c>
      <c r="K204" s="2" t="s">
        <v>28</v>
      </c>
    </row>
    <row r="205" spans="1:11" ht="15.5" x14ac:dyDescent="0.35">
      <c r="A205" s="2" t="s">
        <v>143</v>
      </c>
      <c r="B205" s="2">
        <v>85626</v>
      </c>
      <c r="C205" s="2" t="s">
        <v>28</v>
      </c>
      <c r="D205" s="2">
        <v>86421</v>
      </c>
      <c r="E205" s="2">
        <v>7067</v>
      </c>
      <c r="F205" s="2">
        <v>79354</v>
      </c>
      <c r="G205" s="2">
        <v>299623</v>
      </c>
      <c r="H205" s="2">
        <v>29728</v>
      </c>
      <c r="I205" s="2">
        <v>269917</v>
      </c>
      <c r="J205" s="2">
        <v>293898</v>
      </c>
      <c r="K205" s="2" t="s">
        <v>28</v>
      </c>
    </row>
    <row r="206" spans="1:11" ht="15.5" x14ac:dyDescent="0.35">
      <c r="A206" s="2" t="s">
        <v>144</v>
      </c>
      <c r="B206" s="2">
        <v>88329</v>
      </c>
      <c r="C206" s="2" t="s">
        <v>28</v>
      </c>
      <c r="D206" s="2">
        <v>88777</v>
      </c>
      <c r="E206" s="2">
        <v>7030</v>
      </c>
      <c r="F206" s="2">
        <v>81747</v>
      </c>
      <c r="G206" s="2">
        <v>303085</v>
      </c>
      <c r="H206" s="2">
        <v>29958</v>
      </c>
      <c r="I206" s="2">
        <v>273103</v>
      </c>
      <c r="J206" s="2">
        <v>304967</v>
      </c>
      <c r="K206" s="2" t="s">
        <v>28</v>
      </c>
    </row>
    <row r="207" spans="1:11" ht="15.5" x14ac:dyDescent="0.35">
      <c r="A207" s="2" t="s">
        <v>145</v>
      </c>
      <c r="B207" s="2">
        <v>89842</v>
      </c>
      <c r="C207" s="2" t="s">
        <v>28</v>
      </c>
      <c r="D207" s="2">
        <v>90844</v>
      </c>
      <c r="E207" s="2">
        <v>7172</v>
      </c>
      <c r="F207" s="2">
        <v>83672</v>
      </c>
      <c r="G207" s="2">
        <v>305361</v>
      </c>
      <c r="H207" s="2">
        <v>30527</v>
      </c>
      <c r="I207" s="2">
        <v>274900</v>
      </c>
      <c r="J207" s="2">
        <v>313319</v>
      </c>
      <c r="K207" s="2" t="s">
        <v>28</v>
      </c>
    </row>
    <row r="208" spans="1:11" ht="15.5" x14ac:dyDescent="0.35">
      <c r="A208" s="2" t="s">
        <v>146</v>
      </c>
      <c r="B208" s="2">
        <v>91258</v>
      </c>
      <c r="C208" s="2" t="s">
        <v>28</v>
      </c>
      <c r="D208" s="2">
        <v>91822</v>
      </c>
      <c r="E208" s="2">
        <v>7655</v>
      </c>
      <c r="F208" s="2">
        <v>84167</v>
      </c>
      <c r="G208" s="2">
        <v>307964</v>
      </c>
      <c r="H208" s="2">
        <v>30493</v>
      </c>
      <c r="I208" s="2">
        <v>277468</v>
      </c>
      <c r="J208" s="2">
        <v>303366</v>
      </c>
      <c r="K208" s="2" t="s">
        <v>28</v>
      </c>
    </row>
    <row r="209" spans="1:11" ht="15.5" x14ac:dyDescent="0.35">
      <c r="A209" s="2" t="s">
        <v>147</v>
      </c>
      <c r="B209" s="2">
        <v>92664</v>
      </c>
      <c r="C209" s="2" t="s">
        <v>28</v>
      </c>
      <c r="D209" s="2">
        <v>93603</v>
      </c>
      <c r="E209" s="2">
        <v>7798</v>
      </c>
      <c r="F209" s="2">
        <v>85805</v>
      </c>
      <c r="G209" s="2">
        <v>304892</v>
      </c>
      <c r="H209" s="2">
        <v>30821</v>
      </c>
      <c r="I209" s="2">
        <v>274213</v>
      </c>
      <c r="J209" s="2">
        <v>299977</v>
      </c>
      <c r="K209" s="2" t="s">
        <v>28</v>
      </c>
    </row>
    <row r="210" spans="1:11" ht="15.5" x14ac:dyDescent="0.35">
      <c r="A210" s="2" t="s">
        <v>148</v>
      </c>
      <c r="B210" s="2">
        <v>94188</v>
      </c>
      <c r="C210" s="2" t="s">
        <v>28</v>
      </c>
      <c r="D210" s="2">
        <v>95037</v>
      </c>
      <c r="E210" s="2">
        <v>7842</v>
      </c>
      <c r="F210" s="2">
        <v>87195</v>
      </c>
      <c r="G210" s="2">
        <v>307122</v>
      </c>
      <c r="H210" s="2">
        <v>31548</v>
      </c>
      <c r="I210" s="2">
        <v>275801</v>
      </c>
      <c r="J210" s="2">
        <v>307417</v>
      </c>
      <c r="K210" s="2" t="s">
        <v>28</v>
      </c>
    </row>
    <row r="211" spans="1:11" ht="15.5" x14ac:dyDescent="0.35">
      <c r="A211" s="2" t="s">
        <v>149</v>
      </c>
      <c r="B211" s="2">
        <v>98161</v>
      </c>
      <c r="C211" s="2" t="s">
        <v>28</v>
      </c>
      <c r="D211" s="2">
        <v>98146</v>
      </c>
      <c r="E211" s="2">
        <v>8036</v>
      </c>
      <c r="F211" s="2">
        <v>90110</v>
      </c>
      <c r="G211" s="2">
        <v>312697</v>
      </c>
      <c r="H211" s="2">
        <v>32711</v>
      </c>
      <c r="I211" s="2">
        <v>280348</v>
      </c>
      <c r="J211" s="2">
        <v>321915</v>
      </c>
      <c r="K211" s="2" t="s">
        <v>28</v>
      </c>
    </row>
    <row r="212" spans="1:11" ht="15.5" x14ac:dyDescent="0.35">
      <c r="A212" s="2" t="s">
        <v>150</v>
      </c>
      <c r="B212" s="2">
        <v>98212</v>
      </c>
      <c r="C212" s="2" t="s">
        <v>28</v>
      </c>
      <c r="D212" s="2">
        <v>99621</v>
      </c>
      <c r="E212" s="2">
        <v>8225</v>
      </c>
      <c r="F212" s="2">
        <v>91396</v>
      </c>
      <c r="G212" s="2">
        <v>315753</v>
      </c>
      <c r="H212" s="2">
        <v>31556</v>
      </c>
      <c r="I212" s="2">
        <v>284221</v>
      </c>
      <c r="J212" s="2">
        <v>312407</v>
      </c>
      <c r="K212" s="2" t="s">
        <v>28</v>
      </c>
    </row>
    <row r="213" spans="1:11" ht="15.5" x14ac:dyDescent="0.35">
      <c r="A213" s="2" t="s">
        <v>151</v>
      </c>
      <c r="B213" s="2">
        <v>102278</v>
      </c>
      <c r="C213" s="2" t="s">
        <v>28</v>
      </c>
      <c r="D213" s="2">
        <v>103408</v>
      </c>
      <c r="E213" s="2">
        <v>8370</v>
      </c>
      <c r="F213" s="2">
        <v>95038</v>
      </c>
      <c r="G213" s="2">
        <v>322451</v>
      </c>
      <c r="H213" s="2">
        <v>31743</v>
      </c>
      <c r="I213" s="2">
        <v>290689</v>
      </c>
      <c r="J213" s="2">
        <v>317110</v>
      </c>
      <c r="K213" s="2" t="s">
        <v>28</v>
      </c>
    </row>
    <row r="214" spans="1:11" ht="15.5" x14ac:dyDescent="0.35">
      <c r="A214" s="2" t="s">
        <v>152</v>
      </c>
      <c r="B214" s="2">
        <v>103912</v>
      </c>
      <c r="C214" s="2" t="s">
        <v>28</v>
      </c>
      <c r="D214" s="2">
        <v>105374</v>
      </c>
      <c r="E214" s="2">
        <v>8756</v>
      </c>
      <c r="F214" s="2">
        <v>96618</v>
      </c>
      <c r="G214" s="2">
        <v>322392</v>
      </c>
      <c r="H214" s="2">
        <v>32104</v>
      </c>
      <c r="I214" s="2">
        <v>290313</v>
      </c>
      <c r="J214" s="2">
        <v>322067</v>
      </c>
      <c r="K214" s="2" t="s">
        <v>28</v>
      </c>
    </row>
    <row r="215" spans="1:11" ht="15.5" x14ac:dyDescent="0.35">
      <c r="A215" s="2" t="s">
        <v>153</v>
      </c>
      <c r="B215" s="2">
        <v>105834</v>
      </c>
      <c r="C215" s="2" t="s">
        <v>28</v>
      </c>
      <c r="D215" s="2">
        <v>107052</v>
      </c>
      <c r="E215" s="2">
        <v>9138</v>
      </c>
      <c r="F215" s="2">
        <v>97914</v>
      </c>
      <c r="G215" s="2">
        <v>322604</v>
      </c>
      <c r="H215" s="2">
        <v>32419</v>
      </c>
      <c r="I215" s="2">
        <v>290296</v>
      </c>
      <c r="J215" s="2">
        <v>331616</v>
      </c>
      <c r="K215" s="2" t="s">
        <v>28</v>
      </c>
    </row>
    <row r="216" spans="1:11" ht="15.5" x14ac:dyDescent="0.35">
      <c r="A216" s="2" t="s">
        <v>154</v>
      </c>
      <c r="B216" s="2">
        <v>108063</v>
      </c>
      <c r="C216" s="2" t="s">
        <v>28</v>
      </c>
      <c r="D216" s="2">
        <v>108967</v>
      </c>
      <c r="E216" s="2">
        <v>9379</v>
      </c>
      <c r="F216" s="2">
        <v>99588</v>
      </c>
      <c r="G216" s="2">
        <v>325968</v>
      </c>
      <c r="H216" s="2">
        <v>34314</v>
      </c>
      <c r="I216" s="2">
        <v>292027</v>
      </c>
      <c r="J216" s="2">
        <v>318309</v>
      </c>
      <c r="K216" s="2" t="s">
        <v>28</v>
      </c>
    </row>
    <row r="217" spans="1:11" ht="15.5" x14ac:dyDescent="0.35">
      <c r="A217" s="2" t="s">
        <v>155</v>
      </c>
      <c r="B217" s="2">
        <v>109773</v>
      </c>
      <c r="C217" s="2" t="s">
        <v>28</v>
      </c>
      <c r="D217" s="2">
        <v>110308</v>
      </c>
      <c r="E217" s="2">
        <v>9824</v>
      </c>
      <c r="F217" s="2">
        <v>100484</v>
      </c>
      <c r="G217" s="2">
        <v>328872</v>
      </c>
      <c r="H217" s="2">
        <v>33815</v>
      </c>
      <c r="I217" s="2">
        <v>295289</v>
      </c>
      <c r="J217" s="2">
        <v>322154</v>
      </c>
      <c r="K217" s="2" t="s">
        <v>28</v>
      </c>
    </row>
    <row r="218" spans="1:11" ht="15.5" x14ac:dyDescent="0.35">
      <c r="A218" s="2" t="s">
        <v>156</v>
      </c>
      <c r="B218" s="2">
        <v>111270</v>
      </c>
      <c r="C218" s="2" t="s">
        <v>28</v>
      </c>
      <c r="D218" s="2">
        <v>112237</v>
      </c>
      <c r="E218" s="2">
        <v>9966</v>
      </c>
      <c r="F218" s="2">
        <v>102271</v>
      </c>
      <c r="G218" s="2">
        <v>330966</v>
      </c>
      <c r="H218" s="2">
        <v>32994</v>
      </c>
      <c r="I218" s="2">
        <v>298024</v>
      </c>
      <c r="J218" s="2">
        <v>330995</v>
      </c>
      <c r="K218" s="2" t="s">
        <v>28</v>
      </c>
    </row>
    <row r="219" spans="1:11" ht="15.5" x14ac:dyDescent="0.35">
      <c r="A219" s="2" t="s">
        <v>157</v>
      </c>
      <c r="B219" s="2">
        <v>115242</v>
      </c>
      <c r="C219" s="2" t="s">
        <v>28</v>
      </c>
      <c r="D219" s="2">
        <v>116049</v>
      </c>
      <c r="E219" s="2">
        <v>10236</v>
      </c>
      <c r="F219" s="2">
        <v>105813</v>
      </c>
      <c r="G219" s="2">
        <v>337367</v>
      </c>
      <c r="H219" s="2">
        <v>34675</v>
      </c>
      <c r="I219" s="2">
        <v>302929</v>
      </c>
      <c r="J219" s="2">
        <v>351715</v>
      </c>
      <c r="K219" s="2" t="s">
        <v>28</v>
      </c>
    </row>
    <row r="220" spans="1:11" ht="15.5" x14ac:dyDescent="0.35">
      <c r="A220" s="2" t="s">
        <v>158</v>
      </c>
      <c r="B220" s="2">
        <v>118713</v>
      </c>
      <c r="C220" s="2" t="s">
        <v>28</v>
      </c>
      <c r="D220" s="2">
        <v>118411</v>
      </c>
      <c r="E220" s="2">
        <v>10743</v>
      </c>
      <c r="F220" s="2">
        <v>107668</v>
      </c>
      <c r="G220" s="2">
        <v>339754</v>
      </c>
      <c r="H220" s="2">
        <v>35544</v>
      </c>
      <c r="I220" s="2">
        <v>304543</v>
      </c>
      <c r="J220" s="2">
        <v>330741</v>
      </c>
      <c r="K220" s="2" t="s">
        <v>28</v>
      </c>
    </row>
    <row r="221" spans="1:11" ht="15.5" x14ac:dyDescent="0.35">
      <c r="A221" s="2" t="s">
        <v>159</v>
      </c>
      <c r="B221" s="2">
        <v>121672</v>
      </c>
      <c r="C221" s="2" t="s">
        <v>28</v>
      </c>
      <c r="D221" s="2">
        <v>122020</v>
      </c>
      <c r="E221" s="2">
        <v>10435</v>
      </c>
      <c r="F221" s="2">
        <v>111585</v>
      </c>
      <c r="G221" s="2">
        <v>344795</v>
      </c>
      <c r="H221" s="2">
        <v>34726</v>
      </c>
      <c r="I221" s="2">
        <v>310205</v>
      </c>
      <c r="J221" s="2">
        <v>337178</v>
      </c>
      <c r="K221" s="2" t="s">
        <v>28</v>
      </c>
    </row>
    <row r="222" spans="1:11" ht="15.5" x14ac:dyDescent="0.35">
      <c r="A222" s="2" t="s">
        <v>160</v>
      </c>
      <c r="B222" s="2">
        <v>127103</v>
      </c>
      <c r="C222" s="2" t="s">
        <v>28</v>
      </c>
      <c r="D222" s="2">
        <v>127443</v>
      </c>
      <c r="E222" s="2">
        <v>11074</v>
      </c>
      <c r="F222" s="2">
        <v>116369</v>
      </c>
      <c r="G222" s="2">
        <v>353365</v>
      </c>
      <c r="H222" s="2">
        <v>36743</v>
      </c>
      <c r="I222" s="2">
        <v>316933</v>
      </c>
      <c r="J222" s="2">
        <v>356867</v>
      </c>
      <c r="K222" s="2" t="s">
        <v>28</v>
      </c>
    </row>
    <row r="223" spans="1:11" ht="15.5" x14ac:dyDescent="0.35">
      <c r="A223" s="2" t="s">
        <v>161</v>
      </c>
      <c r="B223" s="2">
        <v>129162</v>
      </c>
      <c r="C223" s="2" t="s">
        <v>28</v>
      </c>
      <c r="D223" s="2">
        <v>130166</v>
      </c>
      <c r="E223" s="2">
        <v>11665</v>
      </c>
      <c r="F223" s="2">
        <v>118501</v>
      </c>
      <c r="G223" s="2">
        <v>357439</v>
      </c>
      <c r="H223" s="2">
        <v>37176</v>
      </c>
      <c r="I223" s="2">
        <v>320577</v>
      </c>
      <c r="J223" s="2">
        <v>370567</v>
      </c>
      <c r="K223" s="2" t="s">
        <v>28</v>
      </c>
    </row>
    <row r="224" spans="1:11" ht="15.5" x14ac:dyDescent="0.35">
      <c r="A224" s="2" t="s">
        <v>162</v>
      </c>
      <c r="B224" s="2">
        <v>133254</v>
      </c>
      <c r="C224" s="2" t="s">
        <v>28</v>
      </c>
      <c r="D224" s="2">
        <v>133648</v>
      </c>
      <c r="E224" s="2">
        <v>11621</v>
      </c>
      <c r="F224" s="2">
        <v>122027</v>
      </c>
      <c r="G224" s="2">
        <v>363267</v>
      </c>
      <c r="H224" s="2">
        <v>38194</v>
      </c>
      <c r="I224" s="2">
        <v>325460</v>
      </c>
      <c r="J224" s="2">
        <v>354344</v>
      </c>
      <c r="K224" s="2" t="s">
        <v>28</v>
      </c>
    </row>
    <row r="225" spans="1:11" ht="15.5" x14ac:dyDescent="0.35">
      <c r="A225" s="2" t="s">
        <v>163</v>
      </c>
      <c r="B225" s="2">
        <v>136941</v>
      </c>
      <c r="C225" s="2" t="s">
        <v>28</v>
      </c>
      <c r="D225" s="2">
        <v>137021</v>
      </c>
      <c r="E225" s="2">
        <v>12230</v>
      </c>
      <c r="F225" s="2">
        <v>124791</v>
      </c>
      <c r="G225" s="2">
        <v>365209</v>
      </c>
      <c r="H225" s="2">
        <v>38432</v>
      </c>
      <c r="I225" s="2">
        <v>327174</v>
      </c>
      <c r="J225" s="2">
        <v>358042</v>
      </c>
      <c r="K225" s="2" t="s">
        <v>28</v>
      </c>
    </row>
    <row r="226" spans="1:11" ht="15.5" x14ac:dyDescent="0.35">
      <c r="A226" s="2" t="s">
        <v>164</v>
      </c>
      <c r="B226" s="2">
        <v>140743</v>
      </c>
      <c r="C226" s="2" t="s">
        <v>28</v>
      </c>
      <c r="D226" s="2">
        <v>141211</v>
      </c>
      <c r="E226" s="2">
        <v>12432</v>
      </c>
      <c r="F226" s="2">
        <v>128779</v>
      </c>
      <c r="G226" s="2">
        <v>369774</v>
      </c>
      <c r="H226" s="2">
        <v>38766</v>
      </c>
      <c r="I226" s="2">
        <v>331386</v>
      </c>
      <c r="J226" s="2">
        <v>372408</v>
      </c>
      <c r="K226" s="2" t="s">
        <v>28</v>
      </c>
    </row>
    <row r="227" spans="1:11" ht="15.5" x14ac:dyDescent="0.35">
      <c r="A227" s="2" t="s">
        <v>165</v>
      </c>
      <c r="B227" s="2">
        <v>144524</v>
      </c>
      <c r="C227" s="2" t="s">
        <v>28</v>
      </c>
      <c r="D227" s="2">
        <v>145397</v>
      </c>
      <c r="E227" s="2">
        <v>12916</v>
      </c>
      <c r="F227" s="2">
        <v>132481</v>
      </c>
      <c r="G227" s="2">
        <v>372752</v>
      </c>
      <c r="H227" s="2">
        <v>38581</v>
      </c>
      <c r="I227" s="2">
        <v>334478</v>
      </c>
      <c r="J227" s="2">
        <v>386208</v>
      </c>
      <c r="K227" s="2" t="s">
        <v>28</v>
      </c>
    </row>
    <row r="228" spans="1:11" ht="15.5" x14ac:dyDescent="0.35">
      <c r="A228" s="2" t="s">
        <v>166</v>
      </c>
      <c r="B228" s="2">
        <v>148953</v>
      </c>
      <c r="C228" s="2" t="s">
        <v>28</v>
      </c>
      <c r="D228" s="2">
        <v>149089</v>
      </c>
      <c r="E228" s="2">
        <v>12725</v>
      </c>
      <c r="F228" s="2">
        <v>136364</v>
      </c>
      <c r="G228" s="2">
        <v>374612</v>
      </c>
      <c r="H228" s="2">
        <v>38793</v>
      </c>
      <c r="I228" s="2">
        <v>336128</v>
      </c>
      <c r="J228" s="2">
        <v>361682</v>
      </c>
      <c r="K228" s="2" t="s">
        <v>28</v>
      </c>
    </row>
    <row r="229" spans="1:11" ht="15.5" x14ac:dyDescent="0.35">
      <c r="A229" s="2" t="s">
        <v>167</v>
      </c>
      <c r="B229" s="2">
        <v>151027</v>
      </c>
      <c r="C229" s="2" t="s">
        <v>28</v>
      </c>
      <c r="D229" s="2">
        <v>151744</v>
      </c>
      <c r="E229" s="2">
        <v>13303</v>
      </c>
      <c r="F229" s="2">
        <v>138441</v>
      </c>
      <c r="G229" s="2">
        <v>376951</v>
      </c>
      <c r="H229" s="2">
        <v>39756</v>
      </c>
      <c r="I229" s="2">
        <v>337622</v>
      </c>
      <c r="J229" s="2">
        <v>368682</v>
      </c>
      <c r="K229" s="2" t="s">
        <v>28</v>
      </c>
    </row>
    <row r="230" spans="1:11" ht="15.5" x14ac:dyDescent="0.35">
      <c r="A230" s="2" t="s">
        <v>168</v>
      </c>
      <c r="B230" s="2">
        <v>154827</v>
      </c>
      <c r="C230" s="2" t="s">
        <v>28</v>
      </c>
      <c r="D230" s="2">
        <v>155873</v>
      </c>
      <c r="E230" s="2">
        <v>13225</v>
      </c>
      <c r="F230" s="2">
        <v>142648</v>
      </c>
      <c r="G230" s="2">
        <v>377573</v>
      </c>
      <c r="H230" s="2">
        <v>39586</v>
      </c>
      <c r="I230" s="2">
        <v>338371</v>
      </c>
      <c r="J230" s="2">
        <v>381648</v>
      </c>
      <c r="K230" s="2" t="s">
        <v>28</v>
      </c>
    </row>
    <row r="231" spans="1:11" ht="15.5" x14ac:dyDescent="0.35">
      <c r="A231" s="2" t="s">
        <v>169</v>
      </c>
      <c r="B231" s="2">
        <v>158570</v>
      </c>
      <c r="C231" s="2" t="s">
        <v>28</v>
      </c>
      <c r="D231" s="2">
        <v>159889</v>
      </c>
      <c r="E231" s="2">
        <v>13393</v>
      </c>
      <c r="F231" s="2">
        <v>146496</v>
      </c>
      <c r="G231" s="2">
        <v>377508</v>
      </c>
      <c r="H231" s="2">
        <v>38567</v>
      </c>
      <c r="I231" s="2">
        <v>339154</v>
      </c>
      <c r="J231" s="2">
        <v>394632</v>
      </c>
      <c r="K231" s="2" t="s">
        <v>28</v>
      </c>
    </row>
    <row r="232" spans="1:11" ht="15.5" x14ac:dyDescent="0.35">
      <c r="A232" s="2" t="s">
        <v>170</v>
      </c>
      <c r="B232" s="2">
        <v>161997</v>
      </c>
      <c r="C232" s="2" t="s">
        <v>28</v>
      </c>
      <c r="D232" s="2">
        <v>163591</v>
      </c>
      <c r="E232" s="2">
        <v>13757</v>
      </c>
      <c r="F232" s="2">
        <v>149834</v>
      </c>
      <c r="G232" s="2">
        <v>379458</v>
      </c>
      <c r="H232" s="2">
        <v>38870</v>
      </c>
      <c r="I232" s="2">
        <v>340812</v>
      </c>
      <c r="J232" s="2">
        <v>364170</v>
      </c>
      <c r="K232" s="2" t="s">
        <v>28</v>
      </c>
    </row>
    <row r="233" spans="1:11" ht="15.5" x14ac:dyDescent="0.35">
      <c r="A233" s="2" t="s">
        <v>171</v>
      </c>
      <c r="B233" s="2">
        <v>165525</v>
      </c>
      <c r="C233" s="2" t="s">
        <v>28</v>
      </c>
      <c r="D233" s="2">
        <v>167263</v>
      </c>
      <c r="E233" s="2">
        <v>14185</v>
      </c>
      <c r="F233" s="2">
        <v>153078</v>
      </c>
      <c r="G233" s="2">
        <v>381997</v>
      </c>
      <c r="H233" s="2">
        <v>39602</v>
      </c>
      <c r="I233" s="2">
        <v>342704</v>
      </c>
      <c r="J233" s="2">
        <v>372155</v>
      </c>
      <c r="K233" s="2" t="s">
        <v>28</v>
      </c>
    </row>
    <row r="234" spans="1:11" ht="15.5" x14ac:dyDescent="0.35">
      <c r="A234" s="2" t="s">
        <v>172</v>
      </c>
      <c r="B234" s="2">
        <v>169792</v>
      </c>
      <c r="C234" s="2" t="s">
        <v>28</v>
      </c>
      <c r="D234" s="2">
        <v>170618</v>
      </c>
      <c r="E234" s="2">
        <v>14035</v>
      </c>
      <c r="F234" s="2">
        <v>156583</v>
      </c>
      <c r="G234" s="2">
        <v>377831</v>
      </c>
      <c r="H234" s="2">
        <v>38189</v>
      </c>
      <c r="I234" s="2">
        <v>339761</v>
      </c>
      <c r="J234" s="2">
        <v>386781</v>
      </c>
      <c r="K234" s="2" t="s">
        <v>28</v>
      </c>
    </row>
    <row r="235" spans="1:11" ht="15.5" x14ac:dyDescent="0.35">
      <c r="A235" s="2" t="s">
        <v>173</v>
      </c>
      <c r="B235" s="2">
        <v>170435</v>
      </c>
      <c r="C235" s="2" t="s">
        <v>28</v>
      </c>
      <c r="D235" s="2">
        <v>171505</v>
      </c>
      <c r="E235" s="2">
        <v>13885</v>
      </c>
      <c r="F235" s="2">
        <v>157620</v>
      </c>
      <c r="G235" s="2">
        <v>375916</v>
      </c>
      <c r="H235" s="2">
        <v>37198</v>
      </c>
      <c r="I235" s="2">
        <v>338679</v>
      </c>
      <c r="J235" s="2">
        <v>392096</v>
      </c>
      <c r="K235" s="2" t="s">
        <v>28</v>
      </c>
    </row>
    <row r="236" spans="1:11" ht="15.5" x14ac:dyDescent="0.35">
      <c r="A236" s="2" t="s">
        <v>174</v>
      </c>
      <c r="B236" s="2">
        <v>172199</v>
      </c>
      <c r="C236" s="2" t="s">
        <v>28</v>
      </c>
      <c r="D236" s="2">
        <v>173745</v>
      </c>
      <c r="E236" s="2">
        <v>14747</v>
      </c>
      <c r="F236" s="2">
        <v>158998</v>
      </c>
      <c r="G236" s="2">
        <v>374060</v>
      </c>
      <c r="H236" s="2">
        <v>37401</v>
      </c>
      <c r="I236" s="2">
        <v>336684</v>
      </c>
      <c r="J236" s="2">
        <v>357751</v>
      </c>
      <c r="K236" s="2" t="s">
        <v>28</v>
      </c>
    </row>
    <row r="237" spans="1:11" ht="15.5" x14ac:dyDescent="0.35">
      <c r="A237" s="2" t="s">
        <v>175</v>
      </c>
      <c r="B237" s="2">
        <v>174604</v>
      </c>
      <c r="C237" s="2" t="s">
        <v>28</v>
      </c>
      <c r="D237" s="2">
        <v>176366</v>
      </c>
      <c r="E237" s="2">
        <v>15302</v>
      </c>
      <c r="F237" s="2">
        <v>161064</v>
      </c>
      <c r="G237" s="2">
        <v>373608</v>
      </c>
      <c r="H237" s="2">
        <v>36679</v>
      </c>
      <c r="I237" s="2">
        <v>336822</v>
      </c>
      <c r="J237" s="2">
        <v>363951</v>
      </c>
      <c r="K237" s="2" t="s">
        <v>28</v>
      </c>
    </row>
    <row r="238" spans="1:11" ht="15.5" x14ac:dyDescent="0.35">
      <c r="A238" s="2" t="s">
        <v>176</v>
      </c>
      <c r="B238" s="2">
        <v>176250</v>
      </c>
      <c r="C238" s="2" t="s">
        <v>28</v>
      </c>
      <c r="D238" s="2">
        <v>177818</v>
      </c>
      <c r="E238" s="2">
        <v>15936</v>
      </c>
      <c r="F238" s="2">
        <v>161882</v>
      </c>
      <c r="G238" s="2">
        <v>372878</v>
      </c>
      <c r="H238" s="2">
        <v>35582</v>
      </c>
      <c r="I238" s="2">
        <v>336998</v>
      </c>
      <c r="J238" s="2">
        <v>381218</v>
      </c>
      <c r="K238" s="2" t="s">
        <v>28</v>
      </c>
    </row>
    <row r="239" spans="1:11" ht="15.5" x14ac:dyDescent="0.35">
      <c r="A239" s="2" t="s">
        <v>177</v>
      </c>
      <c r="B239" s="2">
        <v>179011</v>
      </c>
      <c r="C239" s="2" t="s">
        <v>28</v>
      </c>
      <c r="D239" s="2">
        <v>180143</v>
      </c>
      <c r="E239" s="2">
        <v>16287</v>
      </c>
      <c r="F239" s="2">
        <v>163856</v>
      </c>
      <c r="G239" s="2">
        <v>373357</v>
      </c>
      <c r="H239" s="2">
        <v>35824</v>
      </c>
      <c r="I239" s="2">
        <v>337283</v>
      </c>
      <c r="J239" s="2">
        <v>390983</v>
      </c>
      <c r="K239" s="2" t="s">
        <v>28</v>
      </c>
    </row>
    <row r="240" spans="1:11" ht="15.5" x14ac:dyDescent="0.35">
      <c r="A240" s="2" t="s">
        <v>178</v>
      </c>
      <c r="B240" s="2">
        <v>181508</v>
      </c>
      <c r="C240" s="2" t="s">
        <v>28</v>
      </c>
      <c r="D240" s="2">
        <v>182024</v>
      </c>
      <c r="E240" s="2">
        <v>16227</v>
      </c>
      <c r="F240" s="2">
        <v>165797</v>
      </c>
      <c r="G240" s="2">
        <v>373317</v>
      </c>
      <c r="H240" s="2">
        <v>36316</v>
      </c>
      <c r="I240" s="2">
        <v>336826</v>
      </c>
      <c r="J240" s="2">
        <v>362126</v>
      </c>
      <c r="K240" s="2" t="s">
        <v>28</v>
      </c>
    </row>
    <row r="241" spans="1:11" ht="15.5" x14ac:dyDescent="0.35">
      <c r="A241" s="2" t="s">
        <v>179</v>
      </c>
      <c r="B241" s="2">
        <v>182157</v>
      </c>
      <c r="C241" s="2" t="s">
        <v>28</v>
      </c>
      <c r="D241" s="2">
        <v>182472</v>
      </c>
      <c r="E241" s="2">
        <v>15670</v>
      </c>
      <c r="F241" s="2">
        <v>166802</v>
      </c>
      <c r="G241" s="2">
        <v>372751</v>
      </c>
      <c r="H241" s="2">
        <v>35593</v>
      </c>
      <c r="I241" s="2">
        <v>336927</v>
      </c>
      <c r="J241" s="2">
        <v>366762</v>
      </c>
      <c r="K241" s="2" t="s">
        <v>28</v>
      </c>
    </row>
    <row r="242" spans="1:11" ht="15.5" x14ac:dyDescent="0.35">
      <c r="A242" s="2" t="s">
        <v>180</v>
      </c>
      <c r="B242" s="2">
        <v>183294</v>
      </c>
      <c r="C242" s="2" t="s">
        <v>28</v>
      </c>
      <c r="D242" s="2">
        <v>183139</v>
      </c>
      <c r="E242" s="2">
        <v>16030</v>
      </c>
      <c r="F242" s="2">
        <v>167109</v>
      </c>
      <c r="G242" s="2">
        <v>374537</v>
      </c>
      <c r="H242" s="2">
        <v>35726</v>
      </c>
      <c r="I242" s="2">
        <v>338580</v>
      </c>
      <c r="J242" s="2">
        <v>380547</v>
      </c>
      <c r="K242" s="2" t="s">
        <v>28</v>
      </c>
    </row>
    <row r="243" spans="1:11" ht="15.5" x14ac:dyDescent="0.35">
      <c r="A243" s="2" t="s">
        <v>181</v>
      </c>
      <c r="B243" s="2">
        <v>185029</v>
      </c>
      <c r="C243" s="2" t="s">
        <v>28</v>
      </c>
      <c r="D243" s="2">
        <v>185586</v>
      </c>
      <c r="E243" s="2">
        <v>16552</v>
      </c>
      <c r="F243" s="2">
        <v>169034</v>
      </c>
      <c r="G243" s="2">
        <v>377418</v>
      </c>
      <c r="H243" s="2">
        <v>36113</v>
      </c>
      <c r="I243" s="2">
        <v>341083</v>
      </c>
      <c r="J243" s="2">
        <v>388588</v>
      </c>
      <c r="K243" s="2" t="s">
        <v>28</v>
      </c>
    </row>
    <row r="244" spans="1:11" ht="15.5" x14ac:dyDescent="0.35">
      <c r="A244" s="2" t="s">
        <v>182</v>
      </c>
      <c r="B244" s="2">
        <v>189613</v>
      </c>
      <c r="C244" s="2" t="s">
        <v>28</v>
      </c>
      <c r="D244" s="2">
        <v>190217</v>
      </c>
      <c r="E244" s="2">
        <v>16282</v>
      </c>
      <c r="F244" s="2">
        <v>173935</v>
      </c>
      <c r="G244" s="2">
        <v>379370</v>
      </c>
      <c r="H244" s="2">
        <v>36651</v>
      </c>
      <c r="I244" s="2">
        <v>342522</v>
      </c>
      <c r="J244" s="2">
        <v>368075</v>
      </c>
      <c r="K244" s="2" t="s">
        <v>28</v>
      </c>
    </row>
    <row r="245" spans="1:11" ht="15.5" x14ac:dyDescent="0.35">
      <c r="A245" s="2" t="s">
        <v>183</v>
      </c>
      <c r="B245" s="2">
        <v>190064</v>
      </c>
      <c r="C245" s="2" t="s">
        <v>28</v>
      </c>
      <c r="D245" s="2">
        <v>190433</v>
      </c>
      <c r="E245" s="2">
        <v>16225</v>
      </c>
      <c r="F245" s="2">
        <v>174208</v>
      </c>
      <c r="G245" s="2">
        <v>381045</v>
      </c>
      <c r="H245" s="2">
        <v>36477</v>
      </c>
      <c r="I245" s="2">
        <v>344341</v>
      </c>
      <c r="J245" s="2">
        <v>372994</v>
      </c>
      <c r="K245" s="2" t="s">
        <v>28</v>
      </c>
    </row>
    <row r="246" spans="1:11" ht="15.5" x14ac:dyDescent="0.35">
      <c r="A246" s="2" t="s">
        <v>184</v>
      </c>
      <c r="B246" s="2">
        <v>193913</v>
      </c>
      <c r="C246" s="2" t="s">
        <v>28</v>
      </c>
      <c r="D246" s="2">
        <v>194181</v>
      </c>
      <c r="E246" s="2">
        <v>16847</v>
      </c>
      <c r="F246" s="2">
        <v>177334</v>
      </c>
      <c r="G246" s="2">
        <v>384524</v>
      </c>
      <c r="H246" s="2">
        <v>36515</v>
      </c>
      <c r="I246" s="2">
        <v>347755</v>
      </c>
      <c r="J246" s="2">
        <v>391330</v>
      </c>
      <c r="K246" s="2" t="s">
        <v>28</v>
      </c>
    </row>
    <row r="247" spans="1:11" ht="15.5" x14ac:dyDescent="0.35">
      <c r="A247" s="2" t="s">
        <v>185</v>
      </c>
      <c r="B247" s="2">
        <v>196308</v>
      </c>
      <c r="C247" s="2" t="s">
        <v>28</v>
      </c>
      <c r="D247" s="2">
        <v>197559</v>
      </c>
      <c r="E247" s="2">
        <v>17568</v>
      </c>
      <c r="F247" s="2">
        <v>179991</v>
      </c>
      <c r="G247" s="2">
        <v>387143</v>
      </c>
      <c r="H247" s="2">
        <v>36966</v>
      </c>
      <c r="I247" s="2">
        <v>349939</v>
      </c>
      <c r="J247" s="2">
        <v>399683</v>
      </c>
      <c r="K247" s="2" t="s">
        <v>28</v>
      </c>
    </row>
    <row r="248" spans="1:11" ht="15.5" x14ac:dyDescent="0.35">
      <c r="A248" s="2" t="s">
        <v>186</v>
      </c>
      <c r="B248" s="2">
        <v>201342</v>
      </c>
      <c r="C248" s="2" t="s">
        <v>28</v>
      </c>
      <c r="D248" s="2">
        <v>200471</v>
      </c>
      <c r="E248" s="2">
        <v>17617</v>
      </c>
      <c r="F248" s="2">
        <v>182854</v>
      </c>
      <c r="G248" s="2">
        <v>391026</v>
      </c>
      <c r="H248" s="2">
        <v>37932</v>
      </c>
      <c r="I248" s="2">
        <v>352919</v>
      </c>
      <c r="J248" s="2">
        <v>381322</v>
      </c>
      <c r="K248" s="2" t="s">
        <v>28</v>
      </c>
    </row>
    <row r="249" spans="1:11" ht="15.5" x14ac:dyDescent="0.35">
      <c r="A249" s="2" t="s">
        <v>187</v>
      </c>
      <c r="B249" s="2">
        <v>201593</v>
      </c>
      <c r="C249" s="2" t="s">
        <v>28</v>
      </c>
      <c r="D249" s="2">
        <v>201365</v>
      </c>
      <c r="E249" s="2">
        <v>17689</v>
      </c>
      <c r="F249" s="2">
        <v>183676</v>
      </c>
      <c r="G249" s="2">
        <v>394588</v>
      </c>
      <c r="H249" s="2">
        <v>38610</v>
      </c>
      <c r="I249" s="2">
        <v>355832</v>
      </c>
      <c r="J249" s="2">
        <v>387086</v>
      </c>
      <c r="K249" s="2" t="s">
        <v>28</v>
      </c>
    </row>
    <row r="250" spans="1:11" ht="15.5" x14ac:dyDescent="0.35">
      <c r="A250" s="2" t="s">
        <v>188</v>
      </c>
      <c r="B250" s="2">
        <v>204761</v>
      </c>
      <c r="C250" s="2" t="s">
        <v>28</v>
      </c>
      <c r="D250" s="2">
        <v>203978</v>
      </c>
      <c r="E250" s="2">
        <v>18502</v>
      </c>
      <c r="F250" s="2">
        <v>185476</v>
      </c>
      <c r="G250" s="2">
        <v>398566</v>
      </c>
      <c r="H250" s="2">
        <v>39811</v>
      </c>
      <c r="I250" s="2">
        <v>358687</v>
      </c>
      <c r="J250" s="2">
        <v>404746</v>
      </c>
      <c r="K250" s="2" t="s">
        <v>28</v>
      </c>
    </row>
    <row r="251" spans="1:11" ht="15.5" x14ac:dyDescent="0.35">
      <c r="A251" s="2" t="s">
        <v>189</v>
      </c>
      <c r="B251" s="2">
        <v>207344</v>
      </c>
      <c r="C251" s="2" t="s">
        <v>28</v>
      </c>
      <c r="D251" s="2">
        <v>207713</v>
      </c>
      <c r="E251" s="2">
        <v>18837</v>
      </c>
      <c r="F251" s="2">
        <v>188876</v>
      </c>
      <c r="G251" s="2">
        <v>400279</v>
      </c>
      <c r="H251" s="2">
        <v>39665</v>
      </c>
      <c r="I251" s="2">
        <v>360513</v>
      </c>
      <c r="J251" s="2">
        <v>411305</v>
      </c>
      <c r="K251" s="2" t="s">
        <v>28</v>
      </c>
    </row>
    <row r="252" spans="1:11" ht="15.5" x14ac:dyDescent="0.35">
      <c r="A252" s="2" t="s">
        <v>190</v>
      </c>
      <c r="B252" s="2">
        <v>208664</v>
      </c>
      <c r="C252" s="2" t="s">
        <v>28</v>
      </c>
      <c r="D252" s="2">
        <v>209386</v>
      </c>
      <c r="E252" s="2">
        <v>19174</v>
      </c>
      <c r="F252" s="2">
        <v>190212</v>
      </c>
      <c r="G252" s="2">
        <v>402390</v>
      </c>
      <c r="H252" s="2">
        <v>39889</v>
      </c>
      <c r="I252" s="2">
        <v>362404</v>
      </c>
      <c r="J252" s="2">
        <v>392721</v>
      </c>
      <c r="K252" s="2" t="s">
        <v>28</v>
      </c>
    </row>
    <row r="253" spans="1:11" ht="15.5" x14ac:dyDescent="0.35">
      <c r="A253" s="2" t="s">
        <v>191</v>
      </c>
      <c r="B253" s="2">
        <v>210971</v>
      </c>
      <c r="C253" s="2" t="s">
        <v>28</v>
      </c>
      <c r="D253" s="2">
        <v>211504</v>
      </c>
      <c r="E253" s="2">
        <v>19913</v>
      </c>
      <c r="F253" s="2">
        <v>191591</v>
      </c>
      <c r="G253" s="2">
        <v>403259</v>
      </c>
      <c r="H253" s="2">
        <v>40370</v>
      </c>
      <c r="I253" s="2">
        <v>362830</v>
      </c>
      <c r="J253" s="2">
        <v>392672</v>
      </c>
      <c r="K253" s="2" t="s">
        <v>28</v>
      </c>
    </row>
    <row r="254" spans="1:11" ht="15.5" x14ac:dyDescent="0.35">
      <c r="A254" s="2" t="s">
        <v>192</v>
      </c>
      <c r="B254" s="2">
        <v>215467</v>
      </c>
      <c r="C254" s="2" t="s">
        <v>28</v>
      </c>
      <c r="D254" s="2">
        <v>215396</v>
      </c>
      <c r="E254" s="2">
        <v>19882</v>
      </c>
      <c r="F254" s="2">
        <v>195514</v>
      </c>
      <c r="G254" s="2">
        <v>407795</v>
      </c>
      <c r="H254" s="2">
        <v>40628</v>
      </c>
      <c r="I254" s="2">
        <v>367090</v>
      </c>
      <c r="J254" s="2">
        <v>413523</v>
      </c>
      <c r="K254" s="2" t="s">
        <v>28</v>
      </c>
    </row>
    <row r="255" spans="1:11" ht="15.5" x14ac:dyDescent="0.35">
      <c r="A255" s="2" t="s">
        <v>193</v>
      </c>
      <c r="B255" s="2">
        <v>219006</v>
      </c>
      <c r="C255" s="2" t="s">
        <v>28</v>
      </c>
      <c r="D255" s="2">
        <v>218635</v>
      </c>
      <c r="E255" s="2">
        <v>20362</v>
      </c>
      <c r="F255" s="2">
        <v>198273</v>
      </c>
      <c r="G255" s="2">
        <v>409132</v>
      </c>
      <c r="H255" s="2">
        <v>40569</v>
      </c>
      <c r="I255" s="2">
        <v>368468</v>
      </c>
      <c r="J255" s="2">
        <v>423660</v>
      </c>
      <c r="K255" s="2" t="s">
        <v>28</v>
      </c>
    </row>
    <row r="256" spans="1:11" ht="15.5" x14ac:dyDescent="0.35">
      <c r="A256" s="2" t="s">
        <v>194</v>
      </c>
      <c r="B256" s="2">
        <v>223045</v>
      </c>
      <c r="C256" s="2" t="s">
        <v>28</v>
      </c>
      <c r="D256" s="2">
        <v>222304</v>
      </c>
      <c r="E256" s="2">
        <v>20532</v>
      </c>
      <c r="F256" s="2">
        <v>201772</v>
      </c>
      <c r="G256" s="2">
        <v>412022</v>
      </c>
      <c r="H256" s="2">
        <v>39801</v>
      </c>
      <c r="I256" s="2">
        <v>372048</v>
      </c>
      <c r="J256" s="2">
        <v>400262</v>
      </c>
      <c r="K256" s="2" t="s">
        <v>28</v>
      </c>
    </row>
    <row r="257" spans="1:11" ht="15.5" x14ac:dyDescent="0.35">
      <c r="A257" s="2" t="s">
        <v>195</v>
      </c>
      <c r="B257" s="2">
        <v>227347</v>
      </c>
      <c r="C257" s="2" t="s">
        <v>28</v>
      </c>
      <c r="D257" s="2">
        <v>227104</v>
      </c>
      <c r="E257" s="2">
        <v>20653</v>
      </c>
      <c r="F257" s="2">
        <v>206451</v>
      </c>
      <c r="G257" s="2">
        <v>413325</v>
      </c>
      <c r="H257" s="2">
        <v>39357</v>
      </c>
      <c r="I257" s="2">
        <v>373754</v>
      </c>
      <c r="J257" s="2">
        <v>402613</v>
      </c>
      <c r="K257" s="2" t="s">
        <v>28</v>
      </c>
    </row>
    <row r="258" spans="1:11" ht="15.5" x14ac:dyDescent="0.35">
      <c r="A258" s="2" t="s">
        <v>196</v>
      </c>
      <c r="B258" s="2">
        <v>229882</v>
      </c>
      <c r="C258" s="2" t="s">
        <v>28</v>
      </c>
      <c r="D258" s="2">
        <v>230833</v>
      </c>
      <c r="E258" s="2">
        <v>20918</v>
      </c>
      <c r="F258" s="2">
        <v>209915</v>
      </c>
      <c r="G258" s="2">
        <v>417019</v>
      </c>
      <c r="H258" s="2">
        <v>40487</v>
      </c>
      <c r="I258" s="2">
        <v>376372</v>
      </c>
      <c r="J258" s="2">
        <v>424427</v>
      </c>
      <c r="K258" s="2" t="s">
        <v>28</v>
      </c>
    </row>
    <row r="259" spans="1:11" ht="15.5" x14ac:dyDescent="0.35">
      <c r="A259" s="2" t="s">
        <v>197</v>
      </c>
      <c r="B259" s="2">
        <v>232693</v>
      </c>
      <c r="C259" s="2" t="s">
        <v>28</v>
      </c>
      <c r="D259" s="2">
        <v>233368</v>
      </c>
      <c r="E259" s="2">
        <v>21213</v>
      </c>
      <c r="F259" s="2">
        <v>212155</v>
      </c>
      <c r="G259" s="2">
        <v>422639</v>
      </c>
      <c r="H259" s="2">
        <v>41414</v>
      </c>
      <c r="I259" s="2">
        <v>381090</v>
      </c>
      <c r="J259" s="2">
        <v>437703</v>
      </c>
      <c r="K259" s="2" t="s">
        <v>28</v>
      </c>
    </row>
    <row r="260" spans="1:11" ht="15.5" x14ac:dyDescent="0.35">
      <c r="A260" s="2" t="s">
        <v>198</v>
      </c>
      <c r="B260" s="2">
        <v>233575</v>
      </c>
      <c r="C260" s="2">
        <v>231</v>
      </c>
      <c r="D260" s="2">
        <v>233344</v>
      </c>
      <c r="E260" s="2">
        <v>21485</v>
      </c>
      <c r="F260" s="2">
        <v>211859</v>
      </c>
      <c r="G260" s="2">
        <v>429418</v>
      </c>
      <c r="H260" s="2">
        <v>43561</v>
      </c>
      <c r="I260" s="2">
        <v>385815</v>
      </c>
      <c r="J260" s="2">
        <v>423715</v>
      </c>
      <c r="K260" s="2">
        <v>369229</v>
      </c>
    </row>
    <row r="261" spans="1:11" ht="15.5" x14ac:dyDescent="0.35">
      <c r="A261" s="2" t="s">
        <v>199</v>
      </c>
      <c r="B261" s="2">
        <v>237436</v>
      </c>
      <c r="C261" s="2">
        <v>186</v>
      </c>
      <c r="D261" s="2">
        <v>237250</v>
      </c>
      <c r="E261" s="2">
        <v>23089</v>
      </c>
      <c r="F261" s="2">
        <v>214161</v>
      </c>
      <c r="G261" s="2">
        <v>434199</v>
      </c>
      <c r="H261" s="2">
        <v>44648</v>
      </c>
      <c r="I261" s="2">
        <v>389540</v>
      </c>
      <c r="J261" s="2">
        <v>432165</v>
      </c>
      <c r="K261" s="2">
        <v>373183</v>
      </c>
    </row>
    <row r="262" spans="1:11" ht="15.5" x14ac:dyDescent="0.35">
      <c r="A262" s="2" t="s">
        <v>200</v>
      </c>
      <c r="B262" s="2">
        <v>245261</v>
      </c>
      <c r="C262" s="2">
        <v>-92</v>
      </c>
      <c r="D262" s="2">
        <v>245353</v>
      </c>
      <c r="E262" s="2">
        <v>23042</v>
      </c>
      <c r="F262" s="2">
        <v>222311</v>
      </c>
      <c r="G262" s="2">
        <v>438100</v>
      </c>
      <c r="H262" s="2">
        <v>45607</v>
      </c>
      <c r="I262" s="2">
        <v>392511</v>
      </c>
      <c r="J262" s="2">
        <v>440937</v>
      </c>
      <c r="K262" s="2">
        <v>375758</v>
      </c>
    </row>
    <row r="263" spans="1:11" ht="15.5" x14ac:dyDescent="0.35">
      <c r="A263" s="2" t="s">
        <v>201</v>
      </c>
      <c r="B263" s="2">
        <v>241648</v>
      </c>
      <c r="C263" s="2">
        <v>-944</v>
      </c>
      <c r="D263" s="2">
        <v>242592</v>
      </c>
      <c r="E263" s="2">
        <v>23894</v>
      </c>
      <c r="F263" s="2">
        <v>218698</v>
      </c>
      <c r="G263" s="2">
        <v>444540</v>
      </c>
      <c r="H263" s="2">
        <v>46707</v>
      </c>
      <c r="I263" s="2">
        <v>397889</v>
      </c>
      <c r="J263" s="2">
        <v>449440</v>
      </c>
      <c r="K263" s="2">
        <v>380842</v>
      </c>
    </row>
    <row r="264" spans="1:11" ht="15.5" x14ac:dyDescent="0.35">
      <c r="A264" s="2" t="s">
        <v>202</v>
      </c>
      <c r="B264" s="2">
        <v>246581</v>
      </c>
      <c r="C264" s="2">
        <v>-594</v>
      </c>
      <c r="D264" s="2">
        <v>247175</v>
      </c>
      <c r="E264" s="2">
        <v>23724</v>
      </c>
      <c r="F264" s="2">
        <v>223451</v>
      </c>
      <c r="G264" s="2">
        <v>447712</v>
      </c>
      <c r="H264" s="2">
        <v>46614</v>
      </c>
      <c r="I264" s="2">
        <v>401139</v>
      </c>
      <c r="J264" s="2">
        <v>443596</v>
      </c>
      <c r="K264" s="2">
        <v>384030</v>
      </c>
    </row>
    <row r="265" spans="1:11" ht="15.5" x14ac:dyDescent="0.35">
      <c r="A265" s="2" t="s">
        <v>203</v>
      </c>
      <c r="B265" s="2">
        <v>250296</v>
      </c>
      <c r="C265" s="2">
        <v>1062</v>
      </c>
      <c r="D265" s="2">
        <v>249234</v>
      </c>
      <c r="E265" s="2">
        <v>24610</v>
      </c>
      <c r="F265" s="2">
        <v>224624</v>
      </c>
      <c r="G265" s="2">
        <v>450292</v>
      </c>
      <c r="H265" s="2">
        <v>46587</v>
      </c>
      <c r="I265" s="2">
        <v>403715</v>
      </c>
      <c r="J265" s="2">
        <v>442790</v>
      </c>
      <c r="K265" s="2">
        <v>386484</v>
      </c>
    </row>
    <row r="266" spans="1:11" ht="15.5" x14ac:dyDescent="0.35">
      <c r="A266" s="2" t="s">
        <v>204</v>
      </c>
      <c r="B266" s="2">
        <v>257117</v>
      </c>
      <c r="C266" s="2">
        <v>5625</v>
      </c>
      <c r="D266" s="2">
        <v>251492</v>
      </c>
      <c r="E266" s="2">
        <v>25347</v>
      </c>
      <c r="F266" s="2">
        <v>226145</v>
      </c>
      <c r="G266" s="2">
        <v>451005</v>
      </c>
      <c r="H266" s="2">
        <v>46198</v>
      </c>
      <c r="I266" s="2">
        <v>404770</v>
      </c>
      <c r="J266" s="2">
        <v>450046</v>
      </c>
      <c r="K266" s="2">
        <v>387621</v>
      </c>
    </row>
    <row r="267" spans="1:11" ht="15.5" x14ac:dyDescent="0.35">
      <c r="A267" s="2" t="s">
        <v>205</v>
      </c>
      <c r="B267" s="2">
        <v>259617</v>
      </c>
      <c r="C267" s="2">
        <v>4714</v>
      </c>
      <c r="D267" s="2">
        <v>254903</v>
      </c>
      <c r="E267" s="2">
        <v>25029</v>
      </c>
      <c r="F267" s="2">
        <v>229874</v>
      </c>
      <c r="G267" s="2">
        <v>453937</v>
      </c>
      <c r="H267" s="2">
        <v>45967</v>
      </c>
      <c r="I267" s="2">
        <v>407891</v>
      </c>
      <c r="J267" s="2">
        <v>466514</v>
      </c>
      <c r="K267" s="2">
        <v>390619</v>
      </c>
    </row>
    <row r="268" spans="1:11" ht="15.5" x14ac:dyDescent="0.35">
      <c r="A268" s="2" t="s">
        <v>206</v>
      </c>
      <c r="B268" s="2">
        <v>256026</v>
      </c>
      <c r="C268" s="2">
        <v>-1089</v>
      </c>
      <c r="D268" s="2">
        <v>257115</v>
      </c>
      <c r="E268" s="2">
        <v>26029</v>
      </c>
      <c r="F268" s="2">
        <v>231086</v>
      </c>
      <c r="G268" s="2">
        <v>457044</v>
      </c>
      <c r="H268" s="2">
        <v>46852</v>
      </c>
      <c r="I268" s="2">
        <v>410160</v>
      </c>
      <c r="J268" s="2">
        <v>456503</v>
      </c>
      <c r="K268" s="2">
        <v>392765</v>
      </c>
    </row>
    <row r="269" spans="1:11" ht="15.5" x14ac:dyDescent="0.35">
      <c r="A269" s="2" t="s">
        <v>207</v>
      </c>
      <c r="B269" s="2">
        <v>257908</v>
      </c>
      <c r="C269" s="2">
        <v>-930</v>
      </c>
      <c r="D269" s="2">
        <v>258836</v>
      </c>
      <c r="E269" s="2">
        <v>26161</v>
      </c>
      <c r="F269" s="2">
        <v>232675</v>
      </c>
      <c r="G269" s="2">
        <v>458710</v>
      </c>
      <c r="H269" s="2">
        <v>47204</v>
      </c>
      <c r="I269" s="2">
        <v>411490</v>
      </c>
      <c r="J269" s="2">
        <v>449667</v>
      </c>
      <c r="K269" s="2">
        <v>394064</v>
      </c>
    </row>
    <row r="270" spans="1:11" ht="15.5" x14ac:dyDescent="0.35">
      <c r="A270" s="2" t="s">
        <v>208</v>
      </c>
      <c r="B270" s="2">
        <v>260672</v>
      </c>
      <c r="C270" s="2">
        <v>-1657</v>
      </c>
      <c r="D270" s="2">
        <v>262328</v>
      </c>
      <c r="E270" s="2">
        <v>27235</v>
      </c>
      <c r="F270" s="2">
        <v>235093</v>
      </c>
      <c r="G270" s="2">
        <v>466387</v>
      </c>
      <c r="H270" s="2">
        <v>47493</v>
      </c>
      <c r="I270" s="2">
        <v>418859</v>
      </c>
      <c r="J270" s="2">
        <v>468640</v>
      </c>
      <c r="K270" s="2">
        <v>401095</v>
      </c>
    </row>
    <row r="271" spans="1:11" ht="15.5" x14ac:dyDescent="0.35">
      <c r="A271" s="2" t="s">
        <v>209</v>
      </c>
      <c r="B271" s="2">
        <v>268568</v>
      </c>
      <c r="C271" s="2">
        <v>120</v>
      </c>
      <c r="D271" s="2">
        <v>268448</v>
      </c>
      <c r="E271" s="2">
        <v>27638</v>
      </c>
      <c r="F271" s="2">
        <v>240810</v>
      </c>
      <c r="G271" s="2">
        <v>473892</v>
      </c>
      <c r="H271" s="2">
        <v>48054</v>
      </c>
      <c r="I271" s="2">
        <v>425797</v>
      </c>
      <c r="J271" s="2">
        <v>481223</v>
      </c>
      <c r="K271" s="2">
        <v>407839</v>
      </c>
    </row>
    <row r="272" spans="1:11" ht="15.5" x14ac:dyDescent="0.35">
      <c r="A272" s="2" t="s">
        <v>210</v>
      </c>
      <c r="B272" s="2">
        <v>273321</v>
      </c>
      <c r="C272" s="2">
        <v>-233</v>
      </c>
      <c r="D272" s="2">
        <v>273551</v>
      </c>
      <c r="E272" s="2">
        <v>28059</v>
      </c>
      <c r="F272" s="2">
        <v>245492</v>
      </c>
      <c r="G272" s="2">
        <v>480212</v>
      </c>
      <c r="H272" s="2">
        <v>49411</v>
      </c>
      <c r="I272" s="2">
        <v>430764</v>
      </c>
      <c r="J272" s="2">
        <v>473445</v>
      </c>
      <c r="K272" s="2">
        <v>412752</v>
      </c>
    </row>
    <row r="273" spans="1:11" ht="15.5" x14ac:dyDescent="0.35">
      <c r="A273" s="2" t="s">
        <v>211</v>
      </c>
      <c r="B273" s="2">
        <v>275116</v>
      </c>
      <c r="C273" s="2">
        <v>14</v>
      </c>
      <c r="D273" s="2">
        <v>275103</v>
      </c>
      <c r="E273" s="2">
        <v>28597</v>
      </c>
      <c r="F273" s="2">
        <v>246506</v>
      </c>
      <c r="G273" s="2">
        <v>483672</v>
      </c>
      <c r="H273" s="2">
        <v>49313</v>
      </c>
      <c r="I273" s="2">
        <v>434327</v>
      </c>
      <c r="J273" s="2">
        <v>477886</v>
      </c>
      <c r="K273" s="2">
        <v>416558</v>
      </c>
    </row>
    <row r="274" spans="1:11" ht="15.5" x14ac:dyDescent="0.35">
      <c r="A274" s="2" t="s">
        <v>212</v>
      </c>
      <c r="B274" s="2">
        <v>278488</v>
      </c>
      <c r="C274" s="2">
        <v>1411</v>
      </c>
      <c r="D274" s="2">
        <v>277076</v>
      </c>
      <c r="E274" s="2">
        <v>28533</v>
      </c>
      <c r="F274" s="2">
        <v>248543</v>
      </c>
      <c r="G274" s="2">
        <v>486617</v>
      </c>
      <c r="H274" s="2">
        <v>49294</v>
      </c>
      <c r="I274" s="2">
        <v>437292</v>
      </c>
      <c r="J274" s="2">
        <v>489253</v>
      </c>
      <c r="K274" s="2">
        <v>419605</v>
      </c>
    </row>
    <row r="275" spans="1:11" ht="15.5" x14ac:dyDescent="0.35">
      <c r="A275" s="2" t="s">
        <v>213</v>
      </c>
      <c r="B275" s="2">
        <v>280872</v>
      </c>
      <c r="C275" s="2">
        <v>1846</v>
      </c>
      <c r="D275" s="2">
        <v>279029</v>
      </c>
      <c r="E275" s="2">
        <v>28048</v>
      </c>
      <c r="F275" s="2">
        <v>250981</v>
      </c>
      <c r="G275" s="2">
        <v>489506</v>
      </c>
      <c r="H275" s="2">
        <v>49078</v>
      </c>
      <c r="I275" s="2">
        <v>440400</v>
      </c>
      <c r="J275" s="2">
        <v>499423</v>
      </c>
      <c r="K275" s="2">
        <v>422867</v>
      </c>
    </row>
    <row r="276" spans="1:11" ht="15.5" x14ac:dyDescent="0.35">
      <c r="A276" s="2" t="s">
        <v>214</v>
      </c>
      <c r="B276" s="2">
        <v>285344</v>
      </c>
      <c r="C276" s="2">
        <v>1620</v>
      </c>
      <c r="D276" s="2">
        <v>283724</v>
      </c>
      <c r="E276" s="2">
        <v>28301</v>
      </c>
      <c r="F276" s="2">
        <v>255423</v>
      </c>
      <c r="G276" s="2">
        <v>493575</v>
      </c>
      <c r="H276" s="2">
        <v>49687</v>
      </c>
      <c r="I276" s="2">
        <v>443858</v>
      </c>
      <c r="J276" s="2">
        <v>492725</v>
      </c>
      <c r="K276" s="2">
        <v>426448</v>
      </c>
    </row>
    <row r="277" spans="1:11" ht="15.5" x14ac:dyDescent="0.35">
      <c r="A277" s="2" t="s">
        <v>215</v>
      </c>
      <c r="B277" s="2">
        <v>290072</v>
      </c>
      <c r="C277" s="2">
        <v>2472</v>
      </c>
      <c r="D277" s="2">
        <v>287603</v>
      </c>
      <c r="E277" s="2">
        <v>28827</v>
      </c>
      <c r="F277" s="2">
        <v>258776</v>
      </c>
      <c r="G277" s="2">
        <v>495602</v>
      </c>
      <c r="H277" s="2">
        <v>49962</v>
      </c>
      <c r="I277" s="2">
        <v>445609</v>
      </c>
      <c r="J277" s="2">
        <v>485158</v>
      </c>
      <c r="K277" s="2">
        <v>428173</v>
      </c>
    </row>
    <row r="278" spans="1:11" ht="15.5" x14ac:dyDescent="0.35">
      <c r="A278" s="2" t="s">
        <v>216</v>
      </c>
      <c r="B278" s="2">
        <v>289477</v>
      </c>
      <c r="C278" s="2">
        <v>144</v>
      </c>
      <c r="D278" s="2">
        <v>289333</v>
      </c>
      <c r="E278" s="2">
        <v>29226</v>
      </c>
      <c r="F278" s="2">
        <v>260107</v>
      </c>
      <c r="G278" s="2">
        <v>497938</v>
      </c>
      <c r="H278" s="2">
        <v>50614</v>
      </c>
      <c r="I278" s="2">
        <v>447290</v>
      </c>
      <c r="J278" s="2">
        <v>501741</v>
      </c>
      <c r="K278" s="2">
        <v>429941</v>
      </c>
    </row>
    <row r="279" spans="1:11" ht="15.5" x14ac:dyDescent="0.35">
      <c r="A279" s="2" t="s">
        <v>217</v>
      </c>
      <c r="B279" s="2">
        <v>291837</v>
      </c>
      <c r="C279" s="2">
        <v>1955</v>
      </c>
      <c r="D279" s="2">
        <v>289882</v>
      </c>
      <c r="E279" s="2">
        <v>28664</v>
      </c>
      <c r="F279" s="2">
        <v>261218</v>
      </c>
      <c r="G279" s="2">
        <v>499278</v>
      </c>
      <c r="H279" s="2">
        <v>51057</v>
      </c>
      <c r="I279" s="2">
        <v>448189</v>
      </c>
      <c r="J279" s="2">
        <v>506769</v>
      </c>
      <c r="K279" s="2">
        <v>430988</v>
      </c>
    </row>
    <row r="280" spans="1:11" ht="15.5" x14ac:dyDescent="0.35">
      <c r="A280" s="2" t="s">
        <v>218</v>
      </c>
      <c r="B280" s="2">
        <v>296830</v>
      </c>
      <c r="C280" s="2">
        <v>2951</v>
      </c>
      <c r="D280" s="2">
        <v>293878</v>
      </c>
      <c r="E280" s="2">
        <v>29602</v>
      </c>
      <c r="F280" s="2">
        <v>264276</v>
      </c>
      <c r="G280" s="2">
        <v>500794</v>
      </c>
      <c r="H280" s="2">
        <v>51690</v>
      </c>
      <c r="I280" s="2">
        <v>449084</v>
      </c>
      <c r="J280" s="2">
        <v>499654</v>
      </c>
      <c r="K280" s="2">
        <v>432035</v>
      </c>
    </row>
    <row r="281" spans="1:11" ht="15.5" x14ac:dyDescent="0.35">
      <c r="A281" s="2" t="s">
        <v>219</v>
      </c>
      <c r="B281" s="2">
        <v>298698</v>
      </c>
      <c r="C281" s="2">
        <v>1698</v>
      </c>
      <c r="D281" s="2">
        <v>297001</v>
      </c>
      <c r="E281" s="2">
        <v>29818</v>
      </c>
      <c r="F281" s="2">
        <v>267183</v>
      </c>
      <c r="G281" s="2">
        <v>503433</v>
      </c>
      <c r="H281" s="2">
        <v>52336</v>
      </c>
      <c r="I281" s="2">
        <v>451085</v>
      </c>
      <c r="J281" s="2">
        <v>492947</v>
      </c>
      <c r="K281" s="2">
        <v>433685</v>
      </c>
    </row>
    <row r="282" spans="1:11" ht="15.5" x14ac:dyDescent="0.35">
      <c r="A282" s="2" t="s">
        <v>220</v>
      </c>
      <c r="B282" s="2">
        <v>303128</v>
      </c>
      <c r="C282" s="2">
        <v>3264</v>
      </c>
      <c r="D282" s="2">
        <v>299863</v>
      </c>
      <c r="E282" s="2">
        <v>30026</v>
      </c>
      <c r="F282" s="2">
        <v>269837</v>
      </c>
      <c r="G282" s="2">
        <v>506386</v>
      </c>
      <c r="H282" s="2">
        <v>51943</v>
      </c>
      <c r="I282" s="2">
        <v>454422</v>
      </c>
      <c r="J282" s="2">
        <v>513495</v>
      </c>
      <c r="K282" s="2">
        <v>437651</v>
      </c>
    </row>
    <row r="283" spans="1:11" ht="15.5" x14ac:dyDescent="0.35">
      <c r="A283" s="2" t="s">
        <v>221</v>
      </c>
      <c r="B283" s="2">
        <v>309779</v>
      </c>
      <c r="C283" s="2">
        <v>5875</v>
      </c>
      <c r="D283" s="2">
        <v>303904</v>
      </c>
      <c r="E283" s="2">
        <v>29836</v>
      </c>
      <c r="F283" s="2">
        <v>274068</v>
      </c>
      <c r="G283" s="2">
        <v>509728</v>
      </c>
      <c r="H283" s="2">
        <v>52167</v>
      </c>
      <c r="I283" s="2">
        <v>457536</v>
      </c>
      <c r="J283" s="2">
        <v>514245</v>
      </c>
      <c r="K283" s="2">
        <v>440327</v>
      </c>
    </row>
    <row r="284" spans="1:11" ht="15.5" x14ac:dyDescent="0.35">
      <c r="A284" s="2" t="s">
        <v>222</v>
      </c>
      <c r="B284" s="2">
        <v>312685</v>
      </c>
      <c r="C284" s="2">
        <v>5108</v>
      </c>
      <c r="D284" s="2">
        <v>307576</v>
      </c>
      <c r="E284" s="2">
        <v>30279</v>
      </c>
      <c r="F284" s="2">
        <v>277297</v>
      </c>
      <c r="G284" s="2">
        <v>514031</v>
      </c>
      <c r="H284" s="2">
        <v>53215</v>
      </c>
      <c r="I284" s="2">
        <v>460807</v>
      </c>
      <c r="J284" s="2">
        <v>515117</v>
      </c>
      <c r="K284" s="2">
        <v>443486</v>
      </c>
    </row>
    <row r="285" spans="1:11" ht="15.5" x14ac:dyDescent="0.35">
      <c r="A285" s="2" t="s">
        <v>223</v>
      </c>
      <c r="B285" s="2">
        <v>316764</v>
      </c>
      <c r="C285" s="2">
        <v>3140</v>
      </c>
      <c r="D285" s="2">
        <v>313623</v>
      </c>
      <c r="E285" s="2">
        <v>31503</v>
      </c>
      <c r="F285" s="2">
        <v>282120</v>
      </c>
      <c r="G285" s="2">
        <v>518802</v>
      </c>
      <c r="H285" s="2">
        <v>53598</v>
      </c>
      <c r="I285" s="2">
        <v>465189</v>
      </c>
      <c r="J285" s="2">
        <v>507617</v>
      </c>
      <c r="K285" s="2">
        <v>448289</v>
      </c>
    </row>
    <row r="286" spans="1:11" ht="15.5" x14ac:dyDescent="0.35">
      <c r="A286" s="2" t="s">
        <v>224</v>
      </c>
      <c r="B286" s="2">
        <v>320150</v>
      </c>
      <c r="C286" s="2">
        <v>1275</v>
      </c>
      <c r="D286" s="2">
        <v>318875</v>
      </c>
      <c r="E286" s="2">
        <v>30952</v>
      </c>
      <c r="F286" s="2">
        <v>287923</v>
      </c>
      <c r="G286" s="2">
        <v>524213</v>
      </c>
      <c r="H286" s="2">
        <v>54326</v>
      </c>
      <c r="I286" s="2">
        <v>469878</v>
      </c>
      <c r="J286" s="2">
        <v>527219</v>
      </c>
      <c r="K286" s="2">
        <v>452908</v>
      </c>
    </row>
    <row r="287" spans="1:11" ht="15.5" x14ac:dyDescent="0.35">
      <c r="A287" s="2" t="s">
        <v>225</v>
      </c>
      <c r="B287" s="2">
        <v>327303</v>
      </c>
      <c r="C287" s="2">
        <v>4873</v>
      </c>
      <c r="D287" s="2">
        <v>322428</v>
      </c>
      <c r="E287" s="2">
        <v>32708</v>
      </c>
      <c r="F287" s="2">
        <v>289720</v>
      </c>
      <c r="G287" s="2">
        <v>528320</v>
      </c>
      <c r="H287" s="2">
        <v>54584</v>
      </c>
      <c r="I287" s="2">
        <v>473720</v>
      </c>
      <c r="J287" s="2">
        <v>535413</v>
      </c>
      <c r="K287" s="2">
        <v>456694</v>
      </c>
    </row>
    <row r="288" spans="1:11" ht="15.5" x14ac:dyDescent="0.35">
      <c r="A288" s="2" t="s">
        <v>226</v>
      </c>
      <c r="B288" s="2">
        <v>326378</v>
      </c>
      <c r="C288" s="2">
        <v>2078</v>
      </c>
      <c r="D288" s="2">
        <v>324300</v>
      </c>
      <c r="E288" s="2">
        <v>33630</v>
      </c>
      <c r="F288" s="2">
        <v>290670</v>
      </c>
      <c r="G288" s="2">
        <v>529996</v>
      </c>
      <c r="H288" s="2">
        <v>55446</v>
      </c>
      <c r="I288" s="2">
        <v>474564</v>
      </c>
      <c r="J288" s="2">
        <v>526399</v>
      </c>
      <c r="K288" s="2">
        <v>457634</v>
      </c>
    </row>
    <row r="289" spans="1:11" ht="15.5" x14ac:dyDescent="0.35">
      <c r="A289" s="2" t="s">
        <v>227</v>
      </c>
      <c r="B289" s="2">
        <v>333604</v>
      </c>
      <c r="C289" s="2">
        <v>2537</v>
      </c>
      <c r="D289" s="2">
        <v>331067</v>
      </c>
      <c r="E289" s="2">
        <v>33051</v>
      </c>
      <c r="F289" s="2">
        <v>298016</v>
      </c>
      <c r="G289" s="2">
        <v>532543</v>
      </c>
      <c r="H289" s="2">
        <v>56327</v>
      </c>
      <c r="I289" s="2">
        <v>476258</v>
      </c>
      <c r="J289" s="2">
        <v>519924</v>
      </c>
      <c r="K289" s="2">
        <v>459266</v>
      </c>
    </row>
    <row r="290" spans="1:11" ht="15.5" x14ac:dyDescent="0.35">
      <c r="A290" s="2" t="s">
        <v>228</v>
      </c>
      <c r="B290" s="2">
        <v>333191</v>
      </c>
      <c r="C290" s="2">
        <v>673</v>
      </c>
      <c r="D290" s="2">
        <v>332518</v>
      </c>
      <c r="E290" s="2">
        <v>32966</v>
      </c>
      <c r="F290" s="2">
        <v>299552</v>
      </c>
      <c r="G290" s="2">
        <v>534447</v>
      </c>
      <c r="H290" s="2">
        <v>57040</v>
      </c>
      <c r="I290" s="2">
        <v>477472</v>
      </c>
      <c r="J290" s="2">
        <v>544115</v>
      </c>
      <c r="K290" s="2">
        <v>460805</v>
      </c>
    </row>
    <row r="291" spans="1:11" ht="15.5" x14ac:dyDescent="0.35">
      <c r="A291" s="2" t="s">
        <v>229</v>
      </c>
      <c r="B291" s="2">
        <v>344855</v>
      </c>
      <c r="C291" s="2">
        <v>5597</v>
      </c>
      <c r="D291" s="2">
        <v>339258</v>
      </c>
      <c r="E291" s="2">
        <v>33577</v>
      </c>
      <c r="F291" s="2">
        <v>305681</v>
      </c>
      <c r="G291" s="2">
        <v>536886</v>
      </c>
      <c r="H291" s="2">
        <v>56595</v>
      </c>
      <c r="I291" s="2">
        <v>480324</v>
      </c>
      <c r="J291" s="2">
        <v>543434</v>
      </c>
      <c r="K291" s="2">
        <v>463675</v>
      </c>
    </row>
    <row r="292" spans="1:11" ht="15.5" x14ac:dyDescent="0.35">
      <c r="A292" s="2" t="s">
        <v>230</v>
      </c>
      <c r="B292" s="2">
        <v>346689</v>
      </c>
      <c r="C292" s="2">
        <v>4850</v>
      </c>
      <c r="D292" s="2">
        <v>341839</v>
      </c>
      <c r="E292" s="2">
        <v>34251</v>
      </c>
      <c r="F292" s="2">
        <v>307588</v>
      </c>
      <c r="G292" s="2">
        <v>541028</v>
      </c>
      <c r="H292" s="2">
        <v>56610</v>
      </c>
      <c r="I292" s="2">
        <v>484427</v>
      </c>
      <c r="J292" s="2">
        <v>540485</v>
      </c>
      <c r="K292" s="2">
        <v>467846</v>
      </c>
    </row>
    <row r="293" spans="1:11" ht="15.5" x14ac:dyDescent="0.35">
      <c r="A293" s="2" t="s">
        <v>231</v>
      </c>
      <c r="B293" s="2">
        <v>356342</v>
      </c>
      <c r="C293" s="2">
        <v>6740</v>
      </c>
      <c r="D293" s="2">
        <v>349602</v>
      </c>
      <c r="E293" s="2">
        <v>34331</v>
      </c>
      <c r="F293" s="2">
        <v>315271</v>
      </c>
      <c r="G293" s="2">
        <v>545530</v>
      </c>
      <c r="H293" s="2">
        <v>56525</v>
      </c>
      <c r="I293" s="2">
        <v>488982</v>
      </c>
      <c r="J293" s="2">
        <v>532808</v>
      </c>
      <c r="K293" s="2">
        <v>472395</v>
      </c>
    </row>
    <row r="294" spans="1:11" ht="15.5" x14ac:dyDescent="0.35">
      <c r="A294" s="2" t="s">
        <v>232</v>
      </c>
      <c r="B294" s="2">
        <v>355493</v>
      </c>
      <c r="C294" s="2">
        <v>2067</v>
      </c>
      <c r="D294" s="2">
        <v>353424</v>
      </c>
      <c r="E294" s="2">
        <v>35312</v>
      </c>
      <c r="F294" s="2">
        <v>318112</v>
      </c>
      <c r="G294" s="2">
        <v>550552</v>
      </c>
      <c r="H294" s="2">
        <v>56612</v>
      </c>
      <c r="I294" s="2">
        <v>493895</v>
      </c>
      <c r="J294" s="2">
        <v>555555</v>
      </c>
      <c r="K294" s="2">
        <v>477865</v>
      </c>
    </row>
    <row r="295" spans="1:11" ht="15.5" x14ac:dyDescent="0.35">
      <c r="A295" s="2" t="s">
        <v>233</v>
      </c>
      <c r="B295" s="2">
        <v>359241</v>
      </c>
      <c r="C295" s="2">
        <v>858</v>
      </c>
      <c r="D295" s="2">
        <v>358384</v>
      </c>
      <c r="E295" s="2">
        <v>34949</v>
      </c>
      <c r="F295" s="2">
        <v>323435</v>
      </c>
      <c r="G295" s="2">
        <v>556311</v>
      </c>
      <c r="H295" s="2">
        <v>56773</v>
      </c>
      <c r="I295" s="2">
        <v>499470</v>
      </c>
      <c r="J295" s="2">
        <v>564573</v>
      </c>
      <c r="K295" s="2">
        <v>483558</v>
      </c>
    </row>
    <row r="296" spans="1:11" ht="15.5" x14ac:dyDescent="0.35">
      <c r="A296" s="2" t="s">
        <v>234</v>
      </c>
      <c r="B296" s="2">
        <v>362636</v>
      </c>
      <c r="C296" s="2">
        <v>42</v>
      </c>
      <c r="D296" s="2">
        <v>362595</v>
      </c>
      <c r="E296" s="2">
        <v>36081</v>
      </c>
      <c r="F296" s="2">
        <v>326514</v>
      </c>
      <c r="G296" s="2">
        <v>558314</v>
      </c>
      <c r="H296" s="2">
        <v>56245</v>
      </c>
      <c r="I296" s="2">
        <v>501970</v>
      </c>
      <c r="J296" s="2">
        <v>557482</v>
      </c>
      <c r="K296" s="2">
        <v>486119</v>
      </c>
    </row>
    <row r="297" spans="1:11" ht="15.5" x14ac:dyDescent="0.35">
      <c r="A297" s="2" t="s">
        <v>235</v>
      </c>
      <c r="B297" s="2">
        <v>368077</v>
      </c>
      <c r="C297" s="2">
        <v>-447</v>
      </c>
      <c r="D297" s="2">
        <v>368522</v>
      </c>
      <c r="E297" s="2">
        <v>35618</v>
      </c>
      <c r="F297" s="2">
        <v>332904</v>
      </c>
      <c r="G297" s="2">
        <v>559795</v>
      </c>
      <c r="H297" s="2">
        <v>56818</v>
      </c>
      <c r="I297" s="2">
        <v>502899</v>
      </c>
      <c r="J297" s="2">
        <v>547458</v>
      </c>
      <c r="K297" s="2">
        <v>487800</v>
      </c>
    </row>
    <row r="298" spans="1:11" ht="15.5" x14ac:dyDescent="0.35">
      <c r="A298" s="2" t="s">
        <v>236</v>
      </c>
      <c r="B298" s="2">
        <v>368974</v>
      </c>
      <c r="C298" s="2">
        <v>-3608</v>
      </c>
      <c r="D298" s="2">
        <v>372582</v>
      </c>
      <c r="E298" s="2">
        <v>36734</v>
      </c>
      <c r="F298" s="2">
        <v>335848</v>
      </c>
      <c r="G298" s="2">
        <v>560675</v>
      </c>
      <c r="H298" s="2">
        <v>57388</v>
      </c>
      <c r="I298" s="2">
        <v>503232</v>
      </c>
      <c r="J298" s="2">
        <v>564691</v>
      </c>
      <c r="K298" s="2">
        <v>488423</v>
      </c>
    </row>
    <row r="299" spans="1:11" ht="15.5" x14ac:dyDescent="0.35">
      <c r="A299" s="2" t="s">
        <v>237</v>
      </c>
      <c r="B299" s="2">
        <v>372616</v>
      </c>
      <c r="C299" s="2">
        <v>-1767</v>
      </c>
      <c r="D299" s="2">
        <v>374381</v>
      </c>
      <c r="E299" s="2">
        <v>37678</v>
      </c>
      <c r="F299" s="2">
        <v>336703</v>
      </c>
      <c r="G299" s="2">
        <v>562669</v>
      </c>
      <c r="H299" s="2">
        <v>57756</v>
      </c>
      <c r="I299" s="2">
        <v>504863</v>
      </c>
      <c r="J299" s="2">
        <v>571822</v>
      </c>
      <c r="K299" s="2">
        <v>490347</v>
      </c>
    </row>
    <row r="300" spans="1:11" ht="15.5" x14ac:dyDescent="0.35">
      <c r="A300" s="2" t="s">
        <v>238</v>
      </c>
      <c r="B300" s="2">
        <v>375344</v>
      </c>
      <c r="C300" s="2">
        <v>-3328</v>
      </c>
      <c r="D300" s="2">
        <v>378672</v>
      </c>
      <c r="E300" s="2">
        <v>38901</v>
      </c>
      <c r="F300" s="2">
        <v>339771</v>
      </c>
      <c r="G300" s="2">
        <v>568845</v>
      </c>
      <c r="H300" s="2">
        <v>57939</v>
      </c>
      <c r="I300" s="2">
        <v>510837</v>
      </c>
      <c r="J300" s="2">
        <v>564699</v>
      </c>
      <c r="K300" s="2">
        <v>496194</v>
      </c>
    </row>
    <row r="301" spans="1:11" ht="15.5" x14ac:dyDescent="0.35">
      <c r="A301" s="2" t="s">
        <v>239</v>
      </c>
      <c r="B301" s="2">
        <v>385749</v>
      </c>
      <c r="C301" s="2">
        <v>-2200</v>
      </c>
      <c r="D301" s="2">
        <v>387949</v>
      </c>
      <c r="E301" s="2">
        <v>38246</v>
      </c>
      <c r="F301" s="2">
        <v>349703</v>
      </c>
      <c r="G301" s="2">
        <v>574194</v>
      </c>
      <c r="H301" s="2">
        <v>58038</v>
      </c>
      <c r="I301" s="2">
        <v>516070</v>
      </c>
      <c r="J301" s="2">
        <v>558948</v>
      </c>
      <c r="K301" s="2">
        <v>501454</v>
      </c>
    </row>
    <row r="302" spans="1:11" ht="15.5" x14ac:dyDescent="0.35">
      <c r="A302" s="2" t="s">
        <v>240</v>
      </c>
      <c r="B302" s="2">
        <v>385223</v>
      </c>
      <c r="C302" s="2">
        <v>-5673</v>
      </c>
      <c r="D302" s="2">
        <v>390894</v>
      </c>
      <c r="E302" s="2">
        <v>38956</v>
      </c>
      <c r="F302" s="2">
        <v>351938</v>
      </c>
      <c r="G302" s="2">
        <v>579605</v>
      </c>
      <c r="H302" s="2">
        <v>59025</v>
      </c>
      <c r="I302" s="2">
        <v>520508</v>
      </c>
      <c r="J302" s="2">
        <v>587952</v>
      </c>
      <c r="K302" s="2">
        <v>506086</v>
      </c>
    </row>
    <row r="303" spans="1:11" ht="15.5" x14ac:dyDescent="0.35">
      <c r="A303" s="2" t="s">
        <v>241</v>
      </c>
      <c r="B303" s="2">
        <v>391310</v>
      </c>
      <c r="C303" s="2">
        <v>-2904</v>
      </c>
      <c r="D303" s="2">
        <v>394214</v>
      </c>
      <c r="E303" s="2">
        <v>38376</v>
      </c>
      <c r="F303" s="2">
        <v>355838</v>
      </c>
      <c r="G303" s="2">
        <v>584504</v>
      </c>
      <c r="H303" s="2">
        <v>59882</v>
      </c>
      <c r="I303" s="2">
        <v>524558</v>
      </c>
      <c r="J303" s="2">
        <v>595549</v>
      </c>
      <c r="K303" s="2">
        <v>509982</v>
      </c>
    </row>
    <row r="304" spans="1:11" ht="15.5" x14ac:dyDescent="0.35">
      <c r="A304" s="2" t="s">
        <v>242</v>
      </c>
      <c r="B304" s="2">
        <v>399097</v>
      </c>
      <c r="C304" s="2">
        <v>-619</v>
      </c>
      <c r="D304" s="2">
        <v>399716</v>
      </c>
      <c r="E304" s="2">
        <v>39142</v>
      </c>
      <c r="F304" s="2">
        <v>360574</v>
      </c>
      <c r="G304" s="2">
        <v>586690</v>
      </c>
      <c r="H304" s="2">
        <v>59226</v>
      </c>
      <c r="I304" s="2">
        <v>527380</v>
      </c>
      <c r="J304" s="2">
        <v>582870</v>
      </c>
      <c r="K304" s="2">
        <v>513251</v>
      </c>
    </row>
    <row r="305" spans="1:11" ht="15.5" x14ac:dyDescent="0.35">
      <c r="A305" s="2" t="s">
        <v>243</v>
      </c>
      <c r="B305" s="2">
        <v>397924</v>
      </c>
      <c r="C305" s="2">
        <v>-4763</v>
      </c>
      <c r="D305" s="2">
        <v>402687</v>
      </c>
      <c r="E305" s="2">
        <v>39782</v>
      </c>
      <c r="F305" s="2">
        <v>362905</v>
      </c>
      <c r="G305" s="2">
        <v>583541</v>
      </c>
      <c r="H305" s="2">
        <v>58056</v>
      </c>
      <c r="I305" s="2">
        <v>525379</v>
      </c>
      <c r="J305" s="2">
        <v>573055</v>
      </c>
      <c r="K305" s="2">
        <v>511331</v>
      </c>
    </row>
    <row r="306" spans="1:11" ht="15.5" x14ac:dyDescent="0.35">
      <c r="A306" s="2" t="s">
        <v>244</v>
      </c>
      <c r="B306" s="2">
        <v>397712</v>
      </c>
      <c r="C306" s="2">
        <v>-4425</v>
      </c>
      <c r="D306" s="2">
        <v>402137</v>
      </c>
      <c r="E306" s="2">
        <v>37352</v>
      </c>
      <c r="F306" s="2">
        <v>364785</v>
      </c>
      <c r="G306" s="2">
        <v>573961</v>
      </c>
      <c r="H306" s="2">
        <v>56876</v>
      </c>
      <c r="I306" s="2">
        <v>516973</v>
      </c>
      <c r="J306" s="2">
        <v>579909</v>
      </c>
      <c r="K306" s="2">
        <v>503224</v>
      </c>
    </row>
    <row r="307" spans="1:11" ht="15.5" x14ac:dyDescent="0.35">
      <c r="A307" s="2" t="s">
        <v>245</v>
      </c>
      <c r="B307" s="2">
        <v>386453</v>
      </c>
      <c r="C307" s="2">
        <v>-11224</v>
      </c>
      <c r="D307" s="2">
        <v>397677</v>
      </c>
      <c r="E307" s="2">
        <v>35301</v>
      </c>
      <c r="F307" s="2">
        <v>362376</v>
      </c>
      <c r="G307" s="2">
        <v>561816</v>
      </c>
      <c r="H307" s="2">
        <v>55694</v>
      </c>
      <c r="I307" s="2">
        <v>506011</v>
      </c>
      <c r="J307" s="2">
        <v>570174</v>
      </c>
      <c r="K307" s="2">
        <v>492727</v>
      </c>
    </row>
    <row r="308" spans="1:11" ht="15.5" x14ac:dyDescent="0.35">
      <c r="A308" s="2" t="s">
        <v>246</v>
      </c>
      <c r="B308" s="2">
        <v>382791</v>
      </c>
      <c r="C308" s="2">
        <v>-6984</v>
      </c>
      <c r="D308" s="2">
        <v>389775</v>
      </c>
      <c r="E308" s="2">
        <v>32928</v>
      </c>
      <c r="F308" s="2">
        <v>356847</v>
      </c>
      <c r="G308" s="2">
        <v>550451</v>
      </c>
      <c r="H308" s="2">
        <v>54225</v>
      </c>
      <c r="I308" s="2">
        <v>496095</v>
      </c>
      <c r="J308" s="2">
        <v>546681</v>
      </c>
      <c r="K308" s="2">
        <v>483023</v>
      </c>
    </row>
    <row r="309" spans="1:11" ht="15.5" x14ac:dyDescent="0.35">
      <c r="A309" s="2" t="s">
        <v>247</v>
      </c>
      <c r="B309" s="2">
        <v>383333</v>
      </c>
      <c r="C309" s="2">
        <v>-5818</v>
      </c>
      <c r="D309" s="2">
        <v>389151</v>
      </c>
      <c r="E309" s="2">
        <v>33936</v>
      </c>
      <c r="F309" s="2">
        <v>355215</v>
      </c>
      <c r="G309" s="2">
        <v>548859</v>
      </c>
      <c r="H309" s="2">
        <v>54655</v>
      </c>
      <c r="I309" s="2">
        <v>494103</v>
      </c>
      <c r="J309" s="2">
        <v>535755</v>
      </c>
      <c r="K309" s="2">
        <v>480942</v>
      </c>
    </row>
    <row r="310" spans="1:11" ht="15.5" x14ac:dyDescent="0.35">
      <c r="A310" s="2" t="s">
        <v>248</v>
      </c>
      <c r="B310" s="2">
        <v>392017</v>
      </c>
      <c r="C310" s="2">
        <v>838</v>
      </c>
      <c r="D310" s="2">
        <v>391179</v>
      </c>
      <c r="E310" s="2">
        <v>35492</v>
      </c>
      <c r="F310" s="2">
        <v>355687</v>
      </c>
      <c r="G310" s="2">
        <v>549540</v>
      </c>
      <c r="H310" s="2">
        <v>54835</v>
      </c>
      <c r="I310" s="2">
        <v>494608</v>
      </c>
      <c r="J310" s="2">
        <v>555896</v>
      </c>
      <c r="K310" s="2">
        <v>482029</v>
      </c>
    </row>
    <row r="311" spans="1:11" ht="15.5" x14ac:dyDescent="0.35">
      <c r="A311" s="2" t="s">
        <v>249</v>
      </c>
      <c r="B311" s="2">
        <v>388252</v>
      </c>
      <c r="C311" s="2">
        <v>-1048</v>
      </c>
      <c r="D311" s="2">
        <v>389300</v>
      </c>
      <c r="E311" s="2">
        <v>36268</v>
      </c>
      <c r="F311" s="2">
        <v>353032</v>
      </c>
      <c r="G311" s="2">
        <v>551372</v>
      </c>
      <c r="H311" s="2">
        <v>54581</v>
      </c>
      <c r="I311" s="2">
        <v>496669</v>
      </c>
      <c r="J311" s="2">
        <v>561890</v>
      </c>
      <c r="K311" s="2">
        <v>484180</v>
      </c>
    </row>
    <row r="312" spans="1:11" ht="15.5" x14ac:dyDescent="0.35">
      <c r="A312" s="2" t="s">
        <v>250</v>
      </c>
      <c r="B312" s="2">
        <v>398272</v>
      </c>
      <c r="C312" s="2">
        <v>146</v>
      </c>
      <c r="D312" s="2">
        <v>398126</v>
      </c>
      <c r="E312" s="2">
        <v>39465</v>
      </c>
      <c r="F312" s="2">
        <v>358661</v>
      </c>
      <c r="G312" s="2">
        <v>556002</v>
      </c>
      <c r="H312" s="2">
        <v>54497</v>
      </c>
      <c r="I312" s="2">
        <v>501320</v>
      </c>
      <c r="J312" s="2">
        <v>552155</v>
      </c>
      <c r="K312" s="2">
        <v>488699</v>
      </c>
    </row>
    <row r="313" spans="1:11" ht="15.5" x14ac:dyDescent="0.35">
      <c r="A313" s="2" t="s">
        <v>251</v>
      </c>
      <c r="B313" s="2">
        <v>403384</v>
      </c>
      <c r="C313" s="2">
        <v>446</v>
      </c>
      <c r="D313" s="2">
        <v>402937</v>
      </c>
      <c r="E313" s="2">
        <v>40085</v>
      </c>
      <c r="F313" s="2">
        <v>362852</v>
      </c>
      <c r="G313" s="2">
        <v>562353</v>
      </c>
      <c r="H313" s="2">
        <v>54726</v>
      </c>
      <c r="I313" s="2">
        <v>507391</v>
      </c>
      <c r="J313" s="2">
        <v>549207</v>
      </c>
      <c r="K313" s="2">
        <v>494936</v>
      </c>
    </row>
    <row r="314" spans="1:11" ht="15.5" x14ac:dyDescent="0.35">
      <c r="A314" s="2" t="s">
        <v>252</v>
      </c>
      <c r="B314" s="2">
        <v>405649</v>
      </c>
      <c r="C314" s="2">
        <v>-528</v>
      </c>
      <c r="D314" s="2">
        <v>406177</v>
      </c>
      <c r="E314" s="2">
        <v>39938</v>
      </c>
      <c r="F314" s="2">
        <v>366239</v>
      </c>
      <c r="G314" s="2">
        <v>565659</v>
      </c>
      <c r="H314" s="2">
        <v>55151</v>
      </c>
      <c r="I314" s="2">
        <v>510280</v>
      </c>
      <c r="J314" s="2">
        <v>571304</v>
      </c>
      <c r="K314" s="2">
        <v>498167</v>
      </c>
    </row>
    <row r="315" spans="1:11" ht="15.5" x14ac:dyDescent="0.35">
      <c r="A315" s="2" t="s">
        <v>253</v>
      </c>
      <c r="B315" s="2">
        <v>409241</v>
      </c>
      <c r="C315" s="2">
        <v>643</v>
      </c>
      <c r="D315" s="2">
        <v>408599</v>
      </c>
      <c r="E315" s="2">
        <v>40082</v>
      </c>
      <c r="F315" s="2">
        <v>368517</v>
      </c>
      <c r="G315" s="2">
        <v>565945</v>
      </c>
      <c r="H315" s="2">
        <v>55339</v>
      </c>
      <c r="I315" s="2">
        <v>510392</v>
      </c>
      <c r="J315" s="2">
        <v>577293</v>
      </c>
      <c r="K315" s="2">
        <v>498906</v>
      </c>
    </row>
    <row r="316" spans="1:11" ht="15.5" x14ac:dyDescent="0.35">
      <c r="A316" s="2" t="s">
        <v>254</v>
      </c>
      <c r="B316" s="2">
        <v>418225</v>
      </c>
      <c r="C316" s="2">
        <v>1702</v>
      </c>
      <c r="D316" s="2">
        <v>416521</v>
      </c>
      <c r="E316" s="2">
        <v>44379</v>
      </c>
      <c r="F316" s="2">
        <v>372142</v>
      </c>
      <c r="G316" s="2">
        <v>566873</v>
      </c>
      <c r="H316" s="2">
        <v>55816</v>
      </c>
      <c r="I316" s="2">
        <v>510827</v>
      </c>
      <c r="J316" s="2">
        <v>561218</v>
      </c>
      <c r="K316" s="2">
        <v>500078</v>
      </c>
    </row>
    <row r="317" spans="1:11" ht="15.5" x14ac:dyDescent="0.35">
      <c r="A317" s="2" t="s">
        <v>255</v>
      </c>
      <c r="B317" s="2">
        <v>418851</v>
      </c>
      <c r="C317" s="2">
        <v>4809</v>
      </c>
      <c r="D317" s="2">
        <v>414040</v>
      </c>
      <c r="E317" s="2">
        <v>43752</v>
      </c>
      <c r="F317" s="2">
        <v>370288</v>
      </c>
      <c r="G317" s="2">
        <v>566601</v>
      </c>
      <c r="H317" s="2">
        <v>55549</v>
      </c>
      <c r="I317" s="2">
        <v>510824</v>
      </c>
      <c r="J317" s="2">
        <v>555645</v>
      </c>
      <c r="K317" s="2">
        <v>500834</v>
      </c>
    </row>
    <row r="318" spans="1:11" ht="15.5" x14ac:dyDescent="0.35">
      <c r="A318" s="2" t="s">
        <v>256</v>
      </c>
      <c r="B318" s="2">
        <v>417669</v>
      </c>
      <c r="C318" s="2">
        <v>-449</v>
      </c>
      <c r="D318" s="2">
        <v>418119</v>
      </c>
      <c r="E318" s="2">
        <v>45604</v>
      </c>
      <c r="F318" s="2">
        <v>372515</v>
      </c>
      <c r="G318" s="2">
        <v>567586</v>
      </c>
      <c r="H318" s="2">
        <v>54990</v>
      </c>
      <c r="I318" s="2">
        <v>512382</v>
      </c>
      <c r="J318" s="2">
        <v>571731</v>
      </c>
      <c r="K318" s="2">
        <v>502815</v>
      </c>
    </row>
    <row r="319" spans="1:11" ht="15.5" x14ac:dyDescent="0.35">
      <c r="A319" s="2" t="s">
        <v>257</v>
      </c>
      <c r="B319" s="2">
        <v>422145</v>
      </c>
      <c r="C319" s="2">
        <v>879</v>
      </c>
      <c r="D319" s="2">
        <v>421265</v>
      </c>
      <c r="E319" s="2">
        <v>44562</v>
      </c>
      <c r="F319" s="2">
        <v>376703</v>
      </c>
      <c r="G319" s="2">
        <v>568056</v>
      </c>
      <c r="H319" s="2">
        <v>54528</v>
      </c>
      <c r="I319" s="2">
        <v>513338</v>
      </c>
      <c r="J319" s="2">
        <v>580522</v>
      </c>
      <c r="K319" s="2">
        <v>503939</v>
      </c>
    </row>
    <row r="320" spans="1:11" ht="15.5" x14ac:dyDescent="0.35">
      <c r="A320" s="2" t="s">
        <v>258</v>
      </c>
      <c r="B320" s="2">
        <v>424179</v>
      </c>
      <c r="C320" s="2">
        <v>-2474</v>
      </c>
      <c r="D320" s="2">
        <v>426653</v>
      </c>
      <c r="E320" s="2">
        <v>45867</v>
      </c>
      <c r="F320" s="2">
        <v>380786</v>
      </c>
      <c r="G320" s="2">
        <v>573416</v>
      </c>
      <c r="H320" s="2">
        <v>54962</v>
      </c>
      <c r="I320" s="2">
        <v>518310</v>
      </c>
      <c r="J320" s="2">
        <v>568310</v>
      </c>
      <c r="K320" s="2">
        <v>509206</v>
      </c>
    </row>
    <row r="321" spans="1:11" ht="15.5" x14ac:dyDescent="0.35">
      <c r="A321" s="2" t="s">
        <v>259</v>
      </c>
      <c r="B321" s="2">
        <v>423036</v>
      </c>
      <c r="C321" s="2">
        <v>-3662</v>
      </c>
      <c r="D321" s="2">
        <v>426698</v>
      </c>
      <c r="E321" s="2">
        <v>44336</v>
      </c>
      <c r="F321" s="2">
        <v>382362</v>
      </c>
      <c r="G321" s="2">
        <v>573112</v>
      </c>
      <c r="H321" s="2">
        <v>55005</v>
      </c>
      <c r="I321" s="2">
        <v>517974</v>
      </c>
      <c r="J321" s="2">
        <v>562496</v>
      </c>
      <c r="K321" s="2">
        <v>509378</v>
      </c>
    </row>
    <row r="322" spans="1:11" ht="15.5" x14ac:dyDescent="0.35">
      <c r="A322" s="2" t="s">
        <v>260</v>
      </c>
      <c r="B322" s="2">
        <v>429840</v>
      </c>
      <c r="C322" s="2">
        <v>-3447</v>
      </c>
      <c r="D322" s="2">
        <v>433287</v>
      </c>
      <c r="E322" s="2">
        <v>45387</v>
      </c>
      <c r="F322" s="2">
        <v>387900</v>
      </c>
      <c r="G322" s="2">
        <v>579051</v>
      </c>
      <c r="H322" s="2">
        <v>55532</v>
      </c>
      <c r="I322" s="2">
        <v>523398</v>
      </c>
      <c r="J322" s="2">
        <v>580343</v>
      </c>
      <c r="K322" s="2">
        <v>515084</v>
      </c>
    </row>
    <row r="323" spans="1:11" ht="15.5" x14ac:dyDescent="0.35">
      <c r="A323" s="2" t="s">
        <v>261</v>
      </c>
      <c r="B323" s="2">
        <v>428693</v>
      </c>
      <c r="C323" s="2">
        <v>-6377</v>
      </c>
      <c r="D323" s="2">
        <v>435070</v>
      </c>
      <c r="E323" s="2">
        <v>46524</v>
      </c>
      <c r="F323" s="2">
        <v>388546</v>
      </c>
      <c r="G323" s="2">
        <v>578215</v>
      </c>
      <c r="H323" s="2">
        <v>55305</v>
      </c>
      <c r="I323" s="2">
        <v>522805</v>
      </c>
      <c r="J323" s="2">
        <v>592645</v>
      </c>
      <c r="K323" s="2">
        <v>515406</v>
      </c>
    </row>
    <row r="324" spans="1:11" ht="15.5" x14ac:dyDescent="0.35">
      <c r="A324" s="2" t="s">
        <v>262</v>
      </c>
      <c r="B324" s="2">
        <v>429163</v>
      </c>
      <c r="C324" s="2">
        <v>-10875</v>
      </c>
      <c r="D324" s="2">
        <v>440038</v>
      </c>
      <c r="E324" s="2">
        <v>46927</v>
      </c>
      <c r="F324" s="2">
        <v>393111</v>
      </c>
      <c r="G324" s="2">
        <v>579749</v>
      </c>
      <c r="H324" s="2">
        <v>55728</v>
      </c>
      <c r="I324" s="2">
        <v>523879</v>
      </c>
      <c r="J324" s="2">
        <v>573357</v>
      </c>
      <c r="K324" s="2">
        <v>516594</v>
      </c>
    </row>
    <row r="325" spans="1:11" ht="15.5" x14ac:dyDescent="0.35">
      <c r="A325" s="2" t="s">
        <v>263</v>
      </c>
      <c r="B325" s="2">
        <v>438990</v>
      </c>
      <c r="C325" s="2">
        <v>-4636</v>
      </c>
      <c r="D325" s="2">
        <v>443626</v>
      </c>
      <c r="E325" s="2">
        <v>46719</v>
      </c>
      <c r="F325" s="2">
        <v>396907</v>
      </c>
      <c r="G325" s="2">
        <v>583605</v>
      </c>
      <c r="H325" s="2">
        <v>55991</v>
      </c>
      <c r="I325" s="2">
        <v>527480</v>
      </c>
      <c r="J325" s="2">
        <v>575429</v>
      </c>
      <c r="K325" s="2">
        <v>520296</v>
      </c>
    </row>
    <row r="326" spans="1:11" ht="15.5" x14ac:dyDescent="0.35">
      <c r="A326" s="2" t="s">
        <v>264</v>
      </c>
      <c r="B326" s="2">
        <v>442691</v>
      </c>
      <c r="C326" s="2">
        <v>-8034</v>
      </c>
      <c r="D326" s="2">
        <v>450725</v>
      </c>
      <c r="E326" s="2">
        <v>49052</v>
      </c>
      <c r="F326" s="2">
        <v>401673</v>
      </c>
      <c r="G326" s="2">
        <v>588076</v>
      </c>
      <c r="H326" s="2">
        <v>56915</v>
      </c>
      <c r="I326" s="2">
        <v>530967</v>
      </c>
      <c r="J326" s="2">
        <v>589438</v>
      </c>
      <c r="K326" s="2">
        <v>523665</v>
      </c>
    </row>
    <row r="327" spans="1:11" ht="15.5" x14ac:dyDescent="0.35">
      <c r="A327" s="2" t="s">
        <v>265</v>
      </c>
      <c r="B327" s="2">
        <v>446659</v>
      </c>
      <c r="C327" s="2">
        <v>-8024</v>
      </c>
      <c r="D327" s="2">
        <v>454683</v>
      </c>
      <c r="E327" s="2">
        <v>48830</v>
      </c>
      <c r="F327" s="2">
        <v>405853</v>
      </c>
      <c r="G327" s="2">
        <v>591954</v>
      </c>
      <c r="H327" s="2">
        <v>57301</v>
      </c>
      <c r="I327" s="2">
        <v>534457</v>
      </c>
      <c r="J327" s="2">
        <v>605160</v>
      </c>
      <c r="K327" s="2">
        <v>527227</v>
      </c>
    </row>
    <row r="328" spans="1:11" ht="15.5" x14ac:dyDescent="0.35">
      <c r="A328" s="2" t="s">
        <v>266</v>
      </c>
      <c r="B328" s="2">
        <v>454822</v>
      </c>
      <c r="C328" s="2">
        <v>-5860</v>
      </c>
      <c r="D328" s="2">
        <v>460682</v>
      </c>
      <c r="E328" s="2">
        <v>50477</v>
      </c>
      <c r="F328" s="2">
        <v>410205</v>
      </c>
      <c r="G328" s="2">
        <v>596696</v>
      </c>
      <c r="H328" s="2">
        <v>57460</v>
      </c>
      <c r="I328" s="2">
        <v>539075</v>
      </c>
      <c r="J328" s="2">
        <v>592986</v>
      </c>
      <c r="K328" s="2">
        <v>531596</v>
      </c>
    </row>
    <row r="329" spans="1:11" ht="15.5" x14ac:dyDescent="0.35">
      <c r="A329" s="2" t="s">
        <v>267</v>
      </c>
      <c r="B329" s="2">
        <v>457796</v>
      </c>
      <c r="C329" s="2">
        <v>-6871</v>
      </c>
      <c r="D329" s="2">
        <v>464667</v>
      </c>
      <c r="E329" s="2">
        <v>49690</v>
      </c>
      <c r="F329" s="2">
        <v>414977</v>
      </c>
      <c r="G329" s="2">
        <v>602310</v>
      </c>
      <c r="H329" s="2">
        <v>57755</v>
      </c>
      <c r="I329" s="2">
        <v>544423</v>
      </c>
      <c r="J329" s="2">
        <v>597228</v>
      </c>
      <c r="K329" s="2">
        <v>536953</v>
      </c>
    </row>
    <row r="330" spans="1:11" ht="15.5" x14ac:dyDescent="0.35">
      <c r="A330" s="2" t="s">
        <v>268</v>
      </c>
      <c r="B330" s="2">
        <v>464438</v>
      </c>
      <c r="C330" s="2">
        <v>-9677</v>
      </c>
      <c r="D330" s="2">
        <v>474115</v>
      </c>
      <c r="E330" s="2">
        <v>50473</v>
      </c>
      <c r="F330" s="2">
        <v>423642</v>
      </c>
      <c r="G330" s="2">
        <v>607213</v>
      </c>
      <c r="H330" s="2">
        <v>57820</v>
      </c>
      <c r="I330" s="2">
        <v>549310</v>
      </c>
      <c r="J330" s="2">
        <v>605675</v>
      </c>
      <c r="K330" s="2">
        <v>542099</v>
      </c>
    </row>
    <row r="331" spans="1:11" ht="15.5" x14ac:dyDescent="0.35">
      <c r="A331" s="2" t="s">
        <v>269</v>
      </c>
      <c r="B331" s="2">
        <v>464738</v>
      </c>
      <c r="C331" s="2">
        <v>-10864</v>
      </c>
      <c r="D331" s="2">
        <v>475602</v>
      </c>
      <c r="E331" s="2">
        <v>51127</v>
      </c>
      <c r="F331" s="2">
        <v>424475</v>
      </c>
      <c r="G331" s="2">
        <v>611220</v>
      </c>
      <c r="H331" s="2">
        <v>58638</v>
      </c>
      <c r="I331" s="2">
        <v>552444</v>
      </c>
      <c r="J331" s="2">
        <v>621550</v>
      </c>
      <c r="K331" s="2">
        <v>545183</v>
      </c>
    </row>
    <row r="332" spans="1:11" ht="15.5" x14ac:dyDescent="0.35">
      <c r="A332" s="2" t="s">
        <v>270</v>
      </c>
      <c r="B332" s="2">
        <v>467997</v>
      </c>
      <c r="C332" s="2">
        <v>-10019</v>
      </c>
      <c r="D332" s="2">
        <v>478016</v>
      </c>
      <c r="E332" s="2">
        <v>51162</v>
      </c>
      <c r="F332" s="2">
        <v>426854</v>
      </c>
      <c r="G332" s="2">
        <v>613076</v>
      </c>
      <c r="H332" s="2">
        <v>59472</v>
      </c>
      <c r="I332" s="2">
        <v>553374</v>
      </c>
      <c r="J332" s="2">
        <v>605885</v>
      </c>
      <c r="K332" s="2">
        <v>546160</v>
      </c>
    </row>
    <row r="333" spans="1:11" ht="15.5" x14ac:dyDescent="0.35">
      <c r="A333" s="2" t="s">
        <v>271</v>
      </c>
      <c r="B333" s="2">
        <v>473790</v>
      </c>
      <c r="C333" s="2">
        <v>-5592</v>
      </c>
      <c r="D333" s="2">
        <v>479382</v>
      </c>
      <c r="E333" s="2">
        <v>50997</v>
      </c>
      <c r="F333" s="2">
        <v>428385</v>
      </c>
      <c r="G333" s="2">
        <v>615875</v>
      </c>
      <c r="H333" s="2">
        <v>59932</v>
      </c>
      <c r="I333" s="2">
        <v>555685</v>
      </c>
      <c r="J333" s="2">
        <v>610231</v>
      </c>
      <c r="K333" s="2">
        <v>547619</v>
      </c>
    </row>
    <row r="334" spans="1:11" ht="15.5" x14ac:dyDescent="0.35">
      <c r="A334" s="2" t="s">
        <v>272</v>
      </c>
      <c r="B334" s="2">
        <v>474274</v>
      </c>
      <c r="C334" s="2">
        <v>-8416</v>
      </c>
      <c r="D334" s="2">
        <v>482690</v>
      </c>
      <c r="E334" s="2">
        <v>52797</v>
      </c>
      <c r="F334" s="2">
        <v>429893</v>
      </c>
      <c r="G334" s="2">
        <v>618263</v>
      </c>
      <c r="H334" s="2">
        <v>60693</v>
      </c>
      <c r="I334" s="2">
        <v>557241</v>
      </c>
      <c r="J334" s="2">
        <v>618947</v>
      </c>
      <c r="K334" s="2">
        <v>549275</v>
      </c>
    </row>
    <row r="335" spans="1:11" ht="15.5" x14ac:dyDescent="0.35">
      <c r="A335" s="2" t="s">
        <v>273</v>
      </c>
      <c r="B335" s="2">
        <v>470186</v>
      </c>
      <c r="C335" s="2">
        <v>-17742</v>
      </c>
      <c r="D335" s="2">
        <v>487928</v>
      </c>
      <c r="E335" s="2">
        <v>52469</v>
      </c>
      <c r="F335" s="2">
        <v>435459</v>
      </c>
      <c r="G335" s="2">
        <v>621968</v>
      </c>
      <c r="H335" s="2">
        <v>61389</v>
      </c>
      <c r="I335" s="2">
        <v>560205</v>
      </c>
      <c r="J335" s="2">
        <v>634119</v>
      </c>
      <c r="K335" s="2">
        <v>552017</v>
      </c>
    </row>
    <row r="336" spans="1:11" ht="15.5" x14ac:dyDescent="0.35">
      <c r="A336" s="2" t="s">
        <v>274</v>
      </c>
      <c r="B336" s="2">
        <v>477840</v>
      </c>
      <c r="C336" s="2">
        <v>-14804</v>
      </c>
      <c r="D336" s="2">
        <v>492644</v>
      </c>
      <c r="E336" s="2">
        <v>53766</v>
      </c>
      <c r="F336" s="2">
        <v>438878</v>
      </c>
      <c r="G336" s="2">
        <v>625099</v>
      </c>
      <c r="H336" s="2">
        <v>61036</v>
      </c>
      <c r="I336" s="2">
        <v>563767</v>
      </c>
      <c r="J336" s="2">
        <v>618206</v>
      </c>
      <c r="K336" s="2">
        <v>555319</v>
      </c>
    </row>
    <row r="337" spans="1:11" ht="15.5" x14ac:dyDescent="0.35">
      <c r="A337" s="2" t="s">
        <v>275</v>
      </c>
      <c r="B337" s="2">
        <v>483065</v>
      </c>
      <c r="C337" s="2">
        <v>-13991</v>
      </c>
      <c r="D337" s="2">
        <v>497056</v>
      </c>
      <c r="E337" s="2">
        <v>53318</v>
      </c>
      <c r="F337" s="2">
        <v>443738</v>
      </c>
      <c r="G337" s="2">
        <v>629697</v>
      </c>
      <c r="H337" s="2">
        <v>60917</v>
      </c>
      <c r="I337" s="2">
        <v>568549</v>
      </c>
      <c r="J337" s="2">
        <v>624496</v>
      </c>
      <c r="K337" s="2">
        <v>559869</v>
      </c>
    </row>
    <row r="338" spans="1:11" ht="15.5" x14ac:dyDescent="0.35">
      <c r="A338" s="2" t="s">
        <v>276</v>
      </c>
      <c r="B338" s="2">
        <v>494078</v>
      </c>
      <c r="C338" s="2">
        <v>-10295</v>
      </c>
      <c r="D338" s="2">
        <v>504373</v>
      </c>
      <c r="E338" s="2">
        <v>54523</v>
      </c>
      <c r="F338" s="2">
        <v>449850</v>
      </c>
      <c r="G338" s="2">
        <v>632477</v>
      </c>
      <c r="H338" s="2">
        <v>60766</v>
      </c>
      <c r="I338" s="2">
        <v>571529</v>
      </c>
      <c r="J338" s="2">
        <v>629498</v>
      </c>
      <c r="K338" s="2">
        <v>562494</v>
      </c>
    </row>
    <row r="339" spans="1:11" ht="15.5" x14ac:dyDescent="0.35">
      <c r="A339" s="2" t="s">
        <v>277</v>
      </c>
      <c r="B339" s="2">
        <v>503039</v>
      </c>
      <c r="C339" s="2">
        <v>-7643</v>
      </c>
      <c r="D339" s="2">
        <v>510682</v>
      </c>
      <c r="E339" s="2">
        <v>55405</v>
      </c>
      <c r="F339" s="2">
        <v>455277</v>
      </c>
      <c r="G339" s="2">
        <v>636392</v>
      </c>
      <c r="H339" s="2">
        <v>60876</v>
      </c>
      <c r="I339" s="2">
        <v>575366</v>
      </c>
      <c r="J339" s="2">
        <v>651465</v>
      </c>
      <c r="K339" s="2">
        <v>566633</v>
      </c>
    </row>
    <row r="340" spans="1:11" ht="15.5" x14ac:dyDescent="0.35">
      <c r="A340" s="2" t="s">
        <v>278</v>
      </c>
      <c r="B340" s="2">
        <v>512799</v>
      </c>
      <c r="C340" s="2">
        <v>-4507</v>
      </c>
      <c r="D340" s="2">
        <v>517306</v>
      </c>
      <c r="E340" s="2">
        <v>56074</v>
      </c>
      <c r="F340" s="2">
        <v>461232</v>
      </c>
      <c r="G340" s="2">
        <v>642463</v>
      </c>
      <c r="H340" s="2">
        <v>61261</v>
      </c>
      <c r="I340" s="2">
        <v>581083</v>
      </c>
      <c r="J340" s="2">
        <v>634885</v>
      </c>
      <c r="K340" s="2">
        <v>572290</v>
      </c>
    </row>
    <row r="341" spans="1:11" ht="15.5" x14ac:dyDescent="0.35">
      <c r="A341" s="2" t="s">
        <v>279</v>
      </c>
      <c r="B341" s="2">
        <v>513453</v>
      </c>
      <c r="C341" s="2">
        <v>-8163</v>
      </c>
      <c r="D341" s="2">
        <v>521616</v>
      </c>
      <c r="E341" s="2">
        <v>55283</v>
      </c>
      <c r="F341" s="2">
        <v>466333</v>
      </c>
      <c r="G341" s="2">
        <v>647944</v>
      </c>
      <c r="H341" s="2">
        <v>61757</v>
      </c>
      <c r="I341" s="2">
        <v>586073</v>
      </c>
      <c r="J341" s="2">
        <v>640355</v>
      </c>
      <c r="K341" s="2">
        <v>577310</v>
      </c>
    </row>
    <row r="342" spans="1:11" ht="15.5" x14ac:dyDescent="0.35">
      <c r="A342" s="2" t="s">
        <v>280</v>
      </c>
      <c r="B342" s="2">
        <v>520356</v>
      </c>
      <c r="C342" s="2">
        <v>-4805</v>
      </c>
      <c r="D342" s="2">
        <v>525161</v>
      </c>
      <c r="E342" s="2">
        <v>57357</v>
      </c>
      <c r="F342" s="2">
        <v>467804</v>
      </c>
      <c r="G342" s="2">
        <v>652329</v>
      </c>
      <c r="H342" s="2">
        <v>62378</v>
      </c>
      <c r="I342" s="2">
        <v>589810</v>
      </c>
      <c r="J342" s="2">
        <v>651108</v>
      </c>
      <c r="K342" s="2">
        <v>581002</v>
      </c>
    </row>
    <row r="343" spans="1:11" ht="15.5" x14ac:dyDescent="0.35">
      <c r="A343" s="2" t="s">
        <v>281</v>
      </c>
      <c r="B343" s="2">
        <v>528211</v>
      </c>
      <c r="C343" s="2">
        <v>-4928</v>
      </c>
      <c r="D343" s="2">
        <v>533139</v>
      </c>
      <c r="E343" s="2">
        <v>57003</v>
      </c>
      <c r="F343" s="2">
        <v>476136</v>
      </c>
      <c r="G343" s="2">
        <v>657225</v>
      </c>
      <c r="H343" s="2">
        <v>63281</v>
      </c>
      <c r="I343" s="2">
        <v>593743</v>
      </c>
      <c r="J343" s="2">
        <v>673613</v>
      </c>
      <c r="K343" s="2">
        <v>584994</v>
      </c>
    </row>
    <row r="344" spans="1:11" ht="15.5" x14ac:dyDescent="0.35">
      <c r="A344" s="2" t="s">
        <v>282</v>
      </c>
      <c r="B344" s="2">
        <v>526577</v>
      </c>
      <c r="C344" s="2">
        <v>-8586</v>
      </c>
      <c r="D344" s="2">
        <v>535163</v>
      </c>
      <c r="E344" s="2">
        <v>56098</v>
      </c>
      <c r="F344" s="2">
        <v>479065</v>
      </c>
      <c r="G344" s="2">
        <v>657741</v>
      </c>
      <c r="H344" s="2">
        <v>63407</v>
      </c>
      <c r="I344" s="2">
        <v>594120</v>
      </c>
      <c r="J344" s="2">
        <v>650263</v>
      </c>
      <c r="K344" s="2">
        <v>585051</v>
      </c>
    </row>
    <row r="345" spans="1:11" ht="15.5" x14ac:dyDescent="0.35">
      <c r="A345" s="2" t="s">
        <v>283</v>
      </c>
      <c r="B345" s="2">
        <v>534417</v>
      </c>
      <c r="C345" s="2">
        <v>-6302</v>
      </c>
      <c r="D345" s="2">
        <v>540719</v>
      </c>
      <c r="E345" s="2">
        <v>58496</v>
      </c>
      <c r="F345" s="2">
        <v>482223</v>
      </c>
      <c r="G345" s="2">
        <v>659172</v>
      </c>
      <c r="H345" s="2">
        <v>63386</v>
      </c>
      <c r="I345" s="2">
        <v>595593</v>
      </c>
      <c r="J345" s="2">
        <v>651337</v>
      </c>
      <c r="K345" s="2">
        <v>586260</v>
      </c>
    </row>
    <row r="346" spans="1:11" ht="15.5" x14ac:dyDescent="0.35">
      <c r="A346" s="2" t="s">
        <v>284</v>
      </c>
      <c r="B346" s="2">
        <v>537977</v>
      </c>
      <c r="C346" s="2">
        <v>-7183</v>
      </c>
      <c r="D346" s="2">
        <v>545160</v>
      </c>
      <c r="E346" s="2">
        <v>58577</v>
      </c>
      <c r="F346" s="2">
        <v>486583</v>
      </c>
      <c r="G346" s="2">
        <v>661262</v>
      </c>
      <c r="H346" s="2">
        <v>63587</v>
      </c>
      <c r="I346" s="2">
        <v>597481</v>
      </c>
      <c r="J346" s="2">
        <v>659214</v>
      </c>
      <c r="K346" s="2">
        <v>588324</v>
      </c>
    </row>
    <row r="347" spans="1:11" ht="15.5" x14ac:dyDescent="0.35">
      <c r="A347" s="2" t="s">
        <v>285</v>
      </c>
      <c r="B347" s="2">
        <v>543334</v>
      </c>
      <c r="C347" s="2">
        <v>-7183</v>
      </c>
      <c r="D347" s="2">
        <v>550517</v>
      </c>
      <c r="E347" s="2">
        <v>58842</v>
      </c>
      <c r="F347" s="2">
        <v>491675</v>
      </c>
      <c r="G347" s="2">
        <v>662120</v>
      </c>
      <c r="H347" s="2">
        <v>63700</v>
      </c>
      <c r="I347" s="2">
        <v>598221</v>
      </c>
      <c r="J347" s="2">
        <v>679481</v>
      </c>
      <c r="K347" s="2">
        <v>589050</v>
      </c>
    </row>
    <row r="348" spans="1:11" ht="15.5" x14ac:dyDescent="0.35">
      <c r="A348" s="2" t="s">
        <v>286</v>
      </c>
      <c r="B348" s="2">
        <v>553413</v>
      </c>
      <c r="C348" s="2">
        <v>-571</v>
      </c>
      <c r="D348" s="2">
        <v>553984</v>
      </c>
      <c r="E348" s="2">
        <v>59162</v>
      </c>
      <c r="F348" s="2">
        <v>494822</v>
      </c>
      <c r="G348" s="2">
        <v>665456</v>
      </c>
      <c r="H348" s="2">
        <v>63979</v>
      </c>
      <c r="I348" s="2">
        <v>601281</v>
      </c>
      <c r="J348" s="2">
        <v>656201</v>
      </c>
      <c r="K348" s="2">
        <v>592205</v>
      </c>
    </row>
    <row r="349" spans="1:11" ht="15.5" x14ac:dyDescent="0.35">
      <c r="A349" s="2" t="s">
        <v>287</v>
      </c>
      <c r="B349" s="2">
        <v>563642</v>
      </c>
      <c r="C349" s="2">
        <v>2647</v>
      </c>
      <c r="D349" s="2">
        <v>560995</v>
      </c>
      <c r="E349" s="2">
        <v>59201</v>
      </c>
      <c r="F349" s="2">
        <v>501794</v>
      </c>
      <c r="G349" s="2">
        <v>666875</v>
      </c>
      <c r="H349" s="2">
        <v>63966</v>
      </c>
      <c r="I349" s="2">
        <v>602731</v>
      </c>
      <c r="J349" s="2">
        <v>662893</v>
      </c>
      <c r="K349" s="2">
        <v>593676</v>
      </c>
    </row>
    <row r="350" spans="1:11" ht="15.5" x14ac:dyDescent="0.35">
      <c r="A350" s="2" t="s">
        <v>288</v>
      </c>
      <c r="B350" s="2">
        <v>564891</v>
      </c>
      <c r="C350" s="2">
        <v>-2560</v>
      </c>
      <c r="D350" s="2">
        <v>567451</v>
      </c>
      <c r="E350" s="2">
        <v>60398</v>
      </c>
      <c r="F350" s="2">
        <v>507053</v>
      </c>
      <c r="G350" s="2">
        <v>670547</v>
      </c>
      <c r="H350" s="2">
        <v>63619</v>
      </c>
      <c r="I350" s="2">
        <v>606837</v>
      </c>
      <c r="J350" s="2">
        <v>665716</v>
      </c>
      <c r="K350" s="2">
        <v>597679</v>
      </c>
    </row>
    <row r="351" spans="1:11" ht="15.5" x14ac:dyDescent="0.35">
      <c r="A351" s="2" t="s">
        <v>289</v>
      </c>
      <c r="B351" s="2">
        <v>568756</v>
      </c>
      <c r="C351" s="2">
        <v>-1775</v>
      </c>
      <c r="D351" s="2">
        <v>570531</v>
      </c>
      <c r="E351" s="2">
        <v>59453</v>
      </c>
      <c r="F351" s="2">
        <v>511078</v>
      </c>
      <c r="G351" s="2">
        <v>670587</v>
      </c>
      <c r="H351" s="2">
        <v>63567</v>
      </c>
      <c r="I351" s="2">
        <v>606938</v>
      </c>
      <c r="J351" s="2">
        <v>688655</v>
      </c>
      <c r="K351" s="2">
        <v>597588</v>
      </c>
    </row>
    <row r="352" spans="1:11" ht="15.5" x14ac:dyDescent="0.35">
      <c r="A352" s="2" t="s">
        <v>290</v>
      </c>
      <c r="B352" s="2">
        <v>550593</v>
      </c>
      <c r="C352" s="2">
        <v>-8765</v>
      </c>
      <c r="D352" s="2">
        <v>559365</v>
      </c>
      <c r="E352" s="2">
        <v>57772</v>
      </c>
      <c r="F352" s="2">
        <v>501593</v>
      </c>
      <c r="G352" s="2">
        <v>652180</v>
      </c>
      <c r="H352" s="2">
        <v>60261</v>
      </c>
      <c r="I352" s="2">
        <v>592030</v>
      </c>
      <c r="J352" s="2">
        <v>650822</v>
      </c>
      <c r="K352" s="2">
        <v>582847</v>
      </c>
    </row>
    <row r="353" spans="1:11" ht="15.5" x14ac:dyDescent="0.35">
      <c r="A353" s="2" t="s">
        <v>291</v>
      </c>
      <c r="B353" s="2">
        <v>459573</v>
      </c>
      <c r="C353" s="2">
        <v>-21654</v>
      </c>
      <c r="D353" s="2">
        <v>481227</v>
      </c>
      <c r="E353" s="2">
        <v>42804</v>
      </c>
      <c r="F353" s="2">
        <v>438423</v>
      </c>
      <c r="G353" s="2">
        <v>522356</v>
      </c>
      <c r="H353" s="2">
        <v>48031</v>
      </c>
      <c r="I353" s="2">
        <v>474441</v>
      </c>
      <c r="J353" s="2">
        <v>521455</v>
      </c>
      <c r="K353" s="2">
        <v>465887</v>
      </c>
    </row>
    <row r="354" spans="1:11" ht="15.5" x14ac:dyDescent="0.35">
      <c r="A354" s="2" t="s">
        <v>292</v>
      </c>
      <c r="B354" s="2">
        <v>534177</v>
      </c>
      <c r="C354" s="2">
        <v>-6142</v>
      </c>
      <c r="D354" s="2">
        <v>540319</v>
      </c>
      <c r="E354" s="2">
        <v>51227</v>
      </c>
      <c r="F354" s="2">
        <v>489092</v>
      </c>
      <c r="G354" s="2">
        <v>610972</v>
      </c>
      <c r="H354" s="2">
        <v>55485</v>
      </c>
      <c r="I354" s="2">
        <v>555701</v>
      </c>
      <c r="J354" s="2">
        <v>597994</v>
      </c>
      <c r="K354" s="2">
        <v>546895</v>
      </c>
    </row>
    <row r="355" spans="1:11" ht="15.5" x14ac:dyDescent="0.35">
      <c r="A355" s="2" t="s">
        <v>293</v>
      </c>
      <c r="B355" s="2">
        <v>535404</v>
      </c>
      <c r="C355" s="2">
        <v>-8405</v>
      </c>
      <c r="D355" s="2">
        <v>543809</v>
      </c>
      <c r="E355" s="2">
        <v>54526</v>
      </c>
      <c r="F355" s="2">
        <v>489283</v>
      </c>
      <c r="G355" s="2">
        <v>619330</v>
      </c>
      <c r="H355" s="2">
        <v>55400</v>
      </c>
      <c r="I355" s="2">
        <v>564240</v>
      </c>
      <c r="J355" s="2">
        <v>634567</v>
      </c>
      <c r="K355" s="2">
        <v>555606</v>
      </c>
    </row>
    <row r="356" spans="1:11" ht="15.5" x14ac:dyDescent="0.35">
      <c r="A356" s="2" t="s">
        <v>294</v>
      </c>
      <c r="B356" s="2">
        <v>545342</v>
      </c>
      <c r="C356" s="2">
        <v>226</v>
      </c>
      <c r="D356" s="2">
        <v>545116</v>
      </c>
      <c r="E356" s="2">
        <v>53059</v>
      </c>
      <c r="F356" s="2">
        <v>492057</v>
      </c>
      <c r="G356" s="2">
        <v>612665</v>
      </c>
      <c r="H356" s="2">
        <v>54723</v>
      </c>
      <c r="I356" s="2">
        <v>558237</v>
      </c>
      <c r="J356" s="2">
        <v>616211</v>
      </c>
      <c r="K356" s="2">
        <v>549874</v>
      </c>
    </row>
    <row r="357" spans="1:11" ht="15.5" x14ac:dyDescent="0.35">
      <c r="A357" s="2" t="s">
        <v>295</v>
      </c>
      <c r="B357" s="2">
        <v>576418</v>
      </c>
      <c r="C357" s="2">
        <v>-107</v>
      </c>
      <c r="D357" s="2">
        <v>576525</v>
      </c>
      <c r="E357" s="2">
        <v>57854</v>
      </c>
      <c r="F357" s="2">
        <v>518671</v>
      </c>
      <c r="G357" s="2">
        <v>655443</v>
      </c>
      <c r="H357" s="2">
        <v>58560</v>
      </c>
      <c r="I357" s="2">
        <v>597183</v>
      </c>
      <c r="J357" s="2">
        <v>641411</v>
      </c>
      <c r="K357" s="2">
        <v>589001</v>
      </c>
    </row>
    <row r="358" spans="1:11" ht="15.5" x14ac:dyDescent="0.35">
      <c r="A358" s="2" t="s">
        <v>296</v>
      </c>
      <c r="B358" s="2">
        <v>591182</v>
      </c>
      <c r="C358" s="2">
        <v>-1525</v>
      </c>
      <c r="D358" s="2">
        <v>592707</v>
      </c>
      <c r="E358" s="2">
        <v>61245</v>
      </c>
      <c r="F358" s="2">
        <v>531462</v>
      </c>
      <c r="G358" s="2">
        <v>666498</v>
      </c>
      <c r="H358" s="2">
        <v>60297</v>
      </c>
      <c r="I358" s="2">
        <v>606437</v>
      </c>
      <c r="J358" s="2">
        <v>660310</v>
      </c>
      <c r="K358" s="2">
        <v>597562</v>
      </c>
    </row>
    <row r="359" spans="1:11" ht="15.5" x14ac:dyDescent="0.35">
      <c r="A359" s="2" t="s">
        <v>297</v>
      </c>
      <c r="B359" s="2">
        <v>609846</v>
      </c>
      <c r="C359" s="2">
        <v>1542</v>
      </c>
      <c r="D359" s="2">
        <v>608304</v>
      </c>
      <c r="E359" s="2">
        <v>64237</v>
      </c>
      <c r="F359" s="2">
        <v>544067</v>
      </c>
      <c r="G359" s="2">
        <v>675680</v>
      </c>
      <c r="H359" s="2">
        <v>62258</v>
      </c>
      <c r="I359" s="2">
        <v>613557</v>
      </c>
      <c r="J359" s="2">
        <v>692354</v>
      </c>
      <c r="K359" s="2">
        <v>604618</v>
      </c>
    </row>
    <row r="360" spans="1:11" ht="15.5" x14ac:dyDescent="0.35">
      <c r="A360" s="2" t="s">
        <v>298</v>
      </c>
      <c r="B360" s="2">
        <v>617911</v>
      </c>
      <c r="C360" s="2">
        <v>-5103</v>
      </c>
      <c r="D360" s="2">
        <v>623014</v>
      </c>
      <c r="E360" s="2">
        <v>65717</v>
      </c>
      <c r="F360" s="2">
        <v>557297</v>
      </c>
      <c r="G360" s="2">
        <v>682527</v>
      </c>
      <c r="H360" s="2">
        <v>63368</v>
      </c>
      <c r="I360" s="2">
        <v>619197</v>
      </c>
      <c r="J360" s="2">
        <v>680219</v>
      </c>
      <c r="K360" s="2">
        <v>610064</v>
      </c>
    </row>
    <row r="361" spans="1:11" ht="15.5" x14ac:dyDescent="0.35">
      <c r="A361" s="2" t="s">
        <v>299</v>
      </c>
      <c r="B361" s="2">
        <v>648004</v>
      </c>
      <c r="C361" s="2">
        <v>8711</v>
      </c>
      <c r="D361" s="2">
        <v>639293</v>
      </c>
      <c r="E361" s="2">
        <v>65954</v>
      </c>
      <c r="F361" s="2">
        <v>573339</v>
      </c>
      <c r="G361" s="2">
        <v>686335</v>
      </c>
      <c r="H361" s="2">
        <v>64173</v>
      </c>
      <c r="I361" s="2">
        <v>622122</v>
      </c>
      <c r="J361" s="2">
        <v>670275</v>
      </c>
      <c r="K361" s="2">
        <v>612828</v>
      </c>
    </row>
    <row r="362" spans="1:11" ht="15.5" x14ac:dyDescent="0.35">
      <c r="A362" s="2" t="s">
        <v>300</v>
      </c>
      <c r="B362" s="2">
        <v>647878</v>
      </c>
      <c r="C362" s="2">
        <v>-2355</v>
      </c>
      <c r="D362" s="2">
        <v>650233</v>
      </c>
      <c r="E362" s="2">
        <v>68308</v>
      </c>
      <c r="F362" s="2">
        <v>581925</v>
      </c>
      <c r="G362" s="2">
        <v>687029</v>
      </c>
      <c r="H362" s="2">
        <v>64724</v>
      </c>
      <c r="I362" s="2">
        <v>622181</v>
      </c>
      <c r="J362" s="2">
        <v>691709</v>
      </c>
      <c r="K362" s="2">
        <v>613141</v>
      </c>
    </row>
    <row r="363" spans="1:11" ht="15.5" x14ac:dyDescent="0.35">
      <c r="A363" s="2" t="s">
        <v>301</v>
      </c>
      <c r="B363" s="2">
        <v>668522</v>
      </c>
      <c r="C363" s="2">
        <v>113</v>
      </c>
      <c r="D363" s="2">
        <v>668409</v>
      </c>
      <c r="E363" s="2">
        <v>58513</v>
      </c>
      <c r="F363" s="2">
        <v>609896</v>
      </c>
      <c r="G363" s="2">
        <v>688817</v>
      </c>
      <c r="H363" s="2">
        <v>64295</v>
      </c>
      <c r="I363" s="2">
        <v>624452</v>
      </c>
      <c r="J363" s="2">
        <v>702505</v>
      </c>
      <c r="K363" s="2">
        <v>615878</v>
      </c>
    </row>
    <row r="364" spans="1:11" ht="15.5" x14ac:dyDescent="0.35">
      <c r="A364" s="2" t="s">
        <v>302</v>
      </c>
      <c r="B364" s="2">
        <v>668903</v>
      </c>
      <c r="C364" s="2">
        <v>-10291</v>
      </c>
      <c r="D364" s="2">
        <v>679194</v>
      </c>
      <c r="E364" s="2">
        <v>50784</v>
      </c>
      <c r="F364" s="2">
        <v>628410</v>
      </c>
      <c r="G364" s="2">
        <v>689206</v>
      </c>
      <c r="H364" s="2">
        <v>64039</v>
      </c>
      <c r="I364" s="2">
        <v>625133</v>
      </c>
      <c r="J364" s="2">
        <v>681920</v>
      </c>
      <c r="K364" s="2">
        <v>617944</v>
      </c>
    </row>
    <row r="365" spans="1:11" ht="15.5" x14ac:dyDescent="0.35">
      <c r="A365" s="2" t="s">
        <v>303</v>
      </c>
      <c r="B365" s="2">
        <v>669265</v>
      </c>
      <c r="C365" s="2">
        <v>-20353</v>
      </c>
      <c r="D365" s="2">
        <v>689618</v>
      </c>
      <c r="E365" s="2">
        <v>65759</v>
      </c>
      <c r="F365" s="2">
        <v>623859</v>
      </c>
      <c r="G365" s="2">
        <v>689491</v>
      </c>
      <c r="H365" s="2">
        <v>64183</v>
      </c>
      <c r="I365" s="2">
        <v>625262</v>
      </c>
      <c r="J365" s="2">
        <v>680189</v>
      </c>
      <c r="K365" s="2">
        <v>618536</v>
      </c>
    </row>
    <row r="366" spans="1:11" ht="15.5" x14ac:dyDescent="0.35">
      <c r="A366" s="2" t="s">
        <v>304</v>
      </c>
      <c r="B366" s="2">
        <v>688953</v>
      </c>
      <c r="C366" s="2">
        <v>-4029</v>
      </c>
      <c r="D366" s="2">
        <v>692982</v>
      </c>
      <c r="E366" s="2">
        <v>69226</v>
      </c>
      <c r="F366" s="2">
        <v>623756</v>
      </c>
      <c r="G366" s="2">
        <v>687839</v>
      </c>
      <c r="H366" s="2">
        <v>63367</v>
      </c>
      <c r="I366" s="2">
        <v>624499</v>
      </c>
      <c r="J366" s="2">
        <v>688094</v>
      </c>
      <c r="K366" s="2">
        <v>617949</v>
      </c>
    </row>
    <row r="367" spans="1:11" ht="15.5" x14ac:dyDescent="0.35">
      <c r="A367" s="2" t="s">
        <v>305</v>
      </c>
      <c r="B367" s="2">
        <v>679095</v>
      </c>
      <c r="C367" s="2">
        <v>-11275</v>
      </c>
      <c r="D367" s="2">
        <v>690370</v>
      </c>
      <c r="E367" s="2">
        <v>69005</v>
      </c>
      <c r="F367" s="2">
        <v>621365</v>
      </c>
      <c r="G367" s="2">
        <v>685628</v>
      </c>
      <c r="H367" s="2">
        <v>63185</v>
      </c>
      <c r="I367" s="2">
        <v>622496</v>
      </c>
      <c r="J367" s="2">
        <v>701961</v>
      </c>
      <c r="K367" s="2">
        <v>616285</v>
      </c>
    </row>
    <row r="368" spans="1:11" ht="15.5" x14ac:dyDescent="0.35">
      <c r="A368" s="2" t="s">
        <v>306</v>
      </c>
      <c r="B368" s="2">
        <v>694951</v>
      </c>
      <c r="C368" s="2">
        <v>-10622</v>
      </c>
      <c r="D368" s="2">
        <v>705573</v>
      </c>
      <c r="E368" s="2">
        <v>68925</v>
      </c>
      <c r="F368" s="2">
        <v>636648</v>
      </c>
      <c r="G368" s="2">
        <v>690904</v>
      </c>
      <c r="H368" s="2">
        <v>63552</v>
      </c>
      <c r="I368" s="2">
        <v>627352</v>
      </c>
      <c r="J368" s="2">
        <v>691928</v>
      </c>
      <c r="K368" s="2">
        <v>621275</v>
      </c>
    </row>
    <row r="369" spans="1:11" ht="15.5" x14ac:dyDescent="0.35">
      <c r="A369" s="2" t="s">
        <v>307</v>
      </c>
      <c r="B369" s="2">
        <v>709319</v>
      </c>
      <c r="C369" s="2">
        <v>-8546</v>
      </c>
      <c r="D369" s="2">
        <v>717865</v>
      </c>
      <c r="E369" s="2">
        <v>70848</v>
      </c>
      <c r="F369" s="2">
        <v>647017</v>
      </c>
      <c r="G369" s="2">
        <v>695145</v>
      </c>
      <c r="H369" s="2">
        <v>63981</v>
      </c>
      <c r="I369" s="2">
        <v>631164</v>
      </c>
      <c r="J369" s="2">
        <v>681844</v>
      </c>
      <c r="K369" s="2">
        <v>625212</v>
      </c>
    </row>
    <row r="370" spans="1:11" ht="15.5" x14ac:dyDescent="0.35">
      <c r="A370" s="2" t="s">
        <v>308</v>
      </c>
      <c r="B370" s="2">
        <v>716853</v>
      </c>
      <c r="C370" s="2">
        <v>-13024</v>
      </c>
      <c r="D370" s="2">
        <v>729877</v>
      </c>
      <c r="E370" s="2">
        <v>71638</v>
      </c>
      <c r="F370" s="2">
        <v>658239</v>
      </c>
      <c r="G370" s="2">
        <v>696752</v>
      </c>
      <c r="H370" s="2">
        <v>63998</v>
      </c>
      <c r="I370" s="2">
        <v>632754</v>
      </c>
      <c r="J370" s="2">
        <v>697764</v>
      </c>
      <c r="K370" s="2">
        <v>626910</v>
      </c>
    </row>
    <row r="371" spans="1:11" ht="15.5" x14ac:dyDescent="0.35">
      <c r="A371" s="2" t="s">
        <v>309</v>
      </c>
      <c r="B371" s="2">
        <v>722916</v>
      </c>
      <c r="C371" s="2">
        <v>-15213</v>
      </c>
      <c r="D371" s="2">
        <v>738129</v>
      </c>
      <c r="E371" s="2">
        <v>71038</v>
      </c>
      <c r="F371" s="2">
        <v>667091</v>
      </c>
      <c r="G371" s="2">
        <v>699094</v>
      </c>
      <c r="H371" s="2">
        <v>64234</v>
      </c>
      <c r="I371" s="2">
        <v>634860</v>
      </c>
      <c r="J371" s="2">
        <v>710359</v>
      </c>
      <c r="K371" s="2">
        <v>629161</v>
      </c>
    </row>
    <row r="372" spans="1:11" ht="15.5" x14ac:dyDescent="0.35">
      <c r="A372" s="2" t="s">
        <v>310</v>
      </c>
      <c r="B372" s="2">
        <v>740784</v>
      </c>
      <c r="C372" s="2">
        <v>-7216</v>
      </c>
      <c r="D372" s="2">
        <v>748000</v>
      </c>
      <c r="E372" s="2">
        <v>74003</v>
      </c>
      <c r="F372" s="2">
        <v>673997</v>
      </c>
      <c r="G372" s="2">
        <v>703655</v>
      </c>
      <c r="H372" s="2">
        <v>64610</v>
      </c>
      <c r="I372" s="2">
        <v>639045</v>
      </c>
      <c r="J372" s="2">
        <v>708038</v>
      </c>
      <c r="K372" s="2">
        <v>633280</v>
      </c>
    </row>
    <row r="373" spans="1:11" ht="15.5" x14ac:dyDescent="0.35">
      <c r="A373" s="2" t="s">
        <v>311</v>
      </c>
      <c r="B373" s="2">
        <v>749732</v>
      </c>
      <c r="C373" s="2">
        <v>-8195</v>
      </c>
      <c r="D373" s="2">
        <v>757927</v>
      </c>
      <c r="E373" s="2">
        <v>73151</v>
      </c>
      <c r="F373" s="2">
        <v>684776</v>
      </c>
      <c r="G373" s="2">
        <v>705117</v>
      </c>
      <c r="H373" s="2">
        <v>64749</v>
      </c>
      <c r="I373" s="2">
        <v>640368</v>
      </c>
      <c r="J373" s="2">
        <v>690487</v>
      </c>
      <c r="K373" s="2">
        <v>634607</v>
      </c>
    </row>
    <row r="374" spans="1:11" ht="15.5" x14ac:dyDescent="0.35">
      <c r="A374" s="2" t="s">
        <v>312</v>
      </c>
      <c r="B374" s="2">
        <v>763934</v>
      </c>
      <c r="C374" s="2">
        <v>-739</v>
      </c>
      <c r="D374" s="2">
        <v>764673</v>
      </c>
      <c r="E374" s="2">
        <v>74639</v>
      </c>
      <c r="F374" s="2">
        <v>690034</v>
      </c>
      <c r="G374" s="2">
        <v>705681</v>
      </c>
      <c r="H374" s="2">
        <v>64745</v>
      </c>
      <c r="I374" s="2">
        <v>640936</v>
      </c>
      <c r="J374" s="2">
        <v>705387</v>
      </c>
      <c r="K374" s="2">
        <v>635257</v>
      </c>
    </row>
    <row r="375" spans="1:11" ht="15.5" x14ac:dyDescent="0.35">
      <c r="A375" s="2" t="s">
        <v>313</v>
      </c>
      <c r="B375" s="2">
        <v>766587</v>
      </c>
      <c r="C375" s="2">
        <v>-2674</v>
      </c>
      <c r="D375" s="2">
        <v>769261</v>
      </c>
      <c r="E375" s="2">
        <v>75293</v>
      </c>
      <c r="F375" s="2">
        <v>693968</v>
      </c>
      <c r="G375" s="2">
        <v>706067</v>
      </c>
      <c r="H375" s="2">
        <v>64739</v>
      </c>
      <c r="I375" s="2">
        <v>641328</v>
      </c>
      <c r="J375" s="2">
        <v>716608</v>
      </c>
      <c r="K375" s="2">
        <v>635602</v>
      </c>
    </row>
    <row r="377" spans="1:11" ht="15.5" x14ac:dyDescent="0.35">
      <c r="A377" s="3" t="s">
        <v>314</v>
      </c>
    </row>
    <row r="378" spans="1:11" ht="108.5" x14ac:dyDescent="0.35">
      <c r="A378" s="4" t="s">
        <v>6</v>
      </c>
      <c r="B378" s="4" t="s">
        <v>7</v>
      </c>
      <c r="C378" s="4" t="s">
        <v>9</v>
      </c>
      <c r="D378" s="4" t="s">
        <v>11</v>
      </c>
      <c r="E378" s="4" t="s">
        <v>12</v>
      </c>
      <c r="F378" s="4" t="s">
        <v>14</v>
      </c>
      <c r="G378" s="4" t="s">
        <v>16</v>
      </c>
    </row>
    <row r="379" spans="1:11" ht="31" x14ac:dyDescent="0.35">
      <c r="A379" s="4" t="s">
        <v>17</v>
      </c>
      <c r="B379" s="5" t="s">
        <v>315</v>
      </c>
      <c r="C379" s="5" t="s">
        <v>316</v>
      </c>
      <c r="D379" s="5" t="s">
        <v>317</v>
      </c>
      <c r="E379" s="5" t="s">
        <v>318</v>
      </c>
      <c r="F379" s="5" t="s">
        <v>319</v>
      </c>
      <c r="G379" s="5" t="s">
        <v>320</v>
      </c>
    </row>
    <row r="380" spans="1:11" ht="15.5" x14ac:dyDescent="0.35">
      <c r="A380" s="2">
        <v>1949</v>
      </c>
      <c r="B380" s="2">
        <v>6.2</v>
      </c>
      <c r="C380" s="2">
        <v>6.5</v>
      </c>
      <c r="D380" s="2">
        <v>7.2</v>
      </c>
      <c r="E380" s="2">
        <v>3.3</v>
      </c>
      <c r="F380" s="2">
        <v>3.7</v>
      </c>
      <c r="G380" s="2" t="s">
        <v>28</v>
      </c>
    </row>
    <row r="381" spans="1:11" ht="15.5" x14ac:dyDescent="0.35">
      <c r="A381" s="2">
        <v>1950</v>
      </c>
      <c r="B381" s="2">
        <v>6</v>
      </c>
      <c r="C381" s="2">
        <v>4.7</v>
      </c>
      <c r="D381" s="2">
        <v>4.0999999999999996</v>
      </c>
      <c r="E381" s="2">
        <v>3.3</v>
      </c>
      <c r="F381" s="2">
        <v>3.2</v>
      </c>
      <c r="G381" s="2" t="s">
        <v>28</v>
      </c>
    </row>
    <row r="382" spans="1:11" ht="15.5" x14ac:dyDescent="0.35">
      <c r="A382" s="2">
        <v>1951</v>
      </c>
      <c r="B382" s="2">
        <v>11.5</v>
      </c>
      <c r="C382" s="2">
        <v>12.3</v>
      </c>
      <c r="D382" s="2">
        <v>11.9</v>
      </c>
      <c r="E382" s="2">
        <v>3.7</v>
      </c>
      <c r="F382" s="2">
        <v>3.5</v>
      </c>
      <c r="G382" s="2" t="s">
        <v>28</v>
      </c>
    </row>
    <row r="383" spans="1:11" ht="15.5" x14ac:dyDescent="0.35">
      <c r="A383" s="2">
        <v>1952</v>
      </c>
      <c r="B383" s="2">
        <v>7.8</v>
      </c>
      <c r="C383" s="2">
        <v>8.6</v>
      </c>
      <c r="D383" s="2">
        <v>9.1999999999999993</v>
      </c>
      <c r="E383" s="2">
        <v>1.5</v>
      </c>
      <c r="F383" s="2">
        <v>1.9</v>
      </c>
      <c r="G383" s="2" t="s">
        <v>28</v>
      </c>
    </row>
    <row r="384" spans="1:11" ht="15.5" x14ac:dyDescent="0.35">
      <c r="A384" s="2">
        <v>1953</v>
      </c>
      <c r="B384" s="2">
        <v>7.1</v>
      </c>
      <c r="C384" s="2">
        <v>7.4</v>
      </c>
      <c r="D384" s="2">
        <v>7.5</v>
      </c>
      <c r="E384" s="2">
        <v>5.5</v>
      </c>
      <c r="F384" s="2">
        <v>5.7</v>
      </c>
      <c r="G384" s="2" t="s">
        <v>28</v>
      </c>
    </row>
    <row r="385" spans="1:7" ht="15.5" x14ac:dyDescent="0.35">
      <c r="A385" s="2">
        <v>1954</v>
      </c>
      <c r="B385" s="2">
        <v>5.5</v>
      </c>
      <c r="C385" s="2">
        <v>5.5</v>
      </c>
      <c r="D385" s="2">
        <v>5.9</v>
      </c>
      <c r="E385" s="2">
        <v>4.4000000000000004</v>
      </c>
      <c r="F385" s="2">
        <v>4.5999999999999996</v>
      </c>
      <c r="G385" s="2" t="s">
        <v>28</v>
      </c>
    </row>
    <row r="386" spans="1:7" ht="15.5" x14ac:dyDescent="0.35">
      <c r="A386" s="2">
        <v>1955</v>
      </c>
      <c r="B386" s="2">
        <v>8.4</v>
      </c>
      <c r="C386" s="2">
        <v>8.9</v>
      </c>
      <c r="D386" s="2">
        <v>8.6</v>
      </c>
      <c r="E386" s="2">
        <v>4</v>
      </c>
      <c r="F386" s="2">
        <v>3.8</v>
      </c>
      <c r="G386" s="2" t="s">
        <v>28</v>
      </c>
    </row>
    <row r="387" spans="1:7" ht="15.5" x14ac:dyDescent="0.35">
      <c r="A387" s="2">
        <v>1956</v>
      </c>
      <c r="B387" s="2">
        <v>9</v>
      </c>
      <c r="C387" s="2">
        <v>8.6999999999999993</v>
      </c>
      <c r="D387" s="2">
        <v>8.9</v>
      </c>
      <c r="E387" s="2">
        <v>1.7</v>
      </c>
      <c r="F387" s="2">
        <v>2</v>
      </c>
      <c r="G387" s="2" t="s">
        <v>28</v>
      </c>
    </row>
    <row r="388" spans="1:7" ht="15.5" x14ac:dyDescent="0.35">
      <c r="A388" s="2">
        <v>1957</v>
      </c>
      <c r="B388" s="2">
        <v>6.1</v>
      </c>
      <c r="C388" s="2">
        <v>6</v>
      </c>
      <c r="D388" s="2">
        <v>6.6</v>
      </c>
      <c r="E388" s="2">
        <v>2</v>
      </c>
      <c r="F388" s="2">
        <v>2.2000000000000002</v>
      </c>
      <c r="G388" s="2" t="s">
        <v>28</v>
      </c>
    </row>
    <row r="389" spans="1:7" ht="15.5" x14ac:dyDescent="0.35">
      <c r="A389" s="2">
        <v>1958</v>
      </c>
      <c r="B389" s="2">
        <v>5.2</v>
      </c>
      <c r="C389" s="2">
        <v>5</v>
      </c>
      <c r="D389" s="2">
        <v>5.2</v>
      </c>
      <c r="E389" s="2">
        <v>1.3</v>
      </c>
      <c r="F389" s="2">
        <v>1.1000000000000001</v>
      </c>
      <c r="G389" s="2" t="s">
        <v>28</v>
      </c>
    </row>
    <row r="390" spans="1:7" ht="15.5" x14ac:dyDescent="0.35">
      <c r="A390" s="2">
        <v>1959</v>
      </c>
      <c r="B390" s="2">
        <v>4.8</v>
      </c>
      <c r="C390" s="2">
        <v>5</v>
      </c>
      <c r="D390" s="2">
        <v>5</v>
      </c>
      <c r="E390" s="2">
        <v>4.3</v>
      </c>
      <c r="F390" s="2">
        <v>4</v>
      </c>
      <c r="G390" s="2" t="s">
        <v>28</v>
      </c>
    </row>
    <row r="391" spans="1:7" ht="15.5" x14ac:dyDescent="0.35">
      <c r="A391" s="2">
        <v>1960</v>
      </c>
      <c r="B391" s="2">
        <v>7.3</v>
      </c>
      <c r="C391" s="2">
        <v>7.4</v>
      </c>
      <c r="D391" s="2">
        <v>8.1</v>
      </c>
      <c r="E391" s="2">
        <v>6.3</v>
      </c>
      <c r="F391" s="2">
        <v>6.7</v>
      </c>
      <c r="G391" s="2" t="s">
        <v>28</v>
      </c>
    </row>
    <row r="392" spans="1:7" ht="15.5" x14ac:dyDescent="0.35">
      <c r="A392" s="2">
        <v>1961</v>
      </c>
      <c r="B392" s="2">
        <v>6.6</v>
      </c>
      <c r="C392" s="2">
        <v>6.6</v>
      </c>
      <c r="D392" s="2">
        <v>6.8</v>
      </c>
      <c r="E392" s="2">
        <v>2.7</v>
      </c>
      <c r="F392" s="2">
        <v>2.8</v>
      </c>
      <c r="G392" s="2" t="s">
        <v>28</v>
      </c>
    </row>
    <row r="393" spans="1:7" ht="15.5" x14ac:dyDescent="0.35">
      <c r="A393" s="2">
        <v>1962</v>
      </c>
      <c r="B393" s="2">
        <v>5</v>
      </c>
      <c r="C393" s="2">
        <v>4.7</v>
      </c>
      <c r="D393" s="2">
        <v>4.4000000000000004</v>
      </c>
      <c r="E393" s="2">
        <v>1.1000000000000001</v>
      </c>
      <c r="F393" s="2">
        <v>1.3</v>
      </c>
      <c r="G393" s="2" t="s">
        <v>28</v>
      </c>
    </row>
    <row r="394" spans="1:7" ht="15.5" x14ac:dyDescent="0.35">
      <c r="A394" s="2">
        <v>1963</v>
      </c>
      <c r="B394" s="2">
        <v>6.5</v>
      </c>
      <c r="C394" s="2">
        <v>6.4</v>
      </c>
      <c r="D394" s="2">
        <v>6.7</v>
      </c>
      <c r="E394" s="2">
        <v>4.8</v>
      </c>
      <c r="F394" s="2">
        <v>5.2</v>
      </c>
      <c r="G394" s="2" t="s">
        <v>28</v>
      </c>
    </row>
    <row r="395" spans="1:7" ht="15.5" x14ac:dyDescent="0.35">
      <c r="A395" s="2">
        <v>1964</v>
      </c>
      <c r="B395" s="2">
        <v>9.4</v>
      </c>
      <c r="C395" s="2">
        <v>9.5</v>
      </c>
      <c r="D395" s="2">
        <v>9</v>
      </c>
      <c r="E395" s="2">
        <v>5.7</v>
      </c>
      <c r="F395" s="2">
        <v>5.8</v>
      </c>
      <c r="G395" s="2" t="s">
        <v>28</v>
      </c>
    </row>
    <row r="396" spans="1:7" ht="15.5" x14ac:dyDescent="0.35">
      <c r="A396" s="2">
        <v>1965</v>
      </c>
      <c r="B396" s="2">
        <v>8.1999999999999993</v>
      </c>
      <c r="C396" s="2">
        <v>8.1999999999999993</v>
      </c>
      <c r="D396" s="2">
        <v>7.8</v>
      </c>
      <c r="E396" s="2">
        <v>2.1</v>
      </c>
      <c r="F396" s="2">
        <v>2.5</v>
      </c>
      <c r="G396" s="2" t="s">
        <v>28</v>
      </c>
    </row>
    <row r="397" spans="1:7" ht="15.5" x14ac:dyDescent="0.35">
      <c r="A397" s="2">
        <v>1966</v>
      </c>
      <c r="B397" s="2">
        <v>6.8</v>
      </c>
      <c r="C397" s="2">
        <v>7</v>
      </c>
      <c r="D397" s="2">
        <v>6.7</v>
      </c>
      <c r="E397" s="2">
        <v>1.6</v>
      </c>
      <c r="F397" s="2">
        <v>1.4</v>
      </c>
      <c r="G397" s="2" t="s">
        <v>28</v>
      </c>
    </row>
    <row r="398" spans="1:7" ht="15.5" x14ac:dyDescent="0.35">
      <c r="A398" s="2">
        <v>1967</v>
      </c>
      <c r="B398" s="2">
        <v>5.7</v>
      </c>
      <c r="C398" s="2">
        <v>5.8</v>
      </c>
      <c r="D398" s="2">
        <v>6.6</v>
      </c>
      <c r="E398" s="2">
        <v>2.8</v>
      </c>
      <c r="F398" s="2">
        <v>2.2999999999999998</v>
      </c>
      <c r="G398" s="2" t="s">
        <v>28</v>
      </c>
    </row>
    <row r="399" spans="1:7" ht="15.5" x14ac:dyDescent="0.35">
      <c r="A399" s="2">
        <v>1968</v>
      </c>
      <c r="B399" s="2">
        <v>9.6999999999999993</v>
      </c>
      <c r="C399" s="2">
        <v>9.9</v>
      </c>
      <c r="D399" s="2">
        <v>9.4</v>
      </c>
      <c r="E399" s="2">
        <v>5.5</v>
      </c>
      <c r="F399" s="2">
        <v>5.6</v>
      </c>
      <c r="G399" s="2" t="s">
        <v>28</v>
      </c>
    </row>
    <row r="400" spans="1:7" ht="15.5" x14ac:dyDescent="0.35">
      <c r="A400" s="2">
        <v>1969</v>
      </c>
      <c r="B400" s="2">
        <v>9</v>
      </c>
      <c r="C400" s="2">
        <v>8.6999999999999993</v>
      </c>
      <c r="D400" s="2">
        <v>8</v>
      </c>
      <c r="E400" s="2">
        <v>1.9</v>
      </c>
      <c r="F400" s="2">
        <v>2</v>
      </c>
      <c r="G400" s="2" t="s">
        <v>28</v>
      </c>
    </row>
    <row r="401" spans="1:7" ht="15.5" x14ac:dyDescent="0.35">
      <c r="A401" s="2">
        <v>1970</v>
      </c>
      <c r="B401" s="2">
        <v>12.6</v>
      </c>
      <c r="C401" s="2">
        <v>12.6</v>
      </c>
      <c r="D401" s="2">
        <v>13</v>
      </c>
      <c r="E401" s="2">
        <v>2.7</v>
      </c>
      <c r="F401" s="2">
        <v>2.6</v>
      </c>
      <c r="G401" s="2" t="s">
        <v>28</v>
      </c>
    </row>
    <row r="402" spans="1:7" ht="15.5" x14ac:dyDescent="0.35">
      <c r="A402" s="2">
        <v>1971</v>
      </c>
      <c r="B402" s="2">
        <v>11.9</v>
      </c>
      <c r="C402" s="2">
        <v>12.2</v>
      </c>
      <c r="D402" s="2">
        <v>12.9</v>
      </c>
      <c r="E402" s="2">
        <v>3.6</v>
      </c>
      <c r="F402" s="2">
        <v>3.9</v>
      </c>
      <c r="G402" s="2" t="s">
        <v>28</v>
      </c>
    </row>
    <row r="403" spans="1:7" ht="15.5" x14ac:dyDescent="0.35">
      <c r="A403" s="2">
        <v>1972</v>
      </c>
      <c r="B403" s="2">
        <v>12</v>
      </c>
      <c r="C403" s="2">
        <v>12.3</v>
      </c>
      <c r="D403" s="2">
        <v>12.9</v>
      </c>
      <c r="E403" s="2">
        <v>4.4000000000000004</v>
      </c>
      <c r="F403" s="2">
        <v>4.4000000000000004</v>
      </c>
      <c r="G403" s="2" t="s">
        <v>28</v>
      </c>
    </row>
    <row r="404" spans="1:7" ht="15.5" x14ac:dyDescent="0.35">
      <c r="A404" s="2">
        <v>1973</v>
      </c>
      <c r="B404" s="2">
        <v>16.5</v>
      </c>
      <c r="C404" s="2">
        <v>15.9</v>
      </c>
      <c r="D404" s="2">
        <v>16.600000000000001</v>
      </c>
      <c r="E404" s="2">
        <v>6.5</v>
      </c>
      <c r="F404" s="2">
        <v>6.8</v>
      </c>
      <c r="G404" s="2" t="s">
        <v>28</v>
      </c>
    </row>
    <row r="405" spans="1:7" ht="15.5" x14ac:dyDescent="0.35">
      <c r="A405" s="2">
        <v>1974</v>
      </c>
      <c r="B405" s="2">
        <v>13.3</v>
      </c>
      <c r="C405" s="2">
        <v>13.3</v>
      </c>
      <c r="D405" s="2">
        <v>14.3</v>
      </c>
      <c r="E405" s="2">
        <v>-2.5</v>
      </c>
      <c r="F405" s="2">
        <v>-2.2999999999999998</v>
      </c>
      <c r="G405" s="2" t="s">
        <v>28</v>
      </c>
    </row>
    <row r="406" spans="1:7" ht="15.5" x14ac:dyDescent="0.35">
      <c r="A406" s="2">
        <v>1975</v>
      </c>
      <c r="B406" s="2">
        <v>23.2</v>
      </c>
      <c r="C406" s="2">
        <v>24.2</v>
      </c>
      <c r="D406" s="2">
        <v>24.3</v>
      </c>
      <c r="E406" s="2">
        <v>-1.5</v>
      </c>
      <c r="F406" s="2">
        <v>-1.5</v>
      </c>
      <c r="G406" s="2" t="s">
        <v>28</v>
      </c>
    </row>
    <row r="407" spans="1:7" ht="15.5" x14ac:dyDescent="0.35">
      <c r="A407" s="2">
        <v>1976</v>
      </c>
      <c r="B407" s="2">
        <v>19.2</v>
      </c>
      <c r="C407" s="2">
        <v>19</v>
      </c>
      <c r="D407" s="2">
        <v>18.2</v>
      </c>
      <c r="E407" s="2">
        <v>3</v>
      </c>
      <c r="F407" s="2">
        <v>2.8</v>
      </c>
      <c r="G407" s="2" t="s">
        <v>28</v>
      </c>
    </row>
    <row r="408" spans="1:7" ht="15.5" x14ac:dyDescent="0.35">
      <c r="A408" s="2">
        <v>1977</v>
      </c>
      <c r="B408" s="2">
        <v>15.3</v>
      </c>
      <c r="C408" s="2">
        <v>16.600000000000001</v>
      </c>
      <c r="D408" s="2">
        <v>16.2</v>
      </c>
      <c r="E408" s="2">
        <v>2.5</v>
      </c>
      <c r="F408" s="2">
        <v>2.2999999999999998</v>
      </c>
      <c r="G408" s="2" t="s">
        <v>28</v>
      </c>
    </row>
    <row r="409" spans="1:7" ht="15.5" x14ac:dyDescent="0.35">
      <c r="A409" s="2">
        <v>1978</v>
      </c>
      <c r="B409" s="2">
        <v>16.899999999999999</v>
      </c>
      <c r="C409" s="2">
        <v>16.5</v>
      </c>
      <c r="D409" s="2">
        <v>16.899999999999999</v>
      </c>
      <c r="E409" s="2">
        <v>4.2</v>
      </c>
      <c r="F409" s="2">
        <v>3.7</v>
      </c>
      <c r="G409" s="2" t="s">
        <v>28</v>
      </c>
    </row>
    <row r="410" spans="1:7" ht="15.5" x14ac:dyDescent="0.35">
      <c r="A410" s="2">
        <v>1979</v>
      </c>
      <c r="B410" s="2">
        <v>18.3</v>
      </c>
      <c r="C410" s="2">
        <v>18.7</v>
      </c>
      <c r="D410" s="2">
        <v>17.899999999999999</v>
      </c>
      <c r="E410" s="2">
        <v>3.7</v>
      </c>
      <c r="F410" s="2">
        <v>3.3</v>
      </c>
      <c r="G410" s="2" t="s">
        <v>28</v>
      </c>
    </row>
    <row r="411" spans="1:7" ht="15.5" x14ac:dyDescent="0.35">
      <c r="A411" s="2">
        <v>1980</v>
      </c>
      <c r="B411" s="2">
        <v>17.100000000000001</v>
      </c>
      <c r="C411" s="2">
        <v>17.600000000000001</v>
      </c>
      <c r="D411" s="2">
        <v>16.7</v>
      </c>
      <c r="E411" s="2">
        <v>-2</v>
      </c>
      <c r="F411" s="2">
        <v>-2</v>
      </c>
      <c r="G411" s="2" t="s">
        <v>28</v>
      </c>
    </row>
    <row r="412" spans="1:7" ht="15.5" x14ac:dyDescent="0.35">
      <c r="A412" s="2">
        <v>1981</v>
      </c>
      <c r="B412" s="2">
        <v>12</v>
      </c>
      <c r="C412" s="2">
        <v>11.8</v>
      </c>
      <c r="D412" s="2">
        <v>12.1</v>
      </c>
      <c r="E412" s="2">
        <v>-0.6</v>
      </c>
      <c r="F412" s="2">
        <v>-0.3</v>
      </c>
      <c r="G412" s="2" t="s">
        <v>28</v>
      </c>
    </row>
    <row r="413" spans="1:7" ht="15.5" x14ac:dyDescent="0.35">
      <c r="A413" s="2">
        <v>1982</v>
      </c>
      <c r="B413" s="2">
        <v>9.9</v>
      </c>
      <c r="C413" s="2">
        <v>10.1</v>
      </c>
      <c r="D413" s="2">
        <v>9.3000000000000007</v>
      </c>
      <c r="E413" s="2">
        <v>2</v>
      </c>
      <c r="F413" s="2">
        <v>2.2999999999999998</v>
      </c>
      <c r="G413" s="2" t="s">
        <v>28</v>
      </c>
    </row>
    <row r="414" spans="1:7" ht="15.5" x14ac:dyDescent="0.35">
      <c r="A414" s="2">
        <v>1983</v>
      </c>
      <c r="B414" s="2">
        <v>10.6</v>
      </c>
      <c r="C414" s="2">
        <v>10</v>
      </c>
      <c r="D414" s="2">
        <v>10.1</v>
      </c>
      <c r="E414" s="2">
        <v>4.2</v>
      </c>
      <c r="F414" s="2">
        <v>4.2</v>
      </c>
      <c r="G414" s="2" t="s">
        <v>28</v>
      </c>
    </row>
    <row r="415" spans="1:7" ht="15.5" x14ac:dyDescent="0.35">
      <c r="A415" s="2">
        <v>1984</v>
      </c>
      <c r="B415" s="2">
        <v>7.9</v>
      </c>
      <c r="C415" s="2">
        <v>7.6</v>
      </c>
      <c r="D415" s="2">
        <v>7.2</v>
      </c>
      <c r="E415" s="2">
        <v>2.2000000000000002</v>
      </c>
      <c r="F415" s="2">
        <v>1.9</v>
      </c>
      <c r="G415" s="2" t="s">
        <v>28</v>
      </c>
    </row>
    <row r="416" spans="1:7" ht="15.5" x14ac:dyDescent="0.35">
      <c r="A416" s="2">
        <v>1985</v>
      </c>
      <c r="B416" s="2">
        <v>9</v>
      </c>
      <c r="C416" s="2">
        <v>9.6999999999999993</v>
      </c>
      <c r="D416" s="2">
        <v>9.6999999999999993</v>
      </c>
      <c r="E416" s="2">
        <v>4.0999999999999996</v>
      </c>
      <c r="F416" s="2">
        <v>4.3</v>
      </c>
      <c r="G416" s="2" t="s">
        <v>28</v>
      </c>
    </row>
    <row r="417" spans="1:7" ht="15.5" x14ac:dyDescent="0.35">
      <c r="A417" s="2">
        <v>1986</v>
      </c>
      <c r="B417" s="2">
        <v>8.3000000000000007</v>
      </c>
      <c r="C417" s="2">
        <v>7.7</v>
      </c>
      <c r="D417" s="2">
        <v>7.1</v>
      </c>
      <c r="E417" s="2">
        <v>3.1</v>
      </c>
      <c r="F417" s="2">
        <v>2.8</v>
      </c>
      <c r="G417" s="2" t="s">
        <v>28</v>
      </c>
    </row>
    <row r="418" spans="1:7" ht="15.5" x14ac:dyDescent="0.35">
      <c r="A418" s="2">
        <v>1987</v>
      </c>
      <c r="B418" s="2">
        <v>11.8</v>
      </c>
      <c r="C418" s="2">
        <v>11.3</v>
      </c>
      <c r="D418" s="2">
        <v>11.3</v>
      </c>
      <c r="E418" s="2">
        <v>5.5</v>
      </c>
      <c r="F418" s="2">
        <v>5.4</v>
      </c>
      <c r="G418" s="2" t="s">
        <v>28</v>
      </c>
    </row>
    <row r="419" spans="1:7" ht="15.5" x14ac:dyDescent="0.35">
      <c r="A419" s="2">
        <v>1988</v>
      </c>
      <c r="B419" s="2">
        <v>11.8</v>
      </c>
      <c r="C419" s="2">
        <v>11.9</v>
      </c>
      <c r="D419" s="2">
        <v>11.9</v>
      </c>
      <c r="E419" s="2">
        <v>5.4</v>
      </c>
      <c r="F419" s="2">
        <v>5.3</v>
      </c>
      <c r="G419" s="2" t="s">
        <v>28</v>
      </c>
    </row>
    <row r="420" spans="1:7" ht="15.5" x14ac:dyDescent="0.35">
      <c r="A420" s="2">
        <v>1989</v>
      </c>
      <c r="B420" s="2">
        <v>10.4</v>
      </c>
      <c r="C420" s="2">
        <v>10.6</v>
      </c>
      <c r="D420" s="2">
        <v>11</v>
      </c>
      <c r="E420" s="2">
        <v>2.4</v>
      </c>
      <c r="F420" s="2">
        <v>2.5</v>
      </c>
      <c r="G420" s="2" t="s">
        <v>28</v>
      </c>
    </row>
    <row r="421" spans="1:7" ht="15.5" x14ac:dyDescent="0.35">
      <c r="A421" s="2">
        <v>1990</v>
      </c>
      <c r="B421" s="2">
        <v>8.9</v>
      </c>
      <c r="C421" s="2">
        <v>9.1</v>
      </c>
      <c r="D421" s="2">
        <v>9.4</v>
      </c>
      <c r="E421" s="2">
        <v>0.6</v>
      </c>
      <c r="F421" s="2">
        <v>0.8</v>
      </c>
      <c r="G421" s="2" t="s">
        <v>28</v>
      </c>
    </row>
    <row r="422" spans="1:7" ht="15.5" x14ac:dyDescent="0.35">
      <c r="A422" s="2">
        <v>1991</v>
      </c>
      <c r="B422" s="2">
        <v>5.0999999999999996</v>
      </c>
      <c r="C422" s="2">
        <v>5.2</v>
      </c>
      <c r="D422" s="2">
        <v>4.5999999999999996</v>
      </c>
      <c r="E422" s="2">
        <v>-1.4</v>
      </c>
      <c r="F422" s="2">
        <v>-1</v>
      </c>
      <c r="G422" s="2" t="s">
        <v>28</v>
      </c>
    </row>
    <row r="423" spans="1:7" ht="15.5" x14ac:dyDescent="0.35">
      <c r="A423" s="2">
        <v>1992</v>
      </c>
      <c r="B423" s="2">
        <v>4.3</v>
      </c>
      <c r="C423" s="2">
        <v>3.6</v>
      </c>
      <c r="D423" s="2">
        <v>3.6</v>
      </c>
      <c r="E423" s="2">
        <v>0.3</v>
      </c>
      <c r="F423" s="2">
        <v>0.4</v>
      </c>
      <c r="G423" s="2" t="s">
        <v>28</v>
      </c>
    </row>
    <row r="424" spans="1:7" ht="15.5" x14ac:dyDescent="0.35">
      <c r="A424" s="2">
        <v>1993</v>
      </c>
      <c r="B424" s="2">
        <v>5.2</v>
      </c>
      <c r="C424" s="2">
        <v>5.3</v>
      </c>
      <c r="D424" s="2">
        <v>5.5</v>
      </c>
      <c r="E424" s="2">
        <v>2.2999999999999998</v>
      </c>
      <c r="F424" s="2">
        <v>2.2999999999999998</v>
      </c>
      <c r="G424" s="2" t="s">
        <v>28</v>
      </c>
    </row>
    <row r="425" spans="1:7" ht="15.5" x14ac:dyDescent="0.35">
      <c r="A425" s="2">
        <v>1994</v>
      </c>
      <c r="B425" s="2">
        <v>5.9</v>
      </c>
      <c r="C425" s="2">
        <v>5.3</v>
      </c>
      <c r="D425" s="2">
        <v>5</v>
      </c>
      <c r="E425" s="2">
        <v>3.4</v>
      </c>
      <c r="F425" s="2">
        <v>3.1</v>
      </c>
      <c r="G425" s="2" t="s">
        <v>28</v>
      </c>
    </row>
    <row r="426" spans="1:7" ht="15.5" x14ac:dyDescent="0.35">
      <c r="A426" s="2">
        <v>1995</v>
      </c>
      <c r="B426" s="2">
        <v>4.8</v>
      </c>
      <c r="C426" s="2">
        <v>5.0999999999999996</v>
      </c>
      <c r="D426" s="2">
        <v>4.7</v>
      </c>
      <c r="E426" s="2">
        <v>2.4</v>
      </c>
      <c r="F426" s="2">
        <v>2.2999999999999998</v>
      </c>
      <c r="G426" s="2" t="s">
        <v>28</v>
      </c>
    </row>
    <row r="427" spans="1:7" ht="15.5" x14ac:dyDescent="0.35">
      <c r="A427" s="2">
        <v>1996</v>
      </c>
      <c r="B427" s="2">
        <v>6.9</v>
      </c>
      <c r="C427" s="2">
        <v>6.9</v>
      </c>
      <c r="D427" s="2">
        <v>7.1</v>
      </c>
      <c r="E427" s="2">
        <v>2.6</v>
      </c>
      <c r="F427" s="2">
        <v>2.9</v>
      </c>
      <c r="G427" s="2" t="s">
        <v>28</v>
      </c>
    </row>
    <row r="428" spans="1:7" ht="15.5" x14ac:dyDescent="0.35">
      <c r="A428" s="2">
        <v>1997</v>
      </c>
      <c r="B428" s="2">
        <v>4.9000000000000004</v>
      </c>
      <c r="C428" s="2">
        <v>4.9000000000000004</v>
      </c>
      <c r="D428" s="2">
        <v>4.4000000000000004</v>
      </c>
      <c r="E428" s="2">
        <v>4.9000000000000004</v>
      </c>
      <c r="F428" s="2">
        <v>4.2</v>
      </c>
      <c r="G428" s="2" t="s">
        <v>28</v>
      </c>
    </row>
    <row r="429" spans="1:7" ht="15.5" x14ac:dyDescent="0.35">
      <c r="A429" s="2">
        <v>1998</v>
      </c>
      <c r="B429" s="2">
        <v>5.8</v>
      </c>
      <c r="C429" s="2">
        <v>4.5999999999999996</v>
      </c>
      <c r="D429" s="2">
        <v>4.3</v>
      </c>
      <c r="E429" s="2">
        <v>3.2</v>
      </c>
      <c r="F429" s="2">
        <v>3.3</v>
      </c>
      <c r="G429" s="2">
        <v>3.3</v>
      </c>
    </row>
    <row r="430" spans="1:7" ht="15.5" x14ac:dyDescent="0.35">
      <c r="A430" s="2">
        <v>1999</v>
      </c>
      <c r="B430" s="2">
        <v>2.9</v>
      </c>
      <c r="C430" s="2">
        <v>4.4000000000000004</v>
      </c>
      <c r="D430" s="2">
        <v>3.9</v>
      </c>
      <c r="E430" s="2">
        <v>2.9</v>
      </c>
      <c r="F430" s="2">
        <v>3</v>
      </c>
      <c r="G430" s="2">
        <v>3</v>
      </c>
    </row>
    <row r="431" spans="1:7" ht="15.5" x14ac:dyDescent="0.35">
      <c r="A431" s="2">
        <v>2000</v>
      </c>
      <c r="B431" s="2">
        <v>6.2</v>
      </c>
      <c r="C431" s="2">
        <v>5.5</v>
      </c>
      <c r="D431" s="2">
        <v>5.5</v>
      </c>
      <c r="E431" s="2">
        <v>4.5</v>
      </c>
      <c r="F431" s="2">
        <v>4.5999999999999996</v>
      </c>
      <c r="G431" s="2">
        <v>4.8</v>
      </c>
    </row>
    <row r="432" spans="1:7" ht="15.5" x14ac:dyDescent="0.35">
      <c r="A432" s="2">
        <v>2001</v>
      </c>
      <c r="B432" s="2">
        <v>4.4000000000000004</v>
      </c>
      <c r="C432" s="2">
        <v>4.0999999999999996</v>
      </c>
      <c r="D432" s="2">
        <v>4.4000000000000004</v>
      </c>
      <c r="E432" s="2">
        <v>2.4</v>
      </c>
      <c r="F432" s="2">
        <v>2.4</v>
      </c>
      <c r="G432" s="2">
        <v>2.6</v>
      </c>
    </row>
    <row r="433" spans="1:7" ht="15.5" x14ac:dyDescent="0.35">
      <c r="A433" s="2">
        <v>2002</v>
      </c>
      <c r="B433" s="2">
        <v>4.5</v>
      </c>
      <c r="C433" s="2">
        <v>3.8</v>
      </c>
      <c r="D433" s="2">
        <v>3.8</v>
      </c>
      <c r="E433" s="2">
        <v>1.7</v>
      </c>
      <c r="F433" s="2">
        <v>1.5</v>
      </c>
      <c r="G433" s="2">
        <v>1.6</v>
      </c>
    </row>
    <row r="434" spans="1:7" ht="15.5" x14ac:dyDescent="0.35">
      <c r="A434" s="2">
        <v>2003</v>
      </c>
      <c r="B434" s="2">
        <v>5.7</v>
      </c>
      <c r="C434" s="2">
        <v>5.7</v>
      </c>
      <c r="D434" s="2">
        <v>5.7</v>
      </c>
      <c r="E434" s="2">
        <v>3.2</v>
      </c>
      <c r="F434" s="2">
        <v>3.2</v>
      </c>
      <c r="G434" s="2">
        <v>3.3</v>
      </c>
    </row>
    <row r="435" spans="1:7" ht="15.5" x14ac:dyDescent="0.35">
      <c r="A435" s="2">
        <v>2004</v>
      </c>
      <c r="B435" s="2">
        <v>4.8</v>
      </c>
      <c r="C435" s="2">
        <v>5.0999999999999996</v>
      </c>
      <c r="D435" s="2">
        <v>5</v>
      </c>
      <c r="E435" s="2">
        <v>2.2999999999999998</v>
      </c>
      <c r="F435" s="2">
        <v>2.1</v>
      </c>
      <c r="G435" s="2">
        <v>2.2000000000000002</v>
      </c>
    </row>
    <row r="436" spans="1:7" ht="15.5" x14ac:dyDescent="0.35">
      <c r="A436" s="2">
        <v>2005</v>
      </c>
      <c r="B436" s="2">
        <v>6</v>
      </c>
      <c r="C436" s="2">
        <v>5.7</v>
      </c>
      <c r="D436" s="2">
        <v>5.9</v>
      </c>
      <c r="E436" s="2">
        <v>2.8</v>
      </c>
      <c r="F436" s="2">
        <v>3</v>
      </c>
      <c r="G436" s="2">
        <v>3.3</v>
      </c>
    </row>
    <row r="437" spans="1:7" ht="15.5" x14ac:dyDescent="0.35">
      <c r="A437" s="2">
        <v>2006</v>
      </c>
      <c r="B437" s="2">
        <v>3.8</v>
      </c>
      <c r="C437" s="2">
        <v>5.3</v>
      </c>
      <c r="D437" s="2">
        <v>5.3</v>
      </c>
      <c r="E437" s="2">
        <v>2.2000000000000002</v>
      </c>
      <c r="F437" s="2">
        <v>2.2999999999999998</v>
      </c>
      <c r="G437" s="2">
        <v>2.7</v>
      </c>
    </row>
    <row r="438" spans="1:7" ht="15.5" x14ac:dyDescent="0.35">
      <c r="A438" s="2">
        <v>2007</v>
      </c>
      <c r="B438" s="2">
        <v>4.4000000000000004</v>
      </c>
      <c r="C438" s="2">
        <v>5</v>
      </c>
      <c r="D438" s="2">
        <v>4.9000000000000004</v>
      </c>
      <c r="E438" s="2">
        <v>2.9</v>
      </c>
      <c r="F438" s="2">
        <v>2.9</v>
      </c>
      <c r="G438" s="2">
        <v>3.1</v>
      </c>
    </row>
    <row r="439" spans="1:7" ht="15.5" x14ac:dyDescent="0.35">
      <c r="A439" s="2">
        <v>2008</v>
      </c>
      <c r="B439" s="2">
        <v>2.8</v>
      </c>
      <c r="C439" s="2">
        <v>3.3</v>
      </c>
      <c r="D439" s="2">
        <v>3.8</v>
      </c>
      <c r="E439" s="2">
        <v>0</v>
      </c>
      <c r="F439" s="2">
        <v>0.2</v>
      </c>
      <c r="G439" s="2">
        <v>0.3</v>
      </c>
    </row>
    <row r="440" spans="1:7" ht="15.5" x14ac:dyDescent="0.35">
      <c r="A440" s="2">
        <v>2009</v>
      </c>
      <c r="B440" s="2">
        <v>-2.2000000000000002</v>
      </c>
      <c r="C440" s="2">
        <v>-2.7</v>
      </c>
      <c r="D440" s="2">
        <v>-2.1</v>
      </c>
      <c r="E440" s="2">
        <v>-4.5999999999999996</v>
      </c>
      <c r="F440" s="2">
        <v>-4.5</v>
      </c>
      <c r="G440" s="2">
        <v>-4.5</v>
      </c>
    </row>
    <row r="441" spans="1:7" ht="15.5" x14ac:dyDescent="0.35">
      <c r="A441" s="2">
        <v>2010</v>
      </c>
      <c r="B441" s="2">
        <v>4.5</v>
      </c>
      <c r="C441" s="2">
        <v>3.6</v>
      </c>
      <c r="D441" s="2">
        <v>2.5</v>
      </c>
      <c r="E441" s="2">
        <v>2.2999999999999998</v>
      </c>
      <c r="F441" s="2">
        <v>2.4</v>
      </c>
      <c r="G441" s="2">
        <v>2.6</v>
      </c>
    </row>
    <row r="442" spans="1:7" ht="15.5" x14ac:dyDescent="0.35">
      <c r="A442" s="2">
        <v>2011</v>
      </c>
      <c r="B442" s="2">
        <v>3.7</v>
      </c>
      <c r="C442" s="2">
        <v>3.3</v>
      </c>
      <c r="D442" s="2">
        <v>2.4</v>
      </c>
      <c r="E442" s="2">
        <v>0.9</v>
      </c>
      <c r="F442" s="2">
        <v>0.9</v>
      </c>
      <c r="G442" s="2">
        <v>1.4</v>
      </c>
    </row>
    <row r="443" spans="1:7" ht="15.5" x14ac:dyDescent="0.35">
      <c r="A443" s="2">
        <v>2012</v>
      </c>
      <c r="B443" s="2">
        <v>1.7</v>
      </c>
      <c r="C443" s="2">
        <v>3.1</v>
      </c>
      <c r="D443" s="2">
        <v>3.2</v>
      </c>
      <c r="E443" s="2">
        <v>1.5</v>
      </c>
      <c r="F443" s="2">
        <v>1.7</v>
      </c>
      <c r="G443" s="2">
        <v>2.1</v>
      </c>
    </row>
    <row r="444" spans="1:7" ht="15.5" x14ac:dyDescent="0.35">
      <c r="A444" s="2">
        <v>2013</v>
      </c>
      <c r="B444" s="2">
        <v>3</v>
      </c>
      <c r="C444" s="2">
        <v>3.9</v>
      </c>
      <c r="D444" s="2">
        <v>3.8</v>
      </c>
      <c r="E444" s="2">
        <v>1.7</v>
      </c>
      <c r="F444" s="2">
        <v>1.6</v>
      </c>
      <c r="G444" s="2">
        <v>1.9</v>
      </c>
    </row>
    <row r="445" spans="1:7" ht="15.5" x14ac:dyDescent="0.35">
      <c r="A445" s="2">
        <v>2014</v>
      </c>
      <c r="B445" s="2">
        <v>4.8</v>
      </c>
      <c r="C445" s="2">
        <v>4.8</v>
      </c>
      <c r="D445" s="2">
        <v>4.7</v>
      </c>
      <c r="E445" s="2">
        <v>3.2</v>
      </c>
      <c r="F445" s="2">
        <v>3.2</v>
      </c>
      <c r="G445" s="2">
        <v>3.3</v>
      </c>
    </row>
    <row r="446" spans="1:7" ht="15.5" x14ac:dyDescent="0.35">
      <c r="A446" s="2">
        <v>2015</v>
      </c>
      <c r="B446" s="2">
        <v>2.4</v>
      </c>
      <c r="C446" s="2">
        <v>2.8</v>
      </c>
      <c r="D446" s="2">
        <v>2.8</v>
      </c>
      <c r="E446" s="2">
        <v>2.1</v>
      </c>
      <c r="F446" s="2">
        <v>1.9</v>
      </c>
      <c r="G446" s="2">
        <v>1.8</v>
      </c>
    </row>
    <row r="447" spans="1:7" ht="15.5" x14ac:dyDescent="0.35">
      <c r="A447" s="2">
        <v>2016</v>
      </c>
      <c r="B447" s="2">
        <v>3.8</v>
      </c>
      <c r="C447" s="2">
        <v>4</v>
      </c>
      <c r="D447" s="2">
        <v>3.9</v>
      </c>
      <c r="E447" s="2">
        <v>2.2000000000000002</v>
      </c>
      <c r="F447" s="2">
        <v>2.4</v>
      </c>
      <c r="G447" s="2">
        <v>2.2000000000000002</v>
      </c>
    </row>
    <row r="448" spans="1:7" ht="15.5" x14ac:dyDescent="0.35">
      <c r="A448" s="2">
        <v>2017</v>
      </c>
      <c r="B448" s="2">
        <v>6</v>
      </c>
      <c r="C448" s="2">
        <v>4.5999999999999996</v>
      </c>
      <c r="D448" s="2">
        <v>4.7</v>
      </c>
      <c r="E448" s="2">
        <v>3</v>
      </c>
      <c r="F448" s="2">
        <v>3.1</v>
      </c>
      <c r="G448" s="2">
        <v>3.2</v>
      </c>
    </row>
    <row r="449" spans="1:8" ht="15.5" x14ac:dyDescent="0.35">
      <c r="A449" s="2">
        <v>2018</v>
      </c>
      <c r="B449" s="2">
        <v>3.3</v>
      </c>
      <c r="C449" s="2">
        <v>3.5</v>
      </c>
      <c r="D449" s="2">
        <v>3.6</v>
      </c>
      <c r="E449" s="2">
        <v>1.6</v>
      </c>
      <c r="F449" s="2">
        <v>1.5</v>
      </c>
      <c r="G449" s="2">
        <v>1.4</v>
      </c>
    </row>
    <row r="450" spans="1:8" ht="15.5" x14ac:dyDescent="0.35">
      <c r="A450" s="2">
        <v>2019</v>
      </c>
      <c r="B450" s="2">
        <v>5.0999999999999996</v>
      </c>
      <c r="C450" s="2">
        <v>3.7</v>
      </c>
      <c r="D450" s="2">
        <v>3.9</v>
      </c>
      <c r="E450" s="2">
        <v>1.3</v>
      </c>
      <c r="F450" s="2">
        <v>1.4</v>
      </c>
      <c r="G450" s="2">
        <v>1.4</v>
      </c>
    </row>
    <row r="451" spans="1:8" ht="15.5" x14ac:dyDescent="0.35">
      <c r="A451" s="2">
        <v>2020</v>
      </c>
      <c r="B451" s="2">
        <v>-7.6</v>
      </c>
      <c r="C451" s="2">
        <v>-5.7</v>
      </c>
      <c r="D451" s="2">
        <v>-4.8</v>
      </c>
      <c r="E451" s="2">
        <v>-10</v>
      </c>
      <c r="F451" s="2">
        <v>-9.6</v>
      </c>
      <c r="G451" s="2">
        <v>-9.6999999999999993</v>
      </c>
    </row>
    <row r="452" spans="1:8" ht="15.5" x14ac:dyDescent="0.35">
      <c r="A452" s="2">
        <v>2021</v>
      </c>
      <c r="B452" s="2">
        <v>11.7</v>
      </c>
      <c r="C452" s="2">
        <v>9.3000000000000007</v>
      </c>
      <c r="D452" s="2">
        <v>8.8000000000000007</v>
      </c>
      <c r="E452" s="2">
        <v>8.5</v>
      </c>
      <c r="F452" s="2">
        <v>8.6</v>
      </c>
      <c r="G452" s="2">
        <v>8.8000000000000007</v>
      </c>
    </row>
    <row r="453" spans="1:8" ht="15.5" x14ac:dyDescent="0.35">
      <c r="A453" s="2">
        <v>2022</v>
      </c>
      <c r="B453" s="2">
        <v>11.2</v>
      </c>
      <c r="C453" s="2">
        <v>11.1</v>
      </c>
      <c r="D453" s="2">
        <v>11.3</v>
      </c>
      <c r="E453" s="2">
        <v>5.0999999999999996</v>
      </c>
      <c r="F453" s="2">
        <v>4.7</v>
      </c>
      <c r="G453" s="2">
        <v>4.7</v>
      </c>
    </row>
    <row r="454" spans="1:8" ht="15.5" x14ac:dyDescent="0.35">
      <c r="A454" s="2">
        <v>2023</v>
      </c>
      <c r="B454" s="2">
        <v>4.8</v>
      </c>
      <c r="C454" s="2">
        <v>6.6</v>
      </c>
      <c r="D454" s="2">
        <v>7.5</v>
      </c>
      <c r="E454" s="2">
        <v>0.3</v>
      </c>
      <c r="F454" s="2">
        <v>0.4</v>
      </c>
      <c r="G454" s="2">
        <v>0.8</v>
      </c>
    </row>
    <row r="455" spans="1:8" ht="15.5" x14ac:dyDescent="0.35">
      <c r="A455" s="2">
        <v>2024</v>
      </c>
      <c r="B455" s="2">
        <v>5.0999999999999996</v>
      </c>
      <c r="C455" s="2">
        <v>5.0999999999999996</v>
      </c>
      <c r="D455" s="2">
        <v>4.5</v>
      </c>
      <c r="E455" s="2">
        <v>1.1000000000000001</v>
      </c>
      <c r="F455" s="2">
        <v>1.2</v>
      </c>
      <c r="G455" s="2">
        <v>1.3</v>
      </c>
    </row>
    <row r="456" spans="1:8" ht="15.5" x14ac:dyDescent="0.35">
      <c r="A456" s="2">
        <v>2025</v>
      </c>
      <c r="B456" s="2">
        <v>6.2</v>
      </c>
      <c r="C456" s="2">
        <v>5.0999999999999996</v>
      </c>
      <c r="D456" s="2">
        <v>5.0999999999999996</v>
      </c>
      <c r="E456" s="2">
        <v>1.4</v>
      </c>
      <c r="F456" s="2">
        <v>1.4</v>
      </c>
      <c r="G456" s="2">
        <v>1.4</v>
      </c>
    </row>
    <row r="458" spans="1:8" ht="15.5" x14ac:dyDescent="0.35">
      <c r="A458" s="3" t="s">
        <v>321</v>
      </c>
    </row>
    <row r="459" spans="1:8" ht="139.5" x14ac:dyDescent="0.35">
      <c r="A459" s="4" t="s">
        <v>6</v>
      </c>
      <c r="B459" s="4" t="s">
        <v>7</v>
      </c>
      <c r="C459" s="4" t="s">
        <v>9</v>
      </c>
      <c r="D459" s="4" t="s">
        <v>11</v>
      </c>
      <c r="E459" s="4" t="s">
        <v>12</v>
      </c>
      <c r="F459" s="4" t="s">
        <v>14</v>
      </c>
      <c r="G459" s="4" t="s">
        <v>15</v>
      </c>
      <c r="H459" s="4" t="s">
        <v>16</v>
      </c>
    </row>
    <row r="460" spans="1:8" ht="31" x14ac:dyDescent="0.35">
      <c r="A460" s="4" t="s">
        <v>17</v>
      </c>
      <c r="B460" s="5" t="s">
        <v>322</v>
      </c>
      <c r="C460" s="5" t="s">
        <v>323</v>
      </c>
      <c r="D460" s="5" t="s">
        <v>324</v>
      </c>
      <c r="E460" s="5" t="s">
        <v>325</v>
      </c>
      <c r="F460" s="5" t="s">
        <v>326</v>
      </c>
      <c r="G460" s="5" t="s">
        <v>327</v>
      </c>
      <c r="H460" s="5" t="s">
        <v>320</v>
      </c>
    </row>
    <row r="461" spans="1:8" ht="15.5" x14ac:dyDescent="0.35">
      <c r="A461" s="2" t="s">
        <v>31</v>
      </c>
      <c r="B461" s="2">
        <v>0.7</v>
      </c>
      <c r="C461" s="2">
        <v>0.5</v>
      </c>
      <c r="D461" s="2">
        <v>0</v>
      </c>
      <c r="E461" s="2">
        <v>0.1</v>
      </c>
      <c r="F461" s="2">
        <v>-0.2</v>
      </c>
      <c r="G461" s="2">
        <v>1.6</v>
      </c>
      <c r="H461" s="2" t="s">
        <v>28</v>
      </c>
    </row>
    <row r="462" spans="1:8" ht="15.5" x14ac:dyDescent="0.35">
      <c r="A462" s="2" t="s">
        <v>32</v>
      </c>
      <c r="B462" s="2">
        <v>3.9</v>
      </c>
      <c r="C462" s="2">
        <v>3.7</v>
      </c>
      <c r="D462" s="2">
        <v>3.5</v>
      </c>
      <c r="E462" s="2">
        <v>1.7</v>
      </c>
      <c r="F462" s="2">
        <v>1.3</v>
      </c>
      <c r="G462" s="2">
        <v>3.3</v>
      </c>
      <c r="H462" s="2" t="s">
        <v>28</v>
      </c>
    </row>
    <row r="463" spans="1:8" ht="15.5" x14ac:dyDescent="0.35">
      <c r="A463" s="2" t="s">
        <v>33</v>
      </c>
      <c r="B463" s="2">
        <v>1</v>
      </c>
      <c r="C463" s="2">
        <v>1.9</v>
      </c>
      <c r="D463" s="2">
        <v>2.4</v>
      </c>
      <c r="E463" s="2">
        <v>-0.6</v>
      </c>
      <c r="F463" s="2">
        <v>-0.4</v>
      </c>
      <c r="G463" s="2">
        <v>0.5</v>
      </c>
      <c r="H463" s="2" t="s">
        <v>28</v>
      </c>
    </row>
    <row r="464" spans="1:8" ht="15.5" x14ac:dyDescent="0.35">
      <c r="A464" s="2" t="s">
        <v>34</v>
      </c>
      <c r="B464" s="2">
        <v>3</v>
      </c>
      <c r="C464" s="2">
        <v>2.7</v>
      </c>
      <c r="D464" s="2">
        <v>2.7</v>
      </c>
      <c r="E464" s="2">
        <v>1.2</v>
      </c>
      <c r="F464" s="2">
        <v>1.3</v>
      </c>
      <c r="G464" s="2">
        <v>-4.0999999999999996</v>
      </c>
      <c r="H464" s="2" t="s">
        <v>28</v>
      </c>
    </row>
    <row r="465" spans="1:8" ht="15.5" x14ac:dyDescent="0.35">
      <c r="A465" s="2" t="s">
        <v>35</v>
      </c>
      <c r="B465" s="2">
        <v>1.6</v>
      </c>
      <c r="C465" s="2">
        <v>1.4</v>
      </c>
      <c r="D465" s="2">
        <v>1.2</v>
      </c>
      <c r="E465" s="2">
        <v>-0.1</v>
      </c>
      <c r="F465" s="2">
        <v>0.3</v>
      </c>
      <c r="G465" s="2">
        <v>4.3</v>
      </c>
      <c r="H465" s="2" t="s">
        <v>28</v>
      </c>
    </row>
    <row r="466" spans="1:8" ht="15.5" x14ac:dyDescent="0.35">
      <c r="A466" s="2" t="s">
        <v>36</v>
      </c>
      <c r="B466" s="2">
        <v>1.8</v>
      </c>
      <c r="C466" s="2">
        <v>1.6</v>
      </c>
      <c r="D466" s="2">
        <v>1.6</v>
      </c>
      <c r="E466" s="2">
        <v>-0.1</v>
      </c>
      <c r="F466" s="2">
        <v>0</v>
      </c>
      <c r="G466" s="2">
        <v>-1.1000000000000001</v>
      </c>
      <c r="H466" s="2" t="s">
        <v>28</v>
      </c>
    </row>
    <row r="467" spans="1:8" ht="15.5" x14ac:dyDescent="0.35">
      <c r="A467" s="2" t="s">
        <v>37</v>
      </c>
      <c r="B467" s="2">
        <v>2.7</v>
      </c>
      <c r="C467" s="2">
        <v>2.6</v>
      </c>
      <c r="D467" s="2">
        <v>2.7</v>
      </c>
      <c r="E467" s="2">
        <v>0.6</v>
      </c>
      <c r="F467" s="2">
        <v>0.3</v>
      </c>
      <c r="G467" s="2">
        <v>3.4</v>
      </c>
      <c r="H467" s="2" t="s">
        <v>28</v>
      </c>
    </row>
    <row r="468" spans="1:8" ht="15.5" x14ac:dyDescent="0.35">
      <c r="A468" s="2" t="s">
        <v>38</v>
      </c>
      <c r="B468" s="2">
        <v>-0.5</v>
      </c>
      <c r="C468" s="2">
        <v>0.2</v>
      </c>
      <c r="D468" s="2">
        <v>0.4</v>
      </c>
      <c r="E468" s="2">
        <v>1.8</v>
      </c>
      <c r="F468" s="2">
        <v>2.1</v>
      </c>
      <c r="G468" s="2">
        <v>-3.2</v>
      </c>
      <c r="H468" s="2" t="s">
        <v>28</v>
      </c>
    </row>
    <row r="469" spans="1:8" ht="15.5" x14ac:dyDescent="0.35">
      <c r="A469" s="2" t="s">
        <v>39</v>
      </c>
      <c r="B469" s="2">
        <v>1.8</v>
      </c>
      <c r="C469" s="2">
        <v>1.5</v>
      </c>
      <c r="D469" s="2">
        <v>1.5</v>
      </c>
      <c r="E469" s="2">
        <v>0</v>
      </c>
      <c r="F469" s="2">
        <v>0.1</v>
      </c>
      <c r="G469" s="2">
        <v>3.5</v>
      </c>
      <c r="H469" s="2" t="s">
        <v>28</v>
      </c>
    </row>
    <row r="470" spans="1:8" ht="15.5" x14ac:dyDescent="0.35">
      <c r="A470" s="2" t="s">
        <v>40</v>
      </c>
      <c r="B470" s="2">
        <v>2.4</v>
      </c>
      <c r="C470" s="2">
        <v>2.1</v>
      </c>
      <c r="D470" s="2">
        <v>2.4</v>
      </c>
      <c r="E470" s="2">
        <v>-0.6</v>
      </c>
      <c r="F470" s="2">
        <v>-0.8</v>
      </c>
      <c r="G470" s="2">
        <v>-1.7</v>
      </c>
      <c r="H470" s="2" t="s">
        <v>28</v>
      </c>
    </row>
    <row r="471" spans="1:8" ht="15.5" x14ac:dyDescent="0.35">
      <c r="A471" s="2" t="s">
        <v>41</v>
      </c>
      <c r="B471" s="2">
        <v>2.1</v>
      </c>
      <c r="C471" s="2">
        <v>2</v>
      </c>
      <c r="D471" s="2">
        <v>2.1</v>
      </c>
      <c r="E471" s="2">
        <v>0.3</v>
      </c>
      <c r="F471" s="2">
        <v>0.5</v>
      </c>
      <c r="G471" s="2">
        <v>2.2000000000000002</v>
      </c>
      <c r="H471" s="2" t="s">
        <v>28</v>
      </c>
    </row>
    <row r="472" spans="1:8" ht="15.5" x14ac:dyDescent="0.35">
      <c r="A472" s="2" t="s">
        <v>42</v>
      </c>
      <c r="B472" s="2">
        <v>1.9</v>
      </c>
      <c r="C472" s="2">
        <v>2</v>
      </c>
      <c r="D472" s="2">
        <v>2</v>
      </c>
      <c r="E472" s="2">
        <v>2.1</v>
      </c>
      <c r="F472" s="2">
        <v>2.1</v>
      </c>
      <c r="G472" s="2">
        <v>-2.7</v>
      </c>
      <c r="H472" s="2" t="s">
        <v>28</v>
      </c>
    </row>
    <row r="473" spans="1:8" ht="15.5" x14ac:dyDescent="0.35">
      <c r="A473" s="2" t="s">
        <v>43</v>
      </c>
      <c r="B473" s="2">
        <v>-2</v>
      </c>
      <c r="C473" s="2">
        <v>-1.3</v>
      </c>
      <c r="D473" s="2">
        <v>-1.5</v>
      </c>
      <c r="E473" s="2">
        <v>-2.5</v>
      </c>
      <c r="F473" s="2">
        <v>-3</v>
      </c>
      <c r="G473" s="2">
        <v>1.5</v>
      </c>
      <c r="H473" s="2" t="s">
        <v>28</v>
      </c>
    </row>
    <row r="474" spans="1:8" ht="15.5" x14ac:dyDescent="0.35">
      <c r="A474" s="2" t="s">
        <v>44</v>
      </c>
      <c r="B474" s="2">
        <v>2.9</v>
      </c>
      <c r="C474" s="2">
        <v>1.7</v>
      </c>
      <c r="D474" s="2">
        <v>1.9</v>
      </c>
      <c r="E474" s="2">
        <v>2.2000000000000002</v>
      </c>
      <c r="F474" s="2">
        <v>2.4</v>
      </c>
      <c r="G474" s="2">
        <v>1.4</v>
      </c>
      <c r="H474" s="2" t="s">
        <v>28</v>
      </c>
    </row>
    <row r="475" spans="1:8" ht="15.5" x14ac:dyDescent="0.35">
      <c r="A475" s="2" t="s">
        <v>45</v>
      </c>
      <c r="B475" s="2">
        <v>0.4</v>
      </c>
      <c r="C475" s="2">
        <v>0.9</v>
      </c>
      <c r="D475" s="2">
        <v>0.6</v>
      </c>
      <c r="E475" s="2">
        <v>0.3</v>
      </c>
      <c r="F475" s="2">
        <v>0.1</v>
      </c>
      <c r="G475" s="2">
        <v>2.5</v>
      </c>
      <c r="H475" s="2" t="s">
        <v>28</v>
      </c>
    </row>
    <row r="476" spans="1:8" ht="15.5" x14ac:dyDescent="0.35">
      <c r="A476" s="2" t="s">
        <v>46</v>
      </c>
      <c r="B476" s="2">
        <v>-0.3</v>
      </c>
      <c r="C476" s="2">
        <v>0.2</v>
      </c>
      <c r="D476" s="2">
        <v>0</v>
      </c>
      <c r="E476" s="2">
        <v>0.6</v>
      </c>
      <c r="F476" s="2">
        <v>0.7</v>
      </c>
      <c r="G476" s="2">
        <v>-4.0999999999999996</v>
      </c>
      <c r="H476" s="2" t="s">
        <v>28</v>
      </c>
    </row>
    <row r="477" spans="1:8" ht="15.5" x14ac:dyDescent="0.35">
      <c r="A477" s="2" t="s">
        <v>47</v>
      </c>
      <c r="B477" s="2">
        <v>3.8</v>
      </c>
      <c r="C477" s="2">
        <v>3.3</v>
      </c>
      <c r="D477" s="2">
        <v>3.5</v>
      </c>
      <c r="E477" s="2">
        <v>1.6</v>
      </c>
      <c r="F477" s="2">
        <v>1.1000000000000001</v>
      </c>
      <c r="G477" s="2">
        <v>5.2</v>
      </c>
      <c r="H477" s="2" t="s">
        <v>28</v>
      </c>
    </row>
    <row r="478" spans="1:8" ht="15.5" x14ac:dyDescent="0.35">
      <c r="A478" s="2" t="s">
        <v>48</v>
      </c>
      <c r="B478" s="2">
        <v>0.5</v>
      </c>
      <c r="C478" s="2">
        <v>0.4</v>
      </c>
      <c r="D478" s="2">
        <v>0.6</v>
      </c>
      <c r="E478" s="2">
        <v>2.1</v>
      </c>
      <c r="F478" s="2">
        <v>2.5</v>
      </c>
      <c r="G478" s="2">
        <v>0.9</v>
      </c>
      <c r="H478" s="2" t="s">
        <v>28</v>
      </c>
    </row>
    <row r="479" spans="1:8" ht="15.5" x14ac:dyDescent="0.35">
      <c r="A479" s="2" t="s">
        <v>49</v>
      </c>
      <c r="B479" s="2">
        <v>3.1</v>
      </c>
      <c r="C479" s="2">
        <v>3.6</v>
      </c>
      <c r="D479" s="2">
        <v>3.5</v>
      </c>
      <c r="E479" s="2">
        <v>2.5</v>
      </c>
      <c r="F479" s="2">
        <v>2.2000000000000002</v>
      </c>
      <c r="G479" s="2">
        <v>4.5</v>
      </c>
      <c r="H479" s="2" t="s">
        <v>28</v>
      </c>
    </row>
    <row r="480" spans="1:8" ht="15.5" x14ac:dyDescent="0.35">
      <c r="A480" s="2" t="s">
        <v>50</v>
      </c>
      <c r="B480" s="2">
        <v>1.6</v>
      </c>
      <c r="C480" s="2">
        <v>1.7</v>
      </c>
      <c r="D480" s="2">
        <v>1.8</v>
      </c>
      <c r="E480" s="2">
        <v>2.5</v>
      </c>
      <c r="F480" s="2">
        <v>2.7</v>
      </c>
      <c r="G480" s="2">
        <v>-2.6</v>
      </c>
      <c r="H480" s="2" t="s">
        <v>28</v>
      </c>
    </row>
    <row r="481" spans="1:8" ht="15.5" x14ac:dyDescent="0.35">
      <c r="A481" s="2" t="s">
        <v>51</v>
      </c>
      <c r="B481" s="2">
        <v>0.8</v>
      </c>
      <c r="C481" s="2">
        <v>0.9</v>
      </c>
      <c r="D481" s="2">
        <v>1.3</v>
      </c>
      <c r="E481" s="2">
        <v>-0.7</v>
      </c>
      <c r="F481" s="2">
        <v>-0.5</v>
      </c>
      <c r="G481" s="2">
        <v>4.0999999999999996</v>
      </c>
      <c r="H481" s="2" t="s">
        <v>28</v>
      </c>
    </row>
    <row r="482" spans="1:8" ht="15.5" x14ac:dyDescent="0.35">
      <c r="A482" s="2" t="s">
        <v>52</v>
      </c>
      <c r="B482" s="2">
        <v>1.7</v>
      </c>
      <c r="C482" s="2">
        <v>1.4</v>
      </c>
      <c r="D482" s="2">
        <v>1.5</v>
      </c>
      <c r="E482" s="2">
        <v>1.5</v>
      </c>
      <c r="F482" s="2">
        <v>1.7</v>
      </c>
      <c r="G482" s="2">
        <v>0.2</v>
      </c>
      <c r="H482" s="2" t="s">
        <v>28</v>
      </c>
    </row>
    <row r="483" spans="1:8" ht="15.5" x14ac:dyDescent="0.35">
      <c r="A483" s="2" t="s">
        <v>53</v>
      </c>
      <c r="B483" s="2">
        <v>2.2999999999999998</v>
      </c>
      <c r="C483" s="2">
        <v>2</v>
      </c>
      <c r="D483" s="2">
        <v>2.2000000000000002</v>
      </c>
      <c r="E483" s="2">
        <v>0.5</v>
      </c>
      <c r="F483" s="2">
        <v>0.7</v>
      </c>
      <c r="G483" s="2">
        <v>2.8</v>
      </c>
      <c r="H483" s="2" t="s">
        <v>28</v>
      </c>
    </row>
    <row r="484" spans="1:8" ht="15.5" x14ac:dyDescent="0.35">
      <c r="A484" s="2" t="s">
        <v>54</v>
      </c>
      <c r="B484" s="2">
        <v>2.5</v>
      </c>
      <c r="C484" s="2">
        <v>2.5</v>
      </c>
      <c r="D484" s="2">
        <v>2.1</v>
      </c>
      <c r="E484" s="2">
        <v>1.7</v>
      </c>
      <c r="F484" s="2">
        <v>1.6</v>
      </c>
      <c r="G484" s="2">
        <v>-3.5</v>
      </c>
      <c r="H484" s="2" t="s">
        <v>28</v>
      </c>
    </row>
    <row r="485" spans="1:8" ht="15.5" x14ac:dyDescent="0.35">
      <c r="A485" s="2" t="s">
        <v>55</v>
      </c>
      <c r="B485" s="2">
        <v>-0.4</v>
      </c>
      <c r="C485" s="2">
        <v>0</v>
      </c>
      <c r="D485" s="2">
        <v>0.3</v>
      </c>
      <c r="E485" s="2">
        <v>0.4</v>
      </c>
      <c r="F485" s="2">
        <v>0.4</v>
      </c>
      <c r="G485" s="2">
        <v>4.5</v>
      </c>
      <c r="H485" s="2" t="s">
        <v>28</v>
      </c>
    </row>
    <row r="486" spans="1:8" ht="15.5" x14ac:dyDescent="0.35">
      <c r="A486" s="2" t="s">
        <v>56</v>
      </c>
      <c r="B486" s="2">
        <v>3.9</v>
      </c>
      <c r="C486" s="2">
        <v>3.5</v>
      </c>
      <c r="D486" s="2">
        <v>4.2</v>
      </c>
      <c r="E486" s="2">
        <v>-0.5</v>
      </c>
      <c r="F486" s="2">
        <v>-0.3</v>
      </c>
      <c r="G486" s="2">
        <v>-1.6</v>
      </c>
      <c r="H486" s="2" t="s">
        <v>28</v>
      </c>
    </row>
    <row r="487" spans="1:8" ht="15.5" x14ac:dyDescent="0.35">
      <c r="A487" s="2" t="s">
        <v>57</v>
      </c>
      <c r="B487" s="2">
        <v>-1.6</v>
      </c>
      <c r="C487" s="2">
        <v>-1.2</v>
      </c>
      <c r="D487" s="2">
        <v>-2</v>
      </c>
      <c r="E487" s="2">
        <v>-0.2</v>
      </c>
      <c r="F487" s="2">
        <v>-0.3</v>
      </c>
      <c r="G487" s="2">
        <v>2</v>
      </c>
      <c r="H487" s="2" t="s">
        <v>28</v>
      </c>
    </row>
    <row r="488" spans="1:8" ht="15.5" x14ac:dyDescent="0.35">
      <c r="A488" s="2" t="s">
        <v>58</v>
      </c>
      <c r="B488" s="2">
        <v>2</v>
      </c>
      <c r="C488" s="2">
        <v>1.4</v>
      </c>
      <c r="D488" s="2">
        <v>1.1000000000000001</v>
      </c>
      <c r="E488" s="2">
        <v>0.5</v>
      </c>
      <c r="F488" s="2">
        <v>0.7</v>
      </c>
      <c r="G488" s="2">
        <v>-5.0999999999999996</v>
      </c>
      <c r="H488" s="2" t="s">
        <v>28</v>
      </c>
    </row>
    <row r="489" spans="1:8" ht="15.5" x14ac:dyDescent="0.35">
      <c r="A489" s="2" t="s">
        <v>59</v>
      </c>
      <c r="B489" s="2">
        <v>2.4</v>
      </c>
      <c r="C489" s="2">
        <v>2.5</v>
      </c>
      <c r="D489" s="2">
        <v>2.9</v>
      </c>
      <c r="E489" s="2">
        <v>0.9</v>
      </c>
      <c r="F489" s="2">
        <v>0.9</v>
      </c>
      <c r="G489" s="2">
        <v>5.7</v>
      </c>
      <c r="H489" s="2" t="s">
        <v>28</v>
      </c>
    </row>
    <row r="490" spans="1:8" ht="15.5" x14ac:dyDescent="0.35">
      <c r="A490" s="2" t="s">
        <v>60</v>
      </c>
      <c r="B490" s="2">
        <v>1</v>
      </c>
      <c r="C490" s="2">
        <v>1</v>
      </c>
      <c r="D490" s="2">
        <v>0.8</v>
      </c>
      <c r="E490" s="2">
        <v>0.6</v>
      </c>
      <c r="F490" s="2">
        <v>0.5</v>
      </c>
      <c r="G490" s="2">
        <v>-0.3</v>
      </c>
      <c r="H490" s="2" t="s">
        <v>28</v>
      </c>
    </row>
    <row r="491" spans="1:8" ht="15.5" x14ac:dyDescent="0.35">
      <c r="A491" s="2" t="s">
        <v>61</v>
      </c>
      <c r="B491" s="2">
        <v>0.2</v>
      </c>
      <c r="C491" s="2">
        <v>0.4</v>
      </c>
      <c r="D491" s="2">
        <v>0.6</v>
      </c>
      <c r="E491" s="2">
        <v>-0.4</v>
      </c>
      <c r="F491" s="2">
        <v>-0.3</v>
      </c>
      <c r="G491" s="2">
        <v>2.1</v>
      </c>
      <c r="H491" s="2" t="s">
        <v>28</v>
      </c>
    </row>
    <row r="492" spans="1:8" ht="15.5" x14ac:dyDescent="0.35">
      <c r="A492" s="2" t="s">
        <v>62</v>
      </c>
      <c r="B492" s="2">
        <v>-0.3</v>
      </c>
      <c r="C492" s="2">
        <v>-0.7</v>
      </c>
      <c r="D492" s="2">
        <v>-0.3</v>
      </c>
      <c r="E492" s="2">
        <v>0.5</v>
      </c>
      <c r="F492" s="2">
        <v>1.1000000000000001</v>
      </c>
      <c r="G492" s="2">
        <v>-5.7</v>
      </c>
      <c r="H492" s="2" t="s">
        <v>28</v>
      </c>
    </row>
    <row r="493" spans="1:8" ht="15.5" x14ac:dyDescent="0.35">
      <c r="A493" s="2" t="s">
        <v>63</v>
      </c>
      <c r="B493" s="2">
        <v>5.0999999999999996</v>
      </c>
      <c r="C493" s="2">
        <v>5.2</v>
      </c>
      <c r="D493" s="2">
        <v>5.2</v>
      </c>
      <c r="E493" s="2">
        <v>4.3</v>
      </c>
      <c r="F493" s="2">
        <v>4</v>
      </c>
      <c r="G493" s="2">
        <v>9.3000000000000007</v>
      </c>
      <c r="H493" s="2" t="s">
        <v>28</v>
      </c>
    </row>
    <row r="494" spans="1:8" ht="15.5" x14ac:dyDescent="0.35">
      <c r="A494" s="2" t="s">
        <v>64</v>
      </c>
      <c r="B494" s="2">
        <v>1.8</v>
      </c>
      <c r="C494" s="2">
        <v>1.5</v>
      </c>
      <c r="D494" s="2">
        <v>0.9</v>
      </c>
      <c r="E494" s="2">
        <v>0.4</v>
      </c>
      <c r="F494" s="2">
        <v>0.3</v>
      </c>
      <c r="G494" s="2">
        <v>0.1</v>
      </c>
      <c r="H494" s="2" t="s">
        <v>28</v>
      </c>
    </row>
    <row r="495" spans="1:8" ht="15.5" x14ac:dyDescent="0.35">
      <c r="A495" s="2" t="s">
        <v>65</v>
      </c>
      <c r="B495" s="2">
        <v>2.9</v>
      </c>
      <c r="C495" s="2">
        <v>3.1</v>
      </c>
      <c r="D495" s="2">
        <v>3.5</v>
      </c>
      <c r="E495" s="2">
        <v>2.2999999999999998</v>
      </c>
      <c r="F495" s="2">
        <v>2.5</v>
      </c>
      <c r="G495" s="2">
        <v>4.2</v>
      </c>
      <c r="H495" s="2" t="s">
        <v>28</v>
      </c>
    </row>
    <row r="496" spans="1:8" ht="15.5" x14ac:dyDescent="0.35">
      <c r="A496" s="2" t="s">
        <v>66</v>
      </c>
      <c r="B496" s="2">
        <v>0.8</v>
      </c>
      <c r="C496" s="2">
        <v>0.3</v>
      </c>
      <c r="D496" s="2">
        <v>0.3</v>
      </c>
      <c r="E496" s="2">
        <v>0.7</v>
      </c>
      <c r="F496" s="2">
        <v>1.2</v>
      </c>
      <c r="G496" s="2">
        <v>-4.5</v>
      </c>
      <c r="H496" s="2" t="s">
        <v>28</v>
      </c>
    </row>
    <row r="497" spans="1:8" ht="15.5" x14ac:dyDescent="0.35">
      <c r="A497" s="2" t="s">
        <v>67</v>
      </c>
      <c r="B497" s="2">
        <v>3.2</v>
      </c>
      <c r="C497" s="2">
        <v>3.6</v>
      </c>
      <c r="D497" s="2">
        <v>3.1</v>
      </c>
      <c r="E497" s="2">
        <v>1.9</v>
      </c>
      <c r="F497" s="2">
        <v>1.3</v>
      </c>
      <c r="G497" s="2">
        <v>5.6</v>
      </c>
      <c r="H497" s="2" t="s">
        <v>28</v>
      </c>
    </row>
    <row r="498" spans="1:8" ht="15.5" x14ac:dyDescent="0.35">
      <c r="A498" s="2" t="s">
        <v>68</v>
      </c>
      <c r="B498" s="2">
        <v>1.9</v>
      </c>
      <c r="C498" s="2">
        <v>2.2000000000000002</v>
      </c>
      <c r="D498" s="2">
        <v>2.2000000000000002</v>
      </c>
      <c r="E498" s="2">
        <v>0.3</v>
      </c>
      <c r="F498" s="2">
        <v>0.3</v>
      </c>
      <c r="G498" s="2">
        <v>0.1</v>
      </c>
      <c r="H498" s="2" t="s">
        <v>28</v>
      </c>
    </row>
    <row r="499" spans="1:8" ht="15.5" x14ac:dyDescent="0.35">
      <c r="A499" s="2" t="s">
        <v>69</v>
      </c>
      <c r="B499" s="2">
        <v>2.6</v>
      </c>
      <c r="C499" s="2">
        <v>2.7</v>
      </c>
      <c r="D499" s="2">
        <v>2.6</v>
      </c>
      <c r="E499" s="2">
        <v>1.6</v>
      </c>
      <c r="F499" s="2">
        <v>1.3</v>
      </c>
      <c r="G499" s="2">
        <v>3.2</v>
      </c>
      <c r="H499" s="2" t="s">
        <v>28</v>
      </c>
    </row>
    <row r="500" spans="1:8" ht="15.5" x14ac:dyDescent="0.35">
      <c r="A500" s="2" t="s">
        <v>70</v>
      </c>
      <c r="B500" s="2">
        <v>2.2999999999999998</v>
      </c>
      <c r="C500" s="2">
        <v>1.9</v>
      </c>
      <c r="D500" s="2">
        <v>1.5</v>
      </c>
      <c r="E500" s="2">
        <v>-0.3</v>
      </c>
      <c r="F500" s="2">
        <v>0.2</v>
      </c>
      <c r="G500" s="2">
        <v>-5.3</v>
      </c>
      <c r="H500" s="2" t="s">
        <v>28</v>
      </c>
    </row>
    <row r="501" spans="1:8" ht="15.5" x14ac:dyDescent="0.35">
      <c r="A501" s="2" t="s">
        <v>71</v>
      </c>
      <c r="B501" s="2">
        <v>0.5</v>
      </c>
      <c r="C501" s="2">
        <v>0.5</v>
      </c>
      <c r="D501" s="2">
        <v>0.8</v>
      </c>
      <c r="E501" s="2">
        <v>0.1</v>
      </c>
      <c r="F501" s="2">
        <v>0.5</v>
      </c>
      <c r="G501" s="2">
        <v>4.3</v>
      </c>
      <c r="H501" s="2" t="s">
        <v>28</v>
      </c>
    </row>
    <row r="502" spans="1:8" ht="15.5" x14ac:dyDescent="0.35">
      <c r="A502" s="2" t="s">
        <v>72</v>
      </c>
      <c r="B502" s="2">
        <v>2.2999999999999998</v>
      </c>
      <c r="C502" s="2">
        <v>2.4</v>
      </c>
      <c r="D502" s="2">
        <v>2.4</v>
      </c>
      <c r="E502" s="2">
        <v>0.8</v>
      </c>
      <c r="F502" s="2">
        <v>0.6</v>
      </c>
      <c r="G502" s="2">
        <v>0.1</v>
      </c>
      <c r="H502" s="2" t="s">
        <v>28</v>
      </c>
    </row>
    <row r="503" spans="1:8" ht="15.5" x14ac:dyDescent="0.35">
      <c r="A503" s="2" t="s">
        <v>73</v>
      </c>
      <c r="B503" s="2">
        <v>1.8</v>
      </c>
      <c r="C503" s="2">
        <v>1.9</v>
      </c>
      <c r="D503" s="2">
        <v>1.9</v>
      </c>
      <c r="E503" s="2">
        <v>0.6</v>
      </c>
      <c r="F503" s="2">
        <v>0.6</v>
      </c>
      <c r="G503" s="2">
        <v>2.7</v>
      </c>
      <c r="H503" s="2" t="s">
        <v>28</v>
      </c>
    </row>
    <row r="504" spans="1:8" ht="15.5" x14ac:dyDescent="0.35">
      <c r="A504" s="2" t="s">
        <v>74</v>
      </c>
      <c r="B504" s="2">
        <v>1.5</v>
      </c>
      <c r="C504" s="2">
        <v>1.5</v>
      </c>
      <c r="D504" s="2">
        <v>1</v>
      </c>
      <c r="E504" s="2">
        <v>0.2</v>
      </c>
      <c r="F504" s="2">
        <v>0</v>
      </c>
      <c r="G504" s="2">
        <v>-4.7</v>
      </c>
      <c r="H504" s="2" t="s">
        <v>28</v>
      </c>
    </row>
    <row r="505" spans="1:8" ht="15.5" x14ac:dyDescent="0.35">
      <c r="A505" s="2" t="s">
        <v>75</v>
      </c>
      <c r="B505" s="2">
        <v>2</v>
      </c>
      <c r="C505" s="2">
        <v>1.7</v>
      </c>
      <c r="D505" s="2">
        <v>1.6</v>
      </c>
      <c r="E505" s="2">
        <v>0.6</v>
      </c>
      <c r="F505" s="2">
        <v>0.4</v>
      </c>
      <c r="G505" s="2">
        <v>3.8</v>
      </c>
      <c r="H505" s="2" t="s">
        <v>28</v>
      </c>
    </row>
    <row r="506" spans="1:8" ht="15.5" x14ac:dyDescent="0.35">
      <c r="A506" s="2" t="s">
        <v>76</v>
      </c>
      <c r="B506" s="2">
        <v>1.6</v>
      </c>
      <c r="C506" s="2">
        <v>1.9</v>
      </c>
      <c r="D506" s="2">
        <v>2.1</v>
      </c>
      <c r="E506" s="2">
        <v>0.3</v>
      </c>
      <c r="F506" s="2">
        <v>0.6</v>
      </c>
      <c r="G506" s="2">
        <v>0.1</v>
      </c>
      <c r="H506" s="2" t="s">
        <v>28</v>
      </c>
    </row>
    <row r="507" spans="1:8" ht="15.5" x14ac:dyDescent="0.35">
      <c r="A507" s="2" t="s">
        <v>77</v>
      </c>
      <c r="B507" s="2">
        <v>0.9</v>
      </c>
      <c r="C507" s="2">
        <v>1.1000000000000001</v>
      </c>
      <c r="D507" s="2">
        <v>1.7</v>
      </c>
      <c r="E507" s="2">
        <v>-0.4</v>
      </c>
      <c r="F507" s="2">
        <v>-0.4</v>
      </c>
      <c r="G507" s="2">
        <v>1.8</v>
      </c>
      <c r="H507" s="2" t="s">
        <v>28</v>
      </c>
    </row>
    <row r="508" spans="1:8" ht="15.5" x14ac:dyDescent="0.35">
      <c r="A508" s="2" t="s">
        <v>78</v>
      </c>
      <c r="B508" s="2">
        <v>1.1000000000000001</v>
      </c>
      <c r="C508" s="2">
        <v>1</v>
      </c>
      <c r="D508" s="2">
        <v>1.2</v>
      </c>
      <c r="E508" s="2">
        <v>1.3</v>
      </c>
      <c r="F508" s="2">
        <v>0.8</v>
      </c>
      <c r="G508" s="2">
        <v>-4.2</v>
      </c>
      <c r="H508" s="2" t="s">
        <v>28</v>
      </c>
    </row>
    <row r="509" spans="1:8" ht="15.5" x14ac:dyDescent="0.35">
      <c r="A509" s="2" t="s">
        <v>79</v>
      </c>
      <c r="B509" s="2">
        <v>2.2999999999999998</v>
      </c>
      <c r="C509" s="2">
        <v>2.5</v>
      </c>
      <c r="D509" s="2">
        <v>2.4</v>
      </c>
      <c r="E509" s="2">
        <v>1.4</v>
      </c>
      <c r="F509" s="2">
        <v>1.2</v>
      </c>
      <c r="G509" s="2">
        <v>5.3</v>
      </c>
      <c r="H509" s="2" t="s">
        <v>28</v>
      </c>
    </row>
    <row r="510" spans="1:8" ht="15.5" x14ac:dyDescent="0.35">
      <c r="A510" s="2" t="s">
        <v>80</v>
      </c>
      <c r="B510" s="2">
        <v>0.8</v>
      </c>
      <c r="C510" s="2">
        <v>0.7</v>
      </c>
      <c r="D510" s="2">
        <v>0.7</v>
      </c>
      <c r="E510" s="2">
        <v>0.4</v>
      </c>
      <c r="F510" s="2">
        <v>0.6</v>
      </c>
      <c r="G510" s="2">
        <v>0.2</v>
      </c>
      <c r="H510" s="2" t="s">
        <v>28</v>
      </c>
    </row>
    <row r="511" spans="1:8" ht="15.5" x14ac:dyDescent="0.35">
      <c r="A511" s="2" t="s">
        <v>81</v>
      </c>
      <c r="B511" s="2">
        <v>1.4</v>
      </c>
      <c r="C511" s="2">
        <v>1.3</v>
      </c>
      <c r="D511" s="2">
        <v>1.7</v>
      </c>
      <c r="E511" s="2">
        <v>0.5</v>
      </c>
      <c r="F511" s="2">
        <v>0.6</v>
      </c>
      <c r="G511" s="2">
        <v>3</v>
      </c>
      <c r="H511" s="2" t="s">
        <v>28</v>
      </c>
    </row>
    <row r="512" spans="1:8" ht="15.5" x14ac:dyDescent="0.35">
      <c r="A512" s="2" t="s">
        <v>82</v>
      </c>
      <c r="B512" s="2">
        <v>4.2</v>
      </c>
      <c r="C512" s="2">
        <v>4.5</v>
      </c>
      <c r="D512" s="2">
        <v>3.9</v>
      </c>
      <c r="E512" s="2">
        <v>3.7</v>
      </c>
      <c r="F512" s="2">
        <v>3.5</v>
      </c>
      <c r="G512" s="2">
        <v>-2.7</v>
      </c>
      <c r="H512" s="2" t="s">
        <v>28</v>
      </c>
    </row>
    <row r="513" spans="1:8" ht="15.5" x14ac:dyDescent="0.35">
      <c r="A513" s="2" t="s">
        <v>83</v>
      </c>
      <c r="B513" s="2">
        <v>1.5</v>
      </c>
      <c r="C513" s="2">
        <v>1.2</v>
      </c>
      <c r="D513" s="2">
        <v>1.3</v>
      </c>
      <c r="E513" s="2">
        <v>-0.4</v>
      </c>
      <c r="F513" s="2">
        <v>0.2</v>
      </c>
      <c r="G513" s="2">
        <v>3.8</v>
      </c>
      <c r="H513" s="2" t="s">
        <v>28</v>
      </c>
    </row>
    <row r="514" spans="1:8" ht="15.5" x14ac:dyDescent="0.35">
      <c r="A514" s="2" t="s">
        <v>84</v>
      </c>
      <c r="B514" s="2">
        <v>3</v>
      </c>
      <c r="C514" s="2">
        <v>3.2</v>
      </c>
      <c r="D514" s="2">
        <v>3.1</v>
      </c>
      <c r="E514" s="2">
        <v>1.9</v>
      </c>
      <c r="F514" s="2">
        <v>1.7</v>
      </c>
      <c r="G514" s="2">
        <v>1.9</v>
      </c>
      <c r="H514" s="2" t="s">
        <v>28</v>
      </c>
    </row>
    <row r="515" spans="1:8" ht="15.5" x14ac:dyDescent="0.35">
      <c r="A515" s="2" t="s">
        <v>85</v>
      </c>
      <c r="B515" s="2">
        <v>2</v>
      </c>
      <c r="C515" s="2">
        <v>2.5</v>
      </c>
      <c r="D515" s="2">
        <v>2.2999999999999998</v>
      </c>
      <c r="E515" s="2">
        <v>0.3</v>
      </c>
      <c r="F515" s="2">
        <v>0</v>
      </c>
      <c r="G515" s="2">
        <v>2.8</v>
      </c>
      <c r="H515" s="2" t="s">
        <v>28</v>
      </c>
    </row>
    <row r="516" spans="1:8" ht="15.5" x14ac:dyDescent="0.35">
      <c r="A516" s="2" t="s">
        <v>86</v>
      </c>
      <c r="B516" s="2">
        <v>2.6</v>
      </c>
      <c r="C516" s="2">
        <v>1.8</v>
      </c>
      <c r="D516" s="2">
        <v>1.1000000000000001</v>
      </c>
      <c r="E516" s="2">
        <v>-0.2</v>
      </c>
      <c r="F516" s="2">
        <v>0.2</v>
      </c>
      <c r="G516" s="2">
        <v>-6.5</v>
      </c>
      <c r="H516" s="2" t="s">
        <v>28</v>
      </c>
    </row>
    <row r="517" spans="1:8" ht="15.5" x14ac:dyDescent="0.35">
      <c r="A517" s="2" t="s">
        <v>87</v>
      </c>
      <c r="B517" s="2">
        <v>1.4</v>
      </c>
      <c r="C517" s="2">
        <v>1.5</v>
      </c>
      <c r="D517" s="2">
        <v>1.6</v>
      </c>
      <c r="E517" s="2">
        <v>0.7</v>
      </c>
      <c r="F517" s="2">
        <v>0.6</v>
      </c>
      <c r="G517" s="2">
        <v>4.7</v>
      </c>
      <c r="H517" s="2" t="s">
        <v>28</v>
      </c>
    </row>
    <row r="518" spans="1:8" ht="15.5" x14ac:dyDescent="0.35">
      <c r="A518" s="2" t="s">
        <v>88</v>
      </c>
      <c r="B518" s="2">
        <v>1.9</v>
      </c>
      <c r="C518" s="2">
        <v>2.2000000000000002</v>
      </c>
      <c r="D518" s="2">
        <v>2.5</v>
      </c>
      <c r="E518" s="2">
        <v>0.6</v>
      </c>
      <c r="F518" s="2">
        <v>0.5</v>
      </c>
      <c r="G518" s="2">
        <v>0.6</v>
      </c>
      <c r="H518" s="2" t="s">
        <v>28</v>
      </c>
    </row>
    <row r="519" spans="1:8" ht="15.5" x14ac:dyDescent="0.35">
      <c r="A519" s="2" t="s">
        <v>89</v>
      </c>
      <c r="B519" s="2">
        <v>2.7</v>
      </c>
      <c r="C519" s="2">
        <v>2.6</v>
      </c>
      <c r="D519" s="2">
        <v>2.7</v>
      </c>
      <c r="E519" s="2">
        <v>0.5</v>
      </c>
      <c r="F519" s="2">
        <v>0.6</v>
      </c>
      <c r="G519" s="2">
        <v>3.4</v>
      </c>
      <c r="H519" s="2" t="s">
        <v>28</v>
      </c>
    </row>
    <row r="520" spans="1:8" ht="15.5" x14ac:dyDescent="0.35">
      <c r="A520" s="2" t="s">
        <v>90</v>
      </c>
      <c r="B520" s="2">
        <v>2.9</v>
      </c>
      <c r="C520" s="2">
        <v>2.8</v>
      </c>
      <c r="D520" s="2">
        <v>2.6</v>
      </c>
      <c r="E520" s="2">
        <v>-0.6</v>
      </c>
      <c r="F520" s="2">
        <v>-0.7</v>
      </c>
      <c r="G520" s="2">
        <v>-7.1</v>
      </c>
      <c r="H520" s="2" t="s">
        <v>28</v>
      </c>
    </row>
    <row r="521" spans="1:8" ht="15.5" x14ac:dyDescent="0.35">
      <c r="A521" s="2" t="s">
        <v>91</v>
      </c>
      <c r="B521" s="2">
        <v>4.5</v>
      </c>
      <c r="C521" s="2">
        <v>4.4000000000000004</v>
      </c>
      <c r="D521" s="2">
        <v>4.7</v>
      </c>
      <c r="E521" s="2">
        <v>2.4</v>
      </c>
      <c r="F521" s="2">
        <v>2.2999999999999998</v>
      </c>
      <c r="G521" s="2">
        <v>6.1</v>
      </c>
      <c r="H521" s="2" t="s">
        <v>28</v>
      </c>
    </row>
    <row r="522" spans="1:8" ht="15.5" x14ac:dyDescent="0.35">
      <c r="A522" s="2" t="s">
        <v>92</v>
      </c>
      <c r="B522" s="2">
        <v>2.9</v>
      </c>
      <c r="C522" s="2">
        <v>3.3</v>
      </c>
      <c r="D522" s="2">
        <v>3</v>
      </c>
      <c r="E522" s="2">
        <v>1</v>
      </c>
      <c r="F522" s="2">
        <v>0.6</v>
      </c>
      <c r="G522" s="2">
        <v>1.6</v>
      </c>
      <c r="H522" s="2" t="s">
        <v>28</v>
      </c>
    </row>
    <row r="523" spans="1:8" ht="15.5" x14ac:dyDescent="0.35">
      <c r="A523" s="2" t="s">
        <v>93</v>
      </c>
      <c r="B523" s="2">
        <v>3.7</v>
      </c>
      <c r="C523" s="2">
        <v>3.6</v>
      </c>
      <c r="D523" s="2">
        <v>4.4000000000000004</v>
      </c>
      <c r="E523" s="2">
        <v>0.9</v>
      </c>
      <c r="F523" s="2">
        <v>1.7</v>
      </c>
      <c r="G523" s="2">
        <v>3.6</v>
      </c>
      <c r="H523" s="2" t="s">
        <v>28</v>
      </c>
    </row>
    <row r="524" spans="1:8" ht="15.5" x14ac:dyDescent="0.35">
      <c r="A524" s="2" t="s">
        <v>94</v>
      </c>
      <c r="B524" s="2">
        <v>1.5</v>
      </c>
      <c r="C524" s="2">
        <v>1.5</v>
      </c>
      <c r="D524" s="2">
        <v>1.5</v>
      </c>
      <c r="E524" s="2">
        <v>-0.5</v>
      </c>
      <c r="F524" s="2">
        <v>-0.5</v>
      </c>
      <c r="G524" s="2">
        <v>-7.4</v>
      </c>
      <c r="H524" s="2" t="s">
        <v>28</v>
      </c>
    </row>
    <row r="525" spans="1:8" ht="15.5" x14ac:dyDescent="0.35">
      <c r="A525" s="2" t="s">
        <v>95</v>
      </c>
      <c r="B525" s="2">
        <v>3.4</v>
      </c>
      <c r="C525" s="2">
        <v>3.4</v>
      </c>
      <c r="D525" s="2">
        <v>3.4</v>
      </c>
      <c r="E525" s="2">
        <v>1.8</v>
      </c>
      <c r="F525" s="2">
        <v>1.7</v>
      </c>
      <c r="G525" s="2">
        <v>6.2</v>
      </c>
      <c r="H525" s="2" t="s">
        <v>28</v>
      </c>
    </row>
    <row r="526" spans="1:8" ht="15.5" x14ac:dyDescent="0.35">
      <c r="A526" s="2" t="s">
        <v>96</v>
      </c>
      <c r="B526" s="2">
        <v>2.9</v>
      </c>
      <c r="C526" s="2">
        <v>3.2</v>
      </c>
      <c r="D526" s="2">
        <v>3.2</v>
      </c>
      <c r="E526" s="2">
        <v>1.7</v>
      </c>
      <c r="F526" s="2">
        <v>1.7</v>
      </c>
      <c r="G526" s="2">
        <v>1.9</v>
      </c>
      <c r="H526" s="2" t="s">
        <v>28</v>
      </c>
    </row>
    <row r="527" spans="1:8" ht="15.5" x14ac:dyDescent="0.35">
      <c r="A527" s="2" t="s">
        <v>97</v>
      </c>
      <c r="B527" s="2">
        <v>2.4</v>
      </c>
      <c r="C527" s="2">
        <v>2.5</v>
      </c>
      <c r="D527" s="2">
        <v>3</v>
      </c>
      <c r="E527" s="2">
        <v>0.4</v>
      </c>
      <c r="F527" s="2">
        <v>0.6</v>
      </c>
      <c r="G527" s="2">
        <v>3.8</v>
      </c>
      <c r="H527" s="2" t="s">
        <v>28</v>
      </c>
    </row>
    <row r="528" spans="1:8" ht="15.5" x14ac:dyDescent="0.35">
      <c r="A528" s="2" t="s">
        <v>98</v>
      </c>
      <c r="B528" s="2">
        <v>1.3</v>
      </c>
      <c r="C528" s="2">
        <v>1.3</v>
      </c>
      <c r="D528" s="2">
        <v>1.3</v>
      </c>
      <c r="E528" s="2">
        <v>0.2</v>
      </c>
      <c r="F528" s="2">
        <v>0</v>
      </c>
      <c r="G528" s="2">
        <v>-6.8</v>
      </c>
      <c r="H528" s="2" t="s">
        <v>28</v>
      </c>
    </row>
    <row r="529" spans="1:8" ht="15.5" x14ac:dyDescent="0.35">
      <c r="A529" s="2" t="s">
        <v>99</v>
      </c>
      <c r="B529" s="2">
        <v>4.9000000000000004</v>
      </c>
      <c r="C529" s="2">
        <v>4.8</v>
      </c>
      <c r="D529" s="2">
        <v>4.5999999999999996</v>
      </c>
      <c r="E529" s="2">
        <v>2.6</v>
      </c>
      <c r="F529" s="2">
        <v>2.5</v>
      </c>
      <c r="G529" s="2">
        <v>6.9</v>
      </c>
      <c r="H529" s="2" t="s">
        <v>28</v>
      </c>
    </row>
    <row r="530" spans="1:8" ht="15.5" x14ac:dyDescent="0.35">
      <c r="A530" s="2" t="s">
        <v>100</v>
      </c>
      <c r="B530" s="2">
        <v>1.9</v>
      </c>
      <c r="C530" s="2">
        <v>2.1</v>
      </c>
      <c r="D530" s="2">
        <v>2.5</v>
      </c>
      <c r="E530" s="2">
        <v>0.3</v>
      </c>
      <c r="F530" s="2">
        <v>0.6</v>
      </c>
      <c r="G530" s="2">
        <v>0</v>
      </c>
      <c r="H530" s="2" t="s">
        <v>28</v>
      </c>
    </row>
    <row r="531" spans="1:8" ht="15.5" x14ac:dyDescent="0.35">
      <c r="A531" s="2" t="s">
        <v>101</v>
      </c>
      <c r="B531" s="2">
        <v>6</v>
      </c>
      <c r="C531" s="2">
        <v>6</v>
      </c>
      <c r="D531" s="2">
        <v>6.2</v>
      </c>
      <c r="E531" s="2">
        <v>1.6</v>
      </c>
      <c r="F531" s="2">
        <v>1.7</v>
      </c>
      <c r="G531" s="2">
        <v>4.3</v>
      </c>
      <c r="H531" s="2" t="s">
        <v>28</v>
      </c>
    </row>
    <row r="532" spans="1:8" ht="15.5" x14ac:dyDescent="0.35">
      <c r="A532" s="2" t="s">
        <v>102</v>
      </c>
      <c r="B532" s="2">
        <v>6</v>
      </c>
      <c r="C532" s="2">
        <v>6.4</v>
      </c>
      <c r="D532" s="2">
        <v>6.4</v>
      </c>
      <c r="E532" s="2">
        <v>4.9000000000000004</v>
      </c>
      <c r="F532" s="2">
        <v>4.9000000000000004</v>
      </c>
      <c r="G532" s="2">
        <v>0.8</v>
      </c>
      <c r="H532" s="2" t="s">
        <v>28</v>
      </c>
    </row>
    <row r="533" spans="1:8" ht="15.5" x14ac:dyDescent="0.35">
      <c r="A533" s="2" t="s">
        <v>103</v>
      </c>
      <c r="B533" s="2">
        <v>0.6</v>
      </c>
      <c r="C533" s="2">
        <v>-0.9</v>
      </c>
      <c r="D533" s="2">
        <v>-0.1</v>
      </c>
      <c r="E533" s="2">
        <v>0.2</v>
      </c>
      <c r="F533" s="2">
        <v>0.4</v>
      </c>
      <c r="G533" s="2">
        <v>-0.7</v>
      </c>
      <c r="H533" s="2" t="s">
        <v>28</v>
      </c>
    </row>
    <row r="534" spans="1:8" ht="15.5" x14ac:dyDescent="0.35">
      <c r="A534" s="2" t="s">
        <v>104</v>
      </c>
      <c r="B534" s="2">
        <v>2.9</v>
      </c>
      <c r="C534" s="2">
        <v>3.4</v>
      </c>
      <c r="D534" s="2">
        <v>2.9</v>
      </c>
      <c r="E534" s="2">
        <v>-0.9</v>
      </c>
      <c r="F534" s="2">
        <v>-1.1000000000000001</v>
      </c>
      <c r="G534" s="2">
        <v>1.6</v>
      </c>
      <c r="H534" s="2" t="s">
        <v>28</v>
      </c>
    </row>
    <row r="535" spans="1:8" ht="15.5" x14ac:dyDescent="0.35">
      <c r="A535" s="2" t="s">
        <v>105</v>
      </c>
      <c r="B535" s="2">
        <v>4.5999999999999996</v>
      </c>
      <c r="C535" s="2">
        <v>3.7</v>
      </c>
      <c r="D535" s="2">
        <v>4.0999999999999996</v>
      </c>
      <c r="E535" s="2">
        <v>-0.4</v>
      </c>
      <c r="F535" s="2">
        <v>-0.4</v>
      </c>
      <c r="G535" s="2">
        <v>1.8</v>
      </c>
      <c r="H535" s="2" t="s">
        <v>28</v>
      </c>
    </row>
    <row r="536" spans="1:8" ht="15.5" x14ac:dyDescent="0.35">
      <c r="A536" s="2" t="s">
        <v>106</v>
      </c>
      <c r="B536" s="2">
        <v>-1.4</v>
      </c>
      <c r="C536" s="2">
        <v>-0.8</v>
      </c>
      <c r="D536" s="2">
        <v>-0.2</v>
      </c>
      <c r="E536" s="2">
        <v>-2.8</v>
      </c>
      <c r="F536" s="2">
        <v>-2.7</v>
      </c>
      <c r="G536" s="2">
        <v>-9.8000000000000007</v>
      </c>
      <c r="H536" s="2" t="s">
        <v>28</v>
      </c>
    </row>
    <row r="537" spans="1:8" ht="15.5" x14ac:dyDescent="0.35">
      <c r="A537" s="2" t="s">
        <v>107</v>
      </c>
      <c r="B537" s="2">
        <v>7.2</v>
      </c>
      <c r="C537" s="2">
        <v>7.2</v>
      </c>
      <c r="D537" s="2">
        <v>6.1</v>
      </c>
      <c r="E537" s="2">
        <v>1.4</v>
      </c>
      <c r="F537" s="2">
        <v>1.4</v>
      </c>
      <c r="G537" s="2">
        <v>5.9</v>
      </c>
      <c r="H537" s="2" t="s">
        <v>28</v>
      </c>
    </row>
    <row r="538" spans="1:8" ht="15.5" x14ac:dyDescent="0.35">
      <c r="A538" s="2" t="s">
        <v>108</v>
      </c>
      <c r="B538" s="2">
        <v>4.9000000000000004</v>
      </c>
      <c r="C538" s="2">
        <v>5.5</v>
      </c>
      <c r="D538" s="2">
        <v>6.9</v>
      </c>
      <c r="E538" s="2">
        <v>0.6</v>
      </c>
      <c r="F538" s="2">
        <v>0.9</v>
      </c>
      <c r="G538" s="2">
        <v>2</v>
      </c>
      <c r="H538" s="2" t="s">
        <v>28</v>
      </c>
    </row>
    <row r="539" spans="1:8" ht="15.5" x14ac:dyDescent="0.35">
      <c r="A539" s="2" t="s">
        <v>109</v>
      </c>
      <c r="B539" s="2">
        <v>4.7</v>
      </c>
      <c r="C539" s="2">
        <v>4.5999999999999996</v>
      </c>
      <c r="D539" s="2">
        <v>4.9000000000000004</v>
      </c>
      <c r="E539" s="2">
        <v>-1.5</v>
      </c>
      <c r="F539" s="2">
        <v>-1.6</v>
      </c>
      <c r="G539" s="2">
        <v>1.9</v>
      </c>
      <c r="H539" s="2" t="s">
        <v>28</v>
      </c>
    </row>
    <row r="540" spans="1:8" ht="15.5" x14ac:dyDescent="0.35">
      <c r="A540" s="2" t="s">
        <v>110</v>
      </c>
      <c r="B540" s="2">
        <v>6.7</v>
      </c>
      <c r="C540" s="2">
        <v>7.3</v>
      </c>
      <c r="D540" s="2">
        <v>7.4</v>
      </c>
      <c r="E540" s="2">
        <v>0</v>
      </c>
      <c r="F540" s="2">
        <v>0</v>
      </c>
      <c r="G540" s="2">
        <v>-7.5</v>
      </c>
      <c r="H540" s="2" t="s">
        <v>28</v>
      </c>
    </row>
    <row r="541" spans="1:8" ht="15.5" x14ac:dyDescent="0.35">
      <c r="A541" s="2" t="s">
        <v>111</v>
      </c>
      <c r="B541" s="2">
        <v>4.8</v>
      </c>
      <c r="C541" s="2">
        <v>4.9000000000000004</v>
      </c>
      <c r="D541" s="2">
        <v>4.2</v>
      </c>
      <c r="E541" s="2">
        <v>-1.6</v>
      </c>
      <c r="F541" s="2">
        <v>-1.5</v>
      </c>
      <c r="G541" s="2">
        <v>1.3</v>
      </c>
      <c r="H541" s="2" t="s">
        <v>28</v>
      </c>
    </row>
    <row r="542" spans="1:8" ht="15.5" x14ac:dyDescent="0.35">
      <c r="A542" s="2" t="s">
        <v>112</v>
      </c>
      <c r="B542" s="2">
        <v>3.9</v>
      </c>
      <c r="C542" s="2">
        <v>4</v>
      </c>
      <c r="D542" s="2">
        <v>3.7</v>
      </c>
      <c r="E542" s="2">
        <v>-0.3</v>
      </c>
      <c r="F542" s="2">
        <v>-0.5</v>
      </c>
      <c r="G542" s="2">
        <v>0.8</v>
      </c>
      <c r="H542" s="2" t="s">
        <v>28</v>
      </c>
    </row>
    <row r="543" spans="1:8" ht="15.5" x14ac:dyDescent="0.35">
      <c r="A543" s="2" t="s">
        <v>113</v>
      </c>
      <c r="B543" s="2">
        <v>5.9</v>
      </c>
      <c r="C543" s="2">
        <v>5.6</v>
      </c>
      <c r="D543" s="2">
        <v>5.8</v>
      </c>
      <c r="E543" s="2">
        <v>1.1000000000000001</v>
      </c>
      <c r="F543" s="2">
        <v>1.2</v>
      </c>
      <c r="G543" s="2">
        <v>4.0999999999999996</v>
      </c>
      <c r="H543" s="2" t="s">
        <v>28</v>
      </c>
    </row>
    <row r="544" spans="1:8" ht="15.5" x14ac:dyDescent="0.35">
      <c r="A544" s="2" t="s">
        <v>114</v>
      </c>
      <c r="B544" s="2">
        <v>4.8</v>
      </c>
      <c r="C544" s="2">
        <v>5</v>
      </c>
      <c r="D544" s="2">
        <v>4.3</v>
      </c>
      <c r="E544" s="2">
        <v>1.7</v>
      </c>
      <c r="F544" s="2">
        <v>1.5</v>
      </c>
      <c r="G544" s="2">
        <v>-5.2</v>
      </c>
      <c r="H544" s="2" t="s">
        <v>28</v>
      </c>
    </row>
    <row r="545" spans="1:8" ht="15.5" x14ac:dyDescent="0.35">
      <c r="A545" s="2" t="s">
        <v>115</v>
      </c>
      <c r="B545" s="2">
        <v>3.1</v>
      </c>
      <c r="C545" s="2">
        <v>2.7</v>
      </c>
      <c r="D545" s="2">
        <v>3.3</v>
      </c>
      <c r="E545" s="2">
        <v>-0.1</v>
      </c>
      <c r="F545" s="2">
        <v>-0.2</v>
      </c>
      <c r="G545" s="2">
        <v>2.9</v>
      </c>
      <c r="H545" s="2" t="s">
        <v>28</v>
      </c>
    </row>
    <row r="546" spans="1:8" ht="15.5" x14ac:dyDescent="0.35">
      <c r="A546" s="2" t="s">
        <v>116</v>
      </c>
      <c r="B546" s="2">
        <v>3.5</v>
      </c>
      <c r="C546" s="2">
        <v>3.7</v>
      </c>
      <c r="D546" s="2">
        <v>3.4</v>
      </c>
      <c r="E546" s="2">
        <v>1.2</v>
      </c>
      <c r="F546" s="2">
        <v>1.2</v>
      </c>
      <c r="G546" s="2">
        <v>2.6</v>
      </c>
      <c r="H546" s="2" t="s">
        <v>28</v>
      </c>
    </row>
    <row r="547" spans="1:8" ht="15.5" x14ac:dyDescent="0.35">
      <c r="A547" s="2" t="s">
        <v>117</v>
      </c>
      <c r="B547" s="2">
        <v>6.2</v>
      </c>
      <c r="C547" s="2">
        <v>6.2</v>
      </c>
      <c r="D547" s="2">
        <v>5.7</v>
      </c>
      <c r="E547" s="2">
        <v>2.1</v>
      </c>
      <c r="F547" s="2">
        <v>1.9</v>
      </c>
      <c r="G547" s="2">
        <v>4.5</v>
      </c>
      <c r="H547" s="2" t="s">
        <v>28</v>
      </c>
    </row>
    <row r="548" spans="1:8" ht="15.5" x14ac:dyDescent="0.35">
      <c r="A548" s="2" t="s">
        <v>118</v>
      </c>
      <c r="B548" s="2">
        <v>2.6</v>
      </c>
      <c r="C548" s="2">
        <v>3.7</v>
      </c>
      <c r="D548" s="2">
        <v>3.7</v>
      </c>
      <c r="E548" s="2">
        <v>0.1</v>
      </c>
      <c r="F548" s="2">
        <v>0.6</v>
      </c>
      <c r="G548" s="2">
        <v>-6.2</v>
      </c>
      <c r="H548" s="2" t="s">
        <v>28</v>
      </c>
    </row>
    <row r="549" spans="1:8" ht="15.5" x14ac:dyDescent="0.35">
      <c r="A549" s="2" t="s">
        <v>119</v>
      </c>
      <c r="B549" s="2">
        <v>3</v>
      </c>
      <c r="C549" s="2">
        <v>3.2</v>
      </c>
      <c r="D549" s="2">
        <v>3.2</v>
      </c>
      <c r="E549" s="2">
        <v>-0.7</v>
      </c>
      <c r="F549" s="2">
        <v>-1.2</v>
      </c>
      <c r="G549" s="2">
        <v>2.2000000000000002</v>
      </c>
      <c r="H549" s="2" t="s">
        <v>28</v>
      </c>
    </row>
    <row r="550" spans="1:8" ht="15.5" x14ac:dyDescent="0.35">
      <c r="A550" s="2" t="s">
        <v>120</v>
      </c>
      <c r="B550" s="2">
        <v>2.7</v>
      </c>
      <c r="C550" s="2">
        <v>2.8</v>
      </c>
      <c r="D550" s="2">
        <v>2.5</v>
      </c>
      <c r="E550" s="2">
        <v>0.6</v>
      </c>
      <c r="F550" s="2">
        <v>0.5</v>
      </c>
      <c r="G550" s="2">
        <v>1.8</v>
      </c>
      <c r="H550" s="2" t="s">
        <v>28</v>
      </c>
    </row>
    <row r="551" spans="1:8" ht="15.5" x14ac:dyDescent="0.35">
      <c r="A551" s="2" t="s">
        <v>121</v>
      </c>
      <c r="B551" s="2">
        <v>4.7</v>
      </c>
      <c r="C551" s="2">
        <v>4.5</v>
      </c>
      <c r="D551" s="2">
        <v>4.7</v>
      </c>
      <c r="E551" s="2">
        <v>1.7</v>
      </c>
      <c r="F551" s="2">
        <v>1.6</v>
      </c>
      <c r="G551" s="2">
        <v>4.0999999999999996</v>
      </c>
      <c r="H551" s="2" t="s">
        <v>28</v>
      </c>
    </row>
    <row r="552" spans="1:8" ht="15.5" x14ac:dyDescent="0.35">
      <c r="A552" s="2" t="s">
        <v>122</v>
      </c>
      <c r="B552" s="2">
        <v>4.5999999999999996</v>
      </c>
      <c r="C552" s="2">
        <v>4.7</v>
      </c>
      <c r="D552" s="2">
        <v>5.0999999999999996</v>
      </c>
      <c r="E552" s="2">
        <v>0.9</v>
      </c>
      <c r="F552" s="2">
        <v>1</v>
      </c>
      <c r="G552" s="2">
        <v>-5.2</v>
      </c>
      <c r="H552" s="2" t="s">
        <v>28</v>
      </c>
    </row>
    <row r="553" spans="1:8" ht="15.5" x14ac:dyDescent="0.35">
      <c r="A553" s="2" t="s">
        <v>123</v>
      </c>
      <c r="B553" s="2">
        <v>4.5</v>
      </c>
      <c r="C553" s="2">
        <v>4</v>
      </c>
      <c r="D553" s="2">
        <v>3.8</v>
      </c>
      <c r="E553" s="2">
        <v>1.1000000000000001</v>
      </c>
      <c r="F553" s="2">
        <v>0.8</v>
      </c>
      <c r="G553" s="2">
        <v>3.6</v>
      </c>
      <c r="H553" s="2" t="s">
        <v>28</v>
      </c>
    </row>
    <row r="554" spans="1:8" ht="15.5" x14ac:dyDescent="0.35">
      <c r="A554" s="2" t="s">
        <v>124</v>
      </c>
      <c r="B554" s="2">
        <v>2.7</v>
      </c>
      <c r="C554" s="2">
        <v>2.8</v>
      </c>
      <c r="D554" s="2">
        <v>2.9</v>
      </c>
      <c r="E554" s="2">
        <v>1.4</v>
      </c>
      <c r="F554" s="2">
        <v>1.4</v>
      </c>
      <c r="G554" s="2">
        <v>3.6</v>
      </c>
      <c r="H554" s="2" t="s">
        <v>28</v>
      </c>
    </row>
    <row r="555" spans="1:8" ht="15.5" x14ac:dyDescent="0.35">
      <c r="A555" s="2" t="s">
        <v>125</v>
      </c>
      <c r="B555" s="2">
        <v>3.6</v>
      </c>
      <c r="C555" s="2">
        <v>3.6</v>
      </c>
      <c r="D555" s="2">
        <v>4</v>
      </c>
      <c r="E555" s="2">
        <v>0.9</v>
      </c>
      <c r="F555" s="2">
        <v>0.9</v>
      </c>
      <c r="G555" s="2">
        <v>2.5</v>
      </c>
      <c r="H555" s="2" t="s">
        <v>28</v>
      </c>
    </row>
    <row r="556" spans="1:8" ht="15.5" x14ac:dyDescent="0.35">
      <c r="A556" s="2" t="s">
        <v>126</v>
      </c>
      <c r="B556" s="2">
        <v>2.9</v>
      </c>
      <c r="C556" s="2">
        <v>3.2</v>
      </c>
      <c r="D556" s="2">
        <v>3.1</v>
      </c>
      <c r="E556" s="2">
        <v>-0.3</v>
      </c>
      <c r="F556" s="2">
        <v>-0.6</v>
      </c>
      <c r="G556" s="2">
        <v>-5.2</v>
      </c>
      <c r="H556" s="2" t="s">
        <v>28</v>
      </c>
    </row>
    <row r="557" spans="1:8" ht="15.5" x14ac:dyDescent="0.35">
      <c r="A557" s="2" t="s">
        <v>127</v>
      </c>
      <c r="B557" s="2">
        <v>6.6</v>
      </c>
      <c r="C557" s="2">
        <v>7</v>
      </c>
      <c r="D557" s="2">
        <v>6.5</v>
      </c>
      <c r="E557" s="2">
        <v>4.4000000000000004</v>
      </c>
      <c r="F557" s="2">
        <v>4.0999999999999996</v>
      </c>
      <c r="G557" s="2">
        <v>5.4</v>
      </c>
      <c r="H557" s="2" t="s">
        <v>28</v>
      </c>
    </row>
    <row r="558" spans="1:8" ht="15.5" x14ac:dyDescent="0.35">
      <c r="A558" s="2" t="s">
        <v>128</v>
      </c>
      <c r="B558" s="2">
        <v>5.7</v>
      </c>
      <c r="C558" s="2">
        <v>5.2</v>
      </c>
      <c r="D558" s="2">
        <v>4.3</v>
      </c>
      <c r="E558" s="2">
        <v>-2.2000000000000002</v>
      </c>
      <c r="F558" s="2">
        <v>-1.7</v>
      </c>
      <c r="G558" s="2">
        <v>0.3</v>
      </c>
      <c r="H558" s="2" t="s">
        <v>28</v>
      </c>
    </row>
    <row r="559" spans="1:8" ht="15.5" x14ac:dyDescent="0.35">
      <c r="A559" s="2" t="s">
        <v>129</v>
      </c>
      <c r="B559" s="2">
        <v>4.5999999999999996</v>
      </c>
      <c r="C559" s="2">
        <v>5.3</v>
      </c>
      <c r="D559" s="2">
        <v>4.8</v>
      </c>
      <c r="E559" s="2">
        <v>1</v>
      </c>
      <c r="F559" s="2">
        <v>0.7</v>
      </c>
      <c r="G559" s="2">
        <v>1.8</v>
      </c>
      <c r="H559" s="2" t="s">
        <v>28</v>
      </c>
    </row>
    <row r="560" spans="1:8" ht="15.5" x14ac:dyDescent="0.35">
      <c r="A560" s="2" t="s">
        <v>130</v>
      </c>
      <c r="B560" s="2">
        <v>3.5</v>
      </c>
      <c r="C560" s="2">
        <v>3.8</v>
      </c>
      <c r="D560" s="2">
        <v>3.4</v>
      </c>
      <c r="E560" s="2">
        <v>-1</v>
      </c>
      <c r="F560" s="2">
        <v>-1.3</v>
      </c>
      <c r="G560" s="2">
        <v>-5.0999999999999996</v>
      </c>
      <c r="H560" s="2" t="s">
        <v>28</v>
      </c>
    </row>
    <row r="561" spans="1:8" ht="15.5" x14ac:dyDescent="0.35">
      <c r="A561" s="2" t="s">
        <v>131</v>
      </c>
      <c r="B561" s="2">
        <v>2.7</v>
      </c>
      <c r="C561" s="2">
        <v>2.6</v>
      </c>
      <c r="D561" s="2">
        <v>3.1</v>
      </c>
      <c r="E561" s="2">
        <v>-2</v>
      </c>
      <c r="F561" s="2">
        <v>-1.4</v>
      </c>
      <c r="G561" s="2">
        <v>-0.9</v>
      </c>
      <c r="H561" s="2" t="s">
        <v>28</v>
      </c>
    </row>
    <row r="562" spans="1:8" ht="15.5" x14ac:dyDescent="0.35">
      <c r="A562" s="2" t="s">
        <v>132</v>
      </c>
      <c r="B562" s="2">
        <v>3.9</v>
      </c>
      <c r="C562" s="2">
        <v>3.6</v>
      </c>
      <c r="D562" s="2">
        <v>3.8</v>
      </c>
      <c r="E562" s="2">
        <v>-0.1</v>
      </c>
      <c r="F562" s="2">
        <v>-0.1</v>
      </c>
      <c r="G562" s="2">
        <v>2.1</v>
      </c>
      <c r="H562" s="2" t="s">
        <v>28</v>
      </c>
    </row>
    <row r="563" spans="1:8" ht="15.5" x14ac:dyDescent="0.35">
      <c r="A563" s="2" t="s">
        <v>133</v>
      </c>
      <c r="B563" s="2">
        <v>3.6</v>
      </c>
      <c r="C563" s="2">
        <v>3.3</v>
      </c>
      <c r="D563" s="2">
        <v>3.5</v>
      </c>
      <c r="E563" s="2">
        <v>-1</v>
      </c>
      <c r="F563" s="2">
        <v>-1.3</v>
      </c>
      <c r="G563" s="2">
        <v>0.4</v>
      </c>
      <c r="H563" s="2" t="s">
        <v>28</v>
      </c>
    </row>
    <row r="564" spans="1:8" ht="15.5" x14ac:dyDescent="0.35">
      <c r="A564" s="2" t="s">
        <v>134</v>
      </c>
      <c r="B564" s="2">
        <v>2.6</v>
      </c>
      <c r="C564" s="2">
        <v>2.6</v>
      </c>
      <c r="D564" s="2">
        <v>2.9</v>
      </c>
      <c r="E564" s="2">
        <v>-0.1</v>
      </c>
      <c r="F564" s="2">
        <v>-0.1</v>
      </c>
      <c r="G564" s="2">
        <v>-4.0999999999999996</v>
      </c>
      <c r="H564" s="2" t="s">
        <v>28</v>
      </c>
    </row>
    <row r="565" spans="1:8" ht="15.5" x14ac:dyDescent="0.35">
      <c r="A565" s="2" t="s">
        <v>135</v>
      </c>
      <c r="B565" s="2">
        <v>2.2999999999999998</v>
      </c>
      <c r="C565" s="2">
        <v>2.1</v>
      </c>
      <c r="D565" s="2">
        <v>1.7</v>
      </c>
      <c r="E565" s="2">
        <v>0.3</v>
      </c>
      <c r="F565" s="2">
        <v>0.6</v>
      </c>
      <c r="G565" s="2">
        <v>0.5</v>
      </c>
      <c r="H565" s="2" t="s">
        <v>28</v>
      </c>
    </row>
    <row r="566" spans="1:8" ht="15.5" x14ac:dyDescent="0.35">
      <c r="A566" s="2" t="s">
        <v>136</v>
      </c>
      <c r="B566" s="2">
        <v>2.2999999999999998</v>
      </c>
      <c r="C566" s="2">
        <v>2.8</v>
      </c>
      <c r="D566" s="2">
        <v>2.9</v>
      </c>
      <c r="E566" s="2">
        <v>1.2</v>
      </c>
      <c r="F566" s="2">
        <v>1.2</v>
      </c>
      <c r="G566" s="2">
        <v>3.6</v>
      </c>
      <c r="H566" s="2" t="s">
        <v>28</v>
      </c>
    </row>
    <row r="567" spans="1:8" ht="15.5" x14ac:dyDescent="0.35">
      <c r="A567" s="2" t="s">
        <v>137</v>
      </c>
      <c r="B567" s="2">
        <v>3.5</v>
      </c>
      <c r="C567" s="2">
        <v>3.1</v>
      </c>
      <c r="D567" s="2">
        <v>3.1</v>
      </c>
      <c r="E567" s="2">
        <v>0.1</v>
      </c>
      <c r="F567" s="2">
        <v>0.4</v>
      </c>
      <c r="G567" s="2">
        <v>1.6</v>
      </c>
      <c r="H567" s="2" t="s">
        <v>28</v>
      </c>
    </row>
    <row r="568" spans="1:8" ht="15.5" x14ac:dyDescent="0.35">
      <c r="A568" s="2" t="s">
        <v>138</v>
      </c>
      <c r="B568" s="2">
        <v>1.8</v>
      </c>
      <c r="C568" s="2">
        <v>2.4</v>
      </c>
      <c r="D568" s="2">
        <v>1.8</v>
      </c>
      <c r="E568" s="2">
        <v>0.2</v>
      </c>
      <c r="F568" s="2">
        <v>0</v>
      </c>
      <c r="G568" s="2">
        <v>-3.4</v>
      </c>
      <c r="H568" s="2" t="s">
        <v>28</v>
      </c>
    </row>
    <row r="569" spans="1:8" ht="15.5" x14ac:dyDescent="0.35">
      <c r="A569" s="2" t="s">
        <v>139</v>
      </c>
      <c r="B569" s="2">
        <v>2.5</v>
      </c>
      <c r="C569" s="2">
        <v>1.9</v>
      </c>
      <c r="D569" s="2">
        <v>1.8</v>
      </c>
      <c r="E569" s="2">
        <v>1</v>
      </c>
      <c r="F569" s="2">
        <v>1.2</v>
      </c>
      <c r="G569" s="2">
        <v>0.7</v>
      </c>
      <c r="H569" s="2" t="s">
        <v>28</v>
      </c>
    </row>
    <row r="570" spans="1:8" ht="15.5" x14ac:dyDescent="0.35">
      <c r="A570" s="2" t="s">
        <v>140</v>
      </c>
      <c r="B570" s="2">
        <v>1.6</v>
      </c>
      <c r="C570" s="2">
        <v>1.8</v>
      </c>
      <c r="D570" s="2">
        <v>1.7</v>
      </c>
      <c r="E570" s="2">
        <v>0.2</v>
      </c>
      <c r="F570" s="2">
        <v>0.4</v>
      </c>
      <c r="G570" s="2">
        <v>2.5</v>
      </c>
      <c r="H570" s="2" t="s">
        <v>28</v>
      </c>
    </row>
    <row r="571" spans="1:8" ht="15.5" x14ac:dyDescent="0.35">
      <c r="A571" s="2" t="s">
        <v>141</v>
      </c>
      <c r="B571" s="2">
        <v>3.2</v>
      </c>
      <c r="C571" s="2">
        <v>2.8</v>
      </c>
      <c r="D571" s="2">
        <v>3</v>
      </c>
      <c r="E571" s="2">
        <v>0.7</v>
      </c>
      <c r="F571" s="2">
        <v>0.5</v>
      </c>
      <c r="G571" s="2">
        <v>2.5</v>
      </c>
      <c r="H571" s="2" t="s">
        <v>28</v>
      </c>
    </row>
    <row r="572" spans="1:8" ht="15.5" x14ac:dyDescent="0.35">
      <c r="A572" s="2" t="s">
        <v>142</v>
      </c>
      <c r="B572" s="2">
        <v>3.9</v>
      </c>
      <c r="C572" s="2">
        <v>3.7</v>
      </c>
      <c r="D572" s="2">
        <v>3.9</v>
      </c>
      <c r="E572" s="2">
        <v>2</v>
      </c>
      <c r="F572" s="2">
        <v>2.2000000000000002</v>
      </c>
      <c r="G572" s="2">
        <v>-1.8</v>
      </c>
      <c r="H572" s="2" t="s">
        <v>28</v>
      </c>
    </row>
    <row r="573" spans="1:8" ht="15.5" x14ac:dyDescent="0.35">
      <c r="A573" s="2" t="s">
        <v>143</v>
      </c>
      <c r="B573" s="2">
        <v>0.7</v>
      </c>
      <c r="C573" s="2">
        <v>0.7</v>
      </c>
      <c r="D573" s="2">
        <v>0.4</v>
      </c>
      <c r="E573" s="2">
        <v>0.7</v>
      </c>
      <c r="F573" s="2">
        <v>0.3</v>
      </c>
      <c r="G573" s="2">
        <v>0.2</v>
      </c>
      <c r="H573" s="2" t="s">
        <v>28</v>
      </c>
    </row>
    <row r="574" spans="1:8" ht="15.5" x14ac:dyDescent="0.35">
      <c r="A574" s="2" t="s">
        <v>144</v>
      </c>
      <c r="B574" s="2">
        <v>3.2</v>
      </c>
      <c r="C574" s="2">
        <v>2.7</v>
      </c>
      <c r="D574" s="2">
        <v>3</v>
      </c>
      <c r="E574" s="2">
        <v>1.2</v>
      </c>
      <c r="F574" s="2">
        <v>1.2</v>
      </c>
      <c r="G574" s="2">
        <v>3.8</v>
      </c>
      <c r="H574" s="2" t="s">
        <v>28</v>
      </c>
    </row>
    <row r="575" spans="1:8" ht="15.5" x14ac:dyDescent="0.35">
      <c r="A575" s="2" t="s">
        <v>145</v>
      </c>
      <c r="B575" s="2">
        <v>1.7</v>
      </c>
      <c r="C575" s="2">
        <v>2.2999999999999998</v>
      </c>
      <c r="D575" s="2">
        <v>2.4</v>
      </c>
      <c r="E575" s="2">
        <v>0.8</v>
      </c>
      <c r="F575" s="2">
        <v>0.7</v>
      </c>
      <c r="G575" s="2">
        <v>2.7</v>
      </c>
      <c r="H575" s="2" t="s">
        <v>28</v>
      </c>
    </row>
    <row r="576" spans="1:8" ht="15.5" x14ac:dyDescent="0.35">
      <c r="A576" s="2" t="s">
        <v>146</v>
      </c>
      <c r="B576" s="2">
        <v>1.6</v>
      </c>
      <c r="C576" s="2">
        <v>1.1000000000000001</v>
      </c>
      <c r="D576" s="2">
        <v>0.6</v>
      </c>
      <c r="E576" s="2">
        <v>0.9</v>
      </c>
      <c r="F576" s="2">
        <v>0.9</v>
      </c>
      <c r="G576" s="2">
        <v>-3.2</v>
      </c>
      <c r="H576" s="2" t="s">
        <v>28</v>
      </c>
    </row>
    <row r="577" spans="1:8" ht="15.5" x14ac:dyDescent="0.35">
      <c r="A577" s="2" t="s">
        <v>147</v>
      </c>
      <c r="B577" s="2">
        <v>1.5</v>
      </c>
      <c r="C577" s="2">
        <v>1.9</v>
      </c>
      <c r="D577" s="2">
        <v>1.9</v>
      </c>
      <c r="E577" s="2">
        <v>-1</v>
      </c>
      <c r="F577" s="2">
        <v>-1.2</v>
      </c>
      <c r="G577" s="2">
        <v>-1.1000000000000001</v>
      </c>
      <c r="H577" s="2" t="s">
        <v>28</v>
      </c>
    </row>
    <row r="578" spans="1:8" ht="15.5" x14ac:dyDescent="0.35">
      <c r="A578" s="2" t="s">
        <v>148</v>
      </c>
      <c r="B578" s="2">
        <v>1.6</v>
      </c>
      <c r="C578" s="2">
        <v>1.5</v>
      </c>
      <c r="D578" s="2">
        <v>1.6</v>
      </c>
      <c r="E578" s="2">
        <v>0.7</v>
      </c>
      <c r="F578" s="2">
        <v>0.6</v>
      </c>
      <c r="G578" s="2">
        <v>2.5</v>
      </c>
      <c r="H578" s="2" t="s">
        <v>28</v>
      </c>
    </row>
    <row r="579" spans="1:8" ht="15.5" x14ac:dyDescent="0.35">
      <c r="A579" s="2" t="s">
        <v>149</v>
      </c>
      <c r="B579" s="2">
        <v>4.2</v>
      </c>
      <c r="C579" s="2">
        <v>3.3</v>
      </c>
      <c r="D579" s="2">
        <v>3.3</v>
      </c>
      <c r="E579" s="2">
        <v>1.8</v>
      </c>
      <c r="F579" s="2">
        <v>1.6</v>
      </c>
      <c r="G579" s="2">
        <v>4.7</v>
      </c>
      <c r="H579" s="2" t="s">
        <v>28</v>
      </c>
    </row>
    <row r="580" spans="1:8" ht="15.5" x14ac:dyDescent="0.35">
      <c r="A580" s="2" t="s">
        <v>150</v>
      </c>
      <c r="B580" s="2">
        <v>0.1</v>
      </c>
      <c r="C580" s="2">
        <v>1.5</v>
      </c>
      <c r="D580" s="2">
        <v>1.4</v>
      </c>
      <c r="E580" s="2">
        <v>1</v>
      </c>
      <c r="F580" s="2">
        <v>1.4</v>
      </c>
      <c r="G580" s="2">
        <v>-3</v>
      </c>
      <c r="H580" s="2" t="s">
        <v>28</v>
      </c>
    </row>
    <row r="581" spans="1:8" ht="15.5" x14ac:dyDescent="0.35">
      <c r="A581" s="2" t="s">
        <v>151</v>
      </c>
      <c r="B581" s="2">
        <v>4.0999999999999996</v>
      </c>
      <c r="C581" s="2">
        <v>3.8</v>
      </c>
      <c r="D581" s="2">
        <v>4</v>
      </c>
      <c r="E581" s="2">
        <v>2.1</v>
      </c>
      <c r="F581" s="2">
        <v>2.2999999999999998</v>
      </c>
      <c r="G581" s="2">
        <v>1.5</v>
      </c>
      <c r="H581" s="2" t="s">
        <v>28</v>
      </c>
    </row>
    <row r="582" spans="1:8" ht="15.5" x14ac:dyDescent="0.35">
      <c r="A582" s="2" t="s">
        <v>152</v>
      </c>
      <c r="B582" s="2">
        <v>1.6</v>
      </c>
      <c r="C582" s="2">
        <v>1.9</v>
      </c>
      <c r="D582" s="2">
        <v>1.7</v>
      </c>
      <c r="E582" s="2">
        <v>0</v>
      </c>
      <c r="F582" s="2">
        <v>-0.1</v>
      </c>
      <c r="G582" s="2">
        <v>1.6</v>
      </c>
      <c r="H582" s="2" t="s">
        <v>28</v>
      </c>
    </row>
    <row r="583" spans="1:8" ht="15.5" x14ac:dyDescent="0.35">
      <c r="A583" s="2" t="s">
        <v>153</v>
      </c>
      <c r="B583" s="2">
        <v>1.8</v>
      </c>
      <c r="C583" s="2">
        <v>1.6</v>
      </c>
      <c r="D583" s="2">
        <v>1.3</v>
      </c>
      <c r="E583" s="2">
        <v>0.1</v>
      </c>
      <c r="F583" s="2">
        <v>0</v>
      </c>
      <c r="G583" s="2">
        <v>3</v>
      </c>
      <c r="H583" s="2" t="s">
        <v>28</v>
      </c>
    </row>
    <row r="584" spans="1:8" ht="15.5" x14ac:dyDescent="0.35">
      <c r="A584" s="2" t="s">
        <v>154</v>
      </c>
      <c r="B584" s="2">
        <v>2.1</v>
      </c>
      <c r="C584" s="2">
        <v>1.8</v>
      </c>
      <c r="D584" s="2">
        <v>1.7</v>
      </c>
      <c r="E584" s="2">
        <v>1</v>
      </c>
      <c r="F584" s="2">
        <v>0.6</v>
      </c>
      <c r="G584" s="2">
        <v>-4</v>
      </c>
      <c r="H584" s="2" t="s">
        <v>28</v>
      </c>
    </row>
    <row r="585" spans="1:8" ht="15.5" x14ac:dyDescent="0.35">
      <c r="A585" s="2" t="s">
        <v>155</v>
      </c>
      <c r="B585" s="2">
        <v>1.6</v>
      </c>
      <c r="C585" s="2">
        <v>1.2</v>
      </c>
      <c r="D585" s="2">
        <v>0.9</v>
      </c>
      <c r="E585" s="2">
        <v>0.9</v>
      </c>
      <c r="F585" s="2">
        <v>1.1000000000000001</v>
      </c>
      <c r="G585" s="2">
        <v>1.2</v>
      </c>
      <c r="H585" s="2" t="s">
        <v>28</v>
      </c>
    </row>
    <row r="586" spans="1:8" ht="15.5" x14ac:dyDescent="0.35">
      <c r="A586" s="2" t="s">
        <v>156</v>
      </c>
      <c r="B586" s="2">
        <v>1.4</v>
      </c>
      <c r="C586" s="2">
        <v>1.7</v>
      </c>
      <c r="D586" s="2">
        <v>1.8</v>
      </c>
      <c r="E586" s="2">
        <v>0.6</v>
      </c>
      <c r="F586" s="2">
        <v>0.9</v>
      </c>
      <c r="G586" s="2">
        <v>2.7</v>
      </c>
      <c r="H586" s="2" t="s">
        <v>28</v>
      </c>
    </row>
    <row r="587" spans="1:8" ht="15.5" x14ac:dyDescent="0.35">
      <c r="A587" s="2" t="s">
        <v>157</v>
      </c>
      <c r="B587" s="2">
        <v>3.6</v>
      </c>
      <c r="C587" s="2">
        <v>3.4</v>
      </c>
      <c r="D587" s="2">
        <v>3.5</v>
      </c>
      <c r="E587" s="2">
        <v>1.9</v>
      </c>
      <c r="F587" s="2">
        <v>1.6</v>
      </c>
      <c r="G587" s="2">
        <v>6.3</v>
      </c>
      <c r="H587" s="2" t="s">
        <v>28</v>
      </c>
    </row>
    <row r="588" spans="1:8" ht="15.5" x14ac:dyDescent="0.35">
      <c r="A588" s="2" t="s">
        <v>158</v>
      </c>
      <c r="B588" s="2">
        <v>3</v>
      </c>
      <c r="C588" s="2">
        <v>2</v>
      </c>
      <c r="D588" s="2">
        <v>1.8</v>
      </c>
      <c r="E588" s="2">
        <v>0.7</v>
      </c>
      <c r="F588" s="2">
        <v>0.5</v>
      </c>
      <c r="G588" s="2">
        <v>-6</v>
      </c>
      <c r="H588" s="2" t="s">
        <v>28</v>
      </c>
    </row>
    <row r="589" spans="1:8" ht="15.5" x14ac:dyDescent="0.35">
      <c r="A589" s="2" t="s">
        <v>159</v>
      </c>
      <c r="B589" s="2">
        <v>2.5</v>
      </c>
      <c r="C589" s="2">
        <v>3</v>
      </c>
      <c r="D589" s="2">
        <v>3.6</v>
      </c>
      <c r="E589" s="2">
        <v>1.5</v>
      </c>
      <c r="F589" s="2">
        <v>1.9</v>
      </c>
      <c r="G589" s="2">
        <v>1.9</v>
      </c>
      <c r="H589" s="2" t="s">
        <v>28</v>
      </c>
    </row>
    <row r="590" spans="1:8" ht="15.5" x14ac:dyDescent="0.35">
      <c r="A590" s="2" t="s">
        <v>160</v>
      </c>
      <c r="B590" s="2">
        <v>4.5</v>
      </c>
      <c r="C590" s="2">
        <v>4.4000000000000004</v>
      </c>
      <c r="D590" s="2">
        <v>4.3</v>
      </c>
      <c r="E590" s="2">
        <v>2.5</v>
      </c>
      <c r="F590" s="2">
        <v>2.2000000000000002</v>
      </c>
      <c r="G590" s="2">
        <v>5.8</v>
      </c>
      <c r="H590" s="2" t="s">
        <v>28</v>
      </c>
    </row>
    <row r="591" spans="1:8" ht="15.5" x14ac:dyDescent="0.35">
      <c r="A591" s="2" t="s">
        <v>161</v>
      </c>
      <c r="B591" s="2">
        <v>1.6</v>
      </c>
      <c r="C591" s="2">
        <v>2.1</v>
      </c>
      <c r="D591" s="2">
        <v>1.8</v>
      </c>
      <c r="E591" s="2">
        <v>1.2</v>
      </c>
      <c r="F591" s="2">
        <v>1.1000000000000001</v>
      </c>
      <c r="G591" s="2">
        <v>3.8</v>
      </c>
      <c r="H591" s="2" t="s">
        <v>28</v>
      </c>
    </row>
    <row r="592" spans="1:8" ht="15.5" x14ac:dyDescent="0.35">
      <c r="A592" s="2" t="s">
        <v>162</v>
      </c>
      <c r="B592" s="2">
        <v>3.2</v>
      </c>
      <c r="C592" s="2">
        <v>2.7</v>
      </c>
      <c r="D592" s="2">
        <v>3</v>
      </c>
      <c r="E592" s="2">
        <v>1.6</v>
      </c>
      <c r="F592" s="2">
        <v>1.5</v>
      </c>
      <c r="G592" s="2">
        <v>-4.4000000000000004</v>
      </c>
      <c r="H592" s="2" t="s">
        <v>28</v>
      </c>
    </row>
    <row r="593" spans="1:8" ht="15.5" x14ac:dyDescent="0.35">
      <c r="A593" s="2" t="s">
        <v>163</v>
      </c>
      <c r="B593" s="2">
        <v>2.8</v>
      </c>
      <c r="C593" s="2">
        <v>2.5</v>
      </c>
      <c r="D593" s="2">
        <v>2.2999999999999998</v>
      </c>
      <c r="E593" s="2">
        <v>0.5</v>
      </c>
      <c r="F593" s="2">
        <v>0.5</v>
      </c>
      <c r="G593" s="2">
        <v>1</v>
      </c>
      <c r="H593" s="2" t="s">
        <v>28</v>
      </c>
    </row>
    <row r="594" spans="1:8" ht="15.5" x14ac:dyDescent="0.35">
      <c r="A594" s="2" t="s">
        <v>164</v>
      </c>
      <c r="B594" s="2">
        <v>2.8</v>
      </c>
      <c r="C594" s="2">
        <v>3.1</v>
      </c>
      <c r="D594" s="2">
        <v>3.2</v>
      </c>
      <c r="E594" s="2">
        <v>1.2</v>
      </c>
      <c r="F594" s="2">
        <v>1.3</v>
      </c>
      <c r="G594" s="2">
        <v>4</v>
      </c>
      <c r="H594" s="2" t="s">
        <v>28</v>
      </c>
    </row>
    <row r="595" spans="1:8" ht="15.5" x14ac:dyDescent="0.35">
      <c r="A595" s="2" t="s">
        <v>165</v>
      </c>
      <c r="B595" s="2">
        <v>2.7</v>
      </c>
      <c r="C595" s="2">
        <v>3</v>
      </c>
      <c r="D595" s="2">
        <v>2.9</v>
      </c>
      <c r="E595" s="2">
        <v>0.8</v>
      </c>
      <c r="F595" s="2">
        <v>0.9</v>
      </c>
      <c r="G595" s="2">
        <v>3.7</v>
      </c>
      <c r="H595" s="2" t="s">
        <v>28</v>
      </c>
    </row>
    <row r="596" spans="1:8" ht="15.5" x14ac:dyDescent="0.35">
      <c r="A596" s="2" t="s">
        <v>166</v>
      </c>
      <c r="B596" s="2">
        <v>3.1</v>
      </c>
      <c r="C596" s="2">
        <v>2.5</v>
      </c>
      <c r="D596" s="2">
        <v>2.9</v>
      </c>
      <c r="E596" s="2">
        <v>0.5</v>
      </c>
      <c r="F596" s="2">
        <v>0.5</v>
      </c>
      <c r="G596" s="2">
        <v>-6.4</v>
      </c>
      <c r="H596" s="2" t="s">
        <v>28</v>
      </c>
    </row>
    <row r="597" spans="1:8" ht="15.5" x14ac:dyDescent="0.35">
      <c r="A597" s="2" t="s">
        <v>167</v>
      </c>
      <c r="B597" s="2">
        <v>1.4</v>
      </c>
      <c r="C597" s="2">
        <v>1.8</v>
      </c>
      <c r="D597" s="2">
        <v>1.5</v>
      </c>
      <c r="E597" s="2">
        <v>0.6</v>
      </c>
      <c r="F597" s="2">
        <v>0.4</v>
      </c>
      <c r="G597" s="2">
        <v>1.9</v>
      </c>
      <c r="H597" s="2" t="s">
        <v>28</v>
      </c>
    </row>
    <row r="598" spans="1:8" ht="15.5" x14ac:dyDescent="0.35">
      <c r="A598" s="2" t="s">
        <v>168</v>
      </c>
      <c r="B598" s="2">
        <v>2.5</v>
      </c>
      <c r="C598" s="2">
        <v>2.7</v>
      </c>
      <c r="D598" s="2">
        <v>3</v>
      </c>
      <c r="E598" s="2">
        <v>0.2</v>
      </c>
      <c r="F598" s="2">
        <v>0.2</v>
      </c>
      <c r="G598" s="2">
        <v>3.5</v>
      </c>
      <c r="H598" s="2" t="s">
        <v>28</v>
      </c>
    </row>
    <row r="599" spans="1:8" ht="15.5" x14ac:dyDescent="0.35">
      <c r="A599" s="2" t="s">
        <v>169</v>
      </c>
      <c r="B599" s="2">
        <v>2.4</v>
      </c>
      <c r="C599" s="2">
        <v>2.6</v>
      </c>
      <c r="D599" s="2">
        <v>2.7</v>
      </c>
      <c r="E599" s="2">
        <v>0</v>
      </c>
      <c r="F599" s="2">
        <v>0.2</v>
      </c>
      <c r="G599" s="2">
        <v>3.4</v>
      </c>
      <c r="H599" s="2" t="s">
        <v>28</v>
      </c>
    </row>
    <row r="600" spans="1:8" ht="15.5" x14ac:dyDescent="0.35">
      <c r="A600" s="2" t="s">
        <v>170</v>
      </c>
      <c r="B600" s="2">
        <v>2.2000000000000002</v>
      </c>
      <c r="C600" s="2">
        <v>2.2999999999999998</v>
      </c>
      <c r="D600" s="2">
        <v>2.2999999999999998</v>
      </c>
      <c r="E600" s="2">
        <v>0.5</v>
      </c>
      <c r="F600" s="2">
        <v>0.5</v>
      </c>
      <c r="G600" s="2">
        <v>-7.7</v>
      </c>
      <c r="H600" s="2" t="s">
        <v>28</v>
      </c>
    </row>
    <row r="601" spans="1:8" ht="15.5" x14ac:dyDescent="0.35">
      <c r="A601" s="2" t="s">
        <v>171</v>
      </c>
      <c r="B601" s="2">
        <v>2.2000000000000002</v>
      </c>
      <c r="C601" s="2">
        <v>2.2000000000000002</v>
      </c>
      <c r="D601" s="2">
        <v>2.2000000000000002</v>
      </c>
      <c r="E601" s="2">
        <v>0.7</v>
      </c>
      <c r="F601" s="2">
        <v>0.6</v>
      </c>
      <c r="G601" s="2">
        <v>2.2000000000000002</v>
      </c>
      <c r="H601" s="2" t="s">
        <v>28</v>
      </c>
    </row>
    <row r="602" spans="1:8" ht="15.5" x14ac:dyDescent="0.35">
      <c r="A602" s="2" t="s">
        <v>172</v>
      </c>
      <c r="B602" s="2">
        <v>2.6</v>
      </c>
      <c r="C602" s="2">
        <v>2</v>
      </c>
      <c r="D602" s="2">
        <v>2.2999999999999998</v>
      </c>
      <c r="E602" s="2">
        <v>-1.1000000000000001</v>
      </c>
      <c r="F602" s="2">
        <v>-0.9</v>
      </c>
      <c r="G602" s="2">
        <v>3.9</v>
      </c>
      <c r="H602" s="2" t="s">
        <v>28</v>
      </c>
    </row>
    <row r="603" spans="1:8" ht="15.5" x14ac:dyDescent="0.35">
      <c r="A603" s="2" t="s">
        <v>173</v>
      </c>
      <c r="B603" s="2">
        <v>0.4</v>
      </c>
      <c r="C603" s="2">
        <v>0.5</v>
      </c>
      <c r="D603" s="2">
        <v>0.7</v>
      </c>
      <c r="E603" s="2">
        <v>-0.5</v>
      </c>
      <c r="F603" s="2">
        <v>-0.3</v>
      </c>
      <c r="G603" s="2">
        <v>1.4</v>
      </c>
      <c r="H603" s="2" t="s">
        <v>28</v>
      </c>
    </row>
    <row r="604" spans="1:8" ht="15.5" x14ac:dyDescent="0.35">
      <c r="A604" s="2" t="s">
        <v>174</v>
      </c>
      <c r="B604" s="2">
        <v>1</v>
      </c>
      <c r="C604" s="2">
        <v>1.3</v>
      </c>
      <c r="D604" s="2">
        <v>0.9</v>
      </c>
      <c r="E604" s="2">
        <v>-0.5</v>
      </c>
      <c r="F604" s="2">
        <v>-0.6</v>
      </c>
      <c r="G604" s="2">
        <v>-8.8000000000000007</v>
      </c>
      <c r="H604" s="2" t="s">
        <v>28</v>
      </c>
    </row>
    <row r="605" spans="1:8" ht="15.5" x14ac:dyDescent="0.35">
      <c r="A605" s="2" t="s">
        <v>175</v>
      </c>
      <c r="B605" s="2">
        <v>1.4</v>
      </c>
      <c r="C605" s="2">
        <v>1.5</v>
      </c>
      <c r="D605" s="2">
        <v>1.3</v>
      </c>
      <c r="E605" s="2">
        <v>-0.1</v>
      </c>
      <c r="F605" s="2">
        <v>0</v>
      </c>
      <c r="G605" s="2">
        <v>1.7</v>
      </c>
      <c r="H605" s="2" t="s">
        <v>28</v>
      </c>
    </row>
    <row r="606" spans="1:8" ht="15.5" x14ac:dyDescent="0.35">
      <c r="A606" s="2" t="s">
        <v>176</v>
      </c>
      <c r="B606" s="2">
        <v>0.9</v>
      </c>
      <c r="C606" s="2">
        <v>0.8</v>
      </c>
      <c r="D606" s="2">
        <v>0.5</v>
      </c>
      <c r="E606" s="2">
        <v>-0.2</v>
      </c>
      <c r="F606" s="2">
        <v>0.1</v>
      </c>
      <c r="G606" s="2">
        <v>4.7</v>
      </c>
      <c r="H606" s="2" t="s">
        <v>28</v>
      </c>
    </row>
    <row r="607" spans="1:8" ht="15.5" x14ac:dyDescent="0.35">
      <c r="A607" s="2" t="s">
        <v>177</v>
      </c>
      <c r="B607" s="2">
        <v>1.6</v>
      </c>
      <c r="C607" s="2">
        <v>1.3</v>
      </c>
      <c r="D607" s="2">
        <v>1.2</v>
      </c>
      <c r="E607" s="2">
        <v>0.1</v>
      </c>
      <c r="F607" s="2">
        <v>0.1</v>
      </c>
      <c r="G607" s="2">
        <v>2.6</v>
      </c>
      <c r="H607" s="2" t="s">
        <v>28</v>
      </c>
    </row>
    <row r="608" spans="1:8" ht="15.5" x14ac:dyDescent="0.35">
      <c r="A608" s="2" t="s">
        <v>178</v>
      </c>
      <c r="B608" s="2">
        <v>1.4</v>
      </c>
      <c r="C608" s="2">
        <v>1</v>
      </c>
      <c r="D608" s="2">
        <v>1.2</v>
      </c>
      <c r="E608" s="2">
        <v>0</v>
      </c>
      <c r="F608" s="2">
        <v>-0.1</v>
      </c>
      <c r="G608" s="2">
        <v>-7.4</v>
      </c>
      <c r="H608" s="2" t="s">
        <v>28</v>
      </c>
    </row>
    <row r="609" spans="1:8" ht="15.5" x14ac:dyDescent="0.35">
      <c r="A609" s="2" t="s">
        <v>179</v>
      </c>
      <c r="B609" s="2">
        <v>0.4</v>
      </c>
      <c r="C609" s="2">
        <v>0.2</v>
      </c>
      <c r="D609" s="2">
        <v>0.6</v>
      </c>
      <c r="E609" s="2">
        <v>-0.2</v>
      </c>
      <c r="F609" s="2">
        <v>0</v>
      </c>
      <c r="G609" s="2">
        <v>1.3</v>
      </c>
      <c r="H609" s="2" t="s">
        <v>28</v>
      </c>
    </row>
    <row r="610" spans="1:8" ht="15.5" x14ac:dyDescent="0.35">
      <c r="A610" s="2" t="s">
        <v>180</v>
      </c>
      <c r="B610" s="2">
        <v>0.6</v>
      </c>
      <c r="C610" s="2">
        <v>0.4</v>
      </c>
      <c r="D610" s="2">
        <v>0.2</v>
      </c>
      <c r="E610" s="2">
        <v>0.5</v>
      </c>
      <c r="F610" s="2">
        <v>0.5</v>
      </c>
      <c r="G610" s="2">
        <v>3.8</v>
      </c>
      <c r="H610" s="2" t="s">
        <v>28</v>
      </c>
    </row>
    <row r="611" spans="1:8" ht="15.5" x14ac:dyDescent="0.35">
      <c r="A611" s="2" t="s">
        <v>181</v>
      </c>
      <c r="B611" s="2">
        <v>0.9</v>
      </c>
      <c r="C611" s="2">
        <v>1.3</v>
      </c>
      <c r="D611" s="2">
        <v>1.2</v>
      </c>
      <c r="E611" s="2">
        <v>0.8</v>
      </c>
      <c r="F611" s="2">
        <v>0.7</v>
      </c>
      <c r="G611" s="2">
        <v>2.1</v>
      </c>
      <c r="H611" s="2" t="s">
        <v>28</v>
      </c>
    </row>
    <row r="612" spans="1:8" ht="15.5" x14ac:dyDescent="0.35">
      <c r="A612" s="2" t="s">
        <v>182</v>
      </c>
      <c r="B612" s="2">
        <v>2.5</v>
      </c>
      <c r="C612" s="2">
        <v>2.5</v>
      </c>
      <c r="D612" s="2">
        <v>2.9</v>
      </c>
      <c r="E612" s="2">
        <v>0.5</v>
      </c>
      <c r="F612" s="2">
        <v>0.4</v>
      </c>
      <c r="G612" s="2">
        <v>-5.3</v>
      </c>
      <c r="H612" s="2" t="s">
        <v>28</v>
      </c>
    </row>
    <row r="613" spans="1:8" ht="15.5" x14ac:dyDescent="0.35">
      <c r="A613" s="2" t="s">
        <v>183</v>
      </c>
      <c r="B613" s="2">
        <v>0.2</v>
      </c>
      <c r="C613" s="2">
        <v>0.1</v>
      </c>
      <c r="D613" s="2">
        <v>0.2</v>
      </c>
      <c r="E613" s="2">
        <v>0.4</v>
      </c>
      <c r="F613" s="2">
        <v>0.5</v>
      </c>
      <c r="G613" s="2">
        <v>1.3</v>
      </c>
      <c r="H613" s="2" t="s">
        <v>28</v>
      </c>
    </row>
    <row r="614" spans="1:8" ht="15.5" x14ac:dyDescent="0.35">
      <c r="A614" s="2" t="s">
        <v>184</v>
      </c>
      <c r="B614" s="2">
        <v>2</v>
      </c>
      <c r="C614" s="2">
        <v>2</v>
      </c>
      <c r="D614" s="2">
        <v>1.8</v>
      </c>
      <c r="E614" s="2">
        <v>0.9</v>
      </c>
      <c r="F614" s="2">
        <v>1</v>
      </c>
      <c r="G614" s="2">
        <v>4.9000000000000004</v>
      </c>
      <c r="H614" s="2" t="s">
        <v>28</v>
      </c>
    </row>
    <row r="615" spans="1:8" ht="15.5" x14ac:dyDescent="0.35">
      <c r="A615" s="2" t="s">
        <v>185</v>
      </c>
      <c r="B615" s="2">
        <v>1.2</v>
      </c>
      <c r="C615" s="2">
        <v>1.7</v>
      </c>
      <c r="D615" s="2">
        <v>1.5</v>
      </c>
      <c r="E615" s="2">
        <v>0.7</v>
      </c>
      <c r="F615" s="2">
        <v>0.6</v>
      </c>
      <c r="G615" s="2">
        <v>2.1</v>
      </c>
      <c r="H615" s="2" t="s">
        <v>28</v>
      </c>
    </row>
    <row r="616" spans="1:8" ht="15.5" x14ac:dyDescent="0.35">
      <c r="A616" s="2" t="s">
        <v>186</v>
      </c>
      <c r="B616" s="2">
        <v>2.6</v>
      </c>
      <c r="C616" s="2">
        <v>1.5</v>
      </c>
      <c r="D616" s="2">
        <v>1.6</v>
      </c>
      <c r="E616" s="2">
        <v>1</v>
      </c>
      <c r="F616" s="2">
        <v>0.9</v>
      </c>
      <c r="G616" s="2">
        <v>-4.5999999999999996</v>
      </c>
      <c r="H616" s="2" t="s">
        <v>28</v>
      </c>
    </row>
    <row r="617" spans="1:8" ht="15.5" x14ac:dyDescent="0.35">
      <c r="A617" s="2" t="s">
        <v>187</v>
      </c>
      <c r="B617" s="2">
        <v>0.1</v>
      </c>
      <c r="C617" s="2">
        <v>0.4</v>
      </c>
      <c r="D617" s="2">
        <v>0.4</v>
      </c>
      <c r="E617" s="2">
        <v>0.9</v>
      </c>
      <c r="F617" s="2">
        <v>0.8</v>
      </c>
      <c r="G617" s="2">
        <v>1.5</v>
      </c>
      <c r="H617" s="2" t="s">
        <v>28</v>
      </c>
    </row>
    <row r="618" spans="1:8" ht="15.5" x14ac:dyDescent="0.35">
      <c r="A618" s="2" t="s">
        <v>188</v>
      </c>
      <c r="B618" s="2">
        <v>1.6</v>
      </c>
      <c r="C618" s="2">
        <v>1.3</v>
      </c>
      <c r="D618" s="2">
        <v>1</v>
      </c>
      <c r="E618" s="2">
        <v>1</v>
      </c>
      <c r="F618" s="2">
        <v>0.8</v>
      </c>
      <c r="G618" s="2">
        <v>4.5999999999999996</v>
      </c>
      <c r="H618" s="2" t="s">
        <v>28</v>
      </c>
    </row>
    <row r="619" spans="1:8" ht="15.5" x14ac:dyDescent="0.35">
      <c r="A619" s="2" t="s">
        <v>189</v>
      </c>
      <c r="B619" s="2">
        <v>1.3</v>
      </c>
      <c r="C619" s="2">
        <v>1.8</v>
      </c>
      <c r="D619" s="2">
        <v>1.8</v>
      </c>
      <c r="E619" s="2">
        <v>0.4</v>
      </c>
      <c r="F619" s="2">
        <v>0.5</v>
      </c>
      <c r="G619" s="2">
        <v>1.6</v>
      </c>
      <c r="H619" s="2" t="s">
        <v>28</v>
      </c>
    </row>
    <row r="620" spans="1:8" ht="15.5" x14ac:dyDescent="0.35">
      <c r="A620" s="2" t="s">
        <v>190</v>
      </c>
      <c r="B620" s="2">
        <v>0.6</v>
      </c>
      <c r="C620" s="2">
        <v>0.8</v>
      </c>
      <c r="D620" s="2">
        <v>0.7</v>
      </c>
      <c r="E620" s="2">
        <v>0.5</v>
      </c>
      <c r="F620" s="2">
        <v>0.5</v>
      </c>
      <c r="G620" s="2">
        <v>-4.5</v>
      </c>
      <c r="H620" s="2" t="s">
        <v>28</v>
      </c>
    </row>
    <row r="621" spans="1:8" ht="15.5" x14ac:dyDescent="0.35">
      <c r="A621" s="2" t="s">
        <v>191</v>
      </c>
      <c r="B621" s="2">
        <v>1.1000000000000001</v>
      </c>
      <c r="C621" s="2">
        <v>1</v>
      </c>
      <c r="D621" s="2">
        <v>0.7</v>
      </c>
      <c r="E621" s="2">
        <v>0.2</v>
      </c>
      <c r="F621" s="2">
        <v>0.1</v>
      </c>
      <c r="G621" s="2">
        <v>0</v>
      </c>
      <c r="H621" s="2" t="s">
        <v>28</v>
      </c>
    </row>
    <row r="622" spans="1:8" ht="15.5" x14ac:dyDescent="0.35">
      <c r="A622" s="2" t="s">
        <v>192</v>
      </c>
      <c r="B622" s="2">
        <v>2.1</v>
      </c>
      <c r="C622" s="2">
        <v>1.8</v>
      </c>
      <c r="D622" s="2">
        <v>2</v>
      </c>
      <c r="E622" s="2">
        <v>1.1000000000000001</v>
      </c>
      <c r="F622" s="2">
        <v>1.2</v>
      </c>
      <c r="G622" s="2">
        <v>5.3</v>
      </c>
      <c r="H622" s="2" t="s">
        <v>28</v>
      </c>
    </row>
    <row r="623" spans="1:8" ht="15.5" x14ac:dyDescent="0.35">
      <c r="A623" s="2" t="s">
        <v>193</v>
      </c>
      <c r="B623" s="2">
        <v>1.6</v>
      </c>
      <c r="C623" s="2">
        <v>1.5</v>
      </c>
      <c r="D623" s="2">
        <v>1.4</v>
      </c>
      <c r="E623" s="2">
        <v>0.3</v>
      </c>
      <c r="F623" s="2">
        <v>0.4</v>
      </c>
      <c r="G623" s="2">
        <v>2.5</v>
      </c>
      <c r="H623" s="2" t="s">
        <v>28</v>
      </c>
    </row>
    <row r="624" spans="1:8" ht="15.5" x14ac:dyDescent="0.35">
      <c r="A624" s="2" t="s">
        <v>194</v>
      </c>
      <c r="B624" s="2">
        <v>1.8</v>
      </c>
      <c r="C624" s="2">
        <v>1.7</v>
      </c>
      <c r="D624" s="2">
        <v>1.8</v>
      </c>
      <c r="E624" s="2">
        <v>0.7</v>
      </c>
      <c r="F624" s="2">
        <v>1</v>
      </c>
      <c r="G624" s="2">
        <v>-5.5</v>
      </c>
      <c r="H624" s="2" t="s">
        <v>28</v>
      </c>
    </row>
    <row r="625" spans="1:8" ht="15.5" x14ac:dyDescent="0.35">
      <c r="A625" s="2" t="s">
        <v>195</v>
      </c>
      <c r="B625" s="2">
        <v>1.9</v>
      </c>
      <c r="C625" s="2">
        <v>2.2000000000000002</v>
      </c>
      <c r="D625" s="2">
        <v>2.2999999999999998</v>
      </c>
      <c r="E625" s="2">
        <v>0.3</v>
      </c>
      <c r="F625" s="2">
        <v>0.5</v>
      </c>
      <c r="G625" s="2">
        <v>0.6</v>
      </c>
      <c r="H625" s="2" t="s">
        <v>28</v>
      </c>
    </row>
    <row r="626" spans="1:8" ht="15.5" x14ac:dyDescent="0.35">
      <c r="A626" s="2" t="s">
        <v>196</v>
      </c>
      <c r="B626" s="2">
        <v>1.1000000000000001</v>
      </c>
      <c r="C626" s="2">
        <v>1.6</v>
      </c>
      <c r="D626" s="2">
        <v>1.7</v>
      </c>
      <c r="E626" s="2">
        <v>0.9</v>
      </c>
      <c r="F626" s="2">
        <v>0.7</v>
      </c>
      <c r="G626" s="2">
        <v>5.4</v>
      </c>
      <c r="H626" s="2" t="s">
        <v>28</v>
      </c>
    </row>
    <row r="627" spans="1:8" ht="15.5" x14ac:dyDescent="0.35">
      <c r="A627" s="2" t="s">
        <v>197</v>
      </c>
      <c r="B627" s="2">
        <v>1.2</v>
      </c>
      <c r="C627" s="2">
        <v>1.1000000000000001</v>
      </c>
      <c r="D627" s="2">
        <v>1.1000000000000001</v>
      </c>
      <c r="E627" s="2">
        <v>1.3</v>
      </c>
      <c r="F627" s="2">
        <v>1.3</v>
      </c>
      <c r="G627" s="2">
        <v>3.1</v>
      </c>
      <c r="H627" s="2" t="s">
        <v>28</v>
      </c>
    </row>
    <row r="628" spans="1:8" ht="15.5" x14ac:dyDescent="0.35">
      <c r="A628" s="2" t="s">
        <v>198</v>
      </c>
      <c r="B628" s="2">
        <v>0.4</v>
      </c>
      <c r="C628" s="2">
        <v>0</v>
      </c>
      <c r="D628" s="2">
        <v>-0.1</v>
      </c>
      <c r="E628" s="2">
        <v>1.6</v>
      </c>
      <c r="F628" s="2">
        <v>1.2</v>
      </c>
      <c r="G628" s="2">
        <v>-3.2</v>
      </c>
      <c r="H628" s="2" t="s">
        <v>28</v>
      </c>
    </row>
    <row r="629" spans="1:8" ht="15.5" x14ac:dyDescent="0.35">
      <c r="A629" s="2" t="s">
        <v>199</v>
      </c>
      <c r="B629" s="2">
        <v>1.7</v>
      </c>
      <c r="C629" s="2">
        <v>1.7</v>
      </c>
      <c r="D629" s="2">
        <v>1.1000000000000001</v>
      </c>
      <c r="E629" s="2">
        <v>1.1000000000000001</v>
      </c>
      <c r="F629" s="2">
        <v>1</v>
      </c>
      <c r="G629" s="2">
        <v>2</v>
      </c>
      <c r="H629" s="2">
        <v>1.1000000000000001</v>
      </c>
    </row>
    <row r="630" spans="1:8" ht="15.5" x14ac:dyDescent="0.35">
      <c r="A630" s="2" t="s">
        <v>200</v>
      </c>
      <c r="B630" s="2">
        <v>3.3</v>
      </c>
      <c r="C630" s="2">
        <v>3.4</v>
      </c>
      <c r="D630" s="2">
        <v>3.8</v>
      </c>
      <c r="E630" s="2">
        <v>0.9</v>
      </c>
      <c r="F630" s="2">
        <v>0.8</v>
      </c>
      <c r="G630" s="2">
        <v>2</v>
      </c>
      <c r="H630" s="2">
        <v>0.7</v>
      </c>
    </row>
    <row r="631" spans="1:8" ht="15.5" x14ac:dyDescent="0.35">
      <c r="A631" s="2" t="s">
        <v>201</v>
      </c>
      <c r="B631" s="2">
        <v>-1.5</v>
      </c>
      <c r="C631" s="2">
        <v>-1.1000000000000001</v>
      </c>
      <c r="D631" s="2">
        <v>-1.6</v>
      </c>
      <c r="E631" s="2">
        <v>1.5</v>
      </c>
      <c r="F631" s="2">
        <v>1.4</v>
      </c>
      <c r="G631" s="2">
        <v>1.9</v>
      </c>
      <c r="H631" s="2">
        <v>1.4</v>
      </c>
    </row>
    <row r="632" spans="1:8" ht="15.5" x14ac:dyDescent="0.35">
      <c r="A632" s="2" t="s">
        <v>202</v>
      </c>
      <c r="B632" s="2">
        <v>2</v>
      </c>
      <c r="C632" s="2">
        <v>1.9</v>
      </c>
      <c r="D632" s="2">
        <v>2.2000000000000002</v>
      </c>
      <c r="E632" s="2">
        <v>0.7</v>
      </c>
      <c r="F632" s="2">
        <v>0.8</v>
      </c>
      <c r="G632" s="2">
        <v>-1.3</v>
      </c>
      <c r="H632" s="2">
        <v>0.8</v>
      </c>
    </row>
    <row r="633" spans="1:8" ht="15.5" x14ac:dyDescent="0.35">
      <c r="A633" s="2" t="s">
        <v>203</v>
      </c>
      <c r="B633" s="2">
        <v>1.5</v>
      </c>
      <c r="C633" s="2">
        <v>0.8</v>
      </c>
      <c r="D633" s="2">
        <v>0.5</v>
      </c>
      <c r="E633" s="2">
        <v>0.6</v>
      </c>
      <c r="F633" s="2">
        <v>0.6</v>
      </c>
      <c r="G633" s="2">
        <v>-0.2</v>
      </c>
      <c r="H633" s="2">
        <v>0.6</v>
      </c>
    </row>
    <row r="634" spans="1:8" ht="15.5" x14ac:dyDescent="0.35">
      <c r="A634" s="2" t="s">
        <v>204</v>
      </c>
      <c r="B634" s="2">
        <v>2.7</v>
      </c>
      <c r="C634" s="2">
        <v>0.9</v>
      </c>
      <c r="D634" s="2">
        <v>0.7</v>
      </c>
      <c r="E634" s="2">
        <v>0.2</v>
      </c>
      <c r="F634" s="2">
        <v>0.3</v>
      </c>
      <c r="G634" s="2">
        <v>1.6</v>
      </c>
      <c r="H634" s="2">
        <v>0.3</v>
      </c>
    </row>
    <row r="635" spans="1:8" ht="15.5" x14ac:dyDescent="0.35">
      <c r="A635" s="2" t="s">
        <v>205</v>
      </c>
      <c r="B635" s="2">
        <v>1</v>
      </c>
      <c r="C635" s="2">
        <v>1.4</v>
      </c>
      <c r="D635" s="2">
        <v>1.6</v>
      </c>
      <c r="E635" s="2">
        <v>0.7</v>
      </c>
      <c r="F635" s="2">
        <v>0.8</v>
      </c>
      <c r="G635" s="2">
        <v>3.7</v>
      </c>
      <c r="H635" s="2">
        <v>0.8</v>
      </c>
    </row>
    <row r="636" spans="1:8" ht="15.5" x14ac:dyDescent="0.35">
      <c r="A636" s="2" t="s">
        <v>206</v>
      </c>
      <c r="B636" s="2">
        <v>-1.4</v>
      </c>
      <c r="C636" s="2">
        <v>0.9</v>
      </c>
      <c r="D636" s="2">
        <v>0.5</v>
      </c>
      <c r="E636" s="2">
        <v>0.7</v>
      </c>
      <c r="F636" s="2">
        <v>0.6</v>
      </c>
      <c r="G636" s="2">
        <v>-2.1</v>
      </c>
      <c r="H636" s="2">
        <v>0.5</v>
      </c>
    </row>
    <row r="637" spans="1:8" ht="15.5" x14ac:dyDescent="0.35">
      <c r="A637" s="2" t="s">
        <v>207</v>
      </c>
      <c r="B637" s="2">
        <v>0.7</v>
      </c>
      <c r="C637" s="2">
        <v>0.7</v>
      </c>
      <c r="D637" s="2">
        <v>0.7</v>
      </c>
      <c r="E637" s="2">
        <v>0.4</v>
      </c>
      <c r="F637" s="2">
        <v>0.3</v>
      </c>
      <c r="G637" s="2">
        <v>-1.5</v>
      </c>
      <c r="H637" s="2">
        <v>0.3</v>
      </c>
    </row>
    <row r="638" spans="1:8" ht="15.5" x14ac:dyDescent="0.35">
      <c r="A638" s="2" t="s">
        <v>208</v>
      </c>
      <c r="B638" s="2">
        <v>1.1000000000000001</v>
      </c>
      <c r="C638" s="2">
        <v>1.3</v>
      </c>
      <c r="D638" s="2">
        <v>1</v>
      </c>
      <c r="E638" s="2">
        <v>1.7</v>
      </c>
      <c r="F638" s="2">
        <v>1.8</v>
      </c>
      <c r="G638" s="2">
        <v>4.2</v>
      </c>
      <c r="H638" s="2">
        <v>1.8</v>
      </c>
    </row>
    <row r="639" spans="1:8" ht="15.5" x14ac:dyDescent="0.35">
      <c r="A639" s="2" t="s">
        <v>209</v>
      </c>
      <c r="B639" s="2">
        <v>3</v>
      </c>
      <c r="C639" s="2">
        <v>2.2999999999999998</v>
      </c>
      <c r="D639" s="2">
        <v>2.4</v>
      </c>
      <c r="E639" s="2">
        <v>1.6</v>
      </c>
      <c r="F639" s="2">
        <v>1.7</v>
      </c>
      <c r="G639" s="2">
        <v>2.7</v>
      </c>
      <c r="H639" s="2">
        <v>1.7</v>
      </c>
    </row>
    <row r="640" spans="1:8" ht="15.5" x14ac:dyDescent="0.35">
      <c r="A640" s="2" t="s">
        <v>210</v>
      </c>
      <c r="B640" s="2">
        <v>1.8</v>
      </c>
      <c r="C640" s="2">
        <v>1.9</v>
      </c>
      <c r="D640" s="2">
        <v>1.9</v>
      </c>
      <c r="E640" s="2">
        <v>1.3</v>
      </c>
      <c r="F640" s="2">
        <v>1.2</v>
      </c>
      <c r="G640" s="2">
        <v>-1.6</v>
      </c>
      <c r="H640" s="2">
        <v>1.2</v>
      </c>
    </row>
    <row r="641" spans="1:8" ht="15.5" x14ac:dyDescent="0.35">
      <c r="A641" s="2" t="s">
        <v>211</v>
      </c>
      <c r="B641" s="2">
        <v>0.7</v>
      </c>
      <c r="C641" s="2">
        <v>0.6</v>
      </c>
      <c r="D641" s="2">
        <v>0.4</v>
      </c>
      <c r="E641" s="2">
        <v>0.7</v>
      </c>
      <c r="F641" s="2">
        <v>0.8</v>
      </c>
      <c r="G641" s="2">
        <v>0.9</v>
      </c>
      <c r="H641" s="2">
        <v>0.9</v>
      </c>
    </row>
    <row r="642" spans="1:8" ht="15.5" x14ac:dyDescent="0.35">
      <c r="A642" s="2" t="s">
        <v>212</v>
      </c>
      <c r="B642" s="2">
        <v>1.2</v>
      </c>
      <c r="C642" s="2">
        <v>0.7</v>
      </c>
      <c r="D642" s="2">
        <v>0.8</v>
      </c>
      <c r="E642" s="2">
        <v>0.6</v>
      </c>
      <c r="F642" s="2">
        <v>0.7</v>
      </c>
      <c r="G642" s="2">
        <v>2.4</v>
      </c>
      <c r="H642" s="2">
        <v>0.7</v>
      </c>
    </row>
    <row r="643" spans="1:8" ht="15.5" x14ac:dyDescent="0.35">
      <c r="A643" s="2" t="s">
        <v>213</v>
      </c>
      <c r="B643" s="2">
        <v>0.9</v>
      </c>
      <c r="C643" s="2">
        <v>0.7</v>
      </c>
      <c r="D643" s="2">
        <v>1</v>
      </c>
      <c r="E643" s="2">
        <v>0.6</v>
      </c>
      <c r="F643" s="2">
        <v>0.7</v>
      </c>
      <c r="G643" s="2">
        <v>2.1</v>
      </c>
      <c r="H643" s="2">
        <v>0.8</v>
      </c>
    </row>
    <row r="644" spans="1:8" ht="15.5" x14ac:dyDescent="0.35">
      <c r="A644" s="2" t="s">
        <v>214</v>
      </c>
      <c r="B644" s="2">
        <v>1.6</v>
      </c>
      <c r="C644" s="2">
        <v>1.7</v>
      </c>
      <c r="D644" s="2">
        <v>1.8</v>
      </c>
      <c r="E644" s="2">
        <v>0.8</v>
      </c>
      <c r="F644" s="2">
        <v>0.8</v>
      </c>
      <c r="G644" s="2">
        <v>-1.3</v>
      </c>
      <c r="H644" s="2">
        <v>0.8</v>
      </c>
    </row>
    <row r="645" spans="1:8" ht="15.5" x14ac:dyDescent="0.35">
      <c r="A645" s="2" t="s">
        <v>215</v>
      </c>
      <c r="B645" s="2">
        <v>1.7</v>
      </c>
      <c r="C645" s="2">
        <v>1.4</v>
      </c>
      <c r="D645" s="2">
        <v>1.3</v>
      </c>
      <c r="E645" s="2">
        <v>0.4</v>
      </c>
      <c r="F645" s="2">
        <v>0.4</v>
      </c>
      <c r="G645" s="2">
        <v>-1.5</v>
      </c>
      <c r="H645" s="2">
        <v>0.4</v>
      </c>
    </row>
    <row r="646" spans="1:8" ht="15.5" x14ac:dyDescent="0.35">
      <c r="A646" s="2" t="s">
        <v>216</v>
      </c>
      <c r="B646" s="2">
        <v>-0.2</v>
      </c>
      <c r="C646" s="2">
        <v>0.6</v>
      </c>
      <c r="D646" s="2">
        <v>0.5</v>
      </c>
      <c r="E646" s="2">
        <v>0.5</v>
      </c>
      <c r="F646" s="2">
        <v>0.4</v>
      </c>
      <c r="G646" s="2">
        <v>3.4</v>
      </c>
      <c r="H646" s="2">
        <v>0.4</v>
      </c>
    </row>
    <row r="647" spans="1:8" ht="15.5" x14ac:dyDescent="0.35">
      <c r="A647" s="2" t="s">
        <v>217</v>
      </c>
      <c r="B647" s="2">
        <v>0.8</v>
      </c>
      <c r="C647" s="2">
        <v>0.2</v>
      </c>
      <c r="D647" s="2">
        <v>0.4</v>
      </c>
      <c r="E647" s="2">
        <v>0.3</v>
      </c>
      <c r="F647" s="2">
        <v>0.2</v>
      </c>
      <c r="G647" s="2">
        <v>1</v>
      </c>
      <c r="H647" s="2">
        <v>0.2</v>
      </c>
    </row>
    <row r="648" spans="1:8" ht="15.5" x14ac:dyDescent="0.35">
      <c r="A648" s="2" t="s">
        <v>218</v>
      </c>
      <c r="B648" s="2">
        <v>1.7</v>
      </c>
      <c r="C648" s="2">
        <v>1.4</v>
      </c>
      <c r="D648" s="2">
        <v>1.2</v>
      </c>
      <c r="E648" s="2">
        <v>0.3</v>
      </c>
      <c r="F648" s="2">
        <v>0.2</v>
      </c>
      <c r="G648" s="2">
        <v>-1.4</v>
      </c>
      <c r="H648" s="2">
        <v>0.2</v>
      </c>
    </row>
    <row r="649" spans="1:8" ht="15.5" x14ac:dyDescent="0.35">
      <c r="A649" s="2" t="s">
        <v>219</v>
      </c>
      <c r="B649" s="2">
        <v>0.6</v>
      </c>
      <c r="C649" s="2">
        <v>1.1000000000000001</v>
      </c>
      <c r="D649" s="2">
        <v>1.1000000000000001</v>
      </c>
      <c r="E649" s="2">
        <v>0.5</v>
      </c>
      <c r="F649" s="2">
        <v>0.4</v>
      </c>
      <c r="G649" s="2">
        <v>-1.3</v>
      </c>
      <c r="H649" s="2">
        <v>0.4</v>
      </c>
    </row>
    <row r="650" spans="1:8" ht="15.5" x14ac:dyDescent="0.35">
      <c r="A650" s="2" t="s">
        <v>220</v>
      </c>
      <c r="B650" s="2">
        <v>1.5</v>
      </c>
      <c r="C650" s="2">
        <v>1</v>
      </c>
      <c r="D650" s="2">
        <v>1</v>
      </c>
      <c r="E650" s="2">
        <v>0.6</v>
      </c>
      <c r="F650" s="2">
        <v>0.7</v>
      </c>
      <c r="G650" s="2">
        <v>4.2</v>
      </c>
      <c r="H650" s="2">
        <v>0.9</v>
      </c>
    </row>
    <row r="651" spans="1:8" ht="15.5" x14ac:dyDescent="0.35">
      <c r="A651" s="2" t="s">
        <v>221</v>
      </c>
      <c r="B651" s="2">
        <v>2.2000000000000002</v>
      </c>
      <c r="C651" s="2">
        <v>1.3</v>
      </c>
      <c r="D651" s="2">
        <v>1.6</v>
      </c>
      <c r="E651" s="2">
        <v>0.7</v>
      </c>
      <c r="F651" s="2">
        <v>0.7</v>
      </c>
      <c r="G651" s="2">
        <v>0.1</v>
      </c>
      <c r="H651" s="2">
        <v>0.6</v>
      </c>
    </row>
    <row r="652" spans="1:8" ht="15.5" x14ac:dyDescent="0.35">
      <c r="A652" s="2" t="s">
        <v>222</v>
      </c>
      <c r="B652" s="2">
        <v>0.9</v>
      </c>
      <c r="C652" s="2">
        <v>1.2</v>
      </c>
      <c r="D652" s="2">
        <v>1.2</v>
      </c>
      <c r="E652" s="2">
        <v>0.8</v>
      </c>
      <c r="F652" s="2">
        <v>0.7</v>
      </c>
      <c r="G652" s="2">
        <v>0.2</v>
      </c>
      <c r="H652" s="2">
        <v>0.7</v>
      </c>
    </row>
    <row r="653" spans="1:8" ht="15.5" x14ac:dyDescent="0.35">
      <c r="A653" s="2" t="s">
        <v>223</v>
      </c>
      <c r="B653" s="2">
        <v>1.3</v>
      </c>
      <c r="C653" s="2">
        <v>2</v>
      </c>
      <c r="D653" s="2">
        <v>1.7</v>
      </c>
      <c r="E653" s="2">
        <v>0.9</v>
      </c>
      <c r="F653" s="2">
        <v>1</v>
      </c>
      <c r="G653" s="2">
        <v>-1.5</v>
      </c>
      <c r="H653" s="2">
        <v>1.1000000000000001</v>
      </c>
    </row>
    <row r="654" spans="1:8" ht="15.5" x14ac:dyDescent="0.35">
      <c r="A654" s="2" t="s">
        <v>224</v>
      </c>
      <c r="B654" s="2">
        <v>1.1000000000000001</v>
      </c>
      <c r="C654" s="2">
        <v>1.7</v>
      </c>
      <c r="D654" s="2">
        <v>2.1</v>
      </c>
      <c r="E654" s="2">
        <v>1</v>
      </c>
      <c r="F654" s="2">
        <v>1</v>
      </c>
      <c r="G654" s="2">
        <v>3.9</v>
      </c>
      <c r="H654" s="2">
        <v>1</v>
      </c>
    </row>
    <row r="655" spans="1:8" ht="15.5" x14ac:dyDescent="0.35">
      <c r="A655" s="2" t="s">
        <v>225</v>
      </c>
      <c r="B655" s="2">
        <v>2.2000000000000002</v>
      </c>
      <c r="C655" s="2">
        <v>1.1000000000000001</v>
      </c>
      <c r="D655" s="2">
        <v>0.6</v>
      </c>
      <c r="E655" s="2">
        <v>0.8</v>
      </c>
      <c r="F655" s="2">
        <v>0.8</v>
      </c>
      <c r="G655" s="2">
        <v>1.6</v>
      </c>
      <c r="H655" s="2">
        <v>0.8</v>
      </c>
    </row>
    <row r="656" spans="1:8" ht="15.5" x14ac:dyDescent="0.35">
      <c r="A656" s="2" t="s">
        <v>226</v>
      </c>
      <c r="B656" s="2">
        <v>-0.3</v>
      </c>
      <c r="C656" s="2">
        <v>0.6</v>
      </c>
      <c r="D656" s="2">
        <v>0.3</v>
      </c>
      <c r="E656" s="2">
        <v>0.3</v>
      </c>
      <c r="F656" s="2">
        <v>0.2</v>
      </c>
      <c r="G656" s="2">
        <v>-1.7</v>
      </c>
      <c r="H656" s="2">
        <v>0.2</v>
      </c>
    </row>
    <row r="657" spans="1:8" ht="15.5" x14ac:dyDescent="0.35">
      <c r="A657" s="2" t="s">
        <v>227</v>
      </c>
      <c r="B657" s="2">
        <v>2.2000000000000002</v>
      </c>
      <c r="C657" s="2">
        <v>2.1</v>
      </c>
      <c r="D657" s="2">
        <v>2.5</v>
      </c>
      <c r="E657" s="2">
        <v>0.5</v>
      </c>
      <c r="F657" s="2">
        <v>0.4</v>
      </c>
      <c r="G657" s="2">
        <v>-1.2</v>
      </c>
      <c r="H657" s="2">
        <v>0.4</v>
      </c>
    </row>
    <row r="658" spans="1:8" ht="15.5" x14ac:dyDescent="0.35">
      <c r="A658" s="2" t="s">
        <v>228</v>
      </c>
      <c r="B658" s="2">
        <v>-0.1</v>
      </c>
      <c r="C658" s="2">
        <v>0.4</v>
      </c>
      <c r="D658" s="2">
        <v>0.5</v>
      </c>
      <c r="E658" s="2">
        <v>0.4</v>
      </c>
      <c r="F658" s="2">
        <v>0.3</v>
      </c>
      <c r="G658" s="2">
        <v>4.7</v>
      </c>
      <c r="H658" s="2">
        <v>0.3</v>
      </c>
    </row>
    <row r="659" spans="1:8" ht="15.5" x14ac:dyDescent="0.35">
      <c r="A659" s="2" t="s">
        <v>229</v>
      </c>
      <c r="B659" s="2">
        <v>3.5</v>
      </c>
      <c r="C659" s="2">
        <v>2</v>
      </c>
      <c r="D659" s="2">
        <v>2</v>
      </c>
      <c r="E659" s="2">
        <v>0.5</v>
      </c>
      <c r="F659" s="2">
        <v>0.6</v>
      </c>
      <c r="G659" s="2">
        <v>-0.1</v>
      </c>
      <c r="H659" s="2">
        <v>0.6</v>
      </c>
    </row>
    <row r="660" spans="1:8" ht="15.5" x14ac:dyDescent="0.35">
      <c r="A660" s="2" t="s">
        <v>230</v>
      </c>
      <c r="B660" s="2">
        <v>0.5</v>
      </c>
      <c r="C660" s="2">
        <v>0.8</v>
      </c>
      <c r="D660" s="2">
        <v>0.6</v>
      </c>
      <c r="E660" s="2">
        <v>0.8</v>
      </c>
      <c r="F660" s="2">
        <v>0.9</v>
      </c>
      <c r="G660" s="2">
        <v>-0.5</v>
      </c>
      <c r="H660" s="2">
        <v>0.9</v>
      </c>
    </row>
    <row r="661" spans="1:8" ht="15.5" x14ac:dyDescent="0.35">
      <c r="A661" s="2" t="s">
        <v>231</v>
      </c>
      <c r="B661" s="2">
        <v>2.8</v>
      </c>
      <c r="C661" s="2">
        <v>2.2999999999999998</v>
      </c>
      <c r="D661" s="2">
        <v>2.5</v>
      </c>
      <c r="E661" s="2">
        <v>0.8</v>
      </c>
      <c r="F661" s="2">
        <v>0.9</v>
      </c>
      <c r="G661" s="2">
        <v>-1.4</v>
      </c>
      <c r="H661" s="2">
        <v>1</v>
      </c>
    </row>
    <row r="662" spans="1:8" ht="15.5" x14ac:dyDescent="0.35">
      <c r="A662" s="2" t="s">
        <v>232</v>
      </c>
      <c r="B662" s="2">
        <v>-0.2</v>
      </c>
      <c r="C662" s="2">
        <v>1.1000000000000001</v>
      </c>
      <c r="D662" s="2">
        <v>0.9</v>
      </c>
      <c r="E662" s="2">
        <v>0.9</v>
      </c>
      <c r="F662" s="2">
        <v>1</v>
      </c>
      <c r="G662" s="2">
        <v>4.3</v>
      </c>
      <c r="H662" s="2">
        <v>1.2</v>
      </c>
    </row>
    <row r="663" spans="1:8" ht="15.5" x14ac:dyDescent="0.35">
      <c r="A663" s="2" t="s">
        <v>233</v>
      </c>
      <c r="B663" s="2">
        <v>1.1000000000000001</v>
      </c>
      <c r="C663" s="2">
        <v>1.4</v>
      </c>
      <c r="D663" s="2">
        <v>1.7</v>
      </c>
      <c r="E663" s="2">
        <v>1</v>
      </c>
      <c r="F663" s="2">
        <v>1.1000000000000001</v>
      </c>
      <c r="G663" s="2">
        <v>1.6</v>
      </c>
      <c r="H663" s="2">
        <v>1.2</v>
      </c>
    </row>
    <row r="664" spans="1:8" ht="15.5" x14ac:dyDescent="0.35">
      <c r="A664" s="2" t="s">
        <v>234</v>
      </c>
      <c r="B664" s="2">
        <v>0.9</v>
      </c>
      <c r="C664" s="2">
        <v>1.2</v>
      </c>
      <c r="D664" s="2">
        <v>1</v>
      </c>
      <c r="E664" s="2">
        <v>0.4</v>
      </c>
      <c r="F664" s="2">
        <v>0.5</v>
      </c>
      <c r="G664" s="2">
        <v>-1.3</v>
      </c>
      <c r="H664" s="2">
        <v>0.5</v>
      </c>
    </row>
    <row r="665" spans="1:8" ht="15.5" x14ac:dyDescent="0.35">
      <c r="A665" s="2" t="s">
        <v>235</v>
      </c>
      <c r="B665" s="2">
        <v>1.5</v>
      </c>
      <c r="C665" s="2">
        <v>1.6</v>
      </c>
      <c r="D665" s="2">
        <v>2</v>
      </c>
      <c r="E665" s="2">
        <v>0.3</v>
      </c>
      <c r="F665" s="2">
        <v>0.2</v>
      </c>
      <c r="G665" s="2">
        <v>-1.8</v>
      </c>
      <c r="H665" s="2">
        <v>0.3</v>
      </c>
    </row>
    <row r="666" spans="1:8" ht="15.5" x14ac:dyDescent="0.35">
      <c r="A666" s="2" t="s">
        <v>236</v>
      </c>
      <c r="B666" s="2">
        <v>0.2</v>
      </c>
      <c r="C666" s="2">
        <v>1.1000000000000001</v>
      </c>
      <c r="D666" s="2">
        <v>0.9</v>
      </c>
      <c r="E666" s="2">
        <v>0.2</v>
      </c>
      <c r="F666" s="2">
        <v>0.1</v>
      </c>
      <c r="G666" s="2">
        <v>3.1</v>
      </c>
      <c r="H666" s="2">
        <v>0.1</v>
      </c>
    </row>
    <row r="667" spans="1:8" ht="15.5" x14ac:dyDescent="0.35">
      <c r="A667" s="2" t="s">
        <v>237</v>
      </c>
      <c r="B667" s="2">
        <v>1</v>
      </c>
      <c r="C667" s="2">
        <v>0.5</v>
      </c>
      <c r="D667" s="2">
        <v>0.3</v>
      </c>
      <c r="E667" s="2">
        <v>0.4</v>
      </c>
      <c r="F667" s="2">
        <v>0.3</v>
      </c>
      <c r="G667" s="2">
        <v>1.3</v>
      </c>
      <c r="H667" s="2">
        <v>0.4</v>
      </c>
    </row>
    <row r="668" spans="1:8" ht="15.5" x14ac:dyDescent="0.35">
      <c r="A668" s="2" t="s">
        <v>238</v>
      </c>
      <c r="B668" s="2">
        <v>0.7</v>
      </c>
      <c r="C668" s="2">
        <v>1.1000000000000001</v>
      </c>
      <c r="D668" s="2">
        <v>0.9</v>
      </c>
      <c r="E668" s="2">
        <v>1.1000000000000001</v>
      </c>
      <c r="F668" s="2">
        <v>1.2</v>
      </c>
      <c r="G668" s="2">
        <v>-1.2</v>
      </c>
      <c r="H668" s="2">
        <v>1.2</v>
      </c>
    </row>
    <row r="669" spans="1:8" ht="15.5" x14ac:dyDescent="0.35">
      <c r="A669" s="2" t="s">
        <v>239</v>
      </c>
      <c r="B669" s="2">
        <v>2.8</v>
      </c>
      <c r="C669" s="2">
        <v>2.4</v>
      </c>
      <c r="D669" s="2">
        <v>2.9</v>
      </c>
      <c r="E669" s="2">
        <v>0.9</v>
      </c>
      <c r="F669" s="2">
        <v>1</v>
      </c>
      <c r="G669" s="2">
        <v>-1</v>
      </c>
      <c r="H669" s="2">
        <v>1.1000000000000001</v>
      </c>
    </row>
    <row r="670" spans="1:8" ht="15.5" x14ac:dyDescent="0.35">
      <c r="A670" s="2" t="s">
        <v>240</v>
      </c>
      <c r="B670" s="2">
        <v>-0.1</v>
      </c>
      <c r="C670" s="2">
        <v>0.8</v>
      </c>
      <c r="D670" s="2">
        <v>0.6</v>
      </c>
      <c r="E670" s="2">
        <v>0.9</v>
      </c>
      <c r="F670" s="2">
        <v>0.9</v>
      </c>
      <c r="G670" s="2">
        <v>5.2</v>
      </c>
      <c r="H670" s="2">
        <v>0.9</v>
      </c>
    </row>
    <row r="671" spans="1:8" ht="15.5" x14ac:dyDescent="0.35">
      <c r="A671" s="2" t="s">
        <v>241</v>
      </c>
      <c r="B671" s="2">
        <v>1.6</v>
      </c>
      <c r="C671" s="2">
        <v>0.8</v>
      </c>
      <c r="D671" s="2">
        <v>1.1000000000000001</v>
      </c>
      <c r="E671" s="2">
        <v>0.8</v>
      </c>
      <c r="F671" s="2">
        <v>0.8</v>
      </c>
      <c r="G671" s="2">
        <v>1.3</v>
      </c>
      <c r="H671" s="2">
        <v>0.8</v>
      </c>
    </row>
    <row r="672" spans="1:8" ht="15.5" x14ac:dyDescent="0.35">
      <c r="A672" s="2" t="s">
        <v>242</v>
      </c>
      <c r="B672" s="2">
        <v>2</v>
      </c>
      <c r="C672" s="2">
        <v>1.4</v>
      </c>
      <c r="D672" s="2">
        <v>1.3</v>
      </c>
      <c r="E672" s="2">
        <v>0.4</v>
      </c>
      <c r="F672" s="2">
        <v>0.5</v>
      </c>
      <c r="G672" s="2">
        <v>-2.1</v>
      </c>
      <c r="H672" s="2">
        <v>0.6</v>
      </c>
    </row>
    <row r="673" spans="1:8" ht="15.5" x14ac:dyDescent="0.35">
      <c r="A673" s="2" t="s">
        <v>243</v>
      </c>
      <c r="B673" s="2">
        <v>-0.3</v>
      </c>
      <c r="C673" s="2">
        <v>0.7</v>
      </c>
      <c r="D673" s="2">
        <v>0.6</v>
      </c>
      <c r="E673" s="2">
        <v>-0.5</v>
      </c>
      <c r="F673" s="2">
        <v>-0.4</v>
      </c>
      <c r="G673" s="2">
        <v>-1.7</v>
      </c>
      <c r="H673" s="2">
        <v>-0.4</v>
      </c>
    </row>
    <row r="674" spans="1:8" ht="15.5" x14ac:dyDescent="0.35">
      <c r="A674" s="2" t="s">
        <v>244</v>
      </c>
      <c r="B674" s="2">
        <v>-0.1</v>
      </c>
      <c r="C674" s="2">
        <v>-0.1</v>
      </c>
      <c r="D674" s="2">
        <v>0.5</v>
      </c>
      <c r="E674" s="2">
        <v>-1.6</v>
      </c>
      <c r="F674" s="2">
        <v>-1.6</v>
      </c>
      <c r="G674" s="2">
        <v>1.2</v>
      </c>
      <c r="H674" s="2">
        <v>-1.6</v>
      </c>
    </row>
    <row r="675" spans="1:8" ht="15.5" x14ac:dyDescent="0.35">
      <c r="A675" s="2" t="s">
        <v>245</v>
      </c>
      <c r="B675" s="2">
        <v>-2.8</v>
      </c>
      <c r="C675" s="2">
        <v>-1.1000000000000001</v>
      </c>
      <c r="D675" s="2">
        <v>-0.7</v>
      </c>
      <c r="E675" s="2">
        <v>-2.1</v>
      </c>
      <c r="F675" s="2">
        <v>-2.1</v>
      </c>
      <c r="G675" s="2">
        <v>-1.7</v>
      </c>
      <c r="H675" s="2">
        <v>-2.1</v>
      </c>
    </row>
    <row r="676" spans="1:8" ht="15.5" x14ac:dyDescent="0.35">
      <c r="A676" s="2" t="s">
        <v>246</v>
      </c>
      <c r="B676" s="2">
        <v>-0.9</v>
      </c>
      <c r="C676" s="2">
        <v>-2</v>
      </c>
      <c r="D676" s="2">
        <v>-1.5</v>
      </c>
      <c r="E676" s="2">
        <v>-2</v>
      </c>
      <c r="F676" s="2">
        <v>-2</v>
      </c>
      <c r="G676" s="2">
        <v>-4.0999999999999996</v>
      </c>
      <c r="H676" s="2">
        <v>-2</v>
      </c>
    </row>
    <row r="677" spans="1:8" ht="15.5" x14ac:dyDescent="0.35">
      <c r="A677" s="2" t="s">
        <v>247</v>
      </c>
      <c r="B677" s="2">
        <v>0.1</v>
      </c>
      <c r="C677" s="2">
        <v>-0.2</v>
      </c>
      <c r="D677" s="2">
        <v>-0.5</v>
      </c>
      <c r="E677" s="2">
        <v>-0.3</v>
      </c>
      <c r="F677" s="2">
        <v>-0.4</v>
      </c>
      <c r="G677" s="2">
        <v>-2</v>
      </c>
      <c r="H677" s="2">
        <v>-0.4</v>
      </c>
    </row>
    <row r="678" spans="1:8" ht="15.5" x14ac:dyDescent="0.35">
      <c r="A678" s="2" t="s">
        <v>248</v>
      </c>
      <c r="B678" s="2">
        <v>2.2999999999999998</v>
      </c>
      <c r="C678" s="2">
        <v>0.5</v>
      </c>
      <c r="D678" s="2">
        <v>0.1</v>
      </c>
      <c r="E678" s="2">
        <v>0.1</v>
      </c>
      <c r="F678" s="2">
        <v>0.1</v>
      </c>
      <c r="G678" s="2">
        <v>3.8</v>
      </c>
      <c r="H678" s="2">
        <v>0.2</v>
      </c>
    </row>
    <row r="679" spans="1:8" ht="15.5" x14ac:dyDescent="0.35">
      <c r="A679" s="2" t="s">
        <v>249</v>
      </c>
      <c r="B679" s="2">
        <v>-1</v>
      </c>
      <c r="C679" s="2">
        <v>-0.5</v>
      </c>
      <c r="D679" s="2">
        <v>-0.7</v>
      </c>
      <c r="E679" s="2">
        <v>0.3</v>
      </c>
      <c r="F679" s="2">
        <v>0.4</v>
      </c>
      <c r="G679" s="2">
        <v>1.1000000000000001</v>
      </c>
      <c r="H679" s="2">
        <v>0.4</v>
      </c>
    </row>
    <row r="680" spans="1:8" ht="15.5" x14ac:dyDescent="0.35">
      <c r="A680" s="2" t="s">
        <v>250</v>
      </c>
      <c r="B680" s="2">
        <v>2.6</v>
      </c>
      <c r="C680" s="2">
        <v>2.2999999999999998</v>
      </c>
      <c r="D680" s="2">
        <v>1.6</v>
      </c>
      <c r="E680" s="2">
        <v>0.8</v>
      </c>
      <c r="F680" s="2">
        <v>0.9</v>
      </c>
      <c r="G680" s="2">
        <v>-1.7</v>
      </c>
      <c r="H680" s="2">
        <v>0.9</v>
      </c>
    </row>
    <row r="681" spans="1:8" ht="15.5" x14ac:dyDescent="0.35">
      <c r="A681" s="2" t="s">
        <v>251</v>
      </c>
      <c r="B681" s="2">
        <v>1.3</v>
      </c>
      <c r="C681" s="2">
        <v>1.2</v>
      </c>
      <c r="D681" s="2">
        <v>1.2</v>
      </c>
      <c r="E681" s="2">
        <v>1.1000000000000001</v>
      </c>
      <c r="F681" s="2">
        <v>1.2</v>
      </c>
      <c r="G681" s="2">
        <v>-0.5</v>
      </c>
      <c r="H681" s="2">
        <v>1.3</v>
      </c>
    </row>
    <row r="682" spans="1:8" ht="15.5" x14ac:dyDescent="0.35">
      <c r="A682" s="2" t="s">
        <v>252</v>
      </c>
      <c r="B682" s="2">
        <v>0.6</v>
      </c>
      <c r="C682" s="2">
        <v>0.8</v>
      </c>
      <c r="D682" s="2">
        <v>0.9</v>
      </c>
      <c r="E682" s="2">
        <v>0.6</v>
      </c>
      <c r="F682" s="2">
        <v>0.6</v>
      </c>
      <c r="G682" s="2">
        <v>4</v>
      </c>
      <c r="H682" s="2">
        <v>0.7</v>
      </c>
    </row>
    <row r="683" spans="1:8" ht="15.5" x14ac:dyDescent="0.35">
      <c r="A683" s="2" t="s">
        <v>253</v>
      </c>
      <c r="B683" s="2">
        <v>0.9</v>
      </c>
      <c r="C683" s="2">
        <v>0.6</v>
      </c>
      <c r="D683" s="2">
        <v>0.6</v>
      </c>
      <c r="E683" s="2">
        <v>0.1</v>
      </c>
      <c r="F683" s="2">
        <v>0</v>
      </c>
      <c r="G683" s="2">
        <v>1</v>
      </c>
      <c r="H683" s="2">
        <v>0.1</v>
      </c>
    </row>
    <row r="684" spans="1:8" ht="15.5" x14ac:dyDescent="0.35">
      <c r="A684" s="2" t="s">
        <v>254</v>
      </c>
      <c r="B684" s="2">
        <v>2.2000000000000002</v>
      </c>
      <c r="C684" s="2">
        <v>1.9</v>
      </c>
      <c r="D684" s="2">
        <v>1</v>
      </c>
      <c r="E684" s="2">
        <v>0.2</v>
      </c>
      <c r="F684" s="2">
        <v>0.1</v>
      </c>
      <c r="G684" s="2">
        <v>-2.8</v>
      </c>
      <c r="H684" s="2">
        <v>0.2</v>
      </c>
    </row>
    <row r="685" spans="1:8" ht="15.5" x14ac:dyDescent="0.35">
      <c r="A685" s="2" t="s">
        <v>255</v>
      </c>
      <c r="B685" s="2">
        <v>0.1</v>
      </c>
      <c r="C685" s="2">
        <v>-0.6</v>
      </c>
      <c r="D685" s="2">
        <v>-0.5</v>
      </c>
      <c r="E685" s="2">
        <v>0</v>
      </c>
      <c r="F685" s="2">
        <v>0</v>
      </c>
      <c r="G685" s="2">
        <v>-1</v>
      </c>
      <c r="H685" s="2">
        <v>0.2</v>
      </c>
    </row>
    <row r="686" spans="1:8" ht="15.5" x14ac:dyDescent="0.35">
      <c r="A686" s="2" t="s">
        <v>256</v>
      </c>
      <c r="B686" s="2">
        <v>-0.3</v>
      </c>
      <c r="C686" s="2">
        <v>1</v>
      </c>
      <c r="D686" s="2">
        <v>0.6</v>
      </c>
      <c r="E686" s="2">
        <v>0.2</v>
      </c>
      <c r="F686" s="2">
        <v>0.3</v>
      </c>
      <c r="G686" s="2">
        <v>2.9</v>
      </c>
      <c r="H686" s="2">
        <v>0.4</v>
      </c>
    </row>
    <row r="687" spans="1:8" ht="15.5" x14ac:dyDescent="0.35">
      <c r="A687" s="2" t="s">
        <v>257</v>
      </c>
      <c r="B687" s="2">
        <v>1.1000000000000001</v>
      </c>
      <c r="C687" s="2">
        <v>0.8</v>
      </c>
      <c r="D687" s="2">
        <v>1.1000000000000001</v>
      </c>
      <c r="E687" s="2">
        <v>0.1</v>
      </c>
      <c r="F687" s="2">
        <v>0.2</v>
      </c>
      <c r="G687" s="2">
        <v>1.5</v>
      </c>
      <c r="H687" s="2">
        <v>0.2</v>
      </c>
    </row>
    <row r="688" spans="1:8" ht="15.5" x14ac:dyDescent="0.35">
      <c r="A688" s="2" t="s">
        <v>258</v>
      </c>
      <c r="B688" s="2">
        <v>0.5</v>
      </c>
      <c r="C688" s="2">
        <v>1.3</v>
      </c>
      <c r="D688" s="2">
        <v>1.1000000000000001</v>
      </c>
      <c r="E688" s="2">
        <v>0.9</v>
      </c>
      <c r="F688" s="2">
        <v>1</v>
      </c>
      <c r="G688" s="2">
        <v>-2.1</v>
      </c>
      <c r="H688" s="2">
        <v>1</v>
      </c>
    </row>
    <row r="689" spans="1:8" ht="15.5" x14ac:dyDescent="0.35">
      <c r="A689" s="2" t="s">
        <v>259</v>
      </c>
      <c r="B689" s="2">
        <v>-0.3</v>
      </c>
      <c r="C689" s="2">
        <v>0</v>
      </c>
      <c r="D689" s="2">
        <v>0.4</v>
      </c>
      <c r="E689" s="2">
        <v>-0.1</v>
      </c>
      <c r="F689" s="2">
        <v>-0.1</v>
      </c>
      <c r="G689" s="2">
        <v>-1</v>
      </c>
      <c r="H689" s="2">
        <v>0</v>
      </c>
    </row>
    <row r="690" spans="1:8" ht="15.5" x14ac:dyDescent="0.35">
      <c r="A690" s="2" t="s">
        <v>260</v>
      </c>
      <c r="B690" s="2">
        <v>1.6</v>
      </c>
      <c r="C690" s="2">
        <v>1.5</v>
      </c>
      <c r="D690" s="2">
        <v>1.4</v>
      </c>
      <c r="E690" s="2">
        <v>1</v>
      </c>
      <c r="F690" s="2">
        <v>1</v>
      </c>
      <c r="G690" s="2">
        <v>3.2</v>
      </c>
      <c r="H690" s="2">
        <v>1.1000000000000001</v>
      </c>
    </row>
    <row r="691" spans="1:8" ht="15.5" x14ac:dyDescent="0.35">
      <c r="A691" s="2" t="s">
        <v>261</v>
      </c>
      <c r="B691" s="2">
        <v>-0.3</v>
      </c>
      <c r="C691" s="2">
        <v>0.4</v>
      </c>
      <c r="D691" s="2">
        <v>0.2</v>
      </c>
      <c r="E691" s="2">
        <v>-0.1</v>
      </c>
      <c r="F691" s="2">
        <v>-0.1</v>
      </c>
      <c r="G691" s="2">
        <v>2.1</v>
      </c>
      <c r="H691" s="2">
        <v>0.1</v>
      </c>
    </row>
    <row r="692" spans="1:8" ht="15.5" x14ac:dyDescent="0.35">
      <c r="A692" s="2" t="s">
        <v>262</v>
      </c>
      <c r="B692" s="2">
        <v>0.1</v>
      </c>
      <c r="C692" s="2">
        <v>1.1000000000000001</v>
      </c>
      <c r="D692" s="2">
        <v>1.2</v>
      </c>
      <c r="E692" s="2">
        <v>0.3</v>
      </c>
      <c r="F692" s="2">
        <v>0.2</v>
      </c>
      <c r="G692" s="2">
        <v>-3.3</v>
      </c>
      <c r="H692" s="2">
        <v>0.2</v>
      </c>
    </row>
    <row r="693" spans="1:8" ht="15.5" x14ac:dyDescent="0.35">
      <c r="A693" s="2" t="s">
        <v>263</v>
      </c>
      <c r="B693" s="2">
        <v>2.2999999999999998</v>
      </c>
      <c r="C693" s="2">
        <v>0.8</v>
      </c>
      <c r="D693" s="2">
        <v>1</v>
      </c>
      <c r="E693" s="2">
        <v>0.7</v>
      </c>
      <c r="F693" s="2">
        <v>0.7</v>
      </c>
      <c r="G693" s="2">
        <v>0.4</v>
      </c>
      <c r="H693" s="2">
        <v>0.7</v>
      </c>
    </row>
    <row r="694" spans="1:8" ht="15.5" x14ac:dyDescent="0.35">
      <c r="A694" s="2" t="s">
        <v>264</v>
      </c>
      <c r="B694" s="2">
        <v>0.8</v>
      </c>
      <c r="C694" s="2">
        <v>1.6</v>
      </c>
      <c r="D694" s="2">
        <v>1.2</v>
      </c>
      <c r="E694" s="2">
        <v>0.8</v>
      </c>
      <c r="F694" s="2">
        <v>0.7</v>
      </c>
      <c r="G694" s="2">
        <v>2.4</v>
      </c>
      <c r="H694" s="2">
        <v>0.6</v>
      </c>
    </row>
    <row r="695" spans="1:8" ht="15.5" x14ac:dyDescent="0.35">
      <c r="A695" s="2" t="s">
        <v>265</v>
      </c>
      <c r="B695" s="2">
        <v>0.9</v>
      </c>
      <c r="C695" s="2">
        <v>0.9</v>
      </c>
      <c r="D695" s="2">
        <v>1</v>
      </c>
      <c r="E695" s="2">
        <v>0.7</v>
      </c>
      <c r="F695" s="2">
        <v>0.7</v>
      </c>
      <c r="G695" s="2">
        <v>2.7</v>
      </c>
      <c r="H695" s="2">
        <v>0.7</v>
      </c>
    </row>
    <row r="696" spans="1:8" ht="15.5" x14ac:dyDescent="0.35">
      <c r="A696" s="2" t="s">
        <v>266</v>
      </c>
      <c r="B696" s="2">
        <v>1.8</v>
      </c>
      <c r="C696" s="2">
        <v>1.3</v>
      </c>
      <c r="D696" s="2">
        <v>1.1000000000000001</v>
      </c>
      <c r="E696" s="2">
        <v>0.8</v>
      </c>
      <c r="F696" s="2">
        <v>0.9</v>
      </c>
      <c r="G696" s="2">
        <v>-2</v>
      </c>
      <c r="H696" s="2">
        <v>0.8</v>
      </c>
    </row>
    <row r="697" spans="1:8" ht="15.5" x14ac:dyDescent="0.35">
      <c r="A697" s="2" t="s">
        <v>267</v>
      </c>
      <c r="B697" s="2">
        <v>0.7</v>
      </c>
      <c r="C697" s="2">
        <v>0.9</v>
      </c>
      <c r="D697" s="2">
        <v>1.2</v>
      </c>
      <c r="E697" s="2">
        <v>0.9</v>
      </c>
      <c r="F697" s="2">
        <v>1</v>
      </c>
      <c r="G697" s="2">
        <v>0.7</v>
      </c>
      <c r="H697" s="2">
        <v>1</v>
      </c>
    </row>
    <row r="698" spans="1:8" ht="15.5" x14ac:dyDescent="0.35">
      <c r="A698" s="2" t="s">
        <v>268</v>
      </c>
      <c r="B698" s="2">
        <v>1.5</v>
      </c>
      <c r="C698" s="2">
        <v>2</v>
      </c>
      <c r="D698" s="2">
        <v>2.1</v>
      </c>
      <c r="E698" s="2">
        <v>0.8</v>
      </c>
      <c r="F698" s="2">
        <v>0.9</v>
      </c>
      <c r="G698" s="2">
        <v>1.4</v>
      </c>
      <c r="H698" s="2">
        <v>1</v>
      </c>
    </row>
    <row r="699" spans="1:8" ht="15.5" x14ac:dyDescent="0.35">
      <c r="A699" s="2" t="s">
        <v>269</v>
      </c>
      <c r="B699" s="2">
        <v>0.1</v>
      </c>
      <c r="C699" s="2">
        <v>0.3</v>
      </c>
      <c r="D699" s="2">
        <v>0.2</v>
      </c>
      <c r="E699" s="2">
        <v>0.7</v>
      </c>
      <c r="F699" s="2">
        <v>0.6</v>
      </c>
      <c r="G699" s="2">
        <v>2.6</v>
      </c>
      <c r="H699" s="2">
        <v>0.6</v>
      </c>
    </row>
    <row r="700" spans="1:8" ht="15.5" x14ac:dyDescent="0.35">
      <c r="A700" s="2" t="s">
        <v>270</v>
      </c>
      <c r="B700" s="2">
        <v>0.7</v>
      </c>
      <c r="C700" s="2">
        <v>0.5</v>
      </c>
      <c r="D700" s="2">
        <v>0.6</v>
      </c>
      <c r="E700" s="2">
        <v>0.3</v>
      </c>
      <c r="F700" s="2">
        <v>0.2</v>
      </c>
      <c r="G700" s="2">
        <v>-2.5</v>
      </c>
      <c r="H700" s="2">
        <v>0.2</v>
      </c>
    </row>
    <row r="701" spans="1:8" ht="15.5" x14ac:dyDescent="0.35">
      <c r="A701" s="2" t="s">
        <v>271</v>
      </c>
      <c r="B701" s="2">
        <v>1.2</v>
      </c>
      <c r="C701" s="2">
        <v>0.3</v>
      </c>
      <c r="D701" s="2">
        <v>0.4</v>
      </c>
      <c r="E701" s="2">
        <v>0.5</v>
      </c>
      <c r="F701" s="2">
        <v>0.4</v>
      </c>
      <c r="G701" s="2">
        <v>0.7</v>
      </c>
      <c r="H701" s="2">
        <v>0.3</v>
      </c>
    </row>
    <row r="702" spans="1:8" ht="15.5" x14ac:dyDescent="0.35">
      <c r="A702" s="2" t="s">
        <v>272</v>
      </c>
      <c r="B702" s="2">
        <v>0.1</v>
      </c>
      <c r="C702" s="2">
        <v>0.7</v>
      </c>
      <c r="D702" s="2">
        <v>0.4</v>
      </c>
      <c r="E702" s="2">
        <v>0.4</v>
      </c>
      <c r="F702" s="2">
        <v>0.3</v>
      </c>
      <c r="G702" s="2">
        <v>1.4</v>
      </c>
      <c r="H702" s="2">
        <v>0.3</v>
      </c>
    </row>
    <row r="703" spans="1:8" ht="15.5" x14ac:dyDescent="0.35">
      <c r="A703" s="2" t="s">
        <v>273</v>
      </c>
      <c r="B703" s="2">
        <v>-0.9</v>
      </c>
      <c r="C703" s="2">
        <v>1.1000000000000001</v>
      </c>
      <c r="D703" s="2">
        <v>1.3</v>
      </c>
      <c r="E703" s="2">
        <v>0.6</v>
      </c>
      <c r="F703" s="2">
        <v>0.5</v>
      </c>
      <c r="G703" s="2">
        <v>2.5</v>
      </c>
      <c r="H703" s="2">
        <v>0.5</v>
      </c>
    </row>
    <row r="704" spans="1:8" ht="15.5" x14ac:dyDescent="0.35">
      <c r="A704" s="2" t="s">
        <v>274</v>
      </c>
      <c r="B704" s="2">
        <v>1.6</v>
      </c>
      <c r="C704" s="2">
        <v>1</v>
      </c>
      <c r="D704" s="2">
        <v>0.8</v>
      </c>
      <c r="E704" s="2">
        <v>0.5</v>
      </c>
      <c r="F704" s="2">
        <v>0.6</v>
      </c>
      <c r="G704" s="2">
        <v>-2.5</v>
      </c>
      <c r="H704" s="2">
        <v>0.6</v>
      </c>
    </row>
    <row r="705" spans="1:8" ht="15.5" x14ac:dyDescent="0.35">
      <c r="A705" s="2" t="s">
        <v>275</v>
      </c>
      <c r="B705" s="2">
        <v>1.1000000000000001</v>
      </c>
      <c r="C705" s="2">
        <v>0.9</v>
      </c>
      <c r="D705" s="2">
        <v>1.1000000000000001</v>
      </c>
      <c r="E705" s="2">
        <v>0.7</v>
      </c>
      <c r="F705" s="2">
        <v>0.8</v>
      </c>
      <c r="G705" s="2">
        <v>1</v>
      </c>
      <c r="H705" s="2">
        <v>0.8</v>
      </c>
    </row>
    <row r="706" spans="1:8" ht="15.5" x14ac:dyDescent="0.35">
      <c r="A706" s="2" t="s">
        <v>276</v>
      </c>
      <c r="B706" s="2">
        <v>2.2999999999999998</v>
      </c>
      <c r="C706" s="2">
        <v>1.5</v>
      </c>
      <c r="D706" s="2">
        <v>1.4</v>
      </c>
      <c r="E706" s="2">
        <v>0.4</v>
      </c>
      <c r="F706" s="2">
        <v>0.5</v>
      </c>
      <c r="G706" s="2">
        <v>0.8</v>
      </c>
      <c r="H706" s="2">
        <v>0.5</v>
      </c>
    </row>
    <row r="707" spans="1:8" ht="15.5" x14ac:dyDescent="0.35">
      <c r="A707" s="2" t="s">
        <v>277</v>
      </c>
      <c r="B707" s="2">
        <v>1.8</v>
      </c>
      <c r="C707" s="2">
        <v>1.3</v>
      </c>
      <c r="D707" s="2">
        <v>1.2</v>
      </c>
      <c r="E707" s="2">
        <v>0.6</v>
      </c>
      <c r="F707" s="2">
        <v>0.7</v>
      </c>
      <c r="G707" s="2">
        <v>3.5</v>
      </c>
      <c r="H707" s="2">
        <v>0.7</v>
      </c>
    </row>
    <row r="708" spans="1:8" ht="15.5" x14ac:dyDescent="0.35">
      <c r="A708" s="2" t="s">
        <v>278</v>
      </c>
      <c r="B708" s="2">
        <v>1.9</v>
      </c>
      <c r="C708" s="2">
        <v>1.3</v>
      </c>
      <c r="D708" s="2">
        <v>1.3</v>
      </c>
      <c r="E708" s="2">
        <v>1</v>
      </c>
      <c r="F708" s="2">
        <v>1</v>
      </c>
      <c r="G708" s="2">
        <v>-2.5</v>
      </c>
      <c r="H708" s="2">
        <v>1</v>
      </c>
    </row>
    <row r="709" spans="1:8" ht="15.5" x14ac:dyDescent="0.35">
      <c r="A709" s="2" t="s">
        <v>279</v>
      </c>
      <c r="B709" s="2">
        <v>0.1</v>
      </c>
      <c r="C709" s="2">
        <v>0.8</v>
      </c>
      <c r="D709" s="2">
        <v>1.1000000000000001</v>
      </c>
      <c r="E709" s="2">
        <v>0.9</v>
      </c>
      <c r="F709" s="2">
        <v>0.9</v>
      </c>
      <c r="G709" s="2">
        <v>0.9</v>
      </c>
      <c r="H709" s="2">
        <v>0.9</v>
      </c>
    </row>
    <row r="710" spans="1:8" ht="15.5" x14ac:dyDescent="0.35">
      <c r="A710" s="2" t="s">
        <v>280</v>
      </c>
      <c r="B710" s="2">
        <v>1.3</v>
      </c>
      <c r="C710" s="2">
        <v>0.7</v>
      </c>
      <c r="D710" s="2">
        <v>0.3</v>
      </c>
      <c r="E710" s="2">
        <v>0.7</v>
      </c>
      <c r="F710" s="2">
        <v>0.6</v>
      </c>
      <c r="G710" s="2">
        <v>1.7</v>
      </c>
      <c r="H710" s="2">
        <v>0.6</v>
      </c>
    </row>
    <row r="711" spans="1:8" ht="15.5" x14ac:dyDescent="0.35">
      <c r="A711" s="2" t="s">
        <v>281</v>
      </c>
      <c r="B711" s="2">
        <v>1.5</v>
      </c>
      <c r="C711" s="2">
        <v>1.5</v>
      </c>
      <c r="D711" s="2">
        <v>1.8</v>
      </c>
      <c r="E711" s="2">
        <v>0.8</v>
      </c>
      <c r="F711" s="2">
        <v>0.7</v>
      </c>
      <c r="G711" s="2">
        <v>3.5</v>
      </c>
      <c r="H711" s="2">
        <v>0.7</v>
      </c>
    </row>
    <row r="712" spans="1:8" ht="15.5" x14ac:dyDescent="0.35">
      <c r="A712" s="2" t="s">
        <v>282</v>
      </c>
      <c r="B712" s="2">
        <v>-0.3</v>
      </c>
      <c r="C712" s="2">
        <v>0.4</v>
      </c>
      <c r="D712" s="2">
        <v>0.6</v>
      </c>
      <c r="E712" s="2">
        <v>0.1</v>
      </c>
      <c r="F712" s="2">
        <v>0.1</v>
      </c>
      <c r="G712" s="2">
        <v>-3.5</v>
      </c>
      <c r="H712" s="2">
        <v>0</v>
      </c>
    </row>
    <row r="713" spans="1:8" ht="15.5" x14ac:dyDescent="0.35">
      <c r="A713" s="2" t="s">
        <v>283</v>
      </c>
      <c r="B713" s="2">
        <v>1.5</v>
      </c>
      <c r="C713" s="2">
        <v>1</v>
      </c>
      <c r="D713" s="2">
        <v>0.7</v>
      </c>
      <c r="E713" s="2">
        <v>0.2</v>
      </c>
      <c r="F713" s="2">
        <v>0.2</v>
      </c>
      <c r="G713" s="2">
        <v>0.2</v>
      </c>
      <c r="H713" s="2">
        <v>0.2</v>
      </c>
    </row>
    <row r="714" spans="1:8" ht="15.5" x14ac:dyDescent="0.35">
      <c r="A714" s="2" t="s">
        <v>284</v>
      </c>
      <c r="B714" s="2">
        <v>0.7</v>
      </c>
      <c r="C714" s="2">
        <v>0.8</v>
      </c>
      <c r="D714" s="2">
        <v>0.9</v>
      </c>
      <c r="E714" s="2">
        <v>0.3</v>
      </c>
      <c r="F714" s="2">
        <v>0.3</v>
      </c>
      <c r="G714" s="2">
        <v>1.2</v>
      </c>
      <c r="H714" s="2">
        <v>0.4</v>
      </c>
    </row>
    <row r="715" spans="1:8" ht="15.5" x14ac:dyDescent="0.35">
      <c r="A715" s="2" t="s">
        <v>285</v>
      </c>
      <c r="B715" s="2">
        <v>1</v>
      </c>
      <c r="C715" s="2">
        <v>1</v>
      </c>
      <c r="D715" s="2">
        <v>1</v>
      </c>
      <c r="E715" s="2">
        <v>0.1</v>
      </c>
      <c r="F715" s="2">
        <v>0.1</v>
      </c>
      <c r="G715" s="2">
        <v>3.1</v>
      </c>
      <c r="H715" s="2">
        <v>0.1</v>
      </c>
    </row>
    <row r="716" spans="1:8" ht="15.5" x14ac:dyDescent="0.35">
      <c r="A716" s="2" t="s">
        <v>286</v>
      </c>
      <c r="B716" s="2">
        <v>1.9</v>
      </c>
      <c r="C716" s="2">
        <v>0.6</v>
      </c>
      <c r="D716" s="2">
        <v>0.6</v>
      </c>
      <c r="E716" s="2">
        <v>0.5</v>
      </c>
      <c r="F716" s="2">
        <v>0.5</v>
      </c>
      <c r="G716" s="2">
        <v>-3.4</v>
      </c>
      <c r="H716" s="2">
        <v>0.5</v>
      </c>
    </row>
    <row r="717" spans="1:8" ht="15.5" x14ac:dyDescent="0.35">
      <c r="A717" s="2" t="s">
        <v>287</v>
      </c>
      <c r="B717" s="2">
        <v>1.8</v>
      </c>
      <c r="C717" s="2">
        <v>1.3</v>
      </c>
      <c r="D717" s="2">
        <v>1.4</v>
      </c>
      <c r="E717" s="2">
        <v>0.2</v>
      </c>
      <c r="F717" s="2">
        <v>0.2</v>
      </c>
      <c r="G717" s="2">
        <v>1</v>
      </c>
      <c r="H717" s="2">
        <v>0.2</v>
      </c>
    </row>
    <row r="718" spans="1:8" ht="15.5" x14ac:dyDescent="0.35">
      <c r="A718" s="2" t="s">
        <v>288</v>
      </c>
      <c r="B718" s="2">
        <v>0.2</v>
      </c>
      <c r="C718" s="2">
        <v>1.2</v>
      </c>
      <c r="D718" s="2">
        <v>1</v>
      </c>
      <c r="E718" s="2">
        <v>0.6</v>
      </c>
      <c r="F718" s="2">
        <v>0.7</v>
      </c>
      <c r="G718" s="2">
        <v>0.4</v>
      </c>
      <c r="H718" s="2">
        <v>0.7</v>
      </c>
    </row>
    <row r="719" spans="1:8" ht="15.5" x14ac:dyDescent="0.35">
      <c r="A719" s="2" t="s">
        <v>289</v>
      </c>
      <c r="B719" s="2">
        <v>0.7</v>
      </c>
      <c r="C719" s="2">
        <v>0.5</v>
      </c>
      <c r="D719" s="2">
        <v>0.8</v>
      </c>
      <c r="E719" s="2">
        <v>0</v>
      </c>
      <c r="F719" s="2">
        <v>0</v>
      </c>
      <c r="G719" s="2">
        <v>3.4</v>
      </c>
      <c r="H719" s="2">
        <v>0</v>
      </c>
    </row>
    <row r="720" spans="1:8" ht="15.5" x14ac:dyDescent="0.35">
      <c r="A720" s="2" t="s">
        <v>290</v>
      </c>
      <c r="B720" s="2">
        <v>-3.2</v>
      </c>
      <c r="C720" s="2">
        <v>-2</v>
      </c>
      <c r="D720" s="2">
        <v>-1.9</v>
      </c>
      <c r="E720" s="2">
        <v>-2.7</v>
      </c>
      <c r="F720" s="2">
        <v>-2.5</v>
      </c>
      <c r="G720" s="2">
        <v>-5.5</v>
      </c>
      <c r="H720" s="2">
        <v>-2.5</v>
      </c>
    </row>
    <row r="721" spans="1:8" ht="15.5" x14ac:dyDescent="0.35">
      <c r="A721" s="2" t="s">
        <v>291</v>
      </c>
      <c r="B721" s="2">
        <v>-16.5</v>
      </c>
      <c r="C721" s="2">
        <v>-14</v>
      </c>
      <c r="D721" s="2">
        <v>-12.6</v>
      </c>
      <c r="E721" s="2">
        <v>-19.899999999999999</v>
      </c>
      <c r="F721" s="2">
        <v>-19.899999999999999</v>
      </c>
      <c r="G721" s="2">
        <v>-19.899999999999999</v>
      </c>
      <c r="H721" s="2">
        <v>-20.100000000000001</v>
      </c>
    </row>
    <row r="722" spans="1:8" ht="15.5" x14ac:dyDescent="0.35">
      <c r="A722" s="2" t="s">
        <v>292</v>
      </c>
      <c r="B722" s="2">
        <v>16.2</v>
      </c>
      <c r="C722" s="2">
        <v>12.3</v>
      </c>
      <c r="D722" s="2">
        <v>11.6</v>
      </c>
      <c r="E722" s="2">
        <v>17</v>
      </c>
      <c r="F722" s="2">
        <v>17.100000000000001</v>
      </c>
      <c r="G722" s="2">
        <v>14.7</v>
      </c>
      <c r="H722" s="2">
        <v>17.399999999999999</v>
      </c>
    </row>
    <row r="723" spans="1:8" ht="15.5" x14ac:dyDescent="0.35">
      <c r="A723" s="2" t="s">
        <v>293</v>
      </c>
      <c r="B723" s="2">
        <v>0.2</v>
      </c>
      <c r="C723" s="2">
        <v>0.6</v>
      </c>
      <c r="D723" s="2">
        <v>0</v>
      </c>
      <c r="E723" s="2">
        <v>1.4</v>
      </c>
      <c r="F723" s="2">
        <v>1.5</v>
      </c>
      <c r="G723" s="2">
        <v>6.1</v>
      </c>
      <c r="H723" s="2">
        <v>1.6</v>
      </c>
    </row>
    <row r="724" spans="1:8" ht="15.5" x14ac:dyDescent="0.35">
      <c r="A724" s="2" t="s">
        <v>294</v>
      </c>
      <c r="B724" s="2">
        <v>1.9</v>
      </c>
      <c r="C724" s="2">
        <v>0.2</v>
      </c>
      <c r="D724" s="2">
        <v>0.6</v>
      </c>
      <c r="E724" s="2">
        <v>-1.1000000000000001</v>
      </c>
      <c r="F724" s="2">
        <v>-1.1000000000000001</v>
      </c>
      <c r="G724" s="2">
        <v>-2.9</v>
      </c>
      <c r="H724" s="2">
        <v>-1</v>
      </c>
    </row>
    <row r="725" spans="1:8" ht="15.5" x14ac:dyDescent="0.35">
      <c r="A725" s="2" t="s">
        <v>295</v>
      </c>
      <c r="B725" s="2">
        <v>5.7</v>
      </c>
      <c r="C725" s="2">
        <v>5.8</v>
      </c>
      <c r="D725" s="2">
        <v>5.4</v>
      </c>
      <c r="E725" s="2">
        <v>7</v>
      </c>
      <c r="F725" s="2">
        <v>7</v>
      </c>
      <c r="G725" s="2">
        <v>4.0999999999999996</v>
      </c>
      <c r="H725" s="2">
        <v>7.1</v>
      </c>
    </row>
    <row r="726" spans="1:8" ht="15.5" x14ac:dyDescent="0.35">
      <c r="A726" s="2" t="s">
        <v>296</v>
      </c>
      <c r="B726" s="2">
        <v>2.6</v>
      </c>
      <c r="C726" s="2">
        <v>2.8</v>
      </c>
      <c r="D726" s="2">
        <v>2.5</v>
      </c>
      <c r="E726" s="2">
        <v>1.7</v>
      </c>
      <c r="F726" s="2">
        <v>1.5</v>
      </c>
      <c r="G726" s="2">
        <v>2.9</v>
      </c>
      <c r="H726" s="2">
        <v>1.5</v>
      </c>
    </row>
    <row r="727" spans="1:8" ht="15.5" x14ac:dyDescent="0.35">
      <c r="A727" s="2" t="s">
        <v>297</v>
      </c>
      <c r="B727" s="2">
        <v>3.2</v>
      </c>
      <c r="C727" s="2">
        <v>2.6</v>
      </c>
      <c r="D727" s="2">
        <v>2.4</v>
      </c>
      <c r="E727" s="2">
        <v>1.4</v>
      </c>
      <c r="F727" s="2">
        <v>1.2</v>
      </c>
      <c r="G727" s="2">
        <v>4.9000000000000004</v>
      </c>
      <c r="H727" s="2">
        <v>1.2</v>
      </c>
    </row>
    <row r="728" spans="1:8" ht="15.5" x14ac:dyDescent="0.35">
      <c r="A728" s="2" t="s">
        <v>298</v>
      </c>
      <c r="B728" s="2">
        <v>1.3</v>
      </c>
      <c r="C728" s="2">
        <v>2.4</v>
      </c>
      <c r="D728" s="2">
        <v>2.4</v>
      </c>
      <c r="E728" s="2">
        <v>1</v>
      </c>
      <c r="F728" s="2">
        <v>0.9</v>
      </c>
      <c r="G728" s="2">
        <v>-1.8</v>
      </c>
      <c r="H728" s="2">
        <v>0.9</v>
      </c>
    </row>
    <row r="729" spans="1:8" ht="15.5" x14ac:dyDescent="0.35">
      <c r="A729" s="2" t="s">
        <v>299</v>
      </c>
      <c r="B729" s="2">
        <v>4.9000000000000004</v>
      </c>
      <c r="C729" s="2">
        <v>2.6</v>
      </c>
      <c r="D729" s="2">
        <v>2.9</v>
      </c>
      <c r="E729" s="2">
        <v>0.6</v>
      </c>
      <c r="F729" s="2">
        <v>0.5</v>
      </c>
      <c r="G729" s="2">
        <v>-1.5</v>
      </c>
      <c r="H729" s="2">
        <v>0.5</v>
      </c>
    </row>
    <row r="730" spans="1:8" ht="15.5" x14ac:dyDescent="0.35">
      <c r="A730" s="2" t="s">
        <v>300</v>
      </c>
      <c r="B730" s="2">
        <v>0</v>
      </c>
      <c r="C730" s="2">
        <v>1.7</v>
      </c>
      <c r="D730" s="2">
        <v>1.5</v>
      </c>
      <c r="E730" s="2">
        <v>0.1</v>
      </c>
      <c r="F730" s="2">
        <v>0</v>
      </c>
      <c r="G730" s="2">
        <v>3.2</v>
      </c>
      <c r="H730" s="2">
        <v>0.1</v>
      </c>
    </row>
    <row r="731" spans="1:8" ht="15.5" x14ac:dyDescent="0.35">
      <c r="A731" s="2" t="s">
        <v>301</v>
      </c>
      <c r="B731" s="2">
        <v>3.2</v>
      </c>
      <c r="C731" s="2">
        <v>2.8</v>
      </c>
      <c r="D731" s="2">
        <v>4.8</v>
      </c>
      <c r="E731" s="2">
        <v>0.3</v>
      </c>
      <c r="F731" s="2">
        <v>0.4</v>
      </c>
      <c r="G731" s="2">
        <v>1.6</v>
      </c>
      <c r="H731" s="2">
        <v>0.4</v>
      </c>
    </row>
    <row r="732" spans="1:8" ht="15.5" x14ac:dyDescent="0.35">
      <c r="A732" s="2" t="s">
        <v>302</v>
      </c>
      <c r="B732" s="2">
        <v>0.1</v>
      </c>
      <c r="C732" s="2">
        <v>1.6</v>
      </c>
      <c r="D732" s="2">
        <v>3</v>
      </c>
      <c r="E732" s="2">
        <v>0.1</v>
      </c>
      <c r="F732" s="2">
        <v>0.1</v>
      </c>
      <c r="G732" s="2">
        <v>-2.9</v>
      </c>
      <c r="H732" s="2">
        <v>0.3</v>
      </c>
    </row>
    <row r="733" spans="1:8" ht="15.5" x14ac:dyDescent="0.35">
      <c r="A733" s="2" t="s">
        <v>303</v>
      </c>
      <c r="B733" s="2">
        <v>0.1</v>
      </c>
      <c r="C733" s="2">
        <v>1.5</v>
      </c>
      <c r="D733" s="2">
        <v>-0.7</v>
      </c>
      <c r="E733" s="2">
        <v>0</v>
      </c>
      <c r="F733" s="2">
        <v>0</v>
      </c>
      <c r="G733" s="2">
        <v>-0.3</v>
      </c>
      <c r="H733" s="2">
        <v>0.1</v>
      </c>
    </row>
    <row r="734" spans="1:8" ht="15.5" x14ac:dyDescent="0.35">
      <c r="A734" s="2" t="s">
        <v>304</v>
      </c>
      <c r="B734" s="2">
        <v>2.9</v>
      </c>
      <c r="C734" s="2">
        <v>0.5</v>
      </c>
      <c r="D734" s="2">
        <v>0</v>
      </c>
      <c r="E734" s="2">
        <v>-0.2</v>
      </c>
      <c r="F734" s="2">
        <v>-0.1</v>
      </c>
      <c r="G734" s="2">
        <v>1.2</v>
      </c>
      <c r="H734" s="2">
        <v>-0.1</v>
      </c>
    </row>
    <row r="735" spans="1:8" ht="15.5" x14ac:dyDescent="0.35">
      <c r="A735" s="2" t="s">
        <v>305</v>
      </c>
      <c r="B735" s="2">
        <v>-1.4</v>
      </c>
      <c r="C735" s="2">
        <v>-0.4</v>
      </c>
      <c r="D735" s="2">
        <v>-0.4</v>
      </c>
      <c r="E735" s="2">
        <v>-0.3</v>
      </c>
      <c r="F735" s="2">
        <v>-0.3</v>
      </c>
      <c r="G735" s="2">
        <v>2</v>
      </c>
      <c r="H735" s="2">
        <v>-0.3</v>
      </c>
    </row>
    <row r="736" spans="1:8" ht="15.5" x14ac:dyDescent="0.35">
      <c r="A736" s="2" t="s">
        <v>306</v>
      </c>
      <c r="B736" s="2">
        <v>2.2999999999999998</v>
      </c>
      <c r="C736" s="2">
        <v>2.2000000000000002</v>
      </c>
      <c r="D736" s="2">
        <v>2.5</v>
      </c>
      <c r="E736" s="2">
        <v>0.8</v>
      </c>
      <c r="F736" s="2">
        <v>0.8</v>
      </c>
      <c r="G736" s="2">
        <v>-1.4</v>
      </c>
      <c r="H736" s="2">
        <v>0.8</v>
      </c>
    </row>
    <row r="737" spans="1:8" ht="15.5" x14ac:dyDescent="0.35">
      <c r="A737" s="2" t="s">
        <v>307</v>
      </c>
      <c r="B737" s="2">
        <v>2.1</v>
      </c>
      <c r="C737" s="2">
        <v>1.7</v>
      </c>
      <c r="D737" s="2">
        <v>1.6</v>
      </c>
      <c r="E737" s="2">
        <v>0.6</v>
      </c>
      <c r="F737" s="2">
        <v>0.6</v>
      </c>
      <c r="G737" s="2">
        <v>-1.5</v>
      </c>
      <c r="H737" s="2">
        <v>0.6</v>
      </c>
    </row>
    <row r="738" spans="1:8" ht="15.5" x14ac:dyDescent="0.35">
      <c r="A738" s="2" t="s">
        <v>308</v>
      </c>
      <c r="B738" s="2">
        <v>1.1000000000000001</v>
      </c>
      <c r="C738" s="2">
        <v>1.7</v>
      </c>
      <c r="D738" s="2">
        <v>1.7</v>
      </c>
      <c r="E738" s="2">
        <v>0.2</v>
      </c>
      <c r="F738" s="2">
        <v>0.3</v>
      </c>
      <c r="G738" s="2">
        <v>2.2999999999999998</v>
      </c>
      <c r="H738" s="2">
        <v>0.3</v>
      </c>
    </row>
    <row r="739" spans="1:8" ht="15.5" x14ac:dyDescent="0.35">
      <c r="A739" s="2" t="s">
        <v>309</v>
      </c>
      <c r="B739" s="2">
        <v>0.8</v>
      </c>
      <c r="C739" s="2">
        <v>1.1000000000000001</v>
      </c>
      <c r="D739" s="2">
        <v>1.3</v>
      </c>
      <c r="E739" s="2">
        <v>0.3</v>
      </c>
      <c r="F739" s="2">
        <v>0.3</v>
      </c>
      <c r="G739" s="2">
        <v>1.8</v>
      </c>
      <c r="H739" s="2">
        <v>0.4</v>
      </c>
    </row>
    <row r="740" spans="1:8" ht="15.5" x14ac:dyDescent="0.35">
      <c r="A740" s="2" t="s">
        <v>310</v>
      </c>
      <c r="B740" s="2">
        <v>2.5</v>
      </c>
      <c r="C740" s="2">
        <v>1.3</v>
      </c>
      <c r="D740" s="2">
        <v>1</v>
      </c>
      <c r="E740" s="2">
        <v>0.7</v>
      </c>
      <c r="F740" s="2">
        <v>0.7</v>
      </c>
      <c r="G740" s="2">
        <v>-0.3</v>
      </c>
      <c r="H740" s="2">
        <v>0.7</v>
      </c>
    </row>
    <row r="741" spans="1:8" ht="15.5" x14ac:dyDescent="0.35">
      <c r="A741" s="2" t="s">
        <v>311</v>
      </c>
      <c r="B741" s="2">
        <v>1.2</v>
      </c>
      <c r="C741" s="2">
        <v>1.3</v>
      </c>
      <c r="D741" s="2">
        <v>1.6</v>
      </c>
      <c r="E741" s="2">
        <v>0.2</v>
      </c>
      <c r="F741" s="2">
        <v>0.2</v>
      </c>
      <c r="G741" s="2">
        <v>-2.5</v>
      </c>
      <c r="H741" s="2">
        <v>0.2</v>
      </c>
    </row>
    <row r="742" spans="1:8" ht="15.5" x14ac:dyDescent="0.35">
      <c r="A742" s="2" t="s">
        <v>312</v>
      </c>
      <c r="B742" s="2">
        <v>1.9</v>
      </c>
      <c r="C742" s="2">
        <v>0.9</v>
      </c>
      <c r="D742" s="2">
        <v>0.8</v>
      </c>
      <c r="E742" s="2">
        <v>0.1</v>
      </c>
      <c r="F742" s="2">
        <v>0.1</v>
      </c>
      <c r="G742" s="2">
        <v>2.2000000000000002</v>
      </c>
      <c r="H742" s="2">
        <v>0.1</v>
      </c>
    </row>
    <row r="743" spans="1:8" ht="15.5" x14ac:dyDescent="0.35">
      <c r="A743" s="2" t="s">
        <v>313</v>
      </c>
      <c r="B743" s="2">
        <v>0.3</v>
      </c>
      <c r="C743" s="2">
        <v>0.6</v>
      </c>
      <c r="D743" s="2">
        <v>0.6</v>
      </c>
      <c r="E743" s="2">
        <v>0.1</v>
      </c>
      <c r="F743" s="2">
        <v>0.1</v>
      </c>
      <c r="G743" s="2">
        <v>1.6</v>
      </c>
      <c r="H743" s="2">
        <v>0.1</v>
      </c>
    </row>
    <row r="745" spans="1:8" ht="15.5" x14ac:dyDescent="0.35">
      <c r="A745" s="3" t="s">
        <v>328</v>
      </c>
    </row>
    <row r="746" spans="1:8" ht="139.5" x14ac:dyDescent="0.35">
      <c r="A746" s="4" t="s">
        <v>6</v>
      </c>
      <c r="B746" s="4" t="s">
        <v>7</v>
      </c>
      <c r="C746" s="4" t="s">
        <v>9</v>
      </c>
      <c r="D746" s="4" t="s">
        <v>11</v>
      </c>
      <c r="E746" s="4" t="s">
        <v>12</v>
      </c>
      <c r="F746" s="4" t="s">
        <v>14</v>
      </c>
      <c r="G746" s="4" t="s">
        <v>15</v>
      </c>
      <c r="H746" s="4" t="s">
        <v>16</v>
      </c>
    </row>
    <row r="747" spans="1:8" ht="31" x14ac:dyDescent="0.35">
      <c r="A747" s="4" t="s">
        <v>17</v>
      </c>
      <c r="B747" s="5" t="s">
        <v>329</v>
      </c>
      <c r="C747" s="5" t="s">
        <v>330</v>
      </c>
      <c r="D747" s="5" t="s">
        <v>331</v>
      </c>
      <c r="E747" s="5" t="s">
        <v>332</v>
      </c>
      <c r="F747" s="5" t="s">
        <v>333</v>
      </c>
      <c r="G747" s="5" t="s">
        <v>334</v>
      </c>
      <c r="H747" s="5" t="s">
        <v>335</v>
      </c>
    </row>
    <row r="748" spans="1:8" ht="15.5" x14ac:dyDescent="0.35">
      <c r="A748" s="2" t="s">
        <v>34</v>
      </c>
      <c r="B748" s="2">
        <v>8.9</v>
      </c>
      <c r="C748" s="2">
        <v>9</v>
      </c>
      <c r="D748" s="2">
        <v>8.9</v>
      </c>
      <c r="E748" s="2">
        <v>2.4</v>
      </c>
      <c r="F748" s="2">
        <v>2.1</v>
      </c>
      <c r="G748" s="2">
        <v>1.3</v>
      </c>
      <c r="H748" s="2" t="s">
        <v>28</v>
      </c>
    </row>
    <row r="749" spans="1:8" ht="15.5" x14ac:dyDescent="0.35">
      <c r="A749" s="2" t="s">
        <v>35</v>
      </c>
      <c r="B749" s="2">
        <v>9.9</v>
      </c>
      <c r="C749" s="2">
        <v>10</v>
      </c>
      <c r="D749" s="2">
        <v>10.199999999999999</v>
      </c>
      <c r="E749" s="2">
        <v>2.2999999999999998</v>
      </c>
      <c r="F749" s="2">
        <v>2.6</v>
      </c>
      <c r="G749" s="2">
        <v>3.9</v>
      </c>
      <c r="H749" s="2" t="s">
        <v>28</v>
      </c>
    </row>
    <row r="750" spans="1:8" ht="15.5" x14ac:dyDescent="0.35">
      <c r="A750" s="2" t="s">
        <v>36</v>
      </c>
      <c r="B750" s="2">
        <v>7.7</v>
      </c>
      <c r="C750" s="2">
        <v>7.7</v>
      </c>
      <c r="D750" s="2">
        <v>8.1999999999999993</v>
      </c>
      <c r="E750" s="2">
        <v>0.5</v>
      </c>
      <c r="F750" s="2">
        <v>1.2</v>
      </c>
      <c r="G750" s="2">
        <v>-0.6</v>
      </c>
      <c r="H750" s="2" t="s">
        <v>28</v>
      </c>
    </row>
    <row r="751" spans="1:8" ht="15.5" x14ac:dyDescent="0.35">
      <c r="A751" s="2" t="s">
        <v>37</v>
      </c>
      <c r="B751" s="2">
        <v>9.5</v>
      </c>
      <c r="C751" s="2">
        <v>8.4</v>
      </c>
      <c r="D751" s="2">
        <v>8.5</v>
      </c>
      <c r="E751" s="2">
        <v>1.7</v>
      </c>
      <c r="F751" s="2">
        <v>1.9</v>
      </c>
      <c r="G751" s="2">
        <v>2.2999999999999998</v>
      </c>
      <c r="H751" s="2" t="s">
        <v>28</v>
      </c>
    </row>
    <row r="752" spans="1:8" ht="15.5" x14ac:dyDescent="0.35">
      <c r="A752" s="2" t="s">
        <v>38</v>
      </c>
      <c r="B752" s="2">
        <v>5.8</v>
      </c>
      <c r="C752" s="2">
        <v>5.8</v>
      </c>
      <c r="D752" s="2">
        <v>6.1</v>
      </c>
      <c r="E752" s="2">
        <v>2.2999999999999998</v>
      </c>
      <c r="F752" s="2">
        <v>2.7</v>
      </c>
      <c r="G752" s="2">
        <v>3.1</v>
      </c>
      <c r="H752" s="2" t="s">
        <v>28</v>
      </c>
    </row>
    <row r="753" spans="1:8" ht="15.5" x14ac:dyDescent="0.35">
      <c r="A753" s="2" t="s">
        <v>39</v>
      </c>
      <c r="B753" s="2">
        <v>6</v>
      </c>
      <c r="C753" s="2">
        <v>5.9</v>
      </c>
      <c r="D753" s="2">
        <v>6.4</v>
      </c>
      <c r="E753" s="2">
        <v>2.2999999999999998</v>
      </c>
      <c r="F753" s="2">
        <v>2.5</v>
      </c>
      <c r="G753" s="2">
        <v>2.4</v>
      </c>
      <c r="H753" s="2" t="s">
        <v>28</v>
      </c>
    </row>
    <row r="754" spans="1:8" ht="15.5" x14ac:dyDescent="0.35">
      <c r="A754" s="2" t="s">
        <v>40</v>
      </c>
      <c r="B754" s="2">
        <v>6.6</v>
      </c>
      <c r="C754" s="2">
        <v>6.6</v>
      </c>
      <c r="D754" s="2">
        <v>7.2</v>
      </c>
      <c r="E754" s="2">
        <v>1.8</v>
      </c>
      <c r="F754" s="2">
        <v>1.7</v>
      </c>
      <c r="G754" s="2">
        <v>1.8</v>
      </c>
      <c r="H754" s="2" t="s">
        <v>28</v>
      </c>
    </row>
    <row r="755" spans="1:8" ht="15.5" x14ac:dyDescent="0.35">
      <c r="A755" s="2" t="s">
        <v>41</v>
      </c>
      <c r="B755" s="2">
        <v>6</v>
      </c>
      <c r="C755" s="2">
        <v>5.9</v>
      </c>
      <c r="D755" s="2">
        <v>6.6</v>
      </c>
      <c r="E755" s="2">
        <v>1.5</v>
      </c>
      <c r="F755" s="2">
        <v>1.9</v>
      </c>
      <c r="G755" s="2">
        <v>0.6</v>
      </c>
      <c r="H755" s="2" t="s">
        <v>28</v>
      </c>
    </row>
    <row r="756" spans="1:8" ht="15.5" x14ac:dyDescent="0.35">
      <c r="A756" s="2" t="s">
        <v>42</v>
      </c>
      <c r="B756" s="2">
        <v>8.5</v>
      </c>
      <c r="C756" s="2">
        <v>7.8</v>
      </c>
      <c r="D756" s="2">
        <v>8.3000000000000007</v>
      </c>
      <c r="E756" s="2">
        <v>1.8</v>
      </c>
      <c r="F756" s="2">
        <v>1.9</v>
      </c>
      <c r="G756" s="2">
        <v>1.2</v>
      </c>
      <c r="H756" s="2" t="s">
        <v>28</v>
      </c>
    </row>
    <row r="757" spans="1:8" ht="15.5" x14ac:dyDescent="0.35">
      <c r="A757" s="2" t="s">
        <v>43</v>
      </c>
      <c r="B757" s="2">
        <v>4.4000000000000004</v>
      </c>
      <c r="C757" s="2">
        <v>4.8</v>
      </c>
      <c r="D757" s="2">
        <v>5.0999999999999996</v>
      </c>
      <c r="E757" s="2">
        <v>-0.7</v>
      </c>
      <c r="F757" s="2">
        <v>-1.2</v>
      </c>
      <c r="G757" s="2">
        <v>-0.8</v>
      </c>
      <c r="H757" s="2" t="s">
        <v>28</v>
      </c>
    </row>
    <row r="758" spans="1:8" ht="15.5" x14ac:dyDescent="0.35">
      <c r="A758" s="2" t="s">
        <v>44</v>
      </c>
      <c r="B758" s="2">
        <v>4.8</v>
      </c>
      <c r="C758" s="2">
        <v>4.4000000000000004</v>
      </c>
      <c r="D758" s="2">
        <v>4.5999999999999996</v>
      </c>
      <c r="E758" s="2">
        <v>2.1</v>
      </c>
      <c r="F758" s="2">
        <v>2</v>
      </c>
      <c r="G758" s="2">
        <v>2.2999999999999998</v>
      </c>
      <c r="H758" s="2" t="s">
        <v>28</v>
      </c>
    </row>
    <row r="759" spans="1:8" ht="15.5" x14ac:dyDescent="0.35">
      <c r="A759" s="2" t="s">
        <v>45</v>
      </c>
      <c r="B759" s="2">
        <v>3.1</v>
      </c>
      <c r="C759" s="2">
        <v>3.3</v>
      </c>
      <c r="D759" s="2">
        <v>3</v>
      </c>
      <c r="E759" s="2">
        <v>2.1</v>
      </c>
      <c r="F759" s="2">
        <v>1.6</v>
      </c>
      <c r="G759" s="2">
        <v>2.6</v>
      </c>
      <c r="H759" s="2" t="s">
        <v>28</v>
      </c>
    </row>
    <row r="760" spans="1:8" ht="15.5" x14ac:dyDescent="0.35">
      <c r="A760" s="2" t="s">
        <v>46</v>
      </c>
      <c r="B760" s="2">
        <v>0.9</v>
      </c>
      <c r="C760" s="2">
        <v>1.5</v>
      </c>
      <c r="D760" s="2">
        <v>1</v>
      </c>
      <c r="E760" s="2">
        <v>0.6</v>
      </c>
      <c r="F760" s="2">
        <v>0.2</v>
      </c>
      <c r="G760" s="2">
        <v>1.2</v>
      </c>
      <c r="H760" s="2" t="s">
        <v>28</v>
      </c>
    </row>
    <row r="761" spans="1:8" ht="15.5" x14ac:dyDescent="0.35">
      <c r="A761" s="2" t="s">
        <v>47</v>
      </c>
      <c r="B761" s="2">
        <v>6.8</v>
      </c>
      <c r="C761" s="2">
        <v>6.2</v>
      </c>
      <c r="D761" s="2">
        <v>6.2</v>
      </c>
      <c r="E761" s="2">
        <v>4.8</v>
      </c>
      <c r="F761" s="2">
        <v>4.4000000000000004</v>
      </c>
      <c r="G761" s="2">
        <v>4.9000000000000004</v>
      </c>
      <c r="H761" s="2" t="s">
        <v>28</v>
      </c>
    </row>
    <row r="762" spans="1:8" ht="15.5" x14ac:dyDescent="0.35">
      <c r="A762" s="2" t="s">
        <v>48</v>
      </c>
      <c r="B762" s="2">
        <v>4.4000000000000004</v>
      </c>
      <c r="C762" s="2">
        <v>4.8</v>
      </c>
      <c r="D762" s="2">
        <v>4.8</v>
      </c>
      <c r="E762" s="2">
        <v>4.7</v>
      </c>
      <c r="F762" s="2">
        <v>4.5</v>
      </c>
      <c r="G762" s="2">
        <v>4.4000000000000004</v>
      </c>
      <c r="H762" s="2" t="s">
        <v>28</v>
      </c>
    </row>
    <row r="763" spans="1:8" ht="15.5" x14ac:dyDescent="0.35">
      <c r="A763" s="2" t="s">
        <v>49</v>
      </c>
      <c r="B763" s="2">
        <v>7.2</v>
      </c>
      <c r="C763" s="2">
        <v>7.6</v>
      </c>
      <c r="D763" s="2">
        <v>7.8</v>
      </c>
      <c r="E763" s="2">
        <v>7</v>
      </c>
      <c r="F763" s="2">
        <v>6.7</v>
      </c>
      <c r="G763" s="2">
        <v>6.4</v>
      </c>
      <c r="H763" s="2" t="s">
        <v>28</v>
      </c>
    </row>
    <row r="764" spans="1:8" ht="15.5" x14ac:dyDescent="0.35">
      <c r="A764" s="2" t="s">
        <v>50</v>
      </c>
      <c r="B764" s="2">
        <v>9.1999999999999993</v>
      </c>
      <c r="C764" s="2">
        <v>9.1999999999999993</v>
      </c>
      <c r="D764" s="2">
        <v>9.6999999999999993</v>
      </c>
      <c r="E764" s="2">
        <v>9</v>
      </c>
      <c r="F764" s="2">
        <v>8.9</v>
      </c>
      <c r="G764" s="2">
        <v>8.1</v>
      </c>
      <c r="H764" s="2" t="s">
        <v>28</v>
      </c>
    </row>
    <row r="765" spans="1:8" ht="15.5" x14ac:dyDescent="0.35">
      <c r="A765" s="2" t="s">
        <v>51</v>
      </c>
      <c r="B765" s="2">
        <v>6.1</v>
      </c>
      <c r="C765" s="2">
        <v>6.7</v>
      </c>
      <c r="D765" s="2">
        <v>7.4</v>
      </c>
      <c r="E765" s="2">
        <v>6.6</v>
      </c>
      <c r="F765" s="2">
        <v>7.1</v>
      </c>
      <c r="G765" s="2">
        <v>6.9</v>
      </c>
      <c r="H765" s="2" t="s">
        <v>28</v>
      </c>
    </row>
    <row r="766" spans="1:8" ht="15.5" x14ac:dyDescent="0.35">
      <c r="A766" s="2" t="s">
        <v>52</v>
      </c>
      <c r="B766" s="2">
        <v>7.3</v>
      </c>
      <c r="C766" s="2">
        <v>7.8</v>
      </c>
      <c r="D766" s="2">
        <v>8.3000000000000007</v>
      </c>
      <c r="E766" s="2">
        <v>5.9</v>
      </c>
      <c r="F766" s="2">
        <v>6.2</v>
      </c>
      <c r="G766" s="2">
        <v>6.1</v>
      </c>
      <c r="H766" s="2" t="s">
        <v>28</v>
      </c>
    </row>
    <row r="767" spans="1:8" ht="15.5" x14ac:dyDescent="0.35">
      <c r="A767" s="2" t="s">
        <v>53</v>
      </c>
      <c r="B767" s="2">
        <v>6.5</v>
      </c>
      <c r="C767" s="2">
        <v>6.2</v>
      </c>
      <c r="D767" s="2">
        <v>7</v>
      </c>
      <c r="E767" s="2">
        <v>3.9</v>
      </c>
      <c r="F767" s="2">
        <v>4.5999999999999996</v>
      </c>
      <c r="G767" s="2">
        <v>4.4000000000000004</v>
      </c>
      <c r="H767" s="2" t="s">
        <v>28</v>
      </c>
    </row>
    <row r="768" spans="1:8" ht="15.5" x14ac:dyDescent="0.35">
      <c r="A768" s="2" t="s">
        <v>54</v>
      </c>
      <c r="B768" s="2">
        <v>7.4</v>
      </c>
      <c r="C768" s="2">
        <v>7.1</v>
      </c>
      <c r="D768" s="2">
        <v>7.3</v>
      </c>
      <c r="E768" s="2">
        <v>3</v>
      </c>
      <c r="F768" s="2">
        <v>3.4</v>
      </c>
      <c r="G768" s="2">
        <v>3.4</v>
      </c>
      <c r="H768" s="2" t="s">
        <v>28</v>
      </c>
    </row>
    <row r="769" spans="1:8" ht="15.5" x14ac:dyDescent="0.35">
      <c r="A769" s="2" t="s">
        <v>55</v>
      </c>
      <c r="B769" s="2">
        <v>6.2</v>
      </c>
      <c r="C769" s="2">
        <v>6.1</v>
      </c>
      <c r="D769" s="2">
        <v>6.2</v>
      </c>
      <c r="E769" s="2">
        <v>4.2</v>
      </c>
      <c r="F769" s="2">
        <v>4.3</v>
      </c>
      <c r="G769" s="2">
        <v>3.9</v>
      </c>
      <c r="H769" s="2" t="s">
        <v>28</v>
      </c>
    </row>
    <row r="770" spans="1:8" ht="15.5" x14ac:dyDescent="0.35">
      <c r="A770" s="2" t="s">
        <v>56</v>
      </c>
      <c r="B770" s="2">
        <v>8.5</v>
      </c>
      <c r="C770" s="2">
        <v>8.1999999999999993</v>
      </c>
      <c r="D770" s="2">
        <v>9.1</v>
      </c>
      <c r="E770" s="2">
        <v>2.1</v>
      </c>
      <c r="F770" s="2">
        <v>2.2999999999999998</v>
      </c>
      <c r="G770" s="2">
        <v>2.1</v>
      </c>
      <c r="H770" s="2" t="s">
        <v>28</v>
      </c>
    </row>
    <row r="771" spans="1:8" ht="15.5" x14ac:dyDescent="0.35">
      <c r="A771" s="2" t="s">
        <v>57</v>
      </c>
      <c r="B771" s="2">
        <v>4.4000000000000004</v>
      </c>
      <c r="C771" s="2">
        <v>4.8</v>
      </c>
      <c r="D771" s="2">
        <v>4.5</v>
      </c>
      <c r="E771" s="2">
        <v>1.4</v>
      </c>
      <c r="F771" s="2">
        <v>1.3</v>
      </c>
      <c r="G771" s="2">
        <v>1.3</v>
      </c>
      <c r="H771" s="2" t="s">
        <v>28</v>
      </c>
    </row>
    <row r="772" spans="1:8" ht="15.5" x14ac:dyDescent="0.35">
      <c r="A772" s="2" t="s">
        <v>58</v>
      </c>
      <c r="B772" s="2">
        <v>3.8</v>
      </c>
      <c r="C772" s="2">
        <v>3.6</v>
      </c>
      <c r="D772" s="2">
        <v>3.4</v>
      </c>
      <c r="E772" s="2">
        <v>0.2</v>
      </c>
      <c r="F772" s="2">
        <v>0.5</v>
      </c>
      <c r="G772" s="2">
        <v>-0.4</v>
      </c>
      <c r="H772" s="2" t="s">
        <v>28</v>
      </c>
    </row>
    <row r="773" spans="1:8" ht="15.5" x14ac:dyDescent="0.35">
      <c r="A773" s="2" t="s">
        <v>59</v>
      </c>
      <c r="B773" s="2">
        <v>6.7</v>
      </c>
      <c r="C773" s="2">
        <v>6.2</v>
      </c>
      <c r="D773" s="2">
        <v>6.1</v>
      </c>
      <c r="E773" s="2">
        <v>0.7</v>
      </c>
      <c r="F773" s="2">
        <v>1</v>
      </c>
      <c r="G773" s="2">
        <v>0.7</v>
      </c>
      <c r="H773" s="2" t="s">
        <v>28</v>
      </c>
    </row>
    <row r="774" spans="1:8" ht="15.5" x14ac:dyDescent="0.35">
      <c r="A774" s="2" t="s">
        <v>60</v>
      </c>
      <c r="B774" s="2">
        <v>3.7</v>
      </c>
      <c r="C774" s="2">
        <v>3.7</v>
      </c>
      <c r="D774" s="2">
        <v>2.7</v>
      </c>
      <c r="E774" s="2">
        <v>1.8</v>
      </c>
      <c r="F774" s="2">
        <v>1.8</v>
      </c>
      <c r="G774" s="2">
        <v>2</v>
      </c>
      <c r="H774" s="2" t="s">
        <v>28</v>
      </c>
    </row>
    <row r="775" spans="1:8" ht="15.5" x14ac:dyDescent="0.35">
      <c r="A775" s="2" t="s">
        <v>61</v>
      </c>
      <c r="B775" s="2">
        <v>5.6</v>
      </c>
      <c r="C775" s="2">
        <v>5.4</v>
      </c>
      <c r="D775" s="2">
        <v>5.5</v>
      </c>
      <c r="E775" s="2">
        <v>1.6</v>
      </c>
      <c r="F775" s="2">
        <v>1.8</v>
      </c>
      <c r="G775" s="2">
        <v>2</v>
      </c>
      <c r="H775" s="2" t="s">
        <v>28</v>
      </c>
    </row>
    <row r="776" spans="1:8" ht="15.5" x14ac:dyDescent="0.35">
      <c r="A776" s="2" t="s">
        <v>62</v>
      </c>
      <c r="B776" s="2">
        <v>3.3</v>
      </c>
      <c r="C776" s="2">
        <v>3.3</v>
      </c>
      <c r="D776" s="2">
        <v>4.0999999999999996</v>
      </c>
      <c r="E776" s="2">
        <v>1.7</v>
      </c>
      <c r="F776" s="2">
        <v>2.2000000000000002</v>
      </c>
      <c r="G776" s="2">
        <v>1.5</v>
      </c>
      <c r="H776" s="2" t="s">
        <v>28</v>
      </c>
    </row>
    <row r="777" spans="1:8" ht="15.5" x14ac:dyDescent="0.35">
      <c r="A777" s="2" t="s">
        <v>63</v>
      </c>
      <c r="B777" s="2">
        <v>6.1</v>
      </c>
      <c r="C777" s="2">
        <v>6.1</v>
      </c>
      <c r="D777" s="2">
        <v>6.5</v>
      </c>
      <c r="E777" s="2">
        <v>5.0999999999999996</v>
      </c>
      <c r="F777" s="2">
        <v>5.4</v>
      </c>
      <c r="G777" s="2">
        <v>4.9000000000000004</v>
      </c>
      <c r="H777" s="2" t="s">
        <v>28</v>
      </c>
    </row>
    <row r="778" spans="1:8" ht="15.5" x14ac:dyDescent="0.35">
      <c r="A778" s="2" t="s">
        <v>64</v>
      </c>
      <c r="B778" s="2">
        <v>6.9</v>
      </c>
      <c r="C778" s="2">
        <v>6.6</v>
      </c>
      <c r="D778" s="2">
        <v>6.6</v>
      </c>
      <c r="E778" s="2">
        <v>4.9000000000000004</v>
      </c>
      <c r="F778" s="2">
        <v>5.0999999999999996</v>
      </c>
      <c r="G778" s="2">
        <v>5.3</v>
      </c>
      <c r="H778" s="2" t="s">
        <v>28</v>
      </c>
    </row>
    <row r="779" spans="1:8" ht="15.5" x14ac:dyDescent="0.35">
      <c r="A779" s="2" t="s">
        <v>65</v>
      </c>
      <c r="B779" s="2">
        <v>9.8000000000000007</v>
      </c>
      <c r="C779" s="2">
        <v>9.5</v>
      </c>
      <c r="D779" s="2">
        <v>9.5</v>
      </c>
      <c r="E779" s="2">
        <v>7.7</v>
      </c>
      <c r="F779" s="2">
        <v>8</v>
      </c>
      <c r="G779" s="2">
        <v>7.5</v>
      </c>
      <c r="H779" s="2" t="s">
        <v>28</v>
      </c>
    </row>
    <row r="780" spans="1:8" ht="15.5" x14ac:dyDescent="0.35">
      <c r="A780" s="2" t="s">
        <v>66</v>
      </c>
      <c r="B780" s="2">
        <v>10.9</v>
      </c>
      <c r="C780" s="2">
        <v>10.5</v>
      </c>
      <c r="D780" s="2">
        <v>10.199999999999999</v>
      </c>
      <c r="E780" s="2">
        <v>7.9</v>
      </c>
      <c r="F780" s="2">
        <v>8.1999999999999993</v>
      </c>
      <c r="G780" s="2">
        <v>8.8000000000000007</v>
      </c>
      <c r="H780" s="2" t="s">
        <v>28</v>
      </c>
    </row>
    <row r="781" spans="1:8" ht="15.5" x14ac:dyDescent="0.35">
      <c r="A781" s="2" t="s">
        <v>67</v>
      </c>
      <c r="B781" s="2">
        <v>8.9</v>
      </c>
      <c r="C781" s="2">
        <v>8.8000000000000007</v>
      </c>
      <c r="D781" s="2">
        <v>8</v>
      </c>
      <c r="E781" s="2">
        <v>5.3</v>
      </c>
      <c r="F781" s="2">
        <v>5.4</v>
      </c>
      <c r="G781" s="2">
        <v>5.0999999999999996</v>
      </c>
      <c r="H781" s="2" t="s">
        <v>28</v>
      </c>
    </row>
    <row r="782" spans="1:8" ht="15.5" x14ac:dyDescent="0.35">
      <c r="A782" s="2" t="s">
        <v>68</v>
      </c>
      <c r="B782" s="2">
        <v>9.1</v>
      </c>
      <c r="C782" s="2">
        <v>9.5</v>
      </c>
      <c r="D782" s="2">
        <v>9.3000000000000007</v>
      </c>
      <c r="E782" s="2">
        <v>5.2</v>
      </c>
      <c r="F782" s="2">
        <v>5.4</v>
      </c>
      <c r="G782" s="2">
        <v>5.0999999999999996</v>
      </c>
      <c r="H782" s="2" t="s">
        <v>28</v>
      </c>
    </row>
    <row r="783" spans="1:8" ht="15.5" x14ac:dyDescent="0.35">
      <c r="A783" s="2" t="s">
        <v>69</v>
      </c>
      <c r="B783" s="2">
        <v>8.8000000000000007</v>
      </c>
      <c r="C783" s="2">
        <v>9.1</v>
      </c>
      <c r="D783" s="2">
        <v>8.4</v>
      </c>
      <c r="E783" s="2">
        <v>4.5</v>
      </c>
      <c r="F783" s="2">
        <v>4.3</v>
      </c>
      <c r="G783" s="2">
        <v>4.0999999999999996</v>
      </c>
      <c r="H783" s="2" t="s">
        <v>28</v>
      </c>
    </row>
    <row r="784" spans="1:8" ht="15.5" x14ac:dyDescent="0.35">
      <c r="A784" s="2" t="s">
        <v>70</v>
      </c>
      <c r="B784" s="2">
        <v>10.4</v>
      </c>
      <c r="C784" s="2">
        <v>10.8</v>
      </c>
      <c r="D784" s="2">
        <v>9.6999999999999993</v>
      </c>
      <c r="E784" s="2">
        <v>3.5</v>
      </c>
      <c r="F784" s="2">
        <v>3.2</v>
      </c>
      <c r="G784" s="2">
        <v>3.2</v>
      </c>
      <c r="H784" s="2" t="s">
        <v>28</v>
      </c>
    </row>
    <row r="785" spans="1:8" ht="15.5" x14ac:dyDescent="0.35">
      <c r="A785" s="2" t="s">
        <v>71</v>
      </c>
      <c r="B785" s="2">
        <v>7.6</v>
      </c>
      <c r="C785" s="2">
        <v>7.5</v>
      </c>
      <c r="D785" s="2">
        <v>7.3</v>
      </c>
      <c r="E785" s="2">
        <v>1.7</v>
      </c>
      <c r="F785" s="2">
        <v>2.2999999999999998</v>
      </c>
      <c r="G785" s="2">
        <v>1.9</v>
      </c>
      <c r="H785" s="2" t="s">
        <v>28</v>
      </c>
    </row>
    <row r="786" spans="1:8" ht="15.5" x14ac:dyDescent="0.35">
      <c r="A786" s="2" t="s">
        <v>72</v>
      </c>
      <c r="B786" s="2">
        <v>7.9</v>
      </c>
      <c r="C786" s="2">
        <v>7.7</v>
      </c>
      <c r="D786" s="2">
        <v>7.5</v>
      </c>
      <c r="E786" s="2">
        <v>2.1</v>
      </c>
      <c r="F786" s="2">
        <v>2.6</v>
      </c>
      <c r="G786" s="2">
        <v>1.9</v>
      </c>
      <c r="H786" s="2" t="s">
        <v>28</v>
      </c>
    </row>
    <row r="787" spans="1:8" ht="15.5" x14ac:dyDescent="0.35">
      <c r="A787" s="2" t="s">
        <v>73</v>
      </c>
      <c r="B787" s="2">
        <v>7</v>
      </c>
      <c r="C787" s="2">
        <v>6.9</v>
      </c>
      <c r="D787" s="2">
        <v>6.7</v>
      </c>
      <c r="E787" s="2">
        <v>1.2</v>
      </c>
      <c r="F787" s="2">
        <v>1.8</v>
      </c>
      <c r="G787" s="2">
        <v>1.5</v>
      </c>
      <c r="H787" s="2" t="s">
        <v>28</v>
      </c>
    </row>
    <row r="788" spans="1:8" ht="15.5" x14ac:dyDescent="0.35">
      <c r="A788" s="2" t="s">
        <v>74</v>
      </c>
      <c r="B788" s="2">
        <v>6.2</v>
      </c>
      <c r="C788" s="2">
        <v>6.5</v>
      </c>
      <c r="D788" s="2">
        <v>6.2</v>
      </c>
      <c r="E788" s="2">
        <v>1.7</v>
      </c>
      <c r="F788" s="2">
        <v>1.7</v>
      </c>
      <c r="G788" s="2">
        <v>2.1</v>
      </c>
      <c r="H788" s="2" t="s">
        <v>28</v>
      </c>
    </row>
    <row r="789" spans="1:8" ht="15.5" x14ac:dyDescent="0.35">
      <c r="A789" s="2" t="s">
        <v>75</v>
      </c>
      <c r="B789" s="2">
        <v>7.8</v>
      </c>
      <c r="C789" s="2">
        <v>7.8</v>
      </c>
      <c r="D789" s="2">
        <v>7.1</v>
      </c>
      <c r="E789" s="2">
        <v>2.2000000000000002</v>
      </c>
      <c r="F789" s="2">
        <v>1.6</v>
      </c>
      <c r="G789" s="2">
        <v>1.7</v>
      </c>
      <c r="H789" s="2" t="s">
        <v>28</v>
      </c>
    </row>
    <row r="790" spans="1:8" ht="15.5" x14ac:dyDescent="0.35">
      <c r="A790" s="2" t="s">
        <v>76</v>
      </c>
      <c r="B790" s="2">
        <v>7</v>
      </c>
      <c r="C790" s="2">
        <v>7.2</v>
      </c>
      <c r="D790" s="2">
        <v>6.8</v>
      </c>
      <c r="E790" s="2">
        <v>1.7</v>
      </c>
      <c r="F790" s="2">
        <v>1.6</v>
      </c>
      <c r="G790" s="2">
        <v>1.7</v>
      </c>
      <c r="H790" s="2" t="s">
        <v>28</v>
      </c>
    </row>
    <row r="791" spans="1:8" ht="15.5" x14ac:dyDescent="0.35">
      <c r="A791" s="2" t="s">
        <v>77</v>
      </c>
      <c r="B791" s="2">
        <v>6.1</v>
      </c>
      <c r="C791" s="2">
        <v>6.3</v>
      </c>
      <c r="D791" s="2">
        <v>6.6</v>
      </c>
      <c r="E791" s="2">
        <v>0.7</v>
      </c>
      <c r="F791" s="2">
        <v>0.6</v>
      </c>
      <c r="G791" s="2">
        <v>0.8</v>
      </c>
      <c r="H791" s="2" t="s">
        <v>28</v>
      </c>
    </row>
    <row r="792" spans="1:8" ht="15.5" x14ac:dyDescent="0.35">
      <c r="A792" s="2" t="s">
        <v>78</v>
      </c>
      <c r="B792" s="2">
        <v>5.8</v>
      </c>
      <c r="C792" s="2">
        <v>5.7</v>
      </c>
      <c r="D792" s="2">
        <v>6.8</v>
      </c>
      <c r="E792" s="2">
        <v>1.8</v>
      </c>
      <c r="F792" s="2">
        <v>1.4</v>
      </c>
      <c r="G792" s="2">
        <v>1.3</v>
      </c>
      <c r="H792" s="2" t="s">
        <v>28</v>
      </c>
    </row>
    <row r="793" spans="1:8" ht="15.5" x14ac:dyDescent="0.35">
      <c r="A793" s="2" t="s">
        <v>79</v>
      </c>
      <c r="B793" s="2">
        <v>6.1</v>
      </c>
      <c r="C793" s="2">
        <v>6.6</v>
      </c>
      <c r="D793" s="2">
        <v>7.6</v>
      </c>
      <c r="E793" s="2">
        <v>2.7</v>
      </c>
      <c r="F793" s="2">
        <v>2.2000000000000002</v>
      </c>
      <c r="G793" s="2">
        <v>2.7</v>
      </c>
      <c r="H793" s="2" t="s">
        <v>28</v>
      </c>
    </row>
    <row r="794" spans="1:8" ht="15.5" x14ac:dyDescent="0.35">
      <c r="A794" s="2" t="s">
        <v>80</v>
      </c>
      <c r="B794" s="2">
        <v>5.3</v>
      </c>
      <c r="C794" s="2">
        <v>5.3</v>
      </c>
      <c r="D794" s="2">
        <v>6.1</v>
      </c>
      <c r="E794" s="2">
        <v>2.8</v>
      </c>
      <c r="F794" s="2">
        <v>2.2000000000000002</v>
      </c>
      <c r="G794" s="2">
        <v>2.8</v>
      </c>
      <c r="H794" s="2" t="s">
        <v>28</v>
      </c>
    </row>
    <row r="795" spans="1:8" ht="15.5" x14ac:dyDescent="0.35">
      <c r="A795" s="2" t="s">
        <v>81</v>
      </c>
      <c r="B795" s="2">
        <v>5.8</v>
      </c>
      <c r="C795" s="2">
        <v>5.5</v>
      </c>
      <c r="D795" s="2">
        <v>6</v>
      </c>
      <c r="E795" s="2">
        <v>3.7</v>
      </c>
      <c r="F795" s="2">
        <v>3.3</v>
      </c>
      <c r="G795" s="2">
        <v>4.0999999999999996</v>
      </c>
      <c r="H795" s="2" t="s">
        <v>28</v>
      </c>
    </row>
    <row r="796" spans="1:8" ht="15.5" x14ac:dyDescent="0.35">
      <c r="A796" s="2" t="s">
        <v>82</v>
      </c>
      <c r="B796" s="2">
        <v>9</v>
      </c>
      <c r="C796" s="2">
        <v>9.3000000000000007</v>
      </c>
      <c r="D796" s="2">
        <v>8.9</v>
      </c>
      <c r="E796" s="2">
        <v>6.1</v>
      </c>
      <c r="F796" s="2">
        <v>6</v>
      </c>
      <c r="G796" s="2">
        <v>5.8</v>
      </c>
      <c r="H796" s="2" t="s">
        <v>28</v>
      </c>
    </row>
    <row r="797" spans="1:8" ht="15.5" x14ac:dyDescent="0.35">
      <c r="A797" s="2" t="s">
        <v>83</v>
      </c>
      <c r="B797" s="2">
        <v>8.1</v>
      </c>
      <c r="C797" s="2">
        <v>7.9</v>
      </c>
      <c r="D797" s="2">
        <v>7.6</v>
      </c>
      <c r="E797" s="2">
        <v>4.2</v>
      </c>
      <c r="F797" s="2">
        <v>4.9000000000000004</v>
      </c>
      <c r="G797" s="2">
        <v>4.2</v>
      </c>
      <c r="H797" s="2" t="s">
        <v>28</v>
      </c>
    </row>
    <row r="798" spans="1:8" ht="15.5" x14ac:dyDescent="0.35">
      <c r="A798" s="2" t="s">
        <v>84</v>
      </c>
      <c r="B798" s="2">
        <v>10.5</v>
      </c>
      <c r="C798" s="2">
        <v>10.5</v>
      </c>
      <c r="D798" s="2">
        <v>10.3</v>
      </c>
      <c r="E798" s="2">
        <v>5.8</v>
      </c>
      <c r="F798" s="2">
        <v>6.1</v>
      </c>
      <c r="G798" s="2">
        <v>6</v>
      </c>
      <c r="H798" s="2" t="s">
        <v>28</v>
      </c>
    </row>
    <row r="799" spans="1:8" ht="15.5" x14ac:dyDescent="0.35">
      <c r="A799" s="2" t="s">
        <v>85</v>
      </c>
      <c r="B799" s="2">
        <v>11.1</v>
      </c>
      <c r="C799" s="2">
        <v>11.9</v>
      </c>
      <c r="D799" s="2">
        <v>10.9</v>
      </c>
      <c r="E799" s="2">
        <v>5.6</v>
      </c>
      <c r="F799" s="2">
        <v>5.5</v>
      </c>
      <c r="G799" s="2">
        <v>5.8</v>
      </c>
      <c r="H799" s="2" t="s">
        <v>28</v>
      </c>
    </row>
    <row r="800" spans="1:8" ht="15.5" x14ac:dyDescent="0.35">
      <c r="A800" s="2" t="s">
        <v>86</v>
      </c>
      <c r="B800" s="2">
        <v>9.5</v>
      </c>
      <c r="C800" s="2">
        <v>8.9</v>
      </c>
      <c r="D800" s="2">
        <v>8</v>
      </c>
      <c r="E800" s="2">
        <v>1.7</v>
      </c>
      <c r="F800" s="2">
        <v>2.1</v>
      </c>
      <c r="G800" s="2">
        <v>1.7</v>
      </c>
      <c r="H800" s="2" t="s">
        <v>28</v>
      </c>
    </row>
    <row r="801" spans="1:8" ht="15.5" x14ac:dyDescent="0.35">
      <c r="A801" s="2" t="s">
        <v>87</v>
      </c>
      <c r="B801" s="2">
        <v>9.3000000000000007</v>
      </c>
      <c r="C801" s="2">
        <v>9.1999999999999993</v>
      </c>
      <c r="D801" s="2">
        <v>8.3000000000000007</v>
      </c>
      <c r="E801" s="2">
        <v>2.9</v>
      </c>
      <c r="F801" s="2">
        <v>2.5</v>
      </c>
      <c r="G801" s="2">
        <v>2.7</v>
      </c>
      <c r="H801" s="2" t="s">
        <v>28</v>
      </c>
    </row>
    <row r="802" spans="1:8" ht="15.5" x14ac:dyDescent="0.35">
      <c r="A802" s="2" t="s">
        <v>88</v>
      </c>
      <c r="B802" s="2">
        <v>8.1999999999999993</v>
      </c>
      <c r="C802" s="2">
        <v>8.1999999999999993</v>
      </c>
      <c r="D802" s="2">
        <v>7.6</v>
      </c>
      <c r="E802" s="2">
        <v>1.5</v>
      </c>
      <c r="F802" s="2">
        <v>1.4</v>
      </c>
      <c r="G802" s="2">
        <v>1.4</v>
      </c>
      <c r="H802" s="2" t="s">
        <v>28</v>
      </c>
    </row>
    <row r="803" spans="1:8" ht="15.5" x14ac:dyDescent="0.35">
      <c r="A803" s="2" t="s">
        <v>89</v>
      </c>
      <c r="B803" s="2">
        <v>8.9</v>
      </c>
      <c r="C803" s="2">
        <v>8.3000000000000007</v>
      </c>
      <c r="D803" s="2">
        <v>8.1</v>
      </c>
      <c r="E803" s="2">
        <v>1.6</v>
      </c>
      <c r="F803" s="2">
        <v>1.9</v>
      </c>
      <c r="G803" s="2">
        <v>1.9</v>
      </c>
      <c r="H803" s="2" t="s">
        <v>28</v>
      </c>
    </row>
    <row r="804" spans="1:8" ht="15.5" x14ac:dyDescent="0.35">
      <c r="A804" s="2" t="s">
        <v>90</v>
      </c>
      <c r="B804" s="2">
        <v>9.1999999999999993</v>
      </c>
      <c r="C804" s="2">
        <v>9.4</v>
      </c>
      <c r="D804" s="2">
        <v>9.6999999999999993</v>
      </c>
      <c r="E804" s="2">
        <v>1.1000000000000001</v>
      </c>
      <c r="F804" s="2">
        <v>1</v>
      </c>
      <c r="G804" s="2">
        <v>1.1000000000000001</v>
      </c>
      <c r="H804" s="2" t="s">
        <v>28</v>
      </c>
    </row>
    <row r="805" spans="1:8" ht="15.5" x14ac:dyDescent="0.35">
      <c r="A805" s="2" t="s">
        <v>91</v>
      </c>
      <c r="B805" s="2">
        <v>12.6</v>
      </c>
      <c r="C805" s="2">
        <v>12.5</v>
      </c>
      <c r="D805" s="2">
        <v>13.1</v>
      </c>
      <c r="E805" s="2">
        <v>2.8</v>
      </c>
      <c r="F805" s="2">
        <v>2.7</v>
      </c>
      <c r="G805" s="2">
        <v>2.4</v>
      </c>
      <c r="H805" s="2" t="s">
        <v>28</v>
      </c>
    </row>
    <row r="806" spans="1:8" ht="15.5" x14ac:dyDescent="0.35">
      <c r="A806" s="2" t="s">
        <v>92</v>
      </c>
      <c r="B806" s="2">
        <v>13.7</v>
      </c>
      <c r="C806" s="2">
        <v>13.6</v>
      </c>
      <c r="D806" s="2">
        <v>13.6</v>
      </c>
      <c r="E806" s="2">
        <v>3.2</v>
      </c>
      <c r="F806" s="2">
        <v>2.8</v>
      </c>
      <c r="G806" s="2">
        <v>3.5</v>
      </c>
      <c r="H806" s="2" t="s">
        <v>28</v>
      </c>
    </row>
    <row r="807" spans="1:8" ht="15.5" x14ac:dyDescent="0.35">
      <c r="A807" s="2" t="s">
        <v>93</v>
      </c>
      <c r="B807" s="2">
        <v>14.7</v>
      </c>
      <c r="C807" s="2">
        <v>14.8</v>
      </c>
      <c r="D807" s="2">
        <v>15.5</v>
      </c>
      <c r="E807" s="2">
        <v>3.7</v>
      </c>
      <c r="F807" s="2">
        <v>3.9</v>
      </c>
      <c r="G807" s="2">
        <v>3.7</v>
      </c>
      <c r="H807" s="2" t="s">
        <v>28</v>
      </c>
    </row>
    <row r="808" spans="1:8" ht="15.5" x14ac:dyDescent="0.35">
      <c r="A808" s="2" t="s">
        <v>94</v>
      </c>
      <c r="B808" s="2">
        <v>13.2</v>
      </c>
      <c r="C808" s="2">
        <v>13.4</v>
      </c>
      <c r="D808" s="2">
        <v>14.3</v>
      </c>
      <c r="E808" s="2">
        <v>3.8</v>
      </c>
      <c r="F808" s="2">
        <v>4.0999999999999996</v>
      </c>
      <c r="G808" s="2">
        <v>3.3</v>
      </c>
      <c r="H808" s="2" t="s">
        <v>28</v>
      </c>
    </row>
    <row r="809" spans="1:8" ht="15.5" x14ac:dyDescent="0.35">
      <c r="A809" s="2" t="s">
        <v>95</v>
      </c>
      <c r="B809" s="2">
        <v>12</v>
      </c>
      <c r="C809" s="2">
        <v>12.3</v>
      </c>
      <c r="D809" s="2">
        <v>12.9</v>
      </c>
      <c r="E809" s="2">
        <v>3.2</v>
      </c>
      <c r="F809" s="2">
        <v>3.5</v>
      </c>
      <c r="G809" s="2">
        <v>3.5</v>
      </c>
      <c r="H809" s="2" t="s">
        <v>28</v>
      </c>
    </row>
    <row r="810" spans="1:8" ht="15.5" x14ac:dyDescent="0.35">
      <c r="A810" s="2" t="s">
        <v>96</v>
      </c>
      <c r="B810" s="2">
        <v>12</v>
      </c>
      <c r="C810" s="2">
        <v>12.2</v>
      </c>
      <c r="D810" s="2">
        <v>13.2</v>
      </c>
      <c r="E810" s="2">
        <v>4</v>
      </c>
      <c r="F810" s="2">
        <v>4.7</v>
      </c>
      <c r="G810" s="2">
        <v>3.7</v>
      </c>
      <c r="H810" s="2" t="s">
        <v>28</v>
      </c>
    </row>
    <row r="811" spans="1:8" ht="15.5" x14ac:dyDescent="0.35">
      <c r="A811" s="2" t="s">
        <v>97</v>
      </c>
      <c r="B811" s="2">
        <v>10.7</v>
      </c>
      <c r="C811" s="2">
        <v>11</v>
      </c>
      <c r="D811" s="2">
        <v>11.6</v>
      </c>
      <c r="E811" s="2">
        <v>3.4</v>
      </c>
      <c r="F811" s="2">
        <v>3.5</v>
      </c>
      <c r="G811" s="2">
        <v>3.9</v>
      </c>
      <c r="H811" s="2" t="s">
        <v>28</v>
      </c>
    </row>
    <row r="812" spans="1:8" ht="15.5" x14ac:dyDescent="0.35">
      <c r="A812" s="2" t="s">
        <v>98</v>
      </c>
      <c r="B812" s="2">
        <v>10.4</v>
      </c>
      <c r="C812" s="2">
        <v>10.8</v>
      </c>
      <c r="D812" s="2">
        <v>11.4</v>
      </c>
      <c r="E812" s="2">
        <v>4.0999999999999996</v>
      </c>
      <c r="F812" s="2">
        <v>4.0999999999999996</v>
      </c>
      <c r="G812" s="2">
        <v>4.5999999999999996</v>
      </c>
      <c r="H812" s="2" t="s">
        <v>28</v>
      </c>
    </row>
    <row r="813" spans="1:8" ht="15.5" x14ac:dyDescent="0.35">
      <c r="A813" s="2" t="s">
        <v>99</v>
      </c>
      <c r="B813" s="2">
        <v>12</v>
      </c>
      <c r="C813" s="2">
        <v>12.2</v>
      </c>
      <c r="D813" s="2">
        <v>12.7</v>
      </c>
      <c r="E813" s="2">
        <v>5</v>
      </c>
      <c r="F813" s="2">
        <v>5</v>
      </c>
      <c r="G813" s="2">
        <v>5.4</v>
      </c>
      <c r="H813" s="2" t="s">
        <v>28</v>
      </c>
    </row>
    <row r="814" spans="1:8" ht="15.5" x14ac:dyDescent="0.35">
      <c r="A814" s="2" t="s">
        <v>100</v>
      </c>
      <c r="B814" s="2">
        <v>10.8</v>
      </c>
      <c r="C814" s="2">
        <v>11</v>
      </c>
      <c r="D814" s="2">
        <v>11.9</v>
      </c>
      <c r="E814" s="2">
        <v>3.5</v>
      </c>
      <c r="F814" s="2">
        <v>3.8</v>
      </c>
      <c r="G814" s="2">
        <v>3.5</v>
      </c>
      <c r="H814" s="2" t="s">
        <v>28</v>
      </c>
    </row>
    <row r="815" spans="1:8" ht="15.5" x14ac:dyDescent="0.35">
      <c r="A815" s="2" t="s">
        <v>101</v>
      </c>
      <c r="B815" s="2">
        <v>14.7</v>
      </c>
      <c r="C815" s="2">
        <v>14.9</v>
      </c>
      <c r="D815" s="2">
        <v>15.4</v>
      </c>
      <c r="E815" s="2">
        <v>4.7</v>
      </c>
      <c r="F815" s="2">
        <v>4.9000000000000004</v>
      </c>
      <c r="G815" s="2">
        <v>4</v>
      </c>
      <c r="H815" s="2" t="s">
        <v>28</v>
      </c>
    </row>
    <row r="816" spans="1:8" ht="15.5" x14ac:dyDescent="0.35">
      <c r="A816" s="2" t="s">
        <v>102</v>
      </c>
      <c r="B816" s="2">
        <v>19.899999999999999</v>
      </c>
      <c r="C816" s="2">
        <v>20.8</v>
      </c>
      <c r="D816" s="2">
        <v>21.2</v>
      </c>
      <c r="E816" s="2">
        <v>9.6</v>
      </c>
      <c r="F816" s="2">
        <v>9.9</v>
      </c>
      <c r="G816" s="2">
        <v>12.5</v>
      </c>
      <c r="H816" s="2" t="s">
        <v>28</v>
      </c>
    </row>
    <row r="817" spans="1:8" ht="15.5" x14ac:dyDescent="0.35">
      <c r="A817" s="2" t="s">
        <v>103</v>
      </c>
      <c r="B817" s="2">
        <v>15.1</v>
      </c>
      <c r="C817" s="2">
        <v>14.3</v>
      </c>
      <c r="D817" s="2">
        <v>15.7</v>
      </c>
      <c r="E817" s="2">
        <v>7</v>
      </c>
      <c r="F817" s="2">
        <v>7.7</v>
      </c>
      <c r="G817" s="2">
        <v>4.4000000000000004</v>
      </c>
      <c r="H817" s="2" t="s">
        <v>28</v>
      </c>
    </row>
    <row r="818" spans="1:8" ht="15.5" x14ac:dyDescent="0.35">
      <c r="A818" s="2" t="s">
        <v>104</v>
      </c>
      <c r="B818" s="2">
        <v>16.3</v>
      </c>
      <c r="C818" s="2">
        <v>15.8</v>
      </c>
      <c r="D818" s="2">
        <v>16.2</v>
      </c>
      <c r="E818" s="2">
        <v>5.7</v>
      </c>
      <c r="F818" s="2">
        <v>5.9</v>
      </c>
      <c r="G818" s="2">
        <v>6.1</v>
      </c>
      <c r="H818" s="2" t="s">
        <v>28</v>
      </c>
    </row>
    <row r="819" spans="1:8" ht="15.5" x14ac:dyDescent="0.35">
      <c r="A819" s="2" t="s">
        <v>105</v>
      </c>
      <c r="B819" s="2">
        <v>14.8</v>
      </c>
      <c r="C819" s="2">
        <v>13.2</v>
      </c>
      <c r="D819" s="2">
        <v>13.8</v>
      </c>
      <c r="E819" s="2">
        <v>3.7</v>
      </c>
      <c r="F819" s="2">
        <v>3.8</v>
      </c>
      <c r="G819" s="2">
        <v>3.5</v>
      </c>
      <c r="H819" s="2" t="s">
        <v>28</v>
      </c>
    </row>
    <row r="820" spans="1:8" ht="15.5" x14ac:dyDescent="0.35">
      <c r="A820" s="2" t="s">
        <v>106</v>
      </c>
      <c r="B820" s="2">
        <v>6.8</v>
      </c>
      <c r="C820" s="2">
        <v>5.4</v>
      </c>
      <c r="D820" s="2">
        <v>6.8</v>
      </c>
      <c r="E820" s="2">
        <v>-3.9</v>
      </c>
      <c r="F820" s="2">
        <v>-3.7</v>
      </c>
      <c r="G820" s="2">
        <v>-7.4</v>
      </c>
      <c r="H820" s="2" t="s">
        <v>28</v>
      </c>
    </row>
    <row r="821" spans="1:8" ht="15.5" x14ac:dyDescent="0.35">
      <c r="A821" s="2" t="s">
        <v>107</v>
      </c>
      <c r="B821" s="2">
        <v>13.8</v>
      </c>
      <c r="C821" s="2">
        <v>14</v>
      </c>
      <c r="D821" s="2">
        <v>13.4</v>
      </c>
      <c r="E821" s="2">
        <v>-2.7</v>
      </c>
      <c r="F821" s="2">
        <v>-2.7</v>
      </c>
      <c r="G821" s="2">
        <v>-1.2</v>
      </c>
      <c r="H821" s="2" t="s">
        <v>28</v>
      </c>
    </row>
    <row r="822" spans="1:8" ht="15.5" x14ac:dyDescent="0.35">
      <c r="A822" s="2" t="s">
        <v>108</v>
      </c>
      <c r="B822" s="2">
        <v>16</v>
      </c>
      <c r="C822" s="2">
        <v>16.2</v>
      </c>
      <c r="D822" s="2">
        <v>17.8</v>
      </c>
      <c r="E822" s="2">
        <v>-1.2</v>
      </c>
      <c r="F822" s="2">
        <v>-0.8</v>
      </c>
      <c r="G822" s="2">
        <v>-0.8</v>
      </c>
      <c r="H822" s="2" t="s">
        <v>28</v>
      </c>
    </row>
    <row r="823" spans="1:8" ht="15.5" x14ac:dyDescent="0.35">
      <c r="A823" s="2" t="s">
        <v>109</v>
      </c>
      <c r="B823" s="2">
        <v>16.100000000000001</v>
      </c>
      <c r="C823" s="2">
        <v>17.3</v>
      </c>
      <c r="D823" s="2">
        <v>18.7</v>
      </c>
      <c r="E823" s="2">
        <v>-2.2000000000000002</v>
      </c>
      <c r="F823" s="2">
        <v>-2</v>
      </c>
      <c r="G823" s="2">
        <v>-0.7</v>
      </c>
      <c r="H823" s="2" t="s">
        <v>28</v>
      </c>
    </row>
    <row r="824" spans="1:8" ht="15.5" x14ac:dyDescent="0.35">
      <c r="A824" s="2" t="s">
        <v>110</v>
      </c>
      <c r="B824" s="2">
        <v>25.6</v>
      </c>
      <c r="C824" s="2">
        <v>26.9</v>
      </c>
      <c r="D824" s="2">
        <v>27.7</v>
      </c>
      <c r="E824" s="2">
        <v>0.6</v>
      </c>
      <c r="F824" s="2">
        <v>0.7</v>
      </c>
      <c r="G824" s="2">
        <v>1.9</v>
      </c>
      <c r="H824" s="2" t="s">
        <v>28</v>
      </c>
    </row>
    <row r="825" spans="1:8" ht="15.5" x14ac:dyDescent="0.35">
      <c r="A825" s="2" t="s">
        <v>111</v>
      </c>
      <c r="B825" s="2">
        <v>22.8</v>
      </c>
      <c r="C825" s="2">
        <v>24.2</v>
      </c>
      <c r="D825" s="2">
        <v>25.4</v>
      </c>
      <c r="E825" s="2">
        <v>-2.5</v>
      </c>
      <c r="F825" s="2">
        <v>-2.2000000000000002</v>
      </c>
      <c r="G825" s="2">
        <v>-2.5</v>
      </c>
      <c r="H825" s="2" t="s">
        <v>28</v>
      </c>
    </row>
    <row r="826" spans="1:8" ht="15.5" x14ac:dyDescent="0.35">
      <c r="A826" s="2" t="s">
        <v>112</v>
      </c>
      <c r="B826" s="2">
        <v>21.7</v>
      </c>
      <c r="C826" s="2">
        <v>22.4</v>
      </c>
      <c r="D826" s="2">
        <v>21.7</v>
      </c>
      <c r="E826" s="2">
        <v>-3.3</v>
      </c>
      <c r="F826" s="2">
        <v>-3.6</v>
      </c>
      <c r="G826" s="2">
        <v>-3.6</v>
      </c>
      <c r="H826" s="2" t="s">
        <v>28</v>
      </c>
    </row>
    <row r="827" spans="1:8" ht="15.5" x14ac:dyDescent="0.35">
      <c r="A827" s="2" t="s">
        <v>113</v>
      </c>
      <c r="B827" s="2">
        <v>23</v>
      </c>
      <c r="C827" s="2">
        <v>23.6</v>
      </c>
      <c r="D827" s="2">
        <v>22.7</v>
      </c>
      <c r="E827" s="2">
        <v>-0.8</v>
      </c>
      <c r="F827" s="2">
        <v>-0.8</v>
      </c>
      <c r="G827" s="2">
        <v>-1.6</v>
      </c>
      <c r="H827" s="2" t="s">
        <v>28</v>
      </c>
    </row>
    <row r="828" spans="1:8" ht="15.5" x14ac:dyDescent="0.35">
      <c r="A828" s="2" t="s">
        <v>114</v>
      </c>
      <c r="B828" s="2">
        <v>20.8</v>
      </c>
      <c r="C828" s="2">
        <v>21</v>
      </c>
      <c r="D828" s="2">
        <v>19.2</v>
      </c>
      <c r="E828" s="2">
        <v>0.8</v>
      </c>
      <c r="F828" s="2">
        <v>0.7</v>
      </c>
      <c r="G828" s="2">
        <v>0.8</v>
      </c>
      <c r="H828" s="2" t="s">
        <v>28</v>
      </c>
    </row>
    <row r="829" spans="1:8" ht="15.5" x14ac:dyDescent="0.35">
      <c r="A829" s="2" t="s">
        <v>115</v>
      </c>
      <c r="B829" s="2">
        <v>18.899999999999999</v>
      </c>
      <c r="C829" s="2">
        <v>18.5</v>
      </c>
      <c r="D829" s="2">
        <v>18.2</v>
      </c>
      <c r="E829" s="2">
        <v>2.4</v>
      </c>
      <c r="F829" s="2">
        <v>2.1</v>
      </c>
      <c r="G829" s="2">
        <v>2.2999999999999998</v>
      </c>
      <c r="H829" s="2" t="s">
        <v>28</v>
      </c>
    </row>
    <row r="830" spans="1:8" ht="15.5" x14ac:dyDescent="0.35">
      <c r="A830" s="2" t="s">
        <v>116</v>
      </c>
      <c r="B830" s="2">
        <v>18.399999999999999</v>
      </c>
      <c r="C830" s="2">
        <v>18.100000000000001</v>
      </c>
      <c r="D830" s="2">
        <v>17.8</v>
      </c>
      <c r="E830" s="2">
        <v>3.9</v>
      </c>
      <c r="F830" s="2">
        <v>3.9</v>
      </c>
      <c r="G830" s="2">
        <v>4.2</v>
      </c>
      <c r="H830" s="2" t="s">
        <v>28</v>
      </c>
    </row>
    <row r="831" spans="1:8" ht="15.5" x14ac:dyDescent="0.35">
      <c r="A831" s="2" t="s">
        <v>117</v>
      </c>
      <c r="B831" s="2">
        <v>18.8</v>
      </c>
      <c r="C831" s="2">
        <v>18.7</v>
      </c>
      <c r="D831" s="2">
        <v>17.8</v>
      </c>
      <c r="E831" s="2">
        <v>5</v>
      </c>
      <c r="F831" s="2">
        <v>4.5999999999999996</v>
      </c>
      <c r="G831" s="2">
        <v>4.5999999999999996</v>
      </c>
      <c r="H831" s="2" t="s">
        <v>28</v>
      </c>
    </row>
    <row r="832" spans="1:8" ht="15.5" x14ac:dyDescent="0.35">
      <c r="A832" s="2" t="s">
        <v>118</v>
      </c>
      <c r="B832" s="2">
        <v>16.3</v>
      </c>
      <c r="C832" s="2">
        <v>17.2</v>
      </c>
      <c r="D832" s="2">
        <v>17.100000000000001</v>
      </c>
      <c r="E832" s="2">
        <v>3.3</v>
      </c>
      <c r="F832" s="2">
        <v>3.6</v>
      </c>
      <c r="G832" s="2">
        <v>3.5</v>
      </c>
      <c r="H832" s="2" t="s">
        <v>28</v>
      </c>
    </row>
    <row r="833" spans="1:8" ht="15.5" x14ac:dyDescent="0.35">
      <c r="A833" s="2" t="s">
        <v>119</v>
      </c>
      <c r="B833" s="2">
        <v>16.2</v>
      </c>
      <c r="C833" s="2">
        <v>17.8</v>
      </c>
      <c r="D833" s="2">
        <v>17</v>
      </c>
      <c r="E833" s="2">
        <v>2.7</v>
      </c>
      <c r="F833" s="2">
        <v>2.5</v>
      </c>
      <c r="G833" s="2">
        <v>2.8</v>
      </c>
      <c r="H833" s="2" t="s">
        <v>28</v>
      </c>
    </row>
    <row r="834" spans="1:8" ht="15.5" x14ac:dyDescent="0.35">
      <c r="A834" s="2" t="s">
        <v>120</v>
      </c>
      <c r="B834" s="2">
        <v>15.3</v>
      </c>
      <c r="C834" s="2">
        <v>16.8</v>
      </c>
      <c r="D834" s="2">
        <v>15.9</v>
      </c>
      <c r="E834" s="2">
        <v>2.1</v>
      </c>
      <c r="F834" s="2">
        <v>1.8</v>
      </c>
      <c r="G834" s="2">
        <v>2</v>
      </c>
      <c r="H834" s="2" t="s">
        <v>28</v>
      </c>
    </row>
    <row r="835" spans="1:8" ht="15.5" x14ac:dyDescent="0.35">
      <c r="A835" s="2" t="s">
        <v>121</v>
      </c>
      <c r="B835" s="2">
        <v>13.7</v>
      </c>
      <c r="C835" s="2">
        <v>15</v>
      </c>
      <c r="D835" s="2">
        <v>14.8</v>
      </c>
      <c r="E835" s="2">
        <v>1.7</v>
      </c>
      <c r="F835" s="2">
        <v>1.4</v>
      </c>
      <c r="G835" s="2">
        <v>1.6</v>
      </c>
      <c r="H835" s="2" t="s">
        <v>28</v>
      </c>
    </row>
    <row r="836" spans="1:8" ht="15.5" x14ac:dyDescent="0.35">
      <c r="A836" s="2" t="s">
        <v>122</v>
      </c>
      <c r="B836" s="2">
        <v>15.9</v>
      </c>
      <c r="C836" s="2">
        <v>16</v>
      </c>
      <c r="D836" s="2">
        <v>16.399999999999999</v>
      </c>
      <c r="E836" s="2">
        <v>2.6</v>
      </c>
      <c r="F836" s="2">
        <v>1.8</v>
      </c>
      <c r="G836" s="2">
        <v>2.6</v>
      </c>
      <c r="H836" s="2" t="s">
        <v>28</v>
      </c>
    </row>
    <row r="837" spans="1:8" ht="15.5" x14ac:dyDescent="0.35">
      <c r="A837" s="2" t="s">
        <v>123</v>
      </c>
      <c r="B837" s="2">
        <v>17.5</v>
      </c>
      <c r="C837" s="2">
        <v>17</v>
      </c>
      <c r="D837" s="2">
        <v>17</v>
      </c>
      <c r="E837" s="2">
        <v>4.5</v>
      </c>
      <c r="F837" s="2">
        <v>4</v>
      </c>
      <c r="G837" s="2">
        <v>4</v>
      </c>
      <c r="H837" s="2" t="s">
        <v>28</v>
      </c>
    </row>
    <row r="838" spans="1:8" ht="15.5" x14ac:dyDescent="0.35">
      <c r="A838" s="2" t="s">
        <v>124</v>
      </c>
      <c r="B838" s="2">
        <v>17.600000000000001</v>
      </c>
      <c r="C838" s="2">
        <v>17</v>
      </c>
      <c r="D838" s="2">
        <v>17.5</v>
      </c>
      <c r="E838" s="2">
        <v>5.2</v>
      </c>
      <c r="F838" s="2">
        <v>4.9000000000000004</v>
      </c>
      <c r="G838" s="2">
        <v>5.8</v>
      </c>
      <c r="H838" s="2" t="s">
        <v>28</v>
      </c>
    </row>
    <row r="839" spans="1:8" ht="15.5" x14ac:dyDescent="0.35">
      <c r="A839" s="2" t="s">
        <v>125</v>
      </c>
      <c r="B839" s="2">
        <v>16.3</v>
      </c>
      <c r="C839" s="2">
        <v>16</v>
      </c>
      <c r="D839" s="2">
        <v>16.7</v>
      </c>
      <c r="E839" s="2">
        <v>4.4000000000000004</v>
      </c>
      <c r="F839" s="2">
        <v>4.0999999999999996</v>
      </c>
      <c r="G839" s="2">
        <v>4.2</v>
      </c>
      <c r="H839" s="2" t="s">
        <v>28</v>
      </c>
    </row>
    <row r="840" spans="1:8" ht="15.5" x14ac:dyDescent="0.35">
      <c r="A840" s="2" t="s">
        <v>126</v>
      </c>
      <c r="B840" s="2">
        <v>14.5</v>
      </c>
      <c r="C840" s="2">
        <v>14.3</v>
      </c>
      <c r="D840" s="2">
        <v>14.5</v>
      </c>
      <c r="E840" s="2">
        <v>3.1</v>
      </c>
      <c r="F840" s="2">
        <v>2.5</v>
      </c>
      <c r="G840" s="2">
        <v>4.2</v>
      </c>
      <c r="H840" s="2" t="s">
        <v>28</v>
      </c>
    </row>
    <row r="841" spans="1:8" ht="15.5" x14ac:dyDescent="0.35">
      <c r="A841" s="2" t="s">
        <v>127</v>
      </c>
      <c r="B841" s="2">
        <v>16.8</v>
      </c>
      <c r="C841" s="2">
        <v>17.600000000000001</v>
      </c>
      <c r="D841" s="2">
        <v>17.5</v>
      </c>
      <c r="E841" s="2">
        <v>6.4</v>
      </c>
      <c r="F841" s="2">
        <v>5.8</v>
      </c>
      <c r="G841" s="2">
        <v>6.1</v>
      </c>
      <c r="H841" s="2" t="s">
        <v>28</v>
      </c>
    </row>
    <row r="842" spans="1:8" ht="15.5" x14ac:dyDescent="0.35">
      <c r="A842" s="2" t="s">
        <v>128</v>
      </c>
      <c r="B842" s="2">
        <v>20.100000000000001</v>
      </c>
      <c r="C842" s="2">
        <v>20.3</v>
      </c>
      <c r="D842" s="2">
        <v>19.100000000000001</v>
      </c>
      <c r="E842" s="2">
        <v>2.7</v>
      </c>
      <c r="F842" s="2">
        <v>2.6</v>
      </c>
      <c r="G842" s="2">
        <v>2.8</v>
      </c>
      <c r="H842" s="2" t="s">
        <v>28</v>
      </c>
    </row>
    <row r="843" spans="1:8" ht="15.5" x14ac:dyDescent="0.35">
      <c r="A843" s="2" t="s">
        <v>129</v>
      </c>
      <c r="B843" s="2">
        <v>21.3</v>
      </c>
      <c r="C843" s="2">
        <v>22.3</v>
      </c>
      <c r="D843" s="2">
        <v>20</v>
      </c>
      <c r="E843" s="2">
        <v>2.8</v>
      </c>
      <c r="F843" s="2">
        <v>2.4</v>
      </c>
      <c r="G843" s="2">
        <v>2</v>
      </c>
      <c r="H843" s="2" t="s">
        <v>28</v>
      </c>
    </row>
    <row r="844" spans="1:8" ht="15.5" x14ac:dyDescent="0.35">
      <c r="A844" s="2" t="s">
        <v>130</v>
      </c>
      <c r="B844" s="2">
        <v>21.9</v>
      </c>
      <c r="C844" s="2">
        <v>23</v>
      </c>
      <c r="D844" s="2">
        <v>20.399999999999999</v>
      </c>
      <c r="E844" s="2">
        <v>2.1</v>
      </c>
      <c r="F844" s="2">
        <v>1.7</v>
      </c>
      <c r="G844" s="2">
        <v>2.1</v>
      </c>
      <c r="H844" s="2" t="s">
        <v>28</v>
      </c>
    </row>
    <row r="845" spans="1:8" ht="15.5" x14ac:dyDescent="0.35">
      <c r="A845" s="2" t="s">
        <v>131</v>
      </c>
      <c r="B845" s="2">
        <v>17.399999999999999</v>
      </c>
      <c r="C845" s="2">
        <v>18</v>
      </c>
      <c r="D845" s="2">
        <v>16.600000000000001</v>
      </c>
      <c r="E845" s="2">
        <v>-4.0999999999999996</v>
      </c>
      <c r="F845" s="2">
        <v>-3.6</v>
      </c>
      <c r="G845" s="2">
        <v>-4.0999999999999996</v>
      </c>
      <c r="H845" s="2" t="s">
        <v>28</v>
      </c>
    </row>
    <row r="846" spans="1:8" ht="15.5" x14ac:dyDescent="0.35">
      <c r="A846" s="2" t="s">
        <v>132</v>
      </c>
      <c r="B846" s="2">
        <v>15.4</v>
      </c>
      <c r="C846" s="2">
        <v>16.3</v>
      </c>
      <c r="D846" s="2">
        <v>16</v>
      </c>
      <c r="E846" s="2">
        <v>-2</v>
      </c>
      <c r="F846" s="2">
        <v>-2</v>
      </c>
      <c r="G846" s="2">
        <v>-2.2999999999999998</v>
      </c>
      <c r="H846" s="2" t="s">
        <v>28</v>
      </c>
    </row>
    <row r="847" spans="1:8" ht="15.5" x14ac:dyDescent="0.35">
      <c r="A847" s="2" t="s">
        <v>133</v>
      </c>
      <c r="B847" s="2">
        <v>14.3</v>
      </c>
      <c r="C847" s="2">
        <v>14</v>
      </c>
      <c r="D847" s="2">
        <v>14.5</v>
      </c>
      <c r="E847" s="2">
        <v>-4</v>
      </c>
      <c r="F847" s="2">
        <v>-4</v>
      </c>
      <c r="G847" s="2">
        <v>-3.7</v>
      </c>
      <c r="H847" s="2" t="s">
        <v>28</v>
      </c>
    </row>
    <row r="848" spans="1:8" ht="15.5" x14ac:dyDescent="0.35">
      <c r="A848" s="2" t="s">
        <v>134</v>
      </c>
      <c r="B848" s="2">
        <v>13.3</v>
      </c>
      <c r="C848" s="2">
        <v>12.7</v>
      </c>
      <c r="D848" s="2">
        <v>13.9</v>
      </c>
      <c r="E848" s="2">
        <v>-3.1</v>
      </c>
      <c r="F848" s="2">
        <v>-2.8</v>
      </c>
      <c r="G848" s="2">
        <v>-2.6</v>
      </c>
      <c r="H848" s="2" t="s">
        <v>28</v>
      </c>
    </row>
    <row r="849" spans="1:8" ht="15.5" x14ac:dyDescent="0.35">
      <c r="A849" s="2" t="s">
        <v>135</v>
      </c>
      <c r="B849" s="2">
        <v>12.9</v>
      </c>
      <c r="C849" s="2">
        <v>12.1</v>
      </c>
      <c r="D849" s="2">
        <v>12.4</v>
      </c>
      <c r="E849" s="2">
        <v>-0.9</v>
      </c>
      <c r="F849" s="2">
        <v>-0.8</v>
      </c>
      <c r="G849" s="2">
        <v>-1.2</v>
      </c>
      <c r="H849" s="2" t="s">
        <v>28</v>
      </c>
    </row>
    <row r="850" spans="1:8" ht="15.5" x14ac:dyDescent="0.35">
      <c r="A850" s="2" t="s">
        <v>136</v>
      </c>
      <c r="B850" s="2">
        <v>11.1</v>
      </c>
      <c r="C850" s="2">
        <v>11.3</v>
      </c>
      <c r="D850" s="2">
        <v>11.4</v>
      </c>
      <c r="E850" s="2">
        <v>0.4</v>
      </c>
      <c r="F850" s="2">
        <v>0.5</v>
      </c>
      <c r="G850" s="2">
        <v>0.2</v>
      </c>
      <c r="H850" s="2" t="s">
        <v>28</v>
      </c>
    </row>
    <row r="851" spans="1:8" ht="15.5" x14ac:dyDescent="0.35">
      <c r="A851" s="2" t="s">
        <v>137</v>
      </c>
      <c r="B851" s="2">
        <v>11</v>
      </c>
      <c r="C851" s="2">
        <v>11.1</v>
      </c>
      <c r="D851" s="2">
        <v>11.1</v>
      </c>
      <c r="E851" s="2">
        <v>1.5</v>
      </c>
      <c r="F851" s="2">
        <v>2.2000000000000002</v>
      </c>
      <c r="G851" s="2">
        <v>1.4</v>
      </c>
      <c r="H851" s="2" t="s">
        <v>28</v>
      </c>
    </row>
    <row r="852" spans="1:8" ht="15.5" x14ac:dyDescent="0.35">
      <c r="A852" s="2" t="s">
        <v>138</v>
      </c>
      <c r="B852" s="2">
        <v>10.199999999999999</v>
      </c>
      <c r="C852" s="2">
        <v>10.9</v>
      </c>
      <c r="D852" s="2">
        <v>9.8000000000000007</v>
      </c>
      <c r="E852" s="2">
        <v>1.8</v>
      </c>
      <c r="F852" s="2">
        <v>2.2000000000000002</v>
      </c>
      <c r="G852" s="2">
        <v>2.1</v>
      </c>
      <c r="H852" s="2" t="s">
        <v>28</v>
      </c>
    </row>
    <row r="853" spans="1:8" ht="15.5" x14ac:dyDescent="0.35">
      <c r="A853" s="2" t="s">
        <v>139</v>
      </c>
      <c r="B853" s="2">
        <v>10.4</v>
      </c>
      <c r="C853" s="2">
        <v>10.8</v>
      </c>
      <c r="D853" s="2">
        <v>9.9</v>
      </c>
      <c r="E853" s="2">
        <v>2.5</v>
      </c>
      <c r="F853" s="2">
        <v>2.8</v>
      </c>
      <c r="G853" s="2">
        <v>2.2999999999999998</v>
      </c>
      <c r="H853" s="2" t="s">
        <v>28</v>
      </c>
    </row>
    <row r="854" spans="1:8" ht="15.5" x14ac:dyDescent="0.35">
      <c r="A854" s="2" t="s">
        <v>140</v>
      </c>
      <c r="B854" s="2">
        <v>9.6999999999999993</v>
      </c>
      <c r="C854" s="2">
        <v>9.6999999999999993</v>
      </c>
      <c r="D854" s="2">
        <v>8.6999999999999993</v>
      </c>
      <c r="E854" s="2">
        <v>1.5</v>
      </c>
      <c r="F854" s="2">
        <v>2</v>
      </c>
      <c r="G854" s="2">
        <v>1.3</v>
      </c>
      <c r="H854" s="2" t="s">
        <v>28</v>
      </c>
    </row>
    <row r="855" spans="1:8" ht="15.5" x14ac:dyDescent="0.35">
      <c r="A855" s="2" t="s">
        <v>141</v>
      </c>
      <c r="B855" s="2">
        <v>9.3000000000000007</v>
      </c>
      <c r="C855" s="2">
        <v>9.3000000000000007</v>
      </c>
      <c r="D855" s="2">
        <v>8.6</v>
      </c>
      <c r="E855" s="2">
        <v>2.1</v>
      </c>
      <c r="F855" s="2">
        <v>2.1</v>
      </c>
      <c r="G855" s="2">
        <v>2.2000000000000002</v>
      </c>
      <c r="H855" s="2" t="s">
        <v>28</v>
      </c>
    </row>
    <row r="856" spans="1:8" ht="15.5" x14ac:dyDescent="0.35">
      <c r="A856" s="2" t="s">
        <v>142</v>
      </c>
      <c r="B856" s="2">
        <v>11.6</v>
      </c>
      <c r="C856" s="2">
        <v>10.7</v>
      </c>
      <c r="D856" s="2">
        <v>10.8</v>
      </c>
      <c r="E856" s="2">
        <v>3.9</v>
      </c>
      <c r="F856" s="2">
        <v>4.4000000000000004</v>
      </c>
      <c r="G856" s="2">
        <v>3.9</v>
      </c>
      <c r="H856" s="2" t="s">
        <v>28</v>
      </c>
    </row>
    <row r="857" spans="1:8" ht="15.5" x14ac:dyDescent="0.35">
      <c r="A857" s="2" t="s">
        <v>143</v>
      </c>
      <c r="B857" s="2">
        <v>9.6</v>
      </c>
      <c r="C857" s="2">
        <v>9.1999999999999993</v>
      </c>
      <c r="D857" s="2">
        <v>9.1999999999999993</v>
      </c>
      <c r="E857" s="2">
        <v>3.6</v>
      </c>
      <c r="F857" s="2">
        <v>3.5</v>
      </c>
      <c r="G857" s="2">
        <v>3.3</v>
      </c>
      <c r="H857" s="2" t="s">
        <v>28</v>
      </c>
    </row>
    <row r="858" spans="1:8" ht="15.5" x14ac:dyDescent="0.35">
      <c r="A858" s="2" t="s">
        <v>144</v>
      </c>
      <c r="B858" s="2">
        <v>11.3</v>
      </c>
      <c r="C858" s="2">
        <v>10.199999999999999</v>
      </c>
      <c r="D858" s="2">
        <v>10.6</v>
      </c>
      <c r="E858" s="2">
        <v>4.5999999999999996</v>
      </c>
      <c r="F858" s="2">
        <v>4.3</v>
      </c>
      <c r="G858" s="2">
        <v>4.5999999999999996</v>
      </c>
      <c r="H858" s="2" t="s">
        <v>28</v>
      </c>
    </row>
    <row r="859" spans="1:8" ht="15.5" x14ac:dyDescent="0.35">
      <c r="A859" s="2" t="s">
        <v>145</v>
      </c>
      <c r="B859" s="2">
        <v>9.8000000000000007</v>
      </c>
      <c r="C859" s="2">
        <v>9.6999999999999993</v>
      </c>
      <c r="D859" s="2">
        <v>9.9</v>
      </c>
      <c r="E859" s="2">
        <v>4.5999999999999996</v>
      </c>
      <c r="F859" s="2">
        <v>4.4000000000000004</v>
      </c>
      <c r="G859" s="2">
        <v>4.8</v>
      </c>
      <c r="H859" s="2" t="s">
        <v>28</v>
      </c>
    </row>
    <row r="860" spans="1:8" ht="15.5" x14ac:dyDescent="0.35">
      <c r="A860" s="2" t="s">
        <v>146</v>
      </c>
      <c r="B860" s="2">
        <v>7.3</v>
      </c>
      <c r="C860" s="2">
        <v>6.9</v>
      </c>
      <c r="D860" s="2">
        <v>6.5</v>
      </c>
      <c r="E860" s="2">
        <v>3.5</v>
      </c>
      <c r="F860" s="2">
        <v>3.2</v>
      </c>
      <c r="G860" s="2">
        <v>3.4</v>
      </c>
      <c r="H860" s="2" t="s">
        <v>28</v>
      </c>
    </row>
    <row r="861" spans="1:8" ht="15.5" x14ac:dyDescent="0.35">
      <c r="A861" s="2" t="s">
        <v>147</v>
      </c>
      <c r="B861" s="2">
        <v>8.1999999999999993</v>
      </c>
      <c r="C861" s="2">
        <v>8.3000000000000007</v>
      </c>
      <c r="D861" s="2">
        <v>8.1</v>
      </c>
      <c r="E861" s="2">
        <v>1.8</v>
      </c>
      <c r="F861" s="2">
        <v>1.6</v>
      </c>
      <c r="G861" s="2">
        <v>2.1</v>
      </c>
      <c r="H861" s="2" t="s">
        <v>28</v>
      </c>
    </row>
    <row r="862" spans="1:8" ht="15.5" x14ac:dyDescent="0.35">
      <c r="A862" s="2" t="s">
        <v>148</v>
      </c>
      <c r="B862" s="2">
        <v>6.6</v>
      </c>
      <c r="C862" s="2">
        <v>7.1</v>
      </c>
      <c r="D862" s="2">
        <v>6.7</v>
      </c>
      <c r="E862" s="2">
        <v>1.3</v>
      </c>
      <c r="F862" s="2">
        <v>1</v>
      </c>
      <c r="G862" s="2">
        <v>0.8</v>
      </c>
      <c r="H862" s="2" t="s">
        <v>28</v>
      </c>
    </row>
    <row r="863" spans="1:8" ht="15.5" x14ac:dyDescent="0.35">
      <c r="A863" s="2" t="s">
        <v>149</v>
      </c>
      <c r="B863" s="2">
        <v>9.3000000000000007</v>
      </c>
      <c r="C863" s="2">
        <v>8</v>
      </c>
      <c r="D863" s="2">
        <v>7.7</v>
      </c>
      <c r="E863" s="2">
        <v>2.4</v>
      </c>
      <c r="F863" s="2">
        <v>2</v>
      </c>
      <c r="G863" s="2">
        <v>2.7</v>
      </c>
      <c r="H863" s="2" t="s">
        <v>28</v>
      </c>
    </row>
    <row r="864" spans="1:8" ht="15.5" x14ac:dyDescent="0.35">
      <c r="A864" s="2" t="s">
        <v>150</v>
      </c>
      <c r="B864" s="2">
        <v>7.6</v>
      </c>
      <c r="C864" s="2">
        <v>8.5</v>
      </c>
      <c r="D864" s="2">
        <v>8.6</v>
      </c>
      <c r="E864" s="2">
        <v>2.5</v>
      </c>
      <c r="F864" s="2">
        <v>2.4</v>
      </c>
      <c r="G864" s="2">
        <v>3</v>
      </c>
      <c r="H864" s="2" t="s">
        <v>28</v>
      </c>
    </row>
    <row r="865" spans="1:8" ht="15.5" x14ac:dyDescent="0.35">
      <c r="A865" s="2" t="s">
        <v>151</v>
      </c>
      <c r="B865" s="2">
        <v>10.4</v>
      </c>
      <c r="C865" s="2">
        <v>10.5</v>
      </c>
      <c r="D865" s="2">
        <v>10.8</v>
      </c>
      <c r="E865" s="2">
        <v>5.8</v>
      </c>
      <c r="F865" s="2">
        <v>6</v>
      </c>
      <c r="G865" s="2">
        <v>5.7</v>
      </c>
      <c r="H865" s="2" t="s">
        <v>28</v>
      </c>
    </row>
    <row r="866" spans="1:8" ht="15.5" x14ac:dyDescent="0.35">
      <c r="A866" s="2" t="s">
        <v>152</v>
      </c>
      <c r="B866" s="2">
        <v>10.3</v>
      </c>
      <c r="C866" s="2">
        <v>10.9</v>
      </c>
      <c r="D866" s="2">
        <v>10.8</v>
      </c>
      <c r="E866" s="2">
        <v>5</v>
      </c>
      <c r="F866" s="2">
        <v>5.3</v>
      </c>
      <c r="G866" s="2">
        <v>4.8</v>
      </c>
      <c r="H866" s="2" t="s">
        <v>28</v>
      </c>
    </row>
    <row r="867" spans="1:8" ht="15.5" x14ac:dyDescent="0.35">
      <c r="A867" s="2" t="s">
        <v>153</v>
      </c>
      <c r="B867" s="2">
        <v>7.8</v>
      </c>
      <c r="C867" s="2">
        <v>9.1</v>
      </c>
      <c r="D867" s="2">
        <v>8.6999999999999993</v>
      </c>
      <c r="E867" s="2">
        <v>3.2</v>
      </c>
      <c r="F867" s="2">
        <v>3.5</v>
      </c>
      <c r="G867" s="2">
        <v>3</v>
      </c>
      <c r="H867" s="2" t="s">
        <v>28</v>
      </c>
    </row>
    <row r="868" spans="1:8" ht="15.5" x14ac:dyDescent="0.35">
      <c r="A868" s="2" t="s">
        <v>154</v>
      </c>
      <c r="B868" s="2">
        <v>10</v>
      </c>
      <c r="C868" s="2">
        <v>9.4</v>
      </c>
      <c r="D868" s="2">
        <v>9</v>
      </c>
      <c r="E868" s="2">
        <v>3.2</v>
      </c>
      <c r="F868" s="2">
        <v>2.7</v>
      </c>
      <c r="G868" s="2">
        <v>1.9</v>
      </c>
      <c r="H868" s="2" t="s">
        <v>28</v>
      </c>
    </row>
    <row r="869" spans="1:8" ht="15.5" x14ac:dyDescent="0.35">
      <c r="A869" s="2" t="s">
        <v>155</v>
      </c>
      <c r="B869" s="2">
        <v>7.3</v>
      </c>
      <c r="C869" s="2">
        <v>6.7</v>
      </c>
      <c r="D869" s="2">
        <v>5.7</v>
      </c>
      <c r="E869" s="2">
        <v>2</v>
      </c>
      <c r="F869" s="2">
        <v>1.6</v>
      </c>
      <c r="G869" s="2">
        <v>1.6</v>
      </c>
      <c r="H869" s="2" t="s">
        <v>28</v>
      </c>
    </row>
    <row r="870" spans="1:8" ht="15.5" x14ac:dyDescent="0.35">
      <c r="A870" s="2" t="s">
        <v>156</v>
      </c>
      <c r="B870" s="2">
        <v>7.1</v>
      </c>
      <c r="C870" s="2">
        <v>6.5</v>
      </c>
      <c r="D870" s="2">
        <v>5.9</v>
      </c>
      <c r="E870" s="2">
        <v>2.7</v>
      </c>
      <c r="F870" s="2">
        <v>2.7</v>
      </c>
      <c r="G870" s="2">
        <v>2.8</v>
      </c>
      <c r="H870" s="2" t="s">
        <v>28</v>
      </c>
    </row>
    <row r="871" spans="1:8" ht="15.5" x14ac:dyDescent="0.35">
      <c r="A871" s="2" t="s">
        <v>157</v>
      </c>
      <c r="B871" s="2">
        <v>8.9</v>
      </c>
      <c r="C871" s="2">
        <v>8.4</v>
      </c>
      <c r="D871" s="2">
        <v>8.1</v>
      </c>
      <c r="E871" s="2">
        <v>4.5999999999999996</v>
      </c>
      <c r="F871" s="2">
        <v>4.4000000000000004</v>
      </c>
      <c r="G871" s="2">
        <v>6.1</v>
      </c>
      <c r="H871" s="2" t="s">
        <v>28</v>
      </c>
    </row>
    <row r="872" spans="1:8" ht="15.5" x14ac:dyDescent="0.35">
      <c r="A872" s="2" t="s">
        <v>158</v>
      </c>
      <c r="B872" s="2">
        <v>9.9</v>
      </c>
      <c r="C872" s="2">
        <v>8.6999999999999993</v>
      </c>
      <c r="D872" s="2">
        <v>8.1</v>
      </c>
      <c r="E872" s="2">
        <v>4.2</v>
      </c>
      <c r="F872" s="2">
        <v>4.3</v>
      </c>
      <c r="G872" s="2">
        <v>3.9</v>
      </c>
      <c r="H872" s="2" t="s">
        <v>28</v>
      </c>
    </row>
    <row r="873" spans="1:8" ht="15.5" x14ac:dyDescent="0.35">
      <c r="A873" s="2" t="s">
        <v>159</v>
      </c>
      <c r="B873" s="2">
        <v>10.8</v>
      </c>
      <c r="C873" s="2">
        <v>10.6</v>
      </c>
      <c r="D873" s="2">
        <v>11</v>
      </c>
      <c r="E873" s="2">
        <v>4.8</v>
      </c>
      <c r="F873" s="2">
        <v>5.0999999999999996</v>
      </c>
      <c r="G873" s="2">
        <v>4.7</v>
      </c>
      <c r="H873" s="2" t="s">
        <v>28</v>
      </c>
    </row>
    <row r="874" spans="1:8" ht="15.5" x14ac:dyDescent="0.35">
      <c r="A874" s="2" t="s">
        <v>160</v>
      </c>
      <c r="B874" s="2">
        <v>14.2</v>
      </c>
      <c r="C874" s="2">
        <v>13.5</v>
      </c>
      <c r="D874" s="2">
        <v>13.8</v>
      </c>
      <c r="E874" s="2">
        <v>6.8</v>
      </c>
      <c r="F874" s="2">
        <v>6.3</v>
      </c>
      <c r="G874" s="2">
        <v>7.8</v>
      </c>
      <c r="H874" s="2" t="s">
        <v>28</v>
      </c>
    </row>
    <row r="875" spans="1:8" ht="15.5" x14ac:dyDescent="0.35">
      <c r="A875" s="2" t="s">
        <v>161</v>
      </c>
      <c r="B875" s="2">
        <v>12.1</v>
      </c>
      <c r="C875" s="2">
        <v>12.2</v>
      </c>
      <c r="D875" s="2">
        <v>12</v>
      </c>
      <c r="E875" s="2">
        <v>5.9</v>
      </c>
      <c r="F875" s="2">
        <v>5.8</v>
      </c>
      <c r="G875" s="2">
        <v>5.4</v>
      </c>
      <c r="H875" s="2" t="s">
        <v>28</v>
      </c>
    </row>
    <row r="876" spans="1:8" ht="15.5" x14ac:dyDescent="0.35">
      <c r="A876" s="2" t="s">
        <v>162</v>
      </c>
      <c r="B876" s="2">
        <v>12.2</v>
      </c>
      <c r="C876" s="2">
        <v>12.9</v>
      </c>
      <c r="D876" s="2">
        <v>13.3</v>
      </c>
      <c r="E876" s="2">
        <v>6.9</v>
      </c>
      <c r="F876" s="2">
        <v>6.9</v>
      </c>
      <c r="G876" s="2">
        <v>7.1</v>
      </c>
      <c r="H876" s="2" t="s">
        <v>28</v>
      </c>
    </row>
    <row r="877" spans="1:8" ht="15.5" x14ac:dyDescent="0.35">
      <c r="A877" s="2" t="s">
        <v>163</v>
      </c>
      <c r="B877" s="2">
        <v>12.5</v>
      </c>
      <c r="C877" s="2">
        <v>12.3</v>
      </c>
      <c r="D877" s="2">
        <v>11.8</v>
      </c>
      <c r="E877" s="2">
        <v>5.9</v>
      </c>
      <c r="F877" s="2">
        <v>5.5</v>
      </c>
      <c r="G877" s="2">
        <v>6.2</v>
      </c>
      <c r="H877" s="2" t="s">
        <v>28</v>
      </c>
    </row>
    <row r="878" spans="1:8" ht="15.5" x14ac:dyDescent="0.35">
      <c r="A878" s="2" t="s">
        <v>164</v>
      </c>
      <c r="B878" s="2">
        <v>10.7</v>
      </c>
      <c r="C878" s="2">
        <v>10.8</v>
      </c>
      <c r="D878" s="2">
        <v>10.7</v>
      </c>
      <c r="E878" s="2">
        <v>4.5999999999999996</v>
      </c>
      <c r="F878" s="2">
        <v>4.5999999999999996</v>
      </c>
      <c r="G878" s="2">
        <v>4.4000000000000004</v>
      </c>
      <c r="H878" s="2" t="s">
        <v>28</v>
      </c>
    </row>
    <row r="879" spans="1:8" ht="15.5" x14ac:dyDescent="0.35">
      <c r="A879" s="2" t="s">
        <v>165</v>
      </c>
      <c r="B879" s="2">
        <v>11.9</v>
      </c>
      <c r="C879" s="2">
        <v>11.7</v>
      </c>
      <c r="D879" s="2">
        <v>11.8</v>
      </c>
      <c r="E879" s="2">
        <v>4.3</v>
      </c>
      <c r="F879" s="2">
        <v>4.3</v>
      </c>
      <c r="G879" s="2">
        <v>4.2</v>
      </c>
      <c r="H879" s="2" t="s">
        <v>28</v>
      </c>
    </row>
    <row r="880" spans="1:8" ht="15.5" x14ac:dyDescent="0.35">
      <c r="A880" s="2" t="s">
        <v>166</v>
      </c>
      <c r="B880" s="2">
        <v>11.8</v>
      </c>
      <c r="C880" s="2">
        <v>11.6</v>
      </c>
      <c r="D880" s="2">
        <v>11.7</v>
      </c>
      <c r="E880" s="2">
        <v>3.1</v>
      </c>
      <c r="F880" s="2">
        <v>3.3</v>
      </c>
      <c r="G880" s="2">
        <v>2.1</v>
      </c>
      <c r="H880" s="2" t="s">
        <v>28</v>
      </c>
    </row>
    <row r="881" spans="1:8" ht="15.5" x14ac:dyDescent="0.35">
      <c r="A881" s="2" t="s">
        <v>167</v>
      </c>
      <c r="B881" s="2">
        <v>10.3</v>
      </c>
      <c r="C881" s="2">
        <v>10.7</v>
      </c>
      <c r="D881" s="2">
        <v>10.9</v>
      </c>
      <c r="E881" s="2">
        <v>3.2</v>
      </c>
      <c r="F881" s="2">
        <v>3.2</v>
      </c>
      <c r="G881" s="2">
        <v>3</v>
      </c>
      <c r="H881" s="2" t="s">
        <v>28</v>
      </c>
    </row>
    <row r="882" spans="1:8" ht="15.5" x14ac:dyDescent="0.35">
      <c r="A882" s="2" t="s">
        <v>168</v>
      </c>
      <c r="B882" s="2">
        <v>10</v>
      </c>
      <c r="C882" s="2">
        <v>10.4</v>
      </c>
      <c r="D882" s="2">
        <v>10.8</v>
      </c>
      <c r="E882" s="2">
        <v>2.1</v>
      </c>
      <c r="F882" s="2">
        <v>2.1</v>
      </c>
      <c r="G882" s="2">
        <v>2.5</v>
      </c>
      <c r="H882" s="2" t="s">
        <v>28</v>
      </c>
    </row>
    <row r="883" spans="1:8" ht="15.5" x14ac:dyDescent="0.35">
      <c r="A883" s="2" t="s">
        <v>169</v>
      </c>
      <c r="B883" s="2">
        <v>9.6999999999999993</v>
      </c>
      <c r="C883" s="2">
        <v>10</v>
      </c>
      <c r="D883" s="2">
        <v>10.6</v>
      </c>
      <c r="E883" s="2">
        <v>1.3</v>
      </c>
      <c r="F883" s="2">
        <v>1.4</v>
      </c>
      <c r="G883" s="2">
        <v>2.2000000000000002</v>
      </c>
      <c r="H883" s="2" t="s">
        <v>28</v>
      </c>
    </row>
    <row r="884" spans="1:8" ht="15.5" x14ac:dyDescent="0.35">
      <c r="A884" s="2" t="s">
        <v>170</v>
      </c>
      <c r="B884" s="2">
        <v>8.8000000000000007</v>
      </c>
      <c r="C884" s="2">
        <v>9.6999999999999993</v>
      </c>
      <c r="D884" s="2">
        <v>9.9</v>
      </c>
      <c r="E884" s="2">
        <v>1.3</v>
      </c>
      <c r="F884" s="2">
        <v>1.4</v>
      </c>
      <c r="G884" s="2">
        <v>0.7</v>
      </c>
      <c r="H884" s="2" t="s">
        <v>28</v>
      </c>
    </row>
    <row r="885" spans="1:8" ht="15.5" x14ac:dyDescent="0.35">
      <c r="A885" s="2" t="s">
        <v>171</v>
      </c>
      <c r="B885" s="2">
        <v>9.6</v>
      </c>
      <c r="C885" s="2">
        <v>10.199999999999999</v>
      </c>
      <c r="D885" s="2">
        <v>10.6</v>
      </c>
      <c r="E885" s="2">
        <v>1.3</v>
      </c>
      <c r="F885" s="2">
        <v>1.5</v>
      </c>
      <c r="G885" s="2">
        <v>0.9</v>
      </c>
      <c r="H885" s="2" t="s">
        <v>28</v>
      </c>
    </row>
    <row r="886" spans="1:8" ht="15.5" x14ac:dyDescent="0.35">
      <c r="A886" s="2" t="s">
        <v>172</v>
      </c>
      <c r="B886" s="2">
        <v>9.6999999999999993</v>
      </c>
      <c r="C886" s="2">
        <v>9.5</v>
      </c>
      <c r="D886" s="2">
        <v>9.8000000000000007</v>
      </c>
      <c r="E886" s="2">
        <v>0.1</v>
      </c>
      <c r="F886" s="2">
        <v>0.4</v>
      </c>
      <c r="G886" s="2">
        <v>1.3</v>
      </c>
      <c r="H886" s="2" t="s">
        <v>28</v>
      </c>
    </row>
    <row r="887" spans="1:8" ht="15.5" x14ac:dyDescent="0.35">
      <c r="A887" s="2" t="s">
        <v>173</v>
      </c>
      <c r="B887" s="2">
        <v>7.5</v>
      </c>
      <c r="C887" s="2">
        <v>7.3</v>
      </c>
      <c r="D887" s="2">
        <v>7.6</v>
      </c>
      <c r="E887" s="2">
        <v>-0.4</v>
      </c>
      <c r="F887" s="2">
        <v>-0.1</v>
      </c>
      <c r="G887" s="2">
        <v>-0.6</v>
      </c>
      <c r="H887" s="2" t="s">
        <v>28</v>
      </c>
    </row>
    <row r="888" spans="1:8" ht="15.5" x14ac:dyDescent="0.35">
      <c r="A888" s="2" t="s">
        <v>174</v>
      </c>
      <c r="B888" s="2">
        <v>6.3</v>
      </c>
      <c r="C888" s="2">
        <v>6.2</v>
      </c>
      <c r="D888" s="2">
        <v>6.1</v>
      </c>
      <c r="E888" s="2">
        <v>-1.4</v>
      </c>
      <c r="F888" s="2">
        <v>-1.2</v>
      </c>
      <c r="G888" s="2">
        <v>-1.8</v>
      </c>
      <c r="H888" s="2" t="s">
        <v>28</v>
      </c>
    </row>
    <row r="889" spans="1:8" ht="15.5" x14ac:dyDescent="0.35">
      <c r="A889" s="2" t="s">
        <v>175</v>
      </c>
      <c r="B889" s="2">
        <v>5.5</v>
      </c>
      <c r="C889" s="2">
        <v>5.4</v>
      </c>
      <c r="D889" s="2">
        <v>5.2</v>
      </c>
      <c r="E889" s="2">
        <v>-2.2000000000000002</v>
      </c>
      <c r="F889" s="2">
        <v>-1.7</v>
      </c>
      <c r="G889" s="2">
        <v>-2.2000000000000002</v>
      </c>
      <c r="H889" s="2" t="s">
        <v>28</v>
      </c>
    </row>
    <row r="890" spans="1:8" ht="15.5" x14ac:dyDescent="0.35">
      <c r="A890" s="2" t="s">
        <v>176</v>
      </c>
      <c r="B890" s="2">
        <v>3.8</v>
      </c>
      <c r="C890" s="2">
        <v>4.2</v>
      </c>
      <c r="D890" s="2">
        <v>3.4</v>
      </c>
      <c r="E890" s="2">
        <v>-1.3</v>
      </c>
      <c r="F890" s="2">
        <v>-0.8</v>
      </c>
      <c r="G890" s="2">
        <v>-1.4</v>
      </c>
      <c r="H890" s="2" t="s">
        <v>28</v>
      </c>
    </row>
    <row r="891" spans="1:8" ht="15.5" x14ac:dyDescent="0.35">
      <c r="A891" s="2" t="s">
        <v>177</v>
      </c>
      <c r="B891" s="2">
        <v>5</v>
      </c>
      <c r="C891" s="2">
        <v>5</v>
      </c>
      <c r="D891" s="2">
        <v>4</v>
      </c>
      <c r="E891" s="2">
        <v>-0.7</v>
      </c>
      <c r="F891" s="2">
        <v>-0.4</v>
      </c>
      <c r="G891" s="2">
        <v>-0.3</v>
      </c>
      <c r="H891" s="2" t="s">
        <v>28</v>
      </c>
    </row>
    <row r="892" spans="1:8" ht="15.5" x14ac:dyDescent="0.35">
      <c r="A892" s="2" t="s">
        <v>178</v>
      </c>
      <c r="B892" s="2">
        <v>5.4</v>
      </c>
      <c r="C892" s="2">
        <v>4.8</v>
      </c>
      <c r="D892" s="2">
        <v>4.3</v>
      </c>
      <c r="E892" s="2">
        <v>-0.2</v>
      </c>
      <c r="F892" s="2">
        <v>0</v>
      </c>
      <c r="G892" s="2">
        <v>1.2</v>
      </c>
      <c r="H892" s="2" t="s">
        <v>28</v>
      </c>
    </row>
    <row r="893" spans="1:8" ht="15.5" x14ac:dyDescent="0.35">
      <c r="A893" s="2" t="s">
        <v>179</v>
      </c>
      <c r="B893" s="2">
        <v>4.3</v>
      </c>
      <c r="C893" s="2">
        <v>3.5</v>
      </c>
      <c r="D893" s="2">
        <v>3.6</v>
      </c>
      <c r="E893" s="2">
        <v>-0.2</v>
      </c>
      <c r="F893" s="2">
        <v>0</v>
      </c>
      <c r="G893" s="2">
        <v>0.8</v>
      </c>
      <c r="H893" s="2" t="s">
        <v>28</v>
      </c>
    </row>
    <row r="894" spans="1:8" ht="15.5" x14ac:dyDescent="0.35">
      <c r="A894" s="2" t="s">
        <v>180</v>
      </c>
      <c r="B894" s="2">
        <v>4</v>
      </c>
      <c r="C894" s="2">
        <v>3</v>
      </c>
      <c r="D894" s="2">
        <v>3.2</v>
      </c>
      <c r="E894" s="2">
        <v>0.4</v>
      </c>
      <c r="F894" s="2">
        <v>0.5</v>
      </c>
      <c r="G894" s="2">
        <v>-0.2</v>
      </c>
      <c r="H894" s="2" t="s">
        <v>28</v>
      </c>
    </row>
    <row r="895" spans="1:8" ht="15.5" x14ac:dyDescent="0.35">
      <c r="A895" s="2" t="s">
        <v>181</v>
      </c>
      <c r="B895" s="2">
        <v>3.4</v>
      </c>
      <c r="C895" s="2">
        <v>3</v>
      </c>
      <c r="D895" s="2">
        <v>3.2</v>
      </c>
      <c r="E895" s="2">
        <v>1.1000000000000001</v>
      </c>
      <c r="F895" s="2">
        <v>1.1000000000000001</v>
      </c>
      <c r="G895" s="2">
        <v>-0.6</v>
      </c>
      <c r="H895" s="2" t="s">
        <v>28</v>
      </c>
    </row>
    <row r="896" spans="1:8" ht="15.5" x14ac:dyDescent="0.35">
      <c r="A896" s="2" t="s">
        <v>182</v>
      </c>
      <c r="B896" s="2">
        <v>4.5</v>
      </c>
      <c r="C896" s="2">
        <v>4.5</v>
      </c>
      <c r="D896" s="2">
        <v>4.9000000000000004</v>
      </c>
      <c r="E896" s="2">
        <v>1.6</v>
      </c>
      <c r="F896" s="2">
        <v>1.7</v>
      </c>
      <c r="G896" s="2">
        <v>1.6</v>
      </c>
      <c r="H896" s="2" t="s">
        <v>28</v>
      </c>
    </row>
    <row r="897" spans="1:8" ht="15.5" x14ac:dyDescent="0.35">
      <c r="A897" s="2" t="s">
        <v>183</v>
      </c>
      <c r="B897" s="2">
        <v>4.3</v>
      </c>
      <c r="C897" s="2">
        <v>4.4000000000000004</v>
      </c>
      <c r="D897" s="2">
        <v>4.4000000000000004</v>
      </c>
      <c r="E897" s="2">
        <v>2.2000000000000002</v>
      </c>
      <c r="F897" s="2">
        <v>2.2000000000000002</v>
      </c>
      <c r="G897" s="2">
        <v>1.7</v>
      </c>
      <c r="H897" s="2" t="s">
        <v>28</v>
      </c>
    </row>
    <row r="898" spans="1:8" ht="15.5" x14ac:dyDescent="0.35">
      <c r="A898" s="2" t="s">
        <v>184</v>
      </c>
      <c r="B898" s="2">
        <v>5.8</v>
      </c>
      <c r="C898" s="2">
        <v>6</v>
      </c>
      <c r="D898" s="2">
        <v>6.1</v>
      </c>
      <c r="E898" s="2">
        <v>2.7</v>
      </c>
      <c r="F898" s="2">
        <v>2.7</v>
      </c>
      <c r="G898" s="2">
        <v>2.8</v>
      </c>
      <c r="H898" s="2" t="s">
        <v>28</v>
      </c>
    </row>
    <row r="899" spans="1:8" ht="15.5" x14ac:dyDescent="0.35">
      <c r="A899" s="2" t="s">
        <v>185</v>
      </c>
      <c r="B899" s="2">
        <v>6.1</v>
      </c>
      <c r="C899" s="2">
        <v>6.5</v>
      </c>
      <c r="D899" s="2">
        <v>6.5</v>
      </c>
      <c r="E899" s="2">
        <v>2.6</v>
      </c>
      <c r="F899" s="2">
        <v>2.6</v>
      </c>
      <c r="G899" s="2">
        <v>2.9</v>
      </c>
      <c r="H899" s="2" t="s">
        <v>28</v>
      </c>
    </row>
    <row r="900" spans="1:8" ht="15.5" x14ac:dyDescent="0.35">
      <c r="A900" s="2" t="s">
        <v>186</v>
      </c>
      <c r="B900" s="2">
        <v>6.2</v>
      </c>
      <c r="C900" s="2">
        <v>5.4</v>
      </c>
      <c r="D900" s="2">
        <v>5.0999999999999996</v>
      </c>
      <c r="E900" s="2">
        <v>3.1</v>
      </c>
      <c r="F900" s="2">
        <v>3</v>
      </c>
      <c r="G900" s="2">
        <v>3.6</v>
      </c>
      <c r="H900" s="2" t="s">
        <v>28</v>
      </c>
    </row>
    <row r="901" spans="1:8" ht="15.5" x14ac:dyDescent="0.35">
      <c r="A901" s="2" t="s">
        <v>187</v>
      </c>
      <c r="B901" s="2">
        <v>6.1</v>
      </c>
      <c r="C901" s="2">
        <v>5.7</v>
      </c>
      <c r="D901" s="2">
        <v>5.4</v>
      </c>
      <c r="E901" s="2">
        <v>3.6</v>
      </c>
      <c r="F901" s="2">
        <v>3.3</v>
      </c>
      <c r="G901" s="2">
        <v>3.8</v>
      </c>
      <c r="H901" s="2" t="s">
        <v>28</v>
      </c>
    </row>
    <row r="902" spans="1:8" ht="15.5" x14ac:dyDescent="0.35">
      <c r="A902" s="2" t="s">
        <v>188</v>
      </c>
      <c r="B902" s="2">
        <v>5.6</v>
      </c>
      <c r="C902" s="2">
        <v>5</v>
      </c>
      <c r="D902" s="2">
        <v>4.5999999999999996</v>
      </c>
      <c r="E902" s="2">
        <v>3.7</v>
      </c>
      <c r="F902" s="2">
        <v>3.1</v>
      </c>
      <c r="G902" s="2">
        <v>3.4</v>
      </c>
      <c r="H902" s="2" t="s">
        <v>28</v>
      </c>
    </row>
    <row r="903" spans="1:8" ht="15.5" x14ac:dyDescent="0.35">
      <c r="A903" s="2" t="s">
        <v>189</v>
      </c>
      <c r="B903" s="2">
        <v>5.6</v>
      </c>
      <c r="C903" s="2">
        <v>5.0999999999999996</v>
      </c>
      <c r="D903" s="2">
        <v>4.9000000000000004</v>
      </c>
      <c r="E903" s="2">
        <v>3.4</v>
      </c>
      <c r="F903" s="2">
        <v>3</v>
      </c>
      <c r="G903" s="2">
        <v>2.9</v>
      </c>
      <c r="H903" s="2" t="s">
        <v>28</v>
      </c>
    </row>
    <row r="904" spans="1:8" ht="15.5" x14ac:dyDescent="0.35">
      <c r="A904" s="2" t="s">
        <v>190</v>
      </c>
      <c r="B904" s="2">
        <v>3.6</v>
      </c>
      <c r="C904" s="2">
        <v>4.4000000000000004</v>
      </c>
      <c r="D904" s="2">
        <v>4</v>
      </c>
      <c r="E904" s="2">
        <v>2.9</v>
      </c>
      <c r="F904" s="2">
        <v>2.7</v>
      </c>
      <c r="G904" s="2">
        <v>3</v>
      </c>
      <c r="H904" s="2" t="s">
        <v>28</v>
      </c>
    </row>
    <row r="905" spans="1:8" ht="15.5" x14ac:dyDescent="0.35">
      <c r="A905" s="2" t="s">
        <v>191</v>
      </c>
      <c r="B905" s="2">
        <v>4.7</v>
      </c>
      <c r="C905" s="2">
        <v>5</v>
      </c>
      <c r="D905" s="2">
        <v>4.3</v>
      </c>
      <c r="E905" s="2">
        <v>2.2000000000000002</v>
      </c>
      <c r="F905" s="2">
        <v>2</v>
      </c>
      <c r="G905" s="2">
        <v>1.4</v>
      </c>
      <c r="H905" s="2" t="s">
        <v>28</v>
      </c>
    </row>
    <row r="906" spans="1:8" ht="15.5" x14ac:dyDescent="0.35">
      <c r="A906" s="2" t="s">
        <v>192</v>
      </c>
      <c r="B906" s="2">
        <v>5.2</v>
      </c>
      <c r="C906" s="2">
        <v>5.6</v>
      </c>
      <c r="D906" s="2">
        <v>5.4</v>
      </c>
      <c r="E906" s="2">
        <v>2.2999999999999998</v>
      </c>
      <c r="F906" s="2">
        <v>2.2999999999999998</v>
      </c>
      <c r="G906" s="2">
        <v>2.2000000000000002</v>
      </c>
      <c r="H906" s="2" t="s">
        <v>28</v>
      </c>
    </row>
    <row r="907" spans="1:8" ht="15.5" x14ac:dyDescent="0.35">
      <c r="A907" s="2" t="s">
        <v>193</v>
      </c>
      <c r="B907" s="2">
        <v>5.6</v>
      </c>
      <c r="C907" s="2">
        <v>5.3</v>
      </c>
      <c r="D907" s="2">
        <v>5</v>
      </c>
      <c r="E907" s="2">
        <v>2.2000000000000002</v>
      </c>
      <c r="F907" s="2">
        <v>2.2000000000000002</v>
      </c>
      <c r="G907" s="2">
        <v>3</v>
      </c>
      <c r="H907" s="2" t="s">
        <v>28</v>
      </c>
    </row>
    <row r="908" spans="1:8" ht="15.5" x14ac:dyDescent="0.35">
      <c r="A908" s="2" t="s">
        <v>194</v>
      </c>
      <c r="B908" s="2">
        <v>6.9</v>
      </c>
      <c r="C908" s="2">
        <v>6.2</v>
      </c>
      <c r="D908" s="2">
        <v>6.1</v>
      </c>
      <c r="E908" s="2">
        <v>2.4</v>
      </c>
      <c r="F908" s="2">
        <v>2.7</v>
      </c>
      <c r="G908" s="2">
        <v>1.9</v>
      </c>
      <c r="H908" s="2" t="s">
        <v>28</v>
      </c>
    </row>
    <row r="909" spans="1:8" ht="15.5" x14ac:dyDescent="0.35">
      <c r="A909" s="2" t="s">
        <v>195</v>
      </c>
      <c r="B909" s="2">
        <v>7.8</v>
      </c>
      <c r="C909" s="2">
        <v>7.4</v>
      </c>
      <c r="D909" s="2">
        <v>7.8</v>
      </c>
      <c r="E909" s="2">
        <v>2.5</v>
      </c>
      <c r="F909" s="2">
        <v>3</v>
      </c>
      <c r="G909" s="2">
        <v>2.5</v>
      </c>
      <c r="H909" s="2" t="s">
        <v>28</v>
      </c>
    </row>
    <row r="910" spans="1:8" ht="15.5" x14ac:dyDescent="0.35">
      <c r="A910" s="2" t="s">
        <v>196</v>
      </c>
      <c r="B910" s="2">
        <v>6.7</v>
      </c>
      <c r="C910" s="2">
        <v>7.2</v>
      </c>
      <c r="D910" s="2">
        <v>7.4</v>
      </c>
      <c r="E910" s="2">
        <v>2.2999999999999998</v>
      </c>
      <c r="F910" s="2">
        <v>2.5</v>
      </c>
      <c r="G910" s="2">
        <v>2.6</v>
      </c>
      <c r="H910" s="2" t="s">
        <v>28</v>
      </c>
    </row>
    <row r="911" spans="1:8" ht="15.5" x14ac:dyDescent="0.35">
      <c r="A911" s="2" t="s">
        <v>197</v>
      </c>
      <c r="B911" s="2">
        <v>6.2</v>
      </c>
      <c r="C911" s="2">
        <v>6.7</v>
      </c>
      <c r="D911" s="2">
        <v>7</v>
      </c>
      <c r="E911" s="2">
        <v>3.3</v>
      </c>
      <c r="F911" s="2">
        <v>3.4</v>
      </c>
      <c r="G911" s="2">
        <v>3.3</v>
      </c>
      <c r="H911" s="2" t="s">
        <v>28</v>
      </c>
    </row>
    <row r="912" spans="1:8" ht="15.5" x14ac:dyDescent="0.35">
      <c r="A912" s="2" t="s">
        <v>198</v>
      </c>
      <c r="B912" s="2">
        <v>4.7</v>
      </c>
      <c r="C912" s="2">
        <v>5</v>
      </c>
      <c r="D912" s="2">
        <v>5</v>
      </c>
      <c r="E912" s="2">
        <v>4.2</v>
      </c>
      <c r="F912" s="2">
        <v>3.7</v>
      </c>
      <c r="G912" s="2">
        <v>5.9</v>
      </c>
      <c r="H912" s="2" t="s">
        <v>28</v>
      </c>
    </row>
    <row r="913" spans="1:8" ht="15.5" x14ac:dyDescent="0.35">
      <c r="A913" s="2" t="s">
        <v>199</v>
      </c>
      <c r="B913" s="2">
        <v>4.4000000000000004</v>
      </c>
      <c r="C913" s="2">
        <v>4.5</v>
      </c>
      <c r="D913" s="2">
        <v>3.7</v>
      </c>
      <c r="E913" s="2">
        <v>5.0999999999999996</v>
      </c>
      <c r="F913" s="2">
        <v>4.2</v>
      </c>
      <c r="G913" s="2">
        <v>7.3</v>
      </c>
      <c r="H913" s="2" t="s">
        <v>28</v>
      </c>
    </row>
    <row r="914" spans="1:8" ht="15.5" x14ac:dyDescent="0.35">
      <c r="A914" s="2" t="s">
        <v>200</v>
      </c>
      <c r="B914" s="2">
        <v>6.7</v>
      </c>
      <c r="C914" s="2">
        <v>6.3</v>
      </c>
      <c r="D914" s="2">
        <v>5.9</v>
      </c>
      <c r="E914" s="2">
        <v>5.0999999999999996</v>
      </c>
      <c r="F914" s="2">
        <v>4.3</v>
      </c>
      <c r="G914" s="2">
        <v>3.9</v>
      </c>
      <c r="H914" s="2" t="s">
        <v>28</v>
      </c>
    </row>
    <row r="915" spans="1:8" ht="15.5" x14ac:dyDescent="0.35">
      <c r="A915" s="2" t="s">
        <v>201</v>
      </c>
      <c r="B915" s="2">
        <v>3.8</v>
      </c>
      <c r="C915" s="2">
        <v>4</v>
      </c>
      <c r="D915" s="2">
        <v>3.1</v>
      </c>
      <c r="E915" s="2">
        <v>5.2</v>
      </c>
      <c r="F915" s="2">
        <v>4.4000000000000004</v>
      </c>
      <c r="G915" s="2">
        <v>2.7</v>
      </c>
      <c r="H915" s="2" t="s">
        <v>28</v>
      </c>
    </row>
    <row r="916" spans="1:8" ht="15.5" x14ac:dyDescent="0.35">
      <c r="A916" s="2" t="s">
        <v>202</v>
      </c>
      <c r="B916" s="2">
        <v>5.6</v>
      </c>
      <c r="C916" s="2">
        <v>5.9</v>
      </c>
      <c r="D916" s="2">
        <v>5.5</v>
      </c>
      <c r="E916" s="2">
        <v>4.3</v>
      </c>
      <c r="F916" s="2">
        <v>4</v>
      </c>
      <c r="G916" s="2">
        <v>4.7</v>
      </c>
      <c r="H916" s="2">
        <v>4</v>
      </c>
    </row>
    <row r="917" spans="1:8" ht="15.5" x14ac:dyDescent="0.35">
      <c r="A917" s="2" t="s">
        <v>203</v>
      </c>
      <c r="B917" s="2">
        <v>5.4</v>
      </c>
      <c r="C917" s="2">
        <v>5.0999999999999996</v>
      </c>
      <c r="D917" s="2">
        <v>4.9000000000000004</v>
      </c>
      <c r="E917" s="2">
        <v>3.7</v>
      </c>
      <c r="F917" s="2">
        <v>3.6</v>
      </c>
      <c r="G917" s="2">
        <v>2.5</v>
      </c>
      <c r="H917" s="2">
        <v>3.6</v>
      </c>
    </row>
    <row r="918" spans="1:8" ht="15.5" x14ac:dyDescent="0.35">
      <c r="A918" s="2" t="s">
        <v>204</v>
      </c>
      <c r="B918" s="2">
        <v>4.8</v>
      </c>
      <c r="C918" s="2">
        <v>2.5</v>
      </c>
      <c r="D918" s="2">
        <v>1.7</v>
      </c>
      <c r="E918" s="2">
        <v>2.9</v>
      </c>
      <c r="F918" s="2">
        <v>3.1</v>
      </c>
      <c r="G918" s="2">
        <v>2.1</v>
      </c>
      <c r="H918" s="2">
        <v>3.2</v>
      </c>
    </row>
    <row r="919" spans="1:8" ht="15.5" x14ac:dyDescent="0.35">
      <c r="A919" s="2" t="s">
        <v>205</v>
      </c>
      <c r="B919" s="2">
        <v>7.4</v>
      </c>
      <c r="C919" s="2">
        <v>5.0999999999999996</v>
      </c>
      <c r="D919" s="2">
        <v>5.0999999999999996</v>
      </c>
      <c r="E919" s="2">
        <v>2.1</v>
      </c>
      <c r="F919" s="2">
        <v>2.5</v>
      </c>
      <c r="G919" s="2">
        <v>3.8</v>
      </c>
      <c r="H919" s="2">
        <v>2.6</v>
      </c>
    </row>
    <row r="920" spans="1:8" ht="15.5" x14ac:dyDescent="0.35">
      <c r="A920" s="2" t="s">
        <v>206</v>
      </c>
      <c r="B920" s="2">
        <v>3.8</v>
      </c>
      <c r="C920" s="2">
        <v>4</v>
      </c>
      <c r="D920" s="2">
        <v>3.4</v>
      </c>
      <c r="E920" s="2">
        <v>2.1</v>
      </c>
      <c r="F920" s="2">
        <v>2.2000000000000002</v>
      </c>
      <c r="G920" s="2">
        <v>2.9</v>
      </c>
      <c r="H920" s="2">
        <v>2.2999999999999998</v>
      </c>
    </row>
    <row r="921" spans="1:8" ht="15.5" x14ac:dyDescent="0.35">
      <c r="A921" s="2" t="s">
        <v>207</v>
      </c>
      <c r="B921" s="2">
        <v>3</v>
      </c>
      <c r="C921" s="2">
        <v>3.9</v>
      </c>
      <c r="D921" s="2">
        <v>3.6</v>
      </c>
      <c r="E921" s="2">
        <v>1.9</v>
      </c>
      <c r="F921" s="2">
        <v>1.9</v>
      </c>
      <c r="G921" s="2">
        <v>1.6</v>
      </c>
      <c r="H921" s="2">
        <v>2</v>
      </c>
    </row>
    <row r="922" spans="1:8" ht="15.5" x14ac:dyDescent="0.35">
      <c r="A922" s="2" t="s">
        <v>208</v>
      </c>
      <c r="B922" s="2">
        <v>1.4</v>
      </c>
      <c r="C922" s="2">
        <v>4.3</v>
      </c>
      <c r="D922" s="2">
        <v>4</v>
      </c>
      <c r="E922" s="2">
        <v>3.4</v>
      </c>
      <c r="F922" s="2">
        <v>3.5</v>
      </c>
      <c r="G922" s="2">
        <v>4.0999999999999996</v>
      </c>
      <c r="H922" s="2">
        <v>3.5</v>
      </c>
    </row>
    <row r="923" spans="1:8" ht="15.5" x14ac:dyDescent="0.35">
      <c r="A923" s="2" t="s">
        <v>209</v>
      </c>
      <c r="B923" s="2">
        <v>3.4</v>
      </c>
      <c r="C923" s="2">
        <v>5.3</v>
      </c>
      <c r="D923" s="2">
        <v>4.8</v>
      </c>
      <c r="E923" s="2">
        <v>4.4000000000000004</v>
      </c>
      <c r="F923" s="2">
        <v>4.4000000000000004</v>
      </c>
      <c r="G923" s="2">
        <v>3.2</v>
      </c>
      <c r="H923" s="2">
        <v>4.4000000000000004</v>
      </c>
    </row>
    <row r="924" spans="1:8" ht="15.5" x14ac:dyDescent="0.35">
      <c r="A924" s="2" t="s">
        <v>210</v>
      </c>
      <c r="B924" s="2">
        <v>6.8</v>
      </c>
      <c r="C924" s="2">
        <v>6.4</v>
      </c>
      <c r="D924" s="2">
        <v>6.2</v>
      </c>
      <c r="E924" s="2">
        <v>5.0999999999999996</v>
      </c>
      <c r="F924" s="2">
        <v>5</v>
      </c>
      <c r="G924" s="2">
        <v>3.7</v>
      </c>
      <c r="H924" s="2">
        <v>5.0999999999999996</v>
      </c>
    </row>
    <row r="925" spans="1:8" ht="15.5" x14ac:dyDescent="0.35">
      <c r="A925" s="2" t="s">
        <v>211</v>
      </c>
      <c r="B925" s="2">
        <v>6.7</v>
      </c>
      <c r="C925" s="2">
        <v>6.3</v>
      </c>
      <c r="D925" s="2">
        <v>5.9</v>
      </c>
      <c r="E925" s="2">
        <v>5.4</v>
      </c>
      <c r="F925" s="2">
        <v>5.5</v>
      </c>
      <c r="G925" s="2">
        <v>6.3</v>
      </c>
      <c r="H925" s="2">
        <v>5.7</v>
      </c>
    </row>
    <row r="926" spans="1:8" ht="15.5" x14ac:dyDescent="0.35">
      <c r="A926" s="2" t="s">
        <v>212</v>
      </c>
      <c r="B926" s="2">
        <v>6.8</v>
      </c>
      <c r="C926" s="2">
        <v>5.6</v>
      </c>
      <c r="D926" s="2">
        <v>5.7</v>
      </c>
      <c r="E926" s="2">
        <v>4.3</v>
      </c>
      <c r="F926" s="2">
        <v>4.4000000000000004</v>
      </c>
      <c r="G926" s="2">
        <v>4.4000000000000004</v>
      </c>
      <c r="H926" s="2">
        <v>4.5999999999999996</v>
      </c>
    </row>
    <row r="927" spans="1:8" ht="15.5" x14ac:dyDescent="0.35">
      <c r="A927" s="2" t="s">
        <v>213</v>
      </c>
      <c r="B927" s="2">
        <v>4.5999999999999996</v>
      </c>
      <c r="C927" s="2">
        <v>3.9</v>
      </c>
      <c r="D927" s="2">
        <v>4.2</v>
      </c>
      <c r="E927" s="2">
        <v>3.3</v>
      </c>
      <c r="F927" s="2">
        <v>3.4</v>
      </c>
      <c r="G927" s="2">
        <v>3.8</v>
      </c>
      <c r="H927" s="2">
        <v>3.7</v>
      </c>
    </row>
    <row r="928" spans="1:8" ht="15.5" x14ac:dyDescent="0.35">
      <c r="A928" s="2" t="s">
        <v>214</v>
      </c>
      <c r="B928" s="2">
        <v>4.4000000000000004</v>
      </c>
      <c r="C928" s="2">
        <v>3.7</v>
      </c>
      <c r="D928" s="2">
        <v>4</v>
      </c>
      <c r="E928" s="2">
        <v>2.8</v>
      </c>
      <c r="F928" s="2">
        <v>3</v>
      </c>
      <c r="G928" s="2">
        <v>4.0999999999999996</v>
      </c>
      <c r="H928" s="2">
        <v>3.3</v>
      </c>
    </row>
    <row r="929" spans="1:8" ht="15.5" x14ac:dyDescent="0.35">
      <c r="A929" s="2" t="s">
        <v>215</v>
      </c>
      <c r="B929" s="2">
        <v>5.4</v>
      </c>
      <c r="C929" s="2">
        <v>4.5</v>
      </c>
      <c r="D929" s="2">
        <v>5</v>
      </c>
      <c r="E929" s="2">
        <v>2.5</v>
      </c>
      <c r="F929" s="2">
        <v>2.6</v>
      </c>
      <c r="G929" s="2">
        <v>1.5</v>
      </c>
      <c r="H929" s="2">
        <v>2.8</v>
      </c>
    </row>
    <row r="930" spans="1:8" ht="15.5" x14ac:dyDescent="0.35">
      <c r="A930" s="2" t="s">
        <v>216</v>
      </c>
      <c r="B930" s="2">
        <v>3.9</v>
      </c>
      <c r="C930" s="2">
        <v>4.4000000000000004</v>
      </c>
      <c r="D930" s="2">
        <v>4.7</v>
      </c>
      <c r="E930" s="2">
        <v>2.2999999999999998</v>
      </c>
      <c r="F930" s="2">
        <v>2.2999999999999998</v>
      </c>
      <c r="G930" s="2">
        <v>2.6</v>
      </c>
      <c r="H930" s="2">
        <v>2.5</v>
      </c>
    </row>
    <row r="931" spans="1:8" ht="15.5" x14ac:dyDescent="0.35">
      <c r="A931" s="2" t="s">
        <v>217</v>
      </c>
      <c r="B931" s="2">
        <v>3.9</v>
      </c>
      <c r="C931" s="2">
        <v>3.9</v>
      </c>
      <c r="D931" s="2">
        <v>4.0999999999999996</v>
      </c>
      <c r="E931" s="2">
        <v>2</v>
      </c>
      <c r="F931" s="2">
        <v>1.8</v>
      </c>
      <c r="G931" s="2">
        <v>1.5</v>
      </c>
      <c r="H931" s="2">
        <v>1.9</v>
      </c>
    </row>
    <row r="932" spans="1:8" ht="15.5" x14ac:dyDescent="0.35">
      <c r="A932" s="2" t="s">
        <v>218</v>
      </c>
      <c r="B932" s="2">
        <v>4</v>
      </c>
      <c r="C932" s="2">
        <v>3.6</v>
      </c>
      <c r="D932" s="2">
        <v>3.5</v>
      </c>
      <c r="E932" s="2">
        <v>1.5</v>
      </c>
      <c r="F932" s="2">
        <v>1.2</v>
      </c>
      <c r="G932" s="2">
        <v>1.4</v>
      </c>
      <c r="H932" s="2">
        <v>1.3</v>
      </c>
    </row>
    <row r="933" spans="1:8" ht="15.5" x14ac:dyDescent="0.35">
      <c r="A933" s="2" t="s">
        <v>219</v>
      </c>
      <c r="B933" s="2">
        <v>3</v>
      </c>
      <c r="C933" s="2">
        <v>3.3</v>
      </c>
      <c r="D933" s="2">
        <v>3.2</v>
      </c>
      <c r="E933" s="2">
        <v>1.6</v>
      </c>
      <c r="F933" s="2">
        <v>1.2</v>
      </c>
      <c r="G933" s="2">
        <v>1.6</v>
      </c>
      <c r="H933" s="2">
        <v>1.3</v>
      </c>
    </row>
    <row r="934" spans="1:8" ht="15.5" x14ac:dyDescent="0.35">
      <c r="A934" s="2" t="s">
        <v>220</v>
      </c>
      <c r="B934" s="2">
        <v>4.7</v>
      </c>
      <c r="C934" s="2">
        <v>3.6</v>
      </c>
      <c r="D934" s="2">
        <v>3.7</v>
      </c>
      <c r="E934" s="2">
        <v>1.7</v>
      </c>
      <c r="F934" s="2">
        <v>1.6</v>
      </c>
      <c r="G934" s="2">
        <v>2.2999999999999998</v>
      </c>
      <c r="H934" s="2">
        <v>1.8</v>
      </c>
    </row>
    <row r="935" spans="1:8" ht="15.5" x14ac:dyDescent="0.35">
      <c r="A935" s="2" t="s">
        <v>221</v>
      </c>
      <c r="B935" s="2">
        <v>6.1</v>
      </c>
      <c r="C935" s="2">
        <v>4.8</v>
      </c>
      <c r="D935" s="2">
        <v>4.9000000000000004</v>
      </c>
      <c r="E935" s="2">
        <v>2.1</v>
      </c>
      <c r="F935" s="2">
        <v>2.1</v>
      </c>
      <c r="G935" s="2">
        <v>1.5</v>
      </c>
      <c r="H935" s="2">
        <v>2.2000000000000002</v>
      </c>
    </row>
    <row r="936" spans="1:8" ht="15.5" x14ac:dyDescent="0.35">
      <c r="A936" s="2" t="s">
        <v>222</v>
      </c>
      <c r="B936" s="2">
        <v>5.3</v>
      </c>
      <c r="C936" s="2">
        <v>4.7</v>
      </c>
      <c r="D936" s="2">
        <v>4.9000000000000004</v>
      </c>
      <c r="E936" s="2">
        <v>2.6</v>
      </c>
      <c r="F936" s="2">
        <v>2.6</v>
      </c>
      <c r="G936" s="2">
        <v>3.1</v>
      </c>
      <c r="H936" s="2">
        <v>2.7</v>
      </c>
    </row>
    <row r="937" spans="1:8" ht="15.5" x14ac:dyDescent="0.35">
      <c r="A937" s="2" t="s">
        <v>223</v>
      </c>
      <c r="B937" s="2">
        <v>6</v>
      </c>
      <c r="C937" s="2">
        <v>5.6</v>
      </c>
      <c r="D937" s="2">
        <v>5.6</v>
      </c>
      <c r="E937" s="2">
        <v>3.1</v>
      </c>
      <c r="F937" s="2">
        <v>3.1</v>
      </c>
      <c r="G937" s="2">
        <v>3</v>
      </c>
      <c r="H937" s="2">
        <v>3.4</v>
      </c>
    </row>
    <row r="938" spans="1:8" ht="15.5" x14ac:dyDescent="0.35">
      <c r="A938" s="2" t="s">
        <v>224</v>
      </c>
      <c r="B938" s="2">
        <v>5.6</v>
      </c>
      <c r="C938" s="2">
        <v>6.3</v>
      </c>
      <c r="D938" s="2">
        <v>6.7</v>
      </c>
      <c r="E938" s="2">
        <v>3.5</v>
      </c>
      <c r="F938" s="2">
        <v>3.4</v>
      </c>
      <c r="G938" s="2">
        <v>2.7</v>
      </c>
      <c r="H938" s="2">
        <v>3.5</v>
      </c>
    </row>
    <row r="939" spans="1:8" ht="15.5" x14ac:dyDescent="0.35">
      <c r="A939" s="2" t="s">
        <v>225</v>
      </c>
      <c r="B939" s="2">
        <v>5.7</v>
      </c>
      <c r="C939" s="2">
        <v>6.1</v>
      </c>
      <c r="D939" s="2">
        <v>5.7</v>
      </c>
      <c r="E939" s="2">
        <v>3.6</v>
      </c>
      <c r="F939" s="2">
        <v>3.5</v>
      </c>
      <c r="G939" s="2">
        <v>4.0999999999999996</v>
      </c>
      <c r="H939" s="2">
        <v>3.7</v>
      </c>
    </row>
    <row r="940" spans="1:8" ht="15.5" x14ac:dyDescent="0.35">
      <c r="A940" s="2" t="s">
        <v>226</v>
      </c>
      <c r="B940" s="2">
        <v>4.4000000000000004</v>
      </c>
      <c r="C940" s="2">
        <v>5.4</v>
      </c>
      <c r="D940" s="2">
        <v>4.8</v>
      </c>
      <c r="E940" s="2">
        <v>3.1</v>
      </c>
      <c r="F940" s="2">
        <v>3</v>
      </c>
      <c r="G940" s="2">
        <v>2.2000000000000002</v>
      </c>
      <c r="H940" s="2">
        <v>3.2</v>
      </c>
    </row>
    <row r="941" spans="1:8" ht="15.5" x14ac:dyDescent="0.35">
      <c r="A941" s="2" t="s">
        <v>227</v>
      </c>
      <c r="B941" s="2">
        <v>5.3</v>
      </c>
      <c r="C941" s="2">
        <v>5.6</v>
      </c>
      <c r="D941" s="2">
        <v>5.6</v>
      </c>
      <c r="E941" s="2">
        <v>2.6</v>
      </c>
      <c r="F941" s="2">
        <v>2.4</v>
      </c>
      <c r="G941" s="2">
        <v>2.4</v>
      </c>
      <c r="H941" s="2">
        <v>2.4</v>
      </c>
    </row>
    <row r="942" spans="1:8" ht="15.5" x14ac:dyDescent="0.35">
      <c r="A942" s="2" t="s">
        <v>228</v>
      </c>
      <c r="B942" s="2">
        <v>4.0999999999999996</v>
      </c>
      <c r="C942" s="2">
        <v>4.3</v>
      </c>
      <c r="D942" s="2">
        <v>4</v>
      </c>
      <c r="E942" s="2">
        <v>2</v>
      </c>
      <c r="F942" s="2">
        <v>1.6</v>
      </c>
      <c r="G942" s="2">
        <v>3.2</v>
      </c>
      <c r="H942" s="2">
        <v>1.7</v>
      </c>
    </row>
    <row r="943" spans="1:8" ht="15.5" x14ac:dyDescent="0.35">
      <c r="A943" s="2" t="s">
        <v>229</v>
      </c>
      <c r="B943" s="2">
        <v>5.4</v>
      </c>
      <c r="C943" s="2">
        <v>5.2</v>
      </c>
      <c r="D943" s="2">
        <v>5.5</v>
      </c>
      <c r="E943" s="2">
        <v>1.6</v>
      </c>
      <c r="F943" s="2">
        <v>1.4</v>
      </c>
      <c r="G943" s="2">
        <v>1.5</v>
      </c>
      <c r="H943" s="2">
        <v>1.5</v>
      </c>
    </row>
    <row r="944" spans="1:8" ht="15.5" x14ac:dyDescent="0.35">
      <c r="A944" s="2" t="s">
        <v>230</v>
      </c>
      <c r="B944" s="2">
        <v>6.2</v>
      </c>
      <c r="C944" s="2">
        <v>5.4</v>
      </c>
      <c r="D944" s="2">
        <v>5.8</v>
      </c>
      <c r="E944" s="2">
        <v>2.1</v>
      </c>
      <c r="F944" s="2">
        <v>2.1</v>
      </c>
      <c r="G944" s="2">
        <v>2.7</v>
      </c>
      <c r="H944" s="2">
        <v>2.2000000000000002</v>
      </c>
    </row>
    <row r="945" spans="1:8" ht="15.5" x14ac:dyDescent="0.35">
      <c r="A945" s="2" t="s">
        <v>231</v>
      </c>
      <c r="B945" s="2">
        <v>6.8</v>
      </c>
      <c r="C945" s="2">
        <v>5.6</v>
      </c>
      <c r="D945" s="2">
        <v>5.8</v>
      </c>
      <c r="E945" s="2">
        <v>2.4</v>
      </c>
      <c r="F945" s="2">
        <v>2.7</v>
      </c>
      <c r="G945" s="2">
        <v>2.5</v>
      </c>
      <c r="H945" s="2">
        <v>2.9</v>
      </c>
    </row>
    <row r="946" spans="1:8" ht="15.5" x14ac:dyDescent="0.35">
      <c r="A946" s="2" t="s">
        <v>232</v>
      </c>
      <c r="B946" s="2">
        <v>6.7</v>
      </c>
      <c r="C946" s="2">
        <v>6.3</v>
      </c>
      <c r="D946" s="2">
        <v>6.2</v>
      </c>
      <c r="E946" s="2">
        <v>3</v>
      </c>
      <c r="F946" s="2">
        <v>3.4</v>
      </c>
      <c r="G946" s="2">
        <v>2.1</v>
      </c>
      <c r="H946" s="2">
        <v>3.7</v>
      </c>
    </row>
    <row r="947" spans="1:8" ht="15.5" x14ac:dyDescent="0.35">
      <c r="A947" s="2" t="s">
        <v>233</v>
      </c>
      <c r="B947" s="2">
        <v>4.2</v>
      </c>
      <c r="C947" s="2">
        <v>5.6</v>
      </c>
      <c r="D947" s="2">
        <v>5.8</v>
      </c>
      <c r="E947" s="2">
        <v>3.6</v>
      </c>
      <c r="F947" s="2">
        <v>4</v>
      </c>
      <c r="G947" s="2">
        <v>3.9</v>
      </c>
      <c r="H947" s="2">
        <v>4.3</v>
      </c>
    </row>
    <row r="948" spans="1:8" ht="15.5" x14ac:dyDescent="0.35">
      <c r="A948" s="2" t="s">
        <v>234</v>
      </c>
      <c r="B948" s="2">
        <v>4.5999999999999996</v>
      </c>
      <c r="C948" s="2">
        <v>6.1</v>
      </c>
      <c r="D948" s="2">
        <v>6.2</v>
      </c>
      <c r="E948" s="2">
        <v>3.2</v>
      </c>
      <c r="F948" s="2">
        <v>3.6</v>
      </c>
      <c r="G948" s="2">
        <v>3.1</v>
      </c>
      <c r="H948" s="2">
        <v>3.9</v>
      </c>
    </row>
    <row r="949" spans="1:8" ht="15.5" x14ac:dyDescent="0.35">
      <c r="A949" s="2" t="s">
        <v>235</v>
      </c>
      <c r="B949" s="2">
        <v>3.3</v>
      </c>
      <c r="C949" s="2">
        <v>5.4</v>
      </c>
      <c r="D949" s="2">
        <v>5.6</v>
      </c>
      <c r="E949" s="2">
        <v>2.6</v>
      </c>
      <c r="F949" s="2">
        <v>2.8</v>
      </c>
      <c r="G949" s="2">
        <v>2.7</v>
      </c>
      <c r="H949" s="2">
        <v>3.3</v>
      </c>
    </row>
    <row r="950" spans="1:8" ht="15.5" x14ac:dyDescent="0.35">
      <c r="A950" s="2" t="s">
        <v>236</v>
      </c>
      <c r="B950" s="2">
        <v>3.8</v>
      </c>
      <c r="C950" s="2">
        <v>5.4</v>
      </c>
      <c r="D950" s="2">
        <v>5.6</v>
      </c>
      <c r="E950" s="2">
        <v>1.8</v>
      </c>
      <c r="F950" s="2">
        <v>1.9</v>
      </c>
      <c r="G950" s="2">
        <v>1.6</v>
      </c>
      <c r="H950" s="2">
        <v>2.2000000000000002</v>
      </c>
    </row>
    <row r="951" spans="1:8" ht="15.5" x14ac:dyDescent="0.35">
      <c r="A951" s="2" t="s">
        <v>237</v>
      </c>
      <c r="B951" s="2">
        <v>3.7</v>
      </c>
      <c r="C951" s="2">
        <v>4.5</v>
      </c>
      <c r="D951" s="2">
        <v>4.0999999999999996</v>
      </c>
      <c r="E951" s="2">
        <v>1.1000000000000001</v>
      </c>
      <c r="F951" s="2">
        <v>1.1000000000000001</v>
      </c>
      <c r="G951" s="2">
        <v>1.3</v>
      </c>
      <c r="H951" s="2">
        <v>1.4</v>
      </c>
    </row>
    <row r="952" spans="1:8" ht="15.5" x14ac:dyDescent="0.35">
      <c r="A952" s="2" t="s">
        <v>238</v>
      </c>
      <c r="B952" s="2">
        <v>3.5</v>
      </c>
      <c r="C952" s="2">
        <v>4.4000000000000004</v>
      </c>
      <c r="D952" s="2">
        <v>4.0999999999999996</v>
      </c>
      <c r="E952" s="2">
        <v>1.9</v>
      </c>
      <c r="F952" s="2">
        <v>1.8</v>
      </c>
      <c r="G952" s="2">
        <v>1.3</v>
      </c>
      <c r="H952" s="2">
        <v>2.1</v>
      </c>
    </row>
    <row r="953" spans="1:8" ht="15.5" x14ac:dyDescent="0.35">
      <c r="A953" s="2" t="s">
        <v>239</v>
      </c>
      <c r="B953" s="2">
        <v>4.8</v>
      </c>
      <c r="C953" s="2">
        <v>5.3</v>
      </c>
      <c r="D953" s="2">
        <v>5</v>
      </c>
      <c r="E953" s="2">
        <v>2.6</v>
      </c>
      <c r="F953" s="2">
        <v>2.6</v>
      </c>
      <c r="G953" s="2">
        <v>2.1</v>
      </c>
      <c r="H953" s="2">
        <v>2.8</v>
      </c>
    </row>
    <row r="954" spans="1:8" ht="15.5" x14ac:dyDescent="0.35">
      <c r="A954" s="2" t="s">
        <v>240</v>
      </c>
      <c r="B954" s="2">
        <v>4.4000000000000004</v>
      </c>
      <c r="C954" s="2">
        <v>4.9000000000000004</v>
      </c>
      <c r="D954" s="2">
        <v>4.8</v>
      </c>
      <c r="E954" s="2">
        <v>3.4</v>
      </c>
      <c r="F954" s="2">
        <v>3.4</v>
      </c>
      <c r="G954" s="2">
        <v>4.0999999999999996</v>
      </c>
      <c r="H954" s="2">
        <v>3.6</v>
      </c>
    </row>
    <row r="955" spans="1:8" ht="15.5" x14ac:dyDescent="0.35">
      <c r="A955" s="2" t="s">
        <v>241</v>
      </c>
      <c r="B955" s="2">
        <v>5</v>
      </c>
      <c r="C955" s="2">
        <v>5.3</v>
      </c>
      <c r="D955" s="2">
        <v>5.7</v>
      </c>
      <c r="E955" s="2">
        <v>3.9</v>
      </c>
      <c r="F955" s="2">
        <v>3.9</v>
      </c>
      <c r="G955" s="2">
        <v>4.0999999999999996</v>
      </c>
      <c r="H955" s="2">
        <v>4</v>
      </c>
    </row>
    <row r="956" spans="1:8" ht="15.5" x14ac:dyDescent="0.35">
      <c r="A956" s="2" t="s">
        <v>242</v>
      </c>
      <c r="B956" s="2">
        <v>6.3</v>
      </c>
      <c r="C956" s="2">
        <v>5.6</v>
      </c>
      <c r="D956" s="2">
        <v>6.1</v>
      </c>
      <c r="E956" s="2">
        <v>3.1</v>
      </c>
      <c r="F956" s="2">
        <v>3.2</v>
      </c>
      <c r="G956" s="2">
        <v>3.2</v>
      </c>
      <c r="H956" s="2">
        <v>3.4</v>
      </c>
    </row>
    <row r="957" spans="1:8" ht="15.5" x14ac:dyDescent="0.35">
      <c r="A957" s="2" t="s">
        <v>243</v>
      </c>
      <c r="B957" s="2">
        <v>3.2</v>
      </c>
      <c r="C957" s="2">
        <v>3.8</v>
      </c>
      <c r="D957" s="2">
        <v>3.8</v>
      </c>
      <c r="E957" s="2">
        <v>1.6</v>
      </c>
      <c r="F957" s="2">
        <v>1.8</v>
      </c>
      <c r="G957" s="2">
        <v>2.5</v>
      </c>
      <c r="H957" s="2">
        <v>2</v>
      </c>
    </row>
    <row r="958" spans="1:8" ht="15.5" x14ac:dyDescent="0.35">
      <c r="A958" s="2" t="s">
        <v>244</v>
      </c>
      <c r="B958" s="2">
        <v>3.2</v>
      </c>
      <c r="C958" s="2">
        <v>2.9</v>
      </c>
      <c r="D958" s="2">
        <v>3.7</v>
      </c>
      <c r="E958" s="2">
        <v>-1</v>
      </c>
      <c r="F958" s="2">
        <v>-0.7</v>
      </c>
      <c r="G958" s="2">
        <v>-1.4</v>
      </c>
      <c r="H958" s="2">
        <v>-0.6</v>
      </c>
    </row>
    <row r="959" spans="1:8" ht="15.5" x14ac:dyDescent="0.35">
      <c r="A959" s="2" t="s">
        <v>245</v>
      </c>
      <c r="B959" s="2">
        <v>-1.2</v>
      </c>
      <c r="C959" s="2">
        <v>0.9</v>
      </c>
      <c r="D959" s="2">
        <v>1.8</v>
      </c>
      <c r="E959" s="2">
        <v>-3.9</v>
      </c>
      <c r="F959" s="2">
        <v>-3.5</v>
      </c>
      <c r="G959" s="2">
        <v>-4.3</v>
      </c>
      <c r="H959" s="2">
        <v>-3.4</v>
      </c>
    </row>
    <row r="960" spans="1:8" ht="15.5" x14ac:dyDescent="0.35">
      <c r="A960" s="2" t="s">
        <v>246</v>
      </c>
      <c r="B960" s="2">
        <v>-4.0999999999999996</v>
      </c>
      <c r="C960" s="2">
        <v>-2.5</v>
      </c>
      <c r="D960" s="2">
        <v>-1</v>
      </c>
      <c r="E960" s="2">
        <v>-6.2</v>
      </c>
      <c r="F960" s="2">
        <v>-5.9</v>
      </c>
      <c r="G960" s="2">
        <v>-6.2</v>
      </c>
      <c r="H960" s="2">
        <v>-5.9</v>
      </c>
    </row>
    <row r="961" spans="1:8" ht="15.5" x14ac:dyDescent="0.35">
      <c r="A961" s="2" t="s">
        <v>247</v>
      </c>
      <c r="B961" s="2">
        <v>-3.7</v>
      </c>
      <c r="C961" s="2">
        <v>-3.4</v>
      </c>
      <c r="D961" s="2">
        <v>-2.1</v>
      </c>
      <c r="E961" s="2">
        <v>-5.9</v>
      </c>
      <c r="F961" s="2">
        <v>-6</v>
      </c>
      <c r="G961" s="2">
        <v>-6.5</v>
      </c>
      <c r="H961" s="2">
        <v>-5.9</v>
      </c>
    </row>
    <row r="962" spans="1:8" ht="15.5" x14ac:dyDescent="0.35">
      <c r="A962" s="2" t="s">
        <v>248</v>
      </c>
      <c r="B962" s="2">
        <v>-1.4</v>
      </c>
      <c r="C962" s="2">
        <v>-2.7</v>
      </c>
      <c r="D962" s="2">
        <v>-2.5</v>
      </c>
      <c r="E962" s="2">
        <v>-4.3</v>
      </c>
      <c r="F962" s="2">
        <v>-4.3</v>
      </c>
      <c r="G962" s="2">
        <v>-4.0999999999999996</v>
      </c>
      <c r="H962" s="2">
        <v>-4.2</v>
      </c>
    </row>
    <row r="963" spans="1:8" ht="15.5" x14ac:dyDescent="0.35">
      <c r="A963" s="2" t="s">
        <v>249</v>
      </c>
      <c r="B963" s="2">
        <v>0.5</v>
      </c>
      <c r="C963" s="2">
        <v>-2.1</v>
      </c>
      <c r="D963" s="2">
        <v>-2.6</v>
      </c>
      <c r="E963" s="2">
        <v>-1.9</v>
      </c>
      <c r="F963" s="2">
        <v>-1.8</v>
      </c>
      <c r="G963" s="2">
        <v>-1.5</v>
      </c>
      <c r="H963" s="2">
        <v>-1.7</v>
      </c>
    </row>
    <row r="964" spans="1:8" ht="15.5" x14ac:dyDescent="0.35">
      <c r="A964" s="2" t="s">
        <v>250</v>
      </c>
      <c r="B964" s="2">
        <v>4</v>
      </c>
      <c r="C964" s="2">
        <v>2.1</v>
      </c>
      <c r="D964" s="2">
        <v>0.5</v>
      </c>
      <c r="E964" s="2">
        <v>1</v>
      </c>
      <c r="F964" s="2">
        <v>1.1000000000000001</v>
      </c>
      <c r="G964" s="2">
        <v>1</v>
      </c>
      <c r="H964" s="2">
        <v>1.2</v>
      </c>
    </row>
    <row r="965" spans="1:8" ht="15.5" x14ac:dyDescent="0.35">
      <c r="A965" s="2" t="s">
        <v>251</v>
      </c>
      <c r="B965" s="2">
        <v>5.2</v>
      </c>
      <c r="C965" s="2">
        <v>3.5</v>
      </c>
      <c r="D965" s="2">
        <v>2.1</v>
      </c>
      <c r="E965" s="2">
        <v>2.5</v>
      </c>
      <c r="F965" s="2">
        <v>2.7</v>
      </c>
      <c r="G965" s="2">
        <v>2.5</v>
      </c>
      <c r="H965" s="2">
        <v>2.9</v>
      </c>
    </row>
    <row r="966" spans="1:8" ht="15.5" x14ac:dyDescent="0.35">
      <c r="A966" s="2" t="s">
        <v>252</v>
      </c>
      <c r="B966" s="2">
        <v>3.5</v>
      </c>
      <c r="C966" s="2">
        <v>3.8</v>
      </c>
      <c r="D966" s="2">
        <v>3</v>
      </c>
      <c r="E966" s="2">
        <v>2.9</v>
      </c>
      <c r="F966" s="2">
        <v>3.2</v>
      </c>
      <c r="G966" s="2">
        <v>2.8</v>
      </c>
      <c r="H966" s="2">
        <v>3.3</v>
      </c>
    </row>
    <row r="967" spans="1:8" ht="15.5" x14ac:dyDescent="0.35">
      <c r="A967" s="2" t="s">
        <v>253</v>
      </c>
      <c r="B967" s="2">
        <v>5.4</v>
      </c>
      <c r="C967" s="2">
        <v>5</v>
      </c>
      <c r="D967" s="2">
        <v>4.4000000000000004</v>
      </c>
      <c r="E967" s="2">
        <v>2.6</v>
      </c>
      <c r="F967" s="2">
        <v>2.8</v>
      </c>
      <c r="G967" s="2">
        <v>2.7</v>
      </c>
      <c r="H967" s="2">
        <v>3</v>
      </c>
    </row>
    <row r="968" spans="1:8" ht="15.5" x14ac:dyDescent="0.35">
      <c r="A968" s="2" t="s">
        <v>254</v>
      </c>
      <c r="B968" s="2">
        <v>5</v>
      </c>
      <c r="C968" s="2">
        <v>4.5999999999999996</v>
      </c>
      <c r="D968" s="2">
        <v>3.8</v>
      </c>
      <c r="E968" s="2">
        <v>2</v>
      </c>
      <c r="F968" s="2">
        <v>1.9</v>
      </c>
      <c r="G968" s="2">
        <v>1.6</v>
      </c>
      <c r="H968" s="2">
        <v>2.2999999999999998</v>
      </c>
    </row>
    <row r="969" spans="1:8" ht="15.5" x14ac:dyDescent="0.35">
      <c r="A969" s="2" t="s">
        <v>255</v>
      </c>
      <c r="B969" s="2">
        <v>3.8</v>
      </c>
      <c r="C969" s="2">
        <v>2.8</v>
      </c>
      <c r="D969" s="2">
        <v>2</v>
      </c>
      <c r="E969" s="2">
        <v>0.8</v>
      </c>
      <c r="F969" s="2">
        <v>0.7</v>
      </c>
      <c r="G969" s="2">
        <v>1.2</v>
      </c>
      <c r="H969" s="2">
        <v>1.2</v>
      </c>
    </row>
    <row r="970" spans="1:8" ht="15.5" x14ac:dyDescent="0.35">
      <c r="A970" s="2" t="s">
        <v>256</v>
      </c>
      <c r="B970" s="2">
        <v>3</v>
      </c>
      <c r="C970" s="2">
        <v>2.9</v>
      </c>
      <c r="D970" s="2">
        <v>1.7</v>
      </c>
      <c r="E970" s="2">
        <v>0.3</v>
      </c>
      <c r="F970" s="2">
        <v>0.4</v>
      </c>
      <c r="G970" s="2">
        <v>0.1</v>
      </c>
      <c r="H970" s="2">
        <v>0.9</v>
      </c>
    </row>
    <row r="971" spans="1:8" ht="15.5" x14ac:dyDescent="0.35">
      <c r="A971" s="2" t="s">
        <v>257</v>
      </c>
      <c r="B971" s="2">
        <v>3.2</v>
      </c>
      <c r="C971" s="2">
        <v>3.1</v>
      </c>
      <c r="D971" s="2">
        <v>2.2000000000000002</v>
      </c>
      <c r="E971" s="2">
        <v>0.4</v>
      </c>
      <c r="F971" s="2">
        <v>0.6</v>
      </c>
      <c r="G971" s="2">
        <v>0.6</v>
      </c>
      <c r="H971" s="2">
        <v>1</v>
      </c>
    </row>
    <row r="972" spans="1:8" ht="15.5" x14ac:dyDescent="0.35">
      <c r="A972" s="2" t="s">
        <v>258</v>
      </c>
      <c r="B972" s="2">
        <v>1.4</v>
      </c>
      <c r="C972" s="2">
        <v>2.4</v>
      </c>
      <c r="D972" s="2">
        <v>2.2999999999999998</v>
      </c>
      <c r="E972" s="2">
        <v>1.2</v>
      </c>
      <c r="F972" s="2">
        <v>1.5</v>
      </c>
      <c r="G972" s="2">
        <v>1.3</v>
      </c>
      <c r="H972" s="2">
        <v>1.8</v>
      </c>
    </row>
    <row r="973" spans="1:8" ht="15.5" x14ac:dyDescent="0.35">
      <c r="A973" s="2" t="s">
        <v>259</v>
      </c>
      <c r="B973" s="2">
        <v>1</v>
      </c>
      <c r="C973" s="2">
        <v>3.1</v>
      </c>
      <c r="D973" s="2">
        <v>3.3</v>
      </c>
      <c r="E973" s="2">
        <v>1.1000000000000001</v>
      </c>
      <c r="F973" s="2">
        <v>1.4</v>
      </c>
      <c r="G973" s="2">
        <v>1.2</v>
      </c>
      <c r="H973" s="2">
        <v>1.7</v>
      </c>
    </row>
    <row r="974" spans="1:8" ht="15.5" x14ac:dyDescent="0.35">
      <c r="A974" s="2" t="s">
        <v>260</v>
      </c>
      <c r="B974" s="2">
        <v>2.9</v>
      </c>
      <c r="C974" s="2">
        <v>3.6</v>
      </c>
      <c r="D974" s="2">
        <v>4.0999999999999996</v>
      </c>
      <c r="E974" s="2">
        <v>2</v>
      </c>
      <c r="F974" s="2">
        <v>2.1</v>
      </c>
      <c r="G974" s="2">
        <v>1.5</v>
      </c>
      <c r="H974" s="2">
        <v>2.4</v>
      </c>
    </row>
    <row r="975" spans="1:8" ht="15.5" x14ac:dyDescent="0.35">
      <c r="A975" s="2" t="s">
        <v>261</v>
      </c>
      <c r="B975" s="2">
        <v>1.6</v>
      </c>
      <c r="C975" s="2">
        <v>3.3</v>
      </c>
      <c r="D975" s="2">
        <v>3.1</v>
      </c>
      <c r="E975" s="2">
        <v>1.8</v>
      </c>
      <c r="F975" s="2">
        <v>1.8</v>
      </c>
      <c r="G975" s="2">
        <v>2.1</v>
      </c>
      <c r="H975" s="2">
        <v>2.2999999999999998</v>
      </c>
    </row>
    <row r="976" spans="1:8" ht="15.5" x14ac:dyDescent="0.35">
      <c r="A976" s="2" t="s">
        <v>262</v>
      </c>
      <c r="B976" s="2">
        <v>1.2</v>
      </c>
      <c r="C976" s="2">
        <v>3.1</v>
      </c>
      <c r="D976" s="2">
        <v>3.2</v>
      </c>
      <c r="E976" s="2">
        <v>1.1000000000000001</v>
      </c>
      <c r="F976" s="2">
        <v>1.1000000000000001</v>
      </c>
      <c r="G976" s="2">
        <v>0.9</v>
      </c>
      <c r="H976" s="2">
        <v>1.5</v>
      </c>
    </row>
    <row r="977" spans="1:8" ht="15.5" x14ac:dyDescent="0.35">
      <c r="A977" s="2" t="s">
        <v>263</v>
      </c>
      <c r="B977" s="2">
        <v>3.8</v>
      </c>
      <c r="C977" s="2">
        <v>4</v>
      </c>
      <c r="D977" s="2">
        <v>3.8</v>
      </c>
      <c r="E977" s="2">
        <v>1.8</v>
      </c>
      <c r="F977" s="2">
        <v>1.8</v>
      </c>
      <c r="G977" s="2">
        <v>2.2999999999999998</v>
      </c>
      <c r="H977" s="2">
        <v>2.1</v>
      </c>
    </row>
    <row r="978" spans="1:8" ht="15.5" x14ac:dyDescent="0.35">
      <c r="A978" s="2" t="s">
        <v>264</v>
      </c>
      <c r="B978" s="2">
        <v>3</v>
      </c>
      <c r="C978" s="2">
        <v>4</v>
      </c>
      <c r="D978" s="2">
        <v>3.6</v>
      </c>
      <c r="E978" s="2">
        <v>1.6</v>
      </c>
      <c r="F978" s="2">
        <v>1.4</v>
      </c>
      <c r="G978" s="2">
        <v>1.6</v>
      </c>
      <c r="H978" s="2">
        <v>1.7</v>
      </c>
    </row>
    <row r="979" spans="1:8" ht="15.5" x14ac:dyDescent="0.35">
      <c r="A979" s="2" t="s">
        <v>265</v>
      </c>
      <c r="B979" s="2">
        <v>4.2</v>
      </c>
      <c r="C979" s="2">
        <v>4.5</v>
      </c>
      <c r="D979" s="2">
        <v>4.5</v>
      </c>
      <c r="E979" s="2">
        <v>2.4</v>
      </c>
      <c r="F979" s="2">
        <v>2.2000000000000002</v>
      </c>
      <c r="G979" s="2">
        <v>2.1</v>
      </c>
      <c r="H979" s="2">
        <v>2.2999999999999998</v>
      </c>
    </row>
    <row r="980" spans="1:8" ht="15.5" x14ac:dyDescent="0.35">
      <c r="A980" s="2" t="s">
        <v>266</v>
      </c>
      <c r="B980" s="2">
        <v>6</v>
      </c>
      <c r="C980" s="2">
        <v>4.7</v>
      </c>
      <c r="D980" s="2">
        <v>4.3</v>
      </c>
      <c r="E980" s="2">
        <v>2.9</v>
      </c>
      <c r="F980" s="2">
        <v>2.9</v>
      </c>
      <c r="G980" s="2">
        <v>3.4</v>
      </c>
      <c r="H980" s="2">
        <v>2.9</v>
      </c>
    </row>
    <row r="981" spans="1:8" ht="15.5" x14ac:dyDescent="0.35">
      <c r="A981" s="2" t="s">
        <v>267</v>
      </c>
      <c r="B981" s="2">
        <v>4.3</v>
      </c>
      <c r="C981" s="2">
        <v>4.7</v>
      </c>
      <c r="D981" s="2">
        <v>4.5999999999999996</v>
      </c>
      <c r="E981" s="2">
        <v>3.2</v>
      </c>
      <c r="F981" s="2">
        <v>3.2</v>
      </c>
      <c r="G981" s="2">
        <v>3.8</v>
      </c>
      <c r="H981" s="2">
        <v>3.2</v>
      </c>
    </row>
    <row r="982" spans="1:8" ht="15.5" x14ac:dyDescent="0.35">
      <c r="A982" s="2" t="s">
        <v>268</v>
      </c>
      <c r="B982" s="2">
        <v>4.9000000000000004</v>
      </c>
      <c r="C982" s="2">
        <v>5.2</v>
      </c>
      <c r="D982" s="2">
        <v>5.5</v>
      </c>
      <c r="E982" s="2">
        <v>3.3</v>
      </c>
      <c r="F982" s="2">
        <v>3.5</v>
      </c>
      <c r="G982" s="2">
        <v>2.8</v>
      </c>
      <c r="H982" s="2">
        <v>3.5</v>
      </c>
    </row>
    <row r="983" spans="1:8" ht="15.5" x14ac:dyDescent="0.35">
      <c r="A983" s="2" t="s">
        <v>269</v>
      </c>
      <c r="B983" s="2">
        <v>4</v>
      </c>
      <c r="C983" s="2">
        <v>4.5999999999999996</v>
      </c>
      <c r="D983" s="2">
        <v>4.5999999999999996</v>
      </c>
      <c r="E983" s="2">
        <v>3.3</v>
      </c>
      <c r="F983" s="2">
        <v>3.4</v>
      </c>
      <c r="G983" s="2">
        <v>2.7</v>
      </c>
      <c r="H983" s="2">
        <v>3.4</v>
      </c>
    </row>
    <row r="984" spans="1:8" ht="15.5" x14ac:dyDescent="0.35">
      <c r="A984" s="2" t="s">
        <v>270</v>
      </c>
      <c r="B984" s="2">
        <v>2.9</v>
      </c>
      <c r="C984" s="2">
        <v>3.8</v>
      </c>
      <c r="D984" s="2">
        <v>4.0999999999999996</v>
      </c>
      <c r="E984" s="2">
        <v>2.7</v>
      </c>
      <c r="F984" s="2">
        <v>2.7</v>
      </c>
      <c r="G984" s="2">
        <v>2.2000000000000002</v>
      </c>
      <c r="H984" s="2">
        <v>2.7</v>
      </c>
    </row>
    <row r="985" spans="1:8" ht="15.5" x14ac:dyDescent="0.35">
      <c r="A985" s="2" t="s">
        <v>271</v>
      </c>
      <c r="B985" s="2">
        <v>3.5</v>
      </c>
      <c r="C985" s="2">
        <v>3.2</v>
      </c>
      <c r="D985" s="2">
        <v>3.2</v>
      </c>
      <c r="E985" s="2">
        <v>2.2999999999999998</v>
      </c>
      <c r="F985" s="2">
        <v>2.1</v>
      </c>
      <c r="G985" s="2">
        <v>2.2000000000000002</v>
      </c>
      <c r="H985" s="2">
        <v>2</v>
      </c>
    </row>
    <row r="986" spans="1:8" ht="15.5" x14ac:dyDescent="0.35">
      <c r="A986" s="2" t="s">
        <v>272</v>
      </c>
      <c r="B986" s="2">
        <v>2.1</v>
      </c>
      <c r="C986" s="2">
        <v>1.8</v>
      </c>
      <c r="D986" s="2">
        <v>1.5</v>
      </c>
      <c r="E986" s="2">
        <v>1.8</v>
      </c>
      <c r="F986" s="2">
        <v>1.4</v>
      </c>
      <c r="G986" s="2">
        <v>2.2000000000000002</v>
      </c>
      <c r="H986" s="2">
        <v>1.3</v>
      </c>
    </row>
    <row r="987" spans="1:8" ht="15.5" x14ac:dyDescent="0.35">
      <c r="A987" s="2" t="s">
        <v>273</v>
      </c>
      <c r="B987" s="2">
        <v>1.2</v>
      </c>
      <c r="C987" s="2">
        <v>2.6</v>
      </c>
      <c r="D987" s="2">
        <v>2.6</v>
      </c>
      <c r="E987" s="2">
        <v>1.8</v>
      </c>
      <c r="F987" s="2">
        <v>1.4</v>
      </c>
      <c r="G987" s="2">
        <v>2</v>
      </c>
      <c r="H987" s="2">
        <v>1.3</v>
      </c>
    </row>
    <row r="988" spans="1:8" ht="15.5" x14ac:dyDescent="0.35">
      <c r="A988" s="2" t="s">
        <v>274</v>
      </c>
      <c r="B988" s="2">
        <v>2.1</v>
      </c>
      <c r="C988" s="2">
        <v>3.1</v>
      </c>
      <c r="D988" s="2">
        <v>2.8</v>
      </c>
      <c r="E988" s="2">
        <v>2</v>
      </c>
      <c r="F988" s="2">
        <v>1.9</v>
      </c>
      <c r="G988" s="2">
        <v>2</v>
      </c>
      <c r="H988" s="2">
        <v>1.7</v>
      </c>
    </row>
    <row r="989" spans="1:8" ht="15.5" x14ac:dyDescent="0.35">
      <c r="A989" s="2" t="s">
        <v>275</v>
      </c>
      <c r="B989" s="2">
        <v>2</v>
      </c>
      <c r="C989" s="2">
        <v>3.7</v>
      </c>
      <c r="D989" s="2">
        <v>3.6</v>
      </c>
      <c r="E989" s="2">
        <v>2.2000000000000002</v>
      </c>
      <c r="F989" s="2">
        <v>2.2999999999999998</v>
      </c>
      <c r="G989" s="2">
        <v>2.2999999999999998</v>
      </c>
      <c r="H989" s="2">
        <v>2.2000000000000002</v>
      </c>
    </row>
    <row r="990" spans="1:8" ht="15.5" x14ac:dyDescent="0.35">
      <c r="A990" s="2" t="s">
        <v>276</v>
      </c>
      <c r="B990" s="2">
        <v>4.2</v>
      </c>
      <c r="C990" s="2">
        <v>4.5</v>
      </c>
      <c r="D990" s="2">
        <v>4.5999999999999996</v>
      </c>
      <c r="E990" s="2">
        <v>2.2999999999999998</v>
      </c>
      <c r="F990" s="2">
        <v>2.6</v>
      </c>
      <c r="G990" s="2">
        <v>1.7</v>
      </c>
      <c r="H990" s="2">
        <v>2.4</v>
      </c>
    </row>
    <row r="991" spans="1:8" ht="15.5" x14ac:dyDescent="0.35">
      <c r="A991" s="2" t="s">
        <v>277</v>
      </c>
      <c r="B991" s="2">
        <v>7</v>
      </c>
      <c r="C991" s="2">
        <v>4.7</v>
      </c>
      <c r="D991" s="2">
        <v>4.5999999999999996</v>
      </c>
      <c r="E991" s="2">
        <v>2.2999999999999998</v>
      </c>
      <c r="F991" s="2">
        <v>2.7</v>
      </c>
      <c r="G991" s="2">
        <v>2.7</v>
      </c>
      <c r="H991" s="2">
        <v>2.6</v>
      </c>
    </row>
    <row r="992" spans="1:8" ht="15.5" x14ac:dyDescent="0.35">
      <c r="A992" s="2" t="s">
        <v>278</v>
      </c>
      <c r="B992" s="2">
        <v>7.3</v>
      </c>
      <c r="C992" s="2">
        <v>5</v>
      </c>
      <c r="D992" s="2">
        <v>5.0999999999999996</v>
      </c>
      <c r="E992" s="2">
        <v>2.8</v>
      </c>
      <c r="F992" s="2">
        <v>3.1</v>
      </c>
      <c r="G992" s="2">
        <v>2.7</v>
      </c>
      <c r="H992" s="2">
        <v>3.1</v>
      </c>
    </row>
    <row r="993" spans="1:8" ht="15.5" x14ac:dyDescent="0.35">
      <c r="A993" s="2" t="s">
        <v>279</v>
      </c>
      <c r="B993" s="2">
        <v>6.3</v>
      </c>
      <c r="C993" s="2">
        <v>4.9000000000000004</v>
      </c>
      <c r="D993" s="2">
        <v>5.0999999999999996</v>
      </c>
      <c r="E993" s="2">
        <v>2.9</v>
      </c>
      <c r="F993" s="2">
        <v>3.1</v>
      </c>
      <c r="G993" s="2">
        <v>2.5</v>
      </c>
      <c r="H993" s="2">
        <v>3.1</v>
      </c>
    </row>
    <row r="994" spans="1:8" ht="15.5" x14ac:dyDescent="0.35">
      <c r="A994" s="2" t="s">
        <v>280</v>
      </c>
      <c r="B994" s="2">
        <v>5.3</v>
      </c>
      <c r="C994" s="2">
        <v>4.0999999999999996</v>
      </c>
      <c r="D994" s="2">
        <v>4</v>
      </c>
      <c r="E994" s="2">
        <v>3.1</v>
      </c>
      <c r="F994" s="2">
        <v>3.2</v>
      </c>
      <c r="G994" s="2">
        <v>3.4</v>
      </c>
      <c r="H994" s="2">
        <v>3.3</v>
      </c>
    </row>
    <row r="995" spans="1:8" ht="15.5" x14ac:dyDescent="0.35">
      <c r="A995" s="2" t="s">
        <v>281</v>
      </c>
      <c r="B995" s="2">
        <v>5</v>
      </c>
      <c r="C995" s="2">
        <v>4.4000000000000004</v>
      </c>
      <c r="D995" s="2">
        <v>4.5999999999999996</v>
      </c>
      <c r="E995" s="2">
        <v>3.3</v>
      </c>
      <c r="F995" s="2">
        <v>3.2</v>
      </c>
      <c r="G995" s="2">
        <v>3.4</v>
      </c>
      <c r="H995" s="2">
        <v>3.2</v>
      </c>
    </row>
    <row r="996" spans="1:8" ht="15.5" x14ac:dyDescent="0.35">
      <c r="A996" s="2" t="s">
        <v>282</v>
      </c>
      <c r="B996" s="2">
        <v>2.7</v>
      </c>
      <c r="C996" s="2">
        <v>3.5</v>
      </c>
      <c r="D996" s="2">
        <v>3.9</v>
      </c>
      <c r="E996" s="2">
        <v>2.4</v>
      </c>
      <c r="F996" s="2">
        <v>2.2000000000000002</v>
      </c>
      <c r="G996" s="2">
        <v>2.4</v>
      </c>
      <c r="H996" s="2">
        <v>2.2000000000000002</v>
      </c>
    </row>
    <row r="997" spans="1:8" ht="15.5" x14ac:dyDescent="0.35">
      <c r="A997" s="2" t="s">
        <v>283</v>
      </c>
      <c r="B997" s="2">
        <v>4.0999999999999996</v>
      </c>
      <c r="C997" s="2">
        <v>3.7</v>
      </c>
      <c r="D997" s="2">
        <v>3.4</v>
      </c>
      <c r="E997" s="2">
        <v>1.7</v>
      </c>
      <c r="F997" s="2">
        <v>1.6</v>
      </c>
      <c r="G997" s="2">
        <v>1.7</v>
      </c>
      <c r="H997" s="2">
        <v>1.6</v>
      </c>
    </row>
    <row r="998" spans="1:8" ht="15.5" x14ac:dyDescent="0.35">
      <c r="A998" s="2" t="s">
        <v>284</v>
      </c>
      <c r="B998" s="2">
        <v>3.4</v>
      </c>
      <c r="C998" s="2">
        <v>3.8</v>
      </c>
      <c r="D998" s="2">
        <v>4</v>
      </c>
      <c r="E998" s="2">
        <v>1.4</v>
      </c>
      <c r="F998" s="2">
        <v>1.3</v>
      </c>
      <c r="G998" s="2">
        <v>1.2</v>
      </c>
      <c r="H998" s="2">
        <v>1.3</v>
      </c>
    </row>
    <row r="999" spans="1:8" ht="15.5" x14ac:dyDescent="0.35">
      <c r="A999" s="2" t="s">
        <v>285</v>
      </c>
      <c r="B999" s="2">
        <v>2.9</v>
      </c>
      <c r="C999" s="2">
        <v>3.3</v>
      </c>
      <c r="D999" s="2">
        <v>3.3</v>
      </c>
      <c r="E999" s="2">
        <v>0.7</v>
      </c>
      <c r="F999" s="2">
        <v>0.8</v>
      </c>
      <c r="G999" s="2">
        <v>0.9</v>
      </c>
      <c r="H999" s="2">
        <v>0.7</v>
      </c>
    </row>
    <row r="1000" spans="1:8" ht="15.5" x14ac:dyDescent="0.35">
      <c r="A1000" s="2" t="s">
        <v>286</v>
      </c>
      <c r="B1000" s="2">
        <v>5.0999999999999996</v>
      </c>
      <c r="C1000" s="2">
        <v>3.5</v>
      </c>
      <c r="D1000" s="2">
        <v>3.3</v>
      </c>
      <c r="E1000" s="2">
        <v>1.2</v>
      </c>
      <c r="F1000" s="2">
        <v>1.2</v>
      </c>
      <c r="G1000" s="2">
        <v>0.9</v>
      </c>
      <c r="H1000" s="2">
        <v>1.2</v>
      </c>
    </row>
    <row r="1001" spans="1:8" ht="15.5" x14ac:dyDescent="0.35">
      <c r="A1001" s="2" t="s">
        <v>287</v>
      </c>
      <c r="B1001" s="2">
        <v>5.5</v>
      </c>
      <c r="C1001" s="2">
        <v>3.7</v>
      </c>
      <c r="D1001" s="2">
        <v>4.0999999999999996</v>
      </c>
      <c r="E1001" s="2">
        <v>1.2</v>
      </c>
      <c r="F1001" s="2">
        <v>1.2</v>
      </c>
      <c r="G1001" s="2">
        <v>1.8</v>
      </c>
      <c r="H1001" s="2">
        <v>1.3</v>
      </c>
    </row>
    <row r="1002" spans="1:8" ht="15.5" x14ac:dyDescent="0.35">
      <c r="A1002" s="2" t="s">
        <v>288</v>
      </c>
      <c r="B1002" s="2">
        <v>5</v>
      </c>
      <c r="C1002" s="2">
        <v>4.0999999999999996</v>
      </c>
      <c r="D1002" s="2">
        <v>4.2</v>
      </c>
      <c r="E1002" s="2">
        <v>1.4</v>
      </c>
      <c r="F1002" s="2">
        <v>1.6</v>
      </c>
      <c r="G1002" s="2">
        <v>1</v>
      </c>
      <c r="H1002" s="2">
        <v>1.6</v>
      </c>
    </row>
    <row r="1003" spans="1:8" ht="15.5" x14ac:dyDescent="0.35">
      <c r="A1003" s="2" t="s">
        <v>289</v>
      </c>
      <c r="B1003" s="2">
        <v>4.7</v>
      </c>
      <c r="C1003" s="2">
        <v>3.6</v>
      </c>
      <c r="D1003" s="2">
        <v>3.9</v>
      </c>
      <c r="E1003" s="2">
        <v>1.3</v>
      </c>
      <c r="F1003" s="2">
        <v>1.5</v>
      </c>
      <c r="G1003" s="2">
        <v>1.4</v>
      </c>
      <c r="H1003" s="2">
        <v>1.4</v>
      </c>
    </row>
    <row r="1004" spans="1:8" ht="15.5" x14ac:dyDescent="0.35">
      <c r="A1004" s="2" t="s">
        <v>290</v>
      </c>
      <c r="B1004" s="2">
        <v>-0.5</v>
      </c>
      <c r="C1004" s="2">
        <v>1</v>
      </c>
      <c r="D1004" s="2">
        <v>1.4</v>
      </c>
      <c r="E1004" s="2">
        <v>-2</v>
      </c>
      <c r="F1004" s="2">
        <v>-1.5</v>
      </c>
      <c r="G1004" s="2">
        <v>-0.8</v>
      </c>
      <c r="H1004" s="2">
        <v>-1.6</v>
      </c>
    </row>
    <row r="1005" spans="1:8" ht="15.5" x14ac:dyDescent="0.35">
      <c r="A1005" s="2" t="s">
        <v>291</v>
      </c>
      <c r="B1005" s="2">
        <v>-18.5</v>
      </c>
      <c r="C1005" s="2">
        <v>-14.2</v>
      </c>
      <c r="D1005" s="2">
        <v>-12.6</v>
      </c>
      <c r="E1005" s="2">
        <v>-21.7</v>
      </c>
      <c r="F1005" s="2">
        <v>-21.3</v>
      </c>
      <c r="G1005" s="2">
        <v>-21.3</v>
      </c>
      <c r="H1005" s="2">
        <v>-21.5</v>
      </c>
    </row>
    <row r="1006" spans="1:8" ht="15.5" x14ac:dyDescent="0.35">
      <c r="A1006" s="2" t="s">
        <v>292</v>
      </c>
      <c r="B1006" s="2">
        <v>-5.4</v>
      </c>
      <c r="C1006" s="2">
        <v>-4.8</v>
      </c>
      <c r="D1006" s="2">
        <v>-3.5</v>
      </c>
      <c r="E1006" s="2">
        <v>-8.9</v>
      </c>
      <c r="F1006" s="2">
        <v>-8.4</v>
      </c>
      <c r="G1006" s="2">
        <v>-10.199999999999999</v>
      </c>
      <c r="H1006" s="2">
        <v>-8.5</v>
      </c>
    </row>
    <row r="1007" spans="1:8" ht="15.5" x14ac:dyDescent="0.35">
      <c r="A1007" s="2" t="s">
        <v>293</v>
      </c>
      <c r="B1007" s="2">
        <v>-5.9</v>
      </c>
      <c r="C1007" s="2">
        <v>-4.7</v>
      </c>
      <c r="D1007" s="2">
        <v>-4.3</v>
      </c>
      <c r="E1007" s="2">
        <v>-7.6</v>
      </c>
      <c r="F1007" s="2">
        <v>-7</v>
      </c>
      <c r="G1007" s="2">
        <v>-7.9</v>
      </c>
      <c r="H1007" s="2">
        <v>-7</v>
      </c>
    </row>
    <row r="1008" spans="1:8" ht="15.5" x14ac:dyDescent="0.35">
      <c r="A1008" s="2" t="s">
        <v>294</v>
      </c>
      <c r="B1008" s="2">
        <v>-1</v>
      </c>
      <c r="C1008" s="2">
        <v>-2.5</v>
      </c>
      <c r="D1008" s="2">
        <v>-1.9</v>
      </c>
      <c r="E1008" s="2">
        <v>-6.1</v>
      </c>
      <c r="F1008" s="2">
        <v>-5.7</v>
      </c>
      <c r="G1008" s="2">
        <v>-5.3</v>
      </c>
      <c r="H1008" s="2">
        <v>-5.7</v>
      </c>
    </row>
    <row r="1009" spans="1:8" ht="15.5" x14ac:dyDescent="0.35">
      <c r="A1009" s="2" t="s">
        <v>295</v>
      </c>
      <c r="B1009" s="2">
        <v>25.4</v>
      </c>
      <c r="C1009" s="2">
        <v>19.8</v>
      </c>
      <c r="D1009" s="2">
        <v>18.3</v>
      </c>
      <c r="E1009" s="2">
        <v>25.5</v>
      </c>
      <c r="F1009" s="2">
        <v>25.9</v>
      </c>
      <c r="G1009" s="2">
        <v>23</v>
      </c>
      <c r="H1009" s="2">
        <v>26.4</v>
      </c>
    </row>
    <row r="1010" spans="1:8" ht="15.5" x14ac:dyDescent="0.35">
      <c r="A1010" s="2" t="s">
        <v>296</v>
      </c>
      <c r="B1010" s="2">
        <v>10.7</v>
      </c>
      <c r="C1010" s="2">
        <v>9.6999999999999993</v>
      </c>
      <c r="D1010" s="2">
        <v>8.6999999999999993</v>
      </c>
      <c r="E1010" s="2">
        <v>9.1</v>
      </c>
      <c r="F1010" s="2">
        <v>9.1</v>
      </c>
      <c r="G1010" s="2">
        <v>10.4</v>
      </c>
      <c r="H1010" s="2">
        <v>9.3000000000000007</v>
      </c>
    </row>
    <row r="1011" spans="1:8" ht="15.5" x14ac:dyDescent="0.35">
      <c r="A1011" s="2" t="s">
        <v>297</v>
      </c>
      <c r="B1011" s="2">
        <v>13.9</v>
      </c>
      <c r="C1011" s="2">
        <v>11.9</v>
      </c>
      <c r="D1011" s="2">
        <v>11.2</v>
      </c>
      <c r="E1011" s="2">
        <v>9.1</v>
      </c>
      <c r="F1011" s="2">
        <v>8.6999999999999993</v>
      </c>
      <c r="G1011" s="2">
        <v>9.1</v>
      </c>
      <c r="H1011" s="2">
        <v>8.8000000000000007</v>
      </c>
    </row>
    <row r="1012" spans="1:8" ht="15.5" x14ac:dyDescent="0.35">
      <c r="A1012" s="2" t="s">
        <v>298</v>
      </c>
      <c r="B1012" s="2">
        <v>13.3</v>
      </c>
      <c r="C1012" s="2">
        <v>14.3</v>
      </c>
      <c r="D1012" s="2">
        <v>13.3</v>
      </c>
      <c r="E1012" s="2">
        <v>11.4</v>
      </c>
      <c r="F1012" s="2">
        <v>10.9</v>
      </c>
      <c r="G1012" s="2">
        <v>10.4</v>
      </c>
      <c r="H1012" s="2">
        <v>10.9</v>
      </c>
    </row>
    <row r="1013" spans="1:8" ht="15.5" x14ac:dyDescent="0.35">
      <c r="A1013" s="2" t="s">
        <v>299</v>
      </c>
      <c r="B1013" s="2">
        <v>12.4</v>
      </c>
      <c r="C1013" s="2">
        <v>10.9</v>
      </c>
      <c r="D1013" s="2">
        <v>10.5</v>
      </c>
      <c r="E1013" s="2">
        <v>4.7</v>
      </c>
      <c r="F1013" s="2">
        <v>4.2</v>
      </c>
      <c r="G1013" s="2">
        <v>4.5</v>
      </c>
      <c r="H1013" s="2">
        <v>4</v>
      </c>
    </row>
    <row r="1014" spans="1:8" ht="15.5" x14ac:dyDescent="0.35">
      <c r="A1014" s="2" t="s">
        <v>300</v>
      </c>
      <c r="B1014" s="2">
        <v>9.6</v>
      </c>
      <c r="C1014" s="2">
        <v>9.6999999999999993</v>
      </c>
      <c r="D1014" s="2">
        <v>9.5</v>
      </c>
      <c r="E1014" s="2">
        <v>3.1</v>
      </c>
      <c r="F1014" s="2">
        <v>2.6</v>
      </c>
      <c r="G1014" s="2">
        <v>4.8</v>
      </c>
      <c r="H1014" s="2">
        <v>2.6</v>
      </c>
    </row>
    <row r="1015" spans="1:8" ht="15.5" x14ac:dyDescent="0.35">
      <c r="A1015" s="2" t="s">
        <v>301</v>
      </c>
      <c r="B1015" s="2">
        <v>9.6</v>
      </c>
      <c r="C1015" s="2">
        <v>9.9</v>
      </c>
      <c r="D1015" s="2">
        <v>12.1</v>
      </c>
      <c r="E1015" s="2">
        <v>1.9</v>
      </c>
      <c r="F1015" s="2">
        <v>1.8</v>
      </c>
      <c r="G1015" s="2">
        <v>1.5</v>
      </c>
      <c r="H1015" s="2">
        <v>1.9</v>
      </c>
    </row>
    <row r="1016" spans="1:8" ht="15.5" x14ac:dyDescent="0.35">
      <c r="A1016" s="2" t="s">
        <v>302</v>
      </c>
      <c r="B1016" s="2">
        <v>8.3000000000000007</v>
      </c>
      <c r="C1016" s="2">
        <v>9</v>
      </c>
      <c r="D1016" s="2">
        <v>12.8</v>
      </c>
      <c r="E1016" s="2">
        <v>1</v>
      </c>
      <c r="F1016" s="2">
        <v>1</v>
      </c>
      <c r="G1016" s="2">
        <v>0.3</v>
      </c>
      <c r="H1016" s="2">
        <v>1.3</v>
      </c>
    </row>
    <row r="1017" spans="1:8" ht="15.5" x14ac:dyDescent="0.35">
      <c r="A1017" s="2" t="s">
        <v>303</v>
      </c>
      <c r="B1017" s="2">
        <v>3.3</v>
      </c>
      <c r="C1017" s="2">
        <v>7.9</v>
      </c>
      <c r="D1017" s="2">
        <v>8.8000000000000007</v>
      </c>
      <c r="E1017" s="2">
        <v>0.5</v>
      </c>
      <c r="F1017" s="2">
        <v>0.5</v>
      </c>
      <c r="G1017" s="2">
        <v>1.5</v>
      </c>
      <c r="H1017" s="2">
        <v>0.9</v>
      </c>
    </row>
    <row r="1018" spans="1:8" ht="15.5" x14ac:dyDescent="0.35">
      <c r="A1018" s="2" t="s">
        <v>304</v>
      </c>
      <c r="B1018" s="2">
        <v>6.3</v>
      </c>
      <c r="C1018" s="2">
        <v>6.6</v>
      </c>
      <c r="D1018" s="2">
        <v>7.2</v>
      </c>
      <c r="E1018" s="2">
        <v>0.1</v>
      </c>
      <c r="F1018" s="2">
        <v>0.4</v>
      </c>
      <c r="G1018" s="2">
        <v>-0.5</v>
      </c>
      <c r="H1018" s="2">
        <v>0.8</v>
      </c>
    </row>
    <row r="1019" spans="1:8" ht="15.5" x14ac:dyDescent="0.35">
      <c r="A1019" s="2" t="s">
        <v>305</v>
      </c>
      <c r="B1019" s="2">
        <v>1.6</v>
      </c>
      <c r="C1019" s="2">
        <v>3.3</v>
      </c>
      <c r="D1019" s="2">
        <v>1.9</v>
      </c>
      <c r="E1019" s="2">
        <v>-0.5</v>
      </c>
      <c r="F1019" s="2">
        <v>-0.3</v>
      </c>
      <c r="G1019" s="2">
        <v>-0.1</v>
      </c>
      <c r="H1019" s="2">
        <v>0.1</v>
      </c>
    </row>
    <row r="1020" spans="1:8" ht="15.5" x14ac:dyDescent="0.35">
      <c r="A1020" s="2" t="s">
        <v>306</v>
      </c>
      <c r="B1020" s="2">
        <v>3.9</v>
      </c>
      <c r="C1020" s="2">
        <v>3.9</v>
      </c>
      <c r="D1020" s="2">
        <v>1.3</v>
      </c>
      <c r="E1020" s="2">
        <v>0.2</v>
      </c>
      <c r="F1020" s="2">
        <v>0.4</v>
      </c>
      <c r="G1020" s="2">
        <v>1.5</v>
      </c>
      <c r="H1020" s="2">
        <v>0.5</v>
      </c>
    </row>
    <row r="1021" spans="1:8" ht="15.5" x14ac:dyDescent="0.35">
      <c r="A1021" s="2" t="s">
        <v>307</v>
      </c>
      <c r="B1021" s="2">
        <v>6</v>
      </c>
      <c r="C1021" s="2">
        <v>4.0999999999999996</v>
      </c>
      <c r="D1021" s="2">
        <v>3.7</v>
      </c>
      <c r="E1021" s="2">
        <v>0.8</v>
      </c>
      <c r="F1021" s="2">
        <v>0.9</v>
      </c>
      <c r="G1021" s="2">
        <v>0.2</v>
      </c>
      <c r="H1021" s="2">
        <v>1.1000000000000001</v>
      </c>
    </row>
    <row r="1022" spans="1:8" ht="15.5" x14ac:dyDescent="0.35">
      <c r="A1022" s="2" t="s">
        <v>308</v>
      </c>
      <c r="B1022" s="2">
        <v>4</v>
      </c>
      <c r="C1022" s="2">
        <v>5.3</v>
      </c>
      <c r="D1022" s="2">
        <v>5.5</v>
      </c>
      <c r="E1022" s="2">
        <v>1.3</v>
      </c>
      <c r="F1022" s="2">
        <v>1.3</v>
      </c>
      <c r="G1022" s="2">
        <v>1.4</v>
      </c>
      <c r="H1022" s="2">
        <v>1.5</v>
      </c>
    </row>
    <row r="1023" spans="1:8" ht="15.5" x14ac:dyDescent="0.35">
      <c r="A1023" s="2" t="s">
        <v>309</v>
      </c>
      <c r="B1023" s="2">
        <v>6.5</v>
      </c>
      <c r="C1023" s="2">
        <v>6.9</v>
      </c>
      <c r="D1023" s="2">
        <v>7.4</v>
      </c>
      <c r="E1023" s="2">
        <v>2</v>
      </c>
      <c r="F1023" s="2">
        <v>2</v>
      </c>
      <c r="G1023" s="2">
        <v>1.2</v>
      </c>
      <c r="H1023" s="2">
        <v>2.1</v>
      </c>
    </row>
    <row r="1024" spans="1:8" ht="15.5" x14ac:dyDescent="0.35">
      <c r="A1024" s="2" t="s">
        <v>310</v>
      </c>
      <c r="B1024" s="2">
        <v>6.6</v>
      </c>
      <c r="C1024" s="2">
        <v>6</v>
      </c>
      <c r="D1024" s="2">
        <v>5.9</v>
      </c>
      <c r="E1024" s="2">
        <v>1.8</v>
      </c>
      <c r="F1024" s="2">
        <v>1.9</v>
      </c>
      <c r="G1024" s="2">
        <v>2.2999999999999998</v>
      </c>
      <c r="H1024" s="2">
        <v>1.9</v>
      </c>
    </row>
    <row r="1025" spans="1:8" ht="15.5" x14ac:dyDescent="0.35">
      <c r="A1025" s="2" t="s">
        <v>311</v>
      </c>
      <c r="B1025" s="2">
        <v>5.7</v>
      </c>
      <c r="C1025" s="2">
        <v>5.6</v>
      </c>
      <c r="D1025" s="2">
        <v>5.8</v>
      </c>
      <c r="E1025" s="2">
        <v>1.4</v>
      </c>
      <c r="F1025" s="2">
        <v>1.5</v>
      </c>
      <c r="G1025" s="2">
        <v>1.3</v>
      </c>
      <c r="H1025" s="2">
        <v>1.5</v>
      </c>
    </row>
    <row r="1026" spans="1:8" ht="15.5" x14ac:dyDescent="0.35">
      <c r="A1026" s="2" t="s">
        <v>312</v>
      </c>
      <c r="B1026" s="2">
        <v>6.6</v>
      </c>
      <c r="C1026" s="2">
        <v>4.8</v>
      </c>
      <c r="D1026" s="2">
        <v>4.8</v>
      </c>
      <c r="E1026" s="2">
        <v>1.3</v>
      </c>
      <c r="F1026" s="2">
        <v>1.3</v>
      </c>
      <c r="G1026" s="2">
        <v>1.1000000000000001</v>
      </c>
      <c r="H1026" s="2">
        <v>1.3</v>
      </c>
    </row>
    <row r="1027" spans="1:8" ht="15.5" x14ac:dyDescent="0.35">
      <c r="A1027" s="2" t="s">
        <v>313</v>
      </c>
      <c r="B1027" s="2">
        <v>6</v>
      </c>
      <c r="C1027" s="2">
        <v>4.2</v>
      </c>
      <c r="D1027" s="2">
        <v>4</v>
      </c>
      <c r="E1027" s="2">
        <v>1</v>
      </c>
      <c r="F1027" s="2">
        <v>1</v>
      </c>
      <c r="G1027" s="2">
        <v>0.9</v>
      </c>
      <c r="H1027" s="2">
        <v>1</v>
      </c>
    </row>
  </sheetData>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7F86-C13C-4964-9629-87D91556CA5C}">
  <dimension ref="A1:BB154"/>
  <sheetViews>
    <sheetView zoomScale="85" zoomScaleNormal="85" workbookViewId="0">
      <pane xSplit="1" ySplit="10" topLeftCell="W11" activePane="bottomRight" state="frozen"/>
      <selection pane="topRight" activeCell="B1" sqref="B1"/>
      <selection pane="bottomLeft" activeCell="A11" sqref="A11"/>
      <selection pane="bottomRight" activeCell="AA4" sqref="AA4"/>
    </sheetView>
  </sheetViews>
  <sheetFormatPr defaultRowHeight="14.5" x14ac:dyDescent="0.35"/>
  <cols>
    <col min="2" max="4" width="20.54296875" customWidth="1"/>
    <col min="5" max="5" width="21.36328125" customWidth="1"/>
    <col min="6" max="14" width="20.54296875" customWidth="1"/>
    <col min="15" max="15" width="21.6328125" customWidth="1"/>
    <col min="16" max="28" width="20.54296875" customWidth="1"/>
    <col min="29" max="30" width="21.6328125" customWidth="1"/>
    <col min="31" max="33" width="20.54296875" customWidth="1"/>
    <col min="34" max="34" width="22.6328125" customWidth="1"/>
    <col min="35" max="35" width="3.453125" customWidth="1"/>
    <col min="36" max="36" width="3.36328125" customWidth="1"/>
    <col min="37" max="43" width="20.54296875" customWidth="1"/>
    <col min="44" max="59" width="17.453125" customWidth="1"/>
  </cols>
  <sheetData>
    <row r="1" spans="1:54" x14ac:dyDescent="0.35">
      <c r="B1" s="7" t="s">
        <v>521</v>
      </c>
      <c r="L1" s="7" t="s">
        <v>534</v>
      </c>
      <c r="U1" s="7" t="s">
        <v>577</v>
      </c>
      <c r="AK1" s="7" t="s">
        <v>633</v>
      </c>
    </row>
    <row r="2" spans="1:54" x14ac:dyDescent="0.35">
      <c r="AK2" t="s">
        <v>634</v>
      </c>
      <c r="AT2" t="s">
        <v>635</v>
      </c>
    </row>
    <row r="3" spans="1:54" x14ac:dyDescent="0.35">
      <c r="B3" t="s">
        <v>535</v>
      </c>
      <c r="C3" t="s">
        <v>536</v>
      </c>
      <c r="D3" t="s">
        <v>544</v>
      </c>
      <c r="E3" t="s">
        <v>537</v>
      </c>
      <c r="F3" t="s">
        <v>538</v>
      </c>
      <c r="G3" t="s">
        <v>539</v>
      </c>
      <c r="H3" t="s">
        <v>540</v>
      </c>
      <c r="I3" t="s">
        <v>541</v>
      </c>
      <c r="J3" t="s">
        <v>542</v>
      </c>
      <c r="K3" t="s">
        <v>543</v>
      </c>
      <c r="L3" t="s">
        <v>535</v>
      </c>
      <c r="M3" t="s">
        <v>536</v>
      </c>
      <c r="N3" t="s">
        <v>544</v>
      </c>
      <c r="O3" t="s">
        <v>537</v>
      </c>
      <c r="P3" t="s">
        <v>538</v>
      </c>
      <c r="Q3" t="s">
        <v>539</v>
      </c>
      <c r="R3" t="s">
        <v>540</v>
      </c>
      <c r="S3" t="s">
        <v>541</v>
      </c>
      <c r="T3" t="s">
        <v>542</v>
      </c>
      <c r="U3" t="s">
        <v>578</v>
      </c>
      <c r="V3" t="s">
        <v>579</v>
      </c>
      <c r="W3" t="s">
        <v>580</v>
      </c>
      <c r="X3" t="s">
        <v>581</v>
      </c>
      <c r="Y3" t="s">
        <v>597</v>
      </c>
      <c r="Z3" t="s">
        <v>598</v>
      </c>
      <c r="AA3" t="s">
        <v>599</v>
      </c>
      <c r="AB3" t="s">
        <v>600</v>
      </c>
      <c r="AC3" t="s">
        <v>601</v>
      </c>
      <c r="AD3" t="s">
        <v>602</v>
      </c>
      <c r="AE3" t="s">
        <v>603</v>
      </c>
      <c r="AF3" t="s">
        <v>604</v>
      </c>
      <c r="AG3" t="s">
        <v>605</v>
      </c>
      <c r="AH3" t="s">
        <v>606</v>
      </c>
      <c r="AK3" t="s">
        <v>535</v>
      </c>
      <c r="AL3" t="s">
        <v>536</v>
      </c>
      <c r="AM3" t="s">
        <v>544</v>
      </c>
      <c r="AN3" t="s">
        <v>537</v>
      </c>
      <c r="AO3" t="s">
        <v>538</v>
      </c>
      <c r="AP3" t="s">
        <v>539</v>
      </c>
      <c r="AQ3" t="s">
        <v>540</v>
      </c>
      <c r="AR3" t="s">
        <v>541</v>
      </c>
      <c r="AS3" t="s">
        <v>542</v>
      </c>
      <c r="AT3" t="s">
        <v>535</v>
      </c>
      <c r="AU3" t="s">
        <v>536</v>
      </c>
      <c r="AV3" t="s">
        <v>544</v>
      </c>
      <c r="AW3" t="s">
        <v>537</v>
      </c>
      <c r="AX3" t="s">
        <v>538</v>
      </c>
      <c r="AY3" t="s">
        <v>539</v>
      </c>
      <c r="AZ3" t="s">
        <v>540</v>
      </c>
      <c r="BA3" t="s">
        <v>541</v>
      </c>
      <c r="BB3" t="s">
        <v>542</v>
      </c>
    </row>
    <row r="4" spans="1:54" x14ac:dyDescent="0.35">
      <c r="A4" s="12" t="s">
        <v>362</v>
      </c>
      <c r="B4" s="11" t="s">
        <v>359</v>
      </c>
      <c r="C4" s="11" t="s">
        <v>360</v>
      </c>
      <c r="D4" s="11" t="s">
        <v>545</v>
      </c>
      <c r="E4" s="11" t="s">
        <v>361</v>
      </c>
      <c r="F4" s="11" t="s">
        <v>522</v>
      </c>
      <c r="G4" s="11" t="s">
        <v>523</v>
      </c>
      <c r="H4" s="11" t="s">
        <v>524</v>
      </c>
      <c r="I4" s="11" t="s">
        <v>525</v>
      </c>
      <c r="J4" s="11" t="s">
        <v>526</v>
      </c>
      <c r="K4" s="11" t="s">
        <v>527</v>
      </c>
      <c r="L4" s="11" t="s">
        <v>358</v>
      </c>
      <c r="M4" s="11" t="s">
        <v>549</v>
      </c>
      <c r="N4" s="11" t="s">
        <v>550</v>
      </c>
      <c r="O4" s="11" t="s">
        <v>551</v>
      </c>
      <c r="P4" s="11" t="s">
        <v>552</v>
      </c>
      <c r="Q4" s="11" t="s">
        <v>553</v>
      </c>
      <c r="R4" s="11" t="s">
        <v>554</v>
      </c>
      <c r="S4" s="11" t="s">
        <v>555</v>
      </c>
      <c r="T4" s="11" t="s">
        <v>556</v>
      </c>
      <c r="U4" s="11" t="s">
        <v>582</v>
      </c>
      <c r="V4" s="11" t="s">
        <v>583</v>
      </c>
      <c r="W4" s="11" t="s">
        <v>584</v>
      </c>
      <c r="X4" s="11" t="s">
        <v>585</v>
      </c>
      <c r="Y4" s="11" t="s">
        <v>607</v>
      </c>
      <c r="Z4" s="11" t="s">
        <v>608</v>
      </c>
      <c r="AA4" s="11" t="s">
        <v>609</v>
      </c>
      <c r="AB4" s="11" t="s">
        <v>610</v>
      </c>
      <c r="AC4" s="11" t="s">
        <v>611</v>
      </c>
      <c r="AD4" s="11" t="s">
        <v>612</v>
      </c>
      <c r="AE4" s="11" t="s">
        <v>619</v>
      </c>
      <c r="AF4" s="11" t="s">
        <v>620</v>
      </c>
      <c r="AG4" s="11" t="s">
        <v>621</v>
      </c>
      <c r="AH4" s="11" t="s">
        <v>622</v>
      </c>
      <c r="AK4" s="11" t="s">
        <v>636</v>
      </c>
      <c r="AL4" s="11" t="s">
        <v>637</v>
      </c>
      <c r="AM4" s="11" t="s">
        <v>638</v>
      </c>
      <c r="AN4" s="11" t="s">
        <v>639</v>
      </c>
      <c r="AO4" s="11" t="s">
        <v>640</v>
      </c>
      <c r="AP4" s="11" t="s">
        <v>641</v>
      </c>
      <c r="AQ4" s="11" t="s">
        <v>649</v>
      </c>
      <c r="AR4" s="11" t="s">
        <v>650</v>
      </c>
      <c r="AS4" s="11" t="s">
        <v>651</v>
      </c>
      <c r="AT4" s="11" t="s">
        <v>657</v>
      </c>
      <c r="AU4" s="11" t="s">
        <v>658</v>
      </c>
      <c r="AV4" s="11" t="s">
        <v>659</v>
      </c>
      <c r="AW4" s="11" t="s">
        <v>660</v>
      </c>
      <c r="AX4" s="11" t="s">
        <v>661</v>
      </c>
      <c r="AY4" s="11" t="s">
        <v>662</v>
      </c>
      <c r="AZ4" s="11" t="s">
        <v>663</v>
      </c>
      <c r="BA4" s="11" t="s">
        <v>664</v>
      </c>
      <c r="BB4" s="11" t="s">
        <v>665</v>
      </c>
    </row>
    <row r="5" spans="1:54" s="14" customFormat="1" ht="61" customHeight="1" x14ac:dyDescent="0.35">
      <c r="A5" s="14" t="s">
        <v>369</v>
      </c>
      <c r="B5" s="14" t="s">
        <v>375</v>
      </c>
      <c r="C5" s="14" t="s">
        <v>376</v>
      </c>
      <c r="D5" s="14" t="s">
        <v>546</v>
      </c>
      <c r="E5" s="14" t="s">
        <v>377</v>
      </c>
      <c r="F5" s="14" t="s">
        <v>528</v>
      </c>
      <c r="G5" s="14" t="s">
        <v>529</v>
      </c>
      <c r="H5" s="14" t="s">
        <v>530</v>
      </c>
      <c r="I5" s="14" t="s">
        <v>531</v>
      </c>
      <c r="J5" s="14" t="s">
        <v>532</v>
      </c>
      <c r="K5" s="14" t="s">
        <v>533</v>
      </c>
      <c r="L5" s="14" t="s">
        <v>548</v>
      </c>
      <c r="M5" s="14" t="s">
        <v>557</v>
      </c>
      <c r="N5" s="14" t="s">
        <v>558</v>
      </c>
      <c r="O5" s="14" t="s">
        <v>559</v>
      </c>
      <c r="P5" s="14" t="s">
        <v>560</v>
      </c>
      <c r="Q5" s="14" t="s">
        <v>561</v>
      </c>
      <c r="R5" s="14" t="s">
        <v>562</v>
      </c>
      <c r="S5" s="14" t="s">
        <v>563</v>
      </c>
      <c r="T5" s="14" t="s">
        <v>564</v>
      </c>
      <c r="U5" s="14" t="s">
        <v>588</v>
      </c>
      <c r="V5" s="14" t="s">
        <v>589</v>
      </c>
      <c r="W5" s="14" t="s">
        <v>590</v>
      </c>
      <c r="X5" s="14" t="s">
        <v>591</v>
      </c>
      <c r="Y5" s="14" t="s">
        <v>613</v>
      </c>
      <c r="Z5" s="14" t="s">
        <v>614</v>
      </c>
      <c r="AA5" s="14" t="s">
        <v>615</v>
      </c>
      <c r="AB5" s="14" t="s">
        <v>616</v>
      </c>
      <c r="AC5" s="14" t="s">
        <v>617</v>
      </c>
      <c r="AD5" s="14" t="s">
        <v>618</v>
      </c>
      <c r="AE5" s="14" t="s">
        <v>623</v>
      </c>
      <c r="AF5" s="14" t="s">
        <v>624</v>
      </c>
      <c r="AG5" s="14" t="s">
        <v>625</v>
      </c>
      <c r="AH5" s="14" t="s">
        <v>626</v>
      </c>
      <c r="AK5" s="14" t="s">
        <v>643</v>
      </c>
      <c r="AL5" s="14" t="s">
        <v>644</v>
      </c>
      <c r="AM5" s="14" t="s">
        <v>645</v>
      </c>
      <c r="AN5" s="14" t="s">
        <v>646</v>
      </c>
      <c r="AO5" s="14" t="s">
        <v>647</v>
      </c>
      <c r="AP5" s="14" t="s">
        <v>648</v>
      </c>
      <c r="AQ5" s="14" t="s">
        <v>653</v>
      </c>
      <c r="AR5" s="14" t="s">
        <v>655</v>
      </c>
      <c r="AS5" s="14" t="s">
        <v>656</v>
      </c>
      <c r="AT5" s="14" t="s">
        <v>666</v>
      </c>
      <c r="AU5" s="14" t="s">
        <v>667</v>
      </c>
      <c r="AV5" s="14" t="s">
        <v>668</v>
      </c>
      <c r="AW5" s="14" t="s">
        <v>669</v>
      </c>
      <c r="AX5" s="14" t="s">
        <v>670</v>
      </c>
      <c r="AY5" s="14" t="s">
        <v>671</v>
      </c>
      <c r="AZ5" s="14" t="s">
        <v>672</v>
      </c>
      <c r="BA5" s="14" t="s">
        <v>673</v>
      </c>
      <c r="BB5" s="14" t="s">
        <v>674</v>
      </c>
    </row>
    <row r="6" spans="1:54" ht="1" customHeight="1" x14ac:dyDescent="0.35">
      <c r="A6" t="s">
        <v>368</v>
      </c>
      <c r="B6" t="s">
        <v>374</v>
      </c>
      <c r="C6" t="s">
        <v>374</v>
      </c>
      <c r="D6" t="s">
        <v>374</v>
      </c>
      <c r="E6" t="s">
        <v>374</v>
      </c>
      <c r="F6" t="s">
        <v>374</v>
      </c>
      <c r="G6" t="s">
        <v>374</v>
      </c>
      <c r="H6" t="s">
        <v>374</v>
      </c>
      <c r="I6" t="s">
        <v>374</v>
      </c>
      <c r="J6" t="s">
        <v>374</v>
      </c>
      <c r="K6" t="s">
        <v>374</v>
      </c>
      <c r="L6" t="s">
        <v>374</v>
      </c>
      <c r="M6" t="s">
        <v>374</v>
      </c>
      <c r="N6" t="s">
        <v>374</v>
      </c>
      <c r="O6" t="s">
        <v>374</v>
      </c>
      <c r="P6" t="s">
        <v>374</v>
      </c>
      <c r="Q6" t="s">
        <v>374</v>
      </c>
      <c r="R6" t="s">
        <v>374</v>
      </c>
      <c r="S6" t="s">
        <v>374</v>
      </c>
      <c r="T6" t="s">
        <v>374</v>
      </c>
      <c r="U6" t="s">
        <v>587</v>
      </c>
      <c r="V6" t="s">
        <v>587</v>
      </c>
      <c r="W6" t="s">
        <v>587</v>
      </c>
      <c r="X6" t="s">
        <v>587</v>
      </c>
      <c r="Y6" t="s">
        <v>587</v>
      </c>
      <c r="Z6" t="s">
        <v>587</v>
      </c>
      <c r="AA6" t="s">
        <v>587</v>
      </c>
      <c r="AB6" t="s">
        <v>587</v>
      </c>
      <c r="AC6" t="s">
        <v>587</v>
      </c>
      <c r="AD6" t="s">
        <v>587</v>
      </c>
      <c r="AE6" t="s">
        <v>587</v>
      </c>
      <c r="AF6" t="s">
        <v>587</v>
      </c>
      <c r="AG6" t="s">
        <v>587</v>
      </c>
      <c r="AH6" t="s">
        <v>587</v>
      </c>
      <c r="AK6" t="s">
        <v>374</v>
      </c>
      <c r="AL6" t="s">
        <v>374</v>
      </c>
      <c r="AM6" t="s">
        <v>374</v>
      </c>
      <c r="AN6" t="s">
        <v>374</v>
      </c>
      <c r="AO6" t="s">
        <v>374</v>
      </c>
      <c r="AP6" t="s">
        <v>374</v>
      </c>
      <c r="AQ6" t="s">
        <v>652</v>
      </c>
      <c r="AR6" t="s">
        <v>374</v>
      </c>
      <c r="AS6" t="s">
        <v>374</v>
      </c>
      <c r="AT6" t="s">
        <v>374</v>
      </c>
      <c r="AU6" t="s">
        <v>374</v>
      </c>
      <c r="AV6" t="s">
        <v>374</v>
      </c>
      <c r="AW6" t="s">
        <v>374</v>
      </c>
      <c r="AX6" t="s">
        <v>374</v>
      </c>
      <c r="AY6" t="s">
        <v>374</v>
      </c>
      <c r="AZ6" t="s">
        <v>652</v>
      </c>
      <c r="BA6" t="s">
        <v>374</v>
      </c>
      <c r="BB6" t="s">
        <v>374</v>
      </c>
    </row>
    <row r="7" spans="1:54" ht="1.5" customHeight="1" x14ac:dyDescent="0.35">
      <c r="A7" t="s">
        <v>367</v>
      </c>
      <c r="B7" t="s">
        <v>373</v>
      </c>
      <c r="C7" t="s">
        <v>373</v>
      </c>
      <c r="D7" t="s">
        <v>373</v>
      </c>
      <c r="E7" t="s">
        <v>373</v>
      </c>
      <c r="F7" t="s">
        <v>373</v>
      </c>
      <c r="G7" t="s">
        <v>373</v>
      </c>
      <c r="H7" t="s">
        <v>373</v>
      </c>
      <c r="I7" t="s">
        <v>373</v>
      </c>
      <c r="J7" t="s">
        <v>373</v>
      </c>
      <c r="K7" t="s">
        <v>373</v>
      </c>
      <c r="L7" t="s">
        <v>373</v>
      </c>
      <c r="M7" t="s">
        <v>373</v>
      </c>
      <c r="N7" t="s">
        <v>373</v>
      </c>
      <c r="O7" t="s">
        <v>373</v>
      </c>
      <c r="P7" t="s">
        <v>373</v>
      </c>
      <c r="Q7" t="s">
        <v>373</v>
      </c>
      <c r="R7" t="s">
        <v>373</v>
      </c>
      <c r="S7" t="s">
        <v>373</v>
      </c>
      <c r="T7" t="s">
        <v>373</v>
      </c>
      <c r="U7" t="s">
        <v>373</v>
      </c>
      <c r="V7" t="s">
        <v>373</v>
      </c>
      <c r="W7" t="s">
        <v>373</v>
      </c>
      <c r="X7" t="s">
        <v>373</v>
      </c>
      <c r="Y7" t="s">
        <v>373</v>
      </c>
      <c r="Z7" t="s">
        <v>373</v>
      </c>
      <c r="AA7" t="s">
        <v>373</v>
      </c>
      <c r="AB7" t="s">
        <v>373</v>
      </c>
      <c r="AC7" t="s">
        <v>373</v>
      </c>
      <c r="AD7" t="s">
        <v>373</v>
      </c>
      <c r="AE7" t="s">
        <v>373</v>
      </c>
      <c r="AF7" t="s">
        <v>373</v>
      </c>
      <c r="AG7" t="s">
        <v>373</v>
      </c>
      <c r="AH7" t="s">
        <v>373</v>
      </c>
      <c r="AK7" t="s">
        <v>373</v>
      </c>
      <c r="AL7" t="s">
        <v>373</v>
      </c>
      <c r="AM7" t="s">
        <v>373</v>
      </c>
      <c r="AN7" t="s">
        <v>373</v>
      </c>
      <c r="AO7" t="s">
        <v>373</v>
      </c>
      <c r="AP7" t="s">
        <v>373</v>
      </c>
      <c r="AQ7" t="s">
        <v>373</v>
      </c>
      <c r="AR7" t="s">
        <v>373</v>
      </c>
      <c r="AS7" t="s">
        <v>373</v>
      </c>
      <c r="AT7" t="s">
        <v>373</v>
      </c>
      <c r="AU7" t="s">
        <v>373</v>
      </c>
      <c r="AV7" t="s">
        <v>373</v>
      </c>
      <c r="AW7" t="s">
        <v>373</v>
      </c>
      <c r="AX7" t="s">
        <v>373</v>
      </c>
      <c r="AY7" t="s">
        <v>373</v>
      </c>
      <c r="AZ7" t="s">
        <v>373</v>
      </c>
      <c r="BA7" t="s">
        <v>373</v>
      </c>
      <c r="BB7" t="s">
        <v>373</v>
      </c>
    </row>
    <row r="8" spans="1:54" ht="2.5" customHeight="1" x14ac:dyDescent="0.35">
      <c r="A8" t="s">
        <v>366</v>
      </c>
      <c r="B8" t="s">
        <v>372</v>
      </c>
      <c r="C8" t="s">
        <v>372</v>
      </c>
      <c r="D8" t="s">
        <v>372</v>
      </c>
      <c r="E8" t="s">
        <v>372</v>
      </c>
      <c r="F8" t="s">
        <v>372</v>
      </c>
      <c r="G8" t="s">
        <v>372</v>
      </c>
      <c r="H8" t="s">
        <v>372</v>
      </c>
      <c r="I8" t="s">
        <v>372</v>
      </c>
      <c r="J8" t="s">
        <v>372</v>
      </c>
      <c r="K8" t="s">
        <v>372</v>
      </c>
      <c r="L8" t="s">
        <v>372</v>
      </c>
      <c r="M8" t="s">
        <v>372</v>
      </c>
      <c r="N8" t="s">
        <v>372</v>
      </c>
      <c r="O8" t="s">
        <v>372</v>
      </c>
      <c r="P8" t="s">
        <v>372</v>
      </c>
      <c r="Q8" t="s">
        <v>372</v>
      </c>
      <c r="R8" t="s">
        <v>372</v>
      </c>
      <c r="S8" t="s">
        <v>372</v>
      </c>
      <c r="T8" t="s">
        <v>372</v>
      </c>
      <c r="U8" t="s">
        <v>372</v>
      </c>
      <c r="V8" t="s">
        <v>372</v>
      </c>
      <c r="W8" t="s">
        <v>372</v>
      </c>
      <c r="X8" t="s">
        <v>372</v>
      </c>
      <c r="Y8" t="s">
        <v>372</v>
      </c>
      <c r="Z8" t="s">
        <v>372</v>
      </c>
      <c r="AA8" t="s">
        <v>372</v>
      </c>
      <c r="AB8" t="s">
        <v>372</v>
      </c>
      <c r="AC8" t="s">
        <v>372</v>
      </c>
      <c r="AD8" t="s">
        <v>372</v>
      </c>
      <c r="AE8" t="s">
        <v>372</v>
      </c>
      <c r="AF8" t="s">
        <v>372</v>
      </c>
      <c r="AG8" t="s">
        <v>372</v>
      </c>
      <c r="AH8" t="s">
        <v>372</v>
      </c>
      <c r="AK8" t="s">
        <v>372</v>
      </c>
      <c r="AL8" t="s">
        <v>372</v>
      </c>
      <c r="AM8" t="s">
        <v>372</v>
      </c>
      <c r="AN8" t="s">
        <v>372</v>
      </c>
      <c r="AO8" t="s">
        <v>372</v>
      </c>
      <c r="AP8" t="s">
        <v>372</v>
      </c>
      <c r="AQ8" t="s">
        <v>372</v>
      </c>
      <c r="AR8" t="s">
        <v>372</v>
      </c>
      <c r="AS8" t="s">
        <v>372</v>
      </c>
      <c r="AT8" t="s">
        <v>372</v>
      </c>
      <c r="AU8" t="s">
        <v>372</v>
      </c>
      <c r="AV8" t="s">
        <v>372</v>
      </c>
      <c r="AW8" t="s">
        <v>372</v>
      </c>
      <c r="AX8" t="s">
        <v>372</v>
      </c>
      <c r="AY8" t="s">
        <v>372</v>
      </c>
      <c r="AZ8" t="s">
        <v>372</v>
      </c>
      <c r="BA8" t="s">
        <v>372</v>
      </c>
      <c r="BB8" t="s">
        <v>372</v>
      </c>
    </row>
    <row r="9" spans="1:54" ht="1" hidden="1" customHeight="1" x14ac:dyDescent="0.35">
      <c r="A9" t="s">
        <v>365</v>
      </c>
      <c r="B9" t="s">
        <v>371</v>
      </c>
      <c r="C9" t="s">
        <v>371</v>
      </c>
      <c r="D9" t="s">
        <v>371</v>
      </c>
      <c r="E9" t="s">
        <v>371</v>
      </c>
      <c r="F9" t="s">
        <v>371</v>
      </c>
      <c r="G9" t="s">
        <v>371</v>
      </c>
      <c r="H9" t="s">
        <v>371</v>
      </c>
      <c r="I9" t="s">
        <v>642</v>
      </c>
      <c r="J9" t="s">
        <v>642</v>
      </c>
      <c r="K9" t="s">
        <v>371</v>
      </c>
      <c r="L9" t="s">
        <v>547</v>
      </c>
      <c r="M9" t="s">
        <v>547</v>
      </c>
      <c r="N9" t="s">
        <v>547</v>
      </c>
      <c r="O9" t="s">
        <v>547</v>
      </c>
      <c r="P9" t="s">
        <v>547</v>
      </c>
      <c r="Q9" t="s">
        <v>547</v>
      </c>
      <c r="R9" t="s">
        <v>547</v>
      </c>
      <c r="S9" t="s">
        <v>547</v>
      </c>
      <c r="T9" t="s">
        <v>547</v>
      </c>
      <c r="U9" t="s">
        <v>586</v>
      </c>
      <c r="V9" t="s">
        <v>371</v>
      </c>
      <c r="W9" t="s">
        <v>586</v>
      </c>
      <c r="X9" t="s">
        <v>547</v>
      </c>
      <c r="Y9" t="s">
        <v>586</v>
      </c>
      <c r="Z9" t="s">
        <v>586</v>
      </c>
      <c r="AA9" t="s">
        <v>586</v>
      </c>
      <c r="AB9" t="s">
        <v>586</v>
      </c>
      <c r="AC9" t="s">
        <v>586</v>
      </c>
      <c r="AD9" t="s">
        <v>547</v>
      </c>
      <c r="AE9" t="s">
        <v>547</v>
      </c>
      <c r="AF9" t="s">
        <v>547</v>
      </c>
      <c r="AG9" t="s">
        <v>547</v>
      </c>
      <c r="AH9" t="s">
        <v>547</v>
      </c>
      <c r="AK9" t="s">
        <v>371</v>
      </c>
      <c r="AL9" t="s">
        <v>371</v>
      </c>
      <c r="AM9" t="s">
        <v>371</v>
      </c>
      <c r="AN9" t="s">
        <v>371</v>
      </c>
      <c r="AO9" t="s">
        <v>371</v>
      </c>
      <c r="AP9" t="s">
        <v>371</v>
      </c>
      <c r="AQ9" t="s">
        <v>371</v>
      </c>
      <c r="AR9" t="s">
        <v>654</v>
      </c>
      <c r="AS9" t="s">
        <v>654</v>
      </c>
      <c r="AT9" t="s">
        <v>371</v>
      </c>
      <c r="AU9" t="s">
        <v>547</v>
      </c>
      <c r="AV9" t="s">
        <v>547</v>
      </c>
      <c r="AW9" t="s">
        <v>547</v>
      </c>
      <c r="AX9" t="s">
        <v>547</v>
      </c>
      <c r="AY9" t="s">
        <v>547</v>
      </c>
      <c r="AZ9" t="s">
        <v>547</v>
      </c>
      <c r="BA9" t="s">
        <v>547</v>
      </c>
      <c r="BB9" t="s">
        <v>547</v>
      </c>
    </row>
    <row r="10" spans="1:54" ht="1" customHeight="1" x14ac:dyDescent="0.35">
      <c r="A10" t="s">
        <v>364</v>
      </c>
      <c r="B10" t="s">
        <v>370</v>
      </c>
      <c r="C10" t="s">
        <v>370</v>
      </c>
      <c r="D10" t="s">
        <v>370</v>
      </c>
      <c r="E10" t="s">
        <v>370</v>
      </c>
      <c r="F10" t="s">
        <v>370</v>
      </c>
      <c r="G10" t="s">
        <v>370</v>
      </c>
      <c r="H10" t="s">
        <v>370</v>
      </c>
      <c r="I10" t="s">
        <v>370</v>
      </c>
      <c r="J10" t="s">
        <v>370</v>
      </c>
      <c r="K10" t="s">
        <v>370</v>
      </c>
      <c r="L10" t="s">
        <v>370</v>
      </c>
      <c r="M10" t="s">
        <v>370</v>
      </c>
      <c r="N10" t="s">
        <v>370</v>
      </c>
      <c r="O10" t="s">
        <v>370</v>
      </c>
      <c r="P10" t="s">
        <v>370</v>
      </c>
      <c r="Q10" t="s">
        <v>370</v>
      </c>
      <c r="R10" t="s">
        <v>370</v>
      </c>
      <c r="S10" t="s">
        <v>370</v>
      </c>
      <c r="T10" t="s">
        <v>370</v>
      </c>
      <c r="U10" t="s">
        <v>370</v>
      </c>
      <c r="V10" t="s">
        <v>370</v>
      </c>
      <c r="W10" t="s">
        <v>370</v>
      </c>
      <c r="X10" t="s">
        <v>370</v>
      </c>
      <c r="Y10" t="s">
        <v>370</v>
      </c>
      <c r="Z10" t="s">
        <v>370</v>
      </c>
      <c r="AA10" t="s">
        <v>370</v>
      </c>
      <c r="AB10" t="s">
        <v>370</v>
      </c>
      <c r="AC10" t="s">
        <v>370</v>
      </c>
      <c r="AD10" t="s">
        <v>370</v>
      </c>
      <c r="AE10" t="s">
        <v>370</v>
      </c>
      <c r="AF10" t="s">
        <v>370</v>
      </c>
      <c r="AG10" t="s">
        <v>370</v>
      </c>
      <c r="AH10" t="s">
        <v>370</v>
      </c>
      <c r="AK10" t="s">
        <v>370</v>
      </c>
      <c r="AL10" t="s">
        <v>370</v>
      </c>
      <c r="AM10" t="s">
        <v>370</v>
      </c>
      <c r="AN10" t="s">
        <v>370</v>
      </c>
      <c r="AO10" t="s">
        <v>370</v>
      </c>
      <c r="AP10" t="s">
        <v>370</v>
      </c>
      <c r="AQ10" t="s">
        <v>370</v>
      </c>
      <c r="AR10" t="s">
        <v>370</v>
      </c>
      <c r="AS10" t="s">
        <v>370</v>
      </c>
      <c r="AT10" t="s">
        <v>370</v>
      </c>
      <c r="AU10" t="s">
        <v>370</v>
      </c>
      <c r="AV10" t="s">
        <v>370</v>
      </c>
      <c r="AW10" t="s">
        <v>370</v>
      </c>
      <c r="AX10" t="s">
        <v>370</v>
      </c>
      <c r="AY10" t="s">
        <v>370</v>
      </c>
      <c r="AZ10" t="s">
        <v>370</v>
      </c>
      <c r="BA10" t="s">
        <v>370</v>
      </c>
      <c r="BB10" t="s">
        <v>370</v>
      </c>
    </row>
    <row r="11" spans="1:54" x14ac:dyDescent="0.35">
      <c r="A11" t="s">
        <v>363</v>
      </c>
      <c r="B11" s="13">
        <v>379458</v>
      </c>
      <c r="C11" s="13">
        <v>215861</v>
      </c>
      <c r="D11" s="13">
        <v>6862</v>
      </c>
      <c r="E11" s="13">
        <v>77235</v>
      </c>
      <c r="F11" s="13">
        <v>73856</v>
      </c>
      <c r="G11" s="13">
        <v>348</v>
      </c>
      <c r="H11" s="13">
        <v>-336</v>
      </c>
      <c r="I11" s="13">
        <v>69304</v>
      </c>
      <c r="J11" s="13">
        <v>68197</v>
      </c>
      <c r="K11" s="13">
        <v>1</v>
      </c>
      <c r="L11" s="13">
        <v>364170</v>
      </c>
      <c r="M11" s="13">
        <v>201610</v>
      </c>
      <c r="N11" s="13">
        <v>6759</v>
      </c>
      <c r="O11" s="13">
        <v>78352</v>
      </c>
      <c r="P11" s="13">
        <v>73861</v>
      </c>
      <c r="Q11" s="13">
        <v>179</v>
      </c>
      <c r="R11" s="13">
        <v>-303</v>
      </c>
      <c r="S11" s="13">
        <v>66749</v>
      </c>
      <c r="T11" s="13">
        <v>66340</v>
      </c>
      <c r="U11" s="13" t="e">
        <v>#N/A</v>
      </c>
      <c r="V11" s="13" t="e">
        <v>#N/A</v>
      </c>
      <c r="W11" s="13" t="e">
        <v>#N/A</v>
      </c>
      <c r="X11" s="13" t="e">
        <v>#N/A</v>
      </c>
      <c r="Y11" s="13" t="e">
        <v>#N/A</v>
      </c>
      <c r="Z11" s="13" t="e">
        <v>#N/A</v>
      </c>
      <c r="AA11" s="13" t="e">
        <v>#N/A</v>
      </c>
      <c r="AB11" s="13" t="e">
        <v>#N/A</v>
      </c>
      <c r="AC11" s="13" t="e">
        <v>#N/A</v>
      </c>
      <c r="AD11" s="13" t="e">
        <v>#N/A</v>
      </c>
      <c r="AE11" s="13" t="e">
        <v>#N/A</v>
      </c>
      <c r="AF11" s="13" t="e">
        <v>#N/A</v>
      </c>
      <c r="AG11" s="13" t="e">
        <v>#N/A</v>
      </c>
      <c r="AH11" s="13" t="e">
        <v>#N/A</v>
      </c>
      <c r="AK11" s="13">
        <v>163591</v>
      </c>
      <c r="AL11" s="13">
        <v>98144</v>
      </c>
      <c r="AM11" s="13">
        <v>2139</v>
      </c>
      <c r="AN11" s="13">
        <v>26492</v>
      </c>
      <c r="AO11" s="13">
        <v>39711</v>
      </c>
      <c r="AP11" s="13">
        <v>413</v>
      </c>
      <c r="AQ11" s="13">
        <v>146</v>
      </c>
      <c r="AR11" s="13">
        <v>35672</v>
      </c>
      <c r="AS11" s="13">
        <v>39126</v>
      </c>
      <c r="AT11" s="13">
        <v>161953</v>
      </c>
      <c r="AU11" s="13">
        <v>94443</v>
      </c>
      <c r="AV11" s="13">
        <v>2123</v>
      </c>
      <c r="AW11" s="13">
        <v>26821</v>
      </c>
      <c r="AX11" s="13">
        <v>41923</v>
      </c>
      <c r="AY11" s="13">
        <v>148</v>
      </c>
      <c r="AZ11" s="13">
        <v>138</v>
      </c>
      <c r="BA11" s="13">
        <v>34459</v>
      </c>
      <c r="BB11" s="13">
        <v>38102</v>
      </c>
    </row>
    <row r="12" spans="1:54" x14ac:dyDescent="0.35">
      <c r="A12" t="s">
        <v>378</v>
      </c>
      <c r="B12" s="13">
        <v>381997</v>
      </c>
      <c r="C12" s="13">
        <v>216571</v>
      </c>
      <c r="D12" s="13">
        <v>6568</v>
      </c>
      <c r="E12" s="13">
        <v>77520</v>
      </c>
      <c r="F12" s="13">
        <v>72815</v>
      </c>
      <c r="G12" s="13">
        <v>1826</v>
      </c>
      <c r="H12" s="13">
        <v>1143</v>
      </c>
      <c r="I12" s="13">
        <v>69149</v>
      </c>
      <c r="J12" s="13">
        <v>68012</v>
      </c>
      <c r="K12" s="13">
        <v>1</v>
      </c>
      <c r="L12" s="13">
        <v>372155</v>
      </c>
      <c r="M12" s="13">
        <v>208672</v>
      </c>
      <c r="N12" s="13">
        <v>6684</v>
      </c>
      <c r="O12" s="13">
        <v>76427</v>
      </c>
      <c r="P12" s="13">
        <v>72814</v>
      </c>
      <c r="Q12" s="13">
        <v>1288</v>
      </c>
      <c r="R12" s="13">
        <v>1047</v>
      </c>
      <c r="S12" s="13">
        <v>69030</v>
      </c>
      <c r="T12" s="13">
        <v>69254</v>
      </c>
      <c r="U12" s="13" t="e">
        <v>#N/A</v>
      </c>
      <c r="V12" s="13" t="e">
        <v>#N/A</v>
      </c>
      <c r="W12" s="13" t="e">
        <v>#N/A</v>
      </c>
      <c r="X12" s="13" t="e">
        <v>#N/A</v>
      </c>
      <c r="Y12" s="13" t="e">
        <v>#N/A</v>
      </c>
      <c r="Z12" s="13" t="e">
        <v>#N/A</v>
      </c>
      <c r="AA12" s="13" t="e">
        <v>#N/A</v>
      </c>
      <c r="AB12" s="13" t="e">
        <v>#N/A</v>
      </c>
      <c r="AC12" s="13" t="e">
        <v>#N/A</v>
      </c>
      <c r="AD12" s="13" t="e">
        <v>#N/A</v>
      </c>
      <c r="AE12" s="13" t="e">
        <v>#N/A</v>
      </c>
      <c r="AF12" s="13" t="e">
        <v>#N/A</v>
      </c>
      <c r="AG12" s="13" t="e">
        <v>#N/A</v>
      </c>
      <c r="AH12" s="13" t="e">
        <v>#N/A</v>
      </c>
      <c r="AK12" s="13">
        <v>167263</v>
      </c>
      <c r="AL12" s="13">
        <v>100606</v>
      </c>
      <c r="AM12" s="13">
        <v>2042</v>
      </c>
      <c r="AN12" s="13">
        <v>27463</v>
      </c>
      <c r="AO12" s="13">
        <v>39742</v>
      </c>
      <c r="AP12" s="13">
        <v>467</v>
      </c>
      <c r="AQ12" s="13">
        <v>128</v>
      </c>
      <c r="AR12" s="13">
        <v>36108</v>
      </c>
      <c r="AS12" s="13">
        <v>39293</v>
      </c>
      <c r="AT12" s="13">
        <v>162310</v>
      </c>
      <c r="AU12" s="13">
        <v>98783</v>
      </c>
      <c r="AV12" s="13">
        <v>2068</v>
      </c>
      <c r="AW12" s="13">
        <v>27283</v>
      </c>
      <c r="AX12" s="13">
        <v>37043</v>
      </c>
      <c r="AY12" s="13">
        <v>732</v>
      </c>
      <c r="AZ12" s="13">
        <v>136</v>
      </c>
      <c r="BA12" s="13">
        <v>35966</v>
      </c>
      <c r="BB12" s="13">
        <v>39701</v>
      </c>
    </row>
    <row r="13" spans="1:54" x14ac:dyDescent="0.35">
      <c r="A13" t="s">
        <v>379</v>
      </c>
      <c r="B13" s="13">
        <v>377831</v>
      </c>
      <c r="C13" s="13">
        <v>215211</v>
      </c>
      <c r="D13" s="13">
        <v>6734</v>
      </c>
      <c r="E13" s="13">
        <v>78145</v>
      </c>
      <c r="F13" s="13">
        <v>72153</v>
      </c>
      <c r="G13" s="13">
        <v>-1895</v>
      </c>
      <c r="H13" s="13">
        <v>-3101</v>
      </c>
      <c r="I13" s="13">
        <v>69065</v>
      </c>
      <c r="J13" s="13">
        <v>66865</v>
      </c>
      <c r="K13" s="13">
        <v>0</v>
      </c>
      <c r="L13" s="13">
        <v>386781</v>
      </c>
      <c r="M13" s="13">
        <v>222850</v>
      </c>
      <c r="N13" s="13">
        <v>6746</v>
      </c>
      <c r="O13" s="13">
        <v>77933</v>
      </c>
      <c r="P13" s="13">
        <v>72151</v>
      </c>
      <c r="Q13" s="13">
        <v>249</v>
      </c>
      <c r="R13" s="13">
        <v>-2987</v>
      </c>
      <c r="S13" s="13">
        <v>68723</v>
      </c>
      <c r="T13" s="13">
        <v>68804</v>
      </c>
      <c r="U13" s="13" t="e">
        <v>#N/A</v>
      </c>
      <c r="V13" s="13" t="e">
        <v>#N/A</v>
      </c>
      <c r="W13" s="13" t="e">
        <v>#N/A</v>
      </c>
      <c r="X13" s="13" t="e">
        <v>#N/A</v>
      </c>
      <c r="Y13" s="13" t="e">
        <v>#N/A</v>
      </c>
      <c r="Z13" s="13" t="e">
        <v>#N/A</v>
      </c>
      <c r="AA13" s="13" t="e">
        <v>#N/A</v>
      </c>
      <c r="AB13" s="13" t="e">
        <v>#N/A</v>
      </c>
      <c r="AC13" s="13" t="e">
        <v>#N/A</v>
      </c>
      <c r="AD13" s="13" t="e">
        <v>#N/A</v>
      </c>
      <c r="AE13" s="13" t="e">
        <v>#N/A</v>
      </c>
      <c r="AF13" s="13" t="e">
        <v>#N/A</v>
      </c>
      <c r="AG13" s="13" t="e">
        <v>#N/A</v>
      </c>
      <c r="AH13" s="13" t="e">
        <v>#N/A</v>
      </c>
      <c r="AK13" s="13">
        <v>170618</v>
      </c>
      <c r="AL13" s="13">
        <v>102143</v>
      </c>
      <c r="AM13" s="13">
        <v>2093</v>
      </c>
      <c r="AN13" s="13">
        <v>28389</v>
      </c>
      <c r="AO13" s="13">
        <v>39970</v>
      </c>
      <c r="AP13" s="13">
        <v>-382</v>
      </c>
      <c r="AQ13" s="13">
        <v>141</v>
      </c>
      <c r="AR13" s="13">
        <v>35662</v>
      </c>
      <c r="AS13" s="13">
        <v>37398</v>
      </c>
      <c r="AT13" s="13">
        <v>170916</v>
      </c>
      <c r="AU13" s="13">
        <v>103826</v>
      </c>
      <c r="AV13" s="13">
        <v>2107</v>
      </c>
      <c r="AW13" s="13">
        <v>28183</v>
      </c>
      <c r="AX13" s="13">
        <v>39644</v>
      </c>
      <c r="AY13" s="13">
        <v>-41</v>
      </c>
      <c r="AZ13" s="13">
        <v>141</v>
      </c>
      <c r="BA13" s="13">
        <v>35580</v>
      </c>
      <c r="BB13" s="13">
        <v>38524</v>
      </c>
    </row>
    <row r="14" spans="1:54" x14ac:dyDescent="0.35">
      <c r="A14" t="s">
        <v>380</v>
      </c>
      <c r="B14" s="13">
        <v>375916</v>
      </c>
      <c r="C14" s="13">
        <v>215007</v>
      </c>
      <c r="D14" s="13">
        <v>6832</v>
      </c>
      <c r="E14" s="13">
        <v>78838</v>
      </c>
      <c r="F14" s="13">
        <v>71349</v>
      </c>
      <c r="G14" s="13">
        <v>-6060</v>
      </c>
      <c r="H14" s="13">
        <v>1053</v>
      </c>
      <c r="I14" s="13">
        <v>69632</v>
      </c>
      <c r="J14" s="13">
        <v>65714</v>
      </c>
      <c r="K14" s="13">
        <v>0</v>
      </c>
      <c r="L14" s="13">
        <v>392096</v>
      </c>
      <c r="M14" s="13">
        <v>229518</v>
      </c>
      <c r="N14" s="13">
        <v>6807</v>
      </c>
      <c r="O14" s="13">
        <v>79026</v>
      </c>
      <c r="P14" s="13">
        <v>71347</v>
      </c>
      <c r="Q14" s="13">
        <v>-7497</v>
      </c>
      <c r="R14" s="13">
        <v>1002</v>
      </c>
      <c r="S14" s="13">
        <v>72648</v>
      </c>
      <c r="T14" s="13">
        <v>64390</v>
      </c>
      <c r="U14" s="13" t="e">
        <v>#N/A</v>
      </c>
      <c r="V14" s="13" t="e">
        <v>#N/A</v>
      </c>
      <c r="W14" s="13" t="e">
        <v>#N/A</v>
      </c>
      <c r="X14" s="13" t="e">
        <v>#N/A</v>
      </c>
      <c r="Y14" s="13" t="e">
        <v>#N/A</v>
      </c>
      <c r="Z14" s="13" t="e">
        <v>#N/A</v>
      </c>
      <c r="AA14" s="13" t="e">
        <v>#N/A</v>
      </c>
      <c r="AB14" s="13" t="e">
        <v>#N/A</v>
      </c>
      <c r="AC14" s="13" t="e">
        <v>#N/A</v>
      </c>
      <c r="AD14" s="13" t="e">
        <v>#N/A</v>
      </c>
      <c r="AE14" s="13" t="e">
        <v>#N/A</v>
      </c>
      <c r="AF14" s="13" t="e">
        <v>#N/A</v>
      </c>
      <c r="AG14" s="13" t="e">
        <v>#N/A</v>
      </c>
      <c r="AH14" s="13" t="e">
        <v>#N/A</v>
      </c>
      <c r="AK14" s="13">
        <v>171505</v>
      </c>
      <c r="AL14" s="13">
        <v>103680</v>
      </c>
      <c r="AM14" s="13">
        <v>2122</v>
      </c>
      <c r="AN14" s="13">
        <v>28924</v>
      </c>
      <c r="AO14" s="13">
        <v>40066</v>
      </c>
      <c r="AP14" s="13">
        <v>-2298</v>
      </c>
      <c r="AQ14" s="13">
        <v>143</v>
      </c>
      <c r="AR14" s="13">
        <v>36072</v>
      </c>
      <c r="AS14" s="13">
        <v>37204</v>
      </c>
      <c r="AT14" s="13">
        <v>177798</v>
      </c>
      <c r="AU14" s="13">
        <v>107521</v>
      </c>
      <c r="AV14" s="13">
        <v>2098</v>
      </c>
      <c r="AW14" s="13">
        <v>28981</v>
      </c>
      <c r="AX14" s="13">
        <v>40879</v>
      </c>
      <c r="AY14" s="13">
        <v>-2639</v>
      </c>
      <c r="AZ14" s="13">
        <v>143</v>
      </c>
      <c r="BA14" s="13">
        <v>37509</v>
      </c>
      <c r="BB14" s="13">
        <v>36694</v>
      </c>
    </row>
    <row r="15" spans="1:54" x14ac:dyDescent="0.35">
      <c r="A15" t="s">
        <v>381</v>
      </c>
      <c r="B15" s="13">
        <v>374060</v>
      </c>
      <c r="C15" s="13">
        <v>214735</v>
      </c>
      <c r="D15" s="13">
        <v>6531</v>
      </c>
      <c r="E15" s="13">
        <v>79041</v>
      </c>
      <c r="F15" s="13">
        <v>68137</v>
      </c>
      <c r="G15" s="13">
        <v>-1893</v>
      </c>
      <c r="H15" s="13">
        <v>-2024</v>
      </c>
      <c r="I15" s="13">
        <v>66995</v>
      </c>
      <c r="J15" s="13">
        <v>63535</v>
      </c>
      <c r="K15" s="13">
        <v>0</v>
      </c>
      <c r="L15" s="13">
        <v>357751</v>
      </c>
      <c r="M15" s="13">
        <v>200541</v>
      </c>
      <c r="N15" s="13">
        <v>6475</v>
      </c>
      <c r="O15" s="13">
        <v>79913</v>
      </c>
      <c r="P15" s="13">
        <v>68143</v>
      </c>
      <c r="Q15" s="13">
        <v>-4244</v>
      </c>
      <c r="R15" s="13">
        <v>-1987</v>
      </c>
      <c r="S15" s="13">
        <v>64001</v>
      </c>
      <c r="T15" s="13">
        <v>61158</v>
      </c>
      <c r="U15" s="13" t="e">
        <v>#N/A</v>
      </c>
      <c r="V15" s="13" t="e">
        <v>#N/A</v>
      </c>
      <c r="W15" s="13" t="e">
        <v>#N/A</v>
      </c>
      <c r="X15" s="13" t="e">
        <v>#N/A</v>
      </c>
      <c r="Y15" s="13" t="e">
        <v>#N/A</v>
      </c>
      <c r="Z15" s="13" t="e">
        <v>#N/A</v>
      </c>
      <c r="AA15" s="13" t="e">
        <v>#N/A</v>
      </c>
      <c r="AB15" s="13" t="e">
        <v>#N/A</v>
      </c>
      <c r="AC15" s="13" t="e">
        <v>#N/A</v>
      </c>
      <c r="AD15" s="13" t="e">
        <v>#N/A</v>
      </c>
      <c r="AE15" s="13" t="e">
        <v>#N/A</v>
      </c>
      <c r="AF15" s="13" t="e">
        <v>#N/A</v>
      </c>
      <c r="AG15" s="13" t="e">
        <v>#N/A</v>
      </c>
      <c r="AH15" s="13" t="e">
        <v>#N/A</v>
      </c>
      <c r="AK15" s="13">
        <v>173745</v>
      </c>
      <c r="AL15" s="13">
        <v>105632</v>
      </c>
      <c r="AM15" s="13">
        <v>1868</v>
      </c>
      <c r="AN15" s="13">
        <v>29365</v>
      </c>
      <c r="AO15" s="13">
        <v>38516</v>
      </c>
      <c r="AP15" s="13">
        <v>-852</v>
      </c>
      <c r="AQ15" s="13">
        <v>123</v>
      </c>
      <c r="AR15" s="13">
        <v>34859</v>
      </c>
      <c r="AS15" s="13">
        <v>35766</v>
      </c>
      <c r="AT15" s="13">
        <v>170440</v>
      </c>
      <c r="AU15" s="13">
        <v>101439</v>
      </c>
      <c r="AV15" s="13">
        <v>1869</v>
      </c>
      <c r="AW15" s="13">
        <v>29510</v>
      </c>
      <c r="AX15" s="13">
        <v>40396</v>
      </c>
      <c r="AY15" s="13">
        <v>-1457</v>
      </c>
      <c r="AZ15" s="13">
        <v>150</v>
      </c>
      <c r="BA15" s="13">
        <v>33002</v>
      </c>
      <c r="BB15" s="13">
        <v>34469</v>
      </c>
    </row>
    <row r="16" spans="1:54" x14ac:dyDescent="0.35">
      <c r="A16" t="s">
        <v>382</v>
      </c>
      <c r="B16" s="13">
        <v>373608</v>
      </c>
      <c r="C16" s="13">
        <v>213315</v>
      </c>
      <c r="D16" s="13">
        <v>6485</v>
      </c>
      <c r="E16" s="13">
        <v>81070</v>
      </c>
      <c r="F16" s="13">
        <v>67111</v>
      </c>
      <c r="G16" s="13">
        <v>-4769</v>
      </c>
      <c r="H16" s="13">
        <v>4205</v>
      </c>
      <c r="I16" s="13">
        <v>69215</v>
      </c>
      <c r="J16" s="13">
        <v>63812</v>
      </c>
      <c r="K16" s="13">
        <v>0</v>
      </c>
      <c r="L16" s="13">
        <v>363951</v>
      </c>
      <c r="M16" s="13">
        <v>205225</v>
      </c>
      <c r="N16" s="13">
        <v>6520</v>
      </c>
      <c r="O16" s="13">
        <v>80148</v>
      </c>
      <c r="P16" s="13">
        <v>67112</v>
      </c>
      <c r="Q16" s="13">
        <v>-1711</v>
      </c>
      <c r="R16" s="13">
        <v>4101</v>
      </c>
      <c r="S16" s="13">
        <v>69165</v>
      </c>
      <c r="T16" s="13">
        <v>65393</v>
      </c>
      <c r="U16" s="13" t="e">
        <v>#N/A</v>
      </c>
      <c r="V16" s="13" t="e">
        <v>#N/A</v>
      </c>
      <c r="W16" s="13" t="e">
        <v>#N/A</v>
      </c>
      <c r="X16" s="13" t="e">
        <v>#N/A</v>
      </c>
      <c r="Y16" s="13" t="e">
        <v>#N/A</v>
      </c>
      <c r="Z16" s="13" t="e">
        <v>#N/A</v>
      </c>
      <c r="AA16" s="13" t="e">
        <v>#N/A</v>
      </c>
      <c r="AB16" s="13" t="e">
        <v>#N/A</v>
      </c>
      <c r="AC16" s="13" t="e">
        <v>#N/A</v>
      </c>
      <c r="AD16" s="13" t="e">
        <v>#N/A</v>
      </c>
      <c r="AE16" s="13" t="e">
        <v>#N/A</v>
      </c>
      <c r="AF16" s="13" t="e">
        <v>#N/A</v>
      </c>
      <c r="AG16" s="13" t="e">
        <v>#N/A</v>
      </c>
      <c r="AH16" s="13" t="e">
        <v>#N/A</v>
      </c>
      <c r="AK16" s="13">
        <v>176366</v>
      </c>
      <c r="AL16" s="13">
        <v>107349</v>
      </c>
      <c r="AM16" s="13">
        <v>1946</v>
      </c>
      <c r="AN16" s="13">
        <v>30346</v>
      </c>
      <c r="AO16" s="13">
        <v>38045</v>
      </c>
      <c r="AP16" s="13">
        <v>-1569</v>
      </c>
      <c r="AQ16" s="13">
        <v>184</v>
      </c>
      <c r="AR16" s="13">
        <v>36588</v>
      </c>
      <c r="AS16" s="13">
        <v>36523</v>
      </c>
      <c r="AT16" s="13">
        <v>172098</v>
      </c>
      <c r="AU16" s="13">
        <v>105384</v>
      </c>
      <c r="AV16" s="13">
        <v>1948</v>
      </c>
      <c r="AW16" s="13">
        <v>30634</v>
      </c>
      <c r="AX16" s="13">
        <v>35322</v>
      </c>
      <c r="AY16" s="13">
        <v>-808</v>
      </c>
      <c r="AZ16" s="13">
        <v>157</v>
      </c>
      <c r="BA16" s="13">
        <v>36763</v>
      </c>
      <c r="BB16" s="13">
        <v>37302</v>
      </c>
    </row>
    <row r="17" spans="1:54" x14ac:dyDescent="0.35">
      <c r="A17" t="s">
        <v>383</v>
      </c>
      <c r="B17" s="13">
        <v>372878</v>
      </c>
      <c r="C17" s="13">
        <v>213544</v>
      </c>
      <c r="D17" s="13">
        <v>6558</v>
      </c>
      <c r="E17" s="13">
        <v>80462</v>
      </c>
      <c r="F17" s="13">
        <v>65897</v>
      </c>
      <c r="G17" s="13">
        <v>-3885</v>
      </c>
      <c r="H17" s="13">
        <v>-2001</v>
      </c>
      <c r="I17" s="13">
        <v>70286</v>
      </c>
      <c r="J17" s="13">
        <v>64199</v>
      </c>
      <c r="K17" s="13">
        <v>1</v>
      </c>
      <c r="L17" s="13">
        <v>381218</v>
      </c>
      <c r="M17" s="13">
        <v>221618</v>
      </c>
      <c r="N17" s="13">
        <v>6596</v>
      </c>
      <c r="O17" s="13">
        <v>80288</v>
      </c>
      <c r="P17" s="13">
        <v>65896</v>
      </c>
      <c r="Q17" s="13">
        <v>-297</v>
      </c>
      <c r="R17" s="13">
        <v>-1894</v>
      </c>
      <c r="S17" s="13">
        <v>70172</v>
      </c>
      <c r="T17" s="13">
        <v>66165</v>
      </c>
      <c r="U17" s="13" t="e">
        <v>#N/A</v>
      </c>
      <c r="V17" s="13" t="e">
        <v>#N/A</v>
      </c>
      <c r="W17" s="13" t="e">
        <v>#N/A</v>
      </c>
      <c r="X17" s="13" t="e">
        <v>#N/A</v>
      </c>
      <c r="Y17" s="13" t="e">
        <v>#N/A</v>
      </c>
      <c r="Z17" s="13" t="e">
        <v>#N/A</v>
      </c>
      <c r="AA17" s="13" t="e">
        <v>#N/A</v>
      </c>
      <c r="AB17" s="13" t="e">
        <v>#N/A</v>
      </c>
      <c r="AC17" s="13" t="e">
        <v>#N/A</v>
      </c>
      <c r="AD17" s="13" t="e">
        <v>#N/A</v>
      </c>
      <c r="AE17" s="13" t="e">
        <v>#N/A</v>
      </c>
      <c r="AF17" s="13" t="e">
        <v>#N/A</v>
      </c>
      <c r="AG17" s="13" t="e">
        <v>#N/A</v>
      </c>
      <c r="AH17" s="13" t="e">
        <v>#N/A</v>
      </c>
      <c r="AK17" s="13">
        <v>177818</v>
      </c>
      <c r="AL17" s="13">
        <v>108833</v>
      </c>
      <c r="AM17" s="13">
        <v>1924</v>
      </c>
      <c r="AN17" s="13">
        <v>31240</v>
      </c>
      <c r="AO17" s="13">
        <v>37007</v>
      </c>
      <c r="AP17" s="13">
        <v>-1401</v>
      </c>
      <c r="AQ17" s="13">
        <v>163</v>
      </c>
      <c r="AR17" s="13">
        <v>37516</v>
      </c>
      <c r="AS17" s="13">
        <v>37464</v>
      </c>
      <c r="AT17" s="13">
        <v>179802</v>
      </c>
      <c r="AU17" s="13">
        <v>110810</v>
      </c>
      <c r="AV17" s="13">
        <v>1951</v>
      </c>
      <c r="AW17" s="13">
        <v>31110</v>
      </c>
      <c r="AX17" s="13">
        <v>36897</v>
      </c>
      <c r="AY17" s="13">
        <v>-339</v>
      </c>
      <c r="AZ17" s="13">
        <v>163</v>
      </c>
      <c r="BA17" s="13">
        <v>37724</v>
      </c>
      <c r="BB17" s="13">
        <v>38514</v>
      </c>
    </row>
    <row r="18" spans="1:54" x14ac:dyDescent="0.35">
      <c r="A18" t="s">
        <v>384</v>
      </c>
      <c r="B18" s="13">
        <v>373357</v>
      </c>
      <c r="C18" s="13">
        <v>213576</v>
      </c>
      <c r="D18" s="13">
        <v>6678</v>
      </c>
      <c r="E18" s="13">
        <v>80327</v>
      </c>
      <c r="F18" s="13">
        <v>66146</v>
      </c>
      <c r="G18" s="13">
        <v>-2274</v>
      </c>
      <c r="H18" s="13">
        <v>-1022</v>
      </c>
      <c r="I18" s="13">
        <v>70075</v>
      </c>
      <c r="J18" s="13">
        <v>65130</v>
      </c>
      <c r="K18" s="13">
        <v>1</v>
      </c>
      <c r="L18" s="13">
        <v>390983</v>
      </c>
      <c r="M18" s="13">
        <v>227786</v>
      </c>
      <c r="N18" s="13">
        <v>6661</v>
      </c>
      <c r="O18" s="13">
        <v>80551</v>
      </c>
      <c r="P18" s="13">
        <v>66140</v>
      </c>
      <c r="Q18" s="13">
        <v>-6569</v>
      </c>
      <c r="R18" s="13">
        <v>-1062</v>
      </c>
      <c r="S18" s="13">
        <v>73233</v>
      </c>
      <c r="T18" s="13">
        <v>63960</v>
      </c>
      <c r="U18" s="13" t="e">
        <v>#N/A</v>
      </c>
      <c r="V18" s="13" t="e">
        <v>#N/A</v>
      </c>
      <c r="W18" s="13" t="e">
        <v>#N/A</v>
      </c>
      <c r="X18" s="13" t="e">
        <v>#N/A</v>
      </c>
      <c r="Y18" s="13" t="e">
        <v>#N/A</v>
      </c>
      <c r="Z18" s="13" t="e">
        <v>#N/A</v>
      </c>
      <c r="AA18" s="13" t="e">
        <v>#N/A</v>
      </c>
      <c r="AB18" s="13" t="e">
        <v>#N/A</v>
      </c>
      <c r="AC18" s="13" t="e">
        <v>#N/A</v>
      </c>
      <c r="AD18" s="13" t="e">
        <v>#N/A</v>
      </c>
      <c r="AE18" s="13" t="e">
        <v>#N/A</v>
      </c>
      <c r="AF18" s="13" t="e">
        <v>#N/A</v>
      </c>
      <c r="AG18" s="13" t="e">
        <v>#N/A</v>
      </c>
      <c r="AH18" s="13" t="e">
        <v>#N/A</v>
      </c>
      <c r="AK18" s="13">
        <v>180143</v>
      </c>
      <c r="AL18" s="13">
        <v>110093</v>
      </c>
      <c r="AM18" s="13">
        <v>2044</v>
      </c>
      <c r="AN18" s="13">
        <v>31673</v>
      </c>
      <c r="AO18" s="13">
        <v>37414</v>
      </c>
      <c r="AP18" s="13">
        <v>-1105</v>
      </c>
      <c r="AQ18" s="13">
        <v>169</v>
      </c>
      <c r="AR18" s="13">
        <v>37339</v>
      </c>
      <c r="AS18" s="13">
        <v>37484</v>
      </c>
      <c r="AT18" s="13">
        <v>185732</v>
      </c>
      <c r="AU18" s="13">
        <v>114274</v>
      </c>
      <c r="AV18" s="13">
        <v>2014</v>
      </c>
      <c r="AW18" s="13">
        <v>31370</v>
      </c>
      <c r="AX18" s="13">
        <v>38367</v>
      </c>
      <c r="AY18" s="13">
        <v>-2323</v>
      </c>
      <c r="AZ18" s="13">
        <v>169</v>
      </c>
      <c r="BA18" s="13">
        <v>38813</v>
      </c>
      <c r="BB18" s="13">
        <v>36952</v>
      </c>
    </row>
    <row r="19" spans="1:54" x14ac:dyDescent="0.35">
      <c r="A19" t="s">
        <v>385</v>
      </c>
      <c r="B19" s="13">
        <v>373317</v>
      </c>
      <c r="C19" s="13">
        <v>213040</v>
      </c>
      <c r="D19" s="13">
        <v>6583</v>
      </c>
      <c r="E19" s="13">
        <v>80646</v>
      </c>
      <c r="F19" s="13">
        <v>66335</v>
      </c>
      <c r="G19" s="13">
        <v>-1362</v>
      </c>
      <c r="H19" s="13">
        <v>-837</v>
      </c>
      <c r="I19" s="13">
        <v>70839</v>
      </c>
      <c r="J19" s="13">
        <v>66269</v>
      </c>
      <c r="K19" s="13">
        <v>1</v>
      </c>
      <c r="L19" s="13">
        <v>362126</v>
      </c>
      <c r="M19" s="13">
        <v>203115</v>
      </c>
      <c r="N19" s="13">
        <v>6486</v>
      </c>
      <c r="O19" s="13">
        <v>81269</v>
      </c>
      <c r="P19" s="13">
        <v>66348</v>
      </c>
      <c r="Q19" s="13">
        <v>-2575</v>
      </c>
      <c r="R19" s="13">
        <v>-841</v>
      </c>
      <c r="S19" s="13">
        <v>68493</v>
      </c>
      <c r="T19" s="13">
        <v>64588</v>
      </c>
      <c r="U19" s="13" t="e">
        <v>#N/A</v>
      </c>
      <c r="V19" s="13" t="e">
        <v>#N/A</v>
      </c>
      <c r="W19" s="13" t="e">
        <v>#N/A</v>
      </c>
      <c r="X19" s="13" t="e">
        <v>#N/A</v>
      </c>
      <c r="Y19" s="13" t="e">
        <v>#N/A</v>
      </c>
      <c r="Z19" s="13" t="e">
        <v>#N/A</v>
      </c>
      <c r="AA19" s="13" t="e">
        <v>#N/A</v>
      </c>
      <c r="AB19" s="13" t="e">
        <v>#N/A</v>
      </c>
      <c r="AC19" s="13" t="e">
        <v>#N/A</v>
      </c>
      <c r="AD19" s="13" t="e">
        <v>#N/A</v>
      </c>
      <c r="AE19" s="13" t="e">
        <v>#N/A</v>
      </c>
      <c r="AF19" s="13" t="e">
        <v>#N/A</v>
      </c>
      <c r="AG19" s="13" t="e">
        <v>#N/A</v>
      </c>
      <c r="AH19" s="13" t="e">
        <v>#N/A</v>
      </c>
      <c r="AK19" s="13">
        <v>182024</v>
      </c>
      <c r="AL19" s="13">
        <v>111080</v>
      </c>
      <c r="AM19" s="13">
        <v>1933</v>
      </c>
      <c r="AN19" s="13">
        <v>32247</v>
      </c>
      <c r="AO19" s="13">
        <v>37102</v>
      </c>
      <c r="AP19" s="13">
        <v>-698</v>
      </c>
      <c r="AQ19" s="13">
        <v>178</v>
      </c>
      <c r="AR19" s="13">
        <v>37905</v>
      </c>
      <c r="AS19" s="13">
        <v>37723</v>
      </c>
      <c r="AT19" s="13">
        <v>178952</v>
      </c>
      <c r="AU19" s="13">
        <v>107064</v>
      </c>
      <c r="AV19" s="13">
        <v>1913</v>
      </c>
      <c r="AW19" s="13">
        <v>32245</v>
      </c>
      <c r="AX19" s="13">
        <v>38855</v>
      </c>
      <c r="AY19" s="13">
        <v>-872</v>
      </c>
      <c r="AZ19" s="13">
        <v>172</v>
      </c>
      <c r="BA19" s="13">
        <v>36389</v>
      </c>
      <c r="BB19" s="13">
        <v>36814</v>
      </c>
    </row>
    <row r="20" spans="1:54" x14ac:dyDescent="0.35">
      <c r="A20" t="s">
        <v>386</v>
      </c>
      <c r="B20" s="13">
        <v>372751</v>
      </c>
      <c r="C20" s="13">
        <v>215855</v>
      </c>
      <c r="D20" s="13">
        <v>6339</v>
      </c>
      <c r="E20" s="13">
        <v>80966</v>
      </c>
      <c r="F20" s="13">
        <v>65950</v>
      </c>
      <c r="G20" s="13">
        <v>-3117</v>
      </c>
      <c r="H20" s="13">
        <v>223</v>
      </c>
      <c r="I20" s="13">
        <v>72581</v>
      </c>
      <c r="J20" s="13">
        <v>69297</v>
      </c>
      <c r="K20" s="13">
        <v>0</v>
      </c>
      <c r="L20" s="13">
        <v>366762</v>
      </c>
      <c r="M20" s="13">
        <v>210292</v>
      </c>
      <c r="N20" s="13">
        <v>6407</v>
      </c>
      <c r="O20" s="13">
        <v>80314</v>
      </c>
      <c r="P20" s="13">
        <v>65948</v>
      </c>
      <c r="Q20" s="13">
        <v>31</v>
      </c>
      <c r="R20" s="13">
        <v>225</v>
      </c>
      <c r="S20" s="13">
        <v>71971</v>
      </c>
      <c r="T20" s="13">
        <v>70236</v>
      </c>
      <c r="U20" s="13" t="e">
        <v>#N/A</v>
      </c>
      <c r="V20" s="13" t="e">
        <v>#N/A</v>
      </c>
      <c r="W20" s="13" t="e">
        <v>#N/A</v>
      </c>
      <c r="X20" s="13" t="e">
        <v>#N/A</v>
      </c>
      <c r="Y20" s="13" t="e">
        <v>#N/A</v>
      </c>
      <c r="Z20" s="13" t="e">
        <v>#N/A</v>
      </c>
      <c r="AA20" s="13" t="e">
        <v>#N/A</v>
      </c>
      <c r="AB20" s="13" t="e">
        <v>#N/A</v>
      </c>
      <c r="AC20" s="13" t="e">
        <v>#N/A</v>
      </c>
      <c r="AD20" s="13" t="e">
        <v>#N/A</v>
      </c>
      <c r="AE20" s="13" t="e">
        <v>#N/A</v>
      </c>
      <c r="AF20" s="13" t="e">
        <v>#N/A</v>
      </c>
      <c r="AG20" s="13" t="e">
        <v>#N/A</v>
      </c>
      <c r="AH20" s="13" t="e">
        <v>#N/A</v>
      </c>
      <c r="AK20" s="13">
        <v>182472</v>
      </c>
      <c r="AL20" s="13">
        <v>113093</v>
      </c>
      <c r="AM20" s="13">
        <v>1856</v>
      </c>
      <c r="AN20" s="13">
        <v>32598</v>
      </c>
      <c r="AO20" s="13">
        <v>36307</v>
      </c>
      <c r="AP20" s="13">
        <v>-971</v>
      </c>
      <c r="AQ20" s="13">
        <v>167</v>
      </c>
      <c r="AR20" s="13">
        <v>38579</v>
      </c>
      <c r="AS20" s="13">
        <v>39157</v>
      </c>
      <c r="AT20" s="13">
        <v>177930</v>
      </c>
      <c r="AU20" s="13">
        <v>110941</v>
      </c>
      <c r="AV20" s="13">
        <v>1870</v>
      </c>
      <c r="AW20" s="13">
        <v>32632</v>
      </c>
      <c r="AX20" s="13">
        <v>33634</v>
      </c>
      <c r="AY20" s="13">
        <v>-106</v>
      </c>
      <c r="AZ20" s="13">
        <v>173</v>
      </c>
      <c r="BA20" s="13">
        <v>38486</v>
      </c>
      <c r="BB20" s="13">
        <v>39700</v>
      </c>
    </row>
    <row r="21" spans="1:54" x14ac:dyDescent="0.35">
      <c r="A21" t="s">
        <v>387</v>
      </c>
      <c r="B21" s="13">
        <v>374537</v>
      </c>
      <c r="C21" s="13">
        <v>217123</v>
      </c>
      <c r="D21" s="13">
        <v>6366</v>
      </c>
      <c r="E21" s="13">
        <v>80958</v>
      </c>
      <c r="F21" s="13">
        <v>66215</v>
      </c>
      <c r="G21" s="13">
        <v>-1381</v>
      </c>
      <c r="H21" s="13">
        <v>-319</v>
      </c>
      <c r="I21" s="13">
        <v>71131</v>
      </c>
      <c r="J21" s="13">
        <v>68557</v>
      </c>
      <c r="K21" s="13">
        <v>0</v>
      </c>
      <c r="L21" s="13">
        <v>380547</v>
      </c>
      <c r="M21" s="13">
        <v>224008</v>
      </c>
      <c r="N21" s="13">
        <v>6431</v>
      </c>
      <c r="O21" s="13">
        <v>80783</v>
      </c>
      <c r="P21" s="13">
        <v>66209</v>
      </c>
      <c r="Q21" s="13">
        <v>939</v>
      </c>
      <c r="R21" s="13">
        <v>-320</v>
      </c>
      <c r="S21" s="13">
        <v>71413</v>
      </c>
      <c r="T21" s="13">
        <v>70670</v>
      </c>
      <c r="U21" s="13" t="e">
        <v>#N/A</v>
      </c>
      <c r="V21" s="13" t="e">
        <v>#N/A</v>
      </c>
      <c r="W21" s="13" t="e">
        <v>#N/A</v>
      </c>
      <c r="X21" s="13" t="e">
        <v>#N/A</v>
      </c>
      <c r="Y21" s="13" t="e">
        <v>#N/A</v>
      </c>
      <c r="Z21" s="13" t="e">
        <v>#N/A</v>
      </c>
      <c r="AA21" s="13" t="e">
        <v>#N/A</v>
      </c>
      <c r="AB21" s="13" t="e">
        <v>#N/A</v>
      </c>
      <c r="AC21" s="13" t="e">
        <v>#N/A</v>
      </c>
      <c r="AD21" s="13" t="e">
        <v>#N/A</v>
      </c>
      <c r="AE21" s="13" t="e">
        <v>#N/A</v>
      </c>
      <c r="AF21" s="13" t="e">
        <v>#N/A</v>
      </c>
      <c r="AG21" s="13" t="e">
        <v>#N/A</v>
      </c>
      <c r="AH21" s="13" t="e">
        <v>#N/A</v>
      </c>
      <c r="AK21" s="13">
        <v>183139</v>
      </c>
      <c r="AL21" s="13">
        <v>114392</v>
      </c>
      <c r="AM21" s="13">
        <v>1791</v>
      </c>
      <c r="AN21" s="13">
        <v>33110</v>
      </c>
      <c r="AO21" s="13">
        <v>35600</v>
      </c>
      <c r="AP21" s="13">
        <v>-260</v>
      </c>
      <c r="AQ21" s="13">
        <v>165</v>
      </c>
      <c r="AR21" s="13">
        <v>37103</v>
      </c>
      <c r="AS21" s="13">
        <v>38762</v>
      </c>
      <c r="AT21" s="13">
        <v>184996</v>
      </c>
      <c r="AU21" s="13">
        <v>116536</v>
      </c>
      <c r="AV21" s="13">
        <v>1836</v>
      </c>
      <c r="AW21" s="13">
        <v>32979</v>
      </c>
      <c r="AX21" s="13">
        <v>35724</v>
      </c>
      <c r="AY21" s="13">
        <v>278</v>
      </c>
      <c r="AZ21" s="13">
        <v>165</v>
      </c>
      <c r="BA21" s="13">
        <v>37431</v>
      </c>
      <c r="BB21" s="13">
        <v>39953</v>
      </c>
    </row>
    <row r="22" spans="1:54" x14ac:dyDescent="0.35">
      <c r="A22" t="s">
        <v>388</v>
      </c>
      <c r="B22" s="13">
        <v>377418</v>
      </c>
      <c r="C22" s="13">
        <v>217528</v>
      </c>
      <c r="D22" s="13">
        <v>6454</v>
      </c>
      <c r="E22" s="13">
        <v>81332</v>
      </c>
      <c r="F22" s="13">
        <v>64649</v>
      </c>
      <c r="G22" s="13">
        <v>327</v>
      </c>
      <c r="H22" s="13">
        <v>1245</v>
      </c>
      <c r="I22" s="13">
        <v>73975</v>
      </c>
      <c r="J22" s="13">
        <v>69367</v>
      </c>
      <c r="K22" s="13">
        <v>1</v>
      </c>
      <c r="L22" s="13">
        <v>388588</v>
      </c>
      <c r="M22" s="13">
        <v>226131</v>
      </c>
      <c r="N22" s="13">
        <v>6418</v>
      </c>
      <c r="O22" s="13">
        <v>81536</v>
      </c>
      <c r="P22" s="13">
        <v>64644</v>
      </c>
      <c r="Q22" s="13">
        <v>-3928</v>
      </c>
      <c r="R22" s="13">
        <v>1248</v>
      </c>
      <c r="S22" s="13">
        <v>76649</v>
      </c>
      <c r="T22" s="13">
        <v>67996</v>
      </c>
      <c r="U22" s="13" t="e">
        <v>#N/A</v>
      </c>
      <c r="V22" s="13" t="e">
        <v>#N/A</v>
      </c>
      <c r="W22" s="13" t="e">
        <v>#N/A</v>
      </c>
      <c r="X22" s="13" t="e">
        <v>#N/A</v>
      </c>
      <c r="Y22" s="13" t="e">
        <v>#N/A</v>
      </c>
      <c r="Z22" s="13" t="e">
        <v>#N/A</v>
      </c>
      <c r="AA22" s="13" t="e">
        <v>#N/A</v>
      </c>
      <c r="AB22" s="13" t="e">
        <v>#N/A</v>
      </c>
      <c r="AC22" s="13" t="e">
        <v>#N/A</v>
      </c>
      <c r="AD22" s="13" t="e">
        <v>#N/A</v>
      </c>
      <c r="AE22" s="13" t="e">
        <v>#N/A</v>
      </c>
      <c r="AF22" s="13" t="e">
        <v>#N/A</v>
      </c>
      <c r="AG22" s="13" t="e">
        <v>#N/A</v>
      </c>
      <c r="AH22" s="13" t="e">
        <v>#N/A</v>
      </c>
      <c r="AK22" s="13">
        <v>185586</v>
      </c>
      <c r="AL22" s="13">
        <v>115536</v>
      </c>
      <c r="AM22" s="13">
        <v>1897</v>
      </c>
      <c r="AN22" s="13">
        <v>33428</v>
      </c>
      <c r="AO22" s="13">
        <v>35624</v>
      </c>
      <c r="AP22" s="13">
        <v>-8</v>
      </c>
      <c r="AQ22" s="13">
        <v>156</v>
      </c>
      <c r="AR22" s="13">
        <v>40518</v>
      </c>
      <c r="AS22" s="13">
        <v>41565</v>
      </c>
      <c r="AT22" s="13">
        <v>191343</v>
      </c>
      <c r="AU22" s="13">
        <v>119560</v>
      </c>
      <c r="AV22" s="13">
        <v>1858</v>
      </c>
      <c r="AW22" s="13">
        <v>33527</v>
      </c>
      <c r="AX22" s="13">
        <v>36420</v>
      </c>
      <c r="AY22" s="13">
        <v>-1237</v>
      </c>
      <c r="AZ22" s="13">
        <v>156</v>
      </c>
      <c r="BA22" s="13">
        <v>41799</v>
      </c>
      <c r="BB22" s="13">
        <v>40740</v>
      </c>
    </row>
    <row r="23" spans="1:54" x14ac:dyDescent="0.35">
      <c r="A23" t="s">
        <v>389</v>
      </c>
      <c r="B23" s="13">
        <v>379370</v>
      </c>
      <c r="C23" s="13">
        <v>219343</v>
      </c>
      <c r="D23" s="13">
        <v>6753</v>
      </c>
      <c r="E23" s="13">
        <v>80611</v>
      </c>
      <c r="F23" s="13">
        <v>66224</v>
      </c>
      <c r="G23" s="13">
        <v>-564</v>
      </c>
      <c r="H23" s="13">
        <v>450</v>
      </c>
      <c r="I23" s="13">
        <v>74840</v>
      </c>
      <c r="J23" s="13">
        <v>69932</v>
      </c>
      <c r="K23" s="13">
        <v>1</v>
      </c>
      <c r="L23" s="13">
        <v>368075</v>
      </c>
      <c r="M23" s="13">
        <v>210138</v>
      </c>
      <c r="N23" s="13">
        <v>6688</v>
      </c>
      <c r="O23" s="13">
        <v>81036</v>
      </c>
      <c r="P23" s="13">
        <v>66230</v>
      </c>
      <c r="Q23" s="13">
        <v>-4872</v>
      </c>
      <c r="R23" s="13">
        <v>452</v>
      </c>
      <c r="S23" s="13">
        <v>72828</v>
      </c>
      <c r="T23" s="13">
        <v>67474</v>
      </c>
      <c r="U23" s="13" t="e">
        <v>#N/A</v>
      </c>
      <c r="V23" s="13" t="e">
        <v>#N/A</v>
      </c>
      <c r="W23" s="13" t="e">
        <v>#N/A</v>
      </c>
      <c r="X23" s="13" t="e">
        <v>#N/A</v>
      </c>
      <c r="Y23" s="13" t="e">
        <v>#N/A</v>
      </c>
      <c r="Z23" s="13" t="e">
        <v>#N/A</v>
      </c>
      <c r="AA23" s="13" t="e">
        <v>#N/A</v>
      </c>
      <c r="AB23" s="13" t="e">
        <v>#N/A</v>
      </c>
      <c r="AC23" s="13" t="e">
        <v>#N/A</v>
      </c>
      <c r="AD23" s="13" t="e">
        <v>#N/A</v>
      </c>
      <c r="AE23" s="13" t="e">
        <v>#N/A</v>
      </c>
      <c r="AF23" s="13" t="e">
        <v>#N/A</v>
      </c>
      <c r="AG23" s="13" t="e">
        <v>#N/A</v>
      </c>
      <c r="AH23" s="13" t="e">
        <v>#N/A</v>
      </c>
      <c r="AK23" s="13">
        <v>190217</v>
      </c>
      <c r="AL23" s="13">
        <v>117828</v>
      </c>
      <c r="AM23" s="13">
        <v>2397</v>
      </c>
      <c r="AN23" s="13">
        <v>33782</v>
      </c>
      <c r="AO23" s="13">
        <v>36496</v>
      </c>
      <c r="AP23" s="13">
        <v>-322</v>
      </c>
      <c r="AQ23" s="13">
        <v>150</v>
      </c>
      <c r="AR23" s="13">
        <v>43529</v>
      </c>
      <c r="AS23" s="13">
        <v>43643</v>
      </c>
      <c r="AT23" s="13">
        <v>186937</v>
      </c>
      <c r="AU23" s="13">
        <v>113531</v>
      </c>
      <c r="AV23" s="13">
        <v>2329</v>
      </c>
      <c r="AW23" s="13">
        <v>33911</v>
      </c>
      <c r="AX23" s="13">
        <v>38219</v>
      </c>
      <c r="AY23" s="13">
        <v>-1465</v>
      </c>
      <c r="AZ23" s="13">
        <v>147</v>
      </c>
      <c r="BA23" s="13">
        <v>42439</v>
      </c>
      <c r="BB23" s="13">
        <v>42174</v>
      </c>
    </row>
    <row r="24" spans="1:54" x14ac:dyDescent="0.35">
      <c r="A24" t="s">
        <v>390</v>
      </c>
      <c r="B24" s="13">
        <v>381045</v>
      </c>
      <c r="C24" s="13">
        <v>219780</v>
      </c>
      <c r="D24" s="13">
        <v>7329</v>
      </c>
      <c r="E24" s="13">
        <v>79936</v>
      </c>
      <c r="F24" s="13">
        <v>65856</v>
      </c>
      <c r="G24" s="13">
        <v>1920</v>
      </c>
      <c r="H24" s="13">
        <v>3309</v>
      </c>
      <c r="I24" s="13">
        <v>73811</v>
      </c>
      <c r="J24" s="13">
        <v>69387</v>
      </c>
      <c r="K24" s="13">
        <v>1</v>
      </c>
      <c r="L24" s="13">
        <v>372994</v>
      </c>
      <c r="M24" s="13">
        <v>213279</v>
      </c>
      <c r="N24" s="13">
        <v>7351</v>
      </c>
      <c r="O24" s="13">
        <v>79536</v>
      </c>
      <c r="P24" s="13">
        <v>65855</v>
      </c>
      <c r="Q24" s="13">
        <v>3419</v>
      </c>
      <c r="R24" s="13">
        <v>3318</v>
      </c>
      <c r="S24" s="13">
        <v>72914</v>
      </c>
      <c r="T24" s="13">
        <v>70748</v>
      </c>
      <c r="U24" s="13" t="e">
        <v>#N/A</v>
      </c>
      <c r="V24" s="13" t="e">
        <v>#N/A</v>
      </c>
      <c r="W24" s="13" t="e">
        <v>#N/A</v>
      </c>
      <c r="X24" s="13" t="e">
        <v>#N/A</v>
      </c>
      <c r="Y24" s="13" t="e">
        <v>#N/A</v>
      </c>
      <c r="Z24" s="13" t="e">
        <v>#N/A</v>
      </c>
      <c r="AA24" s="13" t="e">
        <v>#N/A</v>
      </c>
      <c r="AB24" s="13" t="e">
        <v>#N/A</v>
      </c>
      <c r="AC24" s="13" t="e">
        <v>#N/A</v>
      </c>
      <c r="AD24" s="13" t="e">
        <v>#N/A</v>
      </c>
      <c r="AE24" s="13" t="e">
        <v>#N/A</v>
      </c>
      <c r="AF24" s="13" t="e">
        <v>#N/A</v>
      </c>
      <c r="AG24" s="13" t="e">
        <v>#N/A</v>
      </c>
      <c r="AH24" s="13" t="e">
        <v>#N/A</v>
      </c>
      <c r="AK24" s="13">
        <v>190433</v>
      </c>
      <c r="AL24" s="13">
        <v>118893</v>
      </c>
      <c r="AM24" s="13">
        <v>2522</v>
      </c>
      <c r="AN24" s="13">
        <v>33051</v>
      </c>
      <c r="AO24" s="13">
        <v>36199</v>
      </c>
      <c r="AP24" s="13">
        <v>454</v>
      </c>
      <c r="AQ24" s="13">
        <v>138</v>
      </c>
      <c r="AR24" s="13">
        <v>42648</v>
      </c>
      <c r="AS24" s="13">
        <v>43472</v>
      </c>
      <c r="AT24" s="13">
        <v>185348</v>
      </c>
      <c r="AU24" s="13">
        <v>116681</v>
      </c>
      <c r="AV24" s="13">
        <v>2526</v>
      </c>
      <c r="AW24" s="13">
        <v>33179</v>
      </c>
      <c r="AX24" s="13">
        <v>33563</v>
      </c>
      <c r="AY24" s="13">
        <v>1137</v>
      </c>
      <c r="AZ24" s="13">
        <v>141</v>
      </c>
      <c r="BA24" s="13">
        <v>42524</v>
      </c>
      <c r="BB24" s="13">
        <v>44403</v>
      </c>
    </row>
    <row r="25" spans="1:54" x14ac:dyDescent="0.35">
      <c r="A25" t="s">
        <v>391</v>
      </c>
      <c r="B25" s="13">
        <v>384524</v>
      </c>
      <c r="C25" s="13">
        <v>223611</v>
      </c>
      <c r="D25" s="13">
        <v>7289</v>
      </c>
      <c r="E25" s="13">
        <v>80863</v>
      </c>
      <c r="F25" s="13">
        <v>65937</v>
      </c>
      <c r="G25" s="13">
        <v>305</v>
      </c>
      <c r="H25" s="13">
        <v>-2681</v>
      </c>
      <c r="I25" s="13">
        <v>75100</v>
      </c>
      <c r="J25" s="13">
        <v>70897</v>
      </c>
      <c r="K25" s="13">
        <v>1</v>
      </c>
      <c r="L25" s="13">
        <v>391330</v>
      </c>
      <c r="M25" s="13">
        <v>230716</v>
      </c>
      <c r="N25" s="13">
        <v>7369</v>
      </c>
      <c r="O25" s="13">
        <v>80626</v>
      </c>
      <c r="P25" s="13">
        <v>65933</v>
      </c>
      <c r="Q25" s="13">
        <v>840</v>
      </c>
      <c r="R25" s="13">
        <v>-2689</v>
      </c>
      <c r="S25" s="13">
        <v>76331</v>
      </c>
      <c r="T25" s="13">
        <v>73046</v>
      </c>
      <c r="U25" s="13" t="e">
        <v>#N/A</v>
      </c>
      <c r="V25" s="13" t="e">
        <v>#N/A</v>
      </c>
      <c r="W25" s="13" t="e">
        <v>#N/A</v>
      </c>
      <c r="X25" s="13" t="e">
        <v>#N/A</v>
      </c>
      <c r="Y25" s="13" t="e">
        <v>#N/A</v>
      </c>
      <c r="Z25" s="13" t="e">
        <v>#N/A</v>
      </c>
      <c r="AA25" s="13" t="e">
        <v>#N/A</v>
      </c>
      <c r="AB25" s="13" t="e">
        <v>#N/A</v>
      </c>
      <c r="AC25" s="13" t="e">
        <v>#N/A</v>
      </c>
      <c r="AD25" s="13" t="e">
        <v>#N/A</v>
      </c>
      <c r="AE25" s="13" t="e">
        <v>#N/A</v>
      </c>
      <c r="AF25" s="13" t="e">
        <v>#N/A</v>
      </c>
      <c r="AG25" s="13" t="e">
        <v>#N/A</v>
      </c>
      <c r="AH25" s="13" t="e">
        <v>#N/A</v>
      </c>
      <c r="AK25" s="13">
        <v>194181</v>
      </c>
      <c r="AL25" s="13">
        <v>121614</v>
      </c>
      <c r="AM25" s="13">
        <v>2322</v>
      </c>
      <c r="AN25" s="13">
        <v>33580</v>
      </c>
      <c r="AO25" s="13">
        <v>36329</v>
      </c>
      <c r="AP25" s="13">
        <v>330</v>
      </c>
      <c r="AQ25" s="13">
        <v>142</v>
      </c>
      <c r="AR25" s="13">
        <v>44114</v>
      </c>
      <c r="AS25" s="13">
        <v>44250</v>
      </c>
      <c r="AT25" s="13">
        <v>195803</v>
      </c>
      <c r="AU25" s="13">
        <v>124053</v>
      </c>
      <c r="AV25" s="13">
        <v>2452</v>
      </c>
      <c r="AW25" s="13">
        <v>33289</v>
      </c>
      <c r="AX25" s="13">
        <v>36256</v>
      </c>
      <c r="AY25" s="13">
        <v>468</v>
      </c>
      <c r="AZ25" s="13">
        <v>142</v>
      </c>
      <c r="BA25" s="13">
        <v>44773</v>
      </c>
      <c r="BB25" s="13">
        <v>45630</v>
      </c>
    </row>
    <row r="26" spans="1:54" x14ac:dyDescent="0.35">
      <c r="A26" t="s">
        <v>392</v>
      </c>
      <c r="B26" s="13">
        <v>387143</v>
      </c>
      <c r="C26" s="13">
        <v>225346</v>
      </c>
      <c r="D26" s="13">
        <v>7445</v>
      </c>
      <c r="E26" s="13">
        <v>80801</v>
      </c>
      <c r="F26" s="13">
        <v>67316</v>
      </c>
      <c r="G26" s="13">
        <v>-2202</v>
      </c>
      <c r="H26" s="13">
        <v>-1253</v>
      </c>
      <c r="I26" s="13">
        <v>77175</v>
      </c>
      <c r="J26" s="13">
        <v>71793</v>
      </c>
      <c r="K26" s="13">
        <v>1</v>
      </c>
      <c r="L26" s="13">
        <v>399683</v>
      </c>
      <c r="M26" s="13">
        <v>233947</v>
      </c>
      <c r="N26" s="13">
        <v>7408</v>
      </c>
      <c r="O26" s="13">
        <v>81013</v>
      </c>
      <c r="P26" s="13">
        <v>67315</v>
      </c>
      <c r="Q26" s="13">
        <v>72</v>
      </c>
      <c r="R26" s="13">
        <v>-1256</v>
      </c>
      <c r="S26" s="13">
        <v>78853</v>
      </c>
      <c r="T26" s="13">
        <v>70741</v>
      </c>
      <c r="U26" s="13" t="e">
        <v>#N/A</v>
      </c>
      <c r="V26" s="13" t="e">
        <v>#N/A</v>
      </c>
      <c r="W26" s="13" t="e">
        <v>#N/A</v>
      </c>
      <c r="X26" s="13" t="e">
        <v>#N/A</v>
      </c>
      <c r="Y26" s="13" t="e">
        <v>#N/A</v>
      </c>
      <c r="Z26" s="13" t="e">
        <v>#N/A</v>
      </c>
      <c r="AA26" s="13" t="e">
        <v>#N/A</v>
      </c>
      <c r="AB26" s="13" t="e">
        <v>#N/A</v>
      </c>
      <c r="AC26" s="13" t="e">
        <v>#N/A</v>
      </c>
      <c r="AD26" s="13" t="e">
        <v>#N/A</v>
      </c>
      <c r="AE26" s="13" t="e">
        <v>#N/A</v>
      </c>
      <c r="AF26" s="13" t="e">
        <v>#N/A</v>
      </c>
      <c r="AG26" s="13" t="e">
        <v>#N/A</v>
      </c>
      <c r="AH26" s="13" t="e">
        <v>#N/A</v>
      </c>
      <c r="AK26" s="13">
        <v>197559</v>
      </c>
      <c r="AL26" s="13">
        <v>123418</v>
      </c>
      <c r="AM26" s="13">
        <v>2453</v>
      </c>
      <c r="AN26" s="13">
        <v>33933</v>
      </c>
      <c r="AO26" s="13">
        <v>37290</v>
      </c>
      <c r="AP26" s="13">
        <v>-133</v>
      </c>
      <c r="AQ26" s="13">
        <v>154</v>
      </c>
      <c r="AR26" s="13">
        <v>45579</v>
      </c>
      <c r="AS26" s="13">
        <v>45135</v>
      </c>
      <c r="AT26" s="13">
        <v>204302</v>
      </c>
      <c r="AU26" s="13">
        <v>127488</v>
      </c>
      <c r="AV26" s="13">
        <v>2387</v>
      </c>
      <c r="AW26" s="13">
        <v>33967</v>
      </c>
      <c r="AX26" s="13">
        <v>38276</v>
      </c>
      <c r="AY26" s="13">
        <v>189</v>
      </c>
      <c r="AZ26" s="13">
        <v>154</v>
      </c>
      <c r="BA26" s="13">
        <v>46134</v>
      </c>
      <c r="BB26" s="13">
        <v>44293</v>
      </c>
    </row>
    <row r="27" spans="1:54" x14ac:dyDescent="0.35">
      <c r="A27" t="s">
        <v>393</v>
      </c>
      <c r="B27" s="13">
        <v>391026</v>
      </c>
      <c r="C27" s="13">
        <v>227586</v>
      </c>
      <c r="D27" s="13">
        <v>7325</v>
      </c>
      <c r="E27" s="13">
        <v>80693</v>
      </c>
      <c r="F27" s="13">
        <v>68155</v>
      </c>
      <c r="G27" s="13">
        <v>-1797</v>
      </c>
      <c r="H27" s="13">
        <v>-353</v>
      </c>
      <c r="I27" s="13">
        <v>80051</v>
      </c>
      <c r="J27" s="13">
        <v>73486</v>
      </c>
      <c r="K27" s="13">
        <v>0</v>
      </c>
      <c r="L27" s="13">
        <v>381322</v>
      </c>
      <c r="M27" s="13">
        <v>219467</v>
      </c>
      <c r="N27" s="13">
        <v>7318</v>
      </c>
      <c r="O27" s="13">
        <v>81015</v>
      </c>
      <c r="P27" s="13">
        <v>68167</v>
      </c>
      <c r="Q27" s="13">
        <v>-2514</v>
      </c>
      <c r="R27" s="13">
        <v>-354</v>
      </c>
      <c r="S27" s="13">
        <v>78237</v>
      </c>
      <c r="T27" s="13">
        <v>71173</v>
      </c>
      <c r="U27" s="13" t="e">
        <v>#N/A</v>
      </c>
      <c r="V27" s="13" t="e">
        <v>#N/A</v>
      </c>
      <c r="W27" s="13" t="e">
        <v>#N/A</v>
      </c>
      <c r="X27" s="13" t="e">
        <v>#N/A</v>
      </c>
      <c r="Y27" s="13" t="e">
        <v>#N/A</v>
      </c>
      <c r="Z27" s="13" t="e">
        <v>#N/A</v>
      </c>
      <c r="AA27" s="13" t="e">
        <v>#N/A</v>
      </c>
      <c r="AB27" s="13" t="e">
        <v>#N/A</v>
      </c>
      <c r="AC27" s="13" t="e">
        <v>#N/A</v>
      </c>
      <c r="AD27" s="13" t="e">
        <v>#N/A</v>
      </c>
      <c r="AE27" s="13" t="e">
        <v>#N/A</v>
      </c>
      <c r="AF27" s="13" t="e">
        <v>#N/A</v>
      </c>
      <c r="AG27" s="13" t="e">
        <v>#N/A</v>
      </c>
      <c r="AH27" s="13" t="e">
        <v>#N/A</v>
      </c>
      <c r="AK27" s="13">
        <v>200471</v>
      </c>
      <c r="AL27" s="13">
        <v>124673</v>
      </c>
      <c r="AM27" s="13">
        <v>2462</v>
      </c>
      <c r="AN27" s="13">
        <v>34606</v>
      </c>
      <c r="AO27" s="13">
        <v>37567</v>
      </c>
      <c r="AP27" s="13">
        <v>423</v>
      </c>
      <c r="AQ27" s="13">
        <v>170</v>
      </c>
      <c r="AR27" s="13">
        <v>46933</v>
      </c>
      <c r="AS27" s="13">
        <v>46363</v>
      </c>
      <c r="AT27" s="13">
        <v>197767</v>
      </c>
      <c r="AU27" s="13">
        <v>120175</v>
      </c>
      <c r="AV27" s="13">
        <v>2462</v>
      </c>
      <c r="AW27" s="13">
        <v>34428</v>
      </c>
      <c r="AX27" s="13">
        <v>39897</v>
      </c>
      <c r="AY27" s="13">
        <v>-323</v>
      </c>
      <c r="AZ27" s="13">
        <v>168</v>
      </c>
      <c r="BA27" s="13">
        <v>46000</v>
      </c>
      <c r="BB27" s="13">
        <v>45040</v>
      </c>
    </row>
    <row r="28" spans="1:54" x14ac:dyDescent="0.35">
      <c r="A28" t="s">
        <v>394</v>
      </c>
      <c r="B28" s="13">
        <v>394588</v>
      </c>
      <c r="C28" s="13">
        <v>227983</v>
      </c>
      <c r="D28" s="13">
        <v>7454</v>
      </c>
      <c r="E28" s="13">
        <v>81916</v>
      </c>
      <c r="F28" s="13">
        <v>66804</v>
      </c>
      <c r="G28" s="13">
        <v>5712</v>
      </c>
      <c r="H28" s="13">
        <v>531</v>
      </c>
      <c r="I28" s="13">
        <v>80308</v>
      </c>
      <c r="J28" s="13">
        <v>74141</v>
      </c>
      <c r="K28" s="13">
        <v>1</v>
      </c>
      <c r="L28" s="13">
        <v>387086</v>
      </c>
      <c r="M28" s="13">
        <v>221420</v>
      </c>
      <c r="N28" s="13">
        <v>7407</v>
      </c>
      <c r="O28" s="13">
        <v>81691</v>
      </c>
      <c r="P28" s="13">
        <v>66812</v>
      </c>
      <c r="Q28" s="13">
        <v>8281</v>
      </c>
      <c r="R28" s="13">
        <v>532</v>
      </c>
      <c r="S28" s="13">
        <v>79608</v>
      </c>
      <c r="T28" s="13">
        <v>75766</v>
      </c>
      <c r="U28" s="13" t="e">
        <v>#N/A</v>
      </c>
      <c r="V28" s="13" t="e">
        <v>#N/A</v>
      </c>
      <c r="W28" s="13" t="e">
        <v>#N/A</v>
      </c>
      <c r="X28" s="13" t="e">
        <v>#N/A</v>
      </c>
      <c r="Y28" s="13" t="e">
        <v>#N/A</v>
      </c>
      <c r="Z28" s="13" t="e">
        <v>#N/A</v>
      </c>
      <c r="AA28" s="13" t="e">
        <v>#N/A</v>
      </c>
      <c r="AB28" s="13" t="e">
        <v>#N/A</v>
      </c>
      <c r="AC28" s="13" t="e">
        <v>#N/A</v>
      </c>
      <c r="AD28" s="13" t="e">
        <v>#N/A</v>
      </c>
      <c r="AE28" s="13" t="e">
        <v>#N/A</v>
      </c>
      <c r="AF28" s="13" t="e">
        <v>#N/A</v>
      </c>
      <c r="AG28" s="13" t="e">
        <v>#N/A</v>
      </c>
      <c r="AH28" s="13" t="e">
        <v>#N/A</v>
      </c>
      <c r="AK28" s="13">
        <v>201365</v>
      </c>
      <c r="AL28" s="13">
        <v>125473</v>
      </c>
      <c r="AM28" s="13">
        <v>2670</v>
      </c>
      <c r="AN28" s="13">
        <v>34372</v>
      </c>
      <c r="AO28" s="13">
        <v>37317</v>
      </c>
      <c r="AP28" s="13">
        <v>1494</v>
      </c>
      <c r="AQ28" s="13">
        <v>181</v>
      </c>
      <c r="AR28" s="13">
        <v>47264</v>
      </c>
      <c r="AS28" s="13">
        <v>47406</v>
      </c>
      <c r="AT28" s="13">
        <v>196683</v>
      </c>
      <c r="AU28" s="13">
        <v>123036</v>
      </c>
      <c r="AV28" s="13">
        <v>2568</v>
      </c>
      <c r="AW28" s="13">
        <v>34886</v>
      </c>
      <c r="AX28" s="13">
        <v>34687</v>
      </c>
      <c r="AY28" s="13">
        <v>2765</v>
      </c>
      <c r="AZ28" s="13">
        <v>177</v>
      </c>
      <c r="BA28" s="13">
        <v>47051</v>
      </c>
      <c r="BB28" s="13">
        <v>48487</v>
      </c>
    </row>
    <row r="29" spans="1:54" x14ac:dyDescent="0.35">
      <c r="A29" t="s">
        <v>395</v>
      </c>
      <c r="B29" s="13">
        <v>398566</v>
      </c>
      <c r="C29" s="13">
        <v>229961</v>
      </c>
      <c r="D29" s="13">
        <v>7478</v>
      </c>
      <c r="E29" s="13">
        <v>81861</v>
      </c>
      <c r="F29" s="13">
        <v>67262</v>
      </c>
      <c r="G29" s="13">
        <v>3711</v>
      </c>
      <c r="H29" s="13">
        <v>-453</v>
      </c>
      <c r="I29" s="13">
        <v>82678</v>
      </c>
      <c r="J29" s="13">
        <v>73776</v>
      </c>
      <c r="K29" s="13">
        <v>0</v>
      </c>
      <c r="L29" s="13">
        <v>404746</v>
      </c>
      <c r="M29" s="13">
        <v>236996</v>
      </c>
      <c r="N29" s="13">
        <v>7537</v>
      </c>
      <c r="O29" s="13">
        <v>81573</v>
      </c>
      <c r="P29" s="13">
        <v>67258</v>
      </c>
      <c r="Q29" s="13">
        <v>3757</v>
      </c>
      <c r="R29" s="13">
        <v>-452</v>
      </c>
      <c r="S29" s="13">
        <v>83778</v>
      </c>
      <c r="T29" s="13">
        <v>75582</v>
      </c>
      <c r="U29" s="13" t="e">
        <v>#N/A</v>
      </c>
      <c r="V29" s="13" t="e">
        <v>#N/A</v>
      </c>
      <c r="W29" s="13" t="e">
        <v>#N/A</v>
      </c>
      <c r="X29" s="13" t="e">
        <v>#N/A</v>
      </c>
      <c r="Y29" s="13" t="e">
        <v>#N/A</v>
      </c>
      <c r="Z29" s="13" t="e">
        <v>#N/A</v>
      </c>
      <c r="AA29" s="13" t="e">
        <v>#N/A</v>
      </c>
      <c r="AB29" s="13" t="e">
        <v>#N/A</v>
      </c>
      <c r="AC29" s="13" t="e">
        <v>#N/A</v>
      </c>
      <c r="AD29" s="13" t="e">
        <v>#N/A</v>
      </c>
      <c r="AE29" s="13" t="e">
        <v>#N/A</v>
      </c>
      <c r="AF29" s="13" t="e">
        <v>#N/A</v>
      </c>
      <c r="AG29" s="13" t="e">
        <v>#N/A</v>
      </c>
      <c r="AH29" s="13" t="e">
        <v>#N/A</v>
      </c>
      <c r="AK29" s="13">
        <v>203978</v>
      </c>
      <c r="AL29" s="13">
        <v>127034</v>
      </c>
      <c r="AM29" s="13">
        <v>2471</v>
      </c>
      <c r="AN29" s="13">
        <v>35229</v>
      </c>
      <c r="AO29" s="13">
        <v>37706</v>
      </c>
      <c r="AP29" s="13">
        <v>501</v>
      </c>
      <c r="AQ29" s="13">
        <v>167</v>
      </c>
      <c r="AR29" s="13">
        <v>49173</v>
      </c>
      <c r="AS29" s="13">
        <v>48303</v>
      </c>
      <c r="AT29" s="13">
        <v>205881</v>
      </c>
      <c r="AU29" s="13">
        <v>129742</v>
      </c>
      <c r="AV29" s="13">
        <v>2579</v>
      </c>
      <c r="AW29" s="13">
        <v>34980</v>
      </c>
      <c r="AX29" s="13">
        <v>37139</v>
      </c>
      <c r="AY29" s="13">
        <v>690</v>
      </c>
      <c r="AZ29" s="13">
        <v>180</v>
      </c>
      <c r="BA29" s="13">
        <v>49915</v>
      </c>
      <c r="BB29" s="13">
        <v>49344</v>
      </c>
    </row>
    <row r="30" spans="1:54" x14ac:dyDescent="0.35">
      <c r="A30" t="s">
        <v>396</v>
      </c>
      <c r="B30" s="13">
        <v>400279</v>
      </c>
      <c r="C30" s="13">
        <v>231570</v>
      </c>
      <c r="D30" s="13">
        <v>7647</v>
      </c>
      <c r="E30" s="13">
        <v>81569</v>
      </c>
      <c r="F30" s="13">
        <v>67628</v>
      </c>
      <c r="G30" s="13">
        <v>5432</v>
      </c>
      <c r="H30" s="13">
        <v>2569</v>
      </c>
      <c r="I30" s="13">
        <v>84800</v>
      </c>
      <c r="J30" s="13">
        <v>76803</v>
      </c>
      <c r="K30" s="13">
        <v>1</v>
      </c>
      <c r="L30" s="13">
        <v>411305</v>
      </c>
      <c r="M30" s="13">
        <v>239217</v>
      </c>
      <c r="N30" s="13">
        <v>7642</v>
      </c>
      <c r="O30" s="13">
        <v>81760</v>
      </c>
      <c r="P30" s="13">
        <v>67612</v>
      </c>
      <c r="Q30" s="13">
        <v>3534</v>
      </c>
      <c r="R30" s="13">
        <v>2568</v>
      </c>
      <c r="S30" s="13">
        <v>86214</v>
      </c>
      <c r="T30" s="13">
        <v>75685</v>
      </c>
      <c r="U30" s="13" t="e">
        <v>#N/A</v>
      </c>
      <c r="V30" s="13" t="e">
        <v>#N/A</v>
      </c>
      <c r="W30" s="13" t="e">
        <v>#N/A</v>
      </c>
      <c r="X30" s="13" t="e">
        <v>#N/A</v>
      </c>
      <c r="Y30" s="13" t="e">
        <v>#N/A</v>
      </c>
      <c r="Z30" s="13" t="e">
        <v>#N/A</v>
      </c>
      <c r="AA30" s="13" t="e">
        <v>#N/A</v>
      </c>
      <c r="AB30" s="13" t="e">
        <v>#N/A</v>
      </c>
      <c r="AC30" s="13" t="e">
        <v>#N/A</v>
      </c>
      <c r="AD30" s="13" t="e">
        <v>#N/A</v>
      </c>
      <c r="AE30" s="13" t="e">
        <v>#N/A</v>
      </c>
      <c r="AF30" s="13" t="e">
        <v>#N/A</v>
      </c>
      <c r="AG30" s="13" t="e">
        <v>#N/A</v>
      </c>
      <c r="AH30" s="13" t="e">
        <v>#N/A</v>
      </c>
      <c r="AK30" s="13">
        <v>207713</v>
      </c>
      <c r="AL30" s="13">
        <v>128769</v>
      </c>
      <c r="AM30" s="13">
        <v>2615</v>
      </c>
      <c r="AN30" s="13">
        <v>35588</v>
      </c>
      <c r="AO30" s="13">
        <v>38406</v>
      </c>
      <c r="AP30" s="13">
        <v>1290</v>
      </c>
      <c r="AQ30" s="13">
        <v>181</v>
      </c>
      <c r="AR30" s="13">
        <v>51268</v>
      </c>
      <c r="AS30" s="13">
        <v>50404</v>
      </c>
      <c r="AT30" s="13">
        <v>213196</v>
      </c>
      <c r="AU30" s="13">
        <v>132996</v>
      </c>
      <c r="AV30" s="13">
        <v>2609</v>
      </c>
      <c r="AW30" s="13">
        <v>35501</v>
      </c>
      <c r="AX30" s="13">
        <v>39273</v>
      </c>
      <c r="AY30" s="13">
        <v>576</v>
      </c>
      <c r="AZ30" s="13">
        <v>174</v>
      </c>
      <c r="BA30" s="13">
        <v>51672</v>
      </c>
      <c r="BB30" s="13">
        <v>49605</v>
      </c>
    </row>
    <row r="31" spans="1:54" x14ac:dyDescent="0.35">
      <c r="A31" t="s">
        <v>397</v>
      </c>
      <c r="B31" s="13">
        <v>402390</v>
      </c>
      <c r="C31" s="13">
        <v>231674</v>
      </c>
      <c r="D31" s="13">
        <v>8007</v>
      </c>
      <c r="E31" s="13">
        <v>82420</v>
      </c>
      <c r="F31" s="13">
        <v>66753</v>
      </c>
      <c r="G31" s="13">
        <v>-1682</v>
      </c>
      <c r="H31" s="13">
        <v>358</v>
      </c>
      <c r="I31" s="13">
        <v>88448</v>
      </c>
      <c r="J31" s="13">
        <v>75480</v>
      </c>
      <c r="K31" s="13">
        <v>1</v>
      </c>
      <c r="L31" s="13">
        <v>392721</v>
      </c>
      <c r="M31" s="13">
        <v>220666</v>
      </c>
      <c r="N31" s="13">
        <v>7939</v>
      </c>
      <c r="O31" s="13">
        <v>82399</v>
      </c>
      <c r="P31" s="13">
        <v>66711</v>
      </c>
      <c r="Q31" s="13">
        <v>-3006</v>
      </c>
      <c r="R31" s="13">
        <v>358</v>
      </c>
      <c r="S31" s="13">
        <v>87295</v>
      </c>
      <c r="T31" s="13">
        <v>73103</v>
      </c>
      <c r="U31" s="13" t="e">
        <v>#N/A</v>
      </c>
      <c r="V31" s="13" t="e">
        <v>#N/A</v>
      </c>
      <c r="W31" s="13" t="e">
        <v>#N/A</v>
      </c>
      <c r="X31" s="13" t="e">
        <v>#N/A</v>
      </c>
      <c r="Y31" s="13" t="e">
        <v>#N/A</v>
      </c>
      <c r="Z31" s="13" t="e">
        <v>#N/A</v>
      </c>
      <c r="AA31" s="13" t="e">
        <v>#N/A</v>
      </c>
      <c r="AB31" s="13" t="e">
        <v>#N/A</v>
      </c>
      <c r="AC31" s="13" t="e">
        <v>#N/A</v>
      </c>
      <c r="AD31" s="13" t="e">
        <v>#N/A</v>
      </c>
      <c r="AE31" s="13" t="e">
        <v>#N/A</v>
      </c>
      <c r="AF31" s="13" t="e">
        <v>#N/A</v>
      </c>
      <c r="AG31" s="13" t="e">
        <v>#N/A</v>
      </c>
      <c r="AH31" s="13" t="e">
        <v>#N/A</v>
      </c>
      <c r="AK31" s="13">
        <v>209386</v>
      </c>
      <c r="AL31" s="13">
        <v>129546</v>
      </c>
      <c r="AM31" s="13">
        <v>3000</v>
      </c>
      <c r="AN31" s="13">
        <v>35812</v>
      </c>
      <c r="AO31" s="13">
        <v>37844</v>
      </c>
      <c r="AP31" s="13">
        <v>-764</v>
      </c>
      <c r="AQ31" s="13">
        <v>170</v>
      </c>
      <c r="AR31" s="13">
        <v>54365</v>
      </c>
      <c r="AS31" s="13">
        <v>50587</v>
      </c>
      <c r="AT31" s="13">
        <v>207910</v>
      </c>
      <c r="AU31" s="13">
        <v>125230</v>
      </c>
      <c r="AV31" s="13">
        <v>2633</v>
      </c>
      <c r="AW31" s="13">
        <v>36446</v>
      </c>
      <c r="AX31" s="13">
        <v>40061</v>
      </c>
      <c r="AY31" s="13">
        <v>-1399</v>
      </c>
      <c r="AZ31" s="13">
        <v>163</v>
      </c>
      <c r="BA31" s="13">
        <v>53970</v>
      </c>
      <c r="BB31" s="13">
        <v>49194</v>
      </c>
    </row>
    <row r="32" spans="1:54" x14ac:dyDescent="0.35">
      <c r="A32" t="s">
        <v>398</v>
      </c>
      <c r="B32" s="13">
        <v>403259</v>
      </c>
      <c r="C32" s="13">
        <v>233343</v>
      </c>
      <c r="D32" s="13">
        <v>8008</v>
      </c>
      <c r="E32" s="13">
        <v>82730</v>
      </c>
      <c r="F32" s="13">
        <v>66884</v>
      </c>
      <c r="G32" s="13">
        <v>4292</v>
      </c>
      <c r="H32" s="13">
        <v>1834</v>
      </c>
      <c r="I32" s="13">
        <v>87297</v>
      </c>
      <c r="J32" s="13">
        <v>78210</v>
      </c>
      <c r="K32" s="13">
        <v>0</v>
      </c>
      <c r="L32" s="13">
        <v>392672</v>
      </c>
      <c r="M32" s="13">
        <v>226675</v>
      </c>
      <c r="N32" s="13">
        <v>7989</v>
      </c>
      <c r="O32" s="13">
        <v>82494</v>
      </c>
      <c r="P32" s="13">
        <v>66843</v>
      </c>
      <c r="Q32" s="13">
        <v>8038</v>
      </c>
      <c r="R32" s="13">
        <v>1836</v>
      </c>
      <c r="S32" s="13">
        <v>86689</v>
      </c>
      <c r="T32" s="13">
        <v>79935</v>
      </c>
      <c r="U32" s="13" t="e">
        <v>#N/A</v>
      </c>
      <c r="V32" s="13" t="e">
        <v>#N/A</v>
      </c>
      <c r="W32" s="13" t="e">
        <v>#N/A</v>
      </c>
      <c r="X32" s="13" t="e">
        <v>#N/A</v>
      </c>
      <c r="Y32" s="13" t="e">
        <v>#N/A</v>
      </c>
      <c r="Z32" s="13" t="e">
        <v>#N/A</v>
      </c>
      <c r="AA32" s="13" t="e">
        <v>#N/A</v>
      </c>
      <c r="AB32" s="13" t="e">
        <v>#N/A</v>
      </c>
      <c r="AC32" s="13" t="e">
        <v>#N/A</v>
      </c>
      <c r="AD32" s="13" t="e">
        <v>#N/A</v>
      </c>
      <c r="AE32" s="13" t="e">
        <v>#N/A</v>
      </c>
      <c r="AF32" s="13" t="e">
        <v>#N/A</v>
      </c>
      <c r="AG32" s="13" t="e">
        <v>#N/A</v>
      </c>
      <c r="AH32" s="13" t="e">
        <v>#N/A</v>
      </c>
      <c r="AK32" s="13">
        <v>211504</v>
      </c>
      <c r="AL32" s="13">
        <v>131775</v>
      </c>
      <c r="AM32" s="13">
        <v>2895</v>
      </c>
      <c r="AN32" s="13">
        <v>36196</v>
      </c>
      <c r="AO32" s="13">
        <v>38644</v>
      </c>
      <c r="AP32" s="13">
        <v>1805</v>
      </c>
      <c r="AQ32" s="13">
        <v>148</v>
      </c>
      <c r="AR32" s="13">
        <v>53322</v>
      </c>
      <c r="AS32" s="13">
        <v>53281</v>
      </c>
      <c r="AT32" s="13">
        <v>206127</v>
      </c>
      <c r="AU32" s="13">
        <v>129345</v>
      </c>
      <c r="AV32" s="13">
        <v>2882</v>
      </c>
      <c r="AW32" s="13">
        <v>35826</v>
      </c>
      <c r="AX32" s="13">
        <v>36252</v>
      </c>
      <c r="AY32" s="13">
        <v>3216</v>
      </c>
      <c r="AZ32" s="13">
        <v>151</v>
      </c>
      <c r="BA32" s="13">
        <v>52979</v>
      </c>
      <c r="BB32" s="13">
        <v>54524</v>
      </c>
    </row>
    <row r="33" spans="1:54" x14ac:dyDescent="0.35">
      <c r="A33" t="s">
        <v>399</v>
      </c>
      <c r="B33" s="13">
        <v>407795</v>
      </c>
      <c r="C33" s="13">
        <v>234345</v>
      </c>
      <c r="D33" s="13">
        <v>7959</v>
      </c>
      <c r="E33" s="13">
        <v>82532</v>
      </c>
      <c r="F33" s="13">
        <v>67357</v>
      </c>
      <c r="G33" s="13">
        <v>6523</v>
      </c>
      <c r="H33" s="13">
        <v>-1866</v>
      </c>
      <c r="I33" s="13">
        <v>90195</v>
      </c>
      <c r="J33" s="13">
        <v>79909</v>
      </c>
      <c r="K33" s="13">
        <v>1</v>
      </c>
      <c r="L33" s="13">
        <v>413523</v>
      </c>
      <c r="M33" s="13">
        <v>241689</v>
      </c>
      <c r="N33" s="13">
        <v>8073</v>
      </c>
      <c r="O33" s="13">
        <v>82005</v>
      </c>
      <c r="P33" s="13">
        <v>67361</v>
      </c>
      <c r="Q33" s="13">
        <v>4264</v>
      </c>
      <c r="R33" s="13">
        <v>-1867</v>
      </c>
      <c r="S33" s="13">
        <v>90774</v>
      </c>
      <c r="T33" s="13">
        <v>81434</v>
      </c>
      <c r="U33" s="13" t="e">
        <v>#N/A</v>
      </c>
      <c r="V33" s="13" t="e">
        <v>#N/A</v>
      </c>
      <c r="W33" s="13" t="e">
        <v>#N/A</v>
      </c>
      <c r="X33" s="13" t="e">
        <v>#N/A</v>
      </c>
      <c r="Y33" s="13" t="e">
        <v>#N/A</v>
      </c>
      <c r="Z33" s="13" t="e">
        <v>#N/A</v>
      </c>
      <c r="AA33" s="13" t="e">
        <v>#N/A</v>
      </c>
      <c r="AB33" s="13" t="e">
        <v>#N/A</v>
      </c>
      <c r="AC33" s="13" t="e">
        <v>#N/A</v>
      </c>
      <c r="AD33" s="13" t="e">
        <v>#N/A</v>
      </c>
      <c r="AE33" s="13" t="e">
        <v>#N/A</v>
      </c>
      <c r="AF33" s="13" t="e">
        <v>#N/A</v>
      </c>
      <c r="AG33" s="13" t="e">
        <v>#N/A</v>
      </c>
      <c r="AH33" s="13" t="e">
        <v>#N/A</v>
      </c>
      <c r="AK33" s="13">
        <v>215396</v>
      </c>
      <c r="AL33" s="13">
        <v>134456</v>
      </c>
      <c r="AM33" s="13">
        <v>2471</v>
      </c>
      <c r="AN33" s="13">
        <v>36296</v>
      </c>
      <c r="AO33" s="13">
        <v>39570</v>
      </c>
      <c r="AP33" s="13">
        <v>2829</v>
      </c>
      <c r="AQ33" s="13">
        <v>119</v>
      </c>
      <c r="AR33" s="13">
        <v>54949</v>
      </c>
      <c r="AS33" s="13">
        <v>55294</v>
      </c>
      <c r="AT33" s="13">
        <v>215114</v>
      </c>
      <c r="AU33" s="13">
        <v>136923</v>
      </c>
      <c r="AV33" s="13">
        <v>2943</v>
      </c>
      <c r="AW33" s="13">
        <v>35854</v>
      </c>
      <c r="AX33" s="13">
        <v>38862</v>
      </c>
      <c r="AY33" s="13">
        <v>1445</v>
      </c>
      <c r="AZ33" s="13">
        <v>139</v>
      </c>
      <c r="BA33" s="13">
        <v>55290</v>
      </c>
      <c r="BB33" s="13">
        <v>56342</v>
      </c>
    </row>
    <row r="34" spans="1:54" x14ac:dyDescent="0.35">
      <c r="A34" t="s">
        <v>400</v>
      </c>
      <c r="B34" s="13">
        <v>409132</v>
      </c>
      <c r="C34" s="13">
        <v>237147</v>
      </c>
      <c r="D34" s="13">
        <v>8186</v>
      </c>
      <c r="E34" s="13">
        <v>82886</v>
      </c>
      <c r="F34" s="13">
        <v>67705</v>
      </c>
      <c r="G34" s="13">
        <v>2877</v>
      </c>
      <c r="H34" s="13">
        <v>-1092</v>
      </c>
      <c r="I34" s="13">
        <v>91446</v>
      </c>
      <c r="J34" s="13">
        <v>80511</v>
      </c>
      <c r="K34" s="13">
        <v>0</v>
      </c>
      <c r="L34" s="13">
        <v>423660</v>
      </c>
      <c r="M34" s="13">
        <v>247479</v>
      </c>
      <c r="N34" s="13">
        <v>8159</v>
      </c>
      <c r="O34" s="13">
        <v>83670</v>
      </c>
      <c r="P34" s="13">
        <v>67784</v>
      </c>
      <c r="Q34" s="13">
        <v>2714</v>
      </c>
      <c r="R34" s="13">
        <v>-1093</v>
      </c>
      <c r="S34" s="13">
        <v>92628</v>
      </c>
      <c r="T34" s="13">
        <v>79638</v>
      </c>
      <c r="U34" s="13" t="e">
        <v>#N/A</v>
      </c>
      <c r="V34" s="13" t="e">
        <v>#N/A</v>
      </c>
      <c r="W34" s="13" t="e">
        <v>#N/A</v>
      </c>
      <c r="X34" s="13" t="e">
        <v>#N/A</v>
      </c>
      <c r="Y34" s="13" t="e">
        <v>#N/A</v>
      </c>
      <c r="Z34" s="13" t="e">
        <v>#N/A</v>
      </c>
      <c r="AA34" s="13" t="e">
        <v>#N/A</v>
      </c>
      <c r="AB34" s="13" t="e">
        <v>#N/A</v>
      </c>
      <c r="AC34" s="13" t="e">
        <v>#N/A</v>
      </c>
      <c r="AD34" s="13" t="e">
        <v>#N/A</v>
      </c>
      <c r="AE34" s="13" t="e">
        <v>#N/A</v>
      </c>
      <c r="AF34" s="13" t="e">
        <v>#N/A</v>
      </c>
      <c r="AG34" s="13" t="e">
        <v>#N/A</v>
      </c>
      <c r="AH34" s="13" t="e">
        <v>#N/A</v>
      </c>
      <c r="AK34" s="13">
        <v>218635</v>
      </c>
      <c r="AL34" s="13">
        <v>136098</v>
      </c>
      <c r="AM34" s="13">
        <v>2991</v>
      </c>
      <c r="AN34" s="13">
        <v>36813</v>
      </c>
      <c r="AO34" s="13">
        <v>40599</v>
      </c>
      <c r="AP34" s="13">
        <v>642</v>
      </c>
      <c r="AQ34" s="13">
        <v>149</v>
      </c>
      <c r="AR34" s="13">
        <v>57051</v>
      </c>
      <c r="AS34" s="13">
        <v>55708</v>
      </c>
      <c r="AT34" s="13">
        <v>225770</v>
      </c>
      <c r="AU34" s="13">
        <v>140377</v>
      </c>
      <c r="AV34" s="13">
        <v>2899</v>
      </c>
      <c r="AW34" s="13">
        <v>36991</v>
      </c>
      <c r="AX34" s="13">
        <v>41482</v>
      </c>
      <c r="AY34" s="13">
        <v>1250</v>
      </c>
      <c r="AZ34" s="13">
        <v>133</v>
      </c>
      <c r="BA34" s="13">
        <v>57448</v>
      </c>
      <c r="BB34" s="13">
        <v>54810</v>
      </c>
    </row>
    <row r="35" spans="1:54" x14ac:dyDescent="0.35">
      <c r="A35" t="s">
        <v>401</v>
      </c>
      <c r="B35" s="13">
        <v>412022</v>
      </c>
      <c r="C35" s="13">
        <v>239556</v>
      </c>
      <c r="D35" s="13">
        <v>8962</v>
      </c>
      <c r="E35" s="13">
        <v>83359</v>
      </c>
      <c r="F35" s="13">
        <v>69483</v>
      </c>
      <c r="G35" s="13">
        <v>2900</v>
      </c>
      <c r="H35" s="13">
        <v>-491</v>
      </c>
      <c r="I35" s="13">
        <v>93411</v>
      </c>
      <c r="J35" s="13">
        <v>83621</v>
      </c>
      <c r="K35" s="13">
        <v>0</v>
      </c>
      <c r="L35" s="13">
        <v>400262</v>
      </c>
      <c r="M35" s="13">
        <v>228161</v>
      </c>
      <c r="N35" s="13">
        <v>9003</v>
      </c>
      <c r="O35" s="13">
        <v>83523</v>
      </c>
      <c r="P35" s="13">
        <v>69796</v>
      </c>
      <c r="Q35" s="13">
        <v>-2874</v>
      </c>
      <c r="R35" s="13">
        <v>-492</v>
      </c>
      <c r="S35" s="13">
        <v>91741</v>
      </c>
      <c r="T35" s="13">
        <v>81360</v>
      </c>
      <c r="U35" s="13" t="e">
        <v>#N/A</v>
      </c>
      <c r="V35" s="13" t="e">
        <v>#N/A</v>
      </c>
      <c r="W35" s="13" t="e">
        <v>#N/A</v>
      </c>
      <c r="X35" s="13" t="e">
        <v>#N/A</v>
      </c>
      <c r="Y35" s="13" t="e">
        <v>#N/A</v>
      </c>
      <c r="Z35" s="13" t="e">
        <v>#N/A</v>
      </c>
      <c r="AA35" s="13" t="e">
        <v>#N/A</v>
      </c>
      <c r="AB35" s="13" t="e">
        <v>#N/A</v>
      </c>
      <c r="AC35" s="13" t="e">
        <v>#N/A</v>
      </c>
      <c r="AD35" s="13" t="e">
        <v>#N/A</v>
      </c>
      <c r="AE35" s="13" t="e">
        <v>#N/A</v>
      </c>
      <c r="AF35" s="13" t="e">
        <v>#N/A</v>
      </c>
      <c r="AG35" s="13" t="e">
        <v>#N/A</v>
      </c>
      <c r="AH35" s="13" t="e">
        <v>#N/A</v>
      </c>
      <c r="AK35" s="13">
        <v>222304</v>
      </c>
      <c r="AL35" s="13">
        <v>138778</v>
      </c>
      <c r="AM35" s="13">
        <v>3220</v>
      </c>
      <c r="AN35" s="13">
        <v>38034</v>
      </c>
      <c r="AO35" s="13">
        <v>42148</v>
      </c>
      <c r="AP35" s="13">
        <v>-138</v>
      </c>
      <c r="AQ35" s="13">
        <v>135</v>
      </c>
      <c r="AR35" s="13">
        <v>58391</v>
      </c>
      <c r="AS35" s="13">
        <v>58264</v>
      </c>
      <c r="AT35" s="13">
        <v>219274</v>
      </c>
      <c r="AU35" s="13">
        <v>134018</v>
      </c>
      <c r="AV35" s="13">
        <v>3235</v>
      </c>
      <c r="AW35" s="13">
        <v>38417</v>
      </c>
      <c r="AX35" s="13">
        <v>44610</v>
      </c>
      <c r="AY35" s="13">
        <v>-1966</v>
      </c>
      <c r="AZ35" s="13">
        <v>132</v>
      </c>
      <c r="BA35" s="13">
        <v>57590</v>
      </c>
      <c r="BB35" s="13">
        <v>56762</v>
      </c>
    </row>
    <row r="36" spans="1:54" x14ac:dyDescent="0.35">
      <c r="A36" t="s">
        <v>402</v>
      </c>
      <c r="B36" s="13">
        <v>413325</v>
      </c>
      <c r="C36" s="13">
        <v>241559</v>
      </c>
      <c r="D36" s="13">
        <v>8068</v>
      </c>
      <c r="E36" s="13">
        <v>82760</v>
      </c>
      <c r="F36" s="13">
        <v>71846</v>
      </c>
      <c r="G36" s="13">
        <v>-718</v>
      </c>
      <c r="H36" s="13">
        <v>67</v>
      </c>
      <c r="I36" s="13">
        <v>94853</v>
      </c>
      <c r="J36" s="13">
        <v>84635</v>
      </c>
      <c r="K36" s="13">
        <v>0</v>
      </c>
      <c r="L36" s="13">
        <v>402613</v>
      </c>
      <c r="M36" s="13">
        <v>234953</v>
      </c>
      <c r="N36" s="13">
        <v>8064</v>
      </c>
      <c r="O36" s="13">
        <v>82559</v>
      </c>
      <c r="P36" s="13">
        <v>72009</v>
      </c>
      <c r="Q36" s="13">
        <v>2546</v>
      </c>
      <c r="R36" s="13">
        <v>66</v>
      </c>
      <c r="S36" s="13">
        <v>93853</v>
      </c>
      <c r="T36" s="13">
        <v>85942</v>
      </c>
      <c r="U36" s="13" t="e">
        <v>#N/A</v>
      </c>
      <c r="V36" s="13" t="e">
        <v>#N/A</v>
      </c>
      <c r="W36" s="13" t="e">
        <v>#N/A</v>
      </c>
      <c r="X36" s="13" t="e">
        <v>#N/A</v>
      </c>
      <c r="Y36" s="13" t="e">
        <v>#N/A</v>
      </c>
      <c r="Z36" s="13" t="e">
        <v>#N/A</v>
      </c>
      <c r="AA36" s="13" t="e">
        <v>#N/A</v>
      </c>
      <c r="AB36" s="13" t="e">
        <v>#N/A</v>
      </c>
      <c r="AC36" s="13" t="e">
        <v>#N/A</v>
      </c>
      <c r="AD36" s="13" t="e">
        <v>#N/A</v>
      </c>
      <c r="AE36" s="13" t="e">
        <v>#N/A</v>
      </c>
      <c r="AF36" s="13" t="e">
        <v>#N/A</v>
      </c>
      <c r="AG36" s="13" t="e">
        <v>#N/A</v>
      </c>
      <c r="AH36" s="13" t="e">
        <v>#N/A</v>
      </c>
      <c r="AK36" s="13">
        <v>227104</v>
      </c>
      <c r="AL36" s="13">
        <v>141537</v>
      </c>
      <c r="AM36" s="13">
        <v>3221</v>
      </c>
      <c r="AN36" s="13">
        <v>37466</v>
      </c>
      <c r="AO36" s="13">
        <v>44027</v>
      </c>
      <c r="AP36" s="13">
        <v>-163</v>
      </c>
      <c r="AQ36" s="13">
        <v>138</v>
      </c>
      <c r="AR36" s="13">
        <v>59883</v>
      </c>
      <c r="AS36" s="13">
        <v>59005</v>
      </c>
      <c r="AT36" s="13">
        <v>221564</v>
      </c>
      <c r="AU36" s="13">
        <v>139017</v>
      </c>
      <c r="AV36" s="13">
        <v>3220</v>
      </c>
      <c r="AW36" s="13">
        <v>37247</v>
      </c>
      <c r="AX36" s="13">
        <v>41863</v>
      </c>
      <c r="AY36" s="13">
        <v>964</v>
      </c>
      <c r="AZ36" s="13">
        <v>140</v>
      </c>
      <c r="BA36" s="13">
        <v>59340</v>
      </c>
      <c r="BB36" s="13">
        <v>60227</v>
      </c>
    </row>
    <row r="37" spans="1:54" x14ac:dyDescent="0.35">
      <c r="A37" t="s">
        <v>403</v>
      </c>
      <c r="B37" s="13">
        <v>417019</v>
      </c>
      <c r="C37" s="13">
        <v>243639</v>
      </c>
      <c r="D37" s="13">
        <v>8100</v>
      </c>
      <c r="E37" s="13">
        <v>83261</v>
      </c>
      <c r="F37" s="13">
        <v>71269</v>
      </c>
      <c r="G37" s="13">
        <v>-349</v>
      </c>
      <c r="H37" s="13">
        <v>-610</v>
      </c>
      <c r="I37" s="13">
        <v>96007</v>
      </c>
      <c r="J37" s="13">
        <v>86356</v>
      </c>
      <c r="K37" s="13">
        <v>1</v>
      </c>
      <c r="L37" s="13">
        <v>424427</v>
      </c>
      <c r="M37" s="13">
        <v>251473</v>
      </c>
      <c r="N37" s="13">
        <v>8083</v>
      </c>
      <c r="O37" s="13">
        <v>82799</v>
      </c>
      <c r="P37" s="13">
        <v>71254</v>
      </c>
      <c r="Q37" s="13">
        <v>523</v>
      </c>
      <c r="R37" s="13">
        <v>-608</v>
      </c>
      <c r="S37" s="13">
        <v>96277</v>
      </c>
      <c r="T37" s="13">
        <v>87531</v>
      </c>
      <c r="U37" s="13" t="e">
        <v>#N/A</v>
      </c>
      <c r="V37" s="13" t="e">
        <v>#N/A</v>
      </c>
      <c r="W37" s="13" t="e">
        <v>#N/A</v>
      </c>
      <c r="X37" s="13" t="e">
        <v>#N/A</v>
      </c>
      <c r="Y37" s="13" t="e">
        <v>#N/A</v>
      </c>
      <c r="Z37" s="13" t="e">
        <v>#N/A</v>
      </c>
      <c r="AA37" s="13" t="e">
        <v>#N/A</v>
      </c>
      <c r="AB37" s="13" t="e">
        <v>#N/A</v>
      </c>
      <c r="AC37" s="13" t="e">
        <v>#N/A</v>
      </c>
      <c r="AD37" s="13" t="e">
        <v>#N/A</v>
      </c>
      <c r="AE37" s="13" t="e">
        <v>#N/A</v>
      </c>
      <c r="AF37" s="13" t="e">
        <v>#N/A</v>
      </c>
      <c r="AG37" s="13" t="e">
        <v>#N/A</v>
      </c>
      <c r="AH37" s="13" t="e">
        <v>#N/A</v>
      </c>
      <c r="AK37" s="13">
        <v>230833</v>
      </c>
      <c r="AL37" s="13">
        <v>143917</v>
      </c>
      <c r="AM37" s="13">
        <v>3228</v>
      </c>
      <c r="AN37" s="13">
        <v>37629</v>
      </c>
      <c r="AO37" s="13">
        <v>43901</v>
      </c>
      <c r="AP37" s="13">
        <v>633</v>
      </c>
      <c r="AQ37" s="13">
        <v>144</v>
      </c>
      <c r="AR37" s="13">
        <v>60264</v>
      </c>
      <c r="AS37" s="13">
        <v>58883</v>
      </c>
      <c r="AT37" s="13">
        <v>230349</v>
      </c>
      <c r="AU37" s="13">
        <v>146587</v>
      </c>
      <c r="AV37" s="13">
        <v>3222</v>
      </c>
      <c r="AW37" s="13">
        <v>37265</v>
      </c>
      <c r="AX37" s="13">
        <v>42509</v>
      </c>
      <c r="AY37" s="13">
        <v>-103</v>
      </c>
      <c r="AZ37" s="13">
        <v>161</v>
      </c>
      <c r="BA37" s="13">
        <v>60572</v>
      </c>
      <c r="BB37" s="13">
        <v>59864</v>
      </c>
    </row>
    <row r="38" spans="1:54" x14ac:dyDescent="0.35">
      <c r="A38" t="s">
        <v>404</v>
      </c>
      <c r="B38" s="13">
        <v>422639</v>
      </c>
      <c r="C38" s="13">
        <v>246780</v>
      </c>
      <c r="D38" s="13">
        <v>8445</v>
      </c>
      <c r="E38" s="13">
        <v>83484</v>
      </c>
      <c r="F38" s="13">
        <v>68837</v>
      </c>
      <c r="G38" s="13">
        <v>1941</v>
      </c>
      <c r="H38" s="13">
        <v>-220</v>
      </c>
      <c r="I38" s="13">
        <v>98508</v>
      </c>
      <c r="J38" s="13">
        <v>88403</v>
      </c>
      <c r="K38" s="13">
        <v>1</v>
      </c>
      <c r="L38" s="13">
        <v>437703</v>
      </c>
      <c r="M38" s="13">
        <v>256947</v>
      </c>
      <c r="N38" s="13">
        <v>8425</v>
      </c>
      <c r="O38" s="13">
        <v>83983</v>
      </c>
      <c r="P38" s="13">
        <v>68376</v>
      </c>
      <c r="Q38" s="13">
        <v>3579</v>
      </c>
      <c r="R38" s="13">
        <v>-220</v>
      </c>
      <c r="S38" s="13">
        <v>100908</v>
      </c>
      <c r="T38" s="13">
        <v>88182</v>
      </c>
      <c r="U38" s="13" t="e">
        <v>#N/A</v>
      </c>
      <c r="V38" s="13" t="e">
        <v>#N/A</v>
      </c>
      <c r="W38" s="13" t="e">
        <v>#N/A</v>
      </c>
      <c r="X38" s="13" t="e">
        <v>#N/A</v>
      </c>
      <c r="Y38" s="13" t="e">
        <v>#N/A</v>
      </c>
      <c r="Z38" s="13" t="e">
        <v>#N/A</v>
      </c>
      <c r="AA38" s="13" t="e">
        <v>#N/A</v>
      </c>
      <c r="AB38" s="13" t="e">
        <v>#N/A</v>
      </c>
      <c r="AC38" s="13" t="e">
        <v>#N/A</v>
      </c>
      <c r="AD38" s="13" t="e">
        <v>#N/A</v>
      </c>
      <c r="AE38" s="13" t="e">
        <v>#N/A</v>
      </c>
      <c r="AF38" s="13" t="e">
        <v>#N/A</v>
      </c>
      <c r="AG38" s="13" t="e">
        <v>#N/A</v>
      </c>
      <c r="AH38" s="13" t="e">
        <v>#N/A</v>
      </c>
      <c r="AK38" s="13">
        <v>233368</v>
      </c>
      <c r="AL38" s="13">
        <v>146261</v>
      </c>
      <c r="AM38" s="13">
        <v>3349</v>
      </c>
      <c r="AN38" s="13">
        <v>37882</v>
      </c>
      <c r="AO38" s="13">
        <v>42260</v>
      </c>
      <c r="AP38" s="13">
        <v>1439</v>
      </c>
      <c r="AQ38" s="13">
        <v>208</v>
      </c>
      <c r="AR38" s="13">
        <v>61441</v>
      </c>
      <c r="AS38" s="13">
        <v>59472</v>
      </c>
      <c r="AT38" s="13">
        <v>242422</v>
      </c>
      <c r="AU38" s="13">
        <v>150871</v>
      </c>
      <c r="AV38" s="13">
        <v>3341</v>
      </c>
      <c r="AW38" s="13">
        <v>38082</v>
      </c>
      <c r="AX38" s="13">
        <v>43354</v>
      </c>
      <c r="AY38" s="13">
        <v>2876</v>
      </c>
      <c r="AZ38" s="13">
        <v>192</v>
      </c>
      <c r="BA38" s="13">
        <v>62477</v>
      </c>
      <c r="BB38" s="13">
        <v>58771</v>
      </c>
    </row>
    <row r="39" spans="1:54" x14ac:dyDescent="0.35">
      <c r="A39" t="s">
        <v>405</v>
      </c>
      <c r="B39" s="13">
        <v>429418</v>
      </c>
      <c r="C39" s="13">
        <v>249328</v>
      </c>
      <c r="D39" s="13">
        <v>10272</v>
      </c>
      <c r="E39" s="13">
        <v>82772</v>
      </c>
      <c r="F39" s="13">
        <v>66734</v>
      </c>
      <c r="G39" s="13">
        <v>-2841</v>
      </c>
      <c r="H39" s="13">
        <v>602</v>
      </c>
      <c r="I39" s="13">
        <v>105733</v>
      </c>
      <c r="J39" s="13">
        <v>90862</v>
      </c>
      <c r="K39" s="13">
        <v>0</v>
      </c>
      <c r="L39" s="13">
        <v>423715</v>
      </c>
      <c r="M39" s="13">
        <v>242507</v>
      </c>
      <c r="N39" s="13">
        <v>10272</v>
      </c>
      <c r="O39" s="13">
        <v>82517</v>
      </c>
      <c r="P39" s="13">
        <v>69063</v>
      </c>
      <c r="Q39" s="13">
        <v>-3676</v>
      </c>
      <c r="R39" s="13">
        <v>563</v>
      </c>
      <c r="S39" s="13">
        <v>102511</v>
      </c>
      <c r="T39" s="13">
        <v>87296</v>
      </c>
      <c r="U39" s="13">
        <v>37825</v>
      </c>
      <c r="V39" s="13">
        <v>6170</v>
      </c>
      <c r="W39" s="13">
        <v>37189</v>
      </c>
      <c r="X39" s="13">
        <v>9179</v>
      </c>
      <c r="Y39" s="13">
        <v>3547</v>
      </c>
      <c r="Z39" s="13">
        <v>9079</v>
      </c>
      <c r="AA39" s="13">
        <v>20290</v>
      </c>
      <c r="AB39" s="13">
        <v>24335</v>
      </c>
      <c r="AC39" s="13">
        <v>12217</v>
      </c>
      <c r="AD39" s="13">
        <v>3890</v>
      </c>
      <c r="AE39" s="13">
        <v>9669</v>
      </c>
      <c r="AF39" s="13">
        <v>20570</v>
      </c>
      <c r="AG39" s="13">
        <v>25442</v>
      </c>
      <c r="AH39" s="13">
        <v>12184</v>
      </c>
      <c r="AK39" s="13">
        <v>233344</v>
      </c>
      <c r="AL39" s="13">
        <v>148217</v>
      </c>
      <c r="AM39" s="13">
        <v>3731</v>
      </c>
      <c r="AN39" s="13">
        <v>38420</v>
      </c>
      <c r="AO39" s="13">
        <v>40184</v>
      </c>
      <c r="AP39" s="13">
        <v>366</v>
      </c>
      <c r="AQ39" s="13">
        <v>286</v>
      </c>
      <c r="AR39" s="13">
        <v>61079</v>
      </c>
      <c r="AS39" s="13">
        <v>58939</v>
      </c>
      <c r="AT39" s="13">
        <v>232219</v>
      </c>
      <c r="AU39" s="13">
        <v>144345</v>
      </c>
      <c r="AV39" s="13">
        <v>3731</v>
      </c>
      <c r="AW39" s="13">
        <v>37943</v>
      </c>
      <c r="AX39" s="13">
        <v>42365</v>
      </c>
      <c r="AY39" s="13">
        <v>1014</v>
      </c>
      <c r="AZ39" s="13">
        <v>245</v>
      </c>
      <c r="BA39" s="13">
        <v>59332</v>
      </c>
      <c r="BB39" s="13">
        <v>56756</v>
      </c>
    </row>
    <row r="40" spans="1:54" x14ac:dyDescent="0.35">
      <c r="A40" t="s">
        <v>406</v>
      </c>
      <c r="B40" s="13">
        <v>434199</v>
      </c>
      <c r="C40" s="13">
        <v>253090</v>
      </c>
      <c r="D40" s="13">
        <v>10160</v>
      </c>
      <c r="E40" s="13">
        <v>81353</v>
      </c>
      <c r="F40" s="13">
        <v>67734</v>
      </c>
      <c r="G40" s="13">
        <v>-972</v>
      </c>
      <c r="H40" s="13">
        <v>642</v>
      </c>
      <c r="I40" s="13">
        <v>107210</v>
      </c>
      <c r="J40" s="13">
        <v>95127</v>
      </c>
      <c r="K40" s="13">
        <v>0</v>
      </c>
      <c r="L40" s="13">
        <v>432165</v>
      </c>
      <c r="M40" s="13">
        <v>250043</v>
      </c>
      <c r="N40" s="13">
        <v>10160</v>
      </c>
      <c r="O40" s="13">
        <v>82169</v>
      </c>
      <c r="P40" s="13">
        <v>65642</v>
      </c>
      <c r="Q40" s="13">
        <v>2139</v>
      </c>
      <c r="R40" s="13">
        <v>745</v>
      </c>
      <c r="S40" s="13">
        <v>107155</v>
      </c>
      <c r="T40" s="13">
        <v>95773</v>
      </c>
      <c r="U40" s="13">
        <v>38040</v>
      </c>
      <c r="V40" s="13">
        <v>6934</v>
      </c>
      <c r="W40" s="13">
        <v>37998</v>
      </c>
      <c r="X40" s="13">
        <v>5250</v>
      </c>
      <c r="Y40" s="13">
        <v>3730</v>
      </c>
      <c r="Z40" s="13">
        <v>9397</v>
      </c>
      <c r="AA40" s="13">
        <v>19619</v>
      </c>
      <c r="AB40" s="13">
        <v>25029</v>
      </c>
      <c r="AC40" s="13">
        <v>12530</v>
      </c>
      <c r="AD40" s="13">
        <v>3987</v>
      </c>
      <c r="AE40" s="13">
        <v>8583</v>
      </c>
      <c r="AF40" s="13">
        <v>19392</v>
      </c>
      <c r="AG40" s="13">
        <v>23798</v>
      </c>
      <c r="AH40" s="13">
        <v>12486</v>
      </c>
      <c r="AK40" s="13">
        <v>237250</v>
      </c>
      <c r="AL40" s="13">
        <v>151927</v>
      </c>
      <c r="AM40" s="13">
        <v>3792</v>
      </c>
      <c r="AN40" s="13">
        <v>37377</v>
      </c>
      <c r="AO40" s="13">
        <v>40498</v>
      </c>
      <c r="AP40" s="13">
        <v>3084</v>
      </c>
      <c r="AQ40" s="13">
        <v>347</v>
      </c>
      <c r="AR40" s="13">
        <v>60994</v>
      </c>
      <c r="AS40" s="13">
        <v>60769</v>
      </c>
      <c r="AT40" s="13">
        <v>235358</v>
      </c>
      <c r="AU40" s="13">
        <v>150478</v>
      </c>
      <c r="AV40" s="13">
        <v>3792</v>
      </c>
      <c r="AW40" s="13">
        <v>37834</v>
      </c>
      <c r="AX40" s="13">
        <v>39334</v>
      </c>
      <c r="AY40" s="13">
        <v>3829</v>
      </c>
      <c r="AZ40" s="13">
        <v>390</v>
      </c>
      <c r="BA40" s="13">
        <v>61062</v>
      </c>
      <c r="BB40" s="13">
        <v>61361</v>
      </c>
    </row>
    <row r="41" spans="1:54" x14ac:dyDescent="0.35">
      <c r="A41" t="s">
        <v>407</v>
      </c>
      <c r="B41" s="13">
        <v>438100</v>
      </c>
      <c r="C41" s="13">
        <v>256735</v>
      </c>
      <c r="D41" s="13">
        <v>10263</v>
      </c>
      <c r="E41" s="13">
        <v>82427</v>
      </c>
      <c r="F41" s="13">
        <v>71812</v>
      </c>
      <c r="G41" s="13">
        <v>3796</v>
      </c>
      <c r="H41" s="13">
        <v>613</v>
      </c>
      <c r="I41" s="13">
        <v>106575</v>
      </c>
      <c r="J41" s="13">
        <v>94199</v>
      </c>
      <c r="K41" s="13">
        <v>0</v>
      </c>
      <c r="L41" s="13">
        <v>440937</v>
      </c>
      <c r="M41" s="13">
        <v>259576</v>
      </c>
      <c r="N41" s="13">
        <v>10263</v>
      </c>
      <c r="O41" s="13">
        <v>81848</v>
      </c>
      <c r="P41" s="13">
        <v>70444</v>
      </c>
      <c r="Q41" s="13">
        <v>3192</v>
      </c>
      <c r="R41" s="13">
        <v>512</v>
      </c>
      <c r="S41" s="13">
        <v>107459</v>
      </c>
      <c r="T41" s="13">
        <v>97448</v>
      </c>
      <c r="U41" s="13">
        <v>40957</v>
      </c>
      <c r="V41" s="13">
        <v>7403</v>
      </c>
      <c r="W41" s="13">
        <v>40158</v>
      </c>
      <c r="X41" s="13">
        <v>6711</v>
      </c>
      <c r="Y41" s="13">
        <v>3954</v>
      </c>
      <c r="Z41" s="13">
        <v>10301</v>
      </c>
      <c r="AA41" s="13">
        <v>20015</v>
      </c>
      <c r="AB41" s="13">
        <v>26487</v>
      </c>
      <c r="AC41" s="13">
        <v>12904</v>
      </c>
      <c r="AD41" s="13">
        <v>3884</v>
      </c>
      <c r="AE41" s="13">
        <v>9719</v>
      </c>
      <c r="AF41" s="13">
        <v>20212</v>
      </c>
      <c r="AG41" s="13">
        <v>26061</v>
      </c>
      <c r="AH41" s="13">
        <v>12885</v>
      </c>
      <c r="AK41" s="13">
        <v>245353</v>
      </c>
      <c r="AL41" s="13">
        <v>154724</v>
      </c>
      <c r="AM41" s="13">
        <v>3870</v>
      </c>
      <c r="AN41" s="13">
        <v>37964</v>
      </c>
      <c r="AO41" s="13">
        <v>43161</v>
      </c>
      <c r="AP41" s="13">
        <v>3917</v>
      </c>
      <c r="AQ41" s="13">
        <v>272</v>
      </c>
      <c r="AR41" s="13">
        <v>61133</v>
      </c>
      <c r="AS41" s="13">
        <v>59688</v>
      </c>
      <c r="AT41" s="13">
        <v>244272</v>
      </c>
      <c r="AU41" s="13">
        <v>156277</v>
      </c>
      <c r="AV41" s="13">
        <v>3870</v>
      </c>
      <c r="AW41" s="13">
        <v>37939</v>
      </c>
      <c r="AX41" s="13">
        <v>41932</v>
      </c>
      <c r="AY41" s="13">
        <v>3670</v>
      </c>
      <c r="AZ41" s="13">
        <v>256</v>
      </c>
      <c r="BA41" s="13">
        <v>61888</v>
      </c>
      <c r="BB41" s="13">
        <v>61560</v>
      </c>
    </row>
    <row r="42" spans="1:54" x14ac:dyDescent="0.35">
      <c r="A42" t="s">
        <v>408</v>
      </c>
      <c r="B42" s="13">
        <v>444540</v>
      </c>
      <c r="C42" s="13">
        <v>258701</v>
      </c>
      <c r="D42" s="13">
        <v>10337</v>
      </c>
      <c r="E42" s="13">
        <v>84058</v>
      </c>
      <c r="F42" s="13">
        <v>73702</v>
      </c>
      <c r="G42" s="13">
        <v>3235</v>
      </c>
      <c r="H42" s="13">
        <v>590</v>
      </c>
      <c r="I42" s="13">
        <v>110005</v>
      </c>
      <c r="J42" s="13">
        <v>96661</v>
      </c>
      <c r="K42" s="13">
        <v>0</v>
      </c>
      <c r="L42" s="13">
        <v>449440</v>
      </c>
      <c r="M42" s="13">
        <v>265728</v>
      </c>
      <c r="N42" s="13">
        <v>10337</v>
      </c>
      <c r="O42" s="13">
        <v>84076</v>
      </c>
      <c r="P42" s="13">
        <v>74833</v>
      </c>
      <c r="Q42" s="13">
        <v>1563</v>
      </c>
      <c r="R42" s="13">
        <v>627</v>
      </c>
      <c r="S42" s="13">
        <v>112398</v>
      </c>
      <c r="T42" s="13">
        <v>96332</v>
      </c>
      <c r="U42" s="13">
        <v>41619</v>
      </c>
      <c r="V42" s="13">
        <v>7631</v>
      </c>
      <c r="W42" s="13">
        <v>43095</v>
      </c>
      <c r="X42" s="13">
        <v>6998</v>
      </c>
      <c r="Y42" s="13">
        <v>3838</v>
      </c>
      <c r="Z42" s="13">
        <v>10462</v>
      </c>
      <c r="AA42" s="13">
        <v>21434</v>
      </c>
      <c r="AB42" s="13">
        <v>27305</v>
      </c>
      <c r="AC42" s="13">
        <v>13228</v>
      </c>
      <c r="AD42" s="13">
        <v>3307</v>
      </c>
      <c r="AE42" s="13">
        <v>11268</v>
      </c>
      <c r="AF42" s="13">
        <v>21184</v>
      </c>
      <c r="AG42" s="13">
        <v>27856</v>
      </c>
      <c r="AH42" s="13">
        <v>13325</v>
      </c>
      <c r="AK42" s="13">
        <v>242592</v>
      </c>
      <c r="AL42" s="13">
        <v>155080</v>
      </c>
      <c r="AM42" s="13">
        <v>3920</v>
      </c>
      <c r="AN42" s="13">
        <v>39014</v>
      </c>
      <c r="AO42" s="13">
        <v>44347</v>
      </c>
      <c r="AP42" s="13">
        <v>-1375</v>
      </c>
      <c r="AQ42" s="13">
        <v>303</v>
      </c>
      <c r="AR42" s="13">
        <v>62362</v>
      </c>
      <c r="AS42" s="13">
        <v>61059</v>
      </c>
      <c r="AT42" s="13">
        <v>246690</v>
      </c>
      <c r="AU42" s="13">
        <v>158848</v>
      </c>
      <c r="AV42" s="13">
        <v>3920</v>
      </c>
      <c r="AW42" s="13">
        <v>39059</v>
      </c>
      <c r="AX42" s="13">
        <v>44559</v>
      </c>
      <c r="AY42" s="13">
        <v>-2521</v>
      </c>
      <c r="AZ42" s="13">
        <v>317</v>
      </c>
      <c r="BA42" s="13">
        <v>63286</v>
      </c>
      <c r="BB42" s="13">
        <v>60778</v>
      </c>
    </row>
    <row r="43" spans="1:54" x14ac:dyDescent="0.35">
      <c r="A43" t="s">
        <v>409</v>
      </c>
      <c r="B43" s="13">
        <v>447712</v>
      </c>
      <c r="C43" s="13">
        <v>260797</v>
      </c>
      <c r="D43" s="13">
        <v>10445</v>
      </c>
      <c r="E43" s="13">
        <v>84775</v>
      </c>
      <c r="F43" s="13">
        <v>74393</v>
      </c>
      <c r="G43" s="13">
        <v>3707</v>
      </c>
      <c r="H43" s="13">
        <v>844</v>
      </c>
      <c r="I43" s="13">
        <v>110615</v>
      </c>
      <c r="J43" s="13">
        <v>98715</v>
      </c>
      <c r="K43" s="13">
        <v>0</v>
      </c>
      <c r="L43" s="13">
        <v>443596</v>
      </c>
      <c r="M43" s="13">
        <v>254184</v>
      </c>
      <c r="N43" s="13">
        <v>10445</v>
      </c>
      <c r="O43" s="13">
        <v>84655</v>
      </c>
      <c r="P43" s="13">
        <v>78694</v>
      </c>
      <c r="Q43" s="13">
        <v>1790</v>
      </c>
      <c r="R43" s="13">
        <v>789</v>
      </c>
      <c r="S43" s="13">
        <v>108241</v>
      </c>
      <c r="T43" s="13">
        <v>96135</v>
      </c>
      <c r="U43" s="13">
        <v>42028</v>
      </c>
      <c r="V43" s="13">
        <v>8473</v>
      </c>
      <c r="W43" s="13">
        <v>42952</v>
      </c>
      <c r="X43" s="13">
        <v>11854</v>
      </c>
      <c r="Y43" s="13">
        <v>4489</v>
      </c>
      <c r="Z43" s="13">
        <v>10318</v>
      </c>
      <c r="AA43" s="13">
        <v>20045</v>
      </c>
      <c r="AB43" s="13">
        <v>27821</v>
      </c>
      <c r="AC43" s="13">
        <v>13651</v>
      </c>
      <c r="AD43" s="13">
        <v>4794</v>
      </c>
      <c r="AE43" s="13">
        <v>10889</v>
      </c>
      <c r="AF43" s="13">
        <v>20331</v>
      </c>
      <c r="AG43" s="13">
        <v>30829</v>
      </c>
      <c r="AH43" s="13">
        <v>13756</v>
      </c>
      <c r="AK43" s="13">
        <v>247175</v>
      </c>
      <c r="AL43" s="13">
        <v>157183</v>
      </c>
      <c r="AM43" s="13">
        <v>3949</v>
      </c>
      <c r="AN43" s="13">
        <v>39473</v>
      </c>
      <c r="AO43" s="13">
        <v>44749</v>
      </c>
      <c r="AP43" s="13">
        <v>1658</v>
      </c>
      <c r="AQ43" s="13">
        <v>461</v>
      </c>
      <c r="AR43" s="13">
        <v>61446</v>
      </c>
      <c r="AS43" s="13">
        <v>61744</v>
      </c>
      <c r="AT43" s="13">
        <v>244068</v>
      </c>
      <c r="AU43" s="13">
        <v>152694</v>
      </c>
      <c r="AV43" s="13">
        <v>3949</v>
      </c>
      <c r="AW43" s="13">
        <v>39005</v>
      </c>
      <c r="AX43" s="13">
        <v>46813</v>
      </c>
      <c r="AY43" s="13">
        <v>1080</v>
      </c>
      <c r="AZ43" s="13">
        <v>420</v>
      </c>
      <c r="BA43" s="13">
        <v>59996</v>
      </c>
      <c r="BB43" s="13">
        <v>59889</v>
      </c>
    </row>
    <row r="44" spans="1:54" x14ac:dyDescent="0.35">
      <c r="A44" t="s">
        <v>410</v>
      </c>
      <c r="B44" s="13">
        <v>450292</v>
      </c>
      <c r="C44" s="13">
        <v>263411</v>
      </c>
      <c r="D44" s="13">
        <v>10482</v>
      </c>
      <c r="E44" s="13">
        <v>85124</v>
      </c>
      <c r="F44" s="13">
        <v>74474</v>
      </c>
      <c r="G44" s="13">
        <v>2303</v>
      </c>
      <c r="H44" s="13">
        <v>718</v>
      </c>
      <c r="I44" s="13">
        <v>110558</v>
      </c>
      <c r="J44" s="13">
        <v>101342</v>
      </c>
      <c r="K44" s="13">
        <v>0</v>
      </c>
      <c r="L44" s="13">
        <v>442790</v>
      </c>
      <c r="M44" s="13">
        <v>260527</v>
      </c>
      <c r="N44" s="13">
        <v>10482</v>
      </c>
      <c r="O44" s="13">
        <v>85695</v>
      </c>
      <c r="P44" s="13">
        <v>70490</v>
      </c>
      <c r="Q44" s="13">
        <v>2944</v>
      </c>
      <c r="R44" s="13">
        <v>815</v>
      </c>
      <c r="S44" s="13">
        <v>110010</v>
      </c>
      <c r="T44" s="13">
        <v>101708</v>
      </c>
      <c r="U44" s="13">
        <v>42503</v>
      </c>
      <c r="V44" s="13">
        <v>7895</v>
      </c>
      <c r="W44" s="13">
        <v>40997</v>
      </c>
      <c r="X44" s="13">
        <v>5767</v>
      </c>
      <c r="Y44" s="13">
        <v>3991</v>
      </c>
      <c r="Z44" s="13">
        <v>10328</v>
      </c>
      <c r="AA44" s="13">
        <v>20520</v>
      </c>
      <c r="AB44" s="13">
        <v>27940</v>
      </c>
      <c r="AC44" s="13">
        <v>13986</v>
      </c>
      <c r="AD44" s="13">
        <v>4333</v>
      </c>
      <c r="AE44" s="13">
        <v>9514</v>
      </c>
      <c r="AF44" s="13">
        <v>20297</v>
      </c>
      <c r="AG44" s="13">
        <v>24549</v>
      </c>
      <c r="AH44" s="13">
        <v>13933</v>
      </c>
      <c r="AK44" s="13">
        <v>249234</v>
      </c>
      <c r="AL44" s="13">
        <v>159647</v>
      </c>
      <c r="AM44" s="13">
        <v>3951</v>
      </c>
      <c r="AN44" s="13">
        <v>39359</v>
      </c>
      <c r="AO44" s="13">
        <v>44776</v>
      </c>
      <c r="AP44" s="13">
        <v>2495</v>
      </c>
      <c r="AQ44" s="13">
        <v>391</v>
      </c>
      <c r="AR44" s="13">
        <v>61016</v>
      </c>
      <c r="AS44" s="13">
        <v>62401</v>
      </c>
      <c r="AT44" s="13">
        <v>246263</v>
      </c>
      <c r="AU44" s="13">
        <v>158388</v>
      </c>
      <c r="AV44" s="13">
        <v>3951</v>
      </c>
      <c r="AW44" s="13">
        <v>39814</v>
      </c>
      <c r="AX44" s="13">
        <v>43089</v>
      </c>
      <c r="AY44" s="13">
        <v>2528</v>
      </c>
      <c r="AZ44" s="13">
        <v>433</v>
      </c>
      <c r="BA44" s="13">
        <v>60874</v>
      </c>
      <c r="BB44" s="13">
        <v>62814</v>
      </c>
    </row>
    <row r="45" spans="1:54" x14ac:dyDescent="0.35">
      <c r="A45" t="s">
        <v>411</v>
      </c>
      <c r="B45" s="13">
        <v>451005</v>
      </c>
      <c r="C45" s="13">
        <v>267649</v>
      </c>
      <c r="D45" s="13">
        <v>10328</v>
      </c>
      <c r="E45" s="13">
        <v>85950</v>
      </c>
      <c r="F45" s="13">
        <v>73749</v>
      </c>
      <c r="G45" s="13">
        <v>2199</v>
      </c>
      <c r="H45" s="13">
        <v>967</v>
      </c>
      <c r="I45" s="13">
        <v>110034</v>
      </c>
      <c r="J45" s="13">
        <v>101742</v>
      </c>
      <c r="K45" s="13">
        <v>0</v>
      </c>
      <c r="L45" s="13">
        <v>450046</v>
      </c>
      <c r="M45" s="13">
        <v>270292</v>
      </c>
      <c r="N45" s="13">
        <v>10328</v>
      </c>
      <c r="O45" s="13">
        <v>85429</v>
      </c>
      <c r="P45" s="13">
        <v>72124</v>
      </c>
      <c r="Q45" s="13">
        <v>626</v>
      </c>
      <c r="R45" s="13">
        <v>881</v>
      </c>
      <c r="S45" s="13">
        <v>110606</v>
      </c>
      <c r="T45" s="13">
        <v>104415</v>
      </c>
      <c r="U45" s="13">
        <v>41933</v>
      </c>
      <c r="V45" s="13">
        <v>7804</v>
      </c>
      <c r="W45" s="13">
        <v>41014</v>
      </c>
      <c r="X45" s="13">
        <v>7026</v>
      </c>
      <c r="Y45" s="13">
        <v>3911</v>
      </c>
      <c r="Z45" s="13">
        <v>10188</v>
      </c>
      <c r="AA45" s="13">
        <v>20052</v>
      </c>
      <c r="AB45" s="13">
        <v>27676</v>
      </c>
      <c r="AC45" s="13">
        <v>14039</v>
      </c>
      <c r="AD45" s="13">
        <v>3844</v>
      </c>
      <c r="AE45" s="13">
        <v>9605</v>
      </c>
      <c r="AF45" s="13">
        <v>20250</v>
      </c>
      <c r="AG45" s="13">
        <v>27103</v>
      </c>
      <c r="AH45" s="13">
        <v>13946</v>
      </c>
      <c r="AK45" s="13">
        <v>251492</v>
      </c>
      <c r="AL45" s="13">
        <v>163345</v>
      </c>
      <c r="AM45" s="13">
        <v>3985</v>
      </c>
      <c r="AN45" s="13">
        <v>40204</v>
      </c>
      <c r="AO45" s="13">
        <v>44339</v>
      </c>
      <c r="AP45" s="13">
        <v>1047</v>
      </c>
      <c r="AQ45" s="13">
        <v>502</v>
      </c>
      <c r="AR45" s="13">
        <v>60327</v>
      </c>
      <c r="AS45" s="13">
        <v>62257</v>
      </c>
      <c r="AT45" s="13">
        <v>251429</v>
      </c>
      <c r="AU45" s="13">
        <v>165192</v>
      </c>
      <c r="AV45" s="13">
        <v>3985</v>
      </c>
      <c r="AW45" s="13">
        <v>40187</v>
      </c>
      <c r="AX45" s="13">
        <v>43684</v>
      </c>
      <c r="AY45" s="13">
        <v>966</v>
      </c>
      <c r="AZ45" s="13">
        <v>485</v>
      </c>
      <c r="BA45" s="13">
        <v>61009</v>
      </c>
      <c r="BB45" s="13">
        <v>64079</v>
      </c>
    </row>
    <row r="46" spans="1:54" x14ac:dyDescent="0.35">
      <c r="A46" t="s">
        <v>412</v>
      </c>
      <c r="B46" s="13">
        <v>453937</v>
      </c>
      <c r="C46" s="13">
        <v>267397</v>
      </c>
      <c r="D46" s="13">
        <v>10214</v>
      </c>
      <c r="E46" s="13">
        <v>85893</v>
      </c>
      <c r="F46" s="13">
        <v>75273</v>
      </c>
      <c r="G46" s="13">
        <v>-3081</v>
      </c>
      <c r="H46" s="13">
        <v>829</v>
      </c>
      <c r="I46" s="13">
        <v>109183</v>
      </c>
      <c r="J46" s="13">
        <v>101486</v>
      </c>
      <c r="K46" s="13">
        <v>0</v>
      </c>
      <c r="L46" s="13">
        <v>466514</v>
      </c>
      <c r="M46" s="13">
        <v>274251</v>
      </c>
      <c r="N46" s="13">
        <v>10214</v>
      </c>
      <c r="O46" s="13">
        <v>85963</v>
      </c>
      <c r="P46" s="13">
        <v>76581</v>
      </c>
      <c r="Q46" s="13">
        <v>-232</v>
      </c>
      <c r="R46" s="13">
        <v>873</v>
      </c>
      <c r="S46" s="13">
        <v>111533</v>
      </c>
      <c r="T46" s="13">
        <v>101027</v>
      </c>
      <c r="U46" s="13">
        <v>42520</v>
      </c>
      <c r="V46" s="13">
        <v>8151</v>
      </c>
      <c r="W46" s="13">
        <v>44021</v>
      </c>
      <c r="X46" s="13">
        <v>7675</v>
      </c>
      <c r="Y46" s="13">
        <v>4386</v>
      </c>
      <c r="Z46" s="13">
        <v>10518</v>
      </c>
      <c r="AA46" s="13">
        <v>20264</v>
      </c>
      <c r="AB46" s="13">
        <v>27687</v>
      </c>
      <c r="AC46" s="13">
        <v>14037</v>
      </c>
      <c r="AD46" s="13">
        <v>3806</v>
      </c>
      <c r="AE46" s="13">
        <v>11344</v>
      </c>
      <c r="AF46" s="13">
        <v>20004</v>
      </c>
      <c r="AG46" s="13">
        <v>28643</v>
      </c>
      <c r="AH46" s="13">
        <v>14079</v>
      </c>
      <c r="AK46" s="13">
        <v>254903</v>
      </c>
      <c r="AL46" s="13">
        <v>163595</v>
      </c>
      <c r="AM46" s="13">
        <v>4015</v>
      </c>
      <c r="AN46" s="13">
        <v>40579</v>
      </c>
      <c r="AO46" s="13">
        <v>46163</v>
      </c>
      <c r="AP46" s="13">
        <v>1475</v>
      </c>
      <c r="AQ46" s="13">
        <v>458</v>
      </c>
      <c r="AR46" s="13">
        <v>61107</v>
      </c>
      <c r="AS46" s="13">
        <v>62489</v>
      </c>
      <c r="AT46" s="13">
        <v>261044</v>
      </c>
      <c r="AU46" s="13">
        <v>167496</v>
      </c>
      <c r="AV46" s="13">
        <v>4015</v>
      </c>
      <c r="AW46" s="13">
        <v>40609</v>
      </c>
      <c r="AX46" s="13">
        <v>46441</v>
      </c>
      <c r="AY46" s="13">
        <v>2101</v>
      </c>
      <c r="AZ46" s="13">
        <v>474</v>
      </c>
      <c r="BA46" s="13">
        <v>62017</v>
      </c>
      <c r="BB46" s="13">
        <v>62109</v>
      </c>
    </row>
    <row r="47" spans="1:54" x14ac:dyDescent="0.35">
      <c r="A47" t="s">
        <v>413</v>
      </c>
      <c r="B47" s="13">
        <v>457044</v>
      </c>
      <c r="C47" s="13">
        <v>270159</v>
      </c>
      <c r="D47" s="13">
        <v>10146</v>
      </c>
      <c r="E47" s="13">
        <v>85762</v>
      </c>
      <c r="F47" s="13">
        <v>75322</v>
      </c>
      <c r="G47" s="13">
        <v>1452</v>
      </c>
      <c r="H47" s="13">
        <v>803</v>
      </c>
      <c r="I47" s="13">
        <v>109716</v>
      </c>
      <c r="J47" s="13">
        <v>104893</v>
      </c>
      <c r="K47" s="13">
        <v>0</v>
      </c>
      <c r="L47" s="13">
        <v>456503</v>
      </c>
      <c r="M47" s="13">
        <v>263344</v>
      </c>
      <c r="N47" s="13">
        <v>10146</v>
      </c>
      <c r="O47" s="13">
        <v>85541</v>
      </c>
      <c r="P47" s="13">
        <v>77359</v>
      </c>
      <c r="Q47" s="13">
        <v>2349</v>
      </c>
      <c r="R47" s="13">
        <v>741</v>
      </c>
      <c r="S47" s="13">
        <v>107024</v>
      </c>
      <c r="T47" s="13">
        <v>102160</v>
      </c>
      <c r="U47" s="13">
        <v>43428</v>
      </c>
      <c r="V47" s="13">
        <v>7429</v>
      </c>
      <c r="W47" s="13">
        <v>42777</v>
      </c>
      <c r="X47" s="13">
        <v>10242</v>
      </c>
      <c r="Y47" s="13">
        <v>4471</v>
      </c>
      <c r="Z47" s="13">
        <v>10547</v>
      </c>
      <c r="AA47" s="13">
        <v>20149</v>
      </c>
      <c r="AB47" s="13">
        <v>27724</v>
      </c>
      <c r="AC47" s="13">
        <v>13937</v>
      </c>
      <c r="AD47" s="13">
        <v>4695</v>
      </c>
      <c r="AE47" s="13">
        <v>11128</v>
      </c>
      <c r="AF47" s="13">
        <v>20446</v>
      </c>
      <c r="AG47" s="13">
        <v>28455</v>
      </c>
      <c r="AH47" s="13">
        <v>14015</v>
      </c>
      <c r="AK47" s="13">
        <v>257115</v>
      </c>
      <c r="AL47" s="13">
        <v>165881</v>
      </c>
      <c r="AM47" s="13">
        <v>4035</v>
      </c>
      <c r="AN47" s="13">
        <v>41798</v>
      </c>
      <c r="AO47" s="13">
        <v>46564</v>
      </c>
      <c r="AP47" s="13">
        <v>2462</v>
      </c>
      <c r="AQ47" s="13">
        <v>457</v>
      </c>
      <c r="AR47" s="13">
        <v>60130</v>
      </c>
      <c r="AS47" s="13">
        <v>64212</v>
      </c>
      <c r="AT47" s="13">
        <v>255362</v>
      </c>
      <c r="AU47" s="13">
        <v>161207</v>
      </c>
      <c r="AV47" s="13">
        <v>4035</v>
      </c>
      <c r="AW47" s="13">
        <v>41339</v>
      </c>
      <c r="AX47" s="13">
        <v>48442</v>
      </c>
      <c r="AY47" s="13">
        <v>3503</v>
      </c>
      <c r="AZ47" s="13">
        <v>416</v>
      </c>
      <c r="BA47" s="13">
        <v>58708</v>
      </c>
      <c r="BB47" s="13">
        <v>62288</v>
      </c>
    </row>
    <row r="48" spans="1:54" x14ac:dyDescent="0.35">
      <c r="A48" t="s">
        <v>414</v>
      </c>
      <c r="B48" s="13">
        <v>458710</v>
      </c>
      <c r="C48" s="13">
        <v>275407</v>
      </c>
      <c r="D48" s="13">
        <v>10538</v>
      </c>
      <c r="E48" s="13">
        <v>88720</v>
      </c>
      <c r="F48" s="13">
        <v>75306</v>
      </c>
      <c r="G48" s="13">
        <v>312</v>
      </c>
      <c r="H48" s="13">
        <v>516</v>
      </c>
      <c r="I48" s="13">
        <v>110243</v>
      </c>
      <c r="J48" s="13">
        <v>106418</v>
      </c>
      <c r="K48" s="13">
        <v>0</v>
      </c>
      <c r="L48" s="13">
        <v>449667</v>
      </c>
      <c r="M48" s="13">
        <v>272027</v>
      </c>
      <c r="N48" s="13">
        <v>10538</v>
      </c>
      <c r="O48" s="13">
        <v>89218</v>
      </c>
      <c r="P48" s="13">
        <v>71534</v>
      </c>
      <c r="Q48" s="13">
        <v>-862</v>
      </c>
      <c r="R48" s="13">
        <v>600</v>
      </c>
      <c r="S48" s="13">
        <v>109814</v>
      </c>
      <c r="T48" s="13">
        <v>106508</v>
      </c>
      <c r="U48" s="13">
        <v>43043</v>
      </c>
      <c r="V48" s="13">
        <v>7559</v>
      </c>
      <c r="W48" s="13">
        <v>41082</v>
      </c>
      <c r="X48" s="13">
        <v>6048</v>
      </c>
      <c r="Y48" s="13">
        <v>3987</v>
      </c>
      <c r="Z48" s="13">
        <v>10570</v>
      </c>
      <c r="AA48" s="13">
        <v>21262</v>
      </c>
      <c r="AB48" s="13">
        <v>27772</v>
      </c>
      <c r="AC48" s="13">
        <v>13892</v>
      </c>
      <c r="AD48" s="13">
        <v>4417</v>
      </c>
      <c r="AE48" s="13">
        <v>9753</v>
      </c>
      <c r="AF48" s="13">
        <v>21049</v>
      </c>
      <c r="AG48" s="13">
        <v>24629</v>
      </c>
      <c r="AH48" s="13">
        <v>13850</v>
      </c>
      <c r="AK48" s="13">
        <v>258836</v>
      </c>
      <c r="AL48" s="13">
        <v>168797</v>
      </c>
      <c r="AM48" s="13">
        <v>4127</v>
      </c>
      <c r="AN48" s="13">
        <v>42423</v>
      </c>
      <c r="AO48" s="13">
        <v>46044</v>
      </c>
      <c r="AP48" s="13">
        <v>-115</v>
      </c>
      <c r="AQ48" s="13">
        <v>276</v>
      </c>
      <c r="AR48" s="13">
        <v>61928</v>
      </c>
      <c r="AS48" s="13">
        <v>64644</v>
      </c>
      <c r="AT48" s="13">
        <v>255719</v>
      </c>
      <c r="AU48" s="13">
        <v>167296</v>
      </c>
      <c r="AV48" s="13">
        <v>4127</v>
      </c>
      <c r="AW48" s="13">
        <v>42899</v>
      </c>
      <c r="AX48" s="13">
        <v>44391</v>
      </c>
      <c r="AY48" s="13">
        <v>-285</v>
      </c>
      <c r="AZ48" s="13">
        <v>317</v>
      </c>
      <c r="BA48" s="13">
        <v>61899</v>
      </c>
      <c r="BB48" s="13">
        <v>64925</v>
      </c>
    </row>
    <row r="49" spans="1:54" x14ac:dyDescent="0.35">
      <c r="A49" t="s">
        <v>415</v>
      </c>
      <c r="B49" s="13">
        <v>466387</v>
      </c>
      <c r="C49" s="13">
        <v>278331</v>
      </c>
      <c r="D49" s="13">
        <v>10548</v>
      </c>
      <c r="E49" s="13">
        <v>89707</v>
      </c>
      <c r="F49" s="13">
        <v>76109</v>
      </c>
      <c r="G49" s="13">
        <v>-251</v>
      </c>
      <c r="H49" s="13">
        <v>665</v>
      </c>
      <c r="I49" s="13">
        <v>116888</v>
      </c>
      <c r="J49" s="13">
        <v>109856</v>
      </c>
      <c r="K49" s="13">
        <v>0</v>
      </c>
      <c r="L49" s="13">
        <v>468640</v>
      </c>
      <c r="M49" s="13">
        <v>281591</v>
      </c>
      <c r="N49" s="13">
        <v>10548</v>
      </c>
      <c r="O49" s="13">
        <v>89307</v>
      </c>
      <c r="P49" s="13">
        <v>75581</v>
      </c>
      <c r="Q49" s="13">
        <v>2008</v>
      </c>
      <c r="R49" s="13">
        <v>595</v>
      </c>
      <c r="S49" s="13">
        <v>117414</v>
      </c>
      <c r="T49" s="13">
        <v>112640</v>
      </c>
      <c r="U49" s="13">
        <v>42939</v>
      </c>
      <c r="V49" s="13">
        <v>7620</v>
      </c>
      <c r="W49" s="13">
        <v>43192</v>
      </c>
      <c r="X49" s="13">
        <v>6693</v>
      </c>
      <c r="Y49" s="13">
        <v>4283</v>
      </c>
      <c r="Z49" s="13">
        <v>11283</v>
      </c>
      <c r="AA49" s="13">
        <v>21615</v>
      </c>
      <c r="AB49" s="13">
        <v>26676</v>
      </c>
      <c r="AC49" s="13">
        <v>14084</v>
      </c>
      <c r="AD49" s="13">
        <v>4183</v>
      </c>
      <c r="AE49" s="13">
        <v>10658</v>
      </c>
      <c r="AF49" s="13">
        <v>21796</v>
      </c>
      <c r="AG49" s="13">
        <v>27278</v>
      </c>
      <c r="AH49" s="13">
        <v>14001</v>
      </c>
      <c r="AK49" s="13">
        <v>262328</v>
      </c>
      <c r="AL49" s="13">
        <v>169584</v>
      </c>
      <c r="AM49" s="13">
        <v>4205</v>
      </c>
      <c r="AN49" s="13">
        <v>43319</v>
      </c>
      <c r="AO49" s="13">
        <v>47459</v>
      </c>
      <c r="AP49" s="13">
        <v>26</v>
      </c>
      <c r="AQ49" s="13">
        <v>356</v>
      </c>
      <c r="AR49" s="13">
        <v>64440</v>
      </c>
      <c r="AS49" s="13">
        <v>67061</v>
      </c>
      <c r="AT49" s="13">
        <v>263487</v>
      </c>
      <c r="AU49" s="13">
        <v>171727</v>
      </c>
      <c r="AV49" s="13">
        <v>4205</v>
      </c>
      <c r="AW49" s="13">
        <v>43313</v>
      </c>
      <c r="AX49" s="13">
        <v>46461</v>
      </c>
      <c r="AY49" s="13">
        <v>1390</v>
      </c>
      <c r="AZ49" s="13">
        <v>334</v>
      </c>
      <c r="BA49" s="13">
        <v>64996</v>
      </c>
      <c r="BB49" s="13">
        <v>68939</v>
      </c>
    </row>
    <row r="50" spans="1:54" x14ac:dyDescent="0.35">
      <c r="A50" t="s">
        <v>416</v>
      </c>
      <c r="B50" s="13">
        <v>473892</v>
      </c>
      <c r="C50" s="13">
        <v>280651</v>
      </c>
      <c r="D50" s="13">
        <v>10704</v>
      </c>
      <c r="E50" s="13">
        <v>89800</v>
      </c>
      <c r="F50" s="13">
        <v>75564</v>
      </c>
      <c r="G50" s="13">
        <v>5435</v>
      </c>
      <c r="H50" s="13">
        <v>1052</v>
      </c>
      <c r="I50" s="13">
        <v>118826</v>
      </c>
      <c r="J50" s="13">
        <v>112125</v>
      </c>
      <c r="K50" s="13">
        <v>0</v>
      </c>
      <c r="L50" s="13">
        <v>481223</v>
      </c>
      <c r="M50" s="13">
        <v>287586</v>
      </c>
      <c r="N50" s="13">
        <v>10704</v>
      </c>
      <c r="O50" s="13">
        <v>89923</v>
      </c>
      <c r="P50" s="13">
        <v>77827</v>
      </c>
      <c r="Q50" s="13">
        <v>3453</v>
      </c>
      <c r="R50" s="13">
        <v>1100</v>
      </c>
      <c r="S50" s="13">
        <v>121421</v>
      </c>
      <c r="T50" s="13">
        <v>111984</v>
      </c>
      <c r="U50" s="13">
        <v>42381</v>
      </c>
      <c r="V50" s="13">
        <v>7508</v>
      </c>
      <c r="W50" s="13">
        <v>44739</v>
      </c>
      <c r="X50" s="13">
        <v>7132</v>
      </c>
      <c r="Y50" s="13">
        <v>4479</v>
      </c>
      <c r="Z50" s="13">
        <v>10425</v>
      </c>
      <c r="AA50" s="13">
        <v>21806</v>
      </c>
      <c r="AB50" s="13">
        <v>27091</v>
      </c>
      <c r="AC50" s="13">
        <v>14274</v>
      </c>
      <c r="AD50" s="13">
        <v>3927</v>
      </c>
      <c r="AE50" s="13">
        <v>11286</v>
      </c>
      <c r="AF50" s="13">
        <v>21542</v>
      </c>
      <c r="AG50" s="13">
        <v>28901</v>
      </c>
      <c r="AH50" s="13">
        <v>14322</v>
      </c>
      <c r="AK50" s="13">
        <v>268448</v>
      </c>
      <c r="AL50" s="13">
        <v>171557</v>
      </c>
      <c r="AM50" s="13">
        <v>4327</v>
      </c>
      <c r="AN50" s="13">
        <v>43587</v>
      </c>
      <c r="AO50" s="13">
        <v>47388</v>
      </c>
      <c r="AP50" s="13">
        <v>2487</v>
      </c>
      <c r="AQ50" s="13">
        <v>646</v>
      </c>
      <c r="AR50" s="13">
        <v>66920</v>
      </c>
      <c r="AS50" s="13">
        <v>68464</v>
      </c>
      <c r="AT50" s="13">
        <v>272159</v>
      </c>
      <c r="AU50" s="13">
        <v>175589</v>
      </c>
      <c r="AV50" s="13">
        <v>4327</v>
      </c>
      <c r="AW50" s="13">
        <v>43576</v>
      </c>
      <c r="AX50" s="13">
        <v>48161</v>
      </c>
      <c r="AY50" s="13">
        <v>252</v>
      </c>
      <c r="AZ50" s="13">
        <v>668</v>
      </c>
      <c r="BA50" s="13">
        <v>67815</v>
      </c>
      <c r="BB50" s="13">
        <v>68229</v>
      </c>
    </row>
    <row r="51" spans="1:54" x14ac:dyDescent="0.35">
      <c r="A51" t="s">
        <v>417</v>
      </c>
      <c r="B51" s="13">
        <v>480212</v>
      </c>
      <c r="C51" s="13">
        <v>284274</v>
      </c>
      <c r="D51" s="13">
        <v>10709</v>
      </c>
      <c r="E51" s="13">
        <v>89286</v>
      </c>
      <c r="F51" s="13">
        <v>78702</v>
      </c>
      <c r="G51" s="13">
        <v>3874</v>
      </c>
      <c r="H51" s="13">
        <v>509</v>
      </c>
      <c r="I51" s="13">
        <v>121077</v>
      </c>
      <c r="J51" s="13">
        <v>113301</v>
      </c>
      <c r="K51" s="13">
        <v>0</v>
      </c>
      <c r="L51" s="13">
        <v>473445</v>
      </c>
      <c r="M51" s="13">
        <v>276889</v>
      </c>
      <c r="N51" s="13">
        <v>10709</v>
      </c>
      <c r="O51" s="13">
        <v>88941</v>
      </c>
      <c r="P51" s="13">
        <v>81271</v>
      </c>
      <c r="Q51" s="13">
        <v>3069</v>
      </c>
      <c r="R51" s="13">
        <v>439</v>
      </c>
      <c r="S51" s="13">
        <v>119197</v>
      </c>
      <c r="T51" s="13">
        <v>111190</v>
      </c>
      <c r="U51" s="13">
        <v>44594</v>
      </c>
      <c r="V51" s="13">
        <v>7341</v>
      </c>
      <c r="W51" s="13">
        <v>44668</v>
      </c>
      <c r="X51" s="13">
        <v>9965</v>
      </c>
      <c r="Y51" s="13">
        <v>3864</v>
      </c>
      <c r="Z51" s="13">
        <v>11705</v>
      </c>
      <c r="AA51" s="13">
        <v>22821</v>
      </c>
      <c r="AB51" s="13">
        <v>27935</v>
      </c>
      <c r="AC51" s="13">
        <v>14698</v>
      </c>
      <c r="AD51" s="13">
        <v>3938</v>
      </c>
      <c r="AE51" s="13">
        <v>12273</v>
      </c>
      <c r="AF51" s="13">
        <v>23185</v>
      </c>
      <c r="AG51" s="13">
        <v>29312</v>
      </c>
      <c r="AH51" s="13">
        <v>14764</v>
      </c>
      <c r="AK51" s="13">
        <v>273551</v>
      </c>
      <c r="AL51" s="13">
        <v>174535</v>
      </c>
      <c r="AM51" s="13">
        <v>4371</v>
      </c>
      <c r="AN51" s="13">
        <v>43853</v>
      </c>
      <c r="AO51" s="13">
        <v>49215</v>
      </c>
      <c r="AP51" s="13">
        <v>3434</v>
      </c>
      <c r="AQ51" s="13">
        <v>292</v>
      </c>
      <c r="AR51" s="13">
        <v>67827</v>
      </c>
      <c r="AS51" s="13">
        <v>69976</v>
      </c>
      <c r="AT51" s="13">
        <v>269608</v>
      </c>
      <c r="AU51" s="13">
        <v>169476</v>
      </c>
      <c r="AV51" s="13">
        <v>4371</v>
      </c>
      <c r="AW51" s="13">
        <v>43476</v>
      </c>
      <c r="AX51" s="13">
        <v>50800</v>
      </c>
      <c r="AY51" s="13">
        <v>3035</v>
      </c>
      <c r="AZ51" s="13">
        <v>255</v>
      </c>
      <c r="BA51" s="13">
        <v>66694</v>
      </c>
      <c r="BB51" s="13">
        <v>68499</v>
      </c>
    </row>
    <row r="52" spans="1:54" x14ac:dyDescent="0.35">
      <c r="A52" t="s">
        <v>418</v>
      </c>
      <c r="B52" s="13">
        <v>483672</v>
      </c>
      <c r="C52" s="13">
        <v>287388</v>
      </c>
      <c r="D52" s="13">
        <v>10884</v>
      </c>
      <c r="E52" s="13">
        <v>91962</v>
      </c>
      <c r="F52" s="13">
        <v>83313</v>
      </c>
      <c r="G52" s="13">
        <v>-3292</v>
      </c>
      <c r="H52" s="13">
        <v>366</v>
      </c>
      <c r="I52" s="13">
        <v>124998</v>
      </c>
      <c r="J52" s="13">
        <v>116898</v>
      </c>
      <c r="K52" s="13">
        <v>0</v>
      </c>
      <c r="L52" s="13">
        <v>477886</v>
      </c>
      <c r="M52" s="13">
        <v>284048</v>
      </c>
      <c r="N52" s="13">
        <v>10884</v>
      </c>
      <c r="O52" s="13">
        <v>92396</v>
      </c>
      <c r="P52" s="13">
        <v>80270</v>
      </c>
      <c r="Q52" s="13">
        <v>-1604</v>
      </c>
      <c r="R52" s="13">
        <v>451</v>
      </c>
      <c r="S52" s="13">
        <v>124799</v>
      </c>
      <c r="T52" s="13">
        <v>116883</v>
      </c>
      <c r="U52" s="13">
        <v>47936</v>
      </c>
      <c r="V52" s="13">
        <v>7599</v>
      </c>
      <c r="W52" s="13">
        <v>46775</v>
      </c>
      <c r="X52" s="13">
        <v>6013</v>
      </c>
      <c r="Y52" s="13">
        <v>3846</v>
      </c>
      <c r="Z52" s="13">
        <v>14382</v>
      </c>
      <c r="AA52" s="13">
        <v>23244</v>
      </c>
      <c r="AB52" s="13">
        <v>27147</v>
      </c>
      <c r="AC52" s="13">
        <v>15155</v>
      </c>
      <c r="AD52" s="13">
        <v>4334</v>
      </c>
      <c r="AE52" s="13">
        <v>13498</v>
      </c>
      <c r="AF52" s="13">
        <v>22982</v>
      </c>
      <c r="AG52" s="13">
        <v>24718</v>
      </c>
      <c r="AH52" s="13">
        <v>15110</v>
      </c>
      <c r="AK52" s="13">
        <v>275103</v>
      </c>
      <c r="AL52" s="13">
        <v>175903</v>
      </c>
      <c r="AM52" s="13">
        <v>4494</v>
      </c>
      <c r="AN52" s="13">
        <v>45316</v>
      </c>
      <c r="AO52" s="13">
        <v>52581</v>
      </c>
      <c r="AP52" s="13">
        <v>-1315</v>
      </c>
      <c r="AQ52" s="13">
        <v>239</v>
      </c>
      <c r="AR52" s="13">
        <v>70329</v>
      </c>
      <c r="AS52" s="13">
        <v>72444</v>
      </c>
      <c r="AT52" s="13">
        <v>272380</v>
      </c>
      <c r="AU52" s="13">
        <v>174348</v>
      </c>
      <c r="AV52" s="13">
        <v>4494</v>
      </c>
      <c r="AW52" s="13">
        <v>45758</v>
      </c>
      <c r="AX52" s="13">
        <v>50707</v>
      </c>
      <c r="AY52" s="13">
        <v>-950</v>
      </c>
      <c r="AZ52" s="13">
        <v>280</v>
      </c>
      <c r="BA52" s="13">
        <v>70393</v>
      </c>
      <c r="BB52" s="13">
        <v>72650</v>
      </c>
    </row>
    <row r="53" spans="1:54" x14ac:dyDescent="0.35">
      <c r="A53" t="s">
        <v>419</v>
      </c>
      <c r="B53" s="13">
        <v>486617</v>
      </c>
      <c r="C53" s="13">
        <v>290894</v>
      </c>
      <c r="D53" s="13">
        <v>11032</v>
      </c>
      <c r="E53" s="13">
        <v>92728</v>
      </c>
      <c r="F53" s="13">
        <v>77774</v>
      </c>
      <c r="G53" s="13">
        <v>5022</v>
      </c>
      <c r="H53" s="13">
        <v>541</v>
      </c>
      <c r="I53" s="13">
        <v>125649</v>
      </c>
      <c r="J53" s="13">
        <v>119290</v>
      </c>
      <c r="K53" s="13">
        <v>0</v>
      </c>
      <c r="L53" s="13">
        <v>489253</v>
      </c>
      <c r="M53" s="13">
        <v>294066</v>
      </c>
      <c r="N53" s="13">
        <v>11032</v>
      </c>
      <c r="O53" s="13">
        <v>92475</v>
      </c>
      <c r="P53" s="13">
        <v>76542</v>
      </c>
      <c r="Q53" s="13">
        <v>5777</v>
      </c>
      <c r="R53" s="13">
        <v>474</v>
      </c>
      <c r="S53" s="13">
        <v>125924</v>
      </c>
      <c r="T53" s="13">
        <v>121766</v>
      </c>
      <c r="U53" s="13">
        <v>43712</v>
      </c>
      <c r="V53" s="13">
        <v>7548</v>
      </c>
      <c r="W53" s="13">
        <v>42989</v>
      </c>
      <c r="X53" s="13">
        <v>6915</v>
      </c>
      <c r="Y53" s="13">
        <v>3616</v>
      </c>
      <c r="Z53" s="13">
        <v>11761</v>
      </c>
      <c r="AA53" s="13">
        <v>22828</v>
      </c>
      <c r="AB53" s="13">
        <v>26201</v>
      </c>
      <c r="AC53" s="13">
        <v>14968</v>
      </c>
      <c r="AD53" s="13">
        <v>3556</v>
      </c>
      <c r="AE53" s="13">
        <v>11125</v>
      </c>
      <c r="AF53" s="13">
        <v>22983</v>
      </c>
      <c r="AG53" s="13">
        <v>26235</v>
      </c>
      <c r="AH53" s="13">
        <v>14885</v>
      </c>
      <c r="AK53" s="13">
        <v>277076</v>
      </c>
      <c r="AL53" s="13">
        <v>178270</v>
      </c>
      <c r="AM53" s="13">
        <v>4619</v>
      </c>
      <c r="AN53" s="13">
        <v>46572</v>
      </c>
      <c r="AO53" s="13">
        <v>48426</v>
      </c>
      <c r="AP53" s="13">
        <v>3489</v>
      </c>
      <c r="AQ53" s="13">
        <v>339</v>
      </c>
      <c r="AR53" s="13">
        <v>70854</v>
      </c>
      <c r="AS53" s="13">
        <v>75493</v>
      </c>
      <c r="AT53" s="13">
        <v>277950</v>
      </c>
      <c r="AU53" s="13">
        <v>180476</v>
      </c>
      <c r="AV53" s="13">
        <v>4619</v>
      </c>
      <c r="AW53" s="13">
        <v>46565</v>
      </c>
      <c r="AX53" s="13">
        <v>47706</v>
      </c>
      <c r="AY53" s="13">
        <v>4182</v>
      </c>
      <c r="AZ53" s="13">
        <v>308</v>
      </c>
      <c r="BA53" s="13">
        <v>71305</v>
      </c>
      <c r="BB53" s="13">
        <v>77211</v>
      </c>
    </row>
    <row r="54" spans="1:54" x14ac:dyDescent="0.35">
      <c r="A54" t="s">
        <v>420</v>
      </c>
      <c r="B54" s="13">
        <v>489506</v>
      </c>
      <c r="C54" s="13">
        <v>293325</v>
      </c>
      <c r="D54" s="13">
        <v>11029</v>
      </c>
      <c r="E54" s="13">
        <v>92470</v>
      </c>
      <c r="F54" s="13">
        <v>80494</v>
      </c>
      <c r="G54" s="13">
        <v>-2600</v>
      </c>
      <c r="H54" s="13">
        <v>264</v>
      </c>
      <c r="I54" s="13">
        <v>128481</v>
      </c>
      <c r="J54" s="13">
        <v>123307</v>
      </c>
      <c r="K54" s="13">
        <v>0</v>
      </c>
      <c r="L54" s="13">
        <v>499423</v>
      </c>
      <c r="M54" s="13">
        <v>300878</v>
      </c>
      <c r="N54" s="13">
        <v>11029</v>
      </c>
      <c r="O54" s="13">
        <v>92634</v>
      </c>
      <c r="P54" s="13">
        <v>82200</v>
      </c>
      <c r="Q54" s="13">
        <v>-4238</v>
      </c>
      <c r="R54" s="13">
        <v>316</v>
      </c>
      <c r="S54" s="13">
        <v>130285</v>
      </c>
      <c r="T54" s="13">
        <v>122957</v>
      </c>
      <c r="U54" s="13">
        <v>45780</v>
      </c>
      <c r="V54" s="13">
        <v>7936</v>
      </c>
      <c r="W54" s="13">
        <v>47589</v>
      </c>
      <c r="X54" s="13">
        <v>7533</v>
      </c>
      <c r="Y54" s="13">
        <v>4283</v>
      </c>
      <c r="Z54" s="13">
        <v>12120</v>
      </c>
      <c r="AA54" s="13">
        <v>22649</v>
      </c>
      <c r="AB54" s="13">
        <v>27916</v>
      </c>
      <c r="AC54" s="13">
        <v>15235</v>
      </c>
      <c r="AD54" s="13">
        <v>3783</v>
      </c>
      <c r="AE54" s="13">
        <v>13073</v>
      </c>
      <c r="AF54" s="13">
        <v>22391</v>
      </c>
      <c r="AG54" s="13">
        <v>28933</v>
      </c>
      <c r="AH54" s="13">
        <v>15297</v>
      </c>
      <c r="AK54" s="13">
        <v>279029</v>
      </c>
      <c r="AL54" s="13">
        <v>179443</v>
      </c>
      <c r="AM54" s="13">
        <v>4715</v>
      </c>
      <c r="AN54" s="13">
        <v>46887</v>
      </c>
      <c r="AO54" s="13">
        <v>51141</v>
      </c>
      <c r="AP54" s="13">
        <v>1294</v>
      </c>
      <c r="AQ54" s="13">
        <v>183</v>
      </c>
      <c r="AR54" s="13">
        <v>73326</v>
      </c>
      <c r="AS54" s="13">
        <v>77960</v>
      </c>
      <c r="AT54" s="13">
        <v>284821</v>
      </c>
      <c r="AU54" s="13">
        <v>183851</v>
      </c>
      <c r="AV54" s="13">
        <v>4715</v>
      </c>
      <c r="AW54" s="13">
        <v>46829</v>
      </c>
      <c r="AX54" s="13">
        <v>52150</v>
      </c>
      <c r="AY54" s="13">
        <v>635</v>
      </c>
      <c r="AZ54" s="13">
        <v>210</v>
      </c>
      <c r="BA54" s="13">
        <v>73944</v>
      </c>
      <c r="BB54" s="13">
        <v>77513</v>
      </c>
    </row>
    <row r="55" spans="1:54" x14ac:dyDescent="0.35">
      <c r="A55" t="s">
        <v>421</v>
      </c>
      <c r="B55" s="13">
        <v>493575</v>
      </c>
      <c r="C55" s="13">
        <v>294155</v>
      </c>
      <c r="D55" s="13">
        <v>11036</v>
      </c>
      <c r="E55" s="13">
        <v>95572</v>
      </c>
      <c r="F55" s="13">
        <v>80656</v>
      </c>
      <c r="G55" s="13">
        <v>-2886</v>
      </c>
      <c r="H55" s="13">
        <v>348</v>
      </c>
      <c r="I55" s="13">
        <v>133430</v>
      </c>
      <c r="J55" s="13">
        <v>125942</v>
      </c>
      <c r="K55" s="13">
        <v>0</v>
      </c>
      <c r="L55" s="13">
        <v>492725</v>
      </c>
      <c r="M55" s="13">
        <v>286184</v>
      </c>
      <c r="N55" s="13">
        <v>11036</v>
      </c>
      <c r="O55" s="13">
        <v>95244</v>
      </c>
      <c r="P55" s="13">
        <v>85887</v>
      </c>
      <c r="Q55" s="13">
        <v>-1023</v>
      </c>
      <c r="R55" s="13">
        <v>278</v>
      </c>
      <c r="S55" s="13">
        <v>131161</v>
      </c>
      <c r="T55" s="13">
        <v>123980</v>
      </c>
      <c r="U55" s="13">
        <v>43112</v>
      </c>
      <c r="V55" s="13">
        <v>10200</v>
      </c>
      <c r="W55" s="13">
        <v>46121</v>
      </c>
      <c r="X55" s="13">
        <v>12215</v>
      </c>
      <c r="Y55" s="13">
        <v>3890</v>
      </c>
      <c r="Z55" s="13">
        <v>12525</v>
      </c>
      <c r="AA55" s="13">
        <v>22528</v>
      </c>
      <c r="AB55" s="13">
        <v>27108</v>
      </c>
      <c r="AC55" s="13">
        <v>14648</v>
      </c>
      <c r="AD55" s="13">
        <v>3798</v>
      </c>
      <c r="AE55" s="13">
        <v>13168</v>
      </c>
      <c r="AF55" s="13">
        <v>23005</v>
      </c>
      <c r="AG55" s="13">
        <v>30758</v>
      </c>
      <c r="AH55" s="13">
        <v>14731</v>
      </c>
      <c r="AK55" s="13">
        <v>283724</v>
      </c>
      <c r="AL55" s="13">
        <v>182018</v>
      </c>
      <c r="AM55" s="13">
        <v>4798</v>
      </c>
      <c r="AN55" s="13">
        <v>48012</v>
      </c>
      <c r="AO55" s="13">
        <v>51947</v>
      </c>
      <c r="AP55" s="13">
        <v>-508</v>
      </c>
      <c r="AQ55" s="13">
        <v>218</v>
      </c>
      <c r="AR55" s="13">
        <v>76911</v>
      </c>
      <c r="AS55" s="13">
        <v>79672</v>
      </c>
      <c r="AT55" s="13">
        <v>282482</v>
      </c>
      <c r="AU55" s="13">
        <v>176298</v>
      </c>
      <c r="AV55" s="13">
        <v>4798</v>
      </c>
      <c r="AW55" s="13">
        <v>47682</v>
      </c>
      <c r="AX55" s="13">
        <v>52983</v>
      </c>
      <c r="AY55" s="13">
        <v>3025</v>
      </c>
      <c r="AZ55" s="13">
        <v>184</v>
      </c>
      <c r="BA55" s="13">
        <v>75445</v>
      </c>
      <c r="BB55" s="13">
        <v>77933</v>
      </c>
    </row>
    <row r="56" spans="1:54" x14ac:dyDescent="0.35">
      <c r="A56" t="s">
        <v>422</v>
      </c>
      <c r="B56" s="13">
        <v>495602</v>
      </c>
      <c r="C56" s="13">
        <v>296378</v>
      </c>
      <c r="D56" s="13">
        <v>11266</v>
      </c>
      <c r="E56" s="13">
        <v>93844</v>
      </c>
      <c r="F56" s="13">
        <v>83881</v>
      </c>
      <c r="G56" s="13">
        <v>5252</v>
      </c>
      <c r="H56" s="13">
        <v>1026</v>
      </c>
      <c r="I56" s="13">
        <v>127850</v>
      </c>
      <c r="J56" s="13">
        <v>126802</v>
      </c>
      <c r="K56" s="13">
        <v>0</v>
      </c>
      <c r="L56" s="13">
        <v>485158</v>
      </c>
      <c r="M56" s="13">
        <v>293187</v>
      </c>
      <c r="N56" s="13">
        <v>11266</v>
      </c>
      <c r="O56" s="13">
        <v>94165</v>
      </c>
      <c r="P56" s="13">
        <v>80314</v>
      </c>
      <c r="Q56" s="13">
        <v>2546</v>
      </c>
      <c r="R56" s="13">
        <v>1100</v>
      </c>
      <c r="S56" s="13">
        <v>127726</v>
      </c>
      <c r="T56" s="13">
        <v>126880</v>
      </c>
      <c r="U56" s="13">
        <v>47836</v>
      </c>
      <c r="V56" s="13">
        <v>8881</v>
      </c>
      <c r="W56" s="13">
        <v>46018</v>
      </c>
      <c r="X56" s="13">
        <v>7491</v>
      </c>
      <c r="Y56" s="13">
        <v>5290</v>
      </c>
      <c r="Z56" s="13">
        <v>12341</v>
      </c>
      <c r="AA56" s="13">
        <v>22155</v>
      </c>
      <c r="AB56" s="13">
        <v>30320</v>
      </c>
      <c r="AC56" s="13">
        <v>14825</v>
      </c>
      <c r="AD56" s="13">
        <v>6014</v>
      </c>
      <c r="AE56" s="13">
        <v>11407</v>
      </c>
      <c r="AF56" s="13">
        <v>21763</v>
      </c>
      <c r="AG56" s="13">
        <v>27271</v>
      </c>
      <c r="AH56" s="13">
        <v>14761</v>
      </c>
      <c r="AK56" s="13">
        <v>287603</v>
      </c>
      <c r="AL56" s="13">
        <v>183253</v>
      </c>
      <c r="AM56" s="13">
        <v>4922</v>
      </c>
      <c r="AN56" s="13">
        <v>48243</v>
      </c>
      <c r="AO56" s="13">
        <v>53283</v>
      </c>
      <c r="AP56" s="13">
        <v>2773</v>
      </c>
      <c r="AQ56" s="13">
        <v>711</v>
      </c>
      <c r="AR56" s="13">
        <v>74138</v>
      </c>
      <c r="AS56" s="13">
        <v>79720</v>
      </c>
      <c r="AT56" s="13">
        <v>282756</v>
      </c>
      <c r="AU56" s="13">
        <v>181741</v>
      </c>
      <c r="AV56" s="13">
        <v>4922</v>
      </c>
      <c r="AW56" s="13">
        <v>48640</v>
      </c>
      <c r="AX56" s="13">
        <v>51831</v>
      </c>
      <c r="AY56" s="13">
        <v>714</v>
      </c>
      <c r="AZ56" s="13">
        <v>751</v>
      </c>
      <c r="BA56" s="13">
        <v>74274</v>
      </c>
      <c r="BB56" s="13">
        <v>80117</v>
      </c>
    </row>
    <row r="57" spans="1:54" x14ac:dyDescent="0.35">
      <c r="A57" t="s">
        <v>423</v>
      </c>
      <c r="B57" s="13">
        <v>497938</v>
      </c>
      <c r="C57" s="13">
        <v>300827</v>
      </c>
      <c r="D57" s="13">
        <v>11436</v>
      </c>
      <c r="E57" s="13">
        <v>96405</v>
      </c>
      <c r="F57" s="13">
        <v>83716</v>
      </c>
      <c r="G57" s="13">
        <v>3143</v>
      </c>
      <c r="H57" s="13">
        <v>1095</v>
      </c>
      <c r="I57" s="13">
        <v>124640</v>
      </c>
      <c r="J57" s="13">
        <v>124660</v>
      </c>
      <c r="K57" s="13">
        <v>0</v>
      </c>
      <c r="L57" s="13">
        <v>501741</v>
      </c>
      <c r="M57" s="13">
        <v>303802</v>
      </c>
      <c r="N57" s="13">
        <v>11436</v>
      </c>
      <c r="O57" s="13">
        <v>96251</v>
      </c>
      <c r="P57" s="13">
        <v>81277</v>
      </c>
      <c r="Q57" s="13">
        <v>6695</v>
      </c>
      <c r="R57" s="13">
        <v>1030</v>
      </c>
      <c r="S57" s="13">
        <v>124533</v>
      </c>
      <c r="T57" s="13">
        <v>126699</v>
      </c>
      <c r="U57" s="13">
        <v>46997</v>
      </c>
      <c r="V57" s="13">
        <v>9295</v>
      </c>
      <c r="W57" s="13">
        <v>45156</v>
      </c>
      <c r="X57" s="13">
        <v>8696</v>
      </c>
      <c r="Y57" s="13">
        <v>4784</v>
      </c>
      <c r="Z57" s="13">
        <v>12908</v>
      </c>
      <c r="AA57" s="13">
        <v>22843</v>
      </c>
      <c r="AB57" s="13">
        <v>28925</v>
      </c>
      <c r="AC57" s="13">
        <v>15041</v>
      </c>
      <c r="AD57" s="13">
        <v>4668</v>
      </c>
      <c r="AE57" s="13">
        <v>12279</v>
      </c>
      <c r="AF57" s="13">
        <v>22935</v>
      </c>
      <c r="AG57" s="13">
        <v>27959</v>
      </c>
      <c r="AH57" s="13">
        <v>14963</v>
      </c>
      <c r="AK57" s="13">
        <v>289333</v>
      </c>
      <c r="AL57" s="13">
        <v>186213</v>
      </c>
      <c r="AM57" s="13">
        <v>5046</v>
      </c>
      <c r="AN57" s="13">
        <v>49798</v>
      </c>
      <c r="AO57" s="13">
        <v>52301</v>
      </c>
      <c r="AP57" s="13">
        <v>1483</v>
      </c>
      <c r="AQ57" s="13">
        <v>721</v>
      </c>
      <c r="AR57" s="13">
        <v>71245</v>
      </c>
      <c r="AS57" s="13">
        <v>77474</v>
      </c>
      <c r="AT57" s="13">
        <v>291459</v>
      </c>
      <c r="AU57" s="13">
        <v>188546</v>
      </c>
      <c r="AV57" s="13">
        <v>5046</v>
      </c>
      <c r="AW57" s="13">
        <v>49822</v>
      </c>
      <c r="AX57" s="13">
        <v>51563</v>
      </c>
      <c r="AY57" s="13">
        <v>3505</v>
      </c>
      <c r="AZ57" s="13">
        <v>687</v>
      </c>
      <c r="BA57" s="13">
        <v>71536</v>
      </c>
      <c r="BB57" s="13">
        <v>79246</v>
      </c>
    </row>
    <row r="58" spans="1:54" x14ac:dyDescent="0.35">
      <c r="A58" t="s">
        <v>424</v>
      </c>
      <c r="B58" s="13">
        <v>499278</v>
      </c>
      <c r="C58" s="13">
        <v>303055</v>
      </c>
      <c r="D58" s="13">
        <v>11492</v>
      </c>
      <c r="E58" s="13">
        <v>98194</v>
      </c>
      <c r="F58" s="13">
        <v>80870</v>
      </c>
      <c r="G58" s="13">
        <v>1167</v>
      </c>
      <c r="H58" s="13">
        <v>617</v>
      </c>
      <c r="I58" s="13">
        <v>125114</v>
      </c>
      <c r="J58" s="13">
        <v>123473</v>
      </c>
      <c r="K58" s="13">
        <v>0</v>
      </c>
      <c r="L58" s="13">
        <v>506769</v>
      </c>
      <c r="M58" s="13">
        <v>311242</v>
      </c>
      <c r="N58" s="13">
        <v>11492</v>
      </c>
      <c r="O58" s="13">
        <v>98355</v>
      </c>
      <c r="P58" s="13">
        <v>81645</v>
      </c>
      <c r="Q58" s="13">
        <v>-1542</v>
      </c>
      <c r="R58" s="13">
        <v>678</v>
      </c>
      <c r="S58" s="13">
        <v>127614</v>
      </c>
      <c r="T58" s="13">
        <v>123318</v>
      </c>
      <c r="U58" s="13">
        <v>45091</v>
      </c>
      <c r="V58" s="13">
        <v>9120</v>
      </c>
      <c r="W58" s="13">
        <v>45739</v>
      </c>
      <c r="X58" s="13">
        <v>9093</v>
      </c>
      <c r="Y58" s="13">
        <v>4222</v>
      </c>
      <c r="Z58" s="13">
        <v>13035</v>
      </c>
      <c r="AA58" s="13">
        <v>22488</v>
      </c>
      <c r="AB58" s="13">
        <v>26292</v>
      </c>
      <c r="AC58" s="13">
        <v>15286</v>
      </c>
      <c r="AD58" s="13">
        <v>3706</v>
      </c>
      <c r="AE58" s="13">
        <v>13955</v>
      </c>
      <c r="AF58" s="13">
        <v>22311</v>
      </c>
      <c r="AG58" s="13">
        <v>26657</v>
      </c>
      <c r="AH58" s="13">
        <v>15346</v>
      </c>
      <c r="AK58" s="13">
        <v>289882</v>
      </c>
      <c r="AL58" s="13">
        <v>185501</v>
      </c>
      <c r="AM58" s="13">
        <v>5150</v>
      </c>
      <c r="AN58" s="13">
        <v>51298</v>
      </c>
      <c r="AO58" s="13">
        <v>50795</v>
      </c>
      <c r="AP58" s="13">
        <v>2116</v>
      </c>
      <c r="AQ58" s="13">
        <v>419</v>
      </c>
      <c r="AR58" s="13">
        <v>70511</v>
      </c>
      <c r="AS58" s="13">
        <v>75908</v>
      </c>
      <c r="AT58" s="13">
        <v>293845</v>
      </c>
      <c r="AU58" s="13">
        <v>190400</v>
      </c>
      <c r="AV58" s="13">
        <v>5150</v>
      </c>
      <c r="AW58" s="13">
        <v>51207</v>
      </c>
      <c r="AX58" s="13">
        <v>51949</v>
      </c>
      <c r="AY58" s="13">
        <v>-1380</v>
      </c>
      <c r="AZ58" s="13">
        <v>447</v>
      </c>
      <c r="BA58" s="13">
        <v>71550</v>
      </c>
      <c r="BB58" s="13">
        <v>75478</v>
      </c>
    </row>
    <row r="59" spans="1:54" x14ac:dyDescent="0.35">
      <c r="A59" t="s">
        <v>425</v>
      </c>
      <c r="B59" s="13">
        <v>500794</v>
      </c>
      <c r="C59" s="13">
        <v>303450</v>
      </c>
      <c r="D59" s="13">
        <v>11431</v>
      </c>
      <c r="E59" s="13">
        <v>97996</v>
      </c>
      <c r="F59" s="13">
        <v>80619</v>
      </c>
      <c r="G59" s="13">
        <v>-331</v>
      </c>
      <c r="H59" s="13">
        <v>893</v>
      </c>
      <c r="I59" s="13">
        <v>127545</v>
      </c>
      <c r="J59" s="13">
        <v>127860</v>
      </c>
      <c r="K59" s="13">
        <v>0</v>
      </c>
      <c r="L59" s="13">
        <v>499654</v>
      </c>
      <c r="M59" s="13">
        <v>294771</v>
      </c>
      <c r="N59" s="13">
        <v>11431</v>
      </c>
      <c r="O59" s="13">
        <v>97617</v>
      </c>
      <c r="P59" s="13">
        <v>82529</v>
      </c>
      <c r="Q59" s="13">
        <v>1452</v>
      </c>
      <c r="R59" s="13">
        <v>821</v>
      </c>
      <c r="S59" s="13">
        <v>123492</v>
      </c>
      <c r="T59" s="13">
        <v>123905</v>
      </c>
      <c r="U59" s="13">
        <v>43722</v>
      </c>
      <c r="V59" s="13">
        <v>9275</v>
      </c>
      <c r="W59" s="13">
        <v>43520</v>
      </c>
      <c r="X59" s="13">
        <v>11445</v>
      </c>
      <c r="Y59" s="13">
        <v>4350</v>
      </c>
      <c r="Z59" s="13">
        <v>12880</v>
      </c>
      <c r="AA59" s="13">
        <v>23555</v>
      </c>
      <c r="AB59" s="13">
        <v>25755</v>
      </c>
      <c r="AC59" s="13">
        <v>15105</v>
      </c>
      <c r="AD59" s="13">
        <v>4147</v>
      </c>
      <c r="AE59" s="13">
        <v>13522</v>
      </c>
      <c r="AF59" s="13">
        <v>24096</v>
      </c>
      <c r="AG59" s="13">
        <v>26574</v>
      </c>
      <c r="AH59" s="13">
        <v>15233</v>
      </c>
      <c r="AK59" s="13">
        <v>293878</v>
      </c>
      <c r="AL59" s="13">
        <v>187832</v>
      </c>
      <c r="AM59" s="13">
        <v>5234</v>
      </c>
      <c r="AN59" s="13">
        <v>52038</v>
      </c>
      <c r="AO59" s="13">
        <v>51112</v>
      </c>
      <c r="AP59" s="13">
        <v>3366</v>
      </c>
      <c r="AQ59" s="13">
        <v>590</v>
      </c>
      <c r="AR59" s="13">
        <v>72077</v>
      </c>
      <c r="AS59" s="13">
        <v>78371</v>
      </c>
      <c r="AT59" s="13">
        <v>291525</v>
      </c>
      <c r="AU59" s="13">
        <v>181806</v>
      </c>
      <c r="AV59" s="13">
        <v>5234</v>
      </c>
      <c r="AW59" s="13">
        <v>51869</v>
      </c>
      <c r="AX59" s="13">
        <v>52674</v>
      </c>
      <c r="AY59" s="13">
        <v>5055</v>
      </c>
      <c r="AZ59" s="13">
        <v>549</v>
      </c>
      <c r="BA59" s="13">
        <v>69755</v>
      </c>
      <c r="BB59" s="13">
        <v>75417</v>
      </c>
    </row>
    <row r="60" spans="1:54" x14ac:dyDescent="0.35">
      <c r="A60" t="s">
        <v>426</v>
      </c>
      <c r="B60" s="13">
        <v>503433</v>
      </c>
      <c r="C60" s="13">
        <v>304764</v>
      </c>
      <c r="D60" s="13">
        <v>11536</v>
      </c>
      <c r="E60" s="13">
        <v>99479</v>
      </c>
      <c r="F60" s="13">
        <v>80307</v>
      </c>
      <c r="G60" s="13">
        <v>3821</v>
      </c>
      <c r="H60" s="13">
        <v>1155</v>
      </c>
      <c r="I60" s="13">
        <v>131298</v>
      </c>
      <c r="J60" s="13">
        <v>132775</v>
      </c>
      <c r="K60" s="13">
        <v>0</v>
      </c>
      <c r="L60" s="13">
        <v>492947</v>
      </c>
      <c r="M60" s="13">
        <v>302092</v>
      </c>
      <c r="N60" s="13">
        <v>11536</v>
      </c>
      <c r="O60" s="13">
        <v>99886</v>
      </c>
      <c r="P60" s="13">
        <v>80269</v>
      </c>
      <c r="Q60" s="13">
        <v>294</v>
      </c>
      <c r="R60" s="13">
        <v>1239</v>
      </c>
      <c r="S60" s="13">
        <v>132036</v>
      </c>
      <c r="T60" s="13">
        <v>133792</v>
      </c>
      <c r="U60" s="13">
        <v>42992</v>
      </c>
      <c r="V60" s="13">
        <v>9212</v>
      </c>
      <c r="W60" s="13">
        <v>44247</v>
      </c>
      <c r="X60" s="13">
        <v>8335</v>
      </c>
      <c r="Y60" s="13">
        <v>5003</v>
      </c>
      <c r="Z60" s="13">
        <v>13348</v>
      </c>
      <c r="AA60" s="13">
        <v>24082</v>
      </c>
      <c r="AB60" s="13">
        <v>23580</v>
      </c>
      <c r="AC60" s="13">
        <v>14935</v>
      </c>
      <c r="AD60" s="13">
        <v>5780</v>
      </c>
      <c r="AE60" s="13">
        <v>12368</v>
      </c>
      <c r="AF60" s="13">
        <v>23547</v>
      </c>
      <c r="AG60" s="13">
        <v>24010</v>
      </c>
      <c r="AH60" s="13">
        <v>14858</v>
      </c>
      <c r="AK60" s="13">
        <v>297001</v>
      </c>
      <c r="AL60" s="13">
        <v>188925</v>
      </c>
      <c r="AM60" s="13">
        <v>5390</v>
      </c>
      <c r="AN60" s="13">
        <v>54073</v>
      </c>
      <c r="AO60" s="13">
        <v>52032</v>
      </c>
      <c r="AP60" s="13">
        <v>2848</v>
      </c>
      <c r="AQ60" s="13">
        <v>779</v>
      </c>
      <c r="AR60" s="13">
        <v>74617</v>
      </c>
      <c r="AS60" s="13">
        <v>81663</v>
      </c>
      <c r="AT60" s="13">
        <v>293632</v>
      </c>
      <c r="AU60" s="13">
        <v>187463</v>
      </c>
      <c r="AV60" s="13">
        <v>5390</v>
      </c>
      <c r="AW60" s="13">
        <v>54367</v>
      </c>
      <c r="AX60" s="13">
        <v>51126</v>
      </c>
      <c r="AY60" s="13">
        <v>1825</v>
      </c>
      <c r="AZ60" s="13">
        <v>830</v>
      </c>
      <c r="BA60" s="13">
        <v>75258</v>
      </c>
      <c r="BB60" s="13">
        <v>82627</v>
      </c>
    </row>
    <row r="61" spans="1:54" x14ac:dyDescent="0.35">
      <c r="A61" t="s">
        <v>427</v>
      </c>
      <c r="B61" s="13">
        <v>506386</v>
      </c>
      <c r="C61" s="13">
        <v>307772</v>
      </c>
      <c r="D61" s="13">
        <v>11773</v>
      </c>
      <c r="E61" s="13">
        <v>100956</v>
      </c>
      <c r="F61" s="13">
        <v>84317</v>
      </c>
      <c r="G61" s="13">
        <v>-3108</v>
      </c>
      <c r="H61" s="13">
        <v>1076</v>
      </c>
      <c r="I61" s="13">
        <v>130399</v>
      </c>
      <c r="J61" s="13">
        <v>131079</v>
      </c>
      <c r="K61" s="13">
        <v>0</v>
      </c>
      <c r="L61" s="13">
        <v>513495</v>
      </c>
      <c r="M61" s="13">
        <v>311199</v>
      </c>
      <c r="N61" s="13">
        <v>11773</v>
      </c>
      <c r="O61" s="13">
        <v>100800</v>
      </c>
      <c r="P61" s="13">
        <v>81970</v>
      </c>
      <c r="Q61" s="13">
        <v>1685</v>
      </c>
      <c r="R61" s="13">
        <v>993</v>
      </c>
      <c r="S61" s="13">
        <v>131185</v>
      </c>
      <c r="T61" s="13">
        <v>134117</v>
      </c>
      <c r="U61" s="13">
        <v>45703</v>
      </c>
      <c r="V61" s="13">
        <v>10101</v>
      </c>
      <c r="W61" s="13">
        <v>44027</v>
      </c>
      <c r="X61" s="13">
        <v>9276</v>
      </c>
      <c r="Y61" s="13">
        <v>4908</v>
      </c>
      <c r="Z61" s="13">
        <v>13187</v>
      </c>
      <c r="AA61" s="13">
        <v>24600</v>
      </c>
      <c r="AB61" s="13">
        <v>27414</v>
      </c>
      <c r="AC61" s="13">
        <v>15391</v>
      </c>
      <c r="AD61" s="13">
        <v>4849</v>
      </c>
      <c r="AE61" s="13">
        <v>12610</v>
      </c>
      <c r="AF61" s="13">
        <v>24649</v>
      </c>
      <c r="AG61" s="13">
        <v>26255</v>
      </c>
      <c r="AH61" s="13">
        <v>15313</v>
      </c>
      <c r="AK61" s="13">
        <v>299863</v>
      </c>
      <c r="AL61" s="13">
        <v>191205</v>
      </c>
      <c r="AM61" s="13">
        <v>5529</v>
      </c>
      <c r="AN61" s="13">
        <v>54624</v>
      </c>
      <c r="AO61" s="13">
        <v>55430</v>
      </c>
      <c r="AP61" s="13">
        <v>-1289</v>
      </c>
      <c r="AQ61" s="13">
        <v>664</v>
      </c>
      <c r="AR61" s="13">
        <v>73941</v>
      </c>
      <c r="AS61" s="13">
        <v>80241</v>
      </c>
      <c r="AT61" s="13">
        <v>302626</v>
      </c>
      <c r="AU61" s="13">
        <v>193836</v>
      </c>
      <c r="AV61" s="13">
        <v>5529</v>
      </c>
      <c r="AW61" s="13">
        <v>54630</v>
      </c>
      <c r="AX61" s="13">
        <v>53887</v>
      </c>
      <c r="AY61" s="13">
        <v>2231</v>
      </c>
      <c r="AZ61" s="13">
        <v>622</v>
      </c>
      <c r="BA61" s="13">
        <v>74581</v>
      </c>
      <c r="BB61" s="13">
        <v>82690</v>
      </c>
    </row>
    <row r="62" spans="1:54" x14ac:dyDescent="0.35">
      <c r="A62" t="s">
        <v>428</v>
      </c>
      <c r="B62" s="13">
        <v>509728</v>
      </c>
      <c r="C62" s="13">
        <v>310517</v>
      </c>
      <c r="D62" s="13">
        <v>11878</v>
      </c>
      <c r="E62" s="13">
        <v>100900</v>
      </c>
      <c r="F62" s="13">
        <v>88245</v>
      </c>
      <c r="G62" s="13">
        <v>1371</v>
      </c>
      <c r="H62" s="13">
        <v>1062</v>
      </c>
      <c r="I62" s="13">
        <v>125090</v>
      </c>
      <c r="J62" s="13">
        <v>130868</v>
      </c>
      <c r="K62" s="13">
        <v>0</v>
      </c>
      <c r="L62" s="13">
        <v>514245</v>
      </c>
      <c r="M62" s="13">
        <v>318441</v>
      </c>
      <c r="N62" s="13">
        <v>11878</v>
      </c>
      <c r="O62" s="13">
        <v>101028</v>
      </c>
      <c r="P62" s="13">
        <v>88720</v>
      </c>
      <c r="Q62" s="13">
        <v>-1678</v>
      </c>
      <c r="R62" s="13">
        <v>1133</v>
      </c>
      <c r="S62" s="13">
        <v>127619</v>
      </c>
      <c r="T62" s="13">
        <v>130768</v>
      </c>
      <c r="U62" s="13">
        <v>47474</v>
      </c>
      <c r="V62" s="13">
        <v>10415</v>
      </c>
      <c r="W62" s="13">
        <v>48096</v>
      </c>
      <c r="X62" s="13">
        <v>9946</v>
      </c>
      <c r="Y62" s="13">
        <v>5000</v>
      </c>
      <c r="Z62" s="13">
        <v>13466</v>
      </c>
      <c r="AA62" s="13">
        <v>26872</v>
      </c>
      <c r="AB62" s="13">
        <v>29522</v>
      </c>
      <c r="AC62" s="13">
        <v>15530</v>
      </c>
      <c r="AD62" s="13">
        <v>4485</v>
      </c>
      <c r="AE62" s="13">
        <v>14380</v>
      </c>
      <c r="AF62" s="13">
        <v>26817</v>
      </c>
      <c r="AG62" s="13">
        <v>29433</v>
      </c>
      <c r="AH62" s="13">
        <v>15558</v>
      </c>
      <c r="AK62" s="13">
        <v>303904</v>
      </c>
      <c r="AL62" s="13">
        <v>194147</v>
      </c>
      <c r="AM62" s="13">
        <v>5679</v>
      </c>
      <c r="AN62" s="13">
        <v>54932</v>
      </c>
      <c r="AO62" s="13">
        <v>57966</v>
      </c>
      <c r="AP62" s="13">
        <v>-781</v>
      </c>
      <c r="AQ62" s="13">
        <v>672</v>
      </c>
      <c r="AR62" s="13">
        <v>71235</v>
      </c>
      <c r="AS62" s="13">
        <v>79946</v>
      </c>
      <c r="AT62" s="13">
        <v>306863</v>
      </c>
      <c r="AU62" s="13">
        <v>199004</v>
      </c>
      <c r="AV62" s="13">
        <v>5679</v>
      </c>
      <c r="AW62" s="13">
        <v>54801</v>
      </c>
      <c r="AX62" s="13">
        <v>58853</v>
      </c>
      <c r="AY62" s="13">
        <v>-4967</v>
      </c>
      <c r="AZ62" s="13">
        <v>704</v>
      </c>
      <c r="BA62" s="13">
        <v>72276</v>
      </c>
      <c r="BB62" s="13">
        <v>79487</v>
      </c>
    </row>
    <row r="63" spans="1:54" x14ac:dyDescent="0.35">
      <c r="A63" t="s">
        <v>429</v>
      </c>
      <c r="B63" s="13">
        <v>514031</v>
      </c>
      <c r="C63" s="13">
        <v>312554</v>
      </c>
      <c r="D63" s="13">
        <v>11881</v>
      </c>
      <c r="E63" s="13">
        <v>101201</v>
      </c>
      <c r="F63" s="13">
        <v>88754</v>
      </c>
      <c r="G63" s="13">
        <v>-4730</v>
      </c>
      <c r="H63" s="13">
        <v>869</v>
      </c>
      <c r="I63" s="13">
        <v>132324</v>
      </c>
      <c r="J63" s="13">
        <v>132173</v>
      </c>
      <c r="K63" s="13">
        <v>0</v>
      </c>
      <c r="L63" s="13">
        <v>515117</v>
      </c>
      <c r="M63" s="13">
        <v>303039</v>
      </c>
      <c r="N63" s="13">
        <v>11881</v>
      </c>
      <c r="O63" s="13">
        <v>101336</v>
      </c>
      <c r="P63" s="13">
        <v>90731</v>
      </c>
      <c r="Q63" s="13">
        <v>-1225</v>
      </c>
      <c r="R63" s="13">
        <v>805</v>
      </c>
      <c r="S63" s="13">
        <v>128567</v>
      </c>
      <c r="T63" s="13">
        <v>128577</v>
      </c>
      <c r="U63" s="13">
        <v>47410</v>
      </c>
      <c r="V63" s="13">
        <v>11535</v>
      </c>
      <c r="W63" s="13">
        <v>46812</v>
      </c>
      <c r="X63" s="13">
        <v>14123</v>
      </c>
      <c r="Y63" s="13">
        <v>4755</v>
      </c>
      <c r="Z63" s="13">
        <v>13603</v>
      </c>
      <c r="AA63" s="13">
        <v>25602</v>
      </c>
      <c r="AB63" s="13">
        <v>30514</v>
      </c>
      <c r="AC63" s="13">
        <v>15984</v>
      </c>
      <c r="AD63" s="13">
        <v>4457</v>
      </c>
      <c r="AE63" s="13">
        <v>14290</v>
      </c>
      <c r="AF63" s="13">
        <v>26139</v>
      </c>
      <c r="AG63" s="13">
        <v>31328</v>
      </c>
      <c r="AH63" s="13">
        <v>16155</v>
      </c>
      <c r="AK63" s="13">
        <v>307576</v>
      </c>
      <c r="AL63" s="13">
        <v>195824</v>
      </c>
      <c r="AM63" s="13">
        <v>5786</v>
      </c>
      <c r="AN63" s="13">
        <v>56221</v>
      </c>
      <c r="AO63" s="13">
        <v>58061</v>
      </c>
      <c r="AP63" s="13">
        <v>-2987</v>
      </c>
      <c r="AQ63" s="13">
        <v>534</v>
      </c>
      <c r="AR63" s="13">
        <v>76219</v>
      </c>
      <c r="AS63" s="13">
        <v>82082</v>
      </c>
      <c r="AT63" s="13">
        <v>307025</v>
      </c>
      <c r="AU63" s="13">
        <v>188977</v>
      </c>
      <c r="AV63" s="13">
        <v>5786</v>
      </c>
      <c r="AW63" s="13">
        <v>56244</v>
      </c>
      <c r="AX63" s="13">
        <v>59640</v>
      </c>
      <c r="AY63" s="13">
        <v>1181</v>
      </c>
      <c r="AZ63" s="13">
        <v>492</v>
      </c>
      <c r="BA63" s="13">
        <v>73957</v>
      </c>
      <c r="BB63" s="13">
        <v>79252</v>
      </c>
    </row>
    <row r="64" spans="1:54" x14ac:dyDescent="0.35">
      <c r="A64" t="s">
        <v>430</v>
      </c>
      <c r="B64" s="13">
        <v>518802</v>
      </c>
      <c r="C64" s="13">
        <v>316413</v>
      </c>
      <c r="D64" s="13">
        <v>12021</v>
      </c>
      <c r="E64" s="13">
        <v>103491</v>
      </c>
      <c r="F64" s="13">
        <v>83391</v>
      </c>
      <c r="G64" s="13">
        <v>1208</v>
      </c>
      <c r="H64" s="13">
        <v>1118</v>
      </c>
      <c r="I64" s="13">
        <v>129361</v>
      </c>
      <c r="J64" s="13">
        <v>131091</v>
      </c>
      <c r="K64" s="13">
        <v>0</v>
      </c>
      <c r="L64" s="13">
        <v>507617</v>
      </c>
      <c r="M64" s="13">
        <v>313905</v>
      </c>
      <c r="N64" s="13">
        <v>12021</v>
      </c>
      <c r="O64" s="13">
        <v>103417</v>
      </c>
      <c r="P64" s="13">
        <v>81852</v>
      </c>
      <c r="Q64" s="13">
        <v>78</v>
      </c>
      <c r="R64" s="13">
        <v>1204</v>
      </c>
      <c r="S64" s="13">
        <v>130234</v>
      </c>
      <c r="T64" s="13">
        <v>131392</v>
      </c>
      <c r="U64" s="13">
        <v>43668</v>
      </c>
      <c r="V64" s="13">
        <v>10531</v>
      </c>
      <c r="W64" s="13">
        <v>43812</v>
      </c>
      <c r="X64" s="13">
        <v>9387</v>
      </c>
      <c r="Y64" s="13">
        <v>4031</v>
      </c>
      <c r="Z64" s="13">
        <v>12230</v>
      </c>
      <c r="AA64" s="13">
        <v>25821</v>
      </c>
      <c r="AB64" s="13">
        <v>26377</v>
      </c>
      <c r="AC64" s="13">
        <v>16579</v>
      </c>
      <c r="AD64" s="13">
        <v>4747</v>
      </c>
      <c r="AE64" s="13">
        <v>11172</v>
      </c>
      <c r="AF64" s="13">
        <v>25201</v>
      </c>
      <c r="AG64" s="13">
        <v>25687</v>
      </c>
      <c r="AH64" s="13">
        <v>16455</v>
      </c>
      <c r="AK64" s="13">
        <v>313623</v>
      </c>
      <c r="AL64" s="13">
        <v>198101</v>
      </c>
      <c r="AM64" s="13">
        <v>5954</v>
      </c>
      <c r="AN64" s="13">
        <v>59353</v>
      </c>
      <c r="AO64" s="13">
        <v>55216</v>
      </c>
      <c r="AP64" s="13">
        <v>634</v>
      </c>
      <c r="AQ64" s="13">
        <v>691</v>
      </c>
      <c r="AR64" s="13">
        <v>74751</v>
      </c>
      <c r="AS64" s="13">
        <v>81077</v>
      </c>
      <c r="AT64" s="13">
        <v>308113</v>
      </c>
      <c r="AU64" s="13">
        <v>196693</v>
      </c>
      <c r="AV64" s="13">
        <v>5954</v>
      </c>
      <c r="AW64" s="13">
        <v>59530</v>
      </c>
      <c r="AX64" s="13">
        <v>53115</v>
      </c>
      <c r="AY64" s="13">
        <v>-1664</v>
      </c>
      <c r="AZ64" s="13">
        <v>742</v>
      </c>
      <c r="BA64" s="13">
        <v>75263</v>
      </c>
      <c r="BB64" s="13">
        <v>81520</v>
      </c>
    </row>
    <row r="65" spans="1:54" x14ac:dyDescent="0.35">
      <c r="A65" t="s">
        <v>431</v>
      </c>
      <c r="B65" s="13">
        <v>524213</v>
      </c>
      <c r="C65" s="13">
        <v>318762</v>
      </c>
      <c r="D65" s="13">
        <v>12274</v>
      </c>
      <c r="E65" s="13">
        <v>104847</v>
      </c>
      <c r="F65" s="13">
        <v>84584</v>
      </c>
      <c r="G65" s="13">
        <v>1967</v>
      </c>
      <c r="H65" s="13">
        <v>1022</v>
      </c>
      <c r="I65" s="13">
        <v>129682</v>
      </c>
      <c r="J65" s="13">
        <v>132718</v>
      </c>
      <c r="K65" s="13">
        <v>0</v>
      </c>
      <c r="L65" s="13">
        <v>527219</v>
      </c>
      <c r="M65" s="13">
        <v>322070</v>
      </c>
      <c r="N65" s="13">
        <v>12274</v>
      </c>
      <c r="O65" s="13">
        <v>104673</v>
      </c>
      <c r="P65" s="13">
        <v>82696</v>
      </c>
      <c r="Q65" s="13">
        <v>2606</v>
      </c>
      <c r="R65" s="13">
        <v>925</v>
      </c>
      <c r="S65" s="13">
        <v>130571</v>
      </c>
      <c r="T65" s="13">
        <v>136524</v>
      </c>
      <c r="U65" s="13">
        <v>44102</v>
      </c>
      <c r="V65" s="13">
        <v>10955</v>
      </c>
      <c r="W65" s="13">
        <v>43046</v>
      </c>
      <c r="X65" s="13">
        <v>9947</v>
      </c>
      <c r="Y65" s="13">
        <v>4697</v>
      </c>
      <c r="Z65" s="13">
        <v>12119</v>
      </c>
      <c r="AA65" s="13">
        <v>26449</v>
      </c>
      <c r="AB65" s="13">
        <v>26759</v>
      </c>
      <c r="AC65" s="13">
        <v>16431</v>
      </c>
      <c r="AD65" s="13">
        <v>4695</v>
      </c>
      <c r="AE65" s="13">
        <v>11633</v>
      </c>
      <c r="AF65" s="13">
        <v>26456</v>
      </c>
      <c r="AG65" s="13">
        <v>25797</v>
      </c>
      <c r="AH65" s="13">
        <v>16349</v>
      </c>
      <c r="AK65" s="13">
        <v>318875</v>
      </c>
      <c r="AL65" s="13">
        <v>200968</v>
      </c>
      <c r="AM65" s="13">
        <v>6071</v>
      </c>
      <c r="AN65" s="13">
        <v>59719</v>
      </c>
      <c r="AO65" s="13">
        <v>55995</v>
      </c>
      <c r="AP65" s="13">
        <v>2721</v>
      </c>
      <c r="AQ65" s="13">
        <v>615</v>
      </c>
      <c r="AR65" s="13">
        <v>75075</v>
      </c>
      <c r="AS65" s="13">
        <v>82289</v>
      </c>
      <c r="AT65" s="13">
        <v>319797</v>
      </c>
      <c r="AU65" s="13">
        <v>203885</v>
      </c>
      <c r="AV65" s="13">
        <v>6071</v>
      </c>
      <c r="AW65" s="13">
        <v>59709</v>
      </c>
      <c r="AX65" s="13">
        <v>55187</v>
      </c>
      <c r="AY65" s="13">
        <v>3850</v>
      </c>
      <c r="AZ65" s="13">
        <v>580</v>
      </c>
      <c r="BA65" s="13">
        <v>75826</v>
      </c>
      <c r="BB65" s="13">
        <v>85311</v>
      </c>
    </row>
    <row r="66" spans="1:54" x14ac:dyDescent="0.35">
      <c r="A66" t="s">
        <v>432</v>
      </c>
      <c r="B66" s="13">
        <v>528320</v>
      </c>
      <c r="C66" s="13">
        <v>320529</v>
      </c>
      <c r="D66" s="13">
        <v>12445</v>
      </c>
      <c r="E66" s="13">
        <v>106647</v>
      </c>
      <c r="F66" s="13">
        <v>84724</v>
      </c>
      <c r="G66" s="13">
        <v>1142</v>
      </c>
      <c r="H66" s="13">
        <v>1492</v>
      </c>
      <c r="I66" s="13">
        <v>132712</v>
      </c>
      <c r="J66" s="13">
        <v>136676</v>
      </c>
      <c r="K66" s="13">
        <v>0</v>
      </c>
      <c r="L66" s="13">
        <v>535413</v>
      </c>
      <c r="M66" s="13">
        <v>329244</v>
      </c>
      <c r="N66" s="13">
        <v>12445</v>
      </c>
      <c r="O66" s="13">
        <v>106760</v>
      </c>
      <c r="P66" s="13">
        <v>86174</v>
      </c>
      <c r="Q66" s="13">
        <v>-1872</v>
      </c>
      <c r="R66" s="13">
        <v>1567</v>
      </c>
      <c r="S66" s="13">
        <v>134707</v>
      </c>
      <c r="T66" s="13">
        <v>136165</v>
      </c>
      <c r="U66" s="13">
        <v>43762</v>
      </c>
      <c r="V66" s="13">
        <v>10809</v>
      </c>
      <c r="W66" s="13">
        <v>45272</v>
      </c>
      <c r="X66" s="13">
        <v>10374</v>
      </c>
      <c r="Y66" s="13">
        <v>4397</v>
      </c>
      <c r="Z66" s="13">
        <v>11551</v>
      </c>
      <c r="AA66" s="13">
        <v>27273</v>
      </c>
      <c r="AB66" s="13">
        <v>27710</v>
      </c>
      <c r="AC66" s="13">
        <v>16550</v>
      </c>
      <c r="AD66" s="13">
        <v>3981</v>
      </c>
      <c r="AE66" s="13">
        <v>12408</v>
      </c>
      <c r="AF66" s="13">
        <v>27348</v>
      </c>
      <c r="AG66" s="13">
        <v>28547</v>
      </c>
      <c r="AH66" s="13">
        <v>16584</v>
      </c>
      <c r="AK66" s="13">
        <v>322428</v>
      </c>
      <c r="AL66" s="13">
        <v>203045</v>
      </c>
      <c r="AM66" s="13">
        <v>6216</v>
      </c>
      <c r="AN66" s="13">
        <v>60825</v>
      </c>
      <c r="AO66" s="13">
        <v>56280</v>
      </c>
      <c r="AP66" s="13">
        <v>2627</v>
      </c>
      <c r="AQ66" s="13">
        <v>933</v>
      </c>
      <c r="AR66" s="13">
        <v>76560</v>
      </c>
      <c r="AS66" s="13">
        <v>84058</v>
      </c>
      <c r="AT66" s="13">
        <v>327567</v>
      </c>
      <c r="AU66" s="13">
        <v>208383</v>
      </c>
      <c r="AV66" s="13">
        <v>6216</v>
      </c>
      <c r="AW66" s="13">
        <v>60635</v>
      </c>
      <c r="AX66" s="13">
        <v>57610</v>
      </c>
      <c r="AY66" s="13">
        <v>-372</v>
      </c>
      <c r="AZ66" s="13">
        <v>959</v>
      </c>
      <c r="BA66" s="13">
        <v>77559</v>
      </c>
      <c r="BB66" s="13">
        <v>83423</v>
      </c>
    </row>
    <row r="67" spans="1:54" x14ac:dyDescent="0.35">
      <c r="A67" t="s">
        <v>433</v>
      </c>
      <c r="B67" s="13">
        <v>529996</v>
      </c>
      <c r="C67" s="13">
        <v>322150</v>
      </c>
      <c r="D67" s="13">
        <v>12588</v>
      </c>
      <c r="E67" s="13">
        <v>106965</v>
      </c>
      <c r="F67" s="13">
        <v>87208</v>
      </c>
      <c r="G67" s="13">
        <v>-1448</v>
      </c>
      <c r="H67" s="13">
        <v>1018</v>
      </c>
      <c r="I67" s="13">
        <v>133878</v>
      </c>
      <c r="J67" s="13">
        <v>137518</v>
      </c>
      <c r="K67" s="13">
        <v>0</v>
      </c>
      <c r="L67" s="13">
        <v>526399</v>
      </c>
      <c r="M67" s="13">
        <v>312390</v>
      </c>
      <c r="N67" s="13">
        <v>12588</v>
      </c>
      <c r="O67" s="13">
        <v>107396</v>
      </c>
      <c r="P67" s="13">
        <v>90084</v>
      </c>
      <c r="Q67" s="13">
        <v>937</v>
      </c>
      <c r="R67" s="13">
        <v>951</v>
      </c>
      <c r="S67" s="13">
        <v>130503</v>
      </c>
      <c r="T67" s="13">
        <v>134837</v>
      </c>
      <c r="U67" s="13">
        <v>44042</v>
      </c>
      <c r="V67" s="13">
        <v>12730</v>
      </c>
      <c r="W67" s="13">
        <v>44169</v>
      </c>
      <c r="X67" s="13">
        <v>15584</v>
      </c>
      <c r="Y67" s="13">
        <v>4317</v>
      </c>
      <c r="Z67" s="13">
        <v>12576</v>
      </c>
      <c r="AA67" s="13">
        <v>27323</v>
      </c>
      <c r="AB67" s="13">
        <v>29448</v>
      </c>
      <c r="AC67" s="13">
        <v>16318</v>
      </c>
      <c r="AD67" s="13">
        <v>4038</v>
      </c>
      <c r="AE67" s="13">
        <v>13351</v>
      </c>
      <c r="AF67" s="13">
        <v>27815</v>
      </c>
      <c r="AG67" s="13">
        <v>30976</v>
      </c>
      <c r="AH67" s="13">
        <v>16537</v>
      </c>
      <c r="AK67" s="13">
        <v>324300</v>
      </c>
      <c r="AL67" s="13">
        <v>205008</v>
      </c>
      <c r="AM67" s="13">
        <v>6281</v>
      </c>
      <c r="AN67" s="13">
        <v>61072</v>
      </c>
      <c r="AO67" s="13">
        <v>58714</v>
      </c>
      <c r="AP67" s="13">
        <v>93</v>
      </c>
      <c r="AQ67" s="13">
        <v>557</v>
      </c>
      <c r="AR67" s="13">
        <v>76292</v>
      </c>
      <c r="AS67" s="13">
        <v>83717</v>
      </c>
      <c r="AT67" s="13">
        <v>322117</v>
      </c>
      <c r="AU67" s="13">
        <v>198027</v>
      </c>
      <c r="AV67" s="13">
        <v>6281</v>
      </c>
      <c r="AW67" s="13">
        <v>61330</v>
      </c>
      <c r="AX67" s="13">
        <v>60842</v>
      </c>
      <c r="AY67" s="13">
        <v>2322</v>
      </c>
      <c r="AZ67" s="13">
        <v>510</v>
      </c>
      <c r="BA67" s="13">
        <v>74290</v>
      </c>
      <c r="BB67" s="13">
        <v>81485</v>
      </c>
    </row>
    <row r="68" spans="1:54" x14ac:dyDescent="0.35">
      <c r="A68" t="s">
        <v>434</v>
      </c>
      <c r="B68" s="13">
        <v>532543</v>
      </c>
      <c r="C68" s="13">
        <v>325157</v>
      </c>
      <c r="D68" s="13">
        <v>12406</v>
      </c>
      <c r="E68" s="13">
        <v>108070</v>
      </c>
      <c r="F68" s="13">
        <v>86590</v>
      </c>
      <c r="G68" s="13">
        <v>-1401</v>
      </c>
      <c r="H68" s="13">
        <v>-32</v>
      </c>
      <c r="I68" s="13">
        <v>135889</v>
      </c>
      <c r="J68" s="13">
        <v>141062</v>
      </c>
      <c r="K68" s="13">
        <v>0</v>
      </c>
      <c r="L68" s="13">
        <v>519924</v>
      </c>
      <c r="M68" s="13">
        <v>322362</v>
      </c>
      <c r="N68" s="13">
        <v>12406</v>
      </c>
      <c r="O68" s="13">
        <v>107771</v>
      </c>
      <c r="P68" s="13">
        <v>82989</v>
      </c>
      <c r="Q68" s="13">
        <v>-3389</v>
      </c>
      <c r="R68" s="13">
        <v>82</v>
      </c>
      <c r="S68" s="13">
        <v>136229</v>
      </c>
      <c r="T68" s="13">
        <v>140692</v>
      </c>
      <c r="U68" s="13">
        <v>41630</v>
      </c>
      <c r="V68" s="13">
        <v>12970</v>
      </c>
      <c r="W68" s="13">
        <v>39576</v>
      </c>
      <c r="X68" s="13">
        <v>11990</v>
      </c>
      <c r="Y68" s="13">
        <v>4243</v>
      </c>
      <c r="Z68" s="13">
        <v>12530</v>
      </c>
      <c r="AA68" s="13">
        <v>26769</v>
      </c>
      <c r="AB68" s="13">
        <v>28818</v>
      </c>
      <c r="AC68" s="13">
        <v>16520</v>
      </c>
      <c r="AD68" s="13">
        <v>4894</v>
      </c>
      <c r="AE68" s="13">
        <v>11457</v>
      </c>
      <c r="AF68" s="13">
        <v>26134</v>
      </c>
      <c r="AG68" s="13">
        <v>26344</v>
      </c>
      <c r="AH68" s="13">
        <v>16351</v>
      </c>
      <c r="AK68" s="13">
        <v>331067</v>
      </c>
      <c r="AL68" s="13">
        <v>207786</v>
      </c>
      <c r="AM68" s="13">
        <v>6392</v>
      </c>
      <c r="AN68" s="13">
        <v>64105</v>
      </c>
      <c r="AO68" s="13">
        <v>58414</v>
      </c>
      <c r="AP68" s="13">
        <v>2490</v>
      </c>
      <c r="AQ68" s="13">
        <v>-92</v>
      </c>
      <c r="AR68" s="13">
        <v>77871</v>
      </c>
      <c r="AS68" s="13">
        <v>85899</v>
      </c>
      <c r="AT68" s="13">
        <v>325388</v>
      </c>
      <c r="AU68" s="13">
        <v>206232</v>
      </c>
      <c r="AV68" s="13">
        <v>6392</v>
      </c>
      <c r="AW68" s="13">
        <v>64143</v>
      </c>
      <c r="AX68" s="13">
        <v>55841</v>
      </c>
      <c r="AY68" s="13">
        <v>416</v>
      </c>
      <c r="AZ68" s="13">
        <v>-30</v>
      </c>
      <c r="BA68" s="13">
        <v>78419</v>
      </c>
      <c r="BB68" s="13">
        <v>86025</v>
      </c>
    </row>
    <row r="69" spans="1:54" x14ac:dyDescent="0.35">
      <c r="A69" t="s">
        <v>435</v>
      </c>
      <c r="B69" s="13">
        <v>534447</v>
      </c>
      <c r="C69" s="13">
        <v>326983</v>
      </c>
      <c r="D69" s="13">
        <v>12640</v>
      </c>
      <c r="E69" s="13">
        <v>108663</v>
      </c>
      <c r="F69" s="13">
        <v>88025</v>
      </c>
      <c r="G69" s="13">
        <v>907</v>
      </c>
      <c r="H69" s="13">
        <v>799</v>
      </c>
      <c r="I69" s="13">
        <v>137775</v>
      </c>
      <c r="J69" s="13">
        <v>144794</v>
      </c>
      <c r="K69" s="13">
        <v>0</v>
      </c>
      <c r="L69" s="13">
        <v>544115</v>
      </c>
      <c r="M69" s="13">
        <v>331052</v>
      </c>
      <c r="N69" s="13">
        <v>12640</v>
      </c>
      <c r="O69" s="13">
        <v>108497</v>
      </c>
      <c r="P69" s="13">
        <v>86671</v>
      </c>
      <c r="Q69" s="13">
        <v>4481</v>
      </c>
      <c r="R69" s="13">
        <v>674</v>
      </c>
      <c r="S69" s="13">
        <v>138321</v>
      </c>
      <c r="T69" s="13">
        <v>148337</v>
      </c>
      <c r="U69" s="13">
        <v>41970</v>
      </c>
      <c r="V69" s="13">
        <v>14111</v>
      </c>
      <c r="W69" s="13">
        <v>41646</v>
      </c>
      <c r="X69" s="13">
        <v>12864</v>
      </c>
      <c r="Y69" s="13">
        <v>4248</v>
      </c>
      <c r="Z69" s="13">
        <v>12655</v>
      </c>
      <c r="AA69" s="13">
        <v>27424</v>
      </c>
      <c r="AB69" s="13">
        <v>29154</v>
      </c>
      <c r="AC69" s="13">
        <v>17033</v>
      </c>
      <c r="AD69" s="13">
        <v>4272</v>
      </c>
      <c r="AE69" s="13">
        <v>12141</v>
      </c>
      <c r="AF69" s="13">
        <v>27414</v>
      </c>
      <c r="AG69" s="13">
        <v>28666</v>
      </c>
      <c r="AH69" s="13">
        <v>16936</v>
      </c>
      <c r="AK69" s="13">
        <v>332518</v>
      </c>
      <c r="AL69" s="13">
        <v>209799</v>
      </c>
      <c r="AM69" s="13">
        <v>6519</v>
      </c>
      <c r="AN69" s="13">
        <v>64903</v>
      </c>
      <c r="AO69" s="13">
        <v>59315</v>
      </c>
      <c r="AP69" s="13">
        <v>126</v>
      </c>
      <c r="AQ69" s="13">
        <v>398</v>
      </c>
      <c r="AR69" s="13">
        <v>79845</v>
      </c>
      <c r="AS69" s="13">
        <v>88387</v>
      </c>
      <c r="AT69" s="13">
        <v>336803</v>
      </c>
      <c r="AU69" s="13">
        <v>212823</v>
      </c>
      <c r="AV69" s="13">
        <v>6519</v>
      </c>
      <c r="AW69" s="13">
        <v>64866</v>
      </c>
      <c r="AX69" s="13">
        <v>58544</v>
      </c>
      <c r="AY69" s="13">
        <v>4184</v>
      </c>
      <c r="AZ69" s="13">
        <v>355</v>
      </c>
      <c r="BA69" s="13">
        <v>80582</v>
      </c>
      <c r="BB69" s="13">
        <v>91070</v>
      </c>
    </row>
    <row r="70" spans="1:54" x14ac:dyDescent="0.35">
      <c r="A70" t="s">
        <v>436</v>
      </c>
      <c r="B70" s="13">
        <v>536886</v>
      </c>
      <c r="C70" s="13">
        <v>329186</v>
      </c>
      <c r="D70" s="13">
        <v>12676</v>
      </c>
      <c r="E70" s="13">
        <v>109673</v>
      </c>
      <c r="F70" s="13">
        <v>88575</v>
      </c>
      <c r="G70" s="13">
        <v>1588</v>
      </c>
      <c r="H70" s="13">
        <v>445</v>
      </c>
      <c r="I70" s="13">
        <v>142228</v>
      </c>
      <c r="J70" s="13">
        <v>147285</v>
      </c>
      <c r="K70" s="13">
        <v>0</v>
      </c>
      <c r="L70" s="13">
        <v>543434</v>
      </c>
      <c r="M70" s="13">
        <v>337672</v>
      </c>
      <c r="N70" s="13">
        <v>12676</v>
      </c>
      <c r="O70" s="13">
        <v>109707</v>
      </c>
      <c r="P70" s="13">
        <v>90654</v>
      </c>
      <c r="Q70" s="13">
        <v>-2383</v>
      </c>
      <c r="R70" s="13">
        <v>523</v>
      </c>
      <c r="S70" s="13">
        <v>144717</v>
      </c>
      <c r="T70" s="13">
        <v>146793</v>
      </c>
      <c r="U70" s="13">
        <v>43060</v>
      </c>
      <c r="V70" s="13">
        <v>14025</v>
      </c>
      <c r="W70" s="13">
        <v>45311</v>
      </c>
      <c r="X70" s="13">
        <v>13398</v>
      </c>
      <c r="Y70" s="13">
        <v>4106</v>
      </c>
      <c r="Z70" s="13">
        <v>12573</v>
      </c>
      <c r="AA70" s="13">
        <v>27574</v>
      </c>
      <c r="AB70" s="13">
        <v>29609</v>
      </c>
      <c r="AC70" s="13">
        <v>17412</v>
      </c>
      <c r="AD70" s="13">
        <v>3708</v>
      </c>
      <c r="AE70" s="13">
        <v>13385</v>
      </c>
      <c r="AF70" s="13">
        <v>27727</v>
      </c>
      <c r="AG70" s="13">
        <v>31043</v>
      </c>
      <c r="AH70" s="13">
        <v>17459</v>
      </c>
      <c r="AK70" s="13">
        <v>339258</v>
      </c>
      <c r="AL70" s="13">
        <v>213207</v>
      </c>
      <c r="AM70" s="13">
        <v>6645</v>
      </c>
      <c r="AN70" s="13">
        <v>65988</v>
      </c>
      <c r="AO70" s="13">
        <v>59772</v>
      </c>
      <c r="AP70" s="13">
        <v>239</v>
      </c>
      <c r="AQ70" s="13">
        <v>195</v>
      </c>
      <c r="AR70" s="13">
        <v>84301</v>
      </c>
      <c r="AS70" s="13">
        <v>91089</v>
      </c>
      <c r="AT70" s="13">
        <v>342835</v>
      </c>
      <c r="AU70" s="13">
        <v>218718</v>
      </c>
      <c r="AV70" s="13">
        <v>6645</v>
      </c>
      <c r="AW70" s="13">
        <v>65729</v>
      </c>
      <c r="AX70" s="13">
        <v>60988</v>
      </c>
      <c r="AY70" s="13">
        <v>-3974</v>
      </c>
      <c r="AZ70" s="13">
        <v>223</v>
      </c>
      <c r="BA70" s="13">
        <v>85018</v>
      </c>
      <c r="BB70" s="13">
        <v>90512</v>
      </c>
    </row>
    <row r="71" spans="1:54" x14ac:dyDescent="0.35">
      <c r="A71" t="s">
        <v>437</v>
      </c>
      <c r="B71" s="13">
        <v>541028</v>
      </c>
      <c r="C71" s="13">
        <v>332385</v>
      </c>
      <c r="D71" s="13">
        <v>12577</v>
      </c>
      <c r="E71" s="13">
        <v>109227</v>
      </c>
      <c r="F71" s="13">
        <v>91052</v>
      </c>
      <c r="G71" s="13">
        <v>1149</v>
      </c>
      <c r="H71" s="13">
        <v>942</v>
      </c>
      <c r="I71" s="13">
        <v>139477</v>
      </c>
      <c r="J71" s="13">
        <v>147044</v>
      </c>
      <c r="K71" s="13">
        <v>0</v>
      </c>
      <c r="L71" s="13">
        <v>540485</v>
      </c>
      <c r="M71" s="13">
        <v>322685</v>
      </c>
      <c r="N71" s="13">
        <v>12577</v>
      </c>
      <c r="O71" s="13">
        <v>109586</v>
      </c>
      <c r="P71" s="13">
        <v>93511</v>
      </c>
      <c r="Q71" s="13">
        <v>4822</v>
      </c>
      <c r="R71" s="13">
        <v>874</v>
      </c>
      <c r="S71" s="13">
        <v>134296</v>
      </c>
      <c r="T71" s="13">
        <v>142402</v>
      </c>
      <c r="U71" s="13">
        <v>45364</v>
      </c>
      <c r="V71" s="13">
        <v>14514</v>
      </c>
      <c r="W71" s="13">
        <v>43142</v>
      </c>
      <c r="X71" s="13">
        <v>19450</v>
      </c>
      <c r="Y71" s="13">
        <v>3887</v>
      </c>
      <c r="Z71" s="13">
        <v>12763</v>
      </c>
      <c r="AA71" s="13">
        <v>27732</v>
      </c>
      <c r="AB71" s="13">
        <v>32170</v>
      </c>
      <c r="AC71" s="13">
        <v>17646</v>
      </c>
      <c r="AD71" s="13">
        <v>3667</v>
      </c>
      <c r="AE71" s="13">
        <v>13539</v>
      </c>
      <c r="AF71" s="13">
        <v>28230</v>
      </c>
      <c r="AG71" s="13">
        <v>33108</v>
      </c>
      <c r="AH71" s="13">
        <v>17940</v>
      </c>
      <c r="AK71" s="13">
        <v>341839</v>
      </c>
      <c r="AL71" s="13">
        <v>216010</v>
      </c>
      <c r="AM71" s="13">
        <v>6732</v>
      </c>
      <c r="AN71" s="13">
        <v>65897</v>
      </c>
      <c r="AO71" s="13">
        <v>61489</v>
      </c>
      <c r="AP71" s="13">
        <v>-300</v>
      </c>
      <c r="AQ71" s="13">
        <v>521</v>
      </c>
      <c r="AR71" s="13">
        <v>82446</v>
      </c>
      <c r="AS71" s="13">
        <v>90956</v>
      </c>
      <c r="AT71" s="13">
        <v>341391</v>
      </c>
      <c r="AU71" s="13">
        <v>209006</v>
      </c>
      <c r="AV71" s="13">
        <v>6732</v>
      </c>
      <c r="AW71" s="13">
        <v>66265</v>
      </c>
      <c r="AX71" s="13">
        <v>63804</v>
      </c>
      <c r="AY71" s="13">
        <v>2633</v>
      </c>
      <c r="AZ71" s="13">
        <v>467</v>
      </c>
      <c r="BA71" s="13">
        <v>79931</v>
      </c>
      <c r="BB71" s="13">
        <v>87447</v>
      </c>
    </row>
    <row r="72" spans="1:54" x14ac:dyDescent="0.35">
      <c r="A72" t="s">
        <v>438</v>
      </c>
      <c r="B72" s="13">
        <v>545530</v>
      </c>
      <c r="C72" s="13">
        <v>333357</v>
      </c>
      <c r="D72" s="13">
        <v>12544</v>
      </c>
      <c r="E72" s="13">
        <v>111034</v>
      </c>
      <c r="F72" s="13">
        <v>94541</v>
      </c>
      <c r="G72" s="13">
        <v>5056</v>
      </c>
      <c r="H72" s="13">
        <v>493</v>
      </c>
      <c r="I72" s="13">
        <v>147666</v>
      </c>
      <c r="J72" s="13">
        <v>152627</v>
      </c>
      <c r="K72" s="13">
        <v>0</v>
      </c>
      <c r="L72" s="13">
        <v>532808</v>
      </c>
      <c r="M72" s="13">
        <v>330891</v>
      </c>
      <c r="N72" s="13">
        <v>12544</v>
      </c>
      <c r="O72" s="13">
        <v>110865</v>
      </c>
      <c r="P72" s="13">
        <v>91571</v>
      </c>
      <c r="Q72" s="13">
        <v>2609</v>
      </c>
      <c r="R72" s="13">
        <v>626</v>
      </c>
      <c r="S72" s="13">
        <v>148936</v>
      </c>
      <c r="T72" s="13">
        <v>153502</v>
      </c>
      <c r="U72" s="13">
        <v>66508</v>
      </c>
      <c r="V72" s="13">
        <v>-8497</v>
      </c>
      <c r="W72" s="13">
        <v>67104</v>
      </c>
      <c r="X72" s="13">
        <v>-11491</v>
      </c>
      <c r="Y72" s="13">
        <v>4410</v>
      </c>
      <c r="Z72" s="13">
        <v>13389</v>
      </c>
      <c r="AA72" s="13">
        <v>28047</v>
      </c>
      <c r="AB72" s="13">
        <v>29760</v>
      </c>
      <c r="AC72" s="13">
        <v>17651</v>
      </c>
      <c r="AD72" s="13">
        <v>4979</v>
      </c>
      <c r="AE72" s="13">
        <v>12244</v>
      </c>
      <c r="AF72" s="13">
        <v>27364</v>
      </c>
      <c r="AG72" s="13">
        <v>28072</v>
      </c>
      <c r="AH72" s="13">
        <v>17524</v>
      </c>
      <c r="AK72" s="13">
        <v>349602</v>
      </c>
      <c r="AL72" s="13">
        <v>216125</v>
      </c>
      <c r="AM72" s="13">
        <v>6917</v>
      </c>
      <c r="AN72" s="13">
        <v>68682</v>
      </c>
      <c r="AO72" s="13">
        <v>63592</v>
      </c>
      <c r="AP72" s="13">
        <v>573</v>
      </c>
      <c r="AQ72" s="13">
        <v>286</v>
      </c>
      <c r="AR72" s="13">
        <v>87550</v>
      </c>
      <c r="AS72" s="13">
        <v>94123</v>
      </c>
      <c r="AT72" s="13">
        <v>344177</v>
      </c>
      <c r="AU72" s="13">
        <v>214975</v>
      </c>
      <c r="AV72" s="13">
        <v>6917</v>
      </c>
      <c r="AW72" s="13">
        <v>68625</v>
      </c>
      <c r="AX72" s="13">
        <v>61086</v>
      </c>
      <c r="AY72" s="13">
        <v>-1950</v>
      </c>
      <c r="AZ72" s="13">
        <v>352</v>
      </c>
      <c r="BA72" s="13">
        <v>89164</v>
      </c>
      <c r="BB72" s="13">
        <v>94992</v>
      </c>
    </row>
    <row r="73" spans="1:54" x14ac:dyDescent="0.35">
      <c r="A73" t="s">
        <v>439</v>
      </c>
      <c r="B73" s="13">
        <v>550552</v>
      </c>
      <c r="C73" s="13">
        <v>335900</v>
      </c>
      <c r="D73" s="13">
        <v>12424</v>
      </c>
      <c r="E73" s="13">
        <v>111435</v>
      </c>
      <c r="F73" s="13">
        <v>95781</v>
      </c>
      <c r="G73" s="13">
        <v>-1552</v>
      </c>
      <c r="H73" s="13">
        <v>522</v>
      </c>
      <c r="I73" s="13">
        <v>149100</v>
      </c>
      <c r="J73" s="13">
        <v>154080</v>
      </c>
      <c r="K73" s="13">
        <v>0</v>
      </c>
      <c r="L73" s="13">
        <v>555555</v>
      </c>
      <c r="M73" s="13">
        <v>339518</v>
      </c>
      <c r="N73" s="13">
        <v>12424</v>
      </c>
      <c r="O73" s="13">
        <v>111244</v>
      </c>
      <c r="P73" s="13">
        <v>94601</v>
      </c>
      <c r="Q73" s="13">
        <v>-1704</v>
      </c>
      <c r="R73" s="13">
        <v>373</v>
      </c>
      <c r="S73" s="13">
        <v>150106</v>
      </c>
      <c r="T73" s="13">
        <v>158211</v>
      </c>
      <c r="U73" s="13">
        <v>48527</v>
      </c>
      <c r="V73" s="13">
        <v>14323</v>
      </c>
      <c r="W73" s="13">
        <v>48523</v>
      </c>
      <c r="X73" s="13">
        <v>12968</v>
      </c>
      <c r="Y73" s="13">
        <v>4210</v>
      </c>
      <c r="Z73" s="13">
        <v>15198</v>
      </c>
      <c r="AA73" s="13">
        <v>28092</v>
      </c>
      <c r="AB73" s="13">
        <v>31867</v>
      </c>
      <c r="AC73" s="13">
        <v>18194</v>
      </c>
      <c r="AD73" s="13">
        <v>4200</v>
      </c>
      <c r="AE73" s="13">
        <v>14668</v>
      </c>
      <c r="AF73" s="13">
        <v>28079</v>
      </c>
      <c r="AG73" s="13">
        <v>31726</v>
      </c>
      <c r="AH73" s="13">
        <v>18042</v>
      </c>
      <c r="AK73" s="13">
        <v>353424</v>
      </c>
      <c r="AL73" s="13">
        <v>219475</v>
      </c>
      <c r="AM73" s="13">
        <v>6900</v>
      </c>
      <c r="AN73" s="13">
        <v>68990</v>
      </c>
      <c r="AO73" s="13">
        <v>64133</v>
      </c>
      <c r="AP73" s="13">
        <v>1424</v>
      </c>
      <c r="AQ73" s="13">
        <v>281</v>
      </c>
      <c r="AR73" s="13">
        <v>90024</v>
      </c>
      <c r="AS73" s="13">
        <v>97803</v>
      </c>
      <c r="AT73" s="13">
        <v>353499</v>
      </c>
      <c r="AU73" s="13">
        <v>222027</v>
      </c>
      <c r="AV73" s="13">
        <v>6900</v>
      </c>
      <c r="AW73" s="13">
        <v>68976</v>
      </c>
      <c r="AX73" s="13">
        <v>63139</v>
      </c>
      <c r="AY73" s="13">
        <v>3112</v>
      </c>
      <c r="AZ73" s="13">
        <v>244</v>
      </c>
      <c r="BA73" s="13">
        <v>90012</v>
      </c>
      <c r="BB73" s="13">
        <v>100911</v>
      </c>
    </row>
    <row r="74" spans="1:54" x14ac:dyDescent="0.35">
      <c r="A74" t="s">
        <v>440</v>
      </c>
      <c r="B74" s="13">
        <v>556311</v>
      </c>
      <c r="C74" s="13">
        <v>336830</v>
      </c>
      <c r="D74" s="13">
        <v>12905</v>
      </c>
      <c r="E74" s="13">
        <v>111911</v>
      </c>
      <c r="F74" s="13">
        <v>96029</v>
      </c>
      <c r="G74" s="13">
        <v>-5759</v>
      </c>
      <c r="H74" s="13">
        <v>668</v>
      </c>
      <c r="I74" s="13">
        <v>154094</v>
      </c>
      <c r="J74" s="13">
        <v>158068</v>
      </c>
      <c r="K74" s="13">
        <v>0</v>
      </c>
      <c r="L74" s="13">
        <v>564573</v>
      </c>
      <c r="M74" s="13">
        <v>345378</v>
      </c>
      <c r="N74" s="13">
        <v>12905</v>
      </c>
      <c r="O74" s="13">
        <v>111912</v>
      </c>
      <c r="P74" s="13">
        <v>97720</v>
      </c>
      <c r="Q74" s="13">
        <v>-6833</v>
      </c>
      <c r="R74" s="13">
        <v>752</v>
      </c>
      <c r="S74" s="13">
        <v>156999</v>
      </c>
      <c r="T74" s="13">
        <v>157704</v>
      </c>
      <c r="U74" s="13">
        <v>49209</v>
      </c>
      <c r="V74" s="13">
        <v>13437</v>
      </c>
      <c r="W74" s="13">
        <v>50838</v>
      </c>
      <c r="X74" s="13">
        <v>12850</v>
      </c>
      <c r="Y74" s="13">
        <v>4382</v>
      </c>
      <c r="Z74" s="13">
        <v>15035</v>
      </c>
      <c r="AA74" s="13">
        <v>27485</v>
      </c>
      <c r="AB74" s="13">
        <v>33124</v>
      </c>
      <c r="AC74" s="13">
        <v>18143</v>
      </c>
      <c r="AD74" s="13">
        <v>4044</v>
      </c>
      <c r="AE74" s="13">
        <v>15934</v>
      </c>
      <c r="AF74" s="13">
        <v>27684</v>
      </c>
      <c r="AG74" s="13">
        <v>34015</v>
      </c>
      <c r="AH74" s="13">
        <v>18128</v>
      </c>
      <c r="AK74" s="13">
        <v>358384</v>
      </c>
      <c r="AL74" s="13">
        <v>222050</v>
      </c>
      <c r="AM74" s="13">
        <v>7178</v>
      </c>
      <c r="AN74" s="13">
        <v>69802</v>
      </c>
      <c r="AO74" s="13">
        <v>65196</v>
      </c>
      <c r="AP74" s="13">
        <v>691</v>
      </c>
      <c r="AQ74" s="13">
        <v>498</v>
      </c>
      <c r="AR74" s="13">
        <v>93697</v>
      </c>
      <c r="AS74" s="13">
        <v>100728</v>
      </c>
      <c r="AT74" s="13">
        <v>364182</v>
      </c>
      <c r="AU74" s="13">
        <v>227652</v>
      </c>
      <c r="AV74" s="13">
        <v>7178</v>
      </c>
      <c r="AW74" s="13">
        <v>69505</v>
      </c>
      <c r="AX74" s="13">
        <v>66381</v>
      </c>
      <c r="AY74" s="13">
        <v>-1407</v>
      </c>
      <c r="AZ74" s="13">
        <v>523</v>
      </c>
      <c r="BA74" s="13">
        <v>94610</v>
      </c>
      <c r="BB74" s="13">
        <v>100260</v>
      </c>
    </row>
    <row r="75" spans="1:54" x14ac:dyDescent="0.35">
      <c r="A75" t="s">
        <v>441</v>
      </c>
      <c r="B75" s="13">
        <v>558314</v>
      </c>
      <c r="C75" s="13">
        <v>335359</v>
      </c>
      <c r="D75" s="13">
        <v>12596</v>
      </c>
      <c r="E75" s="13">
        <v>112873</v>
      </c>
      <c r="F75" s="13">
        <v>96691</v>
      </c>
      <c r="G75" s="13">
        <v>-1927</v>
      </c>
      <c r="H75" s="13">
        <v>1472</v>
      </c>
      <c r="I75" s="13">
        <v>171898</v>
      </c>
      <c r="J75" s="13">
        <v>175316</v>
      </c>
      <c r="K75" s="13">
        <v>0</v>
      </c>
      <c r="L75" s="13">
        <v>557482</v>
      </c>
      <c r="M75" s="13">
        <v>325552</v>
      </c>
      <c r="N75" s="13">
        <v>12596</v>
      </c>
      <c r="O75" s="13">
        <v>113735</v>
      </c>
      <c r="P75" s="13">
        <v>98619</v>
      </c>
      <c r="Q75" s="13">
        <v>353</v>
      </c>
      <c r="R75" s="13">
        <v>1401</v>
      </c>
      <c r="S75" s="13">
        <v>168085</v>
      </c>
      <c r="T75" s="13">
        <v>172503</v>
      </c>
      <c r="U75" s="13">
        <v>51842</v>
      </c>
      <c r="V75" s="13">
        <v>12541</v>
      </c>
      <c r="W75" s="13">
        <v>49667</v>
      </c>
      <c r="X75" s="13">
        <v>16788</v>
      </c>
      <c r="Y75" s="13">
        <v>4957</v>
      </c>
      <c r="Z75" s="13">
        <v>14559</v>
      </c>
      <c r="AA75" s="13">
        <v>27930</v>
      </c>
      <c r="AB75" s="13">
        <v>33072</v>
      </c>
      <c r="AC75" s="13">
        <v>18375</v>
      </c>
      <c r="AD75" s="13">
        <v>4516</v>
      </c>
      <c r="AE75" s="13">
        <v>15741</v>
      </c>
      <c r="AF75" s="13">
        <v>28413</v>
      </c>
      <c r="AG75" s="13">
        <v>33249</v>
      </c>
      <c r="AH75" s="13">
        <v>18834</v>
      </c>
      <c r="AK75" s="13">
        <v>362595</v>
      </c>
      <c r="AL75" s="13">
        <v>222625</v>
      </c>
      <c r="AM75" s="13">
        <v>7222</v>
      </c>
      <c r="AN75" s="13">
        <v>71599</v>
      </c>
      <c r="AO75" s="13">
        <v>66330</v>
      </c>
      <c r="AP75" s="13">
        <v>3167</v>
      </c>
      <c r="AQ75" s="13">
        <v>1011</v>
      </c>
      <c r="AR75" s="13">
        <v>103759</v>
      </c>
      <c r="AS75" s="13">
        <v>113118</v>
      </c>
      <c r="AT75" s="13">
        <v>361699</v>
      </c>
      <c r="AU75" s="13">
        <v>215438</v>
      </c>
      <c r="AV75" s="13">
        <v>7222</v>
      </c>
      <c r="AW75" s="13">
        <v>72125</v>
      </c>
      <c r="AX75" s="13">
        <v>67861</v>
      </c>
      <c r="AY75" s="13">
        <v>6404</v>
      </c>
      <c r="AZ75" s="13">
        <v>954</v>
      </c>
      <c r="BA75" s="13">
        <v>102127</v>
      </c>
      <c r="BB75" s="13">
        <v>110432</v>
      </c>
    </row>
    <row r="76" spans="1:54" x14ac:dyDescent="0.35">
      <c r="A76" t="s">
        <v>442</v>
      </c>
      <c r="B76" s="13">
        <v>559795</v>
      </c>
      <c r="C76" s="13">
        <v>335833</v>
      </c>
      <c r="D76" s="13">
        <v>12253</v>
      </c>
      <c r="E76" s="13">
        <v>112232</v>
      </c>
      <c r="F76" s="13">
        <v>95793</v>
      </c>
      <c r="G76" s="13">
        <v>-2257</v>
      </c>
      <c r="H76" s="13">
        <v>1298</v>
      </c>
      <c r="I76" s="13">
        <v>177260</v>
      </c>
      <c r="J76" s="13">
        <v>178558</v>
      </c>
      <c r="K76" s="13">
        <v>0</v>
      </c>
      <c r="L76" s="13">
        <v>547458</v>
      </c>
      <c r="M76" s="13">
        <v>333469</v>
      </c>
      <c r="N76" s="13">
        <v>12253</v>
      </c>
      <c r="O76" s="13">
        <v>111672</v>
      </c>
      <c r="P76" s="13">
        <v>90978</v>
      </c>
      <c r="Q76" s="13">
        <v>-1502</v>
      </c>
      <c r="R76" s="13">
        <v>1465</v>
      </c>
      <c r="S76" s="13">
        <v>178296</v>
      </c>
      <c r="T76" s="13">
        <v>178734</v>
      </c>
      <c r="U76" s="13">
        <v>49901</v>
      </c>
      <c r="V76" s="13">
        <v>12967</v>
      </c>
      <c r="W76" s="13">
        <v>48819</v>
      </c>
      <c r="X76" s="13">
        <v>9832</v>
      </c>
      <c r="Y76" s="13">
        <v>4310</v>
      </c>
      <c r="Z76" s="13">
        <v>15302</v>
      </c>
      <c r="AA76" s="13">
        <v>26831</v>
      </c>
      <c r="AB76" s="13">
        <v>33383</v>
      </c>
      <c r="AC76" s="13">
        <v>18076</v>
      </c>
      <c r="AD76" s="13">
        <v>5034</v>
      </c>
      <c r="AE76" s="13">
        <v>13811</v>
      </c>
      <c r="AF76" s="13">
        <v>26097</v>
      </c>
      <c r="AG76" s="13">
        <v>30155</v>
      </c>
      <c r="AH76" s="13">
        <v>17835</v>
      </c>
      <c r="AK76" s="13">
        <v>368522</v>
      </c>
      <c r="AL76" s="13">
        <v>225344</v>
      </c>
      <c r="AM76" s="13">
        <v>7296</v>
      </c>
      <c r="AN76" s="13">
        <v>72289</v>
      </c>
      <c r="AO76" s="13">
        <v>67036</v>
      </c>
      <c r="AP76" s="13">
        <v>2699</v>
      </c>
      <c r="AQ76" s="13">
        <v>943</v>
      </c>
      <c r="AR76" s="13">
        <v>108341</v>
      </c>
      <c r="AS76" s="13">
        <v>115426</v>
      </c>
      <c r="AT76" s="13">
        <v>361945</v>
      </c>
      <c r="AU76" s="13">
        <v>224235</v>
      </c>
      <c r="AV76" s="13">
        <v>7296</v>
      </c>
      <c r="AW76" s="13">
        <v>72148</v>
      </c>
      <c r="AX76" s="13">
        <v>63565</v>
      </c>
      <c r="AY76" s="13">
        <v>398</v>
      </c>
      <c r="AZ76" s="13">
        <v>1012</v>
      </c>
      <c r="BA76" s="13">
        <v>109520</v>
      </c>
      <c r="BB76" s="13">
        <v>116229</v>
      </c>
    </row>
    <row r="77" spans="1:54" x14ac:dyDescent="0.35">
      <c r="A77" t="s">
        <v>443</v>
      </c>
      <c r="B77" s="13">
        <v>560675</v>
      </c>
      <c r="C77" s="13">
        <v>338624</v>
      </c>
      <c r="D77" s="13">
        <v>12333</v>
      </c>
      <c r="E77" s="13">
        <v>113420</v>
      </c>
      <c r="F77" s="13">
        <v>97542</v>
      </c>
      <c r="G77" s="13">
        <v>5685</v>
      </c>
      <c r="H77" s="13">
        <v>1315</v>
      </c>
      <c r="I77" s="13">
        <v>155434</v>
      </c>
      <c r="J77" s="13">
        <v>159178</v>
      </c>
      <c r="K77" s="13">
        <v>0</v>
      </c>
      <c r="L77" s="13">
        <v>564691</v>
      </c>
      <c r="M77" s="13">
        <v>342102</v>
      </c>
      <c r="N77" s="13">
        <v>12333</v>
      </c>
      <c r="O77" s="13">
        <v>113146</v>
      </c>
      <c r="P77" s="13">
        <v>97143</v>
      </c>
      <c r="Q77" s="13">
        <v>4834</v>
      </c>
      <c r="R77" s="13">
        <v>1148</v>
      </c>
      <c r="S77" s="13">
        <v>155812</v>
      </c>
      <c r="T77" s="13">
        <v>162863</v>
      </c>
      <c r="U77" s="13">
        <v>51539</v>
      </c>
      <c r="V77" s="13">
        <v>12842</v>
      </c>
      <c r="W77" s="13">
        <v>51692</v>
      </c>
      <c r="X77" s="13">
        <v>12152</v>
      </c>
      <c r="Y77" s="13">
        <v>5309</v>
      </c>
      <c r="Z77" s="13">
        <v>15967</v>
      </c>
      <c r="AA77" s="13">
        <v>26241</v>
      </c>
      <c r="AB77" s="13">
        <v>33554</v>
      </c>
      <c r="AC77" s="13">
        <v>18007</v>
      </c>
      <c r="AD77" s="13">
        <v>5314</v>
      </c>
      <c r="AE77" s="13">
        <v>15350</v>
      </c>
      <c r="AF77" s="13">
        <v>26253</v>
      </c>
      <c r="AG77" s="13">
        <v>34251</v>
      </c>
      <c r="AH77" s="13">
        <v>17798</v>
      </c>
      <c r="AK77" s="13">
        <v>372582</v>
      </c>
      <c r="AL77" s="13">
        <v>228761</v>
      </c>
      <c r="AM77" s="13">
        <v>7333</v>
      </c>
      <c r="AN77" s="13">
        <v>72961</v>
      </c>
      <c r="AO77" s="13">
        <v>68959</v>
      </c>
      <c r="AP77" s="13">
        <v>-229</v>
      </c>
      <c r="AQ77" s="13">
        <v>736</v>
      </c>
      <c r="AR77" s="13">
        <v>96727</v>
      </c>
      <c r="AS77" s="13">
        <v>102666</v>
      </c>
      <c r="AT77" s="13">
        <v>373403</v>
      </c>
      <c r="AU77" s="13">
        <v>230873</v>
      </c>
      <c r="AV77" s="13">
        <v>7333</v>
      </c>
      <c r="AW77" s="13">
        <v>72915</v>
      </c>
      <c r="AX77" s="13">
        <v>68959</v>
      </c>
      <c r="AY77" s="13">
        <v>1638</v>
      </c>
      <c r="AZ77" s="13">
        <v>699</v>
      </c>
      <c r="BA77" s="13">
        <v>96448</v>
      </c>
      <c r="BB77" s="13">
        <v>105462</v>
      </c>
    </row>
    <row r="78" spans="1:54" x14ac:dyDescent="0.35">
      <c r="A78" t="s">
        <v>444</v>
      </c>
      <c r="B78" s="13">
        <v>562669</v>
      </c>
      <c r="C78" s="13">
        <v>339339</v>
      </c>
      <c r="D78" s="13">
        <v>12098</v>
      </c>
      <c r="E78" s="13">
        <v>113369</v>
      </c>
      <c r="F78" s="13">
        <v>96024</v>
      </c>
      <c r="G78" s="13">
        <v>5672</v>
      </c>
      <c r="H78" s="13">
        <v>-194</v>
      </c>
      <c r="I78" s="13">
        <v>154533</v>
      </c>
      <c r="J78" s="13">
        <v>159790</v>
      </c>
      <c r="K78" s="13">
        <v>0</v>
      </c>
      <c r="L78" s="13">
        <v>571822</v>
      </c>
      <c r="M78" s="13">
        <v>348032</v>
      </c>
      <c r="N78" s="13">
        <v>12098</v>
      </c>
      <c r="O78" s="13">
        <v>113341</v>
      </c>
      <c r="P78" s="13">
        <v>99310</v>
      </c>
      <c r="Q78" s="13">
        <v>3488</v>
      </c>
      <c r="R78" s="13">
        <v>-123</v>
      </c>
      <c r="S78" s="13">
        <v>156932</v>
      </c>
      <c r="T78" s="13">
        <v>158742</v>
      </c>
      <c r="U78" s="13">
        <v>49386</v>
      </c>
      <c r="V78" s="13">
        <v>13467</v>
      </c>
      <c r="W78" s="13">
        <v>52491</v>
      </c>
      <c r="X78" s="13">
        <v>13046</v>
      </c>
      <c r="Y78" s="13">
        <v>5305</v>
      </c>
      <c r="Z78" s="13">
        <v>16004</v>
      </c>
      <c r="AA78" s="13">
        <v>25979</v>
      </c>
      <c r="AB78" s="13">
        <v>32231</v>
      </c>
      <c r="AC78" s="13">
        <v>18069</v>
      </c>
      <c r="AD78" s="13">
        <v>5018</v>
      </c>
      <c r="AE78" s="13">
        <v>16931</v>
      </c>
      <c r="AF78" s="13">
        <v>26217</v>
      </c>
      <c r="AG78" s="13">
        <v>34585</v>
      </c>
      <c r="AH78" s="13">
        <v>18060</v>
      </c>
      <c r="AK78" s="13">
        <v>374381</v>
      </c>
      <c r="AL78" s="13">
        <v>229923</v>
      </c>
      <c r="AM78" s="13">
        <v>7386</v>
      </c>
      <c r="AN78" s="13">
        <v>73615</v>
      </c>
      <c r="AO78" s="13">
        <v>68973</v>
      </c>
      <c r="AP78" s="13">
        <v>26</v>
      </c>
      <c r="AQ78" s="13">
        <v>-151</v>
      </c>
      <c r="AR78" s="13">
        <v>96357</v>
      </c>
      <c r="AS78" s="13">
        <v>101748</v>
      </c>
      <c r="AT78" s="13">
        <v>381033</v>
      </c>
      <c r="AU78" s="13">
        <v>236107</v>
      </c>
      <c r="AV78" s="13">
        <v>7386</v>
      </c>
      <c r="AW78" s="13">
        <v>73276</v>
      </c>
      <c r="AX78" s="13">
        <v>70913</v>
      </c>
      <c r="AY78" s="13">
        <v>-2777</v>
      </c>
      <c r="AZ78" s="13">
        <v>-126</v>
      </c>
      <c r="BA78" s="13">
        <v>97089</v>
      </c>
      <c r="BB78" s="13">
        <v>100835</v>
      </c>
    </row>
    <row r="79" spans="1:54" x14ac:dyDescent="0.35">
      <c r="A79" t="s">
        <v>445</v>
      </c>
      <c r="B79" s="13">
        <v>568845</v>
      </c>
      <c r="C79" s="13">
        <v>343169</v>
      </c>
      <c r="D79" s="13">
        <v>11881</v>
      </c>
      <c r="E79" s="13">
        <v>114363</v>
      </c>
      <c r="F79" s="13">
        <v>98619</v>
      </c>
      <c r="G79" s="13">
        <v>5300</v>
      </c>
      <c r="H79" s="13">
        <v>1143</v>
      </c>
      <c r="I79" s="13">
        <v>156894</v>
      </c>
      <c r="J79" s="13">
        <v>164176</v>
      </c>
      <c r="K79" s="13">
        <v>0</v>
      </c>
      <c r="L79" s="13">
        <v>564699</v>
      </c>
      <c r="M79" s="13">
        <v>333320</v>
      </c>
      <c r="N79" s="13">
        <v>11881</v>
      </c>
      <c r="O79" s="13">
        <v>115287</v>
      </c>
      <c r="P79" s="13">
        <v>103168</v>
      </c>
      <c r="Q79" s="13">
        <v>6071</v>
      </c>
      <c r="R79" s="13">
        <v>1040</v>
      </c>
      <c r="S79" s="13">
        <v>153320</v>
      </c>
      <c r="T79" s="13">
        <v>161917</v>
      </c>
      <c r="U79" s="13">
        <v>51948</v>
      </c>
      <c r="V79" s="13">
        <v>13258</v>
      </c>
      <c r="W79" s="13">
        <v>52156</v>
      </c>
      <c r="X79" s="13">
        <v>17691</v>
      </c>
      <c r="Y79" s="13">
        <v>5386</v>
      </c>
      <c r="Z79" s="13">
        <v>17124</v>
      </c>
      <c r="AA79" s="13">
        <v>26388</v>
      </c>
      <c r="AB79" s="13">
        <v>32919</v>
      </c>
      <c r="AC79" s="13">
        <v>18199</v>
      </c>
      <c r="AD79" s="13">
        <v>4846</v>
      </c>
      <c r="AE79" s="13">
        <v>18547</v>
      </c>
      <c r="AF79" s="13">
        <v>26813</v>
      </c>
      <c r="AG79" s="13">
        <v>35583</v>
      </c>
      <c r="AH79" s="13">
        <v>18672</v>
      </c>
      <c r="AK79" s="13">
        <v>378672</v>
      </c>
      <c r="AL79" s="13">
        <v>230658</v>
      </c>
      <c r="AM79" s="13">
        <v>7294</v>
      </c>
      <c r="AN79" s="13">
        <v>74075</v>
      </c>
      <c r="AO79" s="13">
        <v>70610</v>
      </c>
      <c r="AP79" s="13">
        <v>3962</v>
      </c>
      <c r="AQ79" s="13">
        <v>716</v>
      </c>
      <c r="AR79" s="13">
        <v>94109</v>
      </c>
      <c r="AS79" s="13">
        <v>102752</v>
      </c>
      <c r="AT79" s="13">
        <v>377067</v>
      </c>
      <c r="AU79" s="13">
        <v>223239</v>
      </c>
      <c r="AV79" s="13">
        <v>7294</v>
      </c>
      <c r="AW79" s="13">
        <v>74759</v>
      </c>
      <c r="AX79" s="13">
        <v>74015</v>
      </c>
      <c r="AY79" s="13">
        <v>5480</v>
      </c>
      <c r="AZ79" s="13">
        <v>645</v>
      </c>
      <c r="BA79" s="13">
        <v>92332</v>
      </c>
      <c r="BB79" s="13">
        <v>100697</v>
      </c>
    </row>
    <row r="80" spans="1:54" x14ac:dyDescent="0.35">
      <c r="A80" t="s">
        <v>446</v>
      </c>
      <c r="B80" s="13">
        <v>574194</v>
      </c>
      <c r="C80" s="13">
        <v>347001</v>
      </c>
      <c r="D80" s="13">
        <v>11761</v>
      </c>
      <c r="E80" s="13">
        <v>114182</v>
      </c>
      <c r="F80" s="13">
        <v>102493</v>
      </c>
      <c r="G80" s="13">
        <v>2428</v>
      </c>
      <c r="H80" s="13">
        <v>-53</v>
      </c>
      <c r="I80" s="13">
        <v>162210</v>
      </c>
      <c r="J80" s="13">
        <v>163957</v>
      </c>
      <c r="K80" s="13">
        <v>0</v>
      </c>
      <c r="L80" s="13">
        <v>558948</v>
      </c>
      <c r="M80" s="13">
        <v>344031</v>
      </c>
      <c r="N80" s="13">
        <v>11761</v>
      </c>
      <c r="O80" s="13">
        <v>113645</v>
      </c>
      <c r="P80" s="13">
        <v>96008</v>
      </c>
      <c r="Q80" s="13">
        <v>-2653</v>
      </c>
      <c r="R80" s="13">
        <v>114</v>
      </c>
      <c r="S80" s="13">
        <v>163201</v>
      </c>
      <c r="T80" s="13">
        <v>163704</v>
      </c>
      <c r="U80" s="13">
        <v>55519</v>
      </c>
      <c r="V80" s="13">
        <v>13327</v>
      </c>
      <c r="W80" s="13">
        <v>52970</v>
      </c>
      <c r="X80" s="13">
        <v>10174</v>
      </c>
      <c r="Y80" s="13">
        <v>5285</v>
      </c>
      <c r="Z80" s="13">
        <v>16987</v>
      </c>
      <c r="AA80" s="13">
        <v>26234</v>
      </c>
      <c r="AB80" s="13">
        <v>36267</v>
      </c>
      <c r="AC80" s="13">
        <v>18852</v>
      </c>
      <c r="AD80" s="13">
        <v>6037</v>
      </c>
      <c r="AE80" s="13">
        <v>15334</v>
      </c>
      <c r="AF80" s="13">
        <v>25450</v>
      </c>
      <c r="AG80" s="13">
        <v>31628</v>
      </c>
      <c r="AH80" s="13">
        <v>18574</v>
      </c>
      <c r="AK80" s="13">
        <v>387949</v>
      </c>
      <c r="AL80" s="13">
        <v>236480</v>
      </c>
      <c r="AM80" s="13">
        <v>7381</v>
      </c>
      <c r="AN80" s="13">
        <v>75796</v>
      </c>
      <c r="AO80" s="13">
        <v>73520</v>
      </c>
      <c r="AP80" s="13">
        <v>353</v>
      </c>
      <c r="AQ80" s="13">
        <v>-64</v>
      </c>
      <c r="AR80" s="13">
        <v>98192</v>
      </c>
      <c r="AS80" s="13">
        <v>103709</v>
      </c>
      <c r="AT80" s="13">
        <v>378538</v>
      </c>
      <c r="AU80" s="13">
        <v>235253</v>
      </c>
      <c r="AV80" s="13">
        <v>7381</v>
      </c>
      <c r="AW80" s="13">
        <v>75542</v>
      </c>
      <c r="AX80" s="13">
        <v>68594</v>
      </c>
      <c r="AY80" s="13">
        <v>-3635</v>
      </c>
      <c r="AZ80" s="13">
        <v>13</v>
      </c>
      <c r="BA80" s="13">
        <v>99479</v>
      </c>
      <c r="BB80" s="13">
        <v>104089</v>
      </c>
    </row>
    <row r="81" spans="1:54" x14ac:dyDescent="0.35">
      <c r="A81" t="s">
        <v>447</v>
      </c>
      <c r="B81" s="13">
        <v>579605</v>
      </c>
      <c r="C81" s="13">
        <v>353872</v>
      </c>
      <c r="D81" s="13">
        <v>11961</v>
      </c>
      <c r="E81" s="13">
        <v>115149</v>
      </c>
      <c r="F81" s="13">
        <v>99552</v>
      </c>
      <c r="G81" s="13">
        <v>-1836</v>
      </c>
      <c r="H81" s="13">
        <v>1435</v>
      </c>
      <c r="I81" s="13">
        <v>162555</v>
      </c>
      <c r="J81" s="13">
        <v>169987</v>
      </c>
      <c r="K81" s="13">
        <v>0</v>
      </c>
      <c r="L81" s="13">
        <v>587952</v>
      </c>
      <c r="M81" s="13">
        <v>356897</v>
      </c>
      <c r="N81" s="13">
        <v>11961</v>
      </c>
      <c r="O81" s="13">
        <v>114774</v>
      </c>
      <c r="P81" s="13">
        <v>99975</v>
      </c>
      <c r="Q81" s="13">
        <v>2811</v>
      </c>
      <c r="R81" s="13">
        <v>1286</v>
      </c>
      <c r="S81" s="13">
        <v>161909</v>
      </c>
      <c r="T81" s="13">
        <v>172784</v>
      </c>
      <c r="U81" s="13">
        <v>54051</v>
      </c>
      <c r="V81" s="13">
        <v>12482</v>
      </c>
      <c r="W81" s="13">
        <v>55172</v>
      </c>
      <c r="X81" s="13">
        <v>11666</v>
      </c>
      <c r="Y81" s="13">
        <v>5030</v>
      </c>
      <c r="Z81" s="13">
        <v>17564</v>
      </c>
      <c r="AA81" s="13">
        <v>25018</v>
      </c>
      <c r="AB81" s="13">
        <v>34457</v>
      </c>
      <c r="AC81" s="13">
        <v>18686</v>
      </c>
      <c r="AD81" s="13">
        <v>4978</v>
      </c>
      <c r="AE81" s="13">
        <v>16494</v>
      </c>
      <c r="AF81" s="13">
        <v>25077</v>
      </c>
      <c r="AG81" s="13">
        <v>36411</v>
      </c>
      <c r="AH81" s="13">
        <v>18492</v>
      </c>
      <c r="AK81" s="13">
        <v>390894</v>
      </c>
      <c r="AL81" s="13">
        <v>242114</v>
      </c>
      <c r="AM81" s="13">
        <v>7468</v>
      </c>
      <c r="AN81" s="13">
        <v>76754</v>
      </c>
      <c r="AO81" s="13">
        <v>71092</v>
      </c>
      <c r="AP81" s="13">
        <v>1042</v>
      </c>
      <c r="AQ81" s="13">
        <v>793</v>
      </c>
      <c r="AR81" s="13">
        <v>99458</v>
      </c>
      <c r="AS81" s="13">
        <v>107827</v>
      </c>
      <c r="AT81" s="13">
        <v>395535</v>
      </c>
      <c r="AU81" s="13">
        <v>244403</v>
      </c>
      <c r="AV81" s="13">
        <v>7468</v>
      </c>
      <c r="AW81" s="13">
        <v>76645</v>
      </c>
      <c r="AX81" s="13">
        <v>71786</v>
      </c>
      <c r="AY81" s="13">
        <v>5878</v>
      </c>
      <c r="AZ81" s="13">
        <v>774</v>
      </c>
      <c r="BA81" s="13">
        <v>98814</v>
      </c>
      <c r="BB81" s="13">
        <v>110233</v>
      </c>
    </row>
    <row r="82" spans="1:54" x14ac:dyDescent="0.35">
      <c r="A82" t="s">
        <v>448</v>
      </c>
      <c r="B82" s="13">
        <v>584504</v>
      </c>
      <c r="C82" s="13">
        <v>353402</v>
      </c>
      <c r="D82" s="13">
        <v>11823</v>
      </c>
      <c r="E82" s="13">
        <v>114103</v>
      </c>
      <c r="F82" s="13">
        <v>106969</v>
      </c>
      <c r="G82" s="13">
        <v>-6093</v>
      </c>
      <c r="H82" s="13">
        <v>-659</v>
      </c>
      <c r="I82" s="13">
        <v>168521</v>
      </c>
      <c r="J82" s="13">
        <v>168770</v>
      </c>
      <c r="K82" s="13">
        <v>0</v>
      </c>
      <c r="L82" s="13">
        <v>595549</v>
      </c>
      <c r="M82" s="13">
        <v>363196</v>
      </c>
      <c r="N82" s="13">
        <v>11823</v>
      </c>
      <c r="O82" s="13">
        <v>114091</v>
      </c>
      <c r="P82" s="13">
        <v>108482</v>
      </c>
      <c r="Q82" s="13">
        <v>-6430</v>
      </c>
      <c r="R82" s="13">
        <v>-574</v>
      </c>
      <c r="S82" s="13">
        <v>171750</v>
      </c>
      <c r="T82" s="13">
        <v>168485</v>
      </c>
      <c r="U82" s="13">
        <v>57624</v>
      </c>
      <c r="V82" s="13">
        <v>15845</v>
      </c>
      <c r="W82" s="13">
        <v>58843</v>
      </c>
      <c r="X82" s="13">
        <v>15381</v>
      </c>
      <c r="Y82" s="13">
        <v>4854</v>
      </c>
      <c r="Z82" s="13">
        <v>19839</v>
      </c>
      <c r="AA82" s="13">
        <v>25609</v>
      </c>
      <c r="AB82" s="13">
        <v>37916</v>
      </c>
      <c r="AC82" s="13">
        <v>19747</v>
      </c>
      <c r="AD82" s="13">
        <v>4694</v>
      </c>
      <c r="AE82" s="13">
        <v>21140</v>
      </c>
      <c r="AF82" s="13">
        <v>25909</v>
      </c>
      <c r="AG82" s="13">
        <v>37937</v>
      </c>
      <c r="AH82" s="13">
        <v>19746</v>
      </c>
      <c r="AK82" s="13">
        <v>394214</v>
      </c>
      <c r="AL82" s="13">
        <v>242443</v>
      </c>
      <c r="AM82" s="13">
        <v>7627</v>
      </c>
      <c r="AN82" s="13">
        <v>76097</v>
      </c>
      <c r="AO82" s="13">
        <v>76810</v>
      </c>
      <c r="AP82" s="13">
        <v>-879</v>
      </c>
      <c r="AQ82" s="13">
        <v>-412</v>
      </c>
      <c r="AR82" s="13">
        <v>102504</v>
      </c>
      <c r="AS82" s="13">
        <v>109976</v>
      </c>
      <c r="AT82" s="13">
        <v>400589</v>
      </c>
      <c r="AU82" s="13">
        <v>248800</v>
      </c>
      <c r="AV82" s="13">
        <v>7627</v>
      </c>
      <c r="AW82" s="13">
        <v>75776</v>
      </c>
      <c r="AX82" s="13">
        <v>77637</v>
      </c>
      <c r="AY82" s="13">
        <v>-3245</v>
      </c>
      <c r="AZ82" s="13">
        <v>-399</v>
      </c>
      <c r="BA82" s="13">
        <v>103638</v>
      </c>
      <c r="BB82" s="13">
        <v>109245</v>
      </c>
    </row>
    <row r="83" spans="1:54" x14ac:dyDescent="0.35">
      <c r="A83" t="s">
        <v>449</v>
      </c>
      <c r="B83" s="13">
        <v>586690</v>
      </c>
      <c r="C83" s="13">
        <v>355059</v>
      </c>
      <c r="D83" s="13">
        <v>11736</v>
      </c>
      <c r="E83" s="13">
        <v>115993</v>
      </c>
      <c r="F83" s="13">
        <v>101666</v>
      </c>
      <c r="G83" s="13">
        <v>-4672</v>
      </c>
      <c r="H83" s="13">
        <v>505</v>
      </c>
      <c r="I83" s="13">
        <v>168272</v>
      </c>
      <c r="J83" s="13">
        <v>169194</v>
      </c>
      <c r="K83" s="13">
        <v>0</v>
      </c>
      <c r="L83" s="13">
        <v>582870</v>
      </c>
      <c r="M83" s="13">
        <v>345246</v>
      </c>
      <c r="N83" s="13">
        <v>11736</v>
      </c>
      <c r="O83" s="13">
        <v>116609</v>
      </c>
      <c r="P83" s="13">
        <v>107138</v>
      </c>
      <c r="Q83" s="13">
        <v>1305</v>
      </c>
      <c r="R83" s="13">
        <v>393</v>
      </c>
      <c r="S83" s="13">
        <v>163400</v>
      </c>
      <c r="T83" s="13">
        <v>165471</v>
      </c>
      <c r="U83" s="13">
        <v>52099</v>
      </c>
      <c r="V83" s="13">
        <v>16775</v>
      </c>
      <c r="W83" s="13">
        <v>53302</v>
      </c>
      <c r="X83" s="13">
        <v>21251</v>
      </c>
      <c r="Y83" s="13">
        <v>4410</v>
      </c>
      <c r="Z83" s="13">
        <v>19478</v>
      </c>
      <c r="AA83" s="13">
        <v>24951</v>
      </c>
      <c r="AB83" s="13">
        <v>34596</v>
      </c>
      <c r="AC83" s="13">
        <v>19249</v>
      </c>
      <c r="AD83" s="13">
        <v>3879</v>
      </c>
      <c r="AE83" s="13">
        <v>21225</v>
      </c>
      <c r="AF83" s="13">
        <v>25246</v>
      </c>
      <c r="AG83" s="13">
        <v>37983</v>
      </c>
      <c r="AH83" s="13">
        <v>19724</v>
      </c>
      <c r="AK83" s="13">
        <v>399716</v>
      </c>
      <c r="AL83" s="13">
        <v>247179</v>
      </c>
      <c r="AM83" s="13">
        <v>7760</v>
      </c>
      <c r="AN83" s="13">
        <v>79563</v>
      </c>
      <c r="AO83" s="13">
        <v>74277</v>
      </c>
      <c r="AP83" s="13">
        <v>180</v>
      </c>
      <c r="AQ83" s="13">
        <v>314</v>
      </c>
      <c r="AR83" s="13">
        <v>105083</v>
      </c>
      <c r="AS83" s="13">
        <v>114640</v>
      </c>
      <c r="AT83" s="13">
        <v>397265</v>
      </c>
      <c r="AU83" s="13">
        <v>239570</v>
      </c>
      <c r="AV83" s="13">
        <v>7760</v>
      </c>
      <c r="AW83" s="13">
        <v>80555</v>
      </c>
      <c r="AX83" s="13">
        <v>76678</v>
      </c>
      <c r="AY83" s="13">
        <v>1753</v>
      </c>
      <c r="AZ83" s="13">
        <v>230</v>
      </c>
      <c r="BA83" s="13">
        <v>102341</v>
      </c>
      <c r="BB83" s="13">
        <v>111622</v>
      </c>
    </row>
    <row r="84" spans="1:54" x14ac:dyDescent="0.35">
      <c r="A84" t="s">
        <v>450</v>
      </c>
      <c r="B84" s="13">
        <v>583541</v>
      </c>
      <c r="C84" s="13">
        <v>350021</v>
      </c>
      <c r="D84" s="13">
        <v>12043</v>
      </c>
      <c r="E84" s="13">
        <v>115307</v>
      </c>
      <c r="F84" s="13">
        <v>103272</v>
      </c>
      <c r="G84" s="13">
        <v>-281</v>
      </c>
      <c r="H84" s="13">
        <v>-216</v>
      </c>
      <c r="I84" s="13">
        <v>168427</v>
      </c>
      <c r="J84" s="13">
        <v>168732</v>
      </c>
      <c r="K84" s="13">
        <v>0</v>
      </c>
      <c r="L84" s="13">
        <v>573055</v>
      </c>
      <c r="M84" s="13">
        <v>347203</v>
      </c>
      <c r="N84" s="13">
        <v>12043</v>
      </c>
      <c r="O84" s="13">
        <v>115112</v>
      </c>
      <c r="P84" s="13">
        <v>98107</v>
      </c>
      <c r="Q84" s="13">
        <v>-379</v>
      </c>
      <c r="R84" s="13">
        <v>-62</v>
      </c>
      <c r="S84" s="13">
        <v>169626</v>
      </c>
      <c r="T84" s="13">
        <v>168195</v>
      </c>
      <c r="U84" s="13">
        <v>57108</v>
      </c>
      <c r="V84" s="13">
        <v>15255</v>
      </c>
      <c r="W84" s="13">
        <v>55723</v>
      </c>
      <c r="X84" s="13">
        <v>12183</v>
      </c>
      <c r="Y84" s="13">
        <v>5747</v>
      </c>
      <c r="Z84" s="13">
        <v>18836</v>
      </c>
      <c r="AA84" s="13">
        <v>24208</v>
      </c>
      <c r="AB84" s="13">
        <v>35706</v>
      </c>
      <c r="AC84" s="13">
        <v>19553</v>
      </c>
      <c r="AD84" s="13">
        <v>6411</v>
      </c>
      <c r="AE84" s="13">
        <v>16904</v>
      </c>
      <c r="AF84" s="13">
        <v>23425</v>
      </c>
      <c r="AG84" s="13">
        <v>32774</v>
      </c>
      <c r="AH84" s="13">
        <v>19262</v>
      </c>
      <c r="AK84" s="13">
        <v>402687</v>
      </c>
      <c r="AL84" s="13">
        <v>247546</v>
      </c>
      <c r="AM84" s="13">
        <v>8011</v>
      </c>
      <c r="AN84" s="13">
        <v>79825</v>
      </c>
      <c r="AO84" s="13">
        <v>76100</v>
      </c>
      <c r="AP84" s="13">
        <v>-410</v>
      </c>
      <c r="AQ84" s="13">
        <v>-157</v>
      </c>
      <c r="AR84" s="13">
        <v>110790</v>
      </c>
      <c r="AS84" s="13">
        <v>119018</v>
      </c>
      <c r="AT84" s="13">
        <v>397113</v>
      </c>
      <c r="AU84" s="13">
        <v>246329</v>
      </c>
      <c r="AV84" s="13">
        <v>8011</v>
      </c>
      <c r="AW84" s="13">
        <v>79429</v>
      </c>
      <c r="AX84" s="13">
        <v>72314</v>
      </c>
      <c r="AY84" s="13">
        <v>-1888</v>
      </c>
      <c r="AZ84" s="13">
        <v>-72</v>
      </c>
      <c r="BA84" s="13">
        <v>112278</v>
      </c>
      <c r="BB84" s="13">
        <v>119288</v>
      </c>
    </row>
    <row r="85" spans="1:54" x14ac:dyDescent="0.35">
      <c r="A85" t="s">
        <v>451</v>
      </c>
      <c r="B85" s="13">
        <v>573961</v>
      </c>
      <c r="C85" s="13">
        <v>344231</v>
      </c>
      <c r="D85" s="13">
        <v>12336</v>
      </c>
      <c r="E85" s="13">
        <v>117362</v>
      </c>
      <c r="F85" s="13">
        <v>98198</v>
      </c>
      <c r="G85" s="13">
        <v>-858</v>
      </c>
      <c r="H85" s="13">
        <v>-1304</v>
      </c>
      <c r="I85" s="13">
        <v>169095</v>
      </c>
      <c r="J85" s="13">
        <v>164567</v>
      </c>
      <c r="K85" s="13">
        <v>0</v>
      </c>
      <c r="L85" s="13">
        <v>579909</v>
      </c>
      <c r="M85" s="13">
        <v>347258</v>
      </c>
      <c r="N85" s="13">
        <v>12336</v>
      </c>
      <c r="O85" s="13">
        <v>116883</v>
      </c>
      <c r="P85" s="13">
        <v>96914</v>
      </c>
      <c r="Q85" s="13">
        <v>3139</v>
      </c>
      <c r="R85" s="13">
        <v>-1430</v>
      </c>
      <c r="S85" s="13">
        <v>169533</v>
      </c>
      <c r="T85" s="13">
        <v>168457</v>
      </c>
      <c r="U85" s="13">
        <v>54942</v>
      </c>
      <c r="V85" s="13">
        <v>15861</v>
      </c>
      <c r="W85" s="13">
        <v>54511</v>
      </c>
      <c r="X85" s="13">
        <v>14764</v>
      </c>
      <c r="Y85" s="13">
        <v>4624</v>
      </c>
      <c r="Z85" s="13">
        <v>18077</v>
      </c>
      <c r="AA85" s="13">
        <v>22062</v>
      </c>
      <c r="AB85" s="13">
        <v>34223</v>
      </c>
      <c r="AC85" s="13">
        <v>19785</v>
      </c>
      <c r="AD85" s="13">
        <v>4582</v>
      </c>
      <c r="AE85" s="13">
        <v>17350</v>
      </c>
      <c r="AF85" s="13">
        <v>22166</v>
      </c>
      <c r="AG85" s="13">
        <v>33977</v>
      </c>
      <c r="AH85" s="13">
        <v>19588</v>
      </c>
      <c r="AK85" s="13">
        <v>402137</v>
      </c>
      <c r="AL85" s="13">
        <v>246813</v>
      </c>
      <c r="AM85" s="13">
        <v>8313</v>
      </c>
      <c r="AN85" s="13">
        <v>80711</v>
      </c>
      <c r="AO85" s="13">
        <v>72954</v>
      </c>
      <c r="AP85" s="13">
        <v>503</v>
      </c>
      <c r="AQ85" s="13">
        <v>-657</v>
      </c>
      <c r="AR85" s="13">
        <v>113068</v>
      </c>
      <c r="AS85" s="13">
        <v>119568</v>
      </c>
      <c r="AT85" s="13">
        <v>404265</v>
      </c>
      <c r="AU85" s="13">
        <v>249120</v>
      </c>
      <c r="AV85" s="13">
        <v>8313</v>
      </c>
      <c r="AW85" s="13">
        <v>80393</v>
      </c>
      <c r="AX85" s="13">
        <v>72912</v>
      </c>
      <c r="AY85" s="13">
        <v>3949</v>
      </c>
      <c r="AZ85" s="13">
        <v>-654</v>
      </c>
      <c r="BA85" s="13">
        <v>112897</v>
      </c>
      <c r="BB85" s="13">
        <v>122665</v>
      </c>
    </row>
    <row r="86" spans="1:54" x14ac:dyDescent="0.35">
      <c r="A86" t="s">
        <v>452</v>
      </c>
      <c r="B86" s="13">
        <v>561816</v>
      </c>
      <c r="C86" s="13">
        <v>335303</v>
      </c>
      <c r="D86" s="13">
        <v>12572</v>
      </c>
      <c r="E86" s="13">
        <v>118565</v>
      </c>
      <c r="F86" s="13">
        <v>96036</v>
      </c>
      <c r="G86" s="13">
        <v>-2768</v>
      </c>
      <c r="H86" s="13">
        <v>241</v>
      </c>
      <c r="I86" s="13">
        <v>161060</v>
      </c>
      <c r="J86" s="13">
        <v>155489</v>
      </c>
      <c r="K86" s="13">
        <v>0</v>
      </c>
      <c r="L86" s="13">
        <v>570174</v>
      </c>
      <c r="M86" s="13">
        <v>344907</v>
      </c>
      <c r="N86" s="13">
        <v>12572</v>
      </c>
      <c r="O86" s="13">
        <v>118623</v>
      </c>
      <c r="P86" s="13">
        <v>97013</v>
      </c>
      <c r="Q86" s="13">
        <v>-12644</v>
      </c>
      <c r="R86" s="13">
        <v>325</v>
      </c>
      <c r="S86" s="13">
        <v>164295</v>
      </c>
      <c r="T86" s="13">
        <v>155859</v>
      </c>
      <c r="U86" s="13">
        <v>52434</v>
      </c>
      <c r="V86" s="13">
        <v>17411</v>
      </c>
      <c r="W86" s="13">
        <v>53047</v>
      </c>
      <c r="X86" s="13">
        <v>17105</v>
      </c>
      <c r="Y86" s="13">
        <v>4810</v>
      </c>
      <c r="Z86" s="13">
        <v>17359</v>
      </c>
      <c r="AA86" s="13">
        <v>21292</v>
      </c>
      <c r="AB86" s="13">
        <v>33057</v>
      </c>
      <c r="AC86" s="13">
        <v>19920</v>
      </c>
      <c r="AD86" s="13">
        <v>4718</v>
      </c>
      <c r="AE86" s="13">
        <v>18272</v>
      </c>
      <c r="AF86" s="13">
        <v>21677</v>
      </c>
      <c r="AG86" s="13">
        <v>32849</v>
      </c>
      <c r="AH86" s="13">
        <v>19933</v>
      </c>
      <c r="AK86" s="13">
        <v>397677</v>
      </c>
      <c r="AL86" s="13">
        <v>238779</v>
      </c>
      <c r="AM86" s="13">
        <v>8680</v>
      </c>
      <c r="AN86" s="13">
        <v>82893</v>
      </c>
      <c r="AO86" s="13">
        <v>71679</v>
      </c>
      <c r="AP86" s="13">
        <v>-2040</v>
      </c>
      <c r="AQ86" s="13">
        <v>281</v>
      </c>
      <c r="AR86" s="13">
        <v>109737</v>
      </c>
      <c r="AS86" s="13">
        <v>112332</v>
      </c>
      <c r="AT86" s="13">
        <v>403574</v>
      </c>
      <c r="AU86" s="13">
        <v>245298</v>
      </c>
      <c r="AV86" s="13">
        <v>8680</v>
      </c>
      <c r="AW86" s="13">
        <v>82615</v>
      </c>
      <c r="AX86" s="13">
        <v>73106</v>
      </c>
      <c r="AY86" s="13">
        <v>-5581</v>
      </c>
      <c r="AZ86" s="13">
        <v>277</v>
      </c>
      <c r="BA86" s="13">
        <v>111162</v>
      </c>
      <c r="BB86" s="13">
        <v>111983</v>
      </c>
    </row>
    <row r="87" spans="1:54" x14ac:dyDescent="0.35">
      <c r="A87" t="s">
        <v>453</v>
      </c>
      <c r="B87" s="13">
        <v>550451</v>
      </c>
      <c r="C87" s="13">
        <v>333667</v>
      </c>
      <c r="D87" s="13">
        <v>12768</v>
      </c>
      <c r="E87" s="13">
        <v>117859</v>
      </c>
      <c r="F87" s="13">
        <v>90795</v>
      </c>
      <c r="G87" s="13">
        <v>-7604</v>
      </c>
      <c r="H87" s="13">
        <v>1402</v>
      </c>
      <c r="I87" s="13">
        <v>152668</v>
      </c>
      <c r="J87" s="13">
        <v>149465</v>
      </c>
      <c r="K87" s="13">
        <v>0</v>
      </c>
      <c r="L87" s="13">
        <v>546681</v>
      </c>
      <c r="M87" s="13">
        <v>325589</v>
      </c>
      <c r="N87" s="13">
        <v>12768</v>
      </c>
      <c r="O87" s="13">
        <v>118991</v>
      </c>
      <c r="P87" s="13">
        <v>95295</v>
      </c>
      <c r="Q87" s="13">
        <v>-6589</v>
      </c>
      <c r="R87" s="13">
        <v>1279</v>
      </c>
      <c r="S87" s="13">
        <v>147879</v>
      </c>
      <c r="T87" s="13">
        <v>146423</v>
      </c>
      <c r="U87" s="13">
        <v>48456</v>
      </c>
      <c r="V87" s="13">
        <v>17521</v>
      </c>
      <c r="W87" s="13">
        <v>47515</v>
      </c>
      <c r="X87" s="13">
        <v>23255</v>
      </c>
      <c r="Y87" s="13">
        <v>4369</v>
      </c>
      <c r="Z87" s="13">
        <v>17248</v>
      </c>
      <c r="AA87" s="13">
        <v>19767</v>
      </c>
      <c r="AB87" s="13">
        <v>29823</v>
      </c>
      <c r="AC87" s="13">
        <v>19916</v>
      </c>
      <c r="AD87" s="13">
        <v>3887</v>
      </c>
      <c r="AE87" s="13">
        <v>19150</v>
      </c>
      <c r="AF87" s="13">
        <v>19878</v>
      </c>
      <c r="AG87" s="13">
        <v>32370</v>
      </c>
      <c r="AH87" s="13">
        <v>20369</v>
      </c>
      <c r="AK87" s="13">
        <v>389775</v>
      </c>
      <c r="AL87" s="13">
        <v>238132</v>
      </c>
      <c r="AM87" s="13">
        <v>8884</v>
      </c>
      <c r="AN87" s="13">
        <v>83663</v>
      </c>
      <c r="AO87" s="13">
        <v>68481</v>
      </c>
      <c r="AP87" s="13">
        <v>-5806</v>
      </c>
      <c r="AQ87" s="13">
        <v>1249</v>
      </c>
      <c r="AR87" s="13">
        <v>103777</v>
      </c>
      <c r="AS87" s="13">
        <v>108605</v>
      </c>
      <c r="AT87" s="13">
        <v>388315</v>
      </c>
      <c r="AU87" s="13">
        <v>231839</v>
      </c>
      <c r="AV87" s="13">
        <v>8884</v>
      </c>
      <c r="AW87" s="13">
        <v>85085</v>
      </c>
      <c r="AX87" s="13">
        <v>71655</v>
      </c>
      <c r="AY87" s="13">
        <v>-5827</v>
      </c>
      <c r="AZ87" s="13">
        <v>1165</v>
      </c>
      <c r="BA87" s="13">
        <v>100874</v>
      </c>
      <c r="BB87" s="13">
        <v>105360</v>
      </c>
    </row>
    <row r="88" spans="1:54" x14ac:dyDescent="0.35">
      <c r="A88" t="s">
        <v>454</v>
      </c>
      <c r="B88" s="13">
        <v>548859</v>
      </c>
      <c r="C88" s="13">
        <v>332958</v>
      </c>
      <c r="D88" s="13">
        <v>13014</v>
      </c>
      <c r="E88" s="13">
        <v>117610</v>
      </c>
      <c r="F88" s="13">
        <v>87418</v>
      </c>
      <c r="G88" s="13">
        <v>-7752</v>
      </c>
      <c r="H88" s="13">
        <v>533</v>
      </c>
      <c r="I88" s="13">
        <v>151806</v>
      </c>
      <c r="J88" s="13">
        <v>149713</v>
      </c>
      <c r="K88" s="13">
        <v>0</v>
      </c>
      <c r="L88" s="13">
        <v>535755</v>
      </c>
      <c r="M88" s="13">
        <v>329695</v>
      </c>
      <c r="N88" s="13">
        <v>13014</v>
      </c>
      <c r="O88" s="13">
        <v>116815</v>
      </c>
      <c r="P88" s="13">
        <v>81704</v>
      </c>
      <c r="Q88" s="13">
        <v>-7416</v>
      </c>
      <c r="R88" s="13">
        <v>687</v>
      </c>
      <c r="S88" s="13">
        <v>152428</v>
      </c>
      <c r="T88" s="13">
        <v>148761</v>
      </c>
      <c r="U88" s="13">
        <v>46751</v>
      </c>
      <c r="V88" s="13">
        <v>16507</v>
      </c>
      <c r="W88" s="13">
        <v>45816</v>
      </c>
      <c r="X88" s="13">
        <v>12462</v>
      </c>
      <c r="Y88" s="13">
        <v>4902</v>
      </c>
      <c r="Z88" s="13">
        <v>13994</v>
      </c>
      <c r="AA88" s="13">
        <v>18477</v>
      </c>
      <c r="AB88" s="13">
        <v>30733</v>
      </c>
      <c r="AC88" s="13">
        <v>19634</v>
      </c>
      <c r="AD88" s="13">
        <v>5395</v>
      </c>
      <c r="AE88" s="13">
        <v>12262</v>
      </c>
      <c r="AF88" s="13">
        <v>17712</v>
      </c>
      <c r="AG88" s="13">
        <v>27150</v>
      </c>
      <c r="AH88" s="13">
        <v>19320</v>
      </c>
      <c r="AK88" s="13">
        <v>389151</v>
      </c>
      <c r="AL88" s="13">
        <v>237830</v>
      </c>
      <c r="AM88" s="13">
        <v>9217</v>
      </c>
      <c r="AN88" s="13">
        <v>83757</v>
      </c>
      <c r="AO88" s="13">
        <v>65661</v>
      </c>
      <c r="AP88" s="13">
        <v>-3240</v>
      </c>
      <c r="AQ88" s="13">
        <v>525</v>
      </c>
      <c r="AR88" s="13">
        <v>101784</v>
      </c>
      <c r="AS88" s="13">
        <v>106383</v>
      </c>
      <c r="AT88" s="13">
        <v>380351</v>
      </c>
      <c r="AU88" s="13">
        <v>236402</v>
      </c>
      <c r="AV88" s="13">
        <v>9217</v>
      </c>
      <c r="AW88" s="13">
        <v>83069</v>
      </c>
      <c r="AX88" s="13">
        <v>61560</v>
      </c>
      <c r="AY88" s="13">
        <v>-6843</v>
      </c>
      <c r="AZ88" s="13">
        <v>601</v>
      </c>
      <c r="BA88" s="13">
        <v>102713</v>
      </c>
      <c r="BB88" s="13">
        <v>106368</v>
      </c>
    </row>
    <row r="89" spans="1:54" x14ac:dyDescent="0.35">
      <c r="A89" t="s">
        <v>455</v>
      </c>
      <c r="B89" s="13">
        <v>549540</v>
      </c>
      <c r="C89" s="13">
        <v>333656</v>
      </c>
      <c r="D89" s="13">
        <v>13457</v>
      </c>
      <c r="E89" s="13">
        <v>118717</v>
      </c>
      <c r="F89" s="13">
        <v>87976</v>
      </c>
      <c r="G89" s="13">
        <v>-8530</v>
      </c>
      <c r="H89" s="13">
        <v>773</v>
      </c>
      <c r="I89" s="13">
        <v>151599</v>
      </c>
      <c r="J89" s="13">
        <v>153656</v>
      </c>
      <c r="K89" s="13">
        <v>0</v>
      </c>
      <c r="L89" s="13">
        <v>555896</v>
      </c>
      <c r="M89" s="13">
        <v>336101</v>
      </c>
      <c r="N89" s="13">
        <v>13457</v>
      </c>
      <c r="O89" s="13">
        <v>118145</v>
      </c>
      <c r="P89" s="13">
        <v>87613</v>
      </c>
      <c r="Q89" s="13">
        <v>-6029</v>
      </c>
      <c r="R89" s="13">
        <v>701</v>
      </c>
      <c r="S89" s="13">
        <v>152380</v>
      </c>
      <c r="T89" s="13">
        <v>157452</v>
      </c>
      <c r="U89" s="13">
        <v>45581</v>
      </c>
      <c r="V89" s="13">
        <v>18129</v>
      </c>
      <c r="W89" s="13">
        <v>46165</v>
      </c>
      <c r="X89" s="13">
        <v>16890</v>
      </c>
      <c r="Y89" s="13">
        <v>4445</v>
      </c>
      <c r="Z89" s="13">
        <v>14691</v>
      </c>
      <c r="AA89" s="13">
        <v>18464</v>
      </c>
      <c r="AB89" s="13">
        <v>30737</v>
      </c>
      <c r="AC89" s="13">
        <v>19991</v>
      </c>
      <c r="AD89" s="13">
        <v>4380</v>
      </c>
      <c r="AE89" s="13">
        <v>14026</v>
      </c>
      <c r="AF89" s="13">
        <v>18636</v>
      </c>
      <c r="AG89" s="13">
        <v>31207</v>
      </c>
      <c r="AH89" s="13">
        <v>19842</v>
      </c>
      <c r="AK89" s="13">
        <v>391179</v>
      </c>
      <c r="AL89" s="13">
        <v>238586</v>
      </c>
      <c r="AM89" s="13">
        <v>9514</v>
      </c>
      <c r="AN89" s="13">
        <v>85714</v>
      </c>
      <c r="AO89" s="13">
        <v>66140</v>
      </c>
      <c r="AP89" s="13">
        <v>-3500</v>
      </c>
      <c r="AQ89" s="13">
        <v>567</v>
      </c>
      <c r="AR89" s="13">
        <v>102676</v>
      </c>
      <c r="AS89" s="13">
        <v>108518</v>
      </c>
      <c r="AT89" s="13">
        <v>394530</v>
      </c>
      <c r="AU89" s="13">
        <v>240609</v>
      </c>
      <c r="AV89" s="13">
        <v>9514</v>
      </c>
      <c r="AW89" s="13">
        <v>85223</v>
      </c>
      <c r="AX89" s="13">
        <v>65897</v>
      </c>
      <c r="AY89" s="13">
        <v>2159</v>
      </c>
      <c r="AZ89" s="13">
        <v>600</v>
      </c>
      <c r="BA89" s="13">
        <v>102788</v>
      </c>
      <c r="BB89" s="13">
        <v>112260</v>
      </c>
    </row>
    <row r="90" spans="1:54" x14ac:dyDescent="0.35">
      <c r="A90" t="s">
        <v>456</v>
      </c>
      <c r="B90" s="13">
        <v>551372</v>
      </c>
      <c r="C90" s="13">
        <v>336375</v>
      </c>
      <c r="D90" s="13">
        <v>13534</v>
      </c>
      <c r="E90" s="13">
        <v>119548</v>
      </c>
      <c r="F90" s="13">
        <v>86660</v>
      </c>
      <c r="G90" s="13">
        <v>-5121</v>
      </c>
      <c r="H90" s="13">
        <v>-322</v>
      </c>
      <c r="I90" s="13">
        <v>157880</v>
      </c>
      <c r="J90" s="13">
        <v>157461</v>
      </c>
      <c r="K90" s="13">
        <v>0</v>
      </c>
      <c r="L90" s="13">
        <v>561890</v>
      </c>
      <c r="M90" s="13">
        <v>345271</v>
      </c>
      <c r="N90" s="13">
        <v>13534</v>
      </c>
      <c r="O90" s="13">
        <v>119783</v>
      </c>
      <c r="P90" s="13">
        <v>88237</v>
      </c>
      <c r="Q90" s="13">
        <v>-8973</v>
      </c>
      <c r="R90" s="13">
        <v>-281</v>
      </c>
      <c r="S90" s="13">
        <v>161266</v>
      </c>
      <c r="T90" s="13">
        <v>157659</v>
      </c>
      <c r="U90" s="13">
        <v>45414</v>
      </c>
      <c r="V90" s="13">
        <v>17924</v>
      </c>
      <c r="W90" s="13">
        <v>46707</v>
      </c>
      <c r="X90" s="13">
        <v>17473</v>
      </c>
      <c r="Y90" s="13">
        <v>3903</v>
      </c>
      <c r="Z90" s="13">
        <v>14743</v>
      </c>
      <c r="AA90" s="13">
        <v>17387</v>
      </c>
      <c r="AB90" s="13">
        <v>30830</v>
      </c>
      <c r="AC90" s="13">
        <v>20105</v>
      </c>
      <c r="AD90" s="13">
        <v>3957</v>
      </c>
      <c r="AE90" s="13">
        <v>15238</v>
      </c>
      <c r="AF90" s="13">
        <v>17869</v>
      </c>
      <c r="AG90" s="13">
        <v>31395</v>
      </c>
      <c r="AH90" s="13">
        <v>20116</v>
      </c>
      <c r="AK90" s="13">
        <v>389300</v>
      </c>
      <c r="AL90" s="13">
        <v>239090</v>
      </c>
      <c r="AM90" s="13">
        <v>9650</v>
      </c>
      <c r="AN90" s="13">
        <v>85393</v>
      </c>
      <c r="AO90" s="13">
        <v>64643</v>
      </c>
      <c r="AP90" s="13">
        <v>-5412</v>
      </c>
      <c r="AQ90" s="13">
        <v>-12</v>
      </c>
      <c r="AR90" s="13">
        <v>108239</v>
      </c>
      <c r="AS90" s="13">
        <v>112291</v>
      </c>
      <c r="AT90" s="13">
        <v>396209</v>
      </c>
      <c r="AU90" s="13">
        <v>244788</v>
      </c>
      <c r="AV90" s="13">
        <v>9650</v>
      </c>
      <c r="AW90" s="13">
        <v>85150</v>
      </c>
      <c r="AX90" s="13">
        <v>65813</v>
      </c>
      <c r="AY90" s="13">
        <v>-7447</v>
      </c>
      <c r="AZ90" s="13">
        <v>-37</v>
      </c>
      <c r="BA90" s="13">
        <v>110101</v>
      </c>
      <c r="BB90" s="13">
        <v>111809</v>
      </c>
    </row>
    <row r="91" spans="1:54" x14ac:dyDescent="0.35">
      <c r="A91" t="s">
        <v>457</v>
      </c>
      <c r="B91" s="13">
        <v>556002</v>
      </c>
      <c r="C91" s="13">
        <v>335932</v>
      </c>
      <c r="D91" s="13">
        <v>13518</v>
      </c>
      <c r="E91" s="13">
        <v>117946</v>
      </c>
      <c r="F91" s="13">
        <v>90007</v>
      </c>
      <c r="G91" s="13">
        <v>-2406</v>
      </c>
      <c r="H91" s="13">
        <v>-480</v>
      </c>
      <c r="I91" s="13">
        <v>157939</v>
      </c>
      <c r="J91" s="13">
        <v>159143</v>
      </c>
      <c r="K91" s="13">
        <v>0</v>
      </c>
      <c r="L91" s="13">
        <v>552155</v>
      </c>
      <c r="M91" s="13">
        <v>327374</v>
      </c>
      <c r="N91" s="13">
        <v>13518</v>
      </c>
      <c r="O91" s="13">
        <v>119556</v>
      </c>
      <c r="P91" s="13">
        <v>93927</v>
      </c>
      <c r="Q91" s="13">
        <v>-3480</v>
      </c>
      <c r="R91" s="13">
        <v>-624</v>
      </c>
      <c r="S91" s="13">
        <v>153233</v>
      </c>
      <c r="T91" s="13">
        <v>155159</v>
      </c>
      <c r="U91" s="13">
        <v>47159</v>
      </c>
      <c r="V91" s="13">
        <v>18677</v>
      </c>
      <c r="W91" s="13">
        <v>45897</v>
      </c>
      <c r="X91" s="13">
        <v>24426</v>
      </c>
      <c r="Y91" s="13">
        <v>4597</v>
      </c>
      <c r="Z91" s="13">
        <v>15318</v>
      </c>
      <c r="AA91" s="13">
        <v>17688</v>
      </c>
      <c r="AB91" s="13">
        <v>31744</v>
      </c>
      <c r="AC91" s="13">
        <v>20815</v>
      </c>
      <c r="AD91" s="13">
        <v>4076</v>
      </c>
      <c r="AE91" s="13">
        <v>17506</v>
      </c>
      <c r="AF91" s="13">
        <v>17550</v>
      </c>
      <c r="AG91" s="13">
        <v>33392</v>
      </c>
      <c r="AH91" s="13">
        <v>21525</v>
      </c>
      <c r="AK91" s="13">
        <v>398126</v>
      </c>
      <c r="AL91" s="13">
        <v>238932</v>
      </c>
      <c r="AM91" s="13">
        <v>9644</v>
      </c>
      <c r="AN91" s="13">
        <v>86360</v>
      </c>
      <c r="AO91" s="13">
        <v>66662</v>
      </c>
      <c r="AP91" s="13">
        <v>2097</v>
      </c>
      <c r="AQ91" s="13">
        <v>-258</v>
      </c>
      <c r="AR91" s="13">
        <v>110630</v>
      </c>
      <c r="AS91" s="13">
        <v>115941</v>
      </c>
      <c r="AT91" s="13">
        <v>395980</v>
      </c>
      <c r="AU91" s="13">
        <v>232272</v>
      </c>
      <c r="AV91" s="13">
        <v>9644</v>
      </c>
      <c r="AW91" s="13">
        <v>87874</v>
      </c>
      <c r="AX91" s="13">
        <v>69886</v>
      </c>
      <c r="AY91" s="13">
        <v>1731</v>
      </c>
      <c r="AZ91" s="13">
        <v>-340</v>
      </c>
      <c r="BA91" s="13">
        <v>107830</v>
      </c>
      <c r="BB91" s="13">
        <v>112917</v>
      </c>
    </row>
    <row r="92" spans="1:54" x14ac:dyDescent="0.35">
      <c r="A92" t="s">
        <v>458</v>
      </c>
      <c r="B92" s="13">
        <v>562353</v>
      </c>
      <c r="C92" s="13">
        <v>345407</v>
      </c>
      <c r="D92" s="13">
        <v>13561</v>
      </c>
      <c r="E92" s="13">
        <v>118254</v>
      </c>
      <c r="F92" s="13">
        <v>87938</v>
      </c>
      <c r="G92" s="13">
        <v>-1128</v>
      </c>
      <c r="H92" s="13">
        <v>-745</v>
      </c>
      <c r="I92" s="13">
        <v>162472</v>
      </c>
      <c r="J92" s="13">
        <v>163970</v>
      </c>
      <c r="K92" s="13">
        <v>0</v>
      </c>
      <c r="L92" s="13">
        <v>549207</v>
      </c>
      <c r="M92" s="13">
        <v>340805</v>
      </c>
      <c r="N92" s="13">
        <v>13561</v>
      </c>
      <c r="O92" s="13">
        <v>117396</v>
      </c>
      <c r="P92" s="13">
        <v>82063</v>
      </c>
      <c r="Q92" s="13">
        <v>-4203</v>
      </c>
      <c r="R92" s="13">
        <v>-626</v>
      </c>
      <c r="S92" s="13">
        <v>162963</v>
      </c>
      <c r="T92" s="13">
        <v>162816</v>
      </c>
      <c r="U92" s="13">
        <v>46055</v>
      </c>
      <c r="V92" s="13">
        <v>17329</v>
      </c>
      <c r="W92" s="13">
        <v>44820</v>
      </c>
      <c r="X92" s="13">
        <v>13340</v>
      </c>
      <c r="Y92" s="13">
        <v>4137</v>
      </c>
      <c r="Z92" s="13">
        <v>13889</v>
      </c>
      <c r="AA92" s="13">
        <v>18757</v>
      </c>
      <c r="AB92" s="13">
        <v>30152</v>
      </c>
      <c r="AC92" s="13">
        <v>21485</v>
      </c>
      <c r="AD92" s="13">
        <v>4422</v>
      </c>
      <c r="AE92" s="13">
        <v>12003</v>
      </c>
      <c r="AF92" s="13">
        <v>18111</v>
      </c>
      <c r="AG92" s="13">
        <v>26957</v>
      </c>
      <c r="AH92" s="13">
        <v>20931</v>
      </c>
      <c r="AK92" s="13">
        <v>402937</v>
      </c>
      <c r="AL92" s="13">
        <v>247547</v>
      </c>
      <c r="AM92" s="13">
        <v>9683</v>
      </c>
      <c r="AN92" s="13">
        <v>86009</v>
      </c>
      <c r="AO92" s="13">
        <v>65370</v>
      </c>
      <c r="AP92" s="13">
        <v>-69</v>
      </c>
      <c r="AQ92" s="13">
        <v>-362</v>
      </c>
      <c r="AR92" s="13">
        <v>116022</v>
      </c>
      <c r="AS92" s="13">
        <v>121263</v>
      </c>
      <c r="AT92" s="13">
        <v>394997</v>
      </c>
      <c r="AU92" s="13">
        <v>245241</v>
      </c>
      <c r="AV92" s="13">
        <v>9683</v>
      </c>
      <c r="AW92" s="13">
        <v>85407</v>
      </c>
      <c r="AX92" s="13">
        <v>61061</v>
      </c>
      <c r="AY92" s="13">
        <v>-2508</v>
      </c>
      <c r="AZ92" s="13">
        <v>-304</v>
      </c>
      <c r="BA92" s="13">
        <v>117286</v>
      </c>
      <c r="BB92" s="13">
        <v>120869</v>
      </c>
    </row>
    <row r="93" spans="1:54" x14ac:dyDescent="0.35">
      <c r="A93" t="s">
        <v>459</v>
      </c>
      <c r="B93" s="13">
        <v>565659</v>
      </c>
      <c r="C93" s="13">
        <v>346142</v>
      </c>
      <c r="D93" s="13">
        <v>13659</v>
      </c>
      <c r="E93" s="13">
        <v>118609</v>
      </c>
      <c r="F93" s="13">
        <v>90701</v>
      </c>
      <c r="G93" s="13">
        <v>-989</v>
      </c>
      <c r="H93" s="13">
        <v>346</v>
      </c>
      <c r="I93" s="13">
        <v>164195</v>
      </c>
      <c r="J93" s="13">
        <v>169094</v>
      </c>
      <c r="K93" s="13">
        <v>0</v>
      </c>
      <c r="L93" s="13">
        <v>571304</v>
      </c>
      <c r="M93" s="13">
        <v>349431</v>
      </c>
      <c r="N93" s="13">
        <v>13659</v>
      </c>
      <c r="O93" s="13">
        <v>117731</v>
      </c>
      <c r="P93" s="13">
        <v>90285</v>
      </c>
      <c r="Q93" s="13">
        <v>3839</v>
      </c>
      <c r="R93" s="13">
        <v>349</v>
      </c>
      <c r="S93" s="13">
        <v>164652</v>
      </c>
      <c r="T93" s="13">
        <v>173671</v>
      </c>
      <c r="U93" s="13">
        <v>47527</v>
      </c>
      <c r="V93" s="13">
        <v>17948</v>
      </c>
      <c r="W93" s="13">
        <v>47926</v>
      </c>
      <c r="X93" s="13">
        <v>16759</v>
      </c>
      <c r="Y93" s="13">
        <v>4720</v>
      </c>
      <c r="Z93" s="13">
        <v>13941</v>
      </c>
      <c r="AA93" s="13">
        <v>19136</v>
      </c>
      <c r="AB93" s="13">
        <v>32139</v>
      </c>
      <c r="AC93" s="13">
        <v>21368</v>
      </c>
      <c r="AD93" s="13">
        <v>4720</v>
      </c>
      <c r="AE93" s="13">
        <v>13132</v>
      </c>
      <c r="AF93" s="13">
        <v>19380</v>
      </c>
      <c r="AG93" s="13">
        <v>32606</v>
      </c>
      <c r="AH93" s="13">
        <v>21208</v>
      </c>
      <c r="AK93" s="13">
        <v>406177</v>
      </c>
      <c r="AL93" s="13">
        <v>249886</v>
      </c>
      <c r="AM93" s="13">
        <v>9739</v>
      </c>
      <c r="AN93" s="13">
        <v>86020</v>
      </c>
      <c r="AO93" s="13">
        <v>67390</v>
      </c>
      <c r="AP93" s="13">
        <v>516</v>
      </c>
      <c r="AQ93" s="13">
        <v>443</v>
      </c>
      <c r="AR93" s="13">
        <v>116673</v>
      </c>
      <c r="AS93" s="13">
        <v>124490</v>
      </c>
      <c r="AT93" s="13">
        <v>409292</v>
      </c>
      <c r="AU93" s="13">
        <v>252381</v>
      </c>
      <c r="AV93" s="13">
        <v>9739</v>
      </c>
      <c r="AW93" s="13">
        <v>85406</v>
      </c>
      <c r="AX93" s="13">
        <v>67085</v>
      </c>
      <c r="AY93" s="13">
        <v>5429</v>
      </c>
      <c r="AZ93" s="13">
        <v>500</v>
      </c>
      <c r="BA93" s="13">
        <v>116478</v>
      </c>
      <c r="BB93" s="13">
        <v>127726</v>
      </c>
    </row>
    <row r="94" spans="1:54" x14ac:dyDescent="0.35">
      <c r="A94" t="s">
        <v>460</v>
      </c>
      <c r="B94" s="13">
        <v>565945</v>
      </c>
      <c r="C94" s="13">
        <v>345426</v>
      </c>
      <c r="D94" s="13">
        <v>13479</v>
      </c>
      <c r="E94" s="13">
        <v>118817</v>
      </c>
      <c r="F94" s="13">
        <v>92570</v>
      </c>
      <c r="G94" s="13">
        <v>-2502</v>
      </c>
      <c r="H94" s="13">
        <v>364</v>
      </c>
      <c r="I94" s="13">
        <v>167104</v>
      </c>
      <c r="J94" s="13">
        <v>170879</v>
      </c>
      <c r="K94" s="13">
        <v>0</v>
      </c>
      <c r="L94" s="13">
        <v>577293</v>
      </c>
      <c r="M94" s="13">
        <v>355297</v>
      </c>
      <c r="N94" s="13">
        <v>13479</v>
      </c>
      <c r="O94" s="13">
        <v>118943</v>
      </c>
      <c r="P94" s="13">
        <v>94941</v>
      </c>
      <c r="Q94" s="13">
        <v>-3181</v>
      </c>
      <c r="R94" s="13">
        <v>386</v>
      </c>
      <c r="S94" s="13">
        <v>170862</v>
      </c>
      <c r="T94" s="13">
        <v>171440</v>
      </c>
      <c r="U94" s="13">
        <v>50337</v>
      </c>
      <c r="V94" s="13">
        <v>17522</v>
      </c>
      <c r="W94" s="13">
        <v>52435</v>
      </c>
      <c r="X94" s="13">
        <v>16951</v>
      </c>
      <c r="Y94" s="13">
        <v>7281</v>
      </c>
      <c r="Z94" s="13">
        <v>14003</v>
      </c>
      <c r="AA94" s="13">
        <v>18789</v>
      </c>
      <c r="AB94" s="13">
        <v>31353</v>
      </c>
      <c r="AC94" s="13">
        <v>21189</v>
      </c>
      <c r="AD94" s="13">
        <v>7516</v>
      </c>
      <c r="AE94" s="13">
        <v>14508</v>
      </c>
      <c r="AF94" s="13">
        <v>19329</v>
      </c>
      <c r="AG94" s="13">
        <v>32433</v>
      </c>
      <c r="AH94" s="13">
        <v>21193</v>
      </c>
      <c r="AK94" s="13">
        <v>408599</v>
      </c>
      <c r="AL94" s="13">
        <v>251887</v>
      </c>
      <c r="AM94" s="13">
        <v>9694</v>
      </c>
      <c r="AN94" s="13">
        <v>87098</v>
      </c>
      <c r="AO94" s="13">
        <v>68691</v>
      </c>
      <c r="AP94" s="13">
        <v>-2532</v>
      </c>
      <c r="AQ94" s="13">
        <v>574</v>
      </c>
      <c r="AR94" s="13">
        <v>121170</v>
      </c>
      <c r="AS94" s="13">
        <v>127983</v>
      </c>
      <c r="AT94" s="13">
        <v>415570</v>
      </c>
      <c r="AU94" s="13">
        <v>258358</v>
      </c>
      <c r="AV94" s="13">
        <v>9694</v>
      </c>
      <c r="AW94" s="13">
        <v>86800</v>
      </c>
      <c r="AX94" s="13">
        <v>70081</v>
      </c>
      <c r="AY94" s="13">
        <v>-4640</v>
      </c>
      <c r="AZ94" s="13">
        <v>541</v>
      </c>
      <c r="BA94" s="13">
        <v>122901</v>
      </c>
      <c r="BB94" s="13">
        <v>128165</v>
      </c>
    </row>
    <row r="95" spans="1:54" x14ac:dyDescent="0.35">
      <c r="A95" t="s">
        <v>461</v>
      </c>
      <c r="B95" s="13">
        <v>566873</v>
      </c>
      <c r="C95" s="13">
        <v>342009</v>
      </c>
      <c r="D95" s="13">
        <v>13232</v>
      </c>
      <c r="E95" s="13">
        <v>119224</v>
      </c>
      <c r="F95" s="13">
        <v>89358</v>
      </c>
      <c r="G95" s="13">
        <v>-67</v>
      </c>
      <c r="H95" s="13">
        <v>-2778</v>
      </c>
      <c r="I95" s="13">
        <v>175386</v>
      </c>
      <c r="J95" s="13">
        <v>167383</v>
      </c>
      <c r="K95" s="13">
        <v>0</v>
      </c>
      <c r="L95" s="13">
        <v>561218</v>
      </c>
      <c r="M95" s="13">
        <v>332482</v>
      </c>
      <c r="N95" s="13">
        <v>13232</v>
      </c>
      <c r="O95" s="13">
        <v>120926</v>
      </c>
      <c r="P95" s="13">
        <v>93206</v>
      </c>
      <c r="Q95" s="13">
        <v>-1901</v>
      </c>
      <c r="R95" s="13">
        <v>-2920</v>
      </c>
      <c r="S95" s="13">
        <v>171102</v>
      </c>
      <c r="T95" s="13">
        <v>164053</v>
      </c>
      <c r="U95" s="13">
        <v>47060</v>
      </c>
      <c r="V95" s="13">
        <v>18451</v>
      </c>
      <c r="W95" s="13">
        <v>45750</v>
      </c>
      <c r="X95" s="13">
        <v>24732</v>
      </c>
      <c r="Y95" s="13">
        <v>3646</v>
      </c>
      <c r="Z95" s="13">
        <v>14224</v>
      </c>
      <c r="AA95" s="13">
        <v>18646</v>
      </c>
      <c r="AB95" s="13">
        <v>32149</v>
      </c>
      <c r="AC95" s="13">
        <v>21363</v>
      </c>
      <c r="AD95" s="13">
        <v>3162</v>
      </c>
      <c r="AE95" s="13">
        <v>15781</v>
      </c>
      <c r="AF95" s="13">
        <v>18049</v>
      </c>
      <c r="AG95" s="13">
        <v>35164</v>
      </c>
      <c r="AH95" s="13">
        <v>21771</v>
      </c>
      <c r="AK95" s="13">
        <v>416521</v>
      </c>
      <c r="AL95" s="13">
        <v>253802</v>
      </c>
      <c r="AM95" s="13">
        <v>9661</v>
      </c>
      <c r="AN95" s="13">
        <v>88983</v>
      </c>
      <c r="AO95" s="13">
        <v>66449</v>
      </c>
      <c r="AP95" s="13">
        <v>-1069</v>
      </c>
      <c r="AQ95" s="13">
        <v>-1695</v>
      </c>
      <c r="AR95" s="13">
        <v>128957</v>
      </c>
      <c r="AS95" s="13">
        <v>128567</v>
      </c>
      <c r="AT95" s="13">
        <v>413067</v>
      </c>
      <c r="AU95" s="13">
        <v>246438</v>
      </c>
      <c r="AV95" s="13">
        <v>9661</v>
      </c>
      <c r="AW95" s="13">
        <v>90471</v>
      </c>
      <c r="AX95" s="13">
        <v>69258</v>
      </c>
      <c r="AY95" s="13">
        <v>-1613</v>
      </c>
      <c r="AZ95" s="13">
        <v>-1770</v>
      </c>
      <c r="BA95" s="13">
        <v>126343</v>
      </c>
      <c r="BB95" s="13">
        <v>125721</v>
      </c>
    </row>
    <row r="96" spans="1:54" x14ac:dyDescent="0.35">
      <c r="A96" t="s">
        <v>462</v>
      </c>
      <c r="B96" s="13">
        <v>566601</v>
      </c>
      <c r="C96" s="13">
        <v>340153</v>
      </c>
      <c r="D96" s="13">
        <v>13719</v>
      </c>
      <c r="E96" s="13">
        <v>117522</v>
      </c>
      <c r="F96" s="13">
        <v>88767</v>
      </c>
      <c r="G96" s="13">
        <v>5005</v>
      </c>
      <c r="H96" s="13">
        <v>453</v>
      </c>
      <c r="I96" s="13">
        <v>171893</v>
      </c>
      <c r="J96" s="13">
        <v>171710</v>
      </c>
      <c r="K96" s="13">
        <v>0</v>
      </c>
      <c r="L96" s="13">
        <v>555645</v>
      </c>
      <c r="M96" s="13">
        <v>336629</v>
      </c>
      <c r="N96" s="13">
        <v>13719</v>
      </c>
      <c r="O96" s="13">
        <v>116723</v>
      </c>
      <c r="P96" s="13">
        <v>82492</v>
      </c>
      <c r="Q96" s="13">
        <v>2155</v>
      </c>
      <c r="R96" s="13">
        <v>513</v>
      </c>
      <c r="S96" s="13">
        <v>172904</v>
      </c>
      <c r="T96" s="13">
        <v>170361</v>
      </c>
      <c r="U96" s="13">
        <v>49334</v>
      </c>
      <c r="V96" s="13">
        <v>15951</v>
      </c>
      <c r="W96" s="13">
        <v>47874</v>
      </c>
      <c r="X96" s="13">
        <v>11561</v>
      </c>
      <c r="Y96" s="13">
        <v>4352</v>
      </c>
      <c r="Z96" s="13">
        <v>15124</v>
      </c>
      <c r="AA96" s="13">
        <v>18288</v>
      </c>
      <c r="AB96" s="13">
        <v>30082</v>
      </c>
      <c r="AC96" s="13">
        <v>21121</v>
      </c>
      <c r="AD96" s="13">
        <v>4456</v>
      </c>
      <c r="AE96" s="13">
        <v>13248</v>
      </c>
      <c r="AF96" s="13">
        <v>17815</v>
      </c>
      <c r="AG96" s="13">
        <v>26363</v>
      </c>
      <c r="AH96" s="13">
        <v>20623</v>
      </c>
      <c r="AK96" s="13">
        <v>414040</v>
      </c>
      <c r="AL96" s="13">
        <v>253472</v>
      </c>
      <c r="AM96" s="13">
        <v>9845</v>
      </c>
      <c r="AN96" s="13">
        <v>85344</v>
      </c>
      <c r="AO96" s="13">
        <v>66429</v>
      </c>
      <c r="AP96" s="13">
        <v>3838</v>
      </c>
      <c r="AQ96" s="13">
        <v>619</v>
      </c>
      <c r="AR96" s="13">
        <v>129473</v>
      </c>
      <c r="AS96" s="13">
        <v>134980</v>
      </c>
      <c r="AT96" s="13">
        <v>407026</v>
      </c>
      <c r="AU96" s="13">
        <v>251501</v>
      </c>
      <c r="AV96" s="13">
        <v>9845</v>
      </c>
      <c r="AW96" s="13">
        <v>84910</v>
      </c>
      <c r="AX96" s="13">
        <v>61817</v>
      </c>
      <c r="AY96" s="13">
        <v>1822</v>
      </c>
      <c r="AZ96" s="13">
        <v>658</v>
      </c>
      <c r="BA96" s="13">
        <v>131144</v>
      </c>
      <c r="BB96" s="13">
        <v>134671</v>
      </c>
    </row>
    <row r="97" spans="1:54" x14ac:dyDescent="0.35">
      <c r="A97" t="s">
        <v>463</v>
      </c>
      <c r="B97" s="13">
        <v>567586</v>
      </c>
      <c r="C97" s="13">
        <v>340755</v>
      </c>
      <c r="D97" s="13">
        <v>13673</v>
      </c>
      <c r="E97" s="13">
        <v>117292</v>
      </c>
      <c r="F97" s="13">
        <v>90687</v>
      </c>
      <c r="G97" s="13">
        <v>672</v>
      </c>
      <c r="H97" s="13">
        <v>1547</v>
      </c>
      <c r="I97" s="13">
        <v>173285</v>
      </c>
      <c r="J97" s="13">
        <v>170592</v>
      </c>
      <c r="K97" s="13">
        <v>0</v>
      </c>
      <c r="L97" s="13">
        <v>571731</v>
      </c>
      <c r="M97" s="13">
        <v>344039</v>
      </c>
      <c r="N97" s="13">
        <v>13673</v>
      </c>
      <c r="O97" s="13">
        <v>116264</v>
      </c>
      <c r="P97" s="13">
        <v>89546</v>
      </c>
      <c r="Q97" s="13">
        <v>3055</v>
      </c>
      <c r="R97" s="13">
        <v>1632</v>
      </c>
      <c r="S97" s="13">
        <v>174122</v>
      </c>
      <c r="T97" s="13">
        <v>175205</v>
      </c>
      <c r="U97" s="13">
        <v>50839</v>
      </c>
      <c r="V97" s="13">
        <v>16182</v>
      </c>
      <c r="W97" s="13">
        <v>50692</v>
      </c>
      <c r="X97" s="13">
        <v>14920</v>
      </c>
      <c r="Y97" s="13">
        <v>3532</v>
      </c>
      <c r="Z97" s="13">
        <v>15707</v>
      </c>
      <c r="AA97" s="13">
        <v>18159</v>
      </c>
      <c r="AB97" s="13">
        <v>31166</v>
      </c>
      <c r="AC97" s="13">
        <v>22418</v>
      </c>
      <c r="AD97" s="13">
        <v>3482</v>
      </c>
      <c r="AE97" s="13">
        <v>15085</v>
      </c>
      <c r="AF97" s="13">
        <v>18263</v>
      </c>
      <c r="AG97" s="13">
        <v>31509</v>
      </c>
      <c r="AH97" s="13">
        <v>21655</v>
      </c>
      <c r="AK97" s="13">
        <v>418119</v>
      </c>
      <c r="AL97" s="13">
        <v>255720</v>
      </c>
      <c r="AM97" s="13">
        <v>9957</v>
      </c>
      <c r="AN97" s="13">
        <v>86000</v>
      </c>
      <c r="AO97" s="13">
        <v>68244</v>
      </c>
      <c r="AP97" s="13">
        <v>1725</v>
      </c>
      <c r="AQ97" s="13">
        <v>1627</v>
      </c>
      <c r="AR97" s="13">
        <v>130936</v>
      </c>
      <c r="AS97" s="13">
        <v>136090</v>
      </c>
      <c r="AT97" s="13">
        <v>419183</v>
      </c>
      <c r="AU97" s="13">
        <v>258216</v>
      </c>
      <c r="AV97" s="13">
        <v>9957</v>
      </c>
      <c r="AW97" s="13">
        <v>85312</v>
      </c>
      <c r="AX97" s="13">
        <v>67481</v>
      </c>
      <c r="AY97" s="13">
        <v>5527</v>
      </c>
      <c r="AZ97" s="13">
        <v>1719</v>
      </c>
      <c r="BA97" s="13">
        <v>130705</v>
      </c>
      <c r="BB97" s="13">
        <v>139734</v>
      </c>
    </row>
    <row r="98" spans="1:54" x14ac:dyDescent="0.35">
      <c r="A98" t="s">
        <v>464</v>
      </c>
      <c r="B98" s="13">
        <v>568056</v>
      </c>
      <c r="C98" s="13">
        <v>341255</v>
      </c>
      <c r="D98" s="13">
        <v>13391</v>
      </c>
      <c r="E98" s="13">
        <v>118072</v>
      </c>
      <c r="F98" s="13">
        <v>91791</v>
      </c>
      <c r="G98" s="13">
        <v>-5180</v>
      </c>
      <c r="H98" s="13">
        <v>3</v>
      </c>
      <c r="I98" s="13">
        <v>175425</v>
      </c>
      <c r="J98" s="13">
        <v>171577</v>
      </c>
      <c r="K98" s="13">
        <v>0</v>
      </c>
      <c r="L98" s="13">
        <v>580522</v>
      </c>
      <c r="M98" s="13">
        <v>351022</v>
      </c>
      <c r="N98" s="13">
        <v>13391</v>
      </c>
      <c r="O98" s="13">
        <v>118197</v>
      </c>
      <c r="P98" s="13">
        <v>95359</v>
      </c>
      <c r="Q98" s="13">
        <v>-2879</v>
      </c>
      <c r="R98" s="13">
        <v>0</v>
      </c>
      <c r="S98" s="13">
        <v>177861</v>
      </c>
      <c r="T98" s="13">
        <v>171643</v>
      </c>
      <c r="U98" s="13">
        <v>52186</v>
      </c>
      <c r="V98" s="13">
        <v>15922</v>
      </c>
      <c r="W98" s="13">
        <v>55103</v>
      </c>
      <c r="X98" s="13">
        <v>15291</v>
      </c>
      <c r="Y98" s="13">
        <v>5117</v>
      </c>
      <c r="Z98" s="13">
        <v>15851</v>
      </c>
      <c r="AA98" s="13">
        <v>17832</v>
      </c>
      <c r="AB98" s="13">
        <v>31960</v>
      </c>
      <c r="AC98" s="13">
        <v>21006</v>
      </c>
      <c r="AD98" s="13">
        <v>5548</v>
      </c>
      <c r="AE98" s="13">
        <v>16793</v>
      </c>
      <c r="AF98" s="13">
        <v>18798</v>
      </c>
      <c r="AG98" s="13">
        <v>32320</v>
      </c>
      <c r="AH98" s="13">
        <v>21860</v>
      </c>
      <c r="AK98" s="13">
        <v>421265</v>
      </c>
      <c r="AL98" s="13">
        <v>257937</v>
      </c>
      <c r="AM98" s="13">
        <v>9913</v>
      </c>
      <c r="AN98" s="13">
        <v>87172</v>
      </c>
      <c r="AO98" s="13">
        <v>69094</v>
      </c>
      <c r="AP98" s="13">
        <v>-357</v>
      </c>
      <c r="AQ98" s="13">
        <v>498</v>
      </c>
      <c r="AR98" s="13">
        <v>132741</v>
      </c>
      <c r="AS98" s="13">
        <v>135733</v>
      </c>
      <c r="AT98" s="13">
        <v>430669</v>
      </c>
      <c r="AU98" s="13">
        <v>264776</v>
      </c>
      <c r="AV98" s="13">
        <v>9913</v>
      </c>
      <c r="AW98" s="13">
        <v>86806</v>
      </c>
      <c r="AX98" s="13">
        <v>71660</v>
      </c>
      <c r="AY98" s="13">
        <v>-1599</v>
      </c>
      <c r="AZ98" s="13">
        <v>442</v>
      </c>
      <c r="BA98" s="13">
        <v>133915</v>
      </c>
      <c r="BB98" s="13">
        <v>135244</v>
      </c>
    </row>
    <row r="99" spans="1:54" x14ac:dyDescent="0.35">
      <c r="A99" t="s">
        <v>465</v>
      </c>
      <c r="B99" s="13">
        <v>573416</v>
      </c>
      <c r="C99" s="13">
        <v>341708</v>
      </c>
      <c r="D99" s="13">
        <v>13210</v>
      </c>
      <c r="E99" s="13">
        <v>121472</v>
      </c>
      <c r="F99" s="13">
        <v>93207</v>
      </c>
      <c r="G99" s="13">
        <v>-5535</v>
      </c>
      <c r="H99" s="13">
        <v>-2133</v>
      </c>
      <c r="I99" s="13">
        <v>181052</v>
      </c>
      <c r="J99" s="13">
        <v>173512</v>
      </c>
      <c r="K99" s="13">
        <v>0</v>
      </c>
      <c r="L99" s="13">
        <v>568310</v>
      </c>
      <c r="M99" s="13">
        <v>332098</v>
      </c>
      <c r="N99" s="13">
        <v>13210</v>
      </c>
      <c r="O99" s="13">
        <v>123362</v>
      </c>
      <c r="P99" s="13">
        <v>95226</v>
      </c>
      <c r="Q99" s="13">
        <v>-1701</v>
      </c>
      <c r="R99" s="13">
        <v>-2292</v>
      </c>
      <c r="S99" s="13">
        <v>178158</v>
      </c>
      <c r="T99" s="13">
        <v>171343</v>
      </c>
      <c r="U99" s="13">
        <v>53782</v>
      </c>
      <c r="V99" s="13">
        <v>16542</v>
      </c>
      <c r="W99" s="13">
        <v>50510</v>
      </c>
      <c r="X99" s="13">
        <v>22655</v>
      </c>
      <c r="Y99" s="13">
        <v>8952</v>
      </c>
      <c r="Z99" s="13">
        <v>15133</v>
      </c>
      <c r="AA99" s="13">
        <v>17072</v>
      </c>
      <c r="AB99" s="13">
        <v>30499</v>
      </c>
      <c r="AC99" s="13">
        <v>20690</v>
      </c>
      <c r="AD99" s="13">
        <v>8212</v>
      </c>
      <c r="AE99" s="13">
        <v>15998</v>
      </c>
      <c r="AF99" s="13">
        <v>16853</v>
      </c>
      <c r="AG99" s="13">
        <v>32819</v>
      </c>
      <c r="AH99" s="13">
        <v>20612</v>
      </c>
      <c r="AK99" s="13">
        <v>426653</v>
      </c>
      <c r="AL99" s="13">
        <v>259056</v>
      </c>
      <c r="AM99" s="13">
        <v>9928</v>
      </c>
      <c r="AN99" s="13">
        <v>90615</v>
      </c>
      <c r="AO99" s="13">
        <v>70629</v>
      </c>
      <c r="AP99" s="13">
        <v>-2389</v>
      </c>
      <c r="AQ99" s="13">
        <v>-1187</v>
      </c>
      <c r="AR99" s="13">
        <v>136133</v>
      </c>
      <c r="AS99" s="13">
        <v>136132</v>
      </c>
      <c r="AT99" s="13">
        <v>424059</v>
      </c>
      <c r="AU99" s="13">
        <v>251623</v>
      </c>
      <c r="AV99" s="13">
        <v>9928</v>
      </c>
      <c r="AW99" s="13">
        <v>92146</v>
      </c>
      <c r="AX99" s="13">
        <v>73305</v>
      </c>
      <c r="AY99" s="13">
        <v>-1824</v>
      </c>
      <c r="AZ99" s="13">
        <v>-1265</v>
      </c>
      <c r="BA99" s="13">
        <v>134010</v>
      </c>
      <c r="BB99" s="13">
        <v>133864</v>
      </c>
    </row>
    <row r="100" spans="1:54" x14ac:dyDescent="0.35">
      <c r="A100" t="s">
        <v>466</v>
      </c>
      <c r="B100" s="13">
        <v>573112</v>
      </c>
      <c r="C100" s="13">
        <v>345006</v>
      </c>
      <c r="D100" s="13">
        <v>13703</v>
      </c>
      <c r="E100" s="13">
        <v>118038</v>
      </c>
      <c r="F100" s="13">
        <v>90462</v>
      </c>
      <c r="G100" s="13">
        <v>8076</v>
      </c>
      <c r="H100" s="13">
        <v>672</v>
      </c>
      <c r="I100" s="13">
        <v>171424</v>
      </c>
      <c r="J100" s="13">
        <v>176340</v>
      </c>
      <c r="K100" s="13">
        <v>0</v>
      </c>
      <c r="L100" s="13">
        <v>562496</v>
      </c>
      <c r="M100" s="13">
        <v>340433</v>
      </c>
      <c r="N100" s="13">
        <v>13703</v>
      </c>
      <c r="O100" s="13">
        <v>117192</v>
      </c>
      <c r="P100" s="13">
        <v>85375</v>
      </c>
      <c r="Q100" s="13">
        <v>10770</v>
      </c>
      <c r="R100" s="13">
        <v>699</v>
      </c>
      <c r="S100" s="13">
        <v>172198</v>
      </c>
      <c r="T100" s="13">
        <v>174590</v>
      </c>
      <c r="U100" s="13">
        <v>51078</v>
      </c>
      <c r="V100" s="13">
        <v>16224</v>
      </c>
      <c r="W100" s="13">
        <v>50579</v>
      </c>
      <c r="X100" s="13">
        <v>12071</v>
      </c>
      <c r="Y100" s="13">
        <v>3079</v>
      </c>
      <c r="Z100" s="13">
        <v>15925</v>
      </c>
      <c r="AA100" s="13">
        <v>17419</v>
      </c>
      <c r="AB100" s="13">
        <v>32511</v>
      </c>
      <c r="AC100" s="13">
        <v>21930</v>
      </c>
      <c r="AD100" s="13">
        <v>3149</v>
      </c>
      <c r="AE100" s="13">
        <v>14710</v>
      </c>
      <c r="AF100" s="13">
        <v>16949</v>
      </c>
      <c r="AG100" s="13">
        <v>29033</v>
      </c>
      <c r="AH100" s="13">
        <v>21745</v>
      </c>
      <c r="AK100" s="13">
        <v>426698</v>
      </c>
      <c r="AL100" s="13">
        <v>262920</v>
      </c>
      <c r="AM100" s="13">
        <v>10134</v>
      </c>
      <c r="AN100" s="13">
        <v>86842</v>
      </c>
      <c r="AO100" s="13">
        <v>68945</v>
      </c>
      <c r="AP100" s="13">
        <v>4756</v>
      </c>
      <c r="AQ100" s="13">
        <v>870</v>
      </c>
      <c r="AR100" s="13">
        <v>129171</v>
      </c>
      <c r="AS100" s="13">
        <v>136940</v>
      </c>
      <c r="AT100" s="13">
        <v>419952</v>
      </c>
      <c r="AU100" s="13">
        <v>259990</v>
      </c>
      <c r="AV100" s="13">
        <v>10134</v>
      </c>
      <c r="AW100" s="13">
        <v>86500</v>
      </c>
      <c r="AX100" s="13">
        <v>64942</v>
      </c>
      <c r="AY100" s="13">
        <v>3194</v>
      </c>
      <c r="AZ100" s="13">
        <v>883</v>
      </c>
      <c r="BA100" s="13">
        <v>130526</v>
      </c>
      <c r="BB100" s="13">
        <v>136217</v>
      </c>
    </row>
    <row r="101" spans="1:54" x14ac:dyDescent="0.35">
      <c r="A101" t="s">
        <v>467</v>
      </c>
      <c r="B101" s="13">
        <v>579051</v>
      </c>
      <c r="C101" s="13">
        <v>349895</v>
      </c>
      <c r="D101" s="13">
        <v>13871</v>
      </c>
      <c r="E101" s="13">
        <v>119084</v>
      </c>
      <c r="F101" s="13">
        <v>89954</v>
      </c>
      <c r="G101" s="13">
        <v>8158</v>
      </c>
      <c r="H101" s="13">
        <v>66</v>
      </c>
      <c r="I101" s="13">
        <v>176158</v>
      </c>
      <c r="J101" s="13">
        <v>175103</v>
      </c>
      <c r="K101" s="13">
        <v>0</v>
      </c>
      <c r="L101" s="13">
        <v>580343</v>
      </c>
      <c r="M101" s="13">
        <v>353873</v>
      </c>
      <c r="N101" s="13">
        <v>13871</v>
      </c>
      <c r="O101" s="13">
        <v>117879</v>
      </c>
      <c r="P101" s="13">
        <v>89825</v>
      </c>
      <c r="Q101" s="13">
        <v>2892</v>
      </c>
      <c r="R101" s="13">
        <v>223</v>
      </c>
      <c r="S101" s="13">
        <v>175517</v>
      </c>
      <c r="T101" s="13">
        <v>178407</v>
      </c>
      <c r="U101" s="13">
        <v>51746</v>
      </c>
      <c r="V101" s="13">
        <v>14405</v>
      </c>
      <c r="W101" s="13">
        <v>52513</v>
      </c>
      <c r="X101" s="13">
        <v>13167</v>
      </c>
      <c r="Y101" s="13">
        <v>1122</v>
      </c>
      <c r="Z101" s="13">
        <v>16414</v>
      </c>
      <c r="AA101" s="13">
        <v>17857</v>
      </c>
      <c r="AB101" s="13">
        <v>32436</v>
      </c>
      <c r="AC101" s="13">
        <v>22676</v>
      </c>
      <c r="AD101" s="13">
        <v>1490</v>
      </c>
      <c r="AE101" s="13">
        <v>15998</v>
      </c>
      <c r="AF101" s="13">
        <v>17980</v>
      </c>
      <c r="AG101" s="13">
        <v>32226</v>
      </c>
      <c r="AH101" s="13">
        <v>22771</v>
      </c>
      <c r="AK101" s="13">
        <v>433287</v>
      </c>
      <c r="AL101" s="13">
        <v>265478</v>
      </c>
      <c r="AM101" s="13">
        <v>10155</v>
      </c>
      <c r="AN101" s="13">
        <v>87802</v>
      </c>
      <c r="AO101" s="13">
        <v>68802</v>
      </c>
      <c r="AP101" s="13">
        <v>4935</v>
      </c>
      <c r="AQ101" s="13">
        <v>356</v>
      </c>
      <c r="AR101" s="13">
        <v>131259</v>
      </c>
      <c r="AS101" s="13">
        <v>135500</v>
      </c>
      <c r="AT101" s="13">
        <v>432269</v>
      </c>
      <c r="AU101" s="13">
        <v>268541</v>
      </c>
      <c r="AV101" s="13">
        <v>10155</v>
      </c>
      <c r="AW101" s="13">
        <v>86994</v>
      </c>
      <c r="AX101" s="13">
        <v>68080</v>
      </c>
      <c r="AY101" s="13">
        <v>6047</v>
      </c>
      <c r="AZ101" s="13">
        <v>475</v>
      </c>
      <c r="BA101" s="13">
        <v>130295</v>
      </c>
      <c r="BB101" s="13">
        <v>138318</v>
      </c>
    </row>
    <row r="102" spans="1:54" x14ac:dyDescent="0.35">
      <c r="A102" t="s">
        <v>468</v>
      </c>
      <c r="B102" s="13">
        <v>578215</v>
      </c>
      <c r="C102" s="13">
        <v>355752</v>
      </c>
      <c r="D102" s="13">
        <v>13023</v>
      </c>
      <c r="E102" s="13">
        <v>120427</v>
      </c>
      <c r="F102" s="13">
        <v>94360</v>
      </c>
      <c r="G102" s="13">
        <v>-6154</v>
      </c>
      <c r="H102" s="13">
        <v>-214</v>
      </c>
      <c r="I102" s="13">
        <v>171077</v>
      </c>
      <c r="J102" s="13">
        <v>171694</v>
      </c>
      <c r="K102" s="13">
        <v>0</v>
      </c>
      <c r="L102" s="13">
        <v>592645</v>
      </c>
      <c r="M102" s="13">
        <v>365957</v>
      </c>
      <c r="N102" s="13">
        <v>13023</v>
      </c>
      <c r="O102" s="13">
        <v>120588</v>
      </c>
      <c r="P102" s="13">
        <v>97557</v>
      </c>
      <c r="Q102" s="13">
        <v>-7416</v>
      </c>
      <c r="R102" s="13">
        <v>-239</v>
      </c>
      <c r="S102" s="13">
        <v>173838</v>
      </c>
      <c r="T102" s="13">
        <v>172309</v>
      </c>
      <c r="U102" s="13">
        <v>55124</v>
      </c>
      <c r="V102" s="13">
        <v>14758</v>
      </c>
      <c r="W102" s="13">
        <v>58127</v>
      </c>
      <c r="X102" s="13">
        <v>14035</v>
      </c>
      <c r="Y102" s="13">
        <v>3456</v>
      </c>
      <c r="Z102" s="13">
        <v>16853</v>
      </c>
      <c r="AA102" s="13">
        <v>17842</v>
      </c>
      <c r="AB102" s="13">
        <v>33832</v>
      </c>
      <c r="AC102" s="13">
        <v>22843</v>
      </c>
      <c r="AD102" s="13">
        <v>3759</v>
      </c>
      <c r="AE102" s="13">
        <v>17618</v>
      </c>
      <c r="AF102" s="13">
        <v>18408</v>
      </c>
      <c r="AG102" s="13">
        <v>35199</v>
      </c>
      <c r="AH102" s="13">
        <v>23010</v>
      </c>
      <c r="AK102" s="13">
        <v>435070</v>
      </c>
      <c r="AL102" s="13">
        <v>271440</v>
      </c>
      <c r="AM102" s="13">
        <v>10106</v>
      </c>
      <c r="AN102" s="13">
        <v>89596</v>
      </c>
      <c r="AO102" s="13">
        <v>71783</v>
      </c>
      <c r="AP102" s="13">
        <v>-3345</v>
      </c>
      <c r="AQ102" s="13">
        <v>178</v>
      </c>
      <c r="AR102" s="13">
        <v>128550</v>
      </c>
      <c r="AS102" s="13">
        <v>133238</v>
      </c>
      <c r="AT102" s="13">
        <v>445428</v>
      </c>
      <c r="AU102" s="13">
        <v>278740</v>
      </c>
      <c r="AV102" s="13">
        <v>10106</v>
      </c>
      <c r="AW102" s="13">
        <v>89215</v>
      </c>
      <c r="AX102" s="13">
        <v>73832</v>
      </c>
      <c r="AY102" s="13">
        <v>-3460</v>
      </c>
      <c r="AZ102" s="13">
        <v>124</v>
      </c>
      <c r="BA102" s="13">
        <v>130282</v>
      </c>
      <c r="BB102" s="13">
        <v>133411</v>
      </c>
    </row>
    <row r="103" spans="1:54" x14ac:dyDescent="0.35">
      <c r="A103" t="s">
        <v>469</v>
      </c>
      <c r="B103" s="13">
        <v>579749</v>
      </c>
      <c r="C103" s="13">
        <v>352851</v>
      </c>
      <c r="D103" s="13">
        <v>12779</v>
      </c>
      <c r="E103" s="13">
        <v>118915</v>
      </c>
      <c r="F103" s="13">
        <v>92806</v>
      </c>
      <c r="G103" s="13">
        <v>-736</v>
      </c>
      <c r="H103" s="13">
        <v>754</v>
      </c>
      <c r="I103" s="13">
        <v>175674</v>
      </c>
      <c r="J103" s="13">
        <v>173449</v>
      </c>
      <c r="K103" s="13">
        <v>0</v>
      </c>
      <c r="L103" s="13">
        <v>573357</v>
      </c>
      <c r="M103" s="13">
        <v>343944</v>
      </c>
      <c r="N103" s="13">
        <v>12779</v>
      </c>
      <c r="O103" s="13">
        <v>120454</v>
      </c>
      <c r="P103" s="13">
        <v>94800</v>
      </c>
      <c r="Q103" s="13">
        <v>-5040</v>
      </c>
      <c r="R103" s="13">
        <v>519</v>
      </c>
      <c r="S103" s="13">
        <v>170934</v>
      </c>
      <c r="T103" s="13">
        <v>169692</v>
      </c>
      <c r="U103" s="13">
        <v>53732</v>
      </c>
      <c r="V103" s="13">
        <v>14610</v>
      </c>
      <c r="W103" s="13">
        <v>51395</v>
      </c>
      <c r="X103" s="13">
        <v>20124</v>
      </c>
      <c r="Y103" s="13">
        <v>2625</v>
      </c>
      <c r="Z103" s="13">
        <v>16112</v>
      </c>
      <c r="AA103" s="13">
        <v>17943</v>
      </c>
      <c r="AB103" s="13">
        <v>32976</v>
      </c>
      <c r="AC103" s="13">
        <v>23526</v>
      </c>
      <c r="AD103" s="13">
        <v>2402</v>
      </c>
      <c r="AE103" s="13">
        <v>17569</v>
      </c>
      <c r="AF103" s="13">
        <v>17333</v>
      </c>
      <c r="AG103" s="13">
        <v>33539</v>
      </c>
      <c r="AH103" s="13">
        <v>24281</v>
      </c>
      <c r="AK103" s="13">
        <v>440038</v>
      </c>
      <c r="AL103" s="13">
        <v>272394</v>
      </c>
      <c r="AM103" s="13">
        <v>9801</v>
      </c>
      <c r="AN103" s="13">
        <v>88987</v>
      </c>
      <c r="AO103" s="13">
        <v>71180</v>
      </c>
      <c r="AP103" s="13">
        <v>-1172</v>
      </c>
      <c r="AQ103" s="13">
        <v>893</v>
      </c>
      <c r="AR103" s="13">
        <v>135560</v>
      </c>
      <c r="AS103" s="13">
        <v>137605</v>
      </c>
      <c r="AT103" s="13">
        <v>435863</v>
      </c>
      <c r="AU103" s="13">
        <v>265180</v>
      </c>
      <c r="AV103" s="13">
        <v>9801</v>
      </c>
      <c r="AW103" s="13">
        <v>90348</v>
      </c>
      <c r="AX103" s="13">
        <v>73001</v>
      </c>
      <c r="AY103" s="13">
        <v>-1876</v>
      </c>
      <c r="AZ103" s="13">
        <v>798</v>
      </c>
      <c r="BA103" s="13">
        <v>132231</v>
      </c>
      <c r="BB103" s="13">
        <v>133620</v>
      </c>
    </row>
    <row r="104" spans="1:54" x14ac:dyDescent="0.35">
      <c r="A104" t="s">
        <v>470</v>
      </c>
      <c r="B104" s="13">
        <v>583605</v>
      </c>
      <c r="C104" s="13">
        <v>355308</v>
      </c>
      <c r="D104" s="13">
        <v>12789</v>
      </c>
      <c r="E104" s="13">
        <v>119339</v>
      </c>
      <c r="F104" s="13">
        <v>95370</v>
      </c>
      <c r="G104" s="13">
        <v>1467</v>
      </c>
      <c r="H104" s="13">
        <v>3619</v>
      </c>
      <c r="I104" s="13">
        <v>176641</v>
      </c>
      <c r="J104" s="13">
        <v>181641</v>
      </c>
      <c r="K104" s="13">
        <v>0</v>
      </c>
      <c r="L104" s="13">
        <v>575429</v>
      </c>
      <c r="M104" s="13">
        <v>350084</v>
      </c>
      <c r="N104" s="13">
        <v>12789</v>
      </c>
      <c r="O104" s="13">
        <v>118837</v>
      </c>
      <c r="P104" s="13">
        <v>90215</v>
      </c>
      <c r="Q104" s="13">
        <v>1161</v>
      </c>
      <c r="R104" s="13">
        <v>3600</v>
      </c>
      <c r="S104" s="13">
        <v>177965</v>
      </c>
      <c r="T104" s="13">
        <v>180337</v>
      </c>
      <c r="U104" s="13">
        <v>54767</v>
      </c>
      <c r="V104" s="13">
        <v>14163</v>
      </c>
      <c r="W104" s="13">
        <v>53346</v>
      </c>
      <c r="X104" s="13">
        <v>10713</v>
      </c>
      <c r="Y104" s="13">
        <v>3250</v>
      </c>
      <c r="Z104" s="13">
        <v>15763</v>
      </c>
      <c r="AA104" s="13">
        <v>19257</v>
      </c>
      <c r="AB104" s="13">
        <v>33871</v>
      </c>
      <c r="AC104" s="13">
        <v>23717</v>
      </c>
      <c r="AD104" s="13">
        <v>3232</v>
      </c>
      <c r="AE104" s="13">
        <v>14028</v>
      </c>
      <c r="AF104" s="13">
        <v>18973</v>
      </c>
      <c r="AG104" s="13">
        <v>31175</v>
      </c>
      <c r="AH104" s="13">
        <v>23208</v>
      </c>
      <c r="AK104" s="13">
        <v>443626</v>
      </c>
      <c r="AL104" s="13">
        <v>276208</v>
      </c>
      <c r="AM104" s="13">
        <v>9832</v>
      </c>
      <c r="AN104" s="13">
        <v>88584</v>
      </c>
      <c r="AO104" s="13">
        <v>73405</v>
      </c>
      <c r="AP104" s="13">
        <v>-1174</v>
      </c>
      <c r="AQ104" s="13">
        <v>3317</v>
      </c>
      <c r="AR104" s="13">
        <v>136244</v>
      </c>
      <c r="AS104" s="13">
        <v>142790</v>
      </c>
      <c r="AT104" s="13">
        <v>438019</v>
      </c>
      <c r="AU104" s="13">
        <v>272475</v>
      </c>
      <c r="AV104" s="13">
        <v>9832</v>
      </c>
      <c r="AW104" s="13">
        <v>88325</v>
      </c>
      <c r="AX104" s="13">
        <v>69485</v>
      </c>
      <c r="AY104" s="13">
        <v>-996</v>
      </c>
      <c r="AZ104" s="13">
        <v>3314</v>
      </c>
      <c r="BA104" s="13">
        <v>137900</v>
      </c>
      <c r="BB104" s="13">
        <v>142316</v>
      </c>
    </row>
    <row r="105" spans="1:54" x14ac:dyDescent="0.35">
      <c r="A105" t="s">
        <v>471</v>
      </c>
      <c r="B105" s="13">
        <v>588076</v>
      </c>
      <c r="C105" s="13">
        <v>359151</v>
      </c>
      <c r="D105" s="13">
        <v>12746</v>
      </c>
      <c r="E105" s="13">
        <v>119283</v>
      </c>
      <c r="F105" s="13">
        <v>97806</v>
      </c>
      <c r="G105" s="13">
        <v>-836</v>
      </c>
      <c r="H105" s="13">
        <v>-1784</v>
      </c>
      <c r="I105" s="13">
        <v>177536</v>
      </c>
      <c r="J105" s="13">
        <v>180200</v>
      </c>
      <c r="K105" s="13">
        <v>0</v>
      </c>
      <c r="L105" s="13">
        <v>589438</v>
      </c>
      <c r="M105" s="13">
        <v>363174</v>
      </c>
      <c r="N105" s="13">
        <v>12746</v>
      </c>
      <c r="O105" s="13">
        <v>118119</v>
      </c>
      <c r="P105" s="13">
        <v>97404</v>
      </c>
      <c r="Q105" s="13">
        <v>4183</v>
      </c>
      <c r="R105" s="13">
        <v>-1550</v>
      </c>
      <c r="S105" s="13">
        <v>177503</v>
      </c>
      <c r="T105" s="13">
        <v>184374</v>
      </c>
      <c r="U105" s="13">
        <v>56747</v>
      </c>
      <c r="V105" s="13">
        <v>14431</v>
      </c>
      <c r="W105" s="13">
        <v>56980</v>
      </c>
      <c r="X105" s="13">
        <v>13224</v>
      </c>
      <c r="Y105" s="13">
        <v>4652</v>
      </c>
      <c r="Z105" s="13">
        <v>15985</v>
      </c>
      <c r="AA105" s="13">
        <v>19584</v>
      </c>
      <c r="AB105" s="13">
        <v>33981</v>
      </c>
      <c r="AC105" s="13">
        <v>23860</v>
      </c>
      <c r="AD105" s="13">
        <v>4605</v>
      </c>
      <c r="AE105" s="13">
        <v>15495</v>
      </c>
      <c r="AF105" s="13">
        <v>19909</v>
      </c>
      <c r="AG105" s="13">
        <v>34190</v>
      </c>
      <c r="AH105" s="13">
        <v>23600</v>
      </c>
      <c r="AK105" s="13">
        <v>450725</v>
      </c>
      <c r="AL105" s="13">
        <v>279942</v>
      </c>
      <c r="AM105" s="13">
        <v>9737</v>
      </c>
      <c r="AN105" s="13">
        <v>88037</v>
      </c>
      <c r="AO105" s="13">
        <v>76152</v>
      </c>
      <c r="AP105" s="13">
        <v>2956</v>
      </c>
      <c r="AQ105" s="13">
        <v>-1034</v>
      </c>
      <c r="AR105" s="13">
        <v>136733</v>
      </c>
      <c r="AS105" s="13">
        <v>141798</v>
      </c>
      <c r="AT105" s="13">
        <v>451125</v>
      </c>
      <c r="AU105" s="13">
        <v>283865</v>
      </c>
      <c r="AV105" s="13">
        <v>9737</v>
      </c>
      <c r="AW105" s="13">
        <v>87361</v>
      </c>
      <c r="AX105" s="13">
        <v>75968</v>
      </c>
      <c r="AY105" s="13">
        <v>4931</v>
      </c>
      <c r="AZ105" s="13">
        <v>-874</v>
      </c>
      <c r="BA105" s="13">
        <v>136110</v>
      </c>
      <c r="BB105" s="13">
        <v>145973</v>
      </c>
    </row>
    <row r="106" spans="1:54" x14ac:dyDescent="0.35">
      <c r="A106" t="s">
        <v>472</v>
      </c>
      <c r="B106" s="13">
        <v>591954</v>
      </c>
      <c r="C106" s="13">
        <v>360080</v>
      </c>
      <c r="D106" s="13">
        <v>12290</v>
      </c>
      <c r="E106" s="13">
        <v>121652</v>
      </c>
      <c r="F106" s="13">
        <v>97433</v>
      </c>
      <c r="G106" s="13">
        <v>753</v>
      </c>
      <c r="H106" s="13">
        <v>3988</v>
      </c>
      <c r="I106" s="13">
        <v>172849</v>
      </c>
      <c r="J106" s="13">
        <v>183506</v>
      </c>
      <c r="K106" s="13">
        <v>0</v>
      </c>
      <c r="L106" s="13">
        <v>605160</v>
      </c>
      <c r="M106" s="13">
        <v>370188</v>
      </c>
      <c r="N106" s="13">
        <v>12290</v>
      </c>
      <c r="O106" s="13">
        <v>121779</v>
      </c>
      <c r="P106" s="13">
        <v>100996</v>
      </c>
      <c r="Q106" s="13">
        <v>344</v>
      </c>
      <c r="R106" s="13">
        <v>4008</v>
      </c>
      <c r="S106" s="13">
        <v>176298</v>
      </c>
      <c r="T106" s="13">
        <v>184393</v>
      </c>
      <c r="U106" s="13">
        <v>56008</v>
      </c>
      <c r="V106" s="13">
        <v>15091</v>
      </c>
      <c r="W106" s="13">
        <v>59533</v>
      </c>
      <c r="X106" s="13">
        <v>14233</v>
      </c>
      <c r="Y106" s="13">
        <v>4504</v>
      </c>
      <c r="Z106" s="13">
        <v>16345</v>
      </c>
      <c r="AA106" s="13">
        <v>19487</v>
      </c>
      <c r="AB106" s="13">
        <v>33105</v>
      </c>
      <c r="AC106" s="13">
        <v>24182</v>
      </c>
      <c r="AD106" s="13">
        <v>4791</v>
      </c>
      <c r="AE106" s="13">
        <v>17113</v>
      </c>
      <c r="AF106" s="13">
        <v>20056</v>
      </c>
      <c r="AG106" s="13">
        <v>35029</v>
      </c>
      <c r="AH106" s="13">
        <v>24196</v>
      </c>
      <c r="AK106" s="13">
        <v>454683</v>
      </c>
      <c r="AL106" s="13">
        <v>280824</v>
      </c>
      <c r="AM106" s="13">
        <v>9555</v>
      </c>
      <c r="AN106" s="13">
        <v>91327</v>
      </c>
      <c r="AO106" s="13">
        <v>76152</v>
      </c>
      <c r="AP106" s="13">
        <v>2541</v>
      </c>
      <c r="AQ106" s="13">
        <v>3963</v>
      </c>
      <c r="AR106" s="13">
        <v>131899</v>
      </c>
      <c r="AS106" s="13">
        <v>141578</v>
      </c>
      <c r="AT106" s="13">
        <v>464065</v>
      </c>
      <c r="AU106" s="13">
        <v>287848</v>
      </c>
      <c r="AV106" s="13">
        <v>9555</v>
      </c>
      <c r="AW106" s="13">
        <v>90901</v>
      </c>
      <c r="AX106" s="13">
        <v>78435</v>
      </c>
      <c r="AY106" s="13">
        <v>1092</v>
      </c>
      <c r="AZ106" s="13">
        <v>3901</v>
      </c>
      <c r="BA106" s="13">
        <v>134195</v>
      </c>
      <c r="BB106" s="13">
        <v>141862</v>
      </c>
    </row>
    <row r="107" spans="1:54" x14ac:dyDescent="0.35">
      <c r="A107" t="s">
        <v>473</v>
      </c>
      <c r="B107" s="13">
        <v>596696</v>
      </c>
      <c r="C107" s="13">
        <v>361463</v>
      </c>
      <c r="D107" s="13">
        <v>12142</v>
      </c>
      <c r="E107" s="13">
        <v>122173</v>
      </c>
      <c r="F107" s="13">
        <v>100986</v>
      </c>
      <c r="G107" s="13">
        <v>93</v>
      </c>
      <c r="H107" s="13">
        <v>1025</v>
      </c>
      <c r="I107" s="13">
        <v>175843</v>
      </c>
      <c r="J107" s="13">
        <v>183059</v>
      </c>
      <c r="K107" s="13">
        <v>0</v>
      </c>
      <c r="L107" s="13">
        <v>592986</v>
      </c>
      <c r="M107" s="13">
        <v>350614</v>
      </c>
      <c r="N107" s="13">
        <v>12142</v>
      </c>
      <c r="O107" s="13">
        <v>124209</v>
      </c>
      <c r="P107" s="13">
        <v>103436</v>
      </c>
      <c r="Q107" s="13">
        <v>-4954</v>
      </c>
      <c r="R107" s="13">
        <v>743</v>
      </c>
      <c r="S107" s="13">
        <v>171816</v>
      </c>
      <c r="T107" s="13">
        <v>179605</v>
      </c>
      <c r="U107" s="13">
        <v>56781</v>
      </c>
      <c r="V107" s="13">
        <v>17024</v>
      </c>
      <c r="W107" s="13">
        <v>54376</v>
      </c>
      <c r="X107" s="13">
        <v>23194</v>
      </c>
      <c r="Y107" s="13">
        <v>4905</v>
      </c>
      <c r="Z107" s="13">
        <v>16804</v>
      </c>
      <c r="AA107" s="13">
        <v>19800</v>
      </c>
      <c r="AB107" s="13">
        <v>34776</v>
      </c>
      <c r="AC107" s="13">
        <v>24869</v>
      </c>
      <c r="AD107" s="13">
        <v>4432</v>
      </c>
      <c r="AE107" s="13">
        <v>17987</v>
      </c>
      <c r="AF107" s="13">
        <v>19116</v>
      </c>
      <c r="AG107" s="13">
        <v>36609</v>
      </c>
      <c r="AH107" s="13">
        <v>25531</v>
      </c>
      <c r="AK107" s="13">
        <v>460682</v>
      </c>
      <c r="AL107" s="13">
        <v>283456</v>
      </c>
      <c r="AM107" s="13">
        <v>9449</v>
      </c>
      <c r="AN107" s="13">
        <v>92351</v>
      </c>
      <c r="AO107" s="13">
        <v>78674</v>
      </c>
      <c r="AP107" s="13">
        <v>1907</v>
      </c>
      <c r="AQ107" s="13">
        <v>1358</v>
      </c>
      <c r="AR107" s="13">
        <v>133472</v>
      </c>
      <c r="AS107" s="13">
        <v>139985</v>
      </c>
      <c r="AT107" s="13">
        <v>459097</v>
      </c>
      <c r="AU107" s="13">
        <v>274486</v>
      </c>
      <c r="AV107" s="13">
        <v>9449</v>
      </c>
      <c r="AW107" s="13">
        <v>93725</v>
      </c>
      <c r="AX107" s="13">
        <v>80527</v>
      </c>
      <c r="AY107" s="13">
        <v>5423</v>
      </c>
      <c r="AZ107" s="13">
        <v>1252</v>
      </c>
      <c r="BA107" s="13">
        <v>130487</v>
      </c>
      <c r="BB107" s="13">
        <v>136252</v>
      </c>
    </row>
    <row r="108" spans="1:54" x14ac:dyDescent="0.35">
      <c r="A108" t="s">
        <v>474</v>
      </c>
      <c r="B108" s="13">
        <v>602310</v>
      </c>
      <c r="C108" s="13">
        <v>364739</v>
      </c>
      <c r="D108" s="13">
        <v>11831</v>
      </c>
      <c r="E108" s="13">
        <v>122833</v>
      </c>
      <c r="F108" s="13">
        <v>101232</v>
      </c>
      <c r="G108" s="13">
        <v>6293</v>
      </c>
      <c r="H108" s="13">
        <v>-3384</v>
      </c>
      <c r="I108" s="13">
        <v>176756</v>
      </c>
      <c r="J108" s="13">
        <v>183399</v>
      </c>
      <c r="K108" s="13">
        <v>0</v>
      </c>
      <c r="L108" s="13">
        <v>597228</v>
      </c>
      <c r="M108" s="13">
        <v>360865</v>
      </c>
      <c r="N108" s="13">
        <v>11831</v>
      </c>
      <c r="O108" s="13">
        <v>121883</v>
      </c>
      <c r="P108" s="13">
        <v>96298</v>
      </c>
      <c r="Q108" s="13">
        <v>8863</v>
      </c>
      <c r="R108" s="13">
        <v>-3435</v>
      </c>
      <c r="S108" s="13">
        <v>178239</v>
      </c>
      <c r="T108" s="13">
        <v>181456</v>
      </c>
      <c r="U108" s="13">
        <v>58520</v>
      </c>
      <c r="V108" s="13">
        <v>15597</v>
      </c>
      <c r="W108" s="13">
        <v>57708</v>
      </c>
      <c r="X108" s="13">
        <v>11669</v>
      </c>
      <c r="Y108" s="13">
        <v>5309</v>
      </c>
      <c r="Z108" s="13">
        <v>17125</v>
      </c>
      <c r="AA108" s="13">
        <v>19133</v>
      </c>
      <c r="AB108" s="13">
        <v>35627</v>
      </c>
      <c r="AC108" s="13">
        <v>24195</v>
      </c>
      <c r="AD108" s="13">
        <v>5485</v>
      </c>
      <c r="AE108" s="13">
        <v>15529</v>
      </c>
      <c r="AF108" s="13">
        <v>18943</v>
      </c>
      <c r="AG108" s="13">
        <v>32698</v>
      </c>
      <c r="AH108" s="13">
        <v>23651</v>
      </c>
      <c r="AK108" s="13">
        <v>464667</v>
      </c>
      <c r="AL108" s="13">
        <v>287581</v>
      </c>
      <c r="AM108" s="13">
        <v>9420</v>
      </c>
      <c r="AN108" s="13">
        <v>90360</v>
      </c>
      <c r="AO108" s="13">
        <v>79384</v>
      </c>
      <c r="AP108" s="13">
        <v>5417</v>
      </c>
      <c r="AQ108" s="13">
        <v>-2420</v>
      </c>
      <c r="AR108" s="13">
        <v>133673</v>
      </c>
      <c r="AS108" s="13">
        <v>138748</v>
      </c>
      <c r="AT108" s="13">
        <v>460404</v>
      </c>
      <c r="AU108" s="13">
        <v>284690</v>
      </c>
      <c r="AV108" s="13">
        <v>9420</v>
      </c>
      <c r="AW108" s="13">
        <v>90076</v>
      </c>
      <c r="AX108" s="13">
        <v>75834</v>
      </c>
      <c r="AY108" s="13">
        <v>5848</v>
      </c>
      <c r="AZ108" s="13">
        <v>-2428</v>
      </c>
      <c r="BA108" s="13">
        <v>134646</v>
      </c>
      <c r="BB108" s="13">
        <v>137682</v>
      </c>
    </row>
    <row r="109" spans="1:54" x14ac:dyDescent="0.35">
      <c r="A109" t="s">
        <v>475</v>
      </c>
      <c r="B109" s="13">
        <v>607213</v>
      </c>
      <c r="C109" s="13">
        <v>371275</v>
      </c>
      <c r="D109" s="13">
        <v>11784</v>
      </c>
      <c r="E109" s="13">
        <v>122880</v>
      </c>
      <c r="F109" s="13">
        <v>103142</v>
      </c>
      <c r="G109" s="13">
        <v>6564</v>
      </c>
      <c r="H109" s="13">
        <v>1413</v>
      </c>
      <c r="I109" s="13">
        <v>178053</v>
      </c>
      <c r="J109" s="13">
        <v>188315</v>
      </c>
      <c r="K109" s="13">
        <v>0</v>
      </c>
      <c r="L109" s="13">
        <v>605675</v>
      </c>
      <c r="M109" s="13">
        <v>376680</v>
      </c>
      <c r="N109" s="13">
        <v>11784</v>
      </c>
      <c r="O109" s="13">
        <v>121654</v>
      </c>
      <c r="P109" s="13">
        <v>101890</v>
      </c>
      <c r="Q109" s="13">
        <v>5991</v>
      </c>
      <c r="R109" s="13">
        <v>1716</v>
      </c>
      <c r="S109" s="13">
        <v>176842</v>
      </c>
      <c r="T109" s="13">
        <v>193662</v>
      </c>
      <c r="U109" s="13">
        <v>59208</v>
      </c>
      <c r="V109" s="13">
        <v>15999</v>
      </c>
      <c r="W109" s="13">
        <v>58520</v>
      </c>
      <c r="X109" s="13">
        <v>14847</v>
      </c>
      <c r="Y109" s="13">
        <v>4908</v>
      </c>
      <c r="Z109" s="13">
        <v>17557</v>
      </c>
      <c r="AA109" s="13">
        <v>20215</v>
      </c>
      <c r="AB109" s="13">
        <v>35714</v>
      </c>
      <c r="AC109" s="13">
        <v>24777</v>
      </c>
      <c r="AD109" s="13">
        <v>4836</v>
      </c>
      <c r="AE109" s="13">
        <v>17188</v>
      </c>
      <c r="AF109" s="13">
        <v>20516</v>
      </c>
      <c r="AG109" s="13">
        <v>35018</v>
      </c>
      <c r="AH109" s="13">
        <v>24496</v>
      </c>
      <c r="AK109" s="13">
        <v>474115</v>
      </c>
      <c r="AL109" s="13">
        <v>292236</v>
      </c>
      <c r="AM109" s="13">
        <v>9410</v>
      </c>
      <c r="AN109" s="13">
        <v>92771</v>
      </c>
      <c r="AO109" s="13">
        <v>81083</v>
      </c>
      <c r="AP109" s="13">
        <v>4825</v>
      </c>
      <c r="AQ109" s="13">
        <v>1526</v>
      </c>
      <c r="AR109" s="13">
        <v>132944</v>
      </c>
      <c r="AS109" s="13">
        <v>140680</v>
      </c>
      <c r="AT109" s="13">
        <v>471444</v>
      </c>
      <c r="AU109" s="13">
        <v>296944</v>
      </c>
      <c r="AV109" s="13">
        <v>9410</v>
      </c>
      <c r="AW109" s="13">
        <v>92137</v>
      </c>
      <c r="AX109" s="13">
        <v>79938</v>
      </c>
      <c r="AY109" s="13">
        <v>5197</v>
      </c>
      <c r="AZ109" s="13">
        <v>1713</v>
      </c>
      <c r="BA109" s="13">
        <v>131849</v>
      </c>
      <c r="BB109" s="13">
        <v>145744</v>
      </c>
    </row>
    <row r="110" spans="1:54" x14ac:dyDescent="0.35">
      <c r="A110" t="s">
        <v>476</v>
      </c>
      <c r="B110" s="13">
        <v>611220</v>
      </c>
      <c r="C110" s="13">
        <v>374107</v>
      </c>
      <c r="D110" s="13">
        <v>11572</v>
      </c>
      <c r="E110" s="13">
        <v>122448</v>
      </c>
      <c r="F110" s="13">
        <v>106147</v>
      </c>
      <c r="G110" s="13">
        <v>7975</v>
      </c>
      <c r="H110" s="13">
        <v>5889</v>
      </c>
      <c r="I110" s="13">
        <v>181532</v>
      </c>
      <c r="J110" s="13">
        <v>200432</v>
      </c>
      <c r="K110" s="13">
        <v>0</v>
      </c>
      <c r="L110" s="13">
        <v>621550</v>
      </c>
      <c r="M110" s="13">
        <v>383425</v>
      </c>
      <c r="N110" s="13">
        <v>11572</v>
      </c>
      <c r="O110" s="13">
        <v>122588</v>
      </c>
      <c r="P110" s="13">
        <v>109883</v>
      </c>
      <c r="Q110" s="13">
        <v>11025</v>
      </c>
      <c r="R110" s="13">
        <v>5919</v>
      </c>
      <c r="S110" s="13">
        <v>185287</v>
      </c>
      <c r="T110" s="13">
        <v>200482</v>
      </c>
      <c r="U110" s="13">
        <v>61217</v>
      </c>
      <c r="V110" s="13">
        <v>16810</v>
      </c>
      <c r="W110" s="13">
        <v>65122</v>
      </c>
      <c r="X110" s="13">
        <v>15721</v>
      </c>
      <c r="Y110" s="13">
        <v>5350</v>
      </c>
      <c r="Z110" s="13">
        <v>17589</v>
      </c>
      <c r="AA110" s="13">
        <v>20306</v>
      </c>
      <c r="AB110" s="13">
        <v>36798</v>
      </c>
      <c r="AC110" s="13">
        <v>26237</v>
      </c>
      <c r="AD110" s="13">
        <v>5719</v>
      </c>
      <c r="AE110" s="13">
        <v>18370</v>
      </c>
      <c r="AF110" s="13">
        <v>20880</v>
      </c>
      <c r="AG110" s="13">
        <v>38590</v>
      </c>
      <c r="AH110" s="13">
        <v>26399</v>
      </c>
      <c r="AK110" s="13">
        <v>475602</v>
      </c>
      <c r="AL110" s="13">
        <v>293163</v>
      </c>
      <c r="AM110" s="13">
        <v>9428</v>
      </c>
      <c r="AN110" s="13">
        <v>92766</v>
      </c>
      <c r="AO110" s="13">
        <v>82959</v>
      </c>
      <c r="AP110" s="13">
        <v>5354</v>
      </c>
      <c r="AQ110" s="13">
        <v>5553</v>
      </c>
      <c r="AR110" s="13">
        <v>134905</v>
      </c>
      <c r="AS110" s="13">
        <v>148526</v>
      </c>
      <c r="AT110" s="13">
        <v>484121</v>
      </c>
      <c r="AU110" s="13">
        <v>300316</v>
      </c>
      <c r="AV110" s="13">
        <v>9428</v>
      </c>
      <c r="AW110" s="13">
        <v>92310</v>
      </c>
      <c r="AX110" s="13">
        <v>85801</v>
      </c>
      <c r="AY110" s="13">
        <v>1035</v>
      </c>
      <c r="AZ110" s="13">
        <v>5480</v>
      </c>
      <c r="BA110" s="13">
        <v>138012</v>
      </c>
      <c r="BB110" s="13">
        <v>148261</v>
      </c>
    </row>
    <row r="111" spans="1:54" x14ac:dyDescent="0.35">
      <c r="A111" t="s">
        <v>477</v>
      </c>
      <c r="B111" s="13">
        <v>613076</v>
      </c>
      <c r="C111" s="13">
        <v>375994</v>
      </c>
      <c r="D111" s="13">
        <v>11515</v>
      </c>
      <c r="E111" s="13">
        <v>122358</v>
      </c>
      <c r="F111" s="13">
        <v>110016</v>
      </c>
      <c r="G111" s="13">
        <v>5113</v>
      </c>
      <c r="H111" s="13">
        <v>2467</v>
      </c>
      <c r="I111" s="13">
        <v>181249</v>
      </c>
      <c r="J111" s="13">
        <v>199035</v>
      </c>
      <c r="K111" s="13">
        <v>0</v>
      </c>
      <c r="L111" s="13">
        <v>605885</v>
      </c>
      <c r="M111" s="13">
        <v>365229</v>
      </c>
      <c r="N111" s="13">
        <v>11515</v>
      </c>
      <c r="O111" s="13">
        <v>124311</v>
      </c>
      <c r="P111" s="13">
        <v>111458</v>
      </c>
      <c r="Q111" s="13">
        <v>10413</v>
      </c>
      <c r="R111" s="13">
        <v>2101</v>
      </c>
      <c r="S111" s="13">
        <v>177318</v>
      </c>
      <c r="T111" s="13">
        <v>195235</v>
      </c>
      <c r="U111" s="13">
        <v>64003</v>
      </c>
      <c r="V111" s="13">
        <v>17617</v>
      </c>
      <c r="W111" s="13">
        <v>60982</v>
      </c>
      <c r="X111" s="13">
        <v>23391</v>
      </c>
      <c r="Y111" s="13">
        <v>9465</v>
      </c>
      <c r="Z111" s="13">
        <v>16646</v>
      </c>
      <c r="AA111" s="13">
        <v>20523</v>
      </c>
      <c r="AB111" s="13">
        <v>37904</v>
      </c>
      <c r="AC111" s="13">
        <v>25246</v>
      </c>
      <c r="AD111" s="13">
        <v>8889</v>
      </c>
      <c r="AE111" s="13">
        <v>17665</v>
      </c>
      <c r="AF111" s="13">
        <v>19821</v>
      </c>
      <c r="AG111" s="13">
        <v>39114</v>
      </c>
      <c r="AH111" s="13">
        <v>25831</v>
      </c>
      <c r="AK111" s="13">
        <v>478016</v>
      </c>
      <c r="AL111" s="13">
        <v>293212</v>
      </c>
      <c r="AM111" s="13">
        <v>9336</v>
      </c>
      <c r="AN111" s="13">
        <v>93101</v>
      </c>
      <c r="AO111" s="13">
        <v>86083</v>
      </c>
      <c r="AP111" s="13">
        <v>3809</v>
      </c>
      <c r="AQ111" s="13">
        <v>2443</v>
      </c>
      <c r="AR111" s="13">
        <v>133630</v>
      </c>
      <c r="AS111" s="13">
        <v>143598</v>
      </c>
      <c r="AT111" s="13">
        <v>472145</v>
      </c>
      <c r="AU111" s="13">
        <v>283913</v>
      </c>
      <c r="AV111" s="13">
        <v>9336</v>
      </c>
      <c r="AW111" s="13">
        <v>94443</v>
      </c>
      <c r="AX111" s="13">
        <v>87117</v>
      </c>
      <c r="AY111" s="13">
        <v>4678</v>
      </c>
      <c r="AZ111" s="13">
        <v>2327</v>
      </c>
      <c r="BA111" s="13">
        <v>130300</v>
      </c>
      <c r="BB111" s="13">
        <v>139969</v>
      </c>
    </row>
    <row r="112" spans="1:54" x14ac:dyDescent="0.35">
      <c r="A112" t="s">
        <v>478</v>
      </c>
      <c r="B112" s="13">
        <v>615875</v>
      </c>
      <c r="C112" s="13">
        <v>377177</v>
      </c>
      <c r="D112" s="13">
        <v>12163</v>
      </c>
      <c r="E112" s="13">
        <v>123906</v>
      </c>
      <c r="F112" s="13">
        <v>109592</v>
      </c>
      <c r="G112" s="13">
        <v>-5258</v>
      </c>
      <c r="H112" s="13">
        <v>-38</v>
      </c>
      <c r="I112" s="13">
        <v>186951</v>
      </c>
      <c r="J112" s="13">
        <v>195935</v>
      </c>
      <c r="K112" s="13">
        <v>0</v>
      </c>
      <c r="L112" s="13">
        <v>610231</v>
      </c>
      <c r="M112" s="13">
        <v>372844</v>
      </c>
      <c r="N112" s="13">
        <v>12163</v>
      </c>
      <c r="O112" s="13">
        <v>122970</v>
      </c>
      <c r="P112" s="13">
        <v>105079</v>
      </c>
      <c r="Q112" s="13">
        <v>-7729</v>
      </c>
      <c r="R112" s="13">
        <v>-97</v>
      </c>
      <c r="S112" s="13">
        <v>189060</v>
      </c>
      <c r="T112" s="13">
        <v>194450</v>
      </c>
      <c r="U112" s="13">
        <v>63366</v>
      </c>
      <c r="V112" s="13">
        <v>17075</v>
      </c>
      <c r="W112" s="13">
        <v>62524</v>
      </c>
      <c r="X112" s="13">
        <v>13573</v>
      </c>
      <c r="Y112" s="13">
        <v>5311</v>
      </c>
      <c r="Z112" s="13">
        <v>16749</v>
      </c>
      <c r="AA112" s="13">
        <v>21504</v>
      </c>
      <c r="AB112" s="13">
        <v>39590</v>
      </c>
      <c r="AC112" s="13">
        <v>26723</v>
      </c>
      <c r="AD112" s="13">
        <v>5598</v>
      </c>
      <c r="AE112" s="13">
        <v>15282</v>
      </c>
      <c r="AF112" s="13">
        <v>21351</v>
      </c>
      <c r="AG112" s="13">
        <v>36827</v>
      </c>
      <c r="AH112" s="13">
        <v>26179</v>
      </c>
      <c r="AK112" s="13">
        <v>479382</v>
      </c>
      <c r="AL112" s="13">
        <v>295072</v>
      </c>
      <c r="AM112" s="13">
        <v>9652</v>
      </c>
      <c r="AN112" s="13">
        <v>92185</v>
      </c>
      <c r="AO112" s="13">
        <v>86492</v>
      </c>
      <c r="AP112" s="13">
        <v>-1491</v>
      </c>
      <c r="AQ112" s="13">
        <v>153</v>
      </c>
      <c r="AR112" s="13">
        <v>137497</v>
      </c>
      <c r="AS112" s="13">
        <v>140178</v>
      </c>
      <c r="AT112" s="13">
        <v>474665</v>
      </c>
      <c r="AU112" s="13">
        <v>291715</v>
      </c>
      <c r="AV112" s="13">
        <v>9652</v>
      </c>
      <c r="AW112" s="13">
        <v>91869</v>
      </c>
      <c r="AX112" s="13">
        <v>83109</v>
      </c>
      <c r="AY112" s="13">
        <v>-1443</v>
      </c>
      <c r="AZ112" s="13">
        <v>141</v>
      </c>
      <c r="BA112" s="13">
        <v>138641</v>
      </c>
      <c r="BB112" s="13">
        <v>139019</v>
      </c>
    </row>
    <row r="113" spans="1:54" x14ac:dyDescent="0.35">
      <c r="A113" t="s">
        <v>479</v>
      </c>
      <c r="B113" s="13">
        <v>618263</v>
      </c>
      <c r="C113" s="13">
        <v>381986</v>
      </c>
      <c r="D113" s="13">
        <v>12097</v>
      </c>
      <c r="E113" s="13">
        <v>124669</v>
      </c>
      <c r="F113" s="13">
        <v>108107</v>
      </c>
      <c r="G113" s="13">
        <v>-4656</v>
      </c>
      <c r="H113" s="13">
        <v>99</v>
      </c>
      <c r="I113" s="13">
        <v>182486</v>
      </c>
      <c r="J113" s="13">
        <v>194712</v>
      </c>
      <c r="K113" s="13">
        <v>0</v>
      </c>
      <c r="L113" s="13">
        <v>618947</v>
      </c>
      <c r="M113" s="13">
        <v>387157</v>
      </c>
      <c r="N113" s="13">
        <v>12097</v>
      </c>
      <c r="O113" s="13">
        <v>123497</v>
      </c>
      <c r="P113" s="13">
        <v>107531</v>
      </c>
      <c r="Q113" s="13">
        <v>-3805</v>
      </c>
      <c r="R113" s="13">
        <v>436</v>
      </c>
      <c r="S113" s="13">
        <v>180154</v>
      </c>
      <c r="T113" s="13">
        <v>199983</v>
      </c>
      <c r="U113" s="13">
        <v>62704</v>
      </c>
      <c r="V113" s="13">
        <v>15969</v>
      </c>
      <c r="W113" s="13">
        <v>62649</v>
      </c>
      <c r="X113" s="13">
        <v>14864</v>
      </c>
      <c r="Y113" s="13">
        <v>5099</v>
      </c>
      <c r="Z113" s="13">
        <v>16671</v>
      </c>
      <c r="AA113" s="13">
        <v>21480</v>
      </c>
      <c r="AB113" s="13">
        <v>39121</v>
      </c>
      <c r="AC113" s="13">
        <v>26040</v>
      </c>
      <c r="AD113" s="13">
        <v>4904</v>
      </c>
      <c r="AE113" s="13">
        <v>16136</v>
      </c>
      <c r="AF113" s="13">
        <v>21755</v>
      </c>
      <c r="AG113" s="13">
        <v>39354</v>
      </c>
      <c r="AH113" s="13">
        <v>25788</v>
      </c>
      <c r="AK113" s="13">
        <v>482690</v>
      </c>
      <c r="AL113" s="13">
        <v>299423</v>
      </c>
      <c r="AM113" s="13">
        <v>9710</v>
      </c>
      <c r="AN113" s="13">
        <v>93993</v>
      </c>
      <c r="AO113" s="13">
        <v>85637</v>
      </c>
      <c r="AP113" s="13">
        <v>720</v>
      </c>
      <c r="AQ113" s="13">
        <v>369</v>
      </c>
      <c r="AR113" s="13">
        <v>130993</v>
      </c>
      <c r="AS113" s="13">
        <v>138155</v>
      </c>
      <c r="AT113" s="13">
        <v>483786</v>
      </c>
      <c r="AU113" s="13">
        <v>304326</v>
      </c>
      <c r="AV113" s="13">
        <v>9710</v>
      </c>
      <c r="AW113" s="13">
        <v>93438</v>
      </c>
      <c r="AX113" s="13">
        <v>85134</v>
      </c>
      <c r="AY113" s="13">
        <v>4049</v>
      </c>
      <c r="AZ113" s="13">
        <v>583</v>
      </c>
      <c r="BA113" s="13">
        <v>129650</v>
      </c>
      <c r="BB113" s="13">
        <v>143104</v>
      </c>
    </row>
    <row r="114" spans="1:54" x14ac:dyDescent="0.35">
      <c r="A114" t="s">
        <v>480</v>
      </c>
      <c r="B114" s="13">
        <v>621968</v>
      </c>
      <c r="C114" s="13">
        <v>381066</v>
      </c>
      <c r="D114" s="13">
        <v>11943</v>
      </c>
      <c r="E114" s="13">
        <v>124256</v>
      </c>
      <c r="F114" s="13">
        <v>111664</v>
      </c>
      <c r="G114" s="13">
        <v>13740</v>
      </c>
      <c r="H114" s="13">
        <v>-3359</v>
      </c>
      <c r="I114" s="13">
        <v>187516</v>
      </c>
      <c r="J114" s="13">
        <v>202768</v>
      </c>
      <c r="K114" s="13">
        <v>0</v>
      </c>
      <c r="L114" s="13">
        <v>634119</v>
      </c>
      <c r="M114" s="13">
        <v>390993</v>
      </c>
      <c r="N114" s="13">
        <v>11943</v>
      </c>
      <c r="O114" s="13">
        <v>124411</v>
      </c>
      <c r="P114" s="13">
        <v>115311</v>
      </c>
      <c r="Q114" s="13">
        <v>10060</v>
      </c>
      <c r="R114" s="13">
        <v>-3271</v>
      </c>
      <c r="S114" s="13">
        <v>191670</v>
      </c>
      <c r="T114" s="13">
        <v>202782</v>
      </c>
      <c r="U114" s="13">
        <v>66350</v>
      </c>
      <c r="V114" s="13">
        <v>15867</v>
      </c>
      <c r="W114" s="13">
        <v>70270</v>
      </c>
      <c r="X114" s="13">
        <v>14699</v>
      </c>
      <c r="Y114" s="13">
        <v>6420</v>
      </c>
      <c r="Z114" s="13">
        <v>17982</v>
      </c>
      <c r="AA114" s="13">
        <v>21804</v>
      </c>
      <c r="AB114" s="13">
        <v>39158</v>
      </c>
      <c r="AC114" s="13">
        <v>26367</v>
      </c>
      <c r="AD114" s="13">
        <v>6905</v>
      </c>
      <c r="AE114" s="13">
        <v>18965</v>
      </c>
      <c r="AF114" s="13">
        <v>22385</v>
      </c>
      <c r="AG114" s="13">
        <v>40479</v>
      </c>
      <c r="AH114" s="13">
        <v>26578</v>
      </c>
      <c r="AK114" s="13">
        <v>487928</v>
      </c>
      <c r="AL114" s="13">
        <v>299418</v>
      </c>
      <c r="AM114" s="13">
        <v>9636</v>
      </c>
      <c r="AN114" s="13">
        <v>93421</v>
      </c>
      <c r="AO114" s="13">
        <v>87866</v>
      </c>
      <c r="AP114" s="13">
        <v>6285</v>
      </c>
      <c r="AQ114" s="13">
        <v>-2155</v>
      </c>
      <c r="AR114" s="13">
        <v>135393</v>
      </c>
      <c r="AS114" s="13">
        <v>141936</v>
      </c>
      <c r="AT114" s="13">
        <v>497420</v>
      </c>
      <c r="AU114" s="13">
        <v>307171</v>
      </c>
      <c r="AV114" s="13">
        <v>9636</v>
      </c>
      <c r="AW114" s="13">
        <v>92950</v>
      </c>
      <c r="AX114" s="13">
        <v>90718</v>
      </c>
      <c r="AY114" s="13">
        <v>2039</v>
      </c>
      <c r="AZ114" s="13">
        <v>-2241</v>
      </c>
      <c r="BA114" s="13">
        <v>138922</v>
      </c>
      <c r="BB114" s="13">
        <v>141775</v>
      </c>
    </row>
    <row r="115" spans="1:54" x14ac:dyDescent="0.35">
      <c r="A115" t="s">
        <v>481</v>
      </c>
      <c r="B115" s="13">
        <v>625099</v>
      </c>
      <c r="C115" s="13">
        <v>388934</v>
      </c>
      <c r="D115" s="13">
        <v>11736</v>
      </c>
      <c r="E115" s="13">
        <v>124722</v>
      </c>
      <c r="F115" s="13">
        <v>113398</v>
      </c>
      <c r="G115" s="13">
        <v>-5671</v>
      </c>
      <c r="H115" s="13">
        <v>424</v>
      </c>
      <c r="I115" s="13">
        <v>188170</v>
      </c>
      <c r="J115" s="13">
        <v>203807</v>
      </c>
      <c r="K115" s="13">
        <v>0</v>
      </c>
      <c r="L115" s="13">
        <v>618206</v>
      </c>
      <c r="M115" s="13">
        <v>377951</v>
      </c>
      <c r="N115" s="13">
        <v>11736</v>
      </c>
      <c r="O115" s="13">
        <v>126322</v>
      </c>
      <c r="P115" s="13">
        <v>116758</v>
      </c>
      <c r="Q115" s="13">
        <v>-167</v>
      </c>
      <c r="R115" s="13">
        <v>42</v>
      </c>
      <c r="S115" s="13">
        <v>183901</v>
      </c>
      <c r="T115" s="13">
        <v>200775</v>
      </c>
      <c r="U115" s="13">
        <v>69139</v>
      </c>
      <c r="V115" s="13">
        <v>14242</v>
      </c>
      <c r="W115" s="13">
        <v>66051</v>
      </c>
      <c r="X115" s="13">
        <v>21956</v>
      </c>
      <c r="Y115" s="13">
        <v>8439</v>
      </c>
      <c r="Z115" s="13">
        <v>17194</v>
      </c>
      <c r="AA115" s="13">
        <v>22414</v>
      </c>
      <c r="AB115" s="13">
        <v>38348</v>
      </c>
      <c r="AC115" s="13">
        <v>26906</v>
      </c>
      <c r="AD115" s="13">
        <v>7992</v>
      </c>
      <c r="AE115" s="13">
        <v>18007</v>
      </c>
      <c r="AF115" s="13">
        <v>21703</v>
      </c>
      <c r="AG115" s="13">
        <v>41513</v>
      </c>
      <c r="AH115" s="13">
        <v>27452</v>
      </c>
      <c r="AK115" s="13">
        <v>492644</v>
      </c>
      <c r="AL115" s="13">
        <v>305874</v>
      </c>
      <c r="AM115" s="13">
        <v>9458</v>
      </c>
      <c r="AN115" s="13">
        <v>95007</v>
      </c>
      <c r="AO115" s="13">
        <v>89581</v>
      </c>
      <c r="AP115" s="13">
        <v>-679</v>
      </c>
      <c r="AQ115" s="13">
        <v>782</v>
      </c>
      <c r="AR115" s="13">
        <v>138097</v>
      </c>
      <c r="AS115" s="13">
        <v>145476</v>
      </c>
      <c r="AT115" s="13">
        <v>487966</v>
      </c>
      <c r="AU115" s="13">
        <v>295541</v>
      </c>
      <c r="AV115" s="13">
        <v>9458</v>
      </c>
      <c r="AW115" s="13">
        <v>96460</v>
      </c>
      <c r="AX115" s="13">
        <v>91915</v>
      </c>
      <c r="AY115" s="13">
        <v>1030</v>
      </c>
      <c r="AZ115" s="13">
        <v>667</v>
      </c>
      <c r="BA115" s="13">
        <v>134811</v>
      </c>
      <c r="BB115" s="13">
        <v>141916</v>
      </c>
    </row>
    <row r="116" spans="1:54" x14ac:dyDescent="0.35">
      <c r="A116" t="s">
        <v>482</v>
      </c>
      <c r="B116" s="13">
        <v>629697</v>
      </c>
      <c r="C116" s="13">
        <v>392507</v>
      </c>
      <c r="D116" s="13">
        <v>11731</v>
      </c>
      <c r="E116" s="13">
        <v>124943</v>
      </c>
      <c r="F116" s="13">
        <v>115410</v>
      </c>
      <c r="G116" s="13">
        <v>-4315</v>
      </c>
      <c r="H116" s="13">
        <v>-1253</v>
      </c>
      <c r="I116" s="13">
        <v>193914</v>
      </c>
      <c r="J116" s="13">
        <v>205396</v>
      </c>
      <c r="K116" s="13">
        <v>0</v>
      </c>
      <c r="L116" s="13">
        <v>624496</v>
      </c>
      <c r="M116" s="13">
        <v>387763</v>
      </c>
      <c r="N116" s="13">
        <v>11731</v>
      </c>
      <c r="O116" s="13">
        <v>124366</v>
      </c>
      <c r="P116" s="13">
        <v>111030</v>
      </c>
      <c r="Q116" s="13">
        <v>-4337</v>
      </c>
      <c r="R116" s="13">
        <v>-1273</v>
      </c>
      <c r="S116" s="13">
        <v>195898</v>
      </c>
      <c r="T116" s="13">
        <v>204608</v>
      </c>
      <c r="U116" s="13">
        <v>68302</v>
      </c>
      <c r="V116" s="13">
        <v>16494</v>
      </c>
      <c r="W116" s="13">
        <v>67887</v>
      </c>
      <c r="X116" s="13">
        <v>12748</v>
      </c>
      <c r="Y116" s="13">
        <v>7792</v>
      </c>
      <c r="Z116" s="13">
        <v>18155</v>
      </c>
      <c r="AA116" s="13">
        <v>22421</v>
      </c>
      <c r="AB116" s="13">
        <v>39820</v>
      </c>
      <c r="AC116" s="13">
        <v>27094</v>
      </c>
      <c r="AD116" s="13">
        <v>8427</v>
      </c>
      <c r="AE116" s="13">
        <v>16835</v>
      </c>
      <c r="AF116" s="13">
        <v>22303</v>
      </c>
      <c r="AG116" s="13">
        <v>36599</v>
      </c>
      <c r="AH116" s="13">
        <v>26595</v>
      </c>
      <c r="AK116" s="13">
        <v>497056</v>
      </c>
      <c r="AL116" s="13">
        <v>309767</v>
      </c>
      <c r="AM116" s="13">
        <v>9440</v>
      </c>
      <c r="AN116" s="13">
        <v>94775</v>
      </c>
      <c r="AO116" s="13">
        <v>92349</v>
      </c>
      <c r="AP116" s="13">
        <v>-3077</v>
      </c>
      <c r="AQ116" s="13">
        <v>-715</v>
      </c>
      <c r="AR116" s="13">
        <v>144130</v>
      </c>
      <c r="AS116" s="13">
        <v>149613</v>
      </c>
      <c r="AT116" s="13">
        <v>492661</v>
      </c>
      <c r="AU116" s="13">
        <v>305990</v>
      </c>
      <c r="AV116" s="13">
        <v>9440</v>
      </c>
      <c r="AW116" s="13">
        <v>94392</v>
      </c>
      <c r="AX116" s="13">
        <v>88891</v>
      </c>
      <c r="AY116" s="13">
        <v>-1887</v>
      </c>
      <c r="AZ116" s="13">
        <v>-735</v>
      </c>
      <c r="BA116" s="13">
        <v>145045</v>
      </c>
      <c r="BB116" s="13">
        <v>148475</v>
      </c>
    </row>
    <row r="117" spans="1:54" x14ac:dyDescent="0.35">
      <c r="A117" t="s">
        <v>483</v>
      </c>
      <c r="B117" s="13">
        <v>632477</v>
      </c>
      <c r="C117" s="13">
        <v>395501</v>
      </c>
      <c r="D117" s="13">
        <v>11665</v>
      </c>
      <c r="E117" s="13">
        <v>125086</v>
      </c>
      <c r="F117" s="13">
        <v>119949</v>
      </c>
      <c r="G117" s="13">
        <v>-2044</v>
      </c>
      <c r="H117" s="13">
        <v>2961</v>
      </c>
      <c r="I117" s="13">
        <v>188489</v>
      </c>
      <c r="J117" s="13">
        <v>212377</v>
      </c>
      <c r="K117" s="13">
        <v>0</v>
      </c>
      <c r="L117" s="13">
        <v>629498</v>
      </c>
      <c r="M117" s="13">
        <v>400238</v>
      </c>
      <c r="N117" s="13">
        <v>11665</v>
      </c>
      <c r="O117" s="13">
        <v>123897</v>
      </c>
      <c r="P117" s="13">
        <v>117763</v>
      </c>
      <c r="Q117" s="13">
        <v>-1048</v>
      </c>
      <c r="R117" s="13">
        <v>3311</v>
      </c>
      <c r="S117" s="13">
        <v>186237</v>
      </c>
      <c r="T117" s="13">
        <v>216203</v>
      </c>
      <c r="U117" s="13">
        <v>70982</v>
      </c>
      <c r="V117" s="13">
        <v>17408</v>
      </c>
      <c r="W117" s="13">
        <v>70438</v>
      </c>
      <c r="X117" s="13">
        <v>15209</v>
      </c>
      <c r="Y117" s="13">
        <v>8671</v>
      </c>
      <c r="Z117" s="13">
        <v>18723</v>
      </c>
      <c r="AA117" s="13">
        <v>23240</v>
      </c>
      <c r="AB117" s="13">
        <v>41069</v>
      </c>
      <c r="AC117" s="13">
        <v>28013</v>
      </c>
      <c r="AD117" s="13">
        <v>7998</v>
      </c>
      <c r="AE117" s="13">
        <v>18187</v>
      </c>
      <c r="AF117" s="13">
        <v>23486</v>
      </c>
      <c r="AG117" s="13">
        <v>40317</v>
      </c>
      <c r="AH117" s="13">
        <v>27742</v>
      </c>
      <c r="AK117" s="13">
        <v>504373</v>
      </c>
      <c r="AL117" s="13">
        <v>314703</v>
      </c>
      <c r="AM117" s="13">
        <v>9463</v>
      </c>
      <c r="AN117" s="13">
        <v>95489</v>
      </c>
      <c r="AO117" s="13">
        <v>95998</v>
      </c>
      <c r="AP117" s="13">
        <v>1570</v>
      </c>
      <c r="AQ117" s="13">
        <v>3082</v>
      </c>
      <c r="AR117" s="13">
        <v>145189</v>
      </c>
      <c r="AS117" s="13">
        <v>161121</v>
      </c>
      <c r="AT117" s="13">
        <v>501196</v>
      </c>
      <c r="AU117" s="13">
        <v>320383</v>
      </c>
      <c r="AV117" s="13">
        <v>9463</v>
      </c>
      <c r="AW117" s="13">
        <v>94910</v>
      </c>
      <c r="AX117" s="13">
        <v>94527</v>
      </c>
      <c r="AY117" s="13">
        <v>1340</v>
      </c>
      <c r="AZ117" s="13">
        <v>3302</v>
      </c>
      <c r="BA117" s="13">
        <v>143578</v>
      </c>
      <c r="BB117" s="13">
        <v>166307</v>
      </c>
    </row>
    <row r="118" spans="1:54" x14ac:dyDescent="0.35">
      <c r="A118" t="s">
        <v>484</v>
      </c>
      <c r="B118" s="13">
        <v>636392</v>
      </c>
      <c r="C118" s="13">
        <v>395973</v>
      </c>
      <c r="D118" s="13">
        <v>11720</v>
      </c>
      <c r="E118" s="13">
        <v>124773</v>
      </c>
      <c r="F118" s="13">
        <v>117588</v>
      </c>
      <c r="G118" s="13">
        <v>-3777</v>
      </c>
      <c r="H118" s="13">
        <v>-2544</v>
      </c>
      <c r="I118" s="13">
        <v>195307</v>
      </c>
      <c r="J118" s="13">
        <v>206377</v>
      </c>
      <c r="K118" s="13">
        <v>0</v>
      </c>
      <c r="L118" s="13">
        <v>651465</v>
      </c>
      <c r="M118" s="13">
        <v>406963</v>
      </c>
      <c r="N118" s="13">
        <v>11720</v>
      </c>
      <c r="O118" s="13">
        <v>124939</v>
      </c>
      <c r="P118" s="13">
        <v>120794</v>
      </c>
      <c r="Q118" s="13">
        <v>-10255</v>
      </c>
      <c r="R118" s="13">
        <v>-2492</v>
      </c>
      <c r="S118" s="13">
        <v>199844</v>
      </c>
      <c r="T118" s="13">
        <v>206371</v>
      </c>
      <c r="U118" s="13">
        <v>67816</v>
      </c>
      <c r="V118" s="13">
        <v>16868</v>
      </c>
      <c r="W118" s="13">
        <v>71864</v>
      </c>
      <c r="X118" s="13">
        <v>15100</v>
      </c>
      <c r="Y118" s="13">
        <v>5876</v>
      </c>
      <c r="Z118" s="13">
        <v>18151</v>
      </c>
      <c r="AA118" s="13">
        <v>24207</v>
      </c>
      <c r="AB118" s="13">
        <v>40721</v>
      </c>
      <c r="AC118" s="13">
        <v>28751</v>
      </c>
      <c r="AD118" s="13">
        <v>6360</v>
      </c>
      <c r="AE118" s="13">
        <v>19194</v>
      </c>
      <c r="AF118" s="13">
        <v>24791</v>
      </c>
      <c r="AG118" s="13">
        <v>41529</v>
      </c>
      <c r="AH118" s="13">
        <v>28975</v>
      </c>
      <c r="AK118" s="13">
        <v>510682</v>
      </c>
      <c r="AL118" s="13">
        <v>316756</v>
      </c>
      <c r="AM118" s="13">
        <v>9575</v>
      </c>
      <c r="AN118" s="13">
        <v>96061</v>
      </c>
      <c r="AO118" s="13">
        <v>94334</v>
      </c>
      <c r="AP118" s="13">
        <v>1380</v>
      </c>
      <c r="AQ118" s="13">
        <v>-1808</v>
      </c>
      <c r="AR118" s="13">
        <v>155197</v>
      </c>
      <c r="AS118" s="13">
        <v>160813</v>
      </c>
      <c r="AT118" s="13">
        <v>522932</v>
      </c>
      <c r="AU118" s="13">
        <v>325186</v>
      </c>
      <c r="AV118" s="13">
        <v>9575</v>
      </c>
      <c r="AW118" s="13">
        <v>95570</v>
      </c>
      <c r="AX118" s="13">
        <v>96929</v>
      </c>
      <c r="AY118" s="13">
        <v>-1289</v>
      </c>
      <c r="AZ118" s="13">
        <v>-1893</v>
      </c>
      <c r="BA118" s="13">
        <v>159179</v>
      </c>
      <c r="BB118" s="13">
        <v>160325</v>
      </c>
    </row>
    <row r="119" spans="1:54" x14ac:dyDescent="0.35">
      <c r="A119" t="s">
        <v>485</v>
      </c>
      <c r="B119" s="13">
        <v>642463</v>
      </c>
      <c r="C119" s="13">
        <v>399124</v>
      </c>
      <c r="D119" s="13">
        <v>11978</v>
      </c>
      <c r="E119" s="13">
        <v>125247</v>
      </c>
      <c r="F119" s="13">
        <v>118379</v>
      </c>
      <c r="G119" s="13">
        <v>-2220</v>
      </c>
      <c r="H119" s="13">
        <v>-961</v>
      </c>
      <c r="I119" s="13">
        <v>198862</v>
      </c>
      <c r="J119" s="13">
        <v>208768</v>
      </c>
      <c r="K119" s="13">
        <v>0</v>
      </c>
      <c r="L119" s="13">
        <v>634885</v>
      </c>
      <c r="M119" s="13">
        <v>386966</v>
      </c>
      <c r="N119" s="13">
        <v>11978</v>
      </c>
      <c r="O119" s="13">
        <v>127294</v>
      </c>
      <c r="P119" s="13">
        <v>119801</v>
      </c>
      <c r="Q119" s="13">
        <v>863</v>
      </c>
      <c r="R119" s="13">
        <v>-1366</v>
      </c>
      <c r="S119" s="13">
        <v>195713</v>
      </c>
      <c r="T119" s="13">
        <v>207125</v>
      </c>
      <c r="U119" s="13">
        <v>69404</v>
      </c>
      <c r="V119" s="13">
        <v>15812</v>
      </c>
      <c r="W119" s="13">
        <v>66260</v>
      </c>
      <c r="X119" s="13">
        <v>21674</v>
      </c>
      <c r="Y119" s="13">
        <v>6881</v>
      </c>
      <c r="Z119" s="13">
        <v>18074</v>
      </c>
      <c r="AA119" s="13">
        <v>24590</v>
      </c>
      <c r="AB119" s="13">
        <v>40584</v>
      </c>
      <c r="AC119" s="13">
        <v>28305</v>
      </c>
      <c r="AD119" s="13">
        <v>6381</v>
      </c>
      <c r="AE119" s="13">
        <v>18827</v>
      </c>
      <c r="AF119" s="13">
        <v>23906</v>
      </c>
      <c r="AG119" s="13">
        <v>41987</v>
      </c>
      <c r="AH119" s="13">
        <v>28791</v>
      </c>
      <c r="AK119" s="13">
        <v>517306</v>
      </c>
      <c r="AL119" s="13">
        <v>319803</v>
      </c>
      <c r="AM119" s="13">
        <v>9736</v>
      </c>
      <c r="AN119" s="13">
        <v>96748</v>
      </c>
      <c r="AO119" s="13">
        <v>95612</v>
      </c>
      <c r="AP119" s="13">
        <v>2119</v>
      </c>
      <c r="AQ119" s="13">
        <v>-763</v>
      </c>
      <c r="AR119" s="13">
        <v>158878</v>
      </c>
      <c r="AS119" s="13">
        <v>164827</v>
      </c>
      <c r="AT119" s="13">
        <v>510329</v>
      </c>
      <c r="AU119" s="13">
        <v>308245</v>
      </c>
      <c r="AV119" s="13">
        <v>9736</v>
      </c>
      <c r="AW119" s="13">
        <v>98167</v>
      </c>
      <c r="AX119" s="13">
        <v>96559</v>
      </c>
      <c r="AY119" s="13">
        <v>4675</v>
      </c>
      <c r="AZ119" s="13">
        <v>-873</v>
      </c>
      <c r="BA119" s="13">
        <v>155908</v>
      </c>
      <c r="BB119" s="13">
        <v>162088</v>
      </c>
    </row>
    <row r="120" spans="1:54" x14ac:dyDescent="0.35">
      <c r="A120" t="s">
        <v>486</v>
      </c>
      <c r="B120" s="13">
        <v>647944</v>
      </c>
      <c r="C120" s="13">
        <v>399139</v>
      </c>
      <c r="D120" s="13">
        <v>12256</v>
      </c>
      <c r="E120" s="13">
        <v>126105</v>
      </c>
      <c r="F120" s="13">
        <v>120665</v>
      </c>
      <c r="G120" s="13">
        <v>2641</v>
      </c>
      <c r="H120" s="13">
        <v>-207</v>
      </c>
      <c r="I120" s="13">
        <v>203044</v>
      </c>
      <c r="J120" s="13">
        <v>215283</v>
      </c>
      <c r="K120" s="13">
        <v>0</v>
      </c>
      <c r="L120" s="13">
        <v>640355</v>
      </c>
      <c r="M120" s="13">
        <v>396056</v>
      </c>
      <c r="N120" s="13">
        <v>12256</v>
      </c>
      <c r="O120" s="13">
        <v>125042</v>
      </c>
      <c r="P120" s="13">
        <v>116006</v>
      </c>
      <c r="Q120" s="13">
        <v>1979</v>
      </c>
      <c r="R120" s="13">
        <v>-190</v>
      </c>
      <c r="S120" s="13">
        <v>204325</v>
      </c>
      <c r="T120" s="13">
        <v>213629</v>
      </c>
      <c r="U120" s="13">
        <v>68843</v>
      </c>
      <c r="V120" s="13">
        <v>18884</v>
      </c>
      <c r="W120" s="13">
        <v>68166</v>
      </c>
      <c r="X120" s="13">
        <v>15168</v>
      </c>
      <c r="Y120" s="13">
        <v>8040</v>
      </c>
      <c r="Z120" s="13">
        <v>18769</v>
      </c>
      <c r="AA120" s="13">
        <v>24856</v>
      </c>
      <c r="AB120" s="13">
        <v>40367</v>
      </c>
      <c r="AC120" s="13">
        <v>28584</v>
      </c>
      <c r="AD120" s="13">
        <v>8581</v>
      </c>
      <c r="AE120" s="13">
        <v>17474</v>
      </c>
      <c r="AF120" s="13">
        <v>24722</v>
      </c>
      <c r="AG120" s="13">
        <v>36885</v>
      </c>
      <c r="AH120" s="13">
        <v>28166</v>
      </c>
      <c r="AK120" s="13">
        <v>521616</v>
      </c>
      <c r="AL120" s="13">
        <v>321719</v>
      </c>
      <c r="AM120" s="13">
        <v>9879</v>
      </c>
      <c r="AN120" s="13">
        <v>96056</v>
      </c>
      <c r="AO120" s="13">
        <v>98963</v>
      </c>
      <c r="AP120" s="13">
        <v>2218</v>
      </c>
      <c r="AQ120" s="13">
        <v>298</v>
      </c>
      <c r="AR120" s="13">
        <v>161673</v>
      </c>
      <c r="AS120" s="13">
        <v>169190</v>
      </c>
      <c r="AT120" s="13">
        <v>514911</v>
      </c>
      <c r="AU120" s="13">
        <v>318960</v>
      </c>
      <c r="AV120" s="13">
        <v>9879</v>
      </c>
      <c r="AW120" s="13">
        <v>95650</v>
      </c>
      <c r="AX120" s="13">
        <v>95416</v>
      </c>
      <c r="AY120" s="13">
        <v>212</v>
      </c>
      <c r="AZ120" s="13">
        <v>255</v>
      </c>
      <c r="BA120" s="13">
        <v>161876</v>
      </c>
      <c r="BB120" s="13">
        <v>167337</v>
      </c>
    </row>
    <row r="121" spans="1:54" x14ac:dyDescent="0.35">
      <c r="A121" t="s">
        <v>487</v>
      </c>
      <c r="B121" s="13">
        <v>652329</v>
      </c>
      <c r="C121" s="13">
        <v>401714</v>
      </c>
      <c r="D121" s="13">
        <v>12457</v>
      </c>
      <c r="E121" s="13">
        <v>126510</v>
      </c>
      <c r="F121" s="13">
        <v>121482</v>
      </c>
      <c r="G121" s="13">
        <v>-888</v>
      </c>
      <c r="H121" s="13">
        <v>-195</v>
      </c>
      <c r="I121" s="13">
        <v>208846</v>
      </c>
      <c r="J121" s="13">
        <v>216526</v>
      </c>
      <c r="K121" s="13">
        <v>0</v>
      </c>
      <c r="L121" s="13">
        <v>651108</v>
      </c>
      <c r="M121" s="13">
        <v>406269</v>
      </c>
      <c r="N121" s="13">
        <v>12457</v>
      </c>
      <c r="O121" s="13">
        <v>125312</v>
      </c>
      <c r="P121" s="13">
        <v>120576</v>
      </c>
      <c r="Q121" s="13">
        <v>-1071</v>
      </c>
      <c r="R121" s="13">
        <v>169</v>
      </c>
      <c r="S121" s="13">
        <v>205517</v>
      </c>
      <c r="T121" s="13">
        <v>220262</v>
      </c>
      <c r="U121" s="13">
        <v>69659</v>
      </c>
      <c r="V121" s="13">
        <v>18067</v>
      </c>
      <c r="W121" s="13">
        <v>69165</v>
      </c>
      <c r="X121" s="13">
        <v>17090</v>
      </c>
      <c r="Y121" s="13">
        <v>7419</v>
      </c>
      <c r="Z121" s="13">
        <v>18712</v>
      </c>
      <c r="AA121" s="13">
        <v>25516</v>
      </c>
      <c r="AB121" s="13">
        <v>40611</v>
      </c>
      <c r="AC121" s="13">
        <v>29236</v>
      </c>
      <c r="AD121" s="13">
        <v>6674</v>
      </c>
      <c r="AE121" s="13">
        <v>18122</v>
      </c>
      <c r="AF121" s="13">
        <v>25737</v>
      </c>
      <c r="AG121" s="13">
        <v>41319</v>
      </c>
      <c r="AH121" s="13">
        <v>28932</v>
      </c>
      <c r="AK121" s="13">
        <v>525161</v>
      </c>
      <c r="AL121" s="13">
        <v>324861</v>
      </c>
      <c r="AM121" s="13">
        <v>10167</v>
      </c>
      <c r="AN121" s="13">
        <v>96652</v>
      </c>
      <c r="AO121" s="13">
        <v>100236</v>
      </c>
      <c r="AP121" s="13">
        <v>-339</v>
      </c>
      <c r="AQ121" s="13">
        <v>203</v>
      </c>
      <c r="AR121" s="13">
        <v>165019</v>
      </c>
      <c r="AS121" s="13">
        <v>171638</v>
      </c>
      <c r="AT121" s="13">
        <v>524766</v>
      </c>
      <c r="AU121" s="13">
        <v>330064</v>
      </c>
      <c r="AV121" s="13">
        <v>10167</v>
      </c>
      <c r="AW121" s="13">
        <v>96105</v>
      </c>
      <c r="AX121" s="13">
        <v>99388</v>
      </c>
      <c r="AY121" s="13">
        <v>1997</v>
      </c>
      <c r="AZ121" s="13">
        <v>430</v>
      </c>
      <c r="BA121" s="13">
        <v>163303</v>
      </c>
      <c r="BB121" s="13">
        <v>176688</v>
      </c>
    </row>
    <row r="122" spans="1:54" x14ac:dyDescent="0.35">
      <c r="A122" t="s">
        <v>488</v>
      </c>
      <c r="B122" s="13">
        <v>657225</v>
      </c>
      <c r="C122" s="13">
        <v>403747</v>
      </c>
      <c r="D122" s="13">
        <v>12855</v>
      </c>
      <c r="E122" s="13">
        <v>126734</v>
      </c>
      <c r="F122" s="13">
        <v>123835</v>
      </c>
      <c r="G122" s="13">
        <v>-5762</v>
      </c>
      <c r="H122" s="13">
        <v>597</v>
      </c>
      <c r="I122" s="13">
        <v>204420</v>
      </c>
      <c r="J122" s="13">
        <v>212728</v>
      </c>
      <c r="K122" s="13">
        <v>0</v>
      </c>
      <c r="L122" s="13">
        <v>673613</v>
      </c>
      <c r="M122" s="13">
        <v>414433</v>
      </c>
      <c r="N122" s="13">
        <v>12855</v>
      </c>
      <c r="O122" s="13">
        <v>126948</v>
      </c>
      <c r="P122" s="13">
        <v>127978</v>
      </c>
      <c r="Q122" s="13">
        <v>-8000</v>
      </c>
      <c r="R122" s="13">
        <v>621</v>
      </c>
      <c r="S122" s="13">
        <v>209617</v>
      </c>
      <c r="T122" s="13">
        <v>212289</v>
      </c>
      <c r="U122" s="13">
        <v>70956</v>
      </c>
      <c r="V122" s="13">
        <v>18312</v>
      </c>
      <c r="W122" s="13">
        <v>75270</v>
      </c>
      <c r="X122" s="13">
        <v>17144</v>
      </c>
      <c r="Y122" s="13">
        <v>7967</v>
      </c>
      <c r="Z122" s="13">
        <v>18939</v>
      </c>
      <c r="AA122" s="13">
        <v>26342</v>
      </c>
      <c r="AB122" s="13">
        <v>40691</v>
      </c>
      <c r="AC122" s="13">
        <v>29845</v>
      </c>
      <c r="AD122" s="13">
        <v>8670</v>
      </c>
      <c r="AE122" s="13">
        <v>20071</v>
      </c>
      <c r="AF122" s="13">
        <v>26939</v>
      </c>
      <c r="AG122" s="13">
        <v>42062</v>
      </c>
      <c r="AH122" s="13">
        <v>30081</v>
      </c>
      <c r="AK122" s="13">
        <v>533139</v>
      </c>
      <c r="AL122" s="13">
        <v>328030</v>
      </c>
      <c r="AM122" s="13">
        <v>10514</v>
      </c>
      <c r="AN122" s="13">
        <v>97875</v>
      </c>
      <c r="AO122" s="13">
        <v>102983</v>
      </c>
      <c r="AP122" s="13">
        <v>-1221</v>
      </c>
      <c r="AQ122" s="13">
        <v>926</v>
      </c>
      <c r="AR122" s="13">
        <v>164020</v>
      </c>
      <c r="AS122" s="13">
        <v>169988</v>
      </c>
      <c r="AT122" s="13">
        <v>547216</v>
      </c>
      <c r="AU122" s="13">
        <v>337144</v>
      </c>
      <c r="AV122" s="13">
        <v>10514</v>
      </c>
      <c r="AW122" s="13">
        <v>97409</v>
      </c>
      <c r="AX122" s="13">
        <v>106431</v>
      </c>
      <c r="AY122" s="13">
        <v>-4107</v>
      </c>
      <c r="AZ122" s="13">
        <v>852</v>
      </c>
      <c r="BA122" s="13">
        <v>168503</v>
      </c>
      <c r="BB122" s="13">
        <v>169530</v>
      </c>
    </row>
    <row r="123" spans="1:54" x14ac:dyDescent="0.35">
      <c r="A123" t="s">
        <v>489</v>
      </c>
      <c r="B123" s="13">
        <v>657741</v>
      </c>
      <c r="C123" s="13">
        <v>406073</v>
      </c>
      <c r="D123" s="13">
        <v>13232</v>
      </c>
      <c r="E123" s="13">
        <v>126485</v>
      </c>
      <c r="F123" s="13">
        <v>122841</v>
      </c>
      <c r="G123" s="13">
        <v>-2734</v>
      </c>
      <c r="H123" s="13">
        <v>67</v>
      </c>
      <c r="I123" s="13">
        <v>209357</v>
      </c>
      <c r="J123" s="13">
        <v>215664</v>
      </c>
      <c r="K123" s="13">
        <v>0</v>
      </c>
      <c r="L123" s="13">
        <v>650263</v>
      </c>
      <c r="M123" s="13">
        <v>393339</v>
      </c>
      <c r="N123" s="13">
        <v>13232</v>
      </c>
      <c r="O123" s="13">
        <v>128180</v>
      </c>
      <c r="P123" s="13">
        <v>121919</v>
      </c>
      <c r="Q123" s="13">
        <v>-1126</v>
      </c>
      <c r="R123" s="13">
        <v>-273</v>
      </c>
      <c r="S123" s="13">
        <v>205472</v>
      </c>
      <c r="T123" s="13">
        <v>212745</v>
      </c>
      <c r="U123" s="13">
        <v>71088</v>
      </c>
      <c r="V123" s="13">
        <v>18074</v>
      </c>
      <c r="W123" s="13">
        <v>66293</v>
      </c>
      <c r="X123" s="13">
        <v>23250</v>
      </c>
      <c r="Y123" s="13">
        <v>5736</v>
      </c>
      <c r="Z123" s="13">
        <v>19158</v>
      </c>
      <c r="AA123" s="13">
        <v>25774</v>
      </c>
      <c r="AB123" s="13">
        <v>42139</v>
      </c>
      <c r="AC123" s="13">
        <v>30025</v>
      </c>
      <c r="AD123" s="13">
        <v>5170</v>
      </c>
      <c r="AE123" s="13">
        <v>19698</v>
      </c>
      <c r="AF123" s="13">
        <v>25098</v>
      </c>
      <c r="AG123" s="13">
        <v>41246</v>
      </c>
      <c r="AH123" s="13">
        <v>30697</v>
      </c>
      <c r="AK123" s="13">
        <v>535163</v>
      </c>
      <c r="AL123" s="13">
        <v>332275</v>
      </c>
      <c r="AM123" s="13">
        <v>10854</v>
      </c>
      <c r="AN123" s="13">
        <v>98461</v>
      </c>
      <c r="AO123" s="13">
        <v>101518</v>
      </c>
      <c r="AP123" s="13">
        <v>-1627</v>
      </c>
      <c r="AQ123" s="13">
        <v>192</v>
      </c>
      <c r="AR123" s="13">
        <v>167585</v>
      </c>
      <c r="AS123" s="13">
        <v>174095</v>
      </c>
      <c r="AT123" s="13">
        <v>527724</v>
      </c>
      <c r="AU123" s="13">
        <v>320211</v>
      </c>
      <c r="AV123" s="13">
        <v>10854</v>
      </c>
      <c r="AW123" s="13">
        <v>99870</v>
      </c>
      <c r="AX123" s="13">
        <v>102102</v>
      </c>
      <c r="AY123" s="13">
        <v>1344</v>
      </c>
      <c r="AZ123" s="13">
        <v>63</v>
      </c>
      <c r="BA123" s="13">
        <v>163746</v>
      </c>
      <c r="BB123" s="13">
        <v>170466</v>
      </c>
    </row>
    <row r="124" spans="1:54" x14ac:dyDescent="0.35">
      <c r="A124" t="s">
        <v>490</v>
      </c>
      <c r="B124" s="13">
        <v>659172</v>
      </c>
      <c r="C124" s="13">
        <v>404497</v>
      </c>
      <c r="D124" s="13">
        <v>13877</v>
      </c>
      <c r="E124" s="13">
        <v>126524</v>
      </c>
      <c r="F124" s="13">
        <v>120520</v>
      </c>
      <c r="G124" s="13">
        <v>2210</v>
      </c>
      <c r="H124" s="13">
        <v>800</v>
      </c>
      <c r="I124" s="13">
        <v>212796</v>
      </c>
      <c r="J124" s="13">
        <v>219508</v>
      </c>
      <c r="K124" s="13">
        <v>0</v>
      </c>
      <c r="L124" s="13">
        <v>651337</v>
      </c>
      <c r="M124" s="13">
        <v>401578</v>
      </c>
      <c r="N124" s="13">
        <v>13877</v>
      </c>
      <c r="O124" s="13">
        <v>125789</v>
      </c>
      <c r="P124" s="13">
        <v>115009</v>
      </c>
      <c r="Q124" s="13">
        <v>1597</v>
      </c>
      <c r="R124" s="13">
        <v>850</v>
      </c>
      <c r="S124" s="13">
        <v>213356</v>
      </c>
      <c r="T124" s="13">
        <v>218318</v>
      </c>
      <c r="U124" s="13">
        <v>69104</v>
      </c>
      <c r="V124" s="13">
        <v>16801</v>
      </c>
      <c r="W124" s="13">
        <v>66786</v>
      </c>
      <c r="X124" s="13">
        <v>13903</v>
      </c>
      <c r="Y124" s="13">
        <v>3661</v>
      </c>
      <c r="Z124" s="13">
        <v>18797</v>
      </c>
      <c r="AA124" s="13">
        <v>26262</v>
      </c>
      <c r="AB124" s="13">
        <v>41967</v>
      </c>
      <c r="AC124" s="13">
        <v>29988</v>
      </c>
      <c r="AD124" s="13">
        <v>4045</v>
      </c>
      <c r="AE124" s="13">
        <v>17738</v>
      </c>
      <c r="AF124" s="13">
        <v>26121</v>
      </c>
      <c r="AG124" s="13">
        <v>37654</v>
      </c>
      <c r="AH124" s="13">
        <v>29541</v>
      </c>
      <c r="AK124" s="13">
        <v>540719</v>
      </c>
      <c r="AL124" s="13">
        <v>332476</v>
      </c>
      <c r="AM124" s="13">
        <v>11410</v>
      </c>
      <c r="AN124" s="13">
        <v>98819</v>
      </c>
      <c r="AO124" s="13">
        <v>100328</v>
      </c>
      <c r="AP124" s="13">
        <v>1230</v>
      </c>
      <c r="AQ124" s="13">
        <v>1253</v>
      </c>
      <c r="AR124" s="13">
        <v>173057</v>
      </c>
      <c r="AS124" s="13">
        <v>177854</v>
      </c>
      <c r="AT124" s="13">
        <v>534634</v>
      </c>
      <c r="AU124" s="13">
        <v>329708</v>
      </c>
      <c r="AV124" s="13">
        <v>11410</v>
      </c>
      <c r="AW124" s="13">
        <v>98420</v>
      </c>
      <c r="AX124" s="13">
        <v>96978</v>
      </c>
      <c r="AY124" s="13">
        <v>128</v>
      </c>
      <c r="AZ124" s="13">
        <v>1205</v>
      </c>
      <c r="BA124" s="13">
        <v>172922</v>
      </c>
      <c r="BB124" s="13">
        <v>176137</v>
      </c>
    </row>
    <row r="125" spans="1:54" x14ac:dyDescent="0.35">
      <c r="A125" t="s">
        <v>491</v>
      </c>
      <c r="B125" s="13">
        <v>661262</v>
      </c>
      <c r="C125" s="13">
        <v>408017</v>
      </c>
      <c r="D125" s="13">
        <v>14326</v>
      </c>
      <c r="E125" s="13">
        <v>126668</v>
      </c>
      <c r="F125" s="13">
        <v>119714</v>
      </c>
      <c r="G125" s="13">
        <v>-3316</v>
      </c>
      <c r="H125" s="13">
        <v>967</v>
      </c>
      <c r="I125" s="13">
        <v>213488</v>
      </c>
      <c r="J125" s="13">
        <v>219701</v>
      </c>
      <c r="K125" s="13">
        <v>0</v>
      </c>
      <c r="L125" s="13">
        <v>659214</v>
      </c>
      <c r="M125" s="13">
        <v>412939</v>
      </c>
      <c r="N125" s="13">
        <v>14326</v>
      </c>
      <c r="O125" s="13">
        <v>125457</v>
      </c>
      <c r="P125" s="13">
        <v>120978</v>
      </c>
      <c r="Q125" s="13">
        <v>-178</v>
      </c>
      <c r="R125" s="13">
        <v>1294</v>
      </c>
      <c r="S125" s="13">
        <v>209650</v>
      </c>
      <c r="T125" s="13">
        <v>222672</v>
      </c>
      <c r="U125" s="13">
        <v>67423</v>
      </c>
      <c r="V125" s="13">
        <v>17993</v>
      </c>
      <c r="W125" s="13">
        <v>69273</v>
      </c>
      <c r="X125" s="13">
        <v>16830</v>
      </c>
      <c r="Y125" s="13">
        <v>6205</v>
      </c>
      <c r="Z125" s="13">
        <v>18333</v>
      </c>
      <c r="AA125" s="13">
        <v>26510</v>
      </c>
      <c r="AB125" s="13">
        <v>39208</v>
      </c>
      <c r="AC125" s="13">
        <v>29702</v>
      </c>
      <c r="AD125" s="13">
        <v>5624</v>
      </c>
      <c r="AE125" s="13">
        <v>17756</v>
      </c>
      <c r="AF125" s="13">
        <v>26715</v>
      </c>
      <c r="AG125" s="13">
        <v>41951</v>
      </c>
      <c r="AH125" s="13">
        <v>29345</v>
      </c>
      <c r="AK125" s="13">
        <v>545160</v>
      </c>
      <c r="AL125" s="13">
        <v>336995</v>
      </c>
      <c r="AM125" s="13">
        <v>11891</v>
      </c>
      <c r="AN125" s="13">
        <v>99552</v>
      </c>
      <c r="AO125" s="13">
        <v>101273</v>
      </c>
      <c r="AP125" s="13">
        <v>-1370</v>
      </c>
      <c r="AQ125" s="13">
        <v>1060</v>
      </c>
      <c r="AR125" s="13">
        <v>175878</v>
      </c>
      <c r="AS125" s="13">
        <v>180119</v>
      </c>
      <c r="AT125" s="13">
        <v>544414</v>
      </c>
      <c r="AU125" s="13">
        <v>342452</v>
      </c>
      <c r="AV125" s="13">
        <v>11891</v>
      </c>
      <c r="AW125" s="13">
        <v>98986</v>
      </c>
      <c r="AX125" s="13">
        <v>100585</v>
      </c>
      <c r="AY125" s="13">
        <v>-123</v>
      </c>
      <c r="AZ125" s="13">
        <v>1303</v>
      </c>
      <c r="BA125" s="13">
        <v>173803</v>
      </c>
      <c r="BB125" s="13">
        <v>184483</v>
      </c>
    </row>
    <row r="126" spans="1:54" x14ac:dyDescent="0.35">
      <c r="A126" t="s">
        <v>492</v>
      </c>
      <c r="B126" s="13">
        <v>662120</v>
      </c>
      <c r="C126" s="13">
        <v>412655</v>
      </c>
      <c r="D126" s="13">
        <v>14737</v>
      </c>
      <c r="E126" s="13">
        <v>128164</v>
      </c>
      <c r="F126" s="13">
        <v>120288</v>
      </c>
      <c r="G126" s="13">
        <v>2340</v>
      </c>
      <c r="H126" s="13">
        <v>-135</v>
      </c>
      <c r="I126" s="13">
        <v>210769</v>
      </c>
      <c r="J126" s="13">
        <v>227551</v>
      </c>
      <c r="K126" s="13">
        <v>0</v>
      </c>
      <c r="L126" s="13">
        <v>679481</v>
      </c>
      <c r="M126" s="13">
        <v>423386</v>
      </c>
      <c r="N126" s="13">
        <v>14737</v>
      </c>
      <c r="O126" s="13">
        <v>128415</v>
      </c>
      <c r="P126" s="13">
        <v>125457</v>
      </c>
      <c r="Q126" s="13">
        <v>-1793</v>
      </c>
      <c r="R126" s="13">
        <v>-172</v>
      </c>
      <c r="S126" s="13">
        <v>217932</v>
      </c>
      <c r="T126" s="13">
        <v>228689</v>
      </c>
      <c r="U126" s="13">
        <v>68573</v>
      </c>
      <c r="V126" s="13">
        <v>17674</v>
      </c>
      <c r="W126" s="13">
        <v>73835</v>
      </c>
      <c r="X126" s="13">
        <v>16560</v>
      </c>
      <c r="Y126" s="13">
        <v>6403</v>
      </c>
      <c r="Z126" s="13">
        <v>18050</v>
      </c>
      <c r="AA126" s="13">
        <v>26647</v>
      </c>
      <c r="AB126" s="13">
        <v>39603</v>
      </c>
      <c r="AC126" s="13">
        <v>29845</v>
      </c>
      <c r="AD126" s="13">
        <v>7164</v>
      </c>
      <c r="AE126" s="13">
        <v>19145</v>
      </c>
      <c r="AF126" s="13">
        <v>27259</v>
      </c>
      <c r="AG126" s="13">
        <v>42066</v>
      </c>
      <c r="AH126" s="13">
        <v>29977</v>
      </c>
      <c r="AK126" s="13">
        <v>550517</v>
      </c>
      <c r="AL126" s="13">
        <v>341760</v>
      </c>
      <c r="AM126" s="13">
        <v>12247</v>
      </c>
      <c r="AN126" s="13">
        <v>100987</v>
      </c>
      <c r="AO126" s="13">
        <v>102748</v>
      </c>
      <c r="AP126" s="13">
        <v>3242</v>
      </c>
      <c r="AQ126" s="13">
        <v>59</v>
      </c>
      <c r="AR126" s="13">
        <v>175220</v>
      </c>
      <c r="AS126" s="13">
        <v>185746</v>
      </c>
      <c r="AT126" s="13">
        <v>564787</v>
      </c>
      <c r="AU126" s="13">
        <v>351135</v>
      </c>
      <c r="AV126" s="13">
        <v>12247</v>
      </c>
      <c r="AW126" s="13">
        <v>100543</v>
      </c>
      <c r="AX126" s="13">
        <v>106202</v>
      </c>
      <c r="AY126" s="13">
        <v>126</v>
      </c>
      <c r="AZ126" s="13">
        <v>-7</v>
      </c>
      <c r="BA126" s="13">
        <v>181269</v>
      </c>
      <c r="BB126" s="13">
        <v>186728</v>
      </c>
    </row>
    <row r="127" spans="1:54" x14ac:dyDescent="0.35">
      <c r="A127" t="s">
        <v>493</v>
      </c>
      <c r="B127" s="13">
        <v>665456</v>
      </c>
      <c r="C127" s="13">
        <v>412090</v>
      </c>
      <c r="D127" s="13">
        <v>14633</v>
      </c>
      <c r="E127" s="13">
        <v>128838</v>
      </c>
      <c r="F127" s="13">
        <v>124425</v>
      </c>
      <c r="G127" s="13">
        <v>8771</v>
      </c>
      <c r="H127" s="13">
        <v>12236</v>
      </c>
      <c r="I127" s="13">
        <v>210903</v>
      </c>
      <c r="J127" s="13">
        <v>245977</v>
      </c>
      <c r="K127" s="13">
        <v>0</v>
      </c>
      <c r="L127" s="13">
        <v>656201</v>
      </c>
      <c r="M127" s="13">
        <v>398047</v>
      </c>
      <c r="N127" s="13">
        <v>14633</v>
      </c>
      <c r="O127" s="13">
        <v>131107</v>
      </c>
      <c r="P127" s="13">
        <v>126181</v>
      </c>
      <c r="Q127" s="13">
        <v>2105</v>
      </c>
      <c r="R127" s="13">
        <v>12001</v>
      </c>
      <c r="S127" s="13">
        <v>206050</v>
      </c>
      <c r="T127" s="13">
        <v>242048</v>
      </c>
      <c r="U127" s="13">
        <v>69829</v>
      </c>
      <c r="V127" s="13">
        <v>19067</v>
      </c>
      <c r="W127" s="13">
        <v>67355</v>
      </c>
      <c r="X127" s="13">
        <v>24669</v>
      </c>
      <c r="Y127" s="13">
        <v>5745</v>
      </c>
      <c r="Z127" s="13">
        <v>18869</v>
      </c>
      <c r="AA127" s="13">
        <v>27197</v>
      </c>
      <c r="AB127" s="13">
        <v>42374</v>
      </c>
      <c r="AC127" s="13">
        <v>30484</v>
      </c>
      <c r="AD127" s="13">
        <v>5309</v>
      </c>
      <c r="AE127" s="13">
        <v>19866</v>
      </c>
      <c r="AF127" s="13">
        <v>26535</v>
      </c>
      <c r="AG127" s="13">
        <v>43332</v>
      </c>
      <c r="AH127" s="13">
        <v>31354</v>
      </c>
      <c r="AK127" s="13">
        <v>553984</v>
      </c>
      <c r="AL127" s="13">
        <v>341511</v>
      </c>
      <c r="AM127" s="13">
        <v>12249</v>
      </c>
      <c r="AN127" s="13">
        <v>102547</v>
      </c>
      <c r="AO127" s="13">
        <v>106276</v>
      </c>
      <c r="AP127" s="13">
        <v>5466</v>
      </c>
      <c r="AQ127" s="13">
        <v>11330</v>
      </c>
      <c r="AR127" s="13">
        <v>174019</v>
      </c>
      <c r="AS127" s="13">
        <v>199414</v>
      </c>
      <c r="AT127" s="13">
        <v>546004</v>
      </c>
      <c r="AU127" s="13">
        <v>327999</v>
      </c>
      <c r="AV127" s="13">
        <v>12249</v>
      </c>
      <c r="AW127" s="13">
        <v>103994</v>
      </c>
      <c r="AX127" s="13">
        <v>107513</v>
      </c>
      <c r="AY127" s="13">
        <v>7684</v>
      </c>
      <c r="AZ127" s="13">
        <v>11181</v>
      </c>
      <c r="BA127" s="13">
        <v>169972</v>
      </c>
      <c r="BB127" s="13">
        <v>194588</v>
      </c>
    </row>
    <row r="128" spans="1:54" x14ac:dyDescent="0.35">
      <c r="A128" t="s">
        <v>494</v>
      </c>
      <c r="B128" s="13">
        <v>666875</v>
      </c>
      <c r="C128" s="13">
        <v>413136</v>
      </c>
      <c r="D128" s="13">
        <v>14142</v>
      </c>
      <c r="E128" s="13">
        <v>131389</v>
      </c>
      <c r="F128" s="13">
        <v>123353</v>
      </c>
      <c r="G128" s="13">
        <v>-3946</v>
      </c>
      <c r="H128" s="13">
        <v>1940</v>
      </c>
      <c r="I128" s="13">
        <v>206068</v>
      </c>
      <c r="J128" s="13">
        <v>221486</v>
      </c>
      <c r="K128" s="13">
        <v>0</v>
      </c>
      <c r="L128" s="13">
        <v>662893</v>
      </c>
      <c r="M128" s="13">
        <v>410754</v>
      </c>
      <c r="N128" s="13">
        <v>14142</v>
      </c>
      <c r="O128" s="13">
        <v>130081</v>
      </c>
      <c r="P128" s="13">
        <v>118446</v>
      </c>
      <c r="Q128" s="13">
        <v>-456</v>
      </c>
      <c r="R128" s="13">
        <v>1981</v>
      </c>
      <c r="S128" s="13">
        <v>205368</v>
      </c>
      <c r="T128" s="13">
        <v>218719</v>
      </c>
      <c r="U128" s="13">
        <v>70786</v>
      </c>
      <c r="V128" s="13">
        <v>17837</v>
      </c>
      <c r="W128" s="13">
        <v>69641</v>
      </c>
      <c r="X128" s="13">
        <v>14387</v>
      </c>
      <c r="Y128" s="13">
        <v>6380</v>
      </c>
      <c r="Z128" s="13">
        <v>17886</v>
      </c>
      <c r="AA128" s="13">
        <v>27321</v>
      </c>
      <c r="AB128" s="13">
        <v>41443</v>
      </c>
      <c r="AC128" s="13">
        <v>30603</v>
      </c>
      <c r="AD128" s="13">
        <v>6732</v>
      </c>
      <c r="AE128" s="13">
        <v>16619</v>
      </c>
      <c r="AF128" s="13">
        <v>27173</v>
      </c>
      <c r="AG128" s="13">
        <v>37961</v>
      </c>
      <c r="AH128" s="13">
        <v>30140</v>
      </c>
      <c r="AK128" s="13">
        <v>560995</v>
      </c>
      <c r="AL128" s="13">
        <v>344238</v>
      </c>
      <c r="AM128" s="13">
        <v>12183</v>
      </c>
      <c r="AN128" s="13">
        <v>106107</v>
      </c>
      <c r="AO128" s="13">
        <v>106025</v>
      </c>
      <c r="AP128" s="13">
        <v>-103</v>
      </c>
      <c r="AQ128" s="13">
        <v>1813</v>
      </c>
      <c r="AR128" s="13">
        <v>172322</v>
      </c>
      <c r="AS128" s="13">
        <v>181590</v>
      </c>
      <c r="AT128" s="13">
        <v>556329</v>
      </c>
      <c r="AU128" s="13">
        <v>341670</v>
      </c>
      <c r="AV128" s="13">
        <v>12183</v>
      </c>
      <c r="AW128" s="13">
        <v>105671</v>
      </c>
      <c r="AX128" s="13">
        <v>102052</v>
      </c>
      <c r="AY128" s="13">
        <v>780</v>
      </c>
      <c r="AZ128" s="13">
        <v>1761</v>
      </c>
      <c r="BA128" s="13">
        <v>170849</v>
      </c>
      <c r="BB128" s="13">
        <v>178637</v>
      </c>
    </row>
    <row r="129" spans="1:54" x14ac:dyDescent="0.35">
      <c r="A129" t="s">
        <v>495</v>
      </c>
      <c r="B129" s="13">
        <v>670547</v>
      </c>
      <c r="C129" s="13">
        <v>412951</v>
      </c>
      <c r="D129" s="13">
        <v>13873</v>
      </c>
      <c r="E129" s="13">
        <v>130543</v>
      </c>
      <c r="F129" s="13">
        <v>123425</v>
      </c>
      <c r="G129" s="13">
        <v>-2827</v>
      </c>
      <c r="H129" s="13">
        <v>1307</v>
      </c>
      <c r="I129" s="13">
        <v>217629</v>
      </c>
      <c r="J129" s="13">
        <v>224507</v>
      </c>
      <c r="K129" s="13">
        <v>0</v>
      </c>
      <c r="L129" s="13">
        <v>665716</v>
      </c>
      <c r="M129" s="13">
        <v>417600</v>
      </c>
      <c r="N129" s="13">
        <v>13873</v>
      </c>
      <c r="O129" s="13">
        <v>129325</v>
      </c>
      <c r="P129" s="13">
        <v>122463</v>
      </c>
      <c r="Q129" s="13">
        <v>-2493</v>
      </c>
      <c r="R129" s="13">
        <v>1585</v>
      </c>
      <c r="S129" s="13">
        <v>215948</v>
      </c>
      <c r="T129" s="13">
        <v>228784</v>
      </c>
      <c r="U129" s="13">
        <v>70141</v>
      </c>
      <c r="V129" s="13">
        <v>18073</v>
      </c>
      <c r="W129" s="13">
        <v>69713</v>
      </c>
      <c r="X129" s="13">
        <v>16946</v>
      </c>
      <c r="Y129" s="13">
        <v>5913</v>
      </c>
      <c r="Z129" s="13">
        <v>17604</v>
      </c>
      <c r="AA129" s="13">
        <v>27648</v>
      </c>
      <c r="AB129" s="13">
        <v>41056</v>
      </c>
      <c r="AC129" s="13">
        <v>31522</v>
      </c>
      <c r="AD129" s="13">
        <v>5172</v>
      </c>
      <c r="AE129" s="13">
        <v>16903</v>
      </c>
      <c r="AF129" s="13">
        <v>27843</v>
      </c>
      <c r="AG129" s="13">
        <v>41968</v>
      </c>
      <c r="AH129" s="13">
        <v>31099</v>
      </c>
      <c r="AK129" s="13">
        <v>567451</v>
      </c>
      <c r="AL129" s="13">
        <v>345853</v>
      </c>
      <c r="AM129" s="13">
        <v>12056</v>
      </c>
      <c r="AN129" s="13">
        <v>107613</v>
      </c>
      <c r="AO129" s="13">
        <v>106964</v>
      </c>
      <c r="AP129" s="13">
        <v>-2716</v>
      </c>
      <c r="AQ129" s="13">
        <v>1353</v>
      </c>
      <c r="AR129" s="13">
        <v>183497</v>
      </c>
      <c r="AS129" s="13">
        <v>187169</v>
      </c>
      <c r="AT129" s="13">
        <v>562803</v>
      </c>
      <c r="AU129" s="13">
        <v>351293</v>
      </c>
      <c r="AV129" s="13">
        <v>12056</v>
      </c>
      <c r="AW129" s="13">
        <v>107030</v>
      </c>
      <c r="AX129" s="13">
        <v>106185</v>
      </c>
      <c r="AY129" s="13">
        <v>-4444</v>
      </c>
      <c r="AZ129" s="13">
        <v>1604</v>
      </c>
      <c r="BA129" s="13">
        <v>182229</v>
      </c>
      <c r="BB129" s="13">
        <v>193150</v>
      </c>
    </row>
    <row r="130" spans="1:54" x14ac:dyDescent="0.35">
      <c r="A130" t="s">
        <v>496</v>
      </c>
      <c r="B130" s="13">
        <v>670587</v>
      </c>
      <c r="C130" s="13">
        <v>412487</v>
      </c>
      <c r="D130" s="13">
        <v>13184</v>
      </c>
      <c r="E130" s="13">
        <v>132024</v>
      </c>
      <c r="F130" s="13">
        <v>121024</v>
      </c>
      <c r="G130" s="13">
        <v>-3018</v>
      </c>
      <c r="H130" s="13">
        <v>-14047</v>
      </c>
      <c r="I130" s="13">
        <v>227921</v>
      </c>
      <c r="J130" s="13">
        <v>217655</v>
      </c>
      <c r="K130" s="13">
        <v>0</v>
      </c>
      <c r="L130" s="13">
        <v>688655</v>
      </c>
      <c r="M130" s="13">
        <v>424263</v>
      </c>
      <c r="N130" s="13">
        <v>13184</v>
      </c>
      <c r="O130" s="13">
        <v>132281</v>
      </c>
      <c r="P130" s="13">
        <v>125137</v>
      </c>
      <c r="Q130" s="13">
        <v>-176</v>
      </c>
      <c r="R130" s="13">
        <v>-14131</v>
      </c>
      <c r="S130" s="13">
        <v>235155</v>
      </c>
      <c r="T130" s="13">
        <v>220074</v>
      </c>
      <c r="U130" s="13">
        <v>69468</v>
      </c>
      <c r="V130" s="13">
        <v>17913</v>
      </c>
      <c r="W130" s="13">
        <v>73514</v>
      </c>
      <c r="X130" s="13">
        <v>16887</v>
      </c>
      <c r="Y130" s="13">
        <v>4944</v>
      </c>
      <c r="Z130" s="13">
        <v>17501</v>
      </c>
      <c r="AA130" s="13">
        <v>26088</v>
      </c>
      <c r="AB130" s="13">
        <v>41302</v>
      </c>
      <c r="AC130" s="13">
        <v>31526</v>
      </c>
      <c r="AD130" s="13">
        <v>5768</v>
      </c>
      <c r="AE130" s="13">
        <v>18474</v>
      </c>
      <c r="AF130" s="13">
        <v>26703</v>
      </c>
      <c r="AG130" s="13">
        <v>42914</v>
      </c>
      <c r="AH130" s="13">
        <v>31543</v>
      </c>
      <c r="AK130" s="13">
        <v>570531</v>
      </c>
      <c r="AL130" s="13">
        <v>345859</v>
      </c>
      <c r="AM130" s="13">
        <v>11595</v>
      </c>
      <c r="AN130" s="13">
        <v>109432</v>
      </c>
      <c r="AO130" s="13">
        <v>104997</v>
      </c>
      <c r="AP130" s="13">
        <v>-786</v>
      </c>
      <c r="AQ130" s="13">
        <v>-11914</v>
      </c>
      <c r="AR130" s="13">
        <v>188921</v>
      </c>
      <c r="AS130" s="13">
        <v>177573</v>
      </c>
      <c r="AT130" s="13">
        <v>587825</v>
      </c>
      <c r="AU130" s="13">
        <v>356499</v>
      </c>
      <c r="AV130" s="13">
        <v>11595</v>
      </c>
      <c r="AW130" s="13">
        <v>109004</v>
      </c>
      <c r="AX130" s="13">
        <v>108512</v>
      </c>
      <c r="AY130" s="13">
        <v>-2159</v>
      </c>
      <c r="AZ130" s="13">
        <v>-11964</v>
      </c>
      <c r="BA130" s="13">
        <v>195709</v>
      </c>
      <c r="BB130" s="13">
        <v>179371</v>
      </c>
    </row>
    <row r="131" spans="1:54" x14ac:dyDescent="0.35">
      <c r="A131" t="s">
        <v>497</v>
      </c>
      <c r="B131" s="13">
        <v>652180</v>
      </c>
      <c r="C131" s="13">
        <v>400748</v>
      </c>
      <c r="D131" s="13">
        <v>12881</v>
      </c>
      <c r="E131" s="13">
        <v>129380</v>
      </c>
      <c r="F131" s="13">
        <v>117131</v>
      </c>
      <c r="G131" s="13">
        <v>-3349</v>
      </c>
      <c r="H131" s="13">
        <v>689</v>
      </c>
      <c r="I131" s="13">
        <v>207164</v>
      </c>
      <c r="J131" s="13">
        <v>211337</v>
      </c>
      <c r="K131" s="13">
        <v>0</v>
      </c>
      <c r="L131" s="13">
        <v>650822</v>
      </c>
      <c r="M131" s="13">
        <v>390448</v>
      </c>
      <c r="N131" s="13">
        <v>12881</v>
      </c>
      <c r="O131" s="13">
        <v>131480</v>
      </c>
      <c r="P131" s="13">
        <v>118940</v>
      </c>
      <c r="Q131" s="13">
        <v>1833</v>
      </c>
      <c r="R131" s="13">
        <v>511</v>
      </c>
      <c r="S131" s="13">
        <v>203440</v>
      </c>
      <c r="T131" s="13">
        <v>208313</v>
      </c>
      <c r="U131" s="13">
        <v>68457</v>
      </c>
      <c r="V131" s="13">
        <v>16893</v>
      </c>
      <c r="W131" s="13">
        <v>65477</v>
      </c>
      <c r="X131" s="13">
        <v>22943</v>
      </c>
      <c r="Y131" s="13">
        <v>5622</v>
      </c>
      <c r="Z131" s="13">
        <v>16449</v>
      </c>
      <c r="AA131" s="13">
        <v>25361</v>
      </c>
      <c r="AB131" s="13">
        <v>38748</v>
      </c>
      <c r="AC131" s="13">
        <v>31202</v>
      </c>
      <c r="AD131" s="13">
        <v>5105</v>
      </c>
      <c r="AE131" s="13">
        <v>17253</v>
      </c>
      <c r="AF131" s="13">
        <v>24723</v>
      </c>
      <c r="AG131" s="13">
        <v>39922</v>
      </c>
      <c r="AH131" s="13">
        <v>32190</v>
      </c>
      <c r="AK131" s="13">
        <v>559365</v>
      </c>
      <c r="AL131" s="13">
        <v>333789</v>
      </c>
      <c r="AM131" s="13">
        <v>11681</v>
      </c>
      <c r="AN131" s="13">
        <v>108890</v>
      </c>
      <c r="AO131" s="13">
        <v>102729</v>
      </c>
      <c r="AP131" s="13">
        <v>-905</v>
      </c>
      <c r="AQ131" s="13">
        <v>790</v>
      </c>
      <c r="AR131" s="13">
        <v>173647</v>
      </c>
      <c r="AS131" s="13">
        <v>171256</v>
      </c>
      <c r="AT131" s="13">
        <v>556400</v>
      </c>
      <c r="AU131" s="13">
        <v>323599</v>
      </c>
      <c r="AV131" s="13">
        <v>11681</v>
      </c>
      <c r="AW131" s="13">
        <v>110316</v>
      </c>
      <c r="AX131" s="13">
        <v>104126</v>
      </c>
      <c r="AY131" s="13">
        <v>3029</v>
      </c>
      <c r="AZ131" s="13">
        <v>609</v>
      </c>
      <c r="BA131" s="13">
        <v>170094</v>
      </c>
      <c r="BB131" s="13">
        <v>167054</v>
      </c>
    </row>
    <row r="132" spans="1:54" x14ac:dyDescent="0.35">
      <c r="A132" t="s">
        <v>498</v>
      </c>
      <c r="B132" s="13">
        <v>522356</v>
      </c>
      <c r="C132" s="13">
        <v>308486</v>
      </c>
      <c r="D132" s="13">
        <v>9133</v>
      </c>
      <c r="E132" s="13">
        <v>106179</v>
      </c>
      <c r="F132" s="13">
        <v>96088</v>
      </c>
      <c r="G132" s="13">
        <v>-7096</v>
      </c>
      <c r="H132" s="13">
        <v>-9616</v>
      </c>
      <c r="I132" s="13">
        <v>179224</v>
      </c>
      <c r="J132" s="13">
        <v>158897</v>
      </c>
      <c r="K132" s="13">
        <v>0</v>
      </c>
      <c r="L132" s="13">
        <v>521455</v>
      </c>
      <c r="M132" s="13">
        <v>306325</v>
      </c>
      <c r="N132" s="13">
        <v>9133</v>
      </c>
      <c r="O132" s="13">
        <v>104936</v>
      </c>
      <c r="P132" s="13">
        <v>92781</v>
      </c>
      <c r="Q132" s="13">
        <v>-6591</v>
      </c>
      <c r="R132" s="13">
        <v>-9590</v>
      </c>
      <c r="S132" s="13">
        <v>178222</v>
      </c>
      <c r="T132" s="13">
        <v>156703</v>
      </c>
      <c r="U132" s="13">
        <v>55285</v>
      </c>
      <c r="V132" s="13">
        <v>19722</v>
      </c>
      <c r="W132" s="13">
        <v>55865</v>
      </c>
      <c r="X132" s="13">
        <v>16123</v>
      </c>
      <c r="Y132" s="13">
        <v>2450</v>
      </c>
      <c r="Z132" s="13">
        <v>15354</v>
      </c>
      <c r="AA132" s="13">
        <v>15582</v>
      </c>
      <c r="AB132" s="13">
        <v>31840</v>
      </c>
      <c r="AC132" s="13">
        <v>31003</v>
      </c>
      <c r="AD132" s="13">
        <v>2484</v>
      </c>
      <c r="AE132" s="13">
        <v>14339</v>
      </c>
      <c r="AF132" s="13">
        <v>15444</v>
      </c>
      <c r="AG132" s="13">
        <v>30153</v>
      </c>
      <c r="AH132" s="13">
        <v>30457</v>
      </c>
      <c r="AK132" s="13">
        <v>481227</v>
      </c>
      <c r="AL132" s="13">
        <v>256624</v>
      </c>
      <c r="AM132" s="13">
        <v>10006</v>
      </c>
      <c r="AN132" s="13">
        <v>121050</v>
      </c>
      <c r="AO132" s="13">
        <v>84421</v>
      </c>
      <c r="AP132" s="13">
        <v>-4126</v>
      </c>
      <c r="AQ132" s="13">
        <v>-9137</v>
      </c>
      <c r="AR132" s="13">
        <v>149424</v>
      </c>
      <c r="AS132" s="13">
        <v>127035</v>
      </c>
      <c r="AT132" s="13">
        <v>474347</v>
      </c>
      <c r="AU132" s="13">
        <v>255403</v>
      </c>
      <c r="AV132" s="13">
        <v>10006</v>
      </c>
      <c r="AW132" s="13">
        <v>120625</v>
      </c>
      <c r="AX132" s="13">
        <v>80369</v>
      </c>
      <c r="AY132" s="13">
        <v>-5779</v>
      </c>
      <c r="AZ132" s="13">
        <v>-9172</v>
      </c>
      <c r="BA132" s="13">
        <v>148125</v>
      </c>
      <c r="BB132" s="13">
        <v>125230</v>
      </c>
    </row>
    <row r="133" spans="1:54" x14ac:dyDescent="0.35">
      <c r="A133" t="s">
        <v>499</v>
      </c>
      <c r="B133" s="13">
        <v>610972</v>
      </c>
      <c r="C133" s="13">
        <v>369291</v>
      </c>
      <c r="D133" s="13">
        <v>11200</v>
      </c>
      <c r="E133" s="13">
        <v>125054</v>
      </c>
      <c r="F133" s="13">
        <v>111826</v>
      </c>
      <c r="G133" s="13">
        <v>-333</v>
      </c>
      <c r="H133" s="13">
        <v>1253</v>
      </c>
      <c r="I133" s="13">
        <v>181122</v>
      </c>
      <c r="J133" s="13">
        <v>186904</v>
      </c>
      <c r="K133" s="13">
        <v>0</v>
      </c>
      <c r="L133" s="13">
        <v>597994</v>
      </c>
      <c r="M133" s="13">
        <v>367276</v>
      </c>
      <c r="N133" s="13">
        <v>11200</v>
      </c>
      <c r="O133" s="13">
        <v>123884</v>
      </c>
      <c r="P133" s="13">
        <v>110596</v>
      </c>
      <c r="Q133" s="13">
        <v>-3657</v>
      </c>
      <c r="R133" s="13">
        <v>1497</v>
      </c>
      <c r="S133" s="13">
        <v>177557</v>
      </c>
      <c r="T133" s="13">
        <v>186973</v>
      </c>
      <c r="U133" s="13">
        <v>63375</v>
      </c>
      <c r="V133" s="13">
        <v>19585</v>
      </c>
      <c r="W133" s="13">
        <v>62856</v>
      </c>
      <c r="X133" s="13">
        <v>18330</v>
      </c>
      <c r="Y133" s="13">
        <v>6106</v>
      </c>
      <c r="Z133" s="13">
        <v>15974</v>
      </c>
      <c r="AA133" s="13">
        <v>24187</v>
      </c>
      <c r="AB133" s="13">
        <v>34542</v>
      </c>
      <c r="AC133" s="13">
        <v>30992</v>
      </c>
      <c r="AD133" s="13">
        <v>5315</v>
      </c>
      <c r="AE133" s="13">
        <v>15450</v>
      </c>
      <c r="AF133" s="13">
        <v>24371</v>
      </c>
      <c r="AG133" s="13">
        <v>34989</v>
      </c>
      <c r="AH133" s="13">
        <v>30595</v>
      </c>
      <c r="AK133" s="13">
        <v>540319</v>
      </c>
      <c r="AL133" s="13">
        <v>309007</v>
      </c>
      <c r="AM133" s="13">
        <v>10617</v>
      </c>
      <c r="AN133" s="13">
        <v>120735</v>
      </c>
      <c r="AO133" s="13">
        <v>97676</v>
      </c>
      <c r="AP133" s="13">
        <v>-735</v>
      </c>
      <c r="AQ133" s="13">
        <v>1109</v>
      </c>
      <c r="AR133" s="13">
        <v>151123</v>
      </c>
      <c r="AS133" s="13">
        <v>149213</v>
      </c>
      <c r="AT133" s="13">
        <v>530309</v>
      </c>
      <c r="AU133" s="13">
        <v>307296</v>
      </c>
      <c r="AV133" s="13">
        <v>10617</v>
      </c>
      <c r="AW133" s="13">
        <v>120111</v>
      </c>
      <c r="AX133" s="13">
        <v>96792</v>
      </c>
      <c r="AY133" s="13">
        <v>-3950</v>
      </c>
      <c r="AZ133" s="13">
        <v>1363</v>
      </c>
      <c r="BA133" s="13">
        <v>148940</v>
      </c>
      <c r="BB133" s="13">
        <v>150860</v>
      </c>
    </row>
    <row r="134" spans="1:54" x14ac:dyDescent="0.35">
      <c r="A134" t="s">
        <v>500</v>
      </c>
      <c r="B134" s="13">
        <v>619330</v>
      </c>
      <c r="C134" s="13">
        <v>362708</v>
      </c>
      <c r="D134" s="13">
        <v>11853</v>
      </c>
      <c r="E134" s="13">
        <v>131064</v>
      </c>
      <c r="F134" s="13">
        <v>118476</v>
      </c>
      <c r="G134" s="13">
        <v>9008</v>
      </c>
      <c r="H134" s="13">
        <v>8306</v>
      </c>
      <c r="I134" s="13">
        <v>191379</v>
      </c>
      <c r="J134" s="13">
        <v>214374</v>
      </c>
      <c r="K134" s="13">
        <v>0</v>
      </c>
      <c r="L134" s="13">
        <v>634567</v>
      </c>
      <c r="M134" s="13">
        <v>377184</v>
      </c>
      <c r="N134" s="13">
        <v>11853</v>
      </c>
      <c r="O134" s="13">
        <v>131377</v>
      </c>
      <c r="P134" s="13">
        <v>121204</v>
      </c>
      <c r="Q134" s="13">
        <v>6645</v>
      </c>
      <c r="R134" s="13">
        <v>8214</v>
      </c>
      <c r="S134" s="13">
        <v>199670</v>
      </c>
      <c r="T134" s="13">
        <v>219523</v>
      </c>
      <c r="U134" s="13">
        <v>67292</v>
      </c>
      <c r="V134" s="13">
        <v>19953</v>
      </c>
      <c r="W134" s="13">
        <v>70211</v>
      </c>
      <c r="X134" s="13">
        <v>18757</v>
      </c>
      <c r="Y134" s="13">
        <v>6427</v>
      </c>
      <c r="Z134" s="13">
        <v>17517</v>
      </c>
      <c r="AA134" s="13">
        <v>25146</v>
      </c>
      <c r="AB134" s="13">
        <v>38084</v>
      </c>
      <c r="AC134" s="13">
        <v>31284</v>
      </c>
      <c r="AD134" s="13">
        <v>7701</v>
      </c>
      <c r="AE134" s="13">
        <v>18253</v>
      </c>
      <c r="AF134" s="13">
        <v>25738</v>
      </c>
      <c r="AG134" s="13">
        <v>38151</v>
      </c>
      <c r="AH134" s="13">
        <v>31239</v>
      </c>
      <c r="AK134" s="13">
        <v>543809</v>
      </c>
      <c r="AL134" s="13">
        <v>303678</v>
      </c>
      <c r="AM134" s="13">
        <v>11007</v>
      </c>
      <c r="AN134" s="13">
        <v>123554</v>
      </c>
      <c r="AO134" s="13">
        <v>102333</v>
      </c>
      <c r="AP134" s="13">
        <v>6760</v>
      </c>
      <c r="AQ134" s="13">
        <v>7499</v>
      </c>
      <c r="AR134" s="13">
        <v>162131</v>
      </c>
      <c r="AS134" s="13">
        <v>173153</v>
      </c>
      <c r="AT134" s="13">
        <v>563664</v>
      </c>
      <c r="AU134" s="13">
        <v>316800</v>
      </c>
      <c r="AV134" s="13">
        <v>11007</v>
      </c>
      <c r="AW134" s="13">
        <v>123177</v>
      </c>
      <c r="AX134" s="13">
        <v>105872</v>
      </c>
      <c r="AY134" s="13">
        <v>7694</v>
      </c>
      <c r="AZ134" s="13">
        <v>7461</v>
      </c>
      <c r="BA134" s="13">
        <v>169166</v>
      </c>
      <c r="BB134" s="13">
        <v>177513</v>
      </c>
    </row>
    <row r="135" spans="1:54" x14ac:dyDescent="0.35">
      <c r="A135" t="s">
        <v>501</v>
      </c>
      <c r="B135" s="13">
        <v>612665</v>
      </c>
      <c r="C135" s="13">
        <v>349378</v>
      </c>
      <c r="D135" s="13">
        <v>11502</v>
      </c>
      <c r="E135" s="13">
        <v>130685</v>
      </c>
      <c r="F135" s="13">
        <v>115504</v>
      </c>
      <c r="G135" s="13">
        <v>5874</v>
      </c>
      <c r="H135" s="13">
        <v>9037</v>
      </c>
      <c r="I135" s="13">
        <v>186347</v>
      </c>
      <c r="J135" s="13">
        <v>197616</v>
      </c>
      <c r="K135" s="13">
        <v>0</v>
      </c>
      <c r="L135" s="13">
        <v>616211</v>
      </c>
      <c r="M135" s="13">
        <v>344804</v>
      </c>
      <c r="N135" s="13">
        <v>11502</v>
      </c>
      <c r="O135" s="13">
        <v>132670</v>
      </c>
      <c r="P135" s="13">
        <v>117453</v>
      </c>
      <c r="Q135" s="13">
        <v>7639</v>
      </c>
      <c r="R135" s="13">
        <v>8986</v>
      </c>
      <c r="S135" s="13">
        <v>182751</v>
      </c>
      <c r="T135" s="13">
        <v>195866</v>
      </c>
      <c r="U135" s="13">
        <v>65103</v>
      </c>
      <c r="V135" s="13">
        <v>18746</v>
      </c>
      <c r="W135" s="13">
        <v>60552</v>
      </c>
      <c r="X135" s="13">
        <v>26563</v>
      </c>
      <c r="Y135" s="13">
        <v>3901</v>
      </c>
      <c r="Z135" s="13">
        <v>15448</v>
      </c>
      <c r="AA135" s="13">
        <v>25224</v>
      </c>
      <c r="AB135" s="13">
        <v>38586</v>
      </c>
      <c r="AC135" s="13">
        <v>32610</v>
      </c>
      <c r="AD135" s="13">
        <v>2549</v>
      </c>
      <c r="AE135" s="13">
        <v>17001</v>
      </c>
      <c r="AF135" s="13">
        <v>24634</v>
      </c>
      <c r="AG135" s="13">
        <v>39803</v>
      </c>
      <c r="AH135" s="13">
        <v>33737</v>
      </c>
      <c r="AK135" s="13">
        <v>545116</v>
      </c>
      <c r="AL135" s="13">
        <v>294600</v>
      </c>
      <c r="AM135" s="13">
        <v>11330</v>
      </c>
      <c r="AN135" s="13">
        <v>129256</v>
      </c>
      <c r="AO135" s="13">
        <v>100598</v>
      </c>
      <c r="AP135" s="13">
        <v>845</v>
      </c>
      <c r="AQ135" s="13">
        <v>8420</v>
      </c>
      <c r="AR135" s="13">
        <v>158674</v>
      </c>
      <c r="AS135" s="13">
        <v>158607</v>
      </c>
      <c r="AT135" s="13">
        <v>541676</v>
      </c>
      <c r="AU135" s="13">
        <v>289238</v>
      </c>
      <c r="AV135" s="13">
        <v>11330</v>
      </c>
      <c r="AW135" s="13">
        <v>130582</v>
      </c>
      <c r="AX135" s="13">
        <v>103922</v>
      </c>
      <c r="AY135" s="13">
        <v>-312</v>
      </c>
      <c r="AZ135" s="13">
        <v>8214</v>
      </c>
      <c r="BA135" s="13">
        <v>155109</v>
      </c>
      <c r="BB135" s="13">
        <v>156407</v>
      </c>
    </row>
    <row r="136" spans="1:54" x14ac:dyDescent="0.35">
      <c r="A136" t="s">
        <v>502</v>
      </c>
      <c r="B136" s="13">
        <v>655443</v>
      </c>
      <c r="C136" s="13">
        <v>389324</v>
      </c>
      <c r="D136" s="13">
        <v>13323</v>
      </c>
      <c r="E136" s="13">
        <v>142424</v>
      </c>
      <c r="F136" s="13">
        <v>121418</v>
      </c>
      <c r="G136" s="13">
        <v>-9169</v>
      </c>
      <c r="H136" s="13">
        <v>-753</v>
      </c>
      <c r="I136" s="13">
        <v>197591</v>
      </c>
      <c r="J136" s="13">
        <v>197409</v>
      </c>
      <c r="K136" s="13">
        <v>0</v>
      </c>
      <c r="L136" s="13">
        <v>641411</v>
      </c>
      <c r="M136" s="13">
        <v>385172</v>
      </c>
      <c r="N136" s="13">
        <v>13323</v>
      </c>
      <c r="O136" s="13">
        <v>140909</v>
      </c>
      <c r="P136" s="13">
        <v>115489</v>
      </c>
      <c r="Q136" s="13">
        <v>-8180</v>
      </c>
      <c r="R136" s="13">
        <v>-752</v>
      </c>
      <c r="S136" s="13">
        <v>195242</v>
      </c>
      <c r="T136" s="13">
        <v>195203</v>
      </c>
      <c r="U136" s="13">
        <v>67598</v>
      </c>
      <c r="V136" s="13">
        <v>20691</v>
      </c>
      <c r="W136" s="13">
        <v>65870</v>
      </c>
      <c r="X136" s="13">
        <v>16919</v>
      </c>
      <c r="Y136" s="13">
        <v>3785</v>
      </c>
      <c r="Z136" s="13">
        <v>17461</v>
      </c>
      <c r="AA136" s="13">
        <v>26066</v>
      </c>
      <c r="AB136" s="13">
        <v>40508</v>
      </c>
      <c r="AC136" s="13">
        <v>33729</v>
      </c>
      <c r="AD136" s="13">
        <v>4375</v>
      </c>
      <c r="AE136" s="13">
        <v>16034</v>
      </c>
      <c r="AF136" s="13">
        <v>25937</v>
      </c>
      <c r="AG136" s="13">
        <v>36164</v>
      </c>
      <c r="AH136" s="13">
        <v>33089</v>
      </c>
      <c r="AK136" s="13">
        <v>576525</v>
      </c>
      <c r="AL136" s="13">
        <v>330318</v>
      </c>
      <c r="AM136" s="13">
        <v>12075</v>
      </c>
      <c r="AN136" s="13">
        <v>126020</v>
      </c>
      <c r="AO136" s="13">
        <v>104731</v>
      </c>
      <c r="AP136" s="13">
        <v>-5063</v>
      </c>
      <c r="AQ136" s="13">
        <v>-807</v>
      </c>
      <c r="AR136" s="13">
        <v>169961</v>
      </c>
      <c r="AS136" s="13">
        <v>160710</v>
      </c>
      <c r="AT136" s="13">
        <v>569671</v>
      </c>
      <c r="AU136" s="13">
        <v>326781</v>
      </c>
      <c r="AV136" s="13">
        <v>12075</v>
      </c>
      <c r="AW136" s="13">
        <v>125609</v>
      </c>
      <c r="AX136" s="13">
        <v>101454</v>
      </c>
      <c r="AY136" s="13">
        <v>-6038</v>
      </c>
      <c r="AZ136" s="13">
        <v>-825</v>
      </c>
      <c r="BA136" s="13">
        <v>168262</v>
      </c>
      <c r="BB136" s="13">
        <v>157647</v>
      </c>
    </row>
    <row r="137" spans="1:54" x14ac:dyDescent="0.35">
      <c r="A137" t="s">
        <v>503</v>
      </c>
      <c r="B137" s="13">
        <v>666498</v>
      </c>
      <c r="C137" s="13">
        <v>401314</v>
      </c>
      <c r="D137" s="13">
        <v>13511</v>
      </c>
      <c r="E137" s="13">
        <v>140757</v>
      </c>
      <c r="F137" s="13">
        <v>122220</v>
      </c>
      <c r="G137" s="13">
        <v>622</v>
      </c>
      <c r="H137" s="13">
        <v>3949</v>
      </c>
      <c r="I137" s="13">
        <v>189025</v>
      </c>
      <c r="J137" s="13">
        <v>206747</v>
      </c>
      <c r="K137" s="13">
        <v>0</v>
      </c>
      <c r="L137" s="13">
        <v>660310</v>
      </c>
      <c r="M137" s="13">
        <v>399341</v>
      </c>
      <c r="N137" s="13">
        <v>13511</v>
      </c>
      <c r="O137" s="13">
        <v>139691</v>
      </c>
      <c r="P137" s="13">
        <v>121932</v>
      </c>
      <c r="Q137" s="13">
        <v>457</v>
      </c>
      <c r="R137" s="13">
        <v>4147</v>
      </c>
      <c r="S137" s="13">
        <v>186073</v>
      </c>
      <c r="T137" s="13">
        <v>207453</v>
      </c>
      <c r="U137" s="13">
        <v>67169</v>
      </c>
      <c r="V137" s="13">
        <v>21461</v>
      </c>
      <c r="W137" s="13">
        <v>68601</v>
      </c>
      <c r="X137" s="13">
        <v>19070</v>
      </c>
      <c r="Y137" s="13">
        <v>4456</v>
      </c>
      <c r="Z137" s="13">
        <v>19417</v>
      </c>
      <c r="AA137" s="13">
        <v>26435</v>
      </c>
      <c r="AB137" s="13">
        <v>38508</v>
      </c>
      <c r="AC137" s="13">
        <v>33515</v>
      </c>
      <c r="AD137" s="13">
        <v>3876</v>
      </c>
      <c r="AE137" s="13">
        <v>18618</v>
      </c>
      <c r="AF137" s="13">
        <v>26598</v>
      </c>
      <c r="AG137" s="13">
        <v>39974</v>
      </c>
      <c r="AH137" s="13">
        <v>33123</v>
      </c>
      <c r="AK137" s="13">
        <v>592707</v>
      </c>
      <c r="AL137" s="13">
        <v>345798</v>
      </c>
      <c r="AM137" s="13">
        <v>12588</v>
      </c>
      <c r="AN137" s="13">
        <v>126002</v>
      </c>
      <c r="AO137" s="13">
        <v>111846</v>
      </c>
      <c r="AP137" s="13">
        <v>1780</v>
      </c>
      <c r="AQ137" s="13">
        <v>3452</v>
      </c>
      <c r="AR137" s="13">
        <v>164035</v>
      </c>
      <c r="AS137" s="13">
        <v>172794</v>
      </c>
      <c r="AT137" s="13">
        <v>584453</v>
      </c>
      <c r="AU137" s="13">
        <v>343931</v>
      </c>
      <c r="AV137" s="13">
        <v>12588</v>
      </c>
      <c r="AW137" s="13">
        <v>125430</v>
      </c>
      <c r="AX137" s="13">
        <v>108795</v>
      </c>
      <c r="AY137" s="13">
        <v>1439</v>
      </c>
      <c r="AZ137" s="13">
        <v>3712</v>
      </c>
      <c r="BA137" s="13">
        <v>162396</v>
      </c>
      <c r="BB137" s="13">
        <v>173838</v>
      </c>
    </row>
    <row r="138" spans="1:54" x14ac:dyDescent="0.35">
      <c r="A138" t="s">
        <v>504</v>
      </c>
      <c r="B138" s="13">
        <v>675680</v>
      </c>
      <c r="C138" s="13">
        <v>402019</v>
      </c>
      <c r="D138" s="13">
        <v>13753</v>
      </c>
      <c r="E138" s="13">
        <v>141708</v>
      </c>
      <c r="F138" s="13">
        <v>125434</v>
      </c>
      <c r="G138" s="13">
        <v>1138</v>
      </c>
      <c r="H138" s="13">
        <v>-2980</v>
      </c>
      <c r="I138" s="13">
        <v>207653</v>
      </c>
      <c r="J138" s="13">
        <v>210460</v>
      </c>
      <c r="K138" s="13">
        <v>0</v>
      </c>
      <c r="L138" s="13">
        <v>692354</v>
      </c>
      <c r="M138" s="13">
        <v>412718</v>
      </c>
      <c r="N138" s="13">
        <v>13753</v>
      </c>
      <c r="O138" s="13">
        <v>142304</v>
      </c>
      <c r="P138" s="13">
        <v>129702</v>
      </c>
      <c r="Q138" s="13">
        <v>-1451</v>
      </c>
      <c r="R138" s="13">
        <v>-3128</v>
      </c>
      <c r="S138" s="13">
        <v>216550</v>
      </c>
      <c r="T138" s="13">
        <v>213710</v>
      </c>
      <c r="U138" s="13">
        <v>69682</v>
      </c>
      <c r="V138" s="13">
        <v>20740</v>
      </c>
      <c r="W138" s="13">
        <v>74530</v>
      </c>
      <c r="X138" s="13">
        <v>19086</v>
      </c>
      <c r="Y138" s="13">
        <v>5273</v>
      </c>
      <c r="Z138" s="13">
        <v>19277</v>
      </c>
      <c r="AA138" s="13">
        <v>27241</v>
      </c>
      <c r="AB138" s="13">
        <v>39331</v>
      </c>
      <c r="AC138" s="13">
        <v>34418</v>
      </c>
      <c r="AD138" s="13">
        <v>6615</v>
      </c>
      <c r="AE138" s="13">
        <v>19949</v>
      </c>
      <c r="AF138" s="13">
        <v>27796</v>
      </c>
      <c r="AG138" s="13">
        <v>40992</v>
      </c>
      <c r="AH138" s="13">
        <v>34324</v>
      </c>
      <c r="AK138" s="13">
        <v>608304</v>
      </c>
      <c r="AL138" s="13">
        <v>354462</v>
      </c>
      <c r="AM138" s="13">
        <v>13000</v>
      </c>
      <c r="AN138" s="13">
        <v>127312</v>
      </c>
      <c r="AO138" s="13">
        <v>113366</v>
      </c>
      <c r="AP138" s="13">
        <v>2948</v>
      </c>
      <c r="AQ138" s="13">
        <v>-3164</v>
      </c>
      <c r="AR138" s="13">
        <v>187621</v>
      </c>
      <c r="AS138" s="13">
        <v>187241</v>
      </c>
      <c r="AT138" s="13">
        <v>626852</v>
      </c>
      <c r="AU138" s="13">
        <v>365228</v>
      </c>
      <c r="AV138" s="13">
        <v>13000</v>
      </c>
      <c r="AW138" s="13">
        <v>126969</v>
      </c>
      <c r="AX138" s="13">
        <v>116370</v>
      </c>
      <c r="AY138" s="13">
        <v>5421</v>
      </c>
      <c r="AZ138" s="13">
        <v>-3200</v>
      </c>
      <c r="BA138" s="13">
        <v>194524</v>
      </c>
      <c r="BB138" s="13">
        <v>191460</v>
      </c>
    </row>
    <row r="139" spans="1:54" x14ac:dyDescent="0.35">
      <c r="A139" t="s">
        <v>505</v>
      </c>
      <c r="B139" s="13">
        <v>682527</v>
      </c>
      <c r="C139" s="13">
        <v>407981</v>
      </c>
      <c r="D139" s="13">
        <v>13689</v>
      </c>
      <c r="E139" s="13">
        <v>141435</v>
      </c>
      <c r="F139" s="13">
        <v>129865</v>
      </c>
      <c r="G139" s="13">
        <v>6619</v>
      </c>
      <c r="H139" s="13">
        <v>9004</v>
      </c>
      <c r="I139" s="13">
        <v>199918</v>
      </c>
      <c r="J139" s="13">
        <v>232348</v>
      </c>
      <c r="K139" s="13">
        <v>0</v>
      </c>
      <c r="L139" s="13">
        <v>680219</v>
      </c>
      <c r="M139" s="13">
        <v>396106</v>
      </c>
      <c r="N139" s="13">
        <v>13689</v>
      </c>
      <c r="O139" s="13">
        <v>143572</v>
      </c>
      <c r="P139" s="13">
        <v>136294</v>
      </c>
      <c r="Q139" s="13">
        <v>7326</v>
      </c>
      <c r="R139" s="13">
        <v>8981</v>
      </c>
      <c r="S139" s="13">
        <v>194132</v>
      </c>
      <c r="T139" s="13">
        <v>228764</v>
      </c>
      <c r="U139" s="13">
        <v>71183</v>
      </c>
      <c r="V139" s="13">
        <v>21386</v>
      </c>
      <c r="W139" s="13">
        <v>70397</v>
      </c>
      <c r="X139" s="13">
        <v>30108</v>
      </c>
      <c r="Y139" s="13">
        <v>4299</v>
      </c>
      <c r="Z139" s="13">
        <v>22149</v>
      </c>
      <c r="AA139" s="13">
        <v>29314</v>
      </c>
      <c r="AB139" s="13">
        <v>38784</v>
      </c>
      <c r="AC139" s="13">
        <v>35394</v>
      </c>
      <c r="AD139" s="13">
        <v>4245</v>
      </c>
      <c r="AE139" s="13">
        <v>23703</v>
      </c>
      <c r="AF139" s="13">
        <v>28788</v>
      </c>
      <c r="AG139" s="13">
        <v>42312</v>
      </c>
      <c r="AH139" s="13">
        <v>37333</v>
      </c>
      <c r="AK139" s="13">
        <v>623014</v>
      </c>
      <c r="AL139" s="13">
        <v>365748</v>
      </c>
      <c r="AM139" s="13">
        <v>13267</v>
      </c>
      <c r="AN139" s="13">
        <v>134030</v>
      </c>
      <c r="AO139" s="13">
        <v>117180</v>
      </c>
      <c r="AP139" s="13">
        <v>9946</v>
      </c>
      <c r="AQ139" s="13">
        <v>8238</v>
      </c>
      <c r="AR139" s="13">
        <v>187679</v>
      </c>
      <c r="AS139" s="13">
        <v>213074</v>
      </c>
      <c r="AT139" s="13">
        <v>619422</v>
      </c>
      <c r="AU139" s="13">
        <v>353300</v>
      </c>
      <c r="AV139" s="13">
        <v>13267</v>
      </c>
      <c r="AW139" s="13">
        <v>135304</v>
      </c>
      <c r="AX139" s="13">
        <v>119398</v>
      </c>
      <c r="AY139" s="13">
        <v>19035</v>
      </c>
      <c r="AZ139" s="13">
        <v>8038</v>
      </c>
      <c r="BA139" s="13">
        <v>181525</v>
      </c>
      <c r="BB139" s="13">
        <v>210445</v>
      </c>
    </row>
    <row r="140" spans="1:54" x14ac:dyDescent="0.35">
      <c r="A140" t="s">
        <v>506</v>
      </c>
      <c r="B140" s="13">
        <v>686335</v>
      </c>
      <c r="C140" s="13">
        <v>415833</v>
      </c>
      <c r="D140" s="13">
        <v>14825</v>
      </c>
      <c r="E140" s="13">
        <v>137605</v>
      </c>
      <c r="F140" s="13">
        <v>129435</v>
      </c>
      <c r="G140" s="13">
        <v>5924</v>
      </c>
      <c r="H140" s="13">
        <v>2317</v>
      </c>
      <c r="I140" s="13">
        <v>219140</v>
      </c>
      <c r="J140" s="13">
        <v>235593</v>
      </c>
      <c r="K140" s="13">
        <v>0</v>
      </c>
      <c r="L140" s="13">
        <v>670275</v>
      </c>
      <c r="M140" s="13">
        <v>415021</v>
      </c>
      <c r="N140" s="13">
        <v>14825</v>
      </c>
      <c r="O140" s="13">
        <v>136152</v>
      </c>
      <c r="P140" s="13">
        <v>121312</v>
      </c>
      <c r="Q140" s="13">
        <v>2475</v>
      </c>
      <c r="R140" s="13">
        <v>2293</v>
      </c>
      <c r="S140" s="13">
        <v>218333</v>
      </c>
      <c r="T140" s="13">
        <v>233794</v>
      </c>
      <c r="U140" s="13">
        <v>72087</v>
      </c>
      <c r="V140" s="13">
        <v>19999</v>
      </c>
      <c r="W140" s="13">
        <v>68830</v>
      </c>
      <c r="X140" s="13">
        <v>15667</v>
      </c>
      <c r="Y140" s="13">
        <v>6737</v>
      </c>
      <c r="Z140" s="13">
        <v>18786</v>
      </c>
      <c r="AA140" s="13">
        <v>28713</v>
      </c>
      <c r="AB140" s="13">
        <v>41318</v>
      </c>
      <c r="AC140" s="13">
        <v>33852</v>
      </c>
      <c r="AD140" s="13">
        <v>6492</v>
      </c>
      <c r="AE140" s="13">
        <v>17393</v>
      </c>
      <c r="AF140" s="13">
        <v>28573</v>
      </c>
      <c r="AG140" s="13">
        <v>36255</v>
      </c>
      <c r="AH140" s="13">
        <v>32548</v>
      </c>
      <c r="AK140" s="13">
        <v>639293</v>
      </c>
      <c r="AL140" s="13">
        <v>385666</v>
      </c>
      <c r="AM140" s="13">
        <v>13778</v>
      </c>
      <c r="AN140" s="13">
        <v>129704</v>
      </c>
      <c r="AO140" s="13">
        <v>120885</v>
      </c>
      <c r="AP140" s="13">
        <v>5504</v>
      </c>
      <c r="AQ140" s="13">
        <v>2226</v>
      </c>
      <c r="AR140" s="13">
        <v>211939</v>
      </c>
      <c r="AS140" s="13">
        <v>230409</v>
      </c>
      <c r="AT140" s="13">
        <v>628346</v>
      </c>
      <c r="AU140" s="13">
        <v>384320</v>
      </c>
      <c r="AV140" s="13">
        <v>13778</v>
      </c>
      <c r="AW140" s="13">
        <v>129328</v>
      </c>
      <c r="AX140" s="13">
        <v>114191</v>
      </c>
      <c r="AY140" s="13">
        <v>952</v>
      </c>
      <c r="AZ140" s="13">
        <v>2205</v>
      </c>
      <c r="BA140" s="13">
        <v>209633</v>
      </c>
      <c r="BB140" s="13">
        <v>226061</v>
      </c>
    </row>
    <row r="141" spans="1:54" x14ac:dyDescent="0.35">
      <c r="A141" t="s">
        <v>507</v>
      </c>
      <c r="B141" s="13">
        <v>687029</v>
      </c>
      <c r="C141" s="13">
        <v>416076</v>
      </c>
      <c r="D141" s="13">
        <v>14707</v>
      </c>
      <c r="E141" s="13">
        <v>138735</v>
      </c>
      <c r="F141" s="13">
        <v>129817</v>
      </c>
      <c r="G141" s="13">
        <v>-6937</v>
      </c>
      <c r="H141" s="13">
        <v>-12921</v>
      </c>
      <c r="I141" s="13">
        <v>237005</v>
      </c>
      <c r="J141" s="13">
        <v>225985</v>
      </c>
      <c r="K141" s="13">
        <v>0</v>
      </c>
      <c r="L141" s="13">
        <v>691709</v>
      </c>
      <c r="M141" s="13">
        <v>417966</v>
      </c>
      <c r="N141" s="13">
        <v>14707</v>
      </c>
      <c r="O141" s="13">
        <v>137729</v>
      </c>
      <c r="P141" s="13">
        <v>127728</v>
      </c>
      <c r="Q141" s="13">
        <v>-3735</v>
      </c>
      <c r="R141" s="13">
        <v>-12753</v>
      </c>
      <c r="S141" s="13">
        <v>237034</v>
      </c>
      <c r="T141" s="13">
        <v>228032</v>
      </c>
      <c r="U141" s="13">
        <v>70894</v>
      </c>
      <c r="V141" s="13">
        <v>21111</v>
      </c>
      <c r="W141" s="13">
        <v>70572</v>
      </c>
      <c r="X141" s="13">
        <v>18488</v>
      </c>
      <c r="Y141" s="13">
        <v>6741</v>
      </c>
      <c r="Z141" s="13">
        <v>19191</v>
      </c>
      <c r="AA141" s="13">
        <v>29247</v>
      </c>
      <c r="AB141" s="13">
        <v>40834</v>
      </c>
      <c r="AC141" s="13">
        <v>33858</v>
      </c>
      <c r="AD141" s="13">
        <v>5746</v>
      </c>
      <c r="AE141" s="13">
        <v>18390</v>
      </c>
      <c r="AF141" s="13">
        <v>29395</v>
      </c>
      <c r="AG141" s="13">
        <v>40933</v>
      </c>
      <c r="AH141" s="13">
        <v>33421</v>
      </c>
      <c r="AK141" s="13">
        <v>650233</v>
      </c>
      <c r="AL141" s="13">
        <v>392710</v>
      </c>
      <c r="AM141" s="13">
        <v>13879</v>
      </c>
      <c r="AN141" s="13">
        <v>132374</v>
      </c>
      <c r="AO141" s="13">
        <v>125156</v>
      </c>
      <c r="AP141" s="13">
        <v>-6460</v>
      </c>
      <c r="AQ141" s="13">
        <v>-12466</v>
      </c>
      <c r="AR141" s="13">
        <v>235348</v>
      </c>
      <c r="AS141" s="13">
        <v>230308</v>
      </c>
      <c r="AT141" s="13">
        <v>649716</v>
      </c>
      <c r="AU141" s="13">
        <v>393602</v>
      </c>
      <c r="AV141" s="13">
        <v>13879</v>
      </c>
      <c r="AW141" s="13">
        <v>131855</v>
      </c>
      <c r="AX141" s="13">
        <v>124693</v>
      </c>
      <c r="AY141" s="13">
        <v>-5545</v>
      </c>
      <c r="AZ141" s="13">
        <v>-12209</v>
      </c>
      <c r="BA141" s="13">
        <v>236472</v>
      </c>
      <c r="BB141" s="13">
        <v>233031</v>
      </c>
    </row>
    <row r="142" spans="1:54" x14ac:dyDescent="0.35">
      <c r="A142" t="s">
        <v>508</v>
      </c>
      <c r="B142" s="13">
        <v>688817</v>
      </c>
      <c r="C142" s="13">
        <v>417728</v>
      </c>
      <c r="D142" s="13">
        <v>14818</v>
      </c>
      <c r="E142" s="13">
        <v>138174</v>
      </c>
      <c r="F142" s="13">
        <v>128388</v>
      </c>
      <c r="G142" s="13">
        <v>-2293</v>
      </c>
      <c r="H142" s="13">
        <v>-18206</v>
      </c>
      <c r="I142" s="13">
        <v>243314</v>
      </c>
      <c r="J142" s="13">
        <v>231322</v>
      </c>
      <c r="K142" s="13">
        <v>0</v>
      </c>
      <c r="L142" s="13">
        <v>702505</v>
      </c>
      <c r="M142" s="13">
        <v>428525</v>
      </c>
      <c r="N142" s="13">
        <v>14818</v>
      </c>
      <c r="O142" s="13">
        <v>138496</v>
      </c>
      <c r="P142" s="13">
        <v>132171</v>
      </c>
      <c r="Q142" s="13">
        <v>-2753</v>
      </c>
      <c r="R142" s="13">
        <v>-18327</v>
      </c>
      <c r="S142" s="13">
        <v>249878</v>
      </c>
      <c r="T142" s="13">
        <v>234658</v>
      </c>
      <c r="U142" s="13">
        <v>70060</v>
      </c>
      <c r="V142" s="13">
        <v>21726</v>
      </c>
      <c r="W142" s="13">
        <v>74426</v>
      </c>
      <c r="X142" s="13">
        <v>19958</v>
      </c>
      <c r="Y142" s="13">
        <v>7599</v>
      </c>
      <c r="Z142" s="13">
        <v>18030</v>
      </c>
      <c r="AA142" s="13">
        <v>28565</v>
      </c>
      <c r="AB142" s="13">
        <v>40260</v>
      </c>
      <c r="AC142" s="13">
        <v>33851</v>
      </c>
      <c r="AD142" s="13">
        <v>8893</v>
      </c>
      <c r="AE142" s="13">
        <v>18671</v>
      </c>
      <c r="AF142" s="13">
        <v>29084</v>
      </c>
      <c r="AG142" s="13">
        <v>41696</v>
      </c>
      <c r="AH142" s="13">
        <v>33653</v>
      </c>
      <c r="AK142" s="13">
        <v>668409</v>
      </c>
      <c r="AL142" s="13">
        <v>405475</v>
      </c>
      <c r="AM142" s="13">
        <v>14071</v>
      </c>
      <c r="AN142" s="13">
        <v>134471</v>
      </c>
      <c r="AO142" s="13">
        <v>127228</v>
      </c>
      <c r="AP142" s="13">
        <v>-5972</v>
      </c>
      <c r="AQ142" s="13">
        <v>-17942</v>
      </c>
      <c r="AR142" s="13">
        <v>244155</v>
      </c>
      <c r="AS142" s="13">
        <v>233077</v>
      </c>
      <c r="AT142" s="13">
        <v>683465</v>
      </c>
      <c r="AU142" s="13">
        <v>418377</v>
      </c>
      <c r="AV142" s="13">
        <v>14071</v>
      </c>
      <c r="AW142" s="13">
        <v>134092</v>
      </c>
      <c r="AX142" s="13">
        <v>132167</v>
      </c>
      <c r="AY142" s="13">
        <v>-11424</v>
      </c>
      <c r="AZ142" s="13">
        <v>-17978</v>
      </c>
      <c r="BA142" s="13">
        <v>251491</v>
      </c>
      <c r="BB142" s="13">
        <v>237331</v>
      </c>
    </row>
    <row r="143" spans="1:54" x14ac:dyDescent="0.35">
      <c r="A143" t="s">
        <v>509</v>
      </c>
      <c r="B143" s="13">
        <v>689206</v>
      </c>
      <c r="C143" s="13">
        <v>415180</v>
      </c>
      <c r="D143" s="13">
        <v>14718</v>
      </c>
      <c r="E143" s="13">
        <v>138343</v>
      </c>
      <c r="F143" s="13">
        <v>132213</v>
      </c>
      <c r="G143" s="13">
        <v>-3299</v>
      </c>
      <c r="H143" s="13">
        <v>-6068</v>
      </c>
      <c r="I143" s="13">
        <v>225852</v>
      </c>
      <c r="J143" s="13">
        <v>227177</v>
      </c>
      <c r="K143" s="13">
        <v>0</v>
      </c>
      <c r="L143" s="13">
        <v>681920</v>
      </c>
      <c r="M143" s="13">
        <v>404418</v>
      </c>
      <c r="N143" s="13">
        <v>14718</v>
      </c>
      <c r="O143" s="13">
        <v>140290</v>
      </c>
      <c r="P143" s="13">
        <v>137252</v>
      </c>
      <c r="Q143" s="13">
        <v>-2806</v>
      </c>
      <c r="R143" s="13">
        <v>-6185</v>
      </c>
      <c r="S143" s="13">
        <v>220299</v>
      </c>
      <c r="T143" s="13">
        <v>224721</v>
      </c>
      <c r="U143" s="13">
        <v>72990</v>
      </c>
      <c r="V143" s="13">
        <v>22727</v>
      </c>
      <c r="W143" s="13">
        <v>70668</v>
      </c>
      <c r="X143" s="13">
        <v>31649</v>
      </c>
      <c r="Y143" s="13">
        <v>7274</v>
      </c>
      <c r="Z143" s="13">
        <v>19913</v>
      </c>
      <c r="AA143" s="13">
        <v>28293</v>
      </c>
      <c r="AB143" s="13">
        <v>41381</v>
      </c>
      <c r="AC143" s="13">
        <v>35324</v>
      </c>
      <c r="AD143" s="13">
        <v>7220</v>
      </c>
      <c r="AE143" s="13">
        <v>21449</v>
      </c>
      <c r="AF143" s="13">
        <v>27819</v>
      </c>
      <c r="AG143" s="13">
        <v>43699</v>
      </c>
      <c r="AH143" s="13">
        <v>36979</v>
      </c>
      <c r="AK143" s="13">
        <v>679194</v>
      </c>
      <c r="AL143" s="13">
        <v>411023</v>
      </c>
      <c r="AM143" s="13">
        <v>14113</v>
      </c>
      <c r="AN143" s="13">
        <v>135232</v>
      </c>
      <c r="AO143" s="13">
        <v>132002</v>
      </c>
      <c r="AP143" s="13">
        <v>-3082</v>
      </c>
      <c r="AQ143" s="13">
        <v>-5952</v>
      </c>
      <c r="AR143" s="13">
        <v>227335</v>
      </c>
      <c r="AS143" s="13">
        <v>231477</v>
      </c>
      <c r="AT143" s="13">
        <v>672809</v>
      </c>
      <c r="AU143" s="13">
        <v>398495</v>
      </c>
      <c r="AV143" s="13">
        <v>14113</v>
      </c>
      <c r="AW143" s="13">
        <v>136392</v>
      </c>
      <c r="AX143" s="13">
        <v>136303</v>
      </c>
      <c r="AY143" s="13">
        <v>-396</v>
      </c>
      <c r="AZ143" s="13">
        <v>-6147</v>
      </c>
      <c r="BA143" s="13">
        <v>221068</v>
      </c>
      <c r="BB143" s="13">
        <v>227019</v>
      </c>
    </row>
    <row r="144" spans="1:54" x14ac:dyDescent="0.35">
      <c r="A144" t="s">
        <v>510</v>
      </c>
      <c r="B144" s="13">
        <v>689491</v>
      </c>
      <c r="C144" s="13">
        <v>416034</v>
      </c>
      <c r="D144" s="13">
        <v>14171</v>
      </c>
      <c r="E144" s="13">
        <v>141823</v>
      </c>
      <c r="F144" s="13">
        <v>129892</v>
      </c>
      <c r="G144" s="13">
        <v>781</v>
      </c>
      <c r="H144" s="13">
        <v>-3828</v>
      </c>
      <c r="I144" s="13">
        <v>221718</v>
      </c>
      <c r="J144" s="13">
        <v>230165</v>
      </c>
      <c r="K144" s="13">
        <v>0</v>
      </c>
      <c r="L144" s="13">
        <v>680189</v>
      </c>
      <c r="M144" s="13">
        <v>415427</v>
      </c>
      <c r="N144" s="13">
        <v>14171</v>
      </c>
      <c r="O144" s="13">
        <v>140400</v>
      </c>
      <c r="P144" s="13">
        <v>123522</v>
      </c>
      <c r="Q144" s="13">
        <v>1046</v>
      </c>
      <c r="R144" s="13">
        <v>-3851</v>
      </c>
      <c r="S144" s="13">
        <v>221235</v>
      </c>
      <c r="T144" s="13">
        <v>230172</v>
      </c>
      <c r="U144" s="13">
        <v>73232</v>
      </c>
      <c r="V144" s="13">
        <v>20929</v>
      </c>
      <c r="W144" s="13">
        <v>72073</v>
      </c>
      <c r="X144" s="13">
        <v>16308</v>
      </c>
      <c r="Y144" s="13">
        <v>7687</v>
      </c>
      <c r="Z144" s="13">
        <v>18953</v>
      </c>
      <c r="AA144" s="13">
        <v>27645</v>
      </c>
      <c r="AB144" s="13">
        <v>39490</v>
      </c>
      <c r="AC144" s="13">
        <v>36093</v>
      </c>
      <c r="AD144" s="13">
        <v>7817</v>
      </c>
      <c r="AE144" s="13">
        <v>17333</v>
      </c>
      <c r="AF144" s="13">
        <v>27490</v>
      </c>
      <c r="AG144" s="13">
        <v>35665</v>
      </c>
      <c r="AH144" s="13">
        <v>35181</v>
      </c>
      <c r="AK144" s="13">
        <v>689618</v>
      </c>
      <c r="AL144" s="13">
        <v>415765</v>
      </c>
      <c r="AM144" s="13">
        <v>14147</v>
      </c>
      <c r="AN144" s="13">
        <v>142592</v>
      </c>
      <c r="AO144" s="13">
        <v>130237</v>
      </c>
      <c r="AP144" s="13">
        <v>-299</v>
      </c>
      <c r="AQ144" s="13">
        <v>-3801</v>
      </c>
      <c r="AR144" s="13">
        <v>221330</v>
      </c>
      <c r="AS144" s="13">
        <v>230353</v>
      </c>
      <c r="AT144" s="13">
        <v>679690</v>
      </c>
      <c r="AU144" s="13">
        <v>414590</v>
      </c>
      <c r="AV144" s="13">
        <v>14147</v>
      </c>
      <c r="AW144" s="13">
        <v>142236</v>
      </c>
      <c r="AX144" s="13">
        <v>123701</v>
      </c>
      <c r="AY144" s="13">
        <v>-1984</v>
      </c>
      <c r="AZ144" s="13">
        <v>-3838</v>
      </c>
      <c r="BA144" s="13">
        <v>219918</v>
      </c>
      <c r="BB144" s="13">
        <v>229080</v>
      </c>
    </row>
    <row r="145" spans="1:54" x14ac:dyDescent="0.35">
      <c r="A145" t="s">
        <v>511</v>
      </c>
      <c r="B145" s="13">
        <v>687839</v>
      </c>
      <c r="C145" s="13">
        <v>410873</v>
      </c>
      <c r="D145" s="13">
        <v>14030</v>
      </c>
      <c r="E145" s="13">
        <v>143463</v>
      </c>
      <c r="F145" s="13">
        <v>128215</v>
      </c>
      <c r="G145" s="13">
        <v>-180</v>
      </c>
      <c r="H145" s="13">
        <v>-1369</v>
      </c>
      <c r="I145" s="13">
        <v>217808</v>
      </c>
      <c r="J145" s="13">
        <v>225279</v>
      </c>
      <c r="K145" s="13">
        <v>0</v>
      </c>
      <c r="L145" s="13">
        <v>688094</v>
      </c>
      <c r="M145" s="13">
        <v>412620</v>
      </c>
      <c r="N145" s="13">
        <v>14030</v>
      </c>
      <c r="O145" s="13">
        <v>142575</v>
      </c>
      <c r="P145" s="13">
        <v>126097</v>
      </c>
      <c r="Q145" s="13">
        <v>2912</v>
      </c>
      <c r="R145" s="13">
        <v>-1152</v>
      </c>
      <c r="S145" s="13">
        <v>216713</v>
      </c>
      <c r="T145" s="13">
        <v>226743</v>
      </c>
      <c r="U145" s="13">
        <v>71430</v>
      </c>
      <c r="V145" s="13">
        <v>22000</v>
      </c>
      <c r="W145" s="13">
        <v>70899</v>
      </c>
      <c r="X145" s="13">
        <v>19437</v>
      </c>
      <c r="Y145" s="13">
        <v>7711</v>
      </c>
      <c r="Z145" s="13">
        <v>18605</v>
      </c>
      <c r="AA145" s="13">
        <v>26877</v>
      </c>
      <c r="AB145" s="13">
        <v>39510</v>
      </c>
      <c r="AC145" s="13">
        <v>35544</v>
      </c>
      <c r="AD145" s="13">
        <v>6460</v>
      </c>
      <c r="AE145" s="13">
        <v>17940</v>
      </c>
      <c r="AF145" s="13">
        <v>27022</v>
      </c>
      <c r="AG145" s="13">
        <v>39686</v>
      </c>
      <c r="AH145" s="13">
        <v>35024</v>
      </c>
      <c r="AK145" s="13">
        <v>692982</v>
      </c>
      <c r="AL145" s="13">
        <v>412674</v>
      </c>
      <c r="AM145" s="13">
        <v>14171</v>
      </c>
      <c r="AN145" s="13">
        <v>143673</v>
      </c>
      <c r="AO145" s="13">
        <v>128511</v>
      </c>
      <c r="AP145" s="13">
        <v>2000</v>
      </c>
      <c r="AQ145" s="13">
        <v>-1382</v>
      </c>
      <c r="AR145" s="13">
        <v>215466</v>
      </c>
      <c r="AS145" s="13">
        <v>222131</v>
      </c>
      <c r="AT145" s="13">
        <v>694844</v>
      </c>
      <c r="AU145" s="13">
        <v>416064</v>
      </c>
      <c r="AV145" s="13">
        <v>14171</v>
      </c>
      <c r="AW145" s="13">
        <v>143246</v>
      </c>
      <c r="AX145" s="13">
        <v>127861</v>
      </c>
      <c r="AY145" s="13">
        <v>6586</v>
      </c>
      <c r="AZ145" s="13">
        <v>-1129</v>
      </c>
      <c r="BA145" s="13">
        <v>215093</v>
      </c>
      <c r="BB145" s="13">
        <v>227048</v>
      </c>
    </row>
    <row r="146" spans="1:54" x14ac:dyDescent="0.35">
      <c r="A146" t="s">
        <v>512</v>
      </c>
      <c r="B146" s="13">
        <v>685628</v>
      </c>
      <c r="C146" s="13">
        <v>410194</v>
      </c>
      <c r="D146" s="13">
        <v>13703</v>
      </c>
      <c r="E146" s="13">
        <v>143740</v>
      </c>
      <c r="F146" s="13">
        <v>129771</v>
      </c>
      <c r="G146" s="13">
        <v>3982</v>
      </c>
      <c r="H146" s="13">
        <v>-2077</v>
      </c>
      <c r="I146" s="13">
        <v>212900</v>
      </c>
      <c r="J146" s="13">
        <v>227798</v>
      </c>
      <c r="K146" s="13">
        <v>0</v>
      </c>
      <c r="L146" s="13">
        <v>701961</v>
      </c>
      <c r="M146" s="13">
        <v>419816</v>
      </c>
      <c r="N146" s="13">
        <v>13703</v>
      </c>
      <c r="O146" s="13">
        <v>144104</v>
      </c>
      <c r="P146" s="13">
        <v>133220</v>
      </c>
      <c r="Q146" s="13">
        <v>132</v>
      </c>
      <c r="R146" s="13">
        <v>-2154</v>
      </c>
      <c r="S146" s="13">
        <v>220031</v>
      </c>
      <c r="T146" s="13">
        <v>228783</v>
      </c>
      <c r="U146" s="13">
        <v>72935</v>
      </c>
      <c r="V146" s="13">
        <v>22577</v>
      </c>
      <c r="W146" s="13">
        <v>76946</v>
      </c>
      <c r="X146" s="13">
        <v>20839</v>
      </c>
      <c r="Y146" s="13">
        <v>8110</v>
      </c>
      <c r="Z146" s="13">
        <v>19460</v>
      </c>
      <c r="AA146" s="13">
        <v>26673</v>
      </c>
      <c r="AB146" s="13">
        <v>39993</v>
      </c>
      <c r="AC146" s="13">
        <v>35556</v>
      </c>
      <c r="AD146" s="13">
        <v>9284</v>
      </c>
      <c r="AE146" s="13">
        <v>20208</v>
      </c>
      <c r="AF146" s="13">
        <v>27157</v>
      </c>
      <c r="AG146" s="13">
        <v>41324</v>
      </c>
      <c r="AH146" s="13">
        <v>35333</v>
      </c>
      <c r="AK146" s="13">
        <v>690370</v>
      </c>
      <c r="AL146" s="13">
        <v>412819</v>
      </c>
      <c r="AM146" s="13">
        <v>14191</v>
      </c>
      <c r="AN146" s="13">
        <v>145872</v>
      </c>
      <c r="AO146" s="13">
        <v>129341</v>
      </c>
      <c r="AP146" s="13">
        <v>2665</v>
      </c>
      <c r="AQ146" s="13">
        <v>-2207</v>
      </c>
      <c r="AR146" s="13">
        <v>214147</v>
      </c>
      <c r="AS146" s="13">
        <v>226458</v>
      </c>
      <c r="AT146" s="13">
        <v>704821</v>
      </c>
      <c r="AU146" s="13">
        <v>423132</v>
      </c>
      <c r="AV146" s="13">
        <v>14191</v>
      </c>
      <c r="AW146" s="13">
        <v>145495</v>
      </c>
      <c r="AX146" s="13">
        <v>132226</v>
      </c>
      <c r="AY146" s="13">
        <v>-2922</v>
      </c>
      <c r="AZ146" s="13">
        <v>-2228</v>
      </c>
      <c r="BA146" s="13">
        <v>222199</v>
      </c>
      <c r="BB146" s="13">
        <v>227272</v>
      </c>
    </row>
    <row r="147" spans="1:54" x14ac:dyDescent="0.35">
      <c r="A147" t="s">
        <v>513</v>
      </c>
      <c r="B147" s="13">
        <v>690904</v>
      </c>
      <c r="C147" s="13">
        <v>411441</v>
      </c>
      <c r="D147" s="13">
        <v>13244</v>
      </c>
      <c r="E147" s="13">
        <v>144170</v>
      </c>
      <c r="F147" s="13">
        <v>131654</v>
      </c>
      <c r="G147" s="13">
        <v>-244</v>
      </c>
      <c r="H147" s="13">
        <v>-2268</v>
      </c>
      <c r="I147" s="13">
        <v>219031</v>
      </c>
      <c r="J147" s="13">
        <v>225503</v>
      </c>
      <c r="K147" s="13">
        <v>-621</v>
      </c>
      <c r="L147" s="13">
        <v>691928</v>
      </c>
      <c r="M147" s="13">
        <v>400732</v>
      </c>
      <c r="N147" s="13">
        <v>13244</v>
      </c>
      <c r="O147" s="13">
        <v>145103</v>
      </c>
      <c r="P147" s="13">
        <v>138333</v>
      </c>
      <c r="Q147" s="13">
        <v>3422</v>
      </c>
      <c r="R147" s="13">
        <v>-2587</v>
      </c>
      <c r="S147" s="13">
        <v>213722</v>
      </c>
      <c r="T147" s="13">
        <v>219420</v>
      </c>
      <c r="U147" s="13">
        <v>72967</v>
      </c>
      <c r="V147" s="13">
        <v>23401</v>
      </c>
      <c r="W147" s="13">
        <v>71973</v>
      </c>
      <c r="X147" s="13">
        <v>32342</v>
      </c>
      <c r="Y147" s="13">
        <v>7517</v>
      </c>
      <c r="Z147" s="13">
        <v>18986</v>
      </c>
      <c r="AA147" s="13">
        <v>27542</v>
      </c>
      <c r="AB147" s="13">
        <v>43087</v>
      </c>
      <c r="AC147" s="13">
        <v>34522</v>
      </c>
      <c r="AD147" s="13">
        <v>6941</v>
      </c>
      <c r="AE147" s="13">
        <v>20958</v>
      </c>
      <c r="AF147" s="13">
        <v>26998</v>
      </c>
      <c r="AG147" s="13">
        <v>47356</v>
      </c>
      <c r="AH147" s="13">
        <v>36079</v>
      </c>
      <c r="AK147" s="13">
        <v>705573</v>
      </c>
      <c r="AL147" s="13">
        <v>419987</v>
      </c>
      <c r="AM147" s="13">
        <v>13768</v>
      </c>
      <c r="AN147" s="13">
        <v>146207</v>
      </c>
      <c r="AO147" s="13">
        <v>131842</v>
      </c>
      <c r="AP147" s="13">
        <v>1085</v>
      </c>
      <c r="AQ147" s="13">
        <v>-2366</v>
      </c>
      <c r="AR147" s="13">
        <v>217971</v>
      </c>
      <c r="AS147" s="13">
        <v>222287</v>
      </c>
      <c r="AT147" s="13">
        <v>710809</v>
      </c>
      <c r="AU147" s="13">
        <v>404962</v>
      </c>
      <c r="AV147" s="13">
        <v>13768</v>
      </c>
      <c r="AW147" s="13">
        <v>147563</v>
      </c>
      <c r="AX147" s="13">
        <v>139355</v>
      </c>
      <c r="AY147" s="13">
        <v>3250</v>
      </c>
      <c r="AZ147" s="13">
        <v>-2590</v>
      </c>
      <c r="BA147" s="13">
        <v>212598</v>
      </c>
      <c r="BB147" s="13">
        <v>214502</v>
      </c>
    </row>
    <row r="148" spans="1:54" x14ac:dyDescent="0.35">
      <c r="A148" t="s">
        <v>514</v>
      </c>
      <c r="B148" s="13">
        <v>695145</v>
      </c>
      <c r="C148" s="13">
        <v>411111</v>
      </c>
      <c r="D148" s="13">
        <v>13301</v>
      </c>
      <c r="E148" s="13">
        <v>145729</v>
      </c>
      <c r="F148" s="13">
        <v>130980</v>
      </c>
      <c r="G148" s="13">
        <v>3650</v>
      </c>
      <c r="H148" s="13">
        <v>6138</v>
      </c>
      <c r="I148" s="13">
        <v>222214</v>
      </c>
      <c r="J148" s="13">
        <v>237307</v>
      </c>
      <c r="K148" s="13">
        <v>-671</v>
      </c>
      <c r="L148" s="13">
        <v>681844</v>
      </c>
      <c r="M148" s="13">
        <v>409583</v>
      </c>
      <c r="N148" s="13">
        <v>13301</v>
      </c>
      <c r="O148" s="13">
        <v>144956</v>
      </c>
      <c r="P148" s="13">
        <v>126522</v>
      </c>
      <c r="Q148" s="13">
        <v>-1714</v>
      </c>
      <c r="R148" s="13">
        <v>6158</v>
      </c>
      <c r="S148" s="13">
        <v>221360</v>
      </c>
      <c r="T148" s="13">
        <v>237651</v>
      </c>
      <c r="U148" s="13">
        <v>74272</v>
      </c>
      <c r="V148" s="13">
        <v>21785</v>
      </c>
      <c r="W148" s="13">
        <v>74260</v>
      </c>
      <c r="X148" s="13">
        <v>17546</v>
      </c>
      <c r="Y148" s="13">
        <v>8738</v>
      </c>
      <c r="Z148" s="13">
        <v>18722</v>
      </c>
      <c r="AA148" s="13">
        <v>27195</v>
      </c>
      <c r="AB148" s="13">
        <v>40622</v>
      </c>
      <c r="AC148" s="13">
        <v>35704</v>
      </c>
      <c r="AD148" s="13">
        <v>8681</v>
      </c>
      <c r="AE148" s="13">
        <v>16955</v>
      </c>
      <c r="AF148" s="13">
        <v>27248</v>
      </c>
      <c r="AG148" s="13">
        <v>38744</v>
      </c>
      <c r="AH148" s="13">
        <v>34894</v>
      </c>
      <c r="AK148" s="13">
        <v>717865</v>
      </c>
      <c r="AL148" s="13">
        <v>421868</v>
      </c>
      <c r="AM148" s="13">
        <v>13991</v>
      </c>
      <c r="AN148" s="13">
        <v>149468</v>
      </c>
      <c r="AO148" s="13">
        <v>133318</v>
      </c>
      <c r="AP148" s="13">
        <v>4090</v>
      </c>
      <c r="AQ148" s="13">
        <v>6953</v>
      </c>
      <c r="AR148" s="13">
        <v>225252</v>
      </c>
      <c r="AS148" s="13">
        <v>236382</v>
      </c>
      <c r="AT148" s="13">
        <v>709525</v>
      </c>
      <c r="AU148" s="13">
        <v>421117</v>
      </c>
      <c r="AV148" s="13">
        <v>13991</v>
      </c>
      <c r="AW148" s="13">
        <v>148963</v>
      </c>
      <c r="AX148" s="13">
        <v>128585</v>
      </c>
      <c r="AY148" s="13">
        <v>-1501</v>
      </c>
      <c r="AZ148" s="13">
        <v>6923</v>
      </c>
      <c r="BA148" s="13">
        <v>224354</v>
      </c>
      <c r="BB148" s="13">
        <v>236052</v>
      </c>
    </row>
    <row r="149" spans="1:54" x14ac:dyDescent="0.35">
      <c r="A149" t="s">
        <v>515</v>
      </c>
      <c r="B149" s="13">
        <v>696752</v>
      </c>
      <c r="C149" s="13">
        <v>413697</v>
      </c>
      <c r="D149" s="13">
        <v>13808</v>
      </c>
      <c r="E149" s="13">
        <v>146451</v>
      </c>
      <c r="F149" s="13">
        <v>133371</v>
      </c>
      <c r="G149" s="13">
        <v>-1372</v>
      </c>
      <c r="H149" s="13">
        <v>-741</v>
      </c>
      <c r="I149" s="13">
        <v>224204</v>
      </c>
      <c r="J149" s="13">
        <v>231822</v>
      </c>
      <c r="K149" s="13">
        <v>-844</v>
      </c>
      <c r="L149" s="13">
        <v>697764</v>
      </c>
      <c r="M149" s="13">
        <v>416683</v>
      </c>
      <c r="N149" s="13">
        <v>13808</v>
      </c>
      <c r="O149" s="13">
        <v>145716</v>
      </c>
      <c r="P149" s="13">
        <v>129413</v>
      </c>
      <c r="Q149" s="13">
        <v>4625</v>
      </c>
      <c r="R149" s="13">
        <v>-462</v>
      </c>
      <c r="S149" s="13">
        <v>222876</v>
      </c>
      <c r="T149" s="13">
        <v>234051</v>
      </c>
      <c r="U149" s="13">
        <v>75944</v>
      </c>
      <c r="V149" s="13">
        <v>23515</v>
      </c>
      <c r="W149" s="13">
        <v>74201</v>
      </c>
      <c r="X149" s="13">
        <v>20581</v>
      </c>
      <c r="Y149" s="13">
        <v>7553</v>
      </c>
      <c r="Z149" s="13">
        <v>19173</v>
      </c>
      <c r="AA149" s="13">
        <v>26775</v>
      </c>
      <c r="AB149" s="13">
        <v>43771</v>
      </c>
      <c r="AC149" s="13">
        <v>36098</v>
      </c>
      <c r="AD149" s="13">
        <v>6760</v>
      </c>
      <c r="AE149" s="13">
        <v>18449</v>
      </c>
      <c r="AF149" s="13">
        <v>26999</v>
      </c>
      <c r="AG149" s="13">
        <v>41657</v>
      </c>
      <c r="AH149" s="13">
        <v>35548</v>
      </c>
      <c r="AK149" s="13">
        <v>729877</v>
      </c>
      <c r="AL149" s="13">
        <v>426781</v>
      </c>
      <c r="AM149" s="13">
        <v>14313</v>
      </c>
      <c r="AN149" s="13">
        <v>151571</v>
      </c>
      <c r="AO149" s="13">
        <v>137378</v>
      </c>
      <c r="AP149" s="13">
        <v>636</v>
      </c>
      <c r="AQ149" s="13">
        <v>-1189</v>
      </c>
      <c r="AR149" s="13">
        <v>227079</v>
      </c>
      <c r="AS149" s="13">
        <v>225808</v>
      </c>
      <c r="AT149" s="13">
        <v>728246</v>
      </c>
      <c r="AU149" s="13">
        <v>433079</v>
      </c>
      <c r="AV149" s="13">
        <v>14313</v>
      </c>
      <c r="AW149" s="13">
        <v>151019</v>
      </c>
      <c r="AX149" s="13">
        <v>133500</v>
      </c>
      <c r="AY149" s="13">
        <v>7713</v>
      </c>
      <c r="AZ149" s="13">
        <v>-900</v>
      </c>
      <c r="BA149" s="13">
        <v>225575</v>
      </c>
      <c r="BB149" s="13">
        <v>229644</v>
      </c>
    </row>
    <row r="150" spans="1:54" x14ac:dyDescent="0.35">
      <c r="A150" t="s">
        <v>516</v>
      </c>
      <c r="B150" s="13">
        <v>699094</v>
      </c>
      <c r="C150" s="13">
        <v>414478</v>
      </c>
      <c r="D150" s="13">
        <v>14273</v>
      </c>
      <c r="E150" s="13">
        <v>147634</v>
      </c>
      <c r="F150" s="13">
        <v>133272</v>
      </c>
      <c r="G150" s="13">
        <v>3347</v>
      </c>
      <c r="H150" s="13">
        <v>2693</v>
      </c>
      <c r="I150" s="13">
        <v>224505</v>
      </c>
      <c r="J150" s="13">
        <v>240214</v>
      </c>
      <c r="K150" s="13">
        <v>-894</v>
      </c>
      <c r="L150" s="13">
        <v>710359</v>
      </c>
      <c r="M150" s="13">
        <v>423729</v>
      </c>
      <c r="N150" s="13">
        <v>14273</v>
      </c>
      <c r="O150" s="13">
        <v>148209</v>
      </c>
      <c r="P150" s="13">
        <v>135009</v>
      </c>
      <c r="Q150" s="13">
        <v>-952</v>
      </c>
      <c r="R150" s="13">
        <v>2713</v>
      </c>
      <c r="S150" s="13">
        <v>231996</v>
      </c>
      <c r="T150" s="13">
        <v>243724</v>
      </c>
      <c r="U150" s="13">
        <v>75108</v>
      </c>
      <c r="V150" s="13">
        <v>23225</v>
      </c>
      <c r="W150" s="13">
        <v>77859</v>
      </c>
      <c r="X150" s="13">
        <v>21456</v>
      </c>
      <c r="Y150" s="13">
        <v>7346</v>
      </c>
      <c r="Z150" s="13">
        <v>18840</v>
      </c>
      <c r="AA150" s="13">
        <v>27159</v>
      </c>
      <c r="AB150" s="13">
        <v>43839</v>
      </c>
      <c r="AC150" s="13">
        <v>36088</v>
      </c>
      <c r="AD150" s="13">
        <v>8772</v>
      </c>
      <c r="AE150" s="13">
        <v>19357</v>
      </c>
      <c r="AF150" s="13">
        <v>27426</v>
      </c>
      <c r="AG150" s="13">
        <v>43562</v>
      </c>
      <c r="AH150" s="13">
        <v>35892</v>
      </c>
      <c r="AK150" s="13">
        <v>738129</v>
      </c>
      <c r="AL150" s="13">
        <v>431495</v>
      </c>
      <c r="AM150" s="13">
        <v>14756</v>
      </c>
      <c r="AN150" s="13">
        <v>157170</v>
      </c>
      <c r="AO150" s="13">
        <v>137254</v>
      </c>
      <c r="AP150" s="13">
        <v>2118</v>
      </c>
      <c r="AQ150" s="13">
        <v>3119</v>
      </c>
      <c r="AR150" s="13">
        <v>227669</v>
      </c>
      <c r="AS150" s="13">
        <v>234508</v>
      </c>
      <c r="AT150" s="13">
        <v>742864</v>
      </c>
      <c r="AU150" s="13">
        <v>440973</v>
      </c>
      <c r="AV150" s="13">
        <v>14756</v>
      </c>
      <c r="AW150" s="13">
        <v>156871</v>
      </c>
      <c r="AX150" s="13">
        <v>138352</v>
      </c>
      <c r="AY150" s="13">
        <v>-1533</v>
      </c>
      <c r="AZ150" s="13">
        <v>3084</v>
      </c>
      <c r="BA150" s="13">
        <v>235444</v>
      </c>
      <c r="BB150" s="13">
        <v>238787</v>
      </c>
    </row>
    <row r="151" spans="1:54" x14ac:dyDescent="0.35">
      <c r="A151" t="s">
        <v>517</v>
      </c>
      <c r="B151" s="13">
        <v>703655</v>
      </c>
      <c r="C151" s="13">
        <v>415543</v>
      </c>
      <c r="D151" s="13">
        <v>14449</v>
      </c>
      <c r="E151" s="13">
        <v>147128</v>
      </c>
      <c r="F151" s="13">
        <v>137360</v>
      </c>
      <c r="G151" s="13">
        <v>231</v>
      </c>
      <c r="H151" s="13">
        <v>4353</v>
      </c>
      <c r="I151" s="13">
        <v>228223</v>
      </c>
      <c r="J151" s="13">
        <v>242960</v>
      </c>
      <c r="K151" s="13">
        <v>-672</v>
      </c>
      <c r="L151" s="13">
        <v>708038</v>
      </c>
      <c r="M151" s="13">
        <v>404405</v>
      </c>
      <c r="N151" s="13">
        <v>14449</v>
      </c>
      <c r="O151" s="13">
        <v>148423</v>
      </c>
      <c r="P151" s="13">
        <v>144673</v>
      </c>
      <c r="Q151" s="13">
        <v>6488</v>
      </c>
      <c r="R151" s="13">
        <v>4012</v>
      </c>
      <c r="S151" s="13">
        <v>222484</v>
      </c>
      <c r="T151" s="13">
        <v>236224</v>
      </c>
      <c r="U151" s="13">
        <v>78377</v>
      </c>
      <c r="V151" s="13">
        <v>23664</v>
      </c>
      <c r="W151" s="13">
        <v>77492</v>
      </c>
      <c r="X151" s="13">
        <v>33139</v>
      </c>
      <c r="Y151" s="13">
        <v>7423</v>
      </c>
      <c r="Z151" s="13">
        <v>20347</v>
      </c>
      <c r="AA151" s="13">
        <v>27234</v>
      </c>
      <c r="AB151" s="13">
        <v>45940</v>
      </c>
      <c r="AC151" s="13">
        <v>36416</v>
      </c>
      <c r="AD151" s="13">
        <v>6686</v>
      </c>
      <c r="AE151" s="13">
        <v>22542</v>
      </c>
      <c r="AF151" s="13">
        <v>26719</v>
      </c>
      <c r="AG151" s="13">
        <v>50685</v>
      </c>
      <c r="AH151" s="13">
        <v>38041</v>
      </c>
      <c r="AK151" s="13">
        <v>748000</v>
      </c>
      <c r="AL151" s="13">
        <v>438772</v>
      </c>
      <c r="AM151" s="13">
        <v>14879</v>
      </c>
      <c r="AN151" s="13">
        <v>157238</v>
      </c>
      <c r="AO151" s="13">
        <v>141592</v>
      </c>
      <c r="AP151" s="13">
        <v>112</v>
      </c>
      <c r="AQ151" s="13">
        <v>5542</v>
      </c>
      <c r="AR151" s="13">
        <v>233284</v>
      </c>
      <c r="AS151" s="13">
        <v>242705</v>
      </c>
      <c r="AT151" s="13">
        <v>754707</v>
      </c>
      <c r="AU151" s="13">
        <v>422856</v>
      </c>
      <c r="AV151" s="13">
        <v>14879</v>
      </c>
      <c r="AW151" s="13">
        <v>158539</v>
      </c>
      <c r="AX151" s="13">
        <v>149312</v>
      </c>
      <c r="AY151" s="13">
        <v>5472</v>
      </c>
      <c r="AZ151" s="13">
        <v>5318</v>
      </c>
      <c r="BA151" s="13">
        <v>227349</v>
      </c>
      <c r="BB151" s="13">
        <v>234496</v>
      </c>
    </row>
    <row r="152" spans="1:54" x14ac:dyDescent="0.35">
      <c r="A152" t="s">
        <v>518</v>
      </c>
      <c r="B152" s="13">
        <v>705117</v>
      </c>
      <c r="C152" s="13">
        <v>415740</v>
      </c>
      <c r="D152" s="13">
        <v>14795</v>
      </c>
      <c r="E152" s="13">
        <v>148559</v>
      </c>
      <c r="F152" s="13">
        <v>137038</v>
      </c>
      <c r="G152" s="13">
        <v>3169</v>
      </c>
      <c r="H152" s="13">
        <v>4152</v>
      </c>
      <c r="I152" s="13">
        <v>224282</v>
      </c>
      <c r="J152" s="13">
        <v>242011</v>
      </c>
      <c r="K152" s="13">
        <v>-607</v>
      </c>
      <c r="L152" s="13">
        <v>690487</v>
      </c>
      <c r="M152" s="13">
        <v>414567</v>
      </c>
      <c r="N152" s="13">
        <v>14795</v>
      </c>
      <c r="O152" s="13">
        <v>147364</v>
      </c>
      <c r="P152" s="13">
        <v>130534</v>
      </c>
      <c r="Q152" s="13">
        <v>-2166</v>
      </c>
      <c r="R152" s="13">
        <v>4188</v>
      </c>
      <c r="S152" s="13">
        <v>223628</v>
      </c>
      <c r="T152" s="13">
        <v>241816</v>
      </c>
      <c r="U152" s="13">
        <v>77684</v>
      </c>
      <c r="V152" s="13">
        <v>23696</v>
      </c>
      <c r="W152" s="13">
        <v>76370</v>
      </c>
      <c r="X152" s="13">
        <v>18765</v>
      </c>
      <c r="Y152" s="13">
        <v>6512</v>
      </c>
      <c r="Z152" s="13">
        <v>19401</v>
      </c>
      <c r="AA152" s="13">
        <v>27854</v>
      </c>
      <c r="AB152" s="13">
        <v>46684</v>
      </c>
      <c r="AC152" s="13">
        <v>36589</v>
      </c>
      <c r="AD152" s="13">
        <v>6577</v>
      </c>
      <c r="AE152" s="13">
        <v>17536</v>
      </c>
      <c r="AF152" s="13">
        <v>27932</v>
      </c>
      <c r="AG152" s="13">
        <v>42612</v>
      </c>
      <c r="AH152" s="13">
        <v>35877</v>
      </c>
      <c r="AK152" s="13">
        <v>757927</v>
      </c>
      <c r="AL152" s="13">
        <v>442953</v>
      </c>
      <c r="AM152" s="13">
        <v>14965</v>
      </c>
      <c r="AN152" s="13">
        <v>160972</v>
      </c>
      <c r="AO152" s="13">
        <v>142243</v>
      </c>
      <c r="AP152" s="13">
        <v>2052</v>
      </c>
      <c r="AQ152" s="13">
        <v>6383</v>
      </c>
      <c r="AR152" s="13">
        <v>229211</v>
      </c>
      <c r="AS152" s="13">
        <v>240200</v>
      </c>
      <c r="AT152" s="13">
        <v>748541</v>
      </c>
      <c r="AU152" s="13">
        <v>442690</v>
      </c>
      <c r="AV152" s="13">
        <v>14965</v>
      </c>
      <c r="AW152" s="13">
        <v>160471</v>
      </c>
      <c r="AX152" s="13">
        <v>135509</v>
      </c>
      <c r="AY152" s="13">
        <v>-4078</v>
      </c>
      <c r="AZ152" s="13">
        <v>6355</v>
      </c>
      <c r="BA152" s="13">
        <v>228136</v>
      </c>
      <c r="BB152" s="13">
        <v>239634</v>
      </c>
    </row>
    <row r="153" spans="1:54" x14ac:dyDescent="0.35">
      <c r="A153" t="s">
        <v>519</v>
      </c>
      <c r="B153" s="13">
        <v>705681</v>
      </c>
      <c r="C153" s="13">
        <v>416050</v>
      </c>
      <c r="D153" s="13">
        <v>14893</v>
      </c>
      <c r="E153" s="13">
        <v>149041</v>
      </c>
      <c r="F153" s="13">
        <v>138632</v>
      </c>
      <c r="G153" s="13">
        <v>355</v>
      </c>
      <c r="H153" s="13">
        <v>1672</v>
      </c>
      <c r="I153" s="13">
        <v>228749</v>
      </c>
      <c r="J153" s="13">
        <v>243103</v>
      </c>
      <c r="K153" s="13">
        <v>-608</v>
      </c>
      <c r="L153" s="13">
        <v>705387</v>
      </c>
      <c r="M153" s="13">
        <v>419029</v>
      </c>
      <c r="N153" s="13">
        <v>14893</v>
      </c>
      <c r="O153" s="13">
        <v>148314</v>
      </c>
      <c r="P153" s="13">
        <v>135958</v>
      </c>
      <c r="Q153" s="13">
        <v>4458</v>
      </c>
      <c r="R153" s="13">
        <v>1957</v>
      </c>
      <c r="S153" s="13">
        <v>228019</v>
      </c>
      <c r="T153" s="13">
        <v>246633</v>
      </c>
      <c r="U153" s="13">
        <v>78575</v>
      </c>
      <c r="V153" s="13">
        <v>23247</v>
      </c>
      <c r="W153" s="13">
        <v>78049</v>
      </c>
      <c r="X153" s="13">
        <v>20353</v>
      </c>
      <c r="Y153" s="13">
        <v>5951</v>
      </c>
      <c r="Z153" s="13">
        <v>20951</v>
      </c>
      <c r="AA153" s="13">
        <v>28160</v>
      </c>
      <c r="AB153" s="13">
        <v>46900</v>
      </c>
      <c r="AC153" s="13">
        <v>36671</v>
      </c>
      <c r="AD153" s="13">
        <v>5428</v>
      </c>
      <c r="AE153" s="13">
        <v>20115</v>
      </c>
      <c r="AF153" s="13">
        <v>28370</v>
      </c>
      <c r="AG153" s="13">
        <v>45890</v>
      </c>
      <c r="AH153" s="13">
        <v>36155</v>
      </c>
      <c r="AK153" s="13">
        <v>764673</v>
      </c>
      <c r="AL153" s="13">
        <v>446644</v>
      </c>
      <c r="AM153" s="13">
        <v>15168</v>
      </c>
      <c r="AN153" s="13">
        <v>162973</v>
      </c>
      <c r="AO153" s="13">
        <v>144272</v>
      </c>
      <c r="AP153" s="13">
        <v>-194</v>
      </c>
      <c r="AQ153" s="13">
        <v>2304</v>
      </c>
      <c r="AR153" s="13">
        <v>233887</v>
      </c>
      <c r="AS153" s="13">
        <v>239722</v>
      </c>
      <c r="AT153" s="13">
        <v>761980</v>
      </c>
      <c r="AU153" s="13">
        <v>453444</v>
      </c>
      <c r="AV153" s="13">
        <v>15168</v>
      </c>
      <c r="AW153" s="13">
        <v>162412</v>
      </c>
      <c r="AX153" s="13">
        <v>141520</v>
      </c>
      <c r="AY153" s="13">
        <v>5056</v>
      </c>
      <c r="AZ153" s="13">
        <v>2598</v>
      </c>
      <c r="BA153" s="13">
        <v>232931</v>
      </c>
      <c r="BB153" s="13">
        <v>244786</v>
      </c>
    </row>
    <row r="154" spans="1:54" x14ac:dyDescent="0.35">
      <c r="A154" t="s">
        <v>520</v>
      </c>
      <c r="B154" s="13">
        <v>706067</v>
      </c>
      <c r="C154" s="13">
        <v>416308</v>
      </c>
      <c r="D154" s="13">
        <v>14870</v>
      </c>
      <c r="E154" s="13">
        <v>149250</v>
      </c>
      <c r="F154" s="13">
        <v>138849</v>
      </c>
      <c r="G154" s="13">
        <v>-992</v>
      </c>
      <c r="H154" s="13">
        <v>5891</v>
      </c>
      <c r="I154" s="13">
        <v>227206</v>
      </c>
      <c r="J154" s="13">
        <v>244706</v>
      </c>
      <c r="K154" s="13">
        <v>-609</v>
      </c>
      <c r="L154" s="13">
        <v>716608</v>
      </c>
      <c r="M154" s="13">
        <v>425640</v>
      </c>
      <c r="N154" s="13">
        <v>14870</v>
      </c>
      <c r="O154" s="13">
        <v>149877</v>
      </c>
      <c r="P154" s="13">
        <v>140714</v>
      </c>
      <c r="Q154" s="13">
        <v>-6017</v>
      </c>
      <c r="R154" s="13">
        <v>5911</v>
      </c>
      <c r="S154" s="13">
        <v>234329</v>
      </c>
      <c r="T154" s="13">
        <v>248107</v>
      </c>
      <c r="U154" s="13">
        <v>76573</v>
      </c>
      <c r="V154" s="13">
        <v>25855</v>
      </c>
      <c r="W154" s="13">
        <v>79298</v>
      </c>
      <c r="X154" s="13">
        <v>24206</v>
      </c>
      <c r="Y154" s="13">
        <v>4867</v>
      </c>
      <c r="Z154" s="13">
        <v>20288</v>
      </c>
      <c r="AA154" s="13">
        <v>27560</v>
      </c>
      <c r="AB154" s="13">
        <v>47128</v>
      </c>
      <c r="AC154" s="13">
        <v>39005</v>
      </c>
      <c r="AD154" s="13">
        <v>6063</v>
      </c>
      <c r="AE154" s="13">
        <v>20794</v>
      </c>
      <c r="AF154" s="13">
        <v>27785</v>
      </c>
      <c r="AG154" s="13">
        <v>47464</v>
      </c>
      <c r="AH154" s="13">
        <v>38607</v>
      </c>
      <c r="AK154" s="13">
        <v>769261</v>
      </c>
      <c r="AL154" s="13">
        <v>448516</v>
      </c>
      <c r="AM154" s="13">
        <v>15339</v>
      </c>
      <c r="AN154" s="13">
        <v>164036</v>
      </c>
      <c r="AO154" s="13">
        <v>145928</v>
      </c>
      <c r="AP154" s="13">
        <v>-2015</v>
      </c>
      <c r="AQ154" s="13">
        <v>10281</v>
      </c>
      <c r="AR154" s="13">
        <v>233723</v>
      </c>
      <c r="AS154" s="13">
        <v>245884</v>
      </c>
      <c r="AT154" s="13">
        <v>774633</v>
      </c>
      <c r="AU154" s="13">
        <v>457895</v>
      </c>
      <c r="AV154" s="13">
        <v>15339</v>
      </c>
      <c r="AW154" s="13">
        <v>163797</v>
      </c>
      <c r="AX154" s="13">
        <v>147694</v>
      </c>
      <c r="AY154" s="13">
        <v>-6495</v>
      </c>
      <c r="AZ154" s="13">
        <v>10239</v>
      </c>
      <c r="BA154" s="13">
        <v>241689</v>
      </c>
      <c r="BB154" s="13">
        <v>249595</v>
      </c>
    </row>
  </sheetData>
  <hyperlinks>
    <hyperlink ref="B4" r:id="rId1" xr:uid="{58FFE04B-776D-44F7-8F44-23406D0F0B83}"/>
    <hyperlink ref="C4" r:id="rId2" xr:uid="{DCFB4EE7-51D6-4E4E-9952-704AB0071A0B}"/>
    <hyperlink ref="E4" r:id="rId3" xr:uid="{BA3351CB-00BC-44A2-B237-B4B2BC1B7AEC}"/>
    <hyperlink ref="F4" r:id="rId4" xr:uid="{FC908506-E8D9-4E33-A9EC-16474B206416}"/>
    <hyperlink ref="G4" r:id="rId5" xr:uid="{1C8F5FBE-EBF1-4C1A-869E-F1FE7EA5567B}"/>
    <hyperlink ref="H4" r:id="rId6" xr:uid="{72B3F8B6-FE0E-4476-89C4-89022A743FB8}"/>
    <hyperlink ref="I4" r:id="rId7" xr:uid="{5B2F3156-1DB8-4600-94BB-D363F9FDB32E}"/>
    <hyperlink ref="J4" r:id="rId8" xr:uid="{40F6FCF8-1889-4BAA-9623-947FC4A729F9}"/>
    <hyperlink ref="K4" r:id="rId9" xr:uid="{50CBECDD-5635-4B9F-8D60-73973B56BEB1}"/>
    <hyperlink ref="L4" r:id="rId10" xr:uid="{35E1C289-2115-4919-B263-BA3B2252C6ED}"/>
    <hyperlink ref="D4" r:id="rId11" xr:uid="{89731E40-CF10-490F-A6B9-8400C618D567}"/>
    <hyperlink ref="M4" r:id="rId12" xr:uid="{2A06E4F7-EE46-43CD-B3E3-C9E55B8EB96D}"/>
    <hyperlink ref="N4" r:id="rId13" xr:uid="{D287F3A4-BC29-49C3-92A3-D24FDE0A587C}"/>
    <hyperlink ref="O4" r:id="rId14" xr:uid="{49641F9A-A349-4788-929D-38096E4761F7}"/>
    <hyperlink ref="P4" r:id="rId15" xr:uid="{BCE4BC68-DDAE-478B-B05A-FE23345F298C}"/>
    <hyperlink ref="Q4" r:id="rId16" xr:uid="{F83676C9-28D8-46CE-AF6E-88EC4FE2464A}"/>
    <hyperlink ref="R4" r:id="rId17" xr:uid="{F20A22BF-7FB9-48E9-981D-9D9859A8E54C}"/>
    <hyperlink ref="S4" r:id="rId18" xr:uid="{8956E99F-84FA-4E01-B235-605002B4C491}"/>
    <hyperlink ref="T4" r:id="rId19" xr:uid="{E1B286D7-83D3-42DC-8EEA-5363E9BFD3E0}"/>
    <hyperlink ref="U4" r:id="rId20" xr:uid="{FCA1085C-04D4-4DAD-8689-68483E1D3FBF}"/>
    <hyperlink ref="V4" r:id="rId21" xr:uid="{D182E332-F2CF-4F5D-A7B6-557165C07ABD}"/>
    <hyperlink ref="W4" r:id="rId22" xr:uid="{C759A8CB-FE0A-44FB-B662-CAA9E6E8C7E4}"/>
    <hyperlink ref="X4" r:id="rId23" xr:uid="{8B312C03-6AAA-45CA-9583-F9EA15DA55B2}"/>
    <hyperlink ref="Y4" r:id="rId24" xr:uid="{987EFFCB-5CB0-41EE-85EA-8C55F496F4AC}"/>
    <hyperlink ref="Z4" r:id="rId25" xr:uid="{2B2893F2-1E54-4F61-A000-EBA0BCDAF463}"/>
    <hyperlink ref="AA4" r:id="rId26" xr:uid="{41C08623-CD96-4E19-AEA7-7F5F690FE59F}"/>
    <hyperlink ref="AB4" r:id="rId27" xr:uid="{DF0CC4D3-2A76-4284-95B8-4F0434A544BA}"/>
    <hyperlink ref="AC4" r:id="rId28" xr:uid="{95A5643A-5080-4848-A0BB-E96827064B39}"/>
    <hyperlink ref="AD4" r:id="rId29" xr:uid="{E9220FD0-F927-4D41-A778-8EC97B70361E}"/>
    <hyperlink ref="AE4" r:id="rId30" xr:uid="{27D121CA-9003-4901-9AF2-BE6406D7B1A7}"/>
    <hyperlink ref="AF4" r:id="rId31" xr:uid="{149BCF16-EBBC-4393-AB12-A642C8FCAD40}"/>
    <hyperlink ref="AG4" r:id="rId32" xr:uid="{9385E301-BA00-483C-87F5-D445121BEB6A}"/>
    <hyperlink ref="AH4" r:id="rId33" xr:uid="{1C856933-6FC3-4640-8C16-E7BE60237148}"/>
    <hyperlink ref="AK4" r:id="rId34" xr:uid="{6239CD0F-CF5A-4AD2-83D5-44A8C43F1A42}"/>
    <hyperlink ref="AL4" r:id="rId35" xr:uid="{0BBB0268-4132-465E-812A-8F8942FA5E45}"/>
    <hyperlink ref="AM4" r:id="rId36" xr:uid="{C833ED42-4591-452B-8CCC-902E39CBE438}"/>
    <hyperlink ref="AN4" r:id="rId37" xr:uid="{C602810C-EB8C-4205-BFB7-D30892E40085}"/>
    <hyperlink ref="AO4" r:id="rId38" xr:uid="{40660714-D9B1-4F49-8CB8-53AC31591E02}"/>
    <hyperlink ref="AP4" r:id="rId39" xr:uid="{528C5919-9A05-4C68-8C4E-6192B24D4F0D}"/>
    <hyperlink ref="AQ4" r:id="rId40" xr:uid="{C6427EFE-0D2C-49FB-91D2-9BE8B6C73553}"/>
    <hyperlink ref="AR4" r:id="rId41" xr:uid="{708D95AE-04D7-4B1A-8C35-6EFAE2C345A0}"/>
    <hyperlink ref="AS4" r:id="rId42" xr:uid="{0819384C-FEE9-48CC-B037-B77ED0E3D022}"/>
    <hyperlink ref="AT4" r:id="rId43" xr:uid="{9A1DFA1C-A4BC-4D55-A82B-7D0A3299C0F1}"/>
    <hyperlink ref="AU4" r:id="rId44" xr:uid="{6B14AD78-61E7-4C1D-A529-2904F54208DD}"/>
    <hyperlink ref="AV4" r:id="rId45" xr:uid="{F5B1F59A-584F-410C-8487-9FECB4B6029E}"/>
    <hyperlink ref="AW4" r:id="rId46" xr:uid="{C3995935-252F-454A-BADC-5EA89262C548}"/>
    <hyperlink ref="AX4" r:id="rId47" xr:uid="{3C3FFB88-2799-4060-AB0C-8A3F9FBAAC7F}"/>
    <hyperlink ref="AY4" r:id="rId48" xr:uid="{69B7F728-2C25-4D1B-97E3-97818941988D}"/>
    <hyperlink ref="AZ4" r:id="rId49" xr:uid="{00FA1092-A7E8-4976-AD1C-000BB88F6F07}"/>
    <hyperlink ref="BA4" r:id="rId50" xr:uid="{74DCE5CE-35CC-4902-B45F-11DF9BCBF63E}"/>
    <hyperlink ref="BB4" r:id="rId51" xr:uid="{48AD7824-A965-46C2-8873-4CC6B9D8B4C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D3949-BD92-4BA5-8D1E-5934E062CE0F}">
  <sheetPr>
    <tabColor rgb="FFC00000"/>
  </sheetPr>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3639B-ED84-4389-B6EC-89000205A51D}">
  <dimension ref="A1:AA148"/>
  <sheetViews>
    <sheetView zoomScale="85" zoomScaleNormal="85" workbookViewId="0">
      <pane xSplit="3" ySplit="4" topLeftCell="D23" activePane="bottomRight" state="frozen"/>
      <selection pane="topRight" activeCell="D1" sqref="D1"/>
      <selection pane="bottomLeft" activeCell="A5" sqref="A5"/>
      <selection pane="bottomRight" activeCell="AK68" sqref="AK68"/>
    </sheetView>
  </sheetViews>
  <sheetFormatPr defaultRowHeight="14.5" x14ac:dyDescent="0.35"/>
  <cols>
    <col min="7" max="7" width="3.08984375" customWidth="1"/>
    <col min="14" max="15" width="3.08984375" customWidth="1"/>
    <col min="21" max="22" width="3.08984375" customWidth="1"/>
    <col min="23" max="23" width="10.36328125" bestFit="1" customWidth="1"/>
  </cols>
  <sheetData>
    <row r="1" spans="1:27" x14ac:dyDescent="0.35">
      <c r="D1" s="7" t="s">
        <v>341</v>
      </c>
      <c r="H1" s="7" t="s">
        <v>347</v>
      </c>
      <c r="P1" s="7" t="s">
        <v>700</v>
      </c>
      <c r="S1" s="7"/>
      <c r="W1" s="7" t="s">
        <v>701</v>
      </c>
    </row>
    <row r="4" spans="1:27" x14ac:dyDescent="0.35">
      <c r="A4" t="s">
        <v>336</v>
      </c>
      <c r="B4" t="s">
        <v>339</v>
      </c>
      <c r="C4" t="s">
        <v>340</v>
      </c>
      <c r="D4" t="s">
        <v>337</v>
      </c>
      <c r="E4" t="s">
        <v>338</v>
      </c>
      <c r="F4" t="s">
        <v>342</v>
      </c>
      <c r="H4" t="s">
        <v>339</v>
      </c>
      <c r="I4" t="s">
        <v>343</v>
      </c>
      <c r="J4" t="s">
        <v>344</v>
      </c>
      <c r="K4" t="s">
        <v>345</v>
      </c>
      <c r="L4" t="s">
        <v>346</v>
      </c>
      <c r="M4" t="s">
        <v>348</v>
      </c>
      <c r="P4" t="s">
        <v>343</v>
      </c>
      <c r="Q4" t="s">
        <v>344</v>
      </c>
      <c r="R4" t="s">
        <v>345</v>
      </c>
      <c r="S4" t="s">
        <v>346</v>
      </c>
      <c r="T4" t="s">
        <v>348</v>
      </c>
      <c r="W4" t="s">
        <v>343</v>
      </c>
      <c r="X4" t="s">
        <v>344</v>
      </c>
      <c r="Y4" t="s">
        <v>345</v>
      </c>
      <c r="Z4" t="s">
        <v>346</v>
      </c>
      <c r="AA4" t="s">
        <v>348</v>
      </c>
    </row>
    <row r="5" spans="1:27" x14ac:dyDescent="0.35">
      <c r="A5" t="s">
        <v>170</v>
      </c>
      <c r="B5" t="str">
        <f>LEFT(A5,4)</f>
        <v>1990</v>
      </c>
      <c r="C5" t="str">
        <f>RIGHT(A5,2)</f>
        <v>Q1</v>
      </c>
      <c r="D5">
        <f>'ONS A2 AGG'!G232</f>
        <v>379458</v>
      </c>
      <c r="E5">
        <f>'ONS A2 AGG'!J232</f>
        <v>364170</v>
      </c>
      <c r="F5" s="8">
        <f>D5/E5</f>
        <v>1.0419803937721395</v>
      </c>
      <c r="H5">
        <v>1990</v>
      </c>
      <c r="I5" s="8">
        <f>INDEX($F5:$F$148,MATCH(I$4,$C5:$C$148,0))</f>
        <v>1.0419803937721395</v>
      </c>
      <c r="J5" s="8">
        <f>INDEX($F5:$F$148,MATCH(J$4,$C5:$C$148,0))</f>
        <v>1.0264459700931063</v>
      </c>
      <c r="K5" s="8">
        <f>INDEX($F5:$F$148,MATCH(K$4,$C5:$C$148,0))</f>
        <v>0.97686029044860012</v>
      </c>
      <c r="L5" s="8">
        <f>INDEX($F5:$F$148,MATCH(L$4,$C5:$C$148,0))</f>
        <v>0.95873459560923857</v>
      </c>
      <c r="M5" s="8">
        <v>1</v>
      </c>
      <c r="Q5" s="9"/>
      <c r="R5" s="8"/>
      <c r="S5" s="8">
        <f>E8/AVERAGE(E5:E11)</f>
        <v>1.0483361737917485</v>
      </c>
      <c r="T5" s="8">
        <v>1</v>
      </c>
      <c r="W5" s="8"/>
      <c r="AA5" s="8">
        <v>1</v>
      </c>
    </row>
    <row r="6" spans="1:27" x14ac:dyDescent="0.35">
      <c r="A6" t="s">
        <v>171</v>
      </c>
      <c r="B6" t="str">
        <f t="shared" ref="B6:B69" si="0">LEFT(A6,4)</f>
        <v>1990</v>
      </c>
      <c r="C6" t="str">
        <f t="shared" ref="C6:C69" si="1">RIGHT(A6,2)</f>
        <v>Q2</v>
      </c>
      <c r="D6">
        <f>'ONS A2 AGG'!G233</f>
        <v>381997</v>
      </c>
      <c r="E6">
        <f>'ONS A2 AGG'!J233</f>
        <v>372155</v>
      </c>
      <c r="F6" s="8">
        <f t="shared" ref="F6:F69" si="2">D6/E6</f>
        <v>1.0264459700931063</v>
      </c>
      <c r="H6">
        <v>1991</v>
      </c>
      <c r="I6" s="8">
        <f>F9</f>
        <v>1.0455875734798785</v>
      </c>
      <c r="J6" s="8">
        <f>F10</f>
        <v>1.0265337916367863</v>
      </c>
      <c r="K6" s="8">
        <f>F11</f>
        <v>0.97812275390983638</v>
      </c>
      <c r="L6" s="8">
        <f>F12</f>
        <v>0.95491875605844756</v>
      </c>
      <c r="M6" s="8">
        <v>1</v>
      </c>
      <c r="P6" s="8">
        <f>E9/AVERAGE(E6:E12)</f>
        <v>0.94681230351596535</v>
      </c>
      <c r="Q6" s="8">
        <f>E10/AVERAGE(E7:E13)</f>
        <v>0.96688724379541435</v>
      </c>
      <c r="R6" s="8">
        <f>E11/AVERAGE(E8:E14)</f>
        <v>1.0205129322987954</v>
      </c>
      <c r="S6" s="8">
        <f>E12/AVERAGE(E9:E15)</f>
        <v>1.0512968350632919</v>
      </c>
      <c r="T6" s="8">
        <v>1</v>
      </c>
      <c r="W6" s="8"/>
      <c r="AA6" s="8">
        <v>1</v>
      </c>
    </row>
    <row r="7" spans="1:27" x14ac:dyDescent="0.35">
      <c r="A7" t="s">
        <v>172</v>
      </c>
      <c r="B7" t="str">
        <f t="shared" si="0"/>
        <v>1990</v>
      </c>
      <c r="C7" t="str">
        <f t="shared" si="1"/>
        <v>Q3</v>
      </c>
      <c r="D7">
        <f>'ONS A2 AGG'!G234</f>
        <v>377831</v>
      </c>
      <c r="E7">
        <f>'ONS A2 AGG'!J234</f>
        <v>386781</v>
      </c>
      <c r="F7" s="8">
        <f t="shared" si="2"/>
        <v>0.97686029044860012</v>
      </c>
      <c r="H7">
        <v>1992</v>
      </c>
      <c r="I7" s="8">
        <f>INDEX($F13:$F$148,MATCH(I$4,$C13:$C$148,0))</f>
        <v>1.0309036081363945</v>
      </c>
      <c r="J7" s="8">
        <f>INDEX($F13:$F$148,MATCH(J$4,$C13:$C$148,0))</f>
        <v>1.0163293907220485</v>
      </c>
      <c r="K7" s="8">
        <f>INDEX($F13:$F$148,MATCH(K$4,$C13:$C$148,0))</f>
        <v>0.98420694421451227</v>
      </c>
      <c r="L7" s="8">
        <f>INDEX($F13:$F$148,MATCH(L$4,$C13:$C$148,0))</f>
        <v>0.97125490236445799</v>
      </c>
      <c r="M7" s="8">
        <v>1</v>
      </c>
      <c r="P7" s="8">
        <f>E13/AVERAGE(E10:E16)</f>
        <v>0.96230584528362773</v>
      </c>
      <c r="Q7" s="8">
        <f>E14/AVERAGE(E11:E17)</f>
        <v>0.97310198730318276</v>
      </c>
      <c r="R7" s="8">
        <f>E15/AVERAGE(E12:E18)</f>
        <v>1.0128338545478741</v>
      </c>
      <c r="S7" s="8">
        <f>E16/AVERAGE(E13:E19)</f>
        <v>1.0340987111573732</v>
      </c>
      <c r="T7" s="8">
        <v>1</v>
      </c>
      <c r="W7" s="8"/>
      <c r="AA7" s="8">
        <v>1</v>
      </c>
    </row>
    <row r="8" spans="1:27" x14ac:dyDescent="0.35">
      <c r="A8" t="s">
        <v>173</v>
      </c>
      <c r="B8" t="str">
        <f t="shared" si="0"/>
        <v>1990</v>
      </c>
      <c r="C8" t="str">
        <f t="shared" si="1"/>
        <v>Q4</v>
      </c>
      <c r="D8">
        <f>'ONS A2 AGG'!G235</f>
        <v>375916</v>
      </c>
      <c r="E8">
        <f>'ONS A2 AGG'!J235</f>
        <v>392096</v>
      </c>
      <c r="F8" s="8">
        <f t="shared" si="2"/>
        <v>0.95873459560923857</v>
      </c>
      <c r="H8">
        <v>1993</v>
      </c>
      <c r="I8" s="8">
        <f>INDEX($F17:$F$148,MATCH(I$4,$C17:$C$148,0))</f>
        <v>1.030686680703661</v>
      </c>
      <c r="J8" s="8">
        <f>INDEX($F17:$F$148,MATCH(J$4,$C17:$C$148,0))</f>
        <v>1.0215847976106853</v>
      </c>
      <c r="K8" s="8">
        <f>INDEX($F17:$F$148,MATCH(K$4,$C17:$C$148,0))</f>
        <v>0.98260802902920807</v>
      </c>
      <c r="L8" s="8">
        <f>INDEX($F17:$F$148,MATCH(L$4,$C17:$C$148,0))</f>
        <v>0.9686251354198202</v>
      </c>
      <c r="M8" s="8">
        <v>1</v>
      </c>
      <c r="P8" s="8">
        <f>E17/AVERAGE(E14:E20)</f>
        <v>0.96572161924812749</v>
      </c>
      <c r="Q8" s="8">
        <f>E18/AVERAGE(E15:E21)</f>
        <v>0.97331595179044927</v>
      </c>
      <c r="R8" s="8">
        <f>E19/AVERAGE(E16:E22)</f>
        <v>1.0186800085382424</v>
      </c>
      <c r="S8" s="8">
        <f>E20/AVERAGE(E17:E23)</f>
        <v>1.0342095846720951</v>
      </c>
      <c r="T8" s="8">
        <v>1</v>
      </c>
      <c r="W8" s="8"/>
      <c r="AA8" s="8">
        <v>1</v>
      </c>
    </row>
    <row r="9" spans="1:27" x14ac:dyDescent="0.35">
      <c r="A9" t="s">
        <v>174</v>
      </c>
      <c r="B9" t="str">
        <f t="shared" si="0"/>
        <v>1991</v>
      </c>
      <c r="C9" t="str">
        <f t="shared" si="1"/>
        <v>Q1</v>
      </c>
      <c r="D9">
        <f>'ONS A2 AGG'!G236</f>
        <v>374060</v>
      </c>
      <c r="E9">
        <f>'ONS A2 AGG'!J236</f>
        <v>357751</v>
      </c>
      <c r="F9" s="8">
        <f t="shared" si="2"/>
        <v>1.0455875734798785</v>
      </c>
      <c r="H9">
        <v>1994</v>
      </c>
      <c r="I9" s="8">
        <f>INDEX($F21:$F$148,MATCH(I$4,$C21:$C$148,0))</f>
        <v>1.0254483087784076</v>
      </c>
      <c r="J9" s="8">
        <f>INDEX($F21:$F$148,MATCH(J$4,$C21:$C$148,0))</f>
        <v>1.0193807060963196</v>
      </c>
      <c r="K9" s="8">
        <f>INDEX($F21:$F$148,MATCH(K$4,$C21:$C$148,0))</f>
        <v>0.98473116473047295</v>
      </c>
      <c r="L9" s="8">
        <f>INDEX($F21:$F$148,MATCH(L$4,$C21:$C$148,0))</f>
        <v>0.97319264292921315</v>
      </c>
      <c r="M9" s="8">
        <v>1</v>
      </c>
      <c r="P9" s="8">
        <f>E21/AVERAGE(E18:E24)</f>
        <v>0.97117955979808368</v>
      </c>
      <c r="Q9" s="8">
        <f>E22/AVERAGE(E19:E25)</f>
        <v>0.9788342070079652</v>
      </c>
      <c r="R9" s="8">
        <f>E23/AVERAGE(E20:E26)</f>
        <v>1.0229955570158888</v>
      </c>
      <c r="S9" s="8">
        <f>E24/AVERAGE(E21:E27)</f>
        <v>1.034404275385099</v>
      </c>
      <c r="T9" s="8">
        <v>1</v>
      </c>
      <c r="W9" s="8"/>
      <c r="AA9" s="8">
        <v>1</v>
      </c>
    </row>
    <row r="10" spans="1:27" x14ac:dyDescent="0.35">
      <c r="A10" t="s">
        <v>175</v>
      </c>
      <c r="B10" t="str">
        <f t="shared" si="0"/>
        <v>1991</v>
      </c>
      <c r="C10" t="str">
        <f t="shared" si="1"/>
        <v>Q2</v>
      </c>
      <c r="D10">
        <f>'ONS A2 AGG'!G237</f>
        <v>373608</v>
      </c>
      <c r="E10">
        <f>'ONS A2 AGG'!J237</f>
        <v>363951</v>
      </c>
      <c r="F10" s="8">
        <f t="shared" si="2"/>
        <v>1.0265337916367863</v>
      </c>
      <c r="H10">
        <v>1995</v>
      </c>
      <c r="I10" s="8">
        <f>INDEX($F25:$F$148,MATCH(I$4,$C25:$C$148,0))</f>
        <v>1.0246205321334994</v>
      </c>
      <c r="J10" s="8">
        <f>INDEX($F25:$F$148,MATCH(J$4,$C25:$C$148,0))</f>
        <v>1.0269614334610055</v>
      </c>
      <c r="K10" s="8">
        <f>INDEX($F25:$F$148,MATCH(K$4,$C25:$C$148,0))</f>
        <v>0.98614829163069528</v>
      </c>
      <c r="L10" s="8">
        <f>INDEX($F25:$F$148,MATCH(L$4,$C25:$C$148,0))</f>
        <v>0.96570835103620833</v>
      </c>
      <c r="M10" s="8">
        <v>1</v>
      </c>
      <c r="P10" s="8">
        <f>E25/AVERAGE(E22:E28)</f>
        <v>0.97286844063781419</v>
      </c>
      <c r="Q10" s="8">
        <f>E26/AVERAGE(E23:E29)</f>
        <v>0.96823229087153462</v>
      </c>
      <c r="R10" s="8">
        <f>E27/AVERAGE(E24:E30)</f>
        <v>1.020412400643552</v>
      </c>
      <c r="S10" s="8">
        <f>E28/AVERAGE(E25:E31)</f>
        <v>1.0406129665901487</v>
      </c>
      <c r="T10" s="8">
        <v>1</v>
      </c>
      <c r="W10" s="8"/>
      <c r="AA10" s="8">
        <v>1</v>
      </c>
    </row>
    <row r="11" spans="1:27" x14ac:dyDescent="0.35">
      <c r="A11" t="s">
        <v>176</v>
      </c>
      <c r="B11" t="str">
        <f t="shared" si="0"/>
        <v>1991</v>
      </c>
      <c r="C11" t="str">
        <f t="shared" si="1"/>
        <v>Q3</v>
      </c>
      <c r="D11">
        <f>'ONS A2 AGG'!G238</f>
        <v>372878</v>
      </c>
      <c r="E11">
        <f>'ONS A2 AGG'!J238</f>
        <v>381218</v>
      </c>
      <c r="F11" s="8">
        <f t="shared" si="2"/>
        <v>0.97812275390983638</v>
      </c>
      <c r="H11">
        <v>1996</v>
      </c>
      <c r="I11" s="8">
        <f>INDEX($F29:$F$148,MATCH(I$4,$C29:$C$148,0))</f>
        <v>1.0293807556050787</v>
      </c>
      <c r="J11" s="8">
        <f>INDEX($F29:$F$148,MATCH(J$4,$C29:$C$148,0))</f>
        <v>1.0266061950309602</v>
      </c>
      <c r="K11" s="8">
        <f>INDEX($F29:$F$148,MATCH(K$4,$C29:$C$148,0))</f>
        <v>0.98254587950342465</v>
      </c>
      <c r="L11" s="8">
        <f>INDEX($F29:$F$148,MATCH(L$4,$C29:$C$148,0))</f>
        <v>0.96558396903836619</v>
      </c>
      <c r="M11" s="8">
        <v>1</v>
      </c>
      <c r="P11" s="8">
        <f>E29/AVERAGE(E26:E32)</f>
        <v>0.96786511264793462</v>
      </c>
      <c r="Q11" s="8">
        <f>E30/AVERAGE(E27:E33)</f>
        <v>0.96322092700954209</v>
      </c>
      <c r="R11" s="8">
        <f>E31/AVERAGE(E28:E34)</f>
        <v>1.0089806744335712</v>
      </c>
      <c r="S11" s="8">
        <f>E32/AVERAGE(E29:E35)</f>
        <v>1.0344716866847501</v>
      </c>
      <c r="T11" s="8">
        <v>1</v>
      </c>
      <c r="W11" s="8"/>
      <c r="AA11" s="8">
        <v>1</v>
      </c>
    </row>
    <row r="12" spans="1:27" x14ac:dyDescent="0.35">
      <c r="A12" t="s">
        <v>177</v>
      </c>
      <c r="B12" t="str">
        <f t="shared" si="0"/>
        <v>1991</v>
      </c>
      <c r="C12" t="str">
        <f t="shared" si="1"/>
        <v>Q4</v>
      </c>
      <c r="D12">
        <f>'ONS A2 AGG'!G239</f>
        <v>373357</v>
      </c>
      <c r="E12">
        <f>'ONS A2 AGG'!J239</f>
        <v>390983</v>
      </c>
      <c r="F12" s="8">
        <f t="shared" si="2"/>
        <v>0.95491875605844756</v>
      </c>
      <c r="H12">
        <v>1997</v>
      </c>
      <c r="I12" s="8">
        <f>INDEX($F33:$F$148,MATCH(I$4,$C33:$C$148,0))</f>
        <v>1.0134595187803122</v>
      </c>
      <c r="J12" s="8">
        <f>INDEX($F33:$F$148,MATCH(J$4,$C33:$C$148,0))</f>
        <v>1.0047065356981708</v>
      </c>
      <c r="K12" s="8">
        <f>INDEX($F33:$F$148,MATCH(K$4,$C33:$C$148,0))</f>
        <v>0.99356597427750448</v>
      </c>
      <c r="L12" s="8">
        <f>INDEX($F33:$F$148,MATCH(L$4,$C33:$C$148,0))</f>
        <v>0.9890975436098256</v>
      </c>
      <c r="M12" s="8">
        <v>1</v>
      </c>
      <c r="P12" s="8">
        <f>E33/AVERAGE(E30:E36)</f>
        <v>0.98505645964795741</v>
      </c>
      <c r="Q12" s="8">
        <f>E34/AVERAGE(E31:E37)</f>
        <v>0.99120964959503377</v>
      </c>
      <c r="R12" s="8">
        <f>E35/AVERAGE(E32:E38)</f>
        <v>1.0052805123591932</v>
      </c>
      <c r="S12" s="8">
        <f>E36/AVERAGE(E33:E39)</f>
        <v>1.0205635404674296</v>
      </c>
      <c r="T12" s="8">
        <v>1</v>
      </c>
      <c r="W12" s="8"/>
      <c r="AA12" s="8">
        <v>1</v>
      </c>
    </row>
    <row r="13" spans="1:27" x14ac:dyDescent="0.35">
      <c r="A13" t="s">
        <v>178</v>
      </c>
      <c r="B13" t="str">
        <f t="shared" si="0"/>
        <v>1992</v>
      </c>
      <c r="C13" t="str">
        <f t="shared" si="1"/>
        <v>Q1</v>
      </c>
      <c r="D13">
        <f>'ONS A2 AGG'!G240</f>
        <v>373317</v>
      </c>
      <c r="E13">
        <f>'ONS A2 AGG'!J240</f>
        <v>362126</v>
      </c>
      <c r="F13" s="8">
        <f t="shared" si="2"/>
        <v>1.0309036081363945</v>
      </c>
      <c r="H13">
        <v>1998</v>
      </c>
      <c r="I13" s="8">
        <f>INDEX($F37:$F$148,MATCH(I$4,$C37:$C$148,0))</f>
        <v>1.0092787130632377</v>
      </c>
      <c r="J13" s="8">
        <f>INDEX($F37:$F$148,MATCH(J$4,$C37:$C$148,0))</f>
        <v>1.0169425687120306</v>
      </c>
      <c r="K13" s="8">
        <f>INDEX($F37:$F$148,MATCH(K$4,$C37:$C$148,0))</f>
        <v>1.0021308932864641</v>
      </c>
      <c r="L13" s="8">
        <f>INDEX($F37:$F$148,MATCH(L$4,$C37:$C$148,0))</f>
        <v>0.9730404660953369</v>
      </c>
      <c r="M13" s="8">
        <v>1</v>
      </c>
      <c r="P13" s="8">
        <f>E37/AVERAGE(E34:E40)</f>
        <v>0.99349989505638792</v>
      </c>
      <c r="Q13" s="8">
        <f>E38/AVERAGE(E35:E41)</f>
        <v>0.98403213383850419</v>
      </c>
      <c r="R13" s="8">
        <f>E39/AVERAGE(E36:E42)</f>
        <v>0.99739311254889884</v>
      </c>
      <c r="S13" s="8">
        <f>E40/AVERAGE(E37:E43)</f>
        <v>1.0276427768525966</v>
      </c>
      <c r="T13" s="8">
        <v>1</v>
      </c>
      <c r="W13" s="8"/>
      <c r="AA13" s="8">
        <v>1</v>
      </c>
    </row>
    <row r="14" spans="1:27" x14ac:dyDescent="0.35">
      <c r="A14" t="s">
        <v>179</v>
      </c>
      <c r="B14" t="str">
        <f t="shared" si="0"/>
        <v>1992</v>
      </c>
      <c r="C14" t="str">
        <f t="shared" si="1"/>
        <v>Q2</v>
      </c>
      <c r="D14">
        <f>'ONS A2 AGG'!G241</f>
        <v>372751</v>
      </c>
      <c r="E14">
        <f>'ONS A2 AGG'!J241</f>
        <v>366762</v>
      </c>
      <c r="F14" s="8">
        <f t="shared" si="2"/>
        <v>1.0163293907220485</v>
      </c>
      <c r="H14">
        <v>1999</v>
      </c>
      <c r="I14" s="8">
        <f>INDEX($F41:$F$148,MATCH(I$4,$C41:$C$148,0))</f>
        <v>1.0011850962644275</v>
      </c>
      <c r="J14" s="8">
        <f>INDEX($F41:$F$148,MATCH(J$4,$C41:$C$148,0))</f>
        <v>1.0201104372791421</v>
      </c>
      <c r="K14" s="8">
        <f>INDEX($F41:$F$148,MATCH(K$4,$C41:$C$148,0))</f>
        <v>0.99519247183339021</v>
      </c>
      <c r="L14" s="8">
        <f>INDEX($F41:$F$148,MATCH(L$4,$C41:$C$148,0))</f>
        <v>0.98476589855430852</v>
      </c>
      <c r="M14" s="8">
        <v>1</v>
      </c>
      <c r="P14" s="8">
        <f>E41/AVERAGE(E38:E44)</f>
        <v>0.99382281986313914</v>
      </c>
      <c r="Q14" s="8">
        <f>E42/AVERAGE(E39:E45)</f>
        <v>0.96969567207777607</v>
      </c>
      <c r="R14" s="8">
        <f>E43/AVERAGE(E40:E46)</f>
        <v>1.0020165687298059</v>
      </c>
      <c r="S14" s="8">
        <f>E44/AVERAGE(E41:E47)</f>
        <v>1.0218235846020329</v>
      </c>
      <c r="T14" s="8">
        <v>1</v>
      </c>
      <c r="W14" s="8"/>
      <c r="AA14" s="8">
        <v>1</v>
      </c>
    </row>
    <row r="15" spans="1:27" x14ac:dyDescent="0.35">
      <c r="A15" t="s">
        <v>180</v>
      </c>
      <c r="B15" t="str">
        <f t="shared" si="0"/>
        <v>1992</v>
      </c>
      <c r="C15" t="str">
        <f t="shared" si="1"/>
        <v>Q3</v>
      </c>
      <c r="D15">
        <f>'ONS A2 AGG'!G242</f>
        <v>374537</v>
      </c>
      <c r="E15">
        <f>'ONS A2 AGG'!J242</f>
        <v>380547</v>
      </c>
      <c r="F15" s="8">
        <f t="shared" si="2"/>
        <v>0.98420694421451227</v>
      </c>
      <c r="H15">
        <v>2000</v>
      </c>
      <c r="I15" s="8">
        <f>INDEX($F45:$F$148,MATCH(I$4,$C45:$C$148,0))</f>
        <v>1.0142931069078773</v>
      </c>
      <c r="J15" s="8">
        <f>INDEX($F45:$F$148,MATCH(J$4,$C45:$C$148,0))</f>
        <v>1.0121074900708538</v>
      </c>
      <c r="K15" s="8">
        <f>INDEX($F45:$F$148,MATCH(K$4,$C45:$C$148,0))</f>
        <v>0.99461219450877159</v>
      </c>
      <c r="L15" s="8">
        <f>INDEX($F45:$F$148,MATCH(L$4,$C45:$C$148,0))</f>
        <v>0.98014308512022874</v>
      </c>
      <c r="M15" s="8">
        <v>1</v>
      </c>
      <c r="P15" s="8">
        <f>E45/AVERAGE(E42:E48)</f>
        <v>0.99238756749812929</v>
      </c>
      <c r="Q15" s="8">
        <f>E46/AVERAGE(E43:E49)</f>
        <v>0.98894546938075645</v>
      </c>
      <c r="R15" s="8">
        <f>E47/AVERAGE(E44:E50)</f>
        <v>1.0075484398429826</v>
      </c>
      <c r="S15" s="8">
        <f>E48/AVERAGE(E45:E51)</f>
        <v>1.0223211217818531</v>
      </c>
      <c r="T15" s="8">
        <v>1</v>
      </c>
      <c r="W15" s="8"/>
      <c r="AA15" s="8">
        <v>1</v>
      </c>
    </row>
    <row r="16" spans="1:27" x14ac:dyDescent="0.35">
      <c r="A16" t="s">
        <v>181</v>
      </c>
      <c r="B16" t="str">
        <f t="shared" si="0"/>
        <v>1992</v>
      </c>
      <c r="C16" t="str">
        <f t="shared" si="1"/>
        <v>Q4</v>
      </c>
      <c r="D16">
        <f>'ONS A2 AGG'!G243</f>
        <v>377418</v>
      </c>
      <c r="E16">
        <f>'ONS A2 AGG'!J243</f>
        <v>388588</v>
      </c>
      <c r="F16" s="8">
        <f t="shared" si="2"/>
        <v>0.97125490236445799</v>
      </c>
      <c r="H16">
        <v>2001</v>
      </c>
      <c r="I16" s="8">
        <f>INDEX($F49:$F$148,MATCH(I$4,$C49:$C$148,0))</f>
        <v>1.0017251002080267</v>
      </c>
      <c r="J16" s="8">
        <f>INDEX($F49:$F$148,MATCH(J$4,$C49:$C$148,0))</f>
        <v>1.0215270076964618</v>
      </c>
      <c r="K16" s="8">
        <f>INDEX($F49:$F$148,MATCH(K$4,$C49:$C$148,0))</f>
        <v>0.99242039219437916</v>
      </c>
      <c r="L16" s="8">
        <f>INDEX($F49:$F$148,MATCH(L$4,$C49:$C$148,0))</f>
        <v>0.98521811713029017</v>
      </c>
      <c r="M16" s="8">
        <v>1</v>
      </c>
      <c r="P16" s="8">
        <f>E49/AVERAGE(E46:E52)</f>
        <v>0.99887632477110178</v>
      </c>
      <c r="Q16" s="8">
        <f>E50/AVERAGE(E47:E53)</f>
        <v>0.97737459935655302</v>
      </c>
      <c r="R16" s="8">
        <f>E51/AVERAGE(E48:E54)</f>
        <v>1.0097084392124349</v>
      </c>
      <c r="S16" s="8">
        <f>E52/AVERAGE(E49:E55)</f>
        <v>1.0157177302491145</v>
      </c>
      <c r="T16" s="8">
        <v>1</v>
      </c>
      <c r="W16" s="8"/>
      <c r="AA16" s="8">
        <v>1</v>
      </c>
    </row>
    <row r="17" spans="1:27" x14ac:dyDescent="0.35">
      <c r="A17" t="s">
        <v>182</v>
      </c>
      <c r="B17" t="str">
        <f t="shared" si="0"/>
        <v>1993</v>
      </c>
      <c r="C17" t="str">
        <f t="shared" si="1"/>
        <v>Q1</v>
      </c>
      <c r="D17">
        <f>'ONS A2 AGG'!G244</f>
        <v>379370</v>
      </c>
      <c r="E17">
        <f>'ONS A2 AGG'!J244</f>
        <v>368075</v>
      </c>
      <c r="F17" s="8">
        <f t="shared" si="2"/>
        <v>1.030686680703661</v>
      </c>
      <c r="H17">
        <v>2002</v>
      </c>
      <c r="I17" s="8">
        <f>INDEX($F53:$F$148,MATCH(I$4,$C53:$C$148,0))</f>
        <v>1.0022815788525661</v>
      </c>
      <c r="J17" s="8">
        <f>INDEX($F53:$F$148,MATCH(J$4,$C53:$C$148,0))</f>
        <v>1.0212720637309893</v>
      </c>
      <c r="K17" s="8">
        <f>INDEX($F53:$F$148,MATCH(K$4,$C53:$C$148,0))</f>
        <v>0.98615565876980305</v>
      </c>
      <c r="L17" s="8">
        <f>INDEX($F53:$F$148,MATCH(L$4,$C53:$C$148,0))</f>
        <v>0.99121624906416206</v>
      </c>
      <c r="M17" s="8">
        <v>1</v>
      </c>
      <c r="P17" s="8">
        <f>E53/AVERAGE(E50:E56)</f>
        <v>0.99532414401898228</v>
      </c>
      <c r="Q17" s="8">
        <f>E54/AVERAGE(E51:E57)</f>
        <v>0.97366257257401878</v>
      </c>
      <c r="R17" s="8">
        <f>E55/AVERAGE(E52:E58)</f>
        <v>1.0125698481398056</v>
      </c>
      <c r="S17" s="8">
        <f>E56/AVERAGE(E53:E59)</f>
        <v>1.0082404978413542</v>
      </c>
      <c r="T17" s="8">
        <v>1</v>
      </c>
      <c r="W17" s="8"/>
      <c r="AA17" s="8">
        <v>1</v>
      </c>
    </row>
    <row r="18" spans="1:27" x14ac:dyDescent="0.35">
      <c r="A18" t="s">
        <v>183</v>
      </c>
      <c r="B18" t="str">
        <f t="shared" si="0"/>
        <v>1993</v>
      </c>
      <c r="C18" t="str">
        <f t="shared" si="1"/>
        <v>Q2</v>
      </c>
      <c r="D18">
        <f>'ONS A2 AGG'!G245</f>
        <v>381045</v>
      </c>
      <c r="E18">
        <f>'ONS A2 AGG'!J245</f>
        <v>372994</v>
      </c>
      <c r="F18" s="8">
        <f t="shared" si="2"/>
        <v>1.0215847976106853</v>
      </c>
      <c r="H18">
        <v>2003</v>
      </c>
      <c r="I18" s="8">
        <f>INDEX($F57:$F$148,MATCH(I$4,$C57:$C$148,0))</f>
        <v>0.99789174109959489</v>
      </c>
      <c r="J18" s="8">
        <f>INDEX($F57:$F$148,MATCH(J$4,$C57:$C$148,0))</f>
        <v>1.0220343290315337</v>
      </c>
      <c r="K18" s="8">
        <f>INDEX($F57:$F$148,MATCH(K$4,$C57:$C$148,0))</f>
        <v>0.99429838454228703</v>
      </c>
      <c r="L18" s="8">
        <f>INDEX($F57:$F$148,MATCH(L$4,$C57:$C$148,0))</f>
        <v>0.98675228281718974</v>
      </c>
      <c r="M18" s="8">
        <v>1</v>
      </c>
      <c r="P18" s="8">
        <f>E57/AVERAGE(E54:E60)</f>
        <v>0.9999351091068267</v>
      </c>
      <c r="Q18" s="8">
        <f>E58/AVERAGE(E55:E61)</f>
        <v>0.97631930715852833</v>
      </c>
      <c r="R18" s="8">
        <f>E59/AVERAGE(E56:E62)</f>
        <v>1.0122325308137778</v>
      </c>
      <c r="S18" s="8">
        <f>E60/AVERAGE(E57:E63)</f>
        <v>1.0196112197494751</v>
      </c>
      <c r="T18" s="8">
        <v>1</v>
      </c>
      <c r="W18" s="8"/>
      <c r="AA18" s="8">
        <v>1</v>
      </c>
    </row>
    <row r="19" spans="1:27" x14ac:dyDescent="0.35">
      <c r="A19" t="s">
        <v>184</v>
      </c>
      <c r="B19" t="str">
        <f t="shared" si="0"/>
        <v>1993</v>
      </c>
      <c r="C19" t="str">
        <f t="shared" si="1"/>
        <v>Q3</v>
      </c>
      <c r="D19">
        <f>'ONS A2 AGG'!G246</f>
        <v>384524</v>
      </c>
      <c r="E19">
        <f>'ONS A2 AGG'!J246</f>
        <v>391330</v>
      </c>
      <c r="F19" s="8">
        <f t="shared" si="2"/>
        <v>0.98260802902920807</v>
      </c>
      <c r="H19">
        <v>2004</v>
      </c>
      <c r="I19" s="8">
        <f>INDEX($F61:$F$148,MATCH(I$4,$C61:$C$148,0))</f>
        <v>1.0068332196679706</v>
      </c>
      <c r="J19" s="8">
        <f>INDEX($F61:$F$148,MATCH(J$4,$C61:$C$148,0))</f>
        <v>1.0242708549711113</v>
      </c>
      <c r="K19" s="8">
        <f>INDEX($F61:$F$148,MATCH(K$4,$C61:$C$148,0))</f>
        <v>0.98223169734339244</v>
      </c>
      <c r="L19" s="8">
        <f>INDEX($F61:$F$148,MATCH(L$4,$C61:$C$148,0))</f>
        <v>0.98795069870490249</v>
      </c>
      <c r="M19" s="8">
        <v>1</v>
      </c>
      <c r="P19" s="8">
        <f>E61/AVERAGE(E58:E64)</f>
        <v>0.99478202790891557</v>
      </c>
      <c r="Q19" s="8">
        <f>E62/AVERAGE(E59:E65)</f>
        <v>0.97390385682162828</v>
      </c>
      <c r="R19" s="8">
        <f>E63/AVERAGE(E60:E66)</f>
        <v>1.0176955563785177</v>
      </c>
      <c r="S19" s="8">
        <f>E64/AVERAGE(E61:E67)</f>
        <v>1.0109808861674534</v>
      </c>
      <c r="T19" s="8">
        <v>1</v>
      </c>
      <c r="W19" s="8"/>
      <c r="AA19" s="8">
        <v>1</v>
      </c>
    </row>
    <row r="20" spans="1:27" x14ac:dyDescent="0.35">
      <c r="A20" t="s">
        <v>185</v>
      </c>
      <c r="B20" t="str">
        <f t="shared" si="0"/>
        <v>1993</v>
      </c>
      <c r="C20" t="str">
        <f t="shared" si="1"/>
        <v>Q4</v>
      </c>
      <c r="D20">
        <f>'ONS A2 AGG'!G247</f>
        <v>387143</v>
      </c>
      <c r="E20">
        <f>'ONS A2 AGG'!J247</f>
        <v>399683</v>
      </c>
      <c r="F20" s="8">
        <f t="shared" si="2"/>
        <v>0.9686251354198202</v>
      </c>
      <c r="H20">
        <v>2005</v>
      </c>
      <c r="I20" s="8">
        <f>INDEX($F65:$F$148,MATCH(I$4,$C65:$C$148,0))</f>
        <v>1.0010046532281192</v>
      </c>
      <c r="J20" s="8">
        <f>INDEX($F65:$F$148,MATCH(J$4,$C65:$C$148,0))</f>
        <v>1.0238772691100735</v>
      </c>
      <c r="K20" s="8">
        <f>INDEX($F65:$F$148,MATCH(K$4,$C65:$C$148,0))</f>
        <v>0.99099459099459097</v>
      </c>
      <c r="L20" s="8">
        <f>INDEX($F65:$F$148,MATCH(L$4,$C65:$C$148,0))</f>
        <v>0.98536593142073747</v>
      </c>
      <c r="M20" s="8">
        <v>1</v>
      </c>
      <c r="P20" s="8">
        <f>E65/AVERAGE(E62:E68)</f>
        <v>0.99539608313202099</v>
      </c>
      <c r="Q20" s="8">
        <f>E66/AVERAGE(E63:E69)</f>
        <v>0.97165628227212431</v>
      </c>
      <c r="R20" s="8">
        <f>E67/AVERAGE(E64:E70)</f>
        <v>1.0122572911881034</v>
      </c>
      <c r="S20" s="8">
        <f>E68/AVERAGE(E65:E71)</f>
        <v>1.023028165295212</v>
      </c>
      <c r="T20" s="8">
        <v>1</v>
      </c>
      <c r="W20" s="8"/>
      <c r="AA20" s="8">
        <v>1</v>
      </c>
    </row>
    <row r="21" spans="1:27" x14ac:dyDescent="0.35">
      <c r="A21" t="s">
        <v>186</v>
      </c>
      <c r="B21" t="str">
        <f t="shared" si="0"/>
        <v>1994</v>
      </c>
      <c r="C21" t="str">
        <f t="shared" si="1"/>
        <v>Q1</v>
      </c>
      <c r="D21">
        <f>'ONS A2 AGG'!G248</f>
        <v>391026</v>
      </c>
      <c r="E21">
        <f>'ONS A2 AGG'!J248</f>
        <v>381322</v>
      </c>
      <c r="F21" s="8">
        <f t="shared" si="2"/>
        <v>1.0254483087784076</v>
      </c>
      <c r="H21">
        <v>2006</v>
      </c>
      <c r="I21" s="8">
        <f>INDEX($F69:$F$148,MATCH(I$4,$C69:$C$148,0))</f>
        <v>1.0014924248675294</v>
      </c>
      <c r="J21" s="8">
        <f>INDEX($F69:$F$148,MATCH(J$4,$C69:$C$148,0))</f>
        <v>1.0225350620504221</v>
      </c>
      <c r="K21" s="8">
        <f>INDEX($F69:$F$148,MATCH(K$4,$C69:$C$148,0))</f>
        <v>0.99288814590634522</v>
      </c>
      <c r="L21" s="8">
        <f>INDEX($F69:$F$148,MATCH(L$4,$C69:$C$148,0))</f>
        <v>0.9839932706331691</v>
      </c>
      <c r="M21" s="8">
        <v>1</v>
      </c>
      <c r="P21" s="8">
        <f>E69/AVERAGE(E66:E72)</f>
        <v>1.0020503858243233</v>
      </c>
      <c r="Q21" s="8">
        <f>E70/AVERAGE(E67:E73)</f>
        <v>0.97603991564534376</v>
      </c>
      <c r="R21" s="8">
        <f>E71/AVERAGE(E68:E74)</f>
        <v>1.0058946380525808</v>
      </c>
      <c r="S21" s="8">
        <f>E72/AVERAGE(E69:E75)</f>
        <v>1.0125730701240458</v>
      </c>
      <c r="T21" s="8">
        <v>1</v>
      </c>
      <c r="W21" s="8"/>
      <c r="AA21" s="8">
        <v>1</v>
      </c>
    </row>
    <row r="22" spans="1:27" x14ac:dyDescent="0.35">
      <c r="A22" t="s">
        <v>187</v>
      </c>
      <c r="B22" t="str">
        <f t="shared" si="0"/>
        <v>1994</v>
      </c>
      <c r="C22" t="str">
        <f t="shared" si="1"/>
        <v>Q2</v>
      </c>
      <c r="D22">
        <f>'ONS A2 AGG'!G249</f>
        <v>394588</v>
      </c>
      <c r="E22">
        <f>'ONS A2 AGG'!J249</f>
        <v>387086</v>
      </c>
      <c r="F22" s="8">
        <f t="shared" si="2"/>
        <v>1.0193807060963196</v>
      </c>
      <c r="H22">
        <v>2007</v>
      </c>
      <c r="I22" s="8">
        <f>INDEX($F73:$F$148,MATCH(I$4,$C73:$C$148,0))</f>
        <v>1.0073419644801922</v>
      </c>
      <c r="J22" s="8">
        <f>INDEX($F73:$F$148,MATCH(J$4,$C73:$C$148,0))</f>
        <v>1.02727624036583</v>
      </c>
      <c r="K22" s="8">
        <f>INDEX($F73:$F$148,MATCH(K$4,$C73:$C$148,0))</f>
        <v>0.98580326285138919</v>
      </c>
      <c r="L22" s="8">
        <f>INDEX($F73:$F$148,MATCH(L$4,$C73:$C$148,0))</f>
        <v>0.98145408690132974</v>
      </c>
      <c r="M22" s="8">
        <v>1</v>
      </c>
      <c r="P22" s="8">
        <f>E73/AVERAGE(E70:E76)</f>
        <v>0.99042223496718584</v>
      </c>
      <c r="Q22" s="8">
        <f>E74/AVERAGE(E71:E77)</f>
        <v>0.97171386486283096</v>
      </c>
      <c r="R22" s="8">
        <f>E75/AVERAGE(E72:E78)</f>
        <v>1.0200176212763901</v>
      </c>
      <c r="S22" s="8">
        <f>E76/AVERAGE(E73:E79)</f>
        <v>1.0311307346903844</v>
      </c>
      <c r="T22" s="8">
        <v>1</v>
      </c>
      <c r="W22" s="8"/>
      <c r="AA22" s="8">
        <v>1</v>
      </c>
    </row>
    <row r="23" spans="1:27" x14ac:dyDescent="0.35">
      <c r="A23" t="s">
        <v>188</v>
      </c>
      <c r="B23" t="str">
        <f t="shared" si="0"/>
        <v>1994</v>
      </c>
      <c r="C23" t="str">
        <f t="shared" si="1"/>
        <v>Q3</v>
      </c>
      <c r="D23">
        <f>'ONS A2 AGG'!G250</f>
        <v>398566</v>
      </c>
      <c r="E23">
        <f>'ONS A2 AGG'!J250</f>
        <v>404746</v>
      </c>
      <c r="F23" s="8">
        <f t="shared" si="2"/>
        <v>0.98473116473047295</v>
      </c>
      <c r="H23">
        <v>2008</v>
      </c>
      <c r="I23" s="8">
        <f>INDEX($F77:$F$148,MATCH(I$4,$C77:$C$148,0))</f>
        <v>1.0065537770000172</v>
      </c>
      <c r="J23" s="8">
        <f>INDEX($F77:$F$148,MATCH(J$4,$C77:$C$148,0))</f>
        <v>1.0182984181274048</v>
      </c>
      <c r="K23" s="8">
        <f>INDEX($F77:$F$148,MATCH(K$4,$C77:$C$148,0))</f>
        <v>0.98974321833253154</v>
      </c>
      <c r="L23" s="8">
        <f>INDEX($F77:$F$148,MATCH(L$4,$C77:$C$148,0))</f>
        <v>0.98534131686116866</v>
      </c>
      <c r="M23" s="8">
        <v>1</v>
      </c>
      <c r="P23" s="8">
        <f>E77/AVERAGE(E74:E80)</f>
        <v>1.007813594166864</v>
      </c>
      <c r="Q23" s="8">
        <f>E78/AVERAGE(E75:E81)</f>
        <v>0.9938543527435526</v>
      </c>
      <c r="R23" s="8">
        <f>E79/AVERAGE(E76:E82)</f>
        <v>1.0189182059305826</v>
      </c>
      <c r="S23" s="8">
        <f>E80/AVERAGE(E77:E83)</f>
        <v>1.0118848780784617</v>
      </c>
      <c r="T23" s="8">
        <v>1</v>
      </c>
      <c r="W23" s="8"/>
      <c r="AA23" s="8">
        <v>1</v>
      </c>
    </row>
    <row r="24" spans="1:27" x14ac:dyDescent="0.35">
      <c r="A24" t="s">
        <v>189</v>
      </c>
      <c r="B24" t="str">
        <f t="shared" si="0"/>
        <v>1994</v>
      </c>
      <c r="C24" t="str">
        <f t="shared" si="1"/>
        <v>Q4</v>
      </c>
      <c r="D24">
        <f>'ONS A2 AGG'!G251</f>
        <v>400279</v>
      </c>
      <c r="E24">
        <f>'ONS A2 AGG'!J251</f>
        <v>411305</v>
      </c>
      <c r="F24" s="8">
        <f t="shared" si="2"/>
        <v>0.97319264292921315</v>
      </c>
      <c r="H24">
        <v>2009</v>
      </c>
      <c r="I24" s="8">
        <f>INDEX($F81:$F$148,MATCH(I$4,$C81:$C$148,0))</f>
        <v>1.0068961606494464</v>
      </c>
      <c r="J24" s="8">
        <f>INDEX($F81:$F$148,MATCH(J$4,$C81:$C$148,0))</f>
        <v>1.0244589411204748</v>
      </c>
      <c r="K24" s="8">
        <f>INDEX($F81:$F$148,MATCH(K$4,$C81:$C$148,0))</f>
        <v>0.98856620662857797</v>
      </c>
      <c r="L24" s="8">
        <f>INDEX($F81:$F$148,MATCH(L$4,$C81:$C$148,0))</f>
        <v>0.98128103365427399</v>
      </c>
      <c r="M24" s="8">
        <v>1</v>
      </c>
      <c r="P24" s="8">
        <f>E81/AVERAGE(E78:E84)</f>
        <v>0.97538003140165574</v>
      </c>
      <c r="Q24" s="8">
        <f>E82/AVERAGE(E79:E85)</f>
        <v>0.96100536584615859</v>
      </c>
      <c r="R24" s="8">
        <f>E83/AVERAGE(E80:E86)</f>
        <v>1.0050400877327561</v>
      </c>
      <c r="S24" s="8">
        <f>E84/AVERAGE(E81:E87)</f>
        <v>1.0155806209732892</v>
      </c>
      <c r="T24" s="8">
        <v>1</v>
      </c>
      <c r="W24" s="8"/>
      <c r="AA24" s="8">
        <v>1</v>
      </c>
    </row>
    <row r="25" spans="1:27" x14ac:dyDescent="0.35">
      <c r="A25" t="s">
        <v>190</v>
      </c>
      <c r="B25" t="str">
        <f t="shared" si="0"/>
        <v>1995</v>
      </c>
      <c r="C25" t="str">
        <f t="shared" si="1"/>
        <v>Q1</v>
      </c>
      <c r="D25">
        <f>'ONS A2 AGG'!G252</f>
        <v>402390</v>
      </c>
      <c r="E25">
        <f>'ONS A2 AGG'!J252</f>
        <v>392721</v>
      </c>
      <c r="F25" s="8">
        <f t="shared" si="2"/>
        <v>1.0246205321334994</v>
      </c>
      <c r="H25">
        <v>2010</v>
      </c>
      <c r="I25" s="8">
        <f>INDEX($F85:$F$148,MATCH(I$4,$C85:$C$148,0))</f>
        <v>1.0069672465159241</v>
      </c>
      <c r="J25" s="8">
        <f>INDEX($F85:$F$148,MATCH(J$4,$C85:$C$148,0))</f>
        <v>1.0239363300176436</v>
      </c>
      <c r="K25" s="8">
        <f>INDEX($F85:$F$148,MATCH(K$4,$C85:$C$148,0))</f>
        <v>0.99011909596291992</v>
      </c>
      <c r="L25" s="8">
        <f>INDEX($F85:$F$148,MATCH(L$4,$C85:$C$148,0))</f>
        <v>0.98034273757000345</v>
      </c>
      <c r="M25" s="8">
        <v>1</v>
      </c>
      <c r="P25" s="8">
        <f>E85/AVERAGE(E82:E88)</f>
        <v>0.99015883181759956</v>
      </c>
      <c r="Q25" s="8">
        <f>E86/AVERAGE(E83:E89)</f>
        <v>0.9784894894657955</v>
      </c>
      <c r="R25" s="8">
        <f>E87/AVERAGE(E84:E90)</f>
        <v>1.0179234313943093</v>
      </c>
      <c r="S25" s="8">
        <f>E88/AVERAGE(E85:E91)</f>
        <v>1.0260242784596272</v>
      </c>
      <c r="T25" s="8">
        <v>1</v>
      </c>
      <c r="W25" s="8">
        <f>$E85/(($E83/8)+($E84/4)+($E85/4)+($E86/4)+($E87/8))</f>
        <v>0.991812657509345</v>
      </c>
      <c r="X25" s="8">
        <f>$E86/(($E84/8)+($E85/4)+($E86/4)+($E87/4)+($E88/8))</f>
        <v>0.97973939210817673</v>
      </c>
      <c r="Y25" s="8">
        <f>$E87/(($E85/8)+($E86/4)+($E87/4)+($E88/4)+($E89/8))</f>
        <v>1.0136285781643346</v>
      </c>
      <c r="Z25" s="8">
        <f>$E88/(($E86/8)+($E87/4)+($E88/4)+($E89/4)+($E90/8))</f>
        <v>1.0207453582531658</v>
      </c>
      <c r="AA25" s="8">
        <v>1</v>
      </c>
    </row>
    <row r="26" spans="1:27" x14ac:dyDescent="0.35">
      <c r="A26" t="s">
        <v>191</v>
      </c>
      <c r="B26" t="str">
        <f t="shared" si="0"/>
        <v>1995</v>
      </c>
      <c r="C26" t="str">
        <f t="shared" si="1"/>
        <v>Q2</v>
      </c>
      <c r="D26">
        <f>'ONS A2 AGG'!G253</f>
        <v>403259</v>
      </c>
      <c r="E26">
        <f>'ONS A2 AGG'!J253</f>
        <v>392672</v>
      </c>
      <c r="F26" s="8">
        <f t="shared" si="2"/>
        <v>1.0269614334610055</v>
      </c>
      <c r="H26">
        <v>2011</v>
      </c>
      <c r="I26" s="8">
        <f>INDEX($F89:$F$148,MATCH(I$4,$C89:$C$148,0))</f>
        <v>1.0100762983368317</v>
      </c>
      <c r="J26" s="8">
        <f>INDEX($F89:$F$148,MATCH(J$4,$C89:$C$148,0))</f>
        <v>1.0197176254623006</v>
      </c>
      <c r="K26" s="8">
        <f>INDEX($F89:$F$148,MATCH(K$4,$C89:$C$148,0))</f>
        <v>0.99275008701644651</v>
      </c>
      <c r="L26" s="8">
        <f>INDEX($F89:$F$148,MATCH(L$4,$C89:$C$148,0))</f>
        <v>0.97852622295106817</v>
      </c>
      <c r="M26" s="8">
        <v>1</v>
      </c>
      <c r="P26" s="8">
        <f>E89/AVERAGE(E86:E92)</f>
        <v>0.99032145846147634</v>
      </c>
      <c r="Q26" s="8">
        <f>E90/AVERAGE(E87:E93)</f>
        <v>0.97578839861184941</v>
      </c>
      <c r="R26" s="8">
        <f>E91/AVERAGE(E88:E94)</f>
        <v>1.0062611651620543</v>
      </c>
      <c r="S26" s="8">
        <f>E92/AVERAGE(E89:E95)</f>
        <v>1.0209506150972361</v>
      </c>
      <c r="T26" s="8">
        <v>1</v>
      </c>
      <c r="W26" s="8">
        <f>$E89/(($E87/8)+($E88/4)+($E89/4)+($E90/4)+($E91/8))</f>
        <v>0.99081884481590132</v>
      </c>
      <c r="X26" s="8">
        <f>$E90/(($E88/8)+($E89/4)+($E90/4)+($E91/4)+($E92/8))</f>
        <v>0.9801889877470864</v>
      </c>
      <c r="Y26" s="8">
        <f>$E91/(($E89/8)+($E90/4)+($E91/4)+($E92/4)+($E93/8))</f>
        <v>1.0062754602312178</v>
      </c>
      <c r="Z26" s="8">
        <f>$E92/(($E90/8)+($E91/4)+($E92/4)+($E93/4)+($E94/8))</f>
        <v>1.0186233883648401</v>
      </c>
      <c r="AA26" s="8">
        <v>1</v>
      </c>
    </row>
    <row r="27" spans="1:27" x14ac:dyDescent="0.35">
      <c r="A27" t="s">
        <v>192</v>
      </c>
      <c r="B27" t="str">
        <f t="shared" si="0"/>
        <v>1995</v>
      </c>
      <c r="C27" t="str">
        <f t="shared" si="1"/>
        <v>Q3</v>
      </c>
      <c r="D27">
        <f>'ONS A2 AGG'!G254</f>
        <v>407795</v>
      </c>
      <c r="E27">
        <f>'ONS A2 AGG'!J254</f>
        <v>413523</v>
      </c>
      <c r="F27" s="8">
        <f t="shared" si="2"/>
        <v>0.98614829163069528</v>
      </c>
      <c r="H27">
        <v>2012</v>
      </c>
      <c r="I27" s="8">
        <f>INDEX($F93:$F$148,MATCH(I$4,$C93:$C$148,0))</f>
        <v>1.008984533089335</v>
      </c>
      <c r="J27" s="8">
        <f>INDEX($F93:$F$148,MATCH(J$4,$C93:$C$148,0))</f>
        <v>1.0188730230970531</v>
      </c>
      <c r="K27" s="8">
        <f>INDEX($F93:$F$148,MATCH(K$4,$C93:$C$148,0))</f>
        <v>0.99777373036290606</v>
      </c>
      <c r="L27" s="8">
        <f>INDEX($F93:$F$148,MATCH(L$4,$C93:$C$148,0))</f>
        <v>0.97565152831796442</v>
      </c>
      <c r="M27" s="8">
        <v>1</v>
      </c>
      <c r="P27" s="8">
        <f>E93/AVERAGE(E90:E96)</f>
        <v>0.99164392480778685</v>
      </c>
      <c r="Q27" s="8">
        <f>E94/AVERAGE(E91:E97)</f>
        <v>0.97718471515886718</v>
      </c>
      <c r="R27" s="8">
        <f>E95/AVERAGE(E92:E98)</f>
        <v>1.0072646315416769</v>
      </c>
      <c r="S27" s="8">
        <f>E96/AVERAGE(E93:E99)</f>
        <v>1.0263474828662318</v>
      </c>
      <c r="T27" s="8">
        <v>1</v>
      </c>
      <c r="W27" s="8">
        <f>$E93/(($E91/8)+($E92/4)+($E93/4)+($E94/4)+($E95/8))</f>
        <v>0.99382477217234677</v>
      </c>
      <c r="X27" s="8">
        <f>$E94/(($E92/8)+($E93/4)+($E94/4)+($E95/4)+($E96/8))</f>
        <v>0.97921929554462928</v>
      </c>
      <c r="Y27" s="8">
        <f>$E95/(($E93/8)+($E94/4)+($E95/4)+($E96/4)+($E97/8))</f>
        <v>1.0065275054280254</v>
      </c>
      <c r="Z27" s="8">
        <f>$E96/(($E94/8)+($E95/4)+($E96/4)+($E97/4)+($E98/8))</f>
        <v>1.0238726389475263</v>
      </c>
      <c r="AA27" s="8">
        <v>1</v>
      </c>
    </row>
    <row r="28" spans="1:27" x14ac:dyDescent="0.35">
      <c r="A28" t="s">
        <v>193</v>
      </c>
      <c r="B28" t="str">
        <f t="shared" si="0"/>
        <v>1995</v>
      </c>
      <c r="C28" t="str">
        <f t="shared" si="1"/>
        <v>Q4</v>
      </c>
      <c r="D28">
        <f>'ONS A2 AGG'!G255</f>
        <v>409132</v>
      </c>
      <c r="E28">
        <f>'ONS A2 AGG'!J255</f>
        <v>423660</v>
      </c>
      <c r="F28" s="8">
        <f t="shared" si="2"/>
        <v>0.96570835103620833</v>
      </c>
      <c r="H28">
        <v>2013</v>
      </c>
      <c r="I28" s="8">
        <f>INDEX($F97:$F$148,MATCH(I$4,$C97:$C$148,0))</f>
        <v>1.0111483770146696</v>
      </c>
      <c r="J28" s="8">
        <f>INDEX($F97:$F$148,MATCH(J$4,$C97:$C$148,0))</f>
        <v>1.0142085296361498</v>
      </c>
      <c r="K28" s="8">
        <f>INDEX($F97:$F$148,MATCH(K$4,$C97:$C$148,0))</f>
        <v>0.99768932440731684</v>
      </c>
      <c r="L28" s="8">
        <f>INDEX($F97:$F$148,MATCH(L$4,$C97:$C$148,0))</f>
        <v>0.97817767202062267</v>
      </c>
      <c r="M28" s="8">
        <v>1</v>
      </c>
      <c r="P28" s="8">
        <f>E97/AVERAGE(E94:E100)</f>
        <v>0.98397373977289782</v>
      </c>
      <c r="Q28" s="8">
        <f>E98/AVERAGE(E95:E101)</f>
        <v>0.98020250365142203</v>
      </c>
      <c r="R28" s="8">
        <f>E99/AVERAGE(E96:E102)</f>
        <v>0.99995710383513536</v>
      </c>
      <c r="S28" s="8">
        <f>E100/AVERAGE(E97:E103)</f>
        <v>1.0233971037909313</v>
      </c>
      <c r="T28" s="8">
        <v>1</v>
      </c>
      <c r="W28" s="8">
        <f>$E97/(($E95/8)+($E96/4)+($E97/4)+($E98/4)+($E99/8))</f>
        <v>0.98586029489045257</v>
      </c>
      <c r="X28" s="8">
        <f>$E98/(($E96/8)+($E97/4)+($E98/4)+($E99/4)+($E100/8))</f>
        <v>0.98484870202789621</v>
      </c>
      <c r="Y28" s="8">
        <f>$E99/(($E97/8)+($E98/4)+($E99/4)+($E100/4)+($E101/8))</f>
        <v>1.001935025880732</v>
      </c>
      <c r="Z28" s="8">
        <f>$E100/(($E98/8)+($E99/4)+($E100/4)+($E101/4)+($E102/8))</f>
        <v>1.0196837499275984</v>
      </c>
      <c r="AA28" s="8">
        <v>1</v>
      </c>
    </row>
    <row r="29" spans="1:27" x14ac:dyDescent="0.35">
      <c r="A29" t="s">
        <v>194</v>
      </c>
      <c r="B29" t="str">
        <f t="shared" si="0"/>
        <v>1996</v>
      </c>
      <c r="C29" t="str">
        <f t="shared" si="1"/>
        <v>Q1</v>
      </c>
      <c r="D29">
        <f>'ONS A2 AGG'!G256</f>
        <v>412022</v>
      </c>
      <c r="E29">
        <f>'ONS A2 AGG'!J256</f>
        <v>400262</v>
      </c>
      <c r="F29" s="8">
        <f t="shared" si="2"/>
        <v>1.0293807556050787</v>
      </c>
      <c r="H29">
        <v>2014</v>
      </c>
      <c r="I29" s="8">
        <f>INDEX($F101:$F$148,MATCH(I$4,$C101:$C$148,0))</f>
        <v>1.0062564714849929</v>
      </c>
      <c r="J29" s="8">
        <f>INDEX($F101:$F$148,MATCH(J$4,$C101:$C$148,0))</f>
        <v>1.0085093130261809</v>
      </c>
      <c r="K29" s="8">
        <f>INDEX($F101:$F$148,MATCH(K$4,$C101:$C$148,0))</f>
        <v>1.0025393156395757</v>
      </c>
      <c r="L29" s="8">
        <f>INDEX($F101:$F$148,MATCH(L$4,$C101:$C$148,0))</f>
        <v>0.98338025902984472</v>
      </c>
      <c r="M29" s="8">
        <v>1</v>
      </c>
      <c r="P29" s="8">
        <f>E101/AVERAGE(E98:E104)</f>
        <v>0.99126822761068401</v>
      </c>
      <c r="Q29" s="8">
        <f>E102/AVERAGE(E99:E105)</f>
        <v>0.99115061871698917</v>
      </c>
      <c r="R29" s="8">
        <f>E103/AVERAGE(E100:E106)</f>
        <v>1.0002382797616729</v>
      </c>
      <c r="S29" s="8">
        <f>E104/AVERAGE(E101:E107)</f>
        <v>1.0231270908279408</v>
      </c>
      <c r="T29" s="8">
        <v>1</v>
      </c>
      <c r="W29" s="8">
        <f>$E101/(($E99/8)+($E100/4)+($E101/4)+($E102/4)+($E103/8))</f>
        <v>0.99122979125386212</v>
      </c>
      <c r="X29" s="8">
        <f>$E102/(($E100/8)+($E101/4)+($E102/4)+($E103/4)+($E104/8))</f>
        <v>0.9915608381716422</v>
      </c>
      <c r="Y29" s="8">
        <f>$E103/(($E101/8)+($E102/4)+($E103/4)+($E104/4)+($E105/8))</f>
        <v>0.9995096721652007</v>
      </c>
      <c r="Z29" s="8">
        <f>$E104/(($E102/8)+($E103/4)+($E104/4)+($E105/4)+($E106/8))</f>
        <v>1.0202559503816315</v>
      </c>
      <c r="AA29" s="8">
        <v>1</v>
      </c>
    </row>
    <row r="30" spans="1:27" x14ac:dyDescent="0.35">
      <c r="A30" t="s">
        <v>195</v>
      </c>
      <c r="B30" t="str">
        <f t="shared" si="0"/>
        <v>1996</v>
      </c>
      <c r="C30" t="str">
        <f t="shared" si="1"/>
        <v>Q2</v>
      </c>
      <c r="D30">
        <f>'ONS A2 AGG'!G257</f>
        <v>413325</v>
      </c>
      <c r="E30">
        <f>'ONS A2 AGG'!J257</f>
        <v>402613</v>
      </c>
      <c r="F30" s="8">
        <f t="shared" si="2"/>
        <v>1.0266061950309602</v>
      </c>
      <c r="H30">
        <v>2015</v>
      </c>
      <c r="I30" s="8">
        <f>INDEX($F105:$F$148,MATCH(I$4,$C105:$C$148,0))</f>
        <v>1.0118685889236407</v>
      </c>
      <c r="J30" s="8">
        <f>INDEX($F105:$F$148,MATCH(J$4,$C105:$C$148,0))</f>
        <v>1.0092489565426863</v>
      </c>
      <c r="K30" s="8">
        <f>INDEX($F105:$F$148,MATCH(K$4,$C105:$C$148,0))</f>
        <v>0.99889489730138448</v>
      </c>
      <c r="L30" s="8">
        <f>INDEX($F105:$F$148,MATCH(L$4,$C105:$C$148,0))</f>
        <v>0.98083798151451074</v>
      </c>
      <c r="M30" s="8">
        <v>1</v>
      </c>
      <c r="P30" s="8">
        <f>E105/AVERAGE(E102:E108)</f>
        <v>0.98778657244968437</v>
      </c>
      <c r="Q30" s="8">
        <f>E106/AVERAGE(E103:E109)</f>
        <v>0.99003479570473651</v>
      </c>
      <c r="R30" s="8">
        <f>E107/AVERAGE(E104:E110)</f>
        <v>0.99981423508469269</v>
      </c>
      <c r="S30" s="8">
        <f>E108/AVERAGE(E105:E111)</f>
        <v>1.0224469995959813</v>
      </c>
      <c r="T30" s="8">
        <v>1</v>
      </c>
      <c r="W30" s="8">
        <f>$E105/(($E103/8)+($E104/4)+($E105/4)+($E106/4)+($E107/8))</f>
        <v>0.98920928645452588</v>
      </c>
      <c r="X30" s="8">
        <f>$E106/(($E104/8)+($E105/4)+($E106/4)+($E107/4)+($E108/8))</f>
        <v>0.99107819143914844</v>
      </c>
      <c r="Y30" s="8">
        <f>$E107/(($E105/8)+($E106/4)+($E107/4)+($E108/4)+($E109/8))</f>
        <v>1.0001799750943556</v>
      </c>
      <c r="Z30" s="8">
        <f>$E108/(($E106/8)+($E107/4)+($E108/4)+($E109/4)+($E110/8))</f>
        <v>1.0192235865798749</v>
      </c>
      <c r="AA30" s="8">
        <v>1</v>
      </c>
    </row>
    <row r="31" spans="1:27" x14ac:dyDescent="0.35">
      <c r="A31" t="s">
        <v>196</v>
      </c>
      <c r="B31" t="str">
        <f t="shared" si="0"/>
        <v>1996</v>
      </c>
      <c r="C31" t="str">
        <f t="shared" si="1"/>
        <v>Q3</v>
      </c>
      <c r="D31">
        <f>'ONS A2 AGG'!G258</f>
        <v>417019</v>
      </c>
      <c r="E31">
        <f>'ONS A2 AGG'!J258</f>
        <v>424427</v>
      </c>
      <c r="F31" s="8">
        <f t="shared" si="2"/>
        <v>0.98254587950342465</v>
      </c>
      <c r="H31">
        <v>2016</v>
      </c>
      <c r="I31" s="8">
        <f>INDEX($F109:$F$148,MATCH(I$4,$C109:$C$148,0))</f>
        <v>1.0111500050145097</v>
      </c>
      <c r="J31" s="8">
        <f>INDEX($F109:$F$148,MATCH(J$4,$C109:$C$148,0))</f>
        <v>1.0083283159539853</v>
      </c>
      <c r="K31" s="8">
        <f>INDEX($F109:$F$148,MATCH(K$4,$C109:$C$148,0))</f>
        <v>1.0047323422790859</v>
      </c>
      <c r="L31" s="8">
        <f>INDEX($F109:$F$148,MATCH(L$4,$C109:$C$148,0))</f>
        <v>0.97686291665707292</v>
      </c>
      <c r="M31" s="8">
        <v>1</v>
      </c>
      <c r="P31" s="8">
        <f>E109/AVERAGE(E106:E112)</f>
        <v>0.98643252437563855</v>
      </c>
      <c r="Q31" s="8">
        <f>E110/AVERAGE(E107:E113)</f>
        <v>0.99090038661569813</v>
      </c>
      <c r="R31" s="8">
        <f>E111/AVERAGE(E108:E114)</f>
        <v>0.99401356726243761</v>
      </c>
      <c r="S31" s="8">
        <f>E112/AVERAGE(E109:E115)</f>
        <v>1.0247734107743056</v>
      </c>
      <c r="T31" s="8">
        <v>1</v>
      </c>
      <c r="W31" s="8">
        <f>$E109/(($E107/8)+($E108/4)+($E109/4)+($E110/4)+($E111/8))</f>
        <v>0.9887169095619488</v>
      </c>
      <c r="X31" s="8">
        <f>$E110/(($E108/8)+($E109/4)+($E110/4)+($E111/4)+($E112/8))</f>
        <v>0.99323735423412873</v>
      </c>
      <c r="Y31" s="8">
        <f>$E111/(($E109/8)+($E110/4)+($E111/4)+($E112/4)+($E113/8))</f>
        <v>0.99446584711836017</v>
      </c>
      <c r="Z31" s="8">
        <f>$E112/(($E110/8)+($E111/4)+($E112/4)+($E113/4)+($E114/8))</f>
        <v>1.0225982415152848</v>
      </c>
      <c r="AA31" s="8">
        <v>1</v>
      </c>
    </row>
    <row r="32" spans="1:27" x14ac:dyDescent="0.35">
      <c r="A32" t="s">
        <v>197</v>
      </c>
      <c r="B32" t="str">
        <f t="shared" si="0"/>
        <v>1996</v>
      </c>
      <c r="C32" t="str">
        <f t="shared" si="1"/>
        <v>Q4</v>
      </c>
      <c r="D32">
        <f>'ONS A2 AGG'!G259</f>
        <v>422639</v>
      </c>
      <c r="E32">
        <f>'ONS A2 AGG'!J259</f>
        <v>437703</v>
      </c>
      <c r="F32" s="8">
        <f>D32/E32</f>
        <v>0.96558396903836619</v>
      </c>
      <c r="H32">
        <v>2017</v>
      </c>
      <c r="I32" s="8">
        <f>INDEX($F113:$F$148,MATCH(I$4,$C113:$C$148,0))</f>
        <v>1.0119360199091174</v>
      </c>
      <c r="J32" s="8">
        <f>INDEX($F113:$F$148,MATCH(J$4,$C113:$C$148,0))</f>
        <v>1.011851238765997</v>
      </c>
      <c r="K32" s="8">
        <f>INDEX($F113:$F$148,MATCH(K$4,$C113:$C$148,0))</f>
        <v>1.0018752649330065</v>
      </c>
      <c r="L32" s="8">
        <f>INDEX($F113:$F$148,MATCH(L$4,$C113:$C$148,0))</f>
        <v>0.9756714909005616</v>
      </c>
      <c r="M32" s="8">
        <v>1</v>
      </c>
      <c r="P32" s="8">
        <f>E113/AVERAGE(E110:E116)</f>
        <v>0.98641081186659629</v>
      </c>
      <c r="Q32" s="8">
        <f>E114/AVERAGE(E111:E117)</f>
        <v>0.98925182297706993</v>
      </c>
      <c r="R32" s="8">
        <f>E115/AVERAGE(E112:E118)</f>
        <v>1.0010388695342394</v>
      </c>
      <c r="S32" s="8">
        <f>E116/AVERAGE(E113:E119)</f>
        <v>1.0338793297191815</v>
      </c>
      <c r="T32" s="8">
        <v>1</v>
      </c>
      <c r="W32" s="8">
        <f>$E113/(($E111/8)+($E112/4)+($E113/4)+($E114/4)+($E115/8))</f>
        <v>0.98929960483177304</v>
      </c>
      <c r="X32" s="8">
        <f>$E114/(($E112/8)+($E113/4)+($E114/4)+($E115/4)+($E116/8))</f>
        <v>0.98939042144365508</v>
      </c>
      <c r="Y32" s="8">
        <f>$E115/(($E113/8)+($E114/4)+($E115/4)+($E116/4)+($E117/8))</f>
        <v>0.99876593868042107</v>
      </c>
      <c r="Z32" s="8">
        <f>$E116/(($E114/8)+($E115/4)+($E116/4)+($E117/4)+($E118/8))</f>
        <v>1.0280911009107803</v>
      </c>
      <c r="AA32" s="8">
        <v>1</v>
      </c>
    </row>
    <row r="33" spans="1:27" x14ac:dyDescent="0.35">
      <c r="A33" t="s">
        <v>198</v>
      </c>
      <c r="B33" t="str">
        <f t="shared" si="0"/>
        <v>1997</v>
      </c>
      <c r="C33" t="str">
        <f t="shared" si="1"/>
        <v>Q1</v>
      </c>
      <c r="D33">
        <f>'ONS A2 AGG'!G260</f>
        <v>429418</v>
      </c>
      <c r="E33">
        <f>'ONS A2 AGG'!J260</f>
        <v>423715</v>
      </c>
      <c r="F33" s="8">
        <f t="shared" si="2"/>
        <v>1.0134595187803122</v>
      </c>
      <c r="H33">
        <v>2018</v>
      </c>
      <c r="I33" s="8">
        <f>INDEX($F117:$F$148,MATCH(I$4,$C117:$C$148,0))</f>
        <v>1.011499962322937</v>
      </c>
      <c r="J33" s="8">
        <f>INDEX($F117:$F$148,MATCH(J$4,$C117:$C$148,0))</f>
        <v>1.0120291032138509</v>
      </c>
      <c r="K33" s="8">
        <f>INDEX($F117:$F$148,MATCH(K$4,$C117:$C$148,0))</f>
        <v>1.0031067301361924</v>
      </c>
      <c r="L33" s="8">
        <f>INDEX($F117:$F$148,MATCH(L$4,$C117:$C$148,0))</f>
        <v>0.97444961669274044</v>
      </c>
      <c r="M33" s="8">
        <v>1</v>
      </c>
      <c r="P33" s="8">
        <f>E117/AVERAGE(E114:E120)</f>
        <v>0.98837661504360885</v>
      </c>
      <c r="Q33" s="8">
        <f>E118/AVERAGE(E115:E121)</f>
        <v>0.98661434855796637</v>
      </c>
      <c r="R33" s="8">
        <f>E119/AVERAGE(E116:E122)</f>
        <v>0.9960060453243923</v>
      </c>
      <c r="S33" s="8">
        <f>E120/AVERAGE(E117:E123)</f>
        <v>1.0283803286628088</v>
      </c>
      <c r="T33" s="8">
        <v>1</v>
      </c>
      <c r="W33" s="8">
        <f>$E117/(($E115/8)+($E116/4)+($E117/4)+($E118/4)+($E119/8))</f>
        <v>0.98885253579909171</v>
      </c>
      <c r="X33" s="8">
        <f>$E118/(($E116/8)+($E117/4)+($E118/4)+($E119/4)+($E120/8))</f>
        <v>0.98786172996415733</v>
      </c>
      <c r="Y33" s="8">
        <f>$E119/(($E117/8)+($E118/4)+($E119/4)+($E120/4)+($E121/8))</f>
        <v>0.99757572455872734</v>
      </c>
      <c r="Z33" s="8">
        <f>$E120/(($E118/8)+($E119/4)+($E120/4)+($E121/4)+($E122/8))</f>
        <v>1.0248539693085739</v>
      </c>
      <c r="AA33" s="8">
        <v>1</v>
      </c>
    </row>
    <row r="34" spans="1:27" x14ac:dyDescent="0.35">
      <c r="A34" t="s">
        <v>199</v>
      </c>
      <c r="B34" t="str">
        <f t="shared" si="0"/>
        <v>1997</v>
      </c>
      <c r="C34" t="str">
        <f t="shared" si="1"/>
        <v>Q2</v>
      </c>
      <c r="D34">
        <f>'ONS A2 AGG'!G261</f>
        <v>434199</v>
      </c>
      <c r="E34">
        <f>'ONS A2 AGG'!J261</f>
        <v>432165</v>
      </c>
      <c r="F34" s="8">
        <f t="shared" si="2"/>
        <v>1.0047065356981708</v>
      </c>
      <c r="H34">
        <v>2019</v>
      </c>
      <c r="I34" s="8">
        <f>INDEX($F121:$F$148,MATCH(I$4,$C121:$C$148,0))</f>
        <v>1.0141039102348213</v>
      </c>
      <c r="J34" s="8">
        <f>INDEX($F121:$F$148,MATCH(J$4,$C121:$C$148,0))</f>
        <v>1.0060070026384349</v>
      </c>
      <c r="K34" s="8">
        <f>INDEX($F121:$F$148,MATCH(K$4,$C121:$C$148,0))</f>
        <v>1.0072568482656268</v>
      </c>
      <c r="L34" s="8">
        <f>INDEX($F121:$F$148,MATCH(L$4,$C121:$C$148,0))</f>
        <v>0.97376335029877081</v>
      </c>
      <c r="M34" s="8">
        <v>1</v>
      </c>
      <c r="P34" s="8">
        <f>E121/AVERAGE(E118:E124)</f>
        <v>0.98497050603870873</v>
      </c>
      <c r="Q34" s="8">
        <f>E122/AVERAGE(E119:E125)</f>
        <v>0.99512522244349222</v>
      </c>
      <c r="R34" s="8">
        <f>E123/AVERAGE(E120:E126)</f>
        <v>1.0297861563949446</v>
      </c>
      <c r="S34" s="8">
        <f>E124/AVERAGE(E121:E127)</f>
        <v>1.0848045428441295</v>
      </c>
      <c r="T34" s="8">
        <v>1</v>
      </c>
      <c r="W34" s="8">
        <f>$E121/(($E119/8)+($E120/4)+($E121/4)+($E122/4)+($E123/8))</f>
        <v>0.98638276763971977</v>
      </c>
      <c r="X34" s="8">
        <f>$E122/(($E120/8)+($E121/4)+($E122/4)+($E123/4)+($E124/8))</f>
        <v>0.99351562716617248</v>
      </c>
      <c r="Y34" s="8">
        <f>$E123/(($E121/8)+($E122/4)+($E123/4)+($E124/4)+($E125/8))</f>
        <v>0.99703775176910225</v>
      </c>
      <c r="Z34" s="8">
        <f>$E124/(($E122/8)+($E123/4)+($E124/4)+($E125/4)+($E126/8))</f>
        <v>1.0605432347450321</v>
      </c>
      <c r="AA34" s="8">
        <v>1</v>
      </c>
    </row>
    <row r="35" spans="1:27" x14ac:dyDescent="0.35">
      <c r="A35" t="s">
        <v>200</v>
      </c>
      <c r="B35" t="str">
        <f t="shared" si="0"/>
        <v>1997</v>
      </c>
      <c r="C35" t="str">
        <f t="shared" si="1"/>
        <v>Q3</v>
      </c>
      <c r="D35">
        <f>'ONS A2 AGG'!G262</f>
        <v>438100</v>
      </c>
      <c r="E35">
        <f>'ONS A2 AGG'!J262</f>
        <v>440937</v>
      </c>
      <c r="F35" s="8">
        <f t="shared" si="2"/>
        <v>0.99356597427750448</v>
      </c>
      <c r="H35">
        <v>2020</v>
      </c>
      <c r="I35" s="8">
        <f>INDEX($F125:$F$148,MATCH(I$4,$C125:$C$148,0))</f>
        <v>1.0020865920328446</v>
      </c>
      <c r="J35" s="8">
        <f>INDEX($F125:$F$148,MATCH(J$4,$C125:$C$148,0))</f>
        <v>1.001727857629134</v>
      </c>
      <c r="K35" s="8">
        <f>INDEX($F125:$F$148,MATCH(K$4,$C125:$C$148,0))</f>
        <v>1.0217025588885507</v>
      </c>
      <c r="L35" s="8">
        <f>INDEX($F125:$F$148,MATCH(L$4,$C125:$C$148,0))</f>
        <v>0.97598835111186055</v>
      </c>
      <c r="M35" s="8">
        <v>1</v>
      </c>
      <c r="P35" s="8">
        <f>E125/AVERAGE(E122:E128)</f>
        <v>1.0302236357279864</v>
      </c>
      <c r="Q35" s="8">
        <f>E126/AVERAGE(E123:E129)</f>
        <v>0.83424791220042871</v>
      </c>
      <c r="R35" s="8">
        <f>E127/AVERAGE(E124:E130)</f>
        <v>0.96204260287305665</v>
      </c>
      <c r="S35" s="8">
        <f>E128/AVERAGE(E125:E131)</f>
        <v>1.027574680124087</v>
      </c>
      <c r="T35" s="8">
        <v>1</v>
      </c>
      <c r="W35" s="8">
        <f>$E125/(($E123/8)+($E124/4)+($E125/4)+($E126/4)+($E127/8))</f>
        <v>1.0443282959996181</v>
      </c>
      <c r="X35" s="8">
        <f>$E126/(($E124/8)+($E125/4)+($E126/4)+($E127/4)+($E128/8))</f>
        <v>0.85769786527471314</v>
      </c>
      <c r="Y35" s="8">
        <f>$E127/(($E125/8)+($E126/4)+($E127/4)+($E128/4)+($E129/8))</f>
        <v>1.0018611264977544</v>
      </c>
      <c r="Z35" s="8">
        <f>$E128/(($E126/8)+($E127/4)+($E128/4)+($E129/4)+($E130/8))</f>
        <v>1.0444666190712306</v>
      </c>
      <c r="AA35" s="8">
        <v>1</v>
      </c>
    </row>
    <row r="36" spans="1:27" x14ac:dyDescent="0.35">
      <c r="A36" t="s">
        <v>201</v>
      </c>
      <c r="B36" t="str">
        <f t="shared" si="0"/>
        <v>1997</v>
      </c>
      <c r="C36" t="str">
        <f t="shared" si="1"/>
        <v>Q4</v>
      </c>
      <c r="D36">
        <f>'ONS A2 AGG'!G263</f>
        <v>444540</v>
      </c>
      <c r="E36">
        <f>'ONS A2 AGG'!J263</f>
        <v>449440</v>
      </c>
      <c r="F36" s="8">
        <f t="shared" si="2"/>
        <v>0.9890975436098256</v>
      </c>
      <c r="H36">
        <v>2021</v>
      </c>
      <c r="I36" s="8">
        <f>INDEX($F129:$F$148,MATCH(I$4,$C129:$C$148,0))</f>
        <v>0.99424547760426218</v>
      </c>
      <c r="J36" s="8">
        <f>INDEX($F129:$F$148,MATCH(J$4,$C129:$C$148,0))</f>
        <v>1.0218767685618113</v>
      </c>
      <c r="K36" s="8">
        <f>INDEX($F129:$F$148,MATCH(K$4,$C129:$C$148,0))</f>
        <v>1.0093713558782995</v>
      </c>
      <c r="L36" s="8">
        <f>INDEX($F129:$F$148,MATCH(L$4,$C129:$C$148,0))</f>
        <v>0.97591694422217534</v>
      </c>
      <c r="M36" s="8">
        <v>1</v>
      </c>
      <c r="P36" s="8">
        <f>E129/AVERAGE(E126:E132)</f>
        <v>0.98835438060885794</v>
      </c>
      <c r="Q36" s="8">
        <f>E130/AVERAGE(E127:E133)</f>
        <v>0.99266227819801878</v>
      </c>
      <c r="R36" s="8">
        <f>E131/AVERAGE(E128:E134)</f>
        <v>1.0058369912000118</v>
      </c>
      <c r="S36" s="8">
        <f>E132/AVERAGE(E129:E135)</f>
        <v>1.0416957460834406</v>
      </c>
      <c r="T36" s="8">
        <v>1</v>
      </c>
      <c r="W36" s="8">
        <f>$E130/(($E128/8)+($E129/4)+($E130/4)+($E131/4)+($E132/8))</f>
        <v>0.99389922299689026</v>
      </c>
      <c r="X36" s="8">
        <f>$E131/(($E129/8)+($E130/4)+($E131/4)+($E132/4)+($E133/8))</f>
        <v>0.99960261742655043</v>
      </c>
      <c r="Y36" s="8">
        <f>$E132/(($E130/8)+($E131/4)+($E132/4)+($E133/4)+($E134/8))</f>
        <v>1.0300104956771348</v>
      </c>
      <c r="Z36" s="8">
        <f>$E133/(($E131/8)+($E132/4)+($E133/4)+($E134/4)+($E135/8))</f>
        <v>1.0007424074266489</v>
      </c>
      <c r="AA36" s="8">
        <v>1</v>
      </c>
    </row>
    <row r="37" spans="1:27" x14ac:dyDescent="0.35">
      <c r="A37" t="s">
        <v>202</v>
      </c>
      <c r="B37" t="str">
        <f t="shared" si="0"/>
        <v>1998</v>
      </c>
      <c r="C37" t="str">
        <f t="shared" si="1"/>
        <v>Q1</v>
      </c>
      <c r="D37">
        <f>'ONS A2 AGG'!G264</f>
        <v>447712</v>
      </c>
      <c r="E37">
        <f>'ONS A2 AGG'!J264</f>
        <v>443596</v>
      </c>
      <c r="F37" s="8">
        <f t="shared" si="2"/>
        <v>1.0092787130632377</v>
      </c>
      <c r="H37">
        <v>2022</v>
      </c>
      <c r="I37" s="8">
        <f>INDEX($F133:$F$148,MATCH(I$4,$C133:$C$148,0))</f>
        <v>1.0033930248934535</v>
      </c>
      <c r="J37" s="8">
        <f>INDEX($F133:$F$148,MATCH(J$4,$C133:$C$148,0))</f>
        <v>1.0239603147961658</v>
      </c>
      <c r="K37" s="8">
        <f>INDEX($F133:$F$148,MATCH(K$4,$C133:$C$148,0))</f>
        <v>0.99323414904244411</v>
      </c>
      <c r="L37" s="8">
        <f>INDEX($F133:$F$148,MATCH(L$4,$C133:$C$148,0))</f>
        <v>0.98051544117123723</v>
      </c>
      <c r="M37" s="8">
        <v>1</v>
      </c>
      <c r="P37" s="8">
        <f>E133/AVERAGE(E130:E136)</f>
        <v>1.0048008106722759</v>
      </c>
      <c r="Q37" s="8">
        <f>E134/AVERAGE(E131:E137)</f>
        <v>0.98171967730785226</v>
      </c>
      <c r="R37" s="8">
        <f>E135/AVERAGE(E132:E138)</f>
        <v>1.0089165399607556</v>
      </c>
      <c r="S37" s="8">
        <f>E136/AVERAGE(E133:E139)</f>
        <v>1.0255737802015512</v>
      </c>
      <c r="T37" s="8">
        <v>1</v>
      </c>
      <c r="W37" s="8">
        <f>$E134/(($E132/8)+($E133/4)+($E134/4)+($E135/4)+($E136/8))</f>
        <v>0.97863490814917697</v>
      </c>
      <c r="X37" s="8">
        <f>$E135/(($E133/8)+($E134/4)+($E135/4)+($E136/4)+($E137/8))</f>
        <v>1.0077497893415857</v>
      </c>
      <c r="Y37" s="8">
        <f>$E136/(($E134/8)+($E135/4)+($E136/4)+($E137/4)+($E138/8))</f>
        <v>1.0213181379721927</v>
      </c>
      <c r="Z37" s="8">
        <f>$E137/(($E135/8)+($E136/4)+($E137/4)+($E138/4)+($E139/8))</f>
        <v>0.99025763332970895</v>
      </c>
      <c r="AA37" s="8">
        <v>1</v>
      </c>
    </row>
    <row r="38" spans="1:27" x14ac:dyDescent="0.35">
      <c r="A38" t="s">
        <v>203</v>
      </c>
      <c r="B38" t="str">
        <f t="shared" si="0"/>
        <v>1998</v>
      </c>
      <c r="C38" t="str">
        <f t="shared" si="1"/>
        <v>Q2</v>
      </c>
      <c r="D38">
        <f>'ONS A2 AGG'!G265</f>
        <v>450292</v>
      </c>
      <c r="E38">
        <f>'ONS A2 AGG'!J265</f>
        <v>442790</v>
      </c>
      <c r="F38" s="8">
        <f t="shared" si="2"/>
        <v>1.0169425687120306</v>
      </c>
      <c r="H38">
        <v>2023</v>
      </c>
      <c r="I38" s="8">
        <f>INDEX($F137:$F$148,MATCH(I$4,$C137:$C$148,0))</f>
        <v>1.0106845377756921</v>
      </c>
      <c r="J38" s="8">
        <f>INDEX($F137:$F$148,MATCH(J$4,$C137:$C$148,0))</f>
        <v>1.0136756107493652</v>
      </c>
      <c r="K38" s="8">
        <f>INDEX($F137:$F$148,MATCH(K$4,$C137:$C$148,0))</f>
        <v>0.99962941109790238</v>
      </c>
      <c r="L38" s="8">
        <f>INDEX($F137:$F$148,MATCH(L$4,$C137:$C$148,0))</f>
        <v>0.97673232558503964</v>
      </c>
      <c r="M38" s="8">
        <v>1</v>
      </c>
      <c r="P38" s="8">
        <f>E137/AVERAGE(E134:E140)</f>
        <v>0.99102841745087311</v>
      </c>
      <c r="Q38" s="8">
        <f>E138/AVERAGE(E135:E141)</f>
        <v>0.98408885258600831</v>
      </c>
      <c r="R38" s="8">
        <f>E139/AVERAGE(E136:E142)</f>
        <v>0.99755966780996186</v>
      </c>
      <c r="S38" s="8">
        <f>E140/AVERAGE(E137:E143)</f>
        <v>1.0186634740966478</v>
      </c>
      <c r="T38" s="8">
        <v>1</v>
      </c>
      <c r="W38" s="8">
        <f>$E138/(($E136/8)+($E137/4)+($E138/4)+($E139/4)+($E140/8))</f>
        <v>0.98849019559401197</v>
      </c>
      <c r="X38" s="8">
        <f>$E139/(($E137/8)+($E138/4)+($E139/4)+($E140/4)+($E141/8))</f>
        <v>0.99826198476117523</v>
      </c>
      <c r="Y38" s="8">
        <f>$E140/(($E138/8)+($E139/4)+($E140/4)+($E141/4)+($E142/8))</f>
        <v>1.0162303684817895</v>
      </c>
      <c r="Z38" s="8">
        <f>$E141/(($E139/8)+($E140/4)+($E141/4)+($E142/4)+($E143/8))</f>
        <v>0.99965687397017045</v>
      </c>
      <c r="AA38" s="8">
        <v>1</v>
      </c>
    </row>
    <row r="39" spans="1:27" x14ac:dyDescent="0.35">
      <c r="A39" t="s">
        <v>204</v>
      </c>
      <c r="B39" t="str">
        <f t="shared" si="0"/>
        <v>1998</v>
      </c>
      <c r="C39" t="str">
        <f t="shared" si="1"/>
        <v>Q3</v>
      </c>
      <c r="D39">
        <f>'ONS A2 AGG'!G266</f>
        <v>451005</v>
      </c>
      <c r="E39">
        <f>'ONS A2 AGG'!J266</f>
        <v>450046</v>
      </c>
      <c r="F39" s="8">
        <f t="shared" si="2"/>
        <v>1.0021308932864641</v>
      </c>
      <c r="H39">
        <v>2024</v>
      </c>
      <c r="I39" s="8">
        <f>INDEX($F141:$F$148,MATCH(I$4,$C141:$C$148,0))</f>
        <v>0.99852007723346936</v>
      </c>
      <c r="J39" s="8">
        <f>INDEX($F141:$F$148,MATCH(J$4,$C141:$C$148,0))</f>
        <v>1.0195073946533224</v>
      </c>
      <c r="K39" s="8">
        <f>INDEX($F141:$F$148,MATCH(K$4,$C141:$C$148,0))</f>
        <v>0.99854965289123543</v>
      </c>
      <c r="L39" s="8">
        <f>INDEX($F141:$F$148,MATCH(L$4,$C141:$C$148,0))</f>
        <v>0.98414182124812943</v>
      </c>
      <c r="M39" s="8">
        <v>1</v>
      </c>
      <c r="P39" s="8">
        <f>E141/AVERAGE(E138:E144)</f>
        <v>0.99821872374225051</v>
      </c>
      <c r="Q39" s="8">
        <f>E142/AVERAGE(E139:E145)</f>
        <v>0.97805732309177806</v>
      </c>
      <c r="R39" s="8">
        <f>E143/AVERAGE(E140:E146)</f>
        <v>1.0004028772027418</v>
      </c>
      <c r="S39" s="8">
        <f>E144/AVERAGE(E141:E147)</f>
        <v>1.0177465053367847</v>
      </c>
      <c r="T39" s="8">
        <v>1</v>
      </c>
      <c r="W39" s="8">
        <f>$E142/(($E140/8)+($E141/4)+($E142/4)+($E143/4)+($E144/8))</f>
        <v>0.98188426667281081</v>
      </c>
      <c r="X39" s="8">
        <f>$E143/(($E141/8)+($E142/4)+($E143/4)+($E144/4)+($E145/8))</f>
        <v>1.000396422874962</v>
      </c>
      <c r="Y39" s="8">
        <f>$E144/(($E142/8)+($E143/4)+($E144/4)+($E145/4)+($E146/8))</f>
        <v>1.0139560825621141</v>
      </c>
      <c r="Z39" s="8">
        <f>$E145/(($E143/8)+($E144/4)+($E145/4)+($E146/4)+($E147/8))</f>
        <v>1.0077184887382296</v>
      </c>
      <c r="AA39" s="8">
        <v>1</v>
      </c>
    </row>
    <row r="40" spans="1:27" x14ac:dyDescent="0.35">
      <c r="A40" t="s">
        <v>205</v>
      </c>
      <c r="B40" t="str">
        <f t="shared" si="0"/>
        <v>1998</v>
      </c>
      <c r="C40" t="str">
        <f t="shared" si="1"/>
        <v>Q4</v>
      </c>
      <c r="D40">
        <f>'ONS A2 AGG'!G267</f>
        <v>453937</v>
      </c>
      <c r="E40">
        <f>'ONS A2 AGG'!J267</f>
        <v>466514</v>
      </c>
      <c r="F40" s="8">
        <f t="shared" si="2"/>
        <v>0.9730404660953369</v>
      </c>
      <c r="H40">
        <v>2025</v>
      </c>
      <c r="I40" s="8">
        <f>INDEX($F145:$F$148,MATCH(I$4,$C145:$C$148,0))</f>
        <v>0.99380965428409207</v>
      </c>
      <c r="J40" s="8">
        <f>INDEX($F145:$F$148,MATCH(J$4,$C145:$C$148,0))</f>
        <v>1.02118794416115</v>
      </c>
      <c r="K40" s="8">
        <f>INDEX($F145:$F$148,MATCH(K$4,$C145:$C$148,0))</f>
        <v>1.0004167924841256</v>
      </c>
      <c r="L40" s="8">
        <f>INDEX($F145:$F$148,MATCH(L$4,$C145:$C$148,0))</f>
        <v>0.98529042377422527</v>
      </c>
      <c r="M40" s="8">
        <v>1</v>
      </c>
      <c r="P40" s="8">
        <f>E145/AVERAGE(E142:E148)</f>
        <v>1.0093227005793926</v>
      </c>
      <c r="Q40" s="9"/>
      <c r="R40" s="8"/>
      <c r="T40" s="8">
        <v>1</v>
      </c>
      <c r="W40" s="8">
        <f>$E146/(($E144/8)+($E145/4)+($E146/4)+($E147/4)+($E148/8))</f>
        <v>0.98031958949320397</v>
      </c>
      <c r="X40" s="8"/>
      <c r="Y40" s="8"/>
      <c r="Z40" s="8"/>
      <c r="AA40" s="8">
        <v>1</v>
      </c>
    </row>
    <row r="41" spans="1:27" x14ac:dyDescent="0.35">
      <c r="A41" t="s">
        <v>206</v>
      </c>
      <c r="B41" t="str">
        <f t="shared" si="0"/>
        <v>1999</v>
      </c>
      <c r="C41" t="str">
        <f t="shared" si="1"/>
        <v>Q1</v>
      </c>
      <c r="D41">
        <f>'ONS A2 AGG'!G268</f>
        <v>457044</v>
      </c>
      <c r="E41">
        <f>'ONS A2 AGG'!J268</f>
        <v>456503</v>
      </c>
      <c r="F41" s="8">
        <f t="shared" si="2"/>
        <v>1.0011850962644275</v>
      </c>
      <c r="P41" s="8"/>
      <c r="Q41" s="9"/>
      <c r="R41" s="8"/>
      <c r="W41" s="8"/>
    </row>
    <row r="42" spans="1:27" x14ac:dyDescent="0.35">
      <c r="A42" t="s">
        <v>207</v>
      </c>
      <c r="B42" t="str">
        <f t="shared" si="0"/>
        <v>1999</v>
      </c>
      <c r="C42" t="str">
        <f t="shared" si="1"/>
        <v>Q2</v>
      </c>
      <c r="D42">
        <f>'ONS A2 AGG'!G269</f>
        <v>458710</v>
      </c>
      <c r="E42">
        <f>'ONS A2 AGG'!J269</f>
        <v>449667</v>
      </c>
      <c r="F42" s="8">
        <f t="shared" si="2"/>
        <v>1.0201104372791421</v>
      </c>
      <c r="P42" s="8"/>
      <c r="R42" s="8"/>
      <c r="X42" s="8"/>
    </row>
    <row r="43" spans="1:27" x14ac:dyDescent="0.35">
      <c r="A43" t="s">
        <v>208</v>
      </c>
      <c r="B43" t="str">
        <f t="shared" si="0"/>
        <v>1999</v>
      </c>
      <c r="C43" t="str">
        <f t="shared" si="1"/>
        <v>Q3</v>
      </c>
      <c r="D43">
        <f>'ONS A2 AGG'!G270</f>
        <v>466387</v>
      </c>
      <c r="E43">
        <f>'ONS A2 AGG'!J270</f>
        <v>468640</v>
      </c>
      <c r="F43" s="8">
        <f t="shared" si="2"/>
        <v>0.99519247183339021</v>
      </c>
      <c r="P43" s="8"/>
    </row>
    <row r="44" spans="1:27" x14ac:dyDescent="0.35">
      <c r="A44" t="s">
        <v>209</v>
      </c>
      <c r="B44" t="str">
        <f t="shared" si="0"/>
        <v>1999</v>
      </c>
      <c r="C44" t="str">
        <f t="shared" si="1"/>
        <v>Q4</v>
      </c>
      <c r="D44">
        <f>'ONS A2 AGG'!G271</f>
        <v>473892</v>
      </c>
      <c r="E44">
        <f>'ONS A2 AGG'!J271</f>
        <v>481223</v>
      </c>
      <c r="F44" s="8">
        <f t="shared" si="2"/>
        <v>0.98476589855430852</v>
      </c>
      <c r="T44" s="8"/>
      <c r="AA44" s="8"/>
    </row>
    <row r="45" spans="1:27" x14ac:dyDescent="0.35">
      <c r="A45" t="s">
        <v>210</v>
      </c>
      <c r="B45" t="str">
        <f t="shared" si="0"/>
        <v>2000</v>
      </c>
      <c r="C45" t="str">
        <f t="shared" si="1"/>
        <v>Q1</v>
      </c>
      <c r="D45">
        <f>'ONS A2 AGG'!G272</f>
        <v>480212</v>
      </c>
      <c r="E45">
        <f>'ONS A2 AGG'!J272</f>
        <v>473445</v>
      </c>
      <c r="F45" s="8">
        <f t="shared" si="2"/>
        <v>1.0142931069078773</v>
      </c>
    </row>
    <row r="46" spans="1:27" x14ac:dyDescent="0.35">
      <c r="A46" t="s">
        <v>211</v>
      </c>
      <c r="B46" t="str">
        <f t="shared" si="0"/>
        <v>2000</v>
      </c>
      <c r="C46" t="str">
        <f t="shared" si="1"/>
        <v>Q2</v>
      </c>
      <c r="D46">
        <f>'ONS A2 AGG'!G273</f>
        <v>483672</v>
      </c>
      <c r="E46">
        <f>'ONS A2 AGG'!J273</f>
        <v>477886</v>
      </c>
      <c r="F46" s="8">
        <f t="shared" si="2"/>
        <v>1.0121074900708538</v>
      </c>
    </row>
    <row r="47" spans="1:27" x14ac:dyDescent="0.35">
      <c r="A47" t="s">
        <v>212</v>
      </c>
      <c r="B47" t="str">
        <f t="shared" si="0"/>
        <v>2000</v>
      </c>
      <c r="C47" t="str">
        <f t="shared" si="1"/>
        <v>Q3</v>
      </c>
      <c r="D47">
        <f>'ONS A2 AGG'!G274</f>
        <v>486617</v>
      </c>
      <c r="E47">
        <f>'ONS A2 AGG'!J274</f>
        <v>489253</v>
      </c>
      <c r="F47" s="8">
        <f t="shared" si="2"/>
        <v>0.99461219450877159</v>
      </c>
    </row>
    <row r="48" spans="1:27" x14ac:dyDescent="0.35">
      <c r="A48" t="s">
        <v>213</v>
      </c>
      <c r="B48" t="str">
        <f t="shared" si="0"/>
        <v>2000</v>
      </c>
      <c r="C48" t="str">
        <f t="shared" si="1"/>
        <v>Q4</v>
      </c>
      <c r="D48">
        <f>'ONS A2 AGG'!G275</f>
        <v>489506</v>
      </c>
      <c r="E48">
        <f>'ONS A2 AGG'!J275</f>
        <v>499423</v>
      </c>
      <c r="F48" s="8">
        <f t="shared" si="2"/>
        <v>0.98014308512022874</v>
      </c>
    </row>
    <row r="49" spans="1:9" x14ac:dyDescent="0.35">
      <c r="A49" t="s">
        <v>214</v>
      </c>
      <c r="B49" t="str">
        <f t="shared" si="0"/>
        <v>2001</v>
      </c>
      <c r="C49" t="str">
        <f t="shared" si="1"/>
        <v>Q1</v>
      </c>
      <c r="D49">
        <f>'ONS A2 AGG'!G276</f>
        <v>493575</v>
      </c>
      <c r="E49">
        <f>'ONS A2 AGG'!J276</f>
        <v>492725</v>
      </c>
      <c r="F49" s="8">
        <f t="shared" si="2"/>
        <v>1.0017251002080267</v>
      </c>
    </row>
    <row r="50" spans="1:9" x14ac:dyDescent="0.35">
      <c r="A50" t="s">
        <v>215</v>
      </c>
      <c r="B50" t="str">
        <f t="shared" si="0"/>
        <v>2001</v>
      </c>
      <c r="C50" t="str">
        <f t="shared" si="1"/>
        <v>Q2</v>
      </c>
      <c r="D50">
        <f>'ONS A2 AGG'!G277</f>
        <v>495602</v>
      </c>
      <c r="E50">
        <f>'ONS A2 AGG'!J277</f>
        <v>485158</v>
      </c>
      <c r="F50" s="8">
        <f t="shared" si="2"/>
        <v>1.0215270076964618</v>
      </c>
    </row>
    <row r="51" spans="1:9" x14ac:dyDescent="0.35">
      <c r="A51" t="s">
        <v>216</v>
      </c>
      <c r="B51" t="str">
        <f t="shared" si="0"/>
        <v>2001</v>
      </c>
      <c r="C51" t="str">
        <f t="shared" si="1"/>
        <v>Q3</v>
      </c>
      <c r="D51">
        <f>'ONS A2 AGG'!G278</f>
        <v>497938</v>
      </c>
      <c r="E51">
        <f>'ONS A2 AGG'!J278</f>
        <v>501741</v>
      </c>
      <c r="F51" s="8">
        <f t="shared" si="2"/>
        <v>0.99242039219437916</v>
      </c>
    </row>
    <row r="52" spans="1:9" x14ac:dyDescent="0.35">
      <c r="A52" t="s">
        <v>217</v>
      </c>
      <c r="B52" t="str">
        <f t="shared" si="0"/>
        <v>2001</v>
      </c>
      <c r="C52" t="str">
        <f t="shared" si="1"/>
        <v>Q4</v>
      </c>
      <c r="D52">
        <f>'ONS A2 AGG'!G279</f>
        <v>499278</v>
      </c>
      <c r="E52">
        <f>'ONS A2 AGG'!J279</f>
        <v>506769</v>
      </c>
      <c r="F52" s="8">
        <f t="shared" si="2"/>
        <v>0.98521811713029017</v>
      </c>
    </row>
    <row r="53" spans="1:9" x14ac:dyDescent="0.35">
      <c r="A53" t="s">
        <v>218</v>
      </c>
      <c r="B53" t="str">
        <f t="shared" si="0"/>
        <v>2002</v>
      </c>
      <c r="C53" t="str">
        <f t="shared" si="1"/>
        <v>Q1</v>
      </c>
      <c r="D53">
        <f>'ONS A2 AGG'!G280</f>
        <v>500794</v>
      </c>
      <c r="E53">
        <f>'ONS A2 AGG'!J280</f>
        <v>499654</v>
      </c>
      <c r="F53" s="8">
        <f t="shared" si="2"/>
        <v>1.0022815788525661</v>
      </c>
    </row>
    <row r="54" spans="1:9" x14ac:dyDescent="0.35">
      <c r="A54" t="s">
        <v>219</v>
      </c>
      <c r="B54" t="str">
        <f t="shared" si="0"/>
        <v>2002</v>
      </c>
      <c r="C54" t="str">
        <f t="shared" si="1"/>
        <v>Q2</v>
      </c>
      <c r="D54">
        <f>'ONS A2 AGG'!G281</f>
        <v>503433</v>
      </c>
      <c r="E54">
        <f>'ONS A2 AGG'!J281</f>
        <v>492947</v>
      </c>
      <c r="F54" s="8">
        <f t="shared" si="2"/>
        <v>1.0212720637309893</v>
      </c>
    </row>
    <row r="55" spans="1:9" x14ac:dyDescent="0.35">
      <c r="A55" t="s">
        <v>220</v>
      </c>
      <c r="B55" t="str">
        <f t="shared" si="0"/>
        <v>2002</v>
      </c>
      <c r="C55" t="str">
        <f t="shared" si="1"/>
        <v>Q3</v>
      </c>
      <c r="D55">
        <f>'ONS A2 AGG'!G282</f>
        <v>506386</v>
      </c>
      <c r="E55">
        <f>'ONS A2 AGG'!J282</f>
        <v>513495</v>
      </c>
      <c r="F55" s="8">
        <f t="shared" si="2"/>
        <v>0.98615565876980305</v>
      </c>
    </row>
    <row r="56" spans="1:9" x14ac:dyDescent="0.35">
      <c r="A56" t="s">
        <v>221</v>
      </c>
      <c r="B56" t="str">
        <f t="shared" si="0"/>
        <v>2002</v>
      </c>
      <c r="C56" t="str">
        <f t="shared" si="1"/>
        <v>Q4</v>
      </c>
      <c r="D56">
        <f>'ONS A2 AGG'!G283</f>
        <v>509728</v>
      </c>
      <c r="E56">
        <f>'ONS A2 AGG'!J283</f>
        <v>514245</v>
      </c>
      <c r="F56" s="8">
        <f t="shared" si="2"/>
        <v>0.99121624906416206</v>
      </c>
      <c r="I56" s="8"/>
    </row>
    <row r="57" spans="1:9" x14ac:dyDescent="0.35">
      <c r="A57" t="s">
        <v>222</v>
      </c>
      <c r="B57" t="str">
        <f t="shared" si="0"/>
        <v>2003</v>
      </c>
      <c r="C57" t="str">
        <f t="shared" si="1"/>
        <v>Q1</v>
      </c>
      <c r="D57">
        <f>'ONS A2 AGG'!G284</f>
        <v>514031</v>
      </c>
      <c r="E57">
        <f>'ONS A2 AGG'!J284</f>
        <v>515117</v>
      </c>
      <c r="F57" s="8">
        <f t="shared" si="2"/>
        <v>0.99789174109959489</v>
      </c>
    </row>
    <row r="58" spans="1:9" x14ac:dyDescent="0.35">
      <c r="A58" t="s">
        <v>223</v>
      </c>
      <c r="B58" t="str">
        <f t="shared" si="0"/>
        <v>2003</v>
      </c>
      <c r="C58" t="str">
        <f t="shared" si="1"/>
        <v>Q2</v>
      </c>
      <c r="D58">
        <f>'ONS A2 AGG'!G285</f>
        <v>518802</v>
      </c>
      <c r="E58">
        <f>'ONS A2 AGG'!J285</f>
        <v>507617</v>
      </c>
      <c r="F58" s="8">
        <f t="shared" si="2"/>
        <v>1.0220343290315337</v>
      </c>
    </row>
    <row r="59" spans="1:9" x14ac:dyDescent="0.35">
      <c r="A59" t="s">
        <v>224</v>
      </c>
      <c r="B59" t="str">
        <f t="shared" si="0"/>
        <v>2003</v>
      </c>
      <c r="C59" t="str">
        <f t="shared" si="1"/>
        <v>Q3</v>
      </c>
      <c r="D59">
        <f>'ONS A2 AGG'!G286</f>
        <v>524213</v>
      </c>
      <c r="E59">
        <f>'ONS A2 AGG'!J286</f>
        <v>527219</v>
      </c>
      <c r="F59" s="8">
        <f t="shared" si="2"/>
        <v>0.99429838454228703</v>
      </c>
    </row>
    <row r="60" spans="1:9" x14ac:dyDescent="0.35">
      <c r="A60" t="s">
        <v>225</v>
      </c>
      <c r="B60" t="str">
        <f t="shared" si="0"/>
        <v>2003</v>
      </c>
      <c r="C60" t="str">
        <f t="shared" si="1"/>
        <v>Q4</v>
      </c>
      <c r="D60">
        <f>'ONS A2 AGG'!G287</f>
        <v>528320</v>
      </c>
      <c r="E60">
        <f>'ONS A2 AGG'!J287</f>
        <v>535413</v>
      </c>
      <c r="F60" s="8">
        <f t="shared" si="2"/>
        <v>0.98675228281718974</v>
      </c>
    </row>
    <row r="61" spans="1:9" x14ac:dyDescent="0.35">
      <c r="A61" t="s">
        <v>226</v>
      </c>
      <c r="B61" t="str">
        <f t="shared" si="0"/>
        <v>2004</v>
      </c>
      <c r="C61" t="str">
        <f t="shared" si="1"/>
        <v>Q1</v>
      </c>
      <c r="D61">
        <f>'ONS A2 AGG'!G288</f>
        <v>529996</v>
      </c>
      <c r="E61">
        <f>'ONS A2 AGG'!J288</f>
        <v>526399</v>
      </c>
      <c r="F61" s="8">
        <f t="shared" si="2"/>
        <v>1.0068332196679706</v>
      </c>
    </row>
    <row r="62" spans="1:9" x14ac:dyDescent="0.35">
      <c r="A62" t="s">
        <v>227</v>
      </c>
      <c r="B62" t="str">
        <f t="shared" si="0"/>
        <v>2004</v>
      </c>
      <c r="C62" t="str">
        <f t="shared" si="1"/>
        <v>Q2</v>
      </c>
      <c r="D62">
        <f>'ONS A2 AGG'!G289</f>
        <v>532543</v>
      </c>
      <c r="E62">
        <f>'ONS A2 AGG'!J289</f>
        <v>519924</v>
      </c>
      <c r="F62" s="8">
        <f t="shared" si="2"/>
        <v>1.0242708549711113</v>
      </c>
    </row>
    <row r="63" spans="1:9" x14ac:dyDescent="0.35">
      <c r="A63" t="s">
        <v>228</v>
      </c>
      <c r="B63" t="str">
        <f t="shared" si="0"/>
        <v>2004</v>
      </c>
      <c r="C63" t="str">
        <f t="shared" si="1"/>
        <v>Q3</v>
      </c>
      <c r="D63">
        <f>'ONS A2 AGG'!G290</f>
        <v>534447</v>
      </c>
      <c r="E63">
        <f>'ONS A2 AGG'!J290</f>
        <v>544115</v>
      </c>
      <c r="F63" s="8">
        <f t="shared" si="2"/>
        <v>0.98223169734339244</v>
      </c>
    </row>
    <row r="64" spans="1:9" x14ac:dyDescent="0.35">
      <c r="A64" t="s">
        <v>229</v>
      </c>
      <c r="B64" t="str">
        <f t="shared" si="0"/>
        <v>2004</v>
      </c>
      <c r="C64" t="str">
        <f t="shared" si="1"/>
        <v>Q4</v>
      </c>
      <c r="D64">
        <f>'ONS A2 AGG'!G291</f>
        <v>536886</v>
      </c>
      <c r="E64">
        <f>'ONS A2 AGG'!J291</f>
        <v>543434</v>
      </c>
      <c r="F64" s="8">
        <f t="shared" si="2"/>
        <v>0.98795069870490249</v>
      </c>
    </row>
    <row r="65" spans="1:10" x14ac:dyDescent="0.35">
      <c r="A65" t="s">
        <v>230</v>
      </c>
      <c r="B65" t="str">
        <f t="shared" si="0"/>
        <v>2005</v>
      </c>
      <c r="C65" t="str">
        <f t="shared" si="1"/>
        <v>Q1</v>
      </c>
      <c r="D65">
        <f>'ONS A2 AGG'!G292</f>
        <v>541028</v>
      </c>
      <c r="E65">
        <f>'ONS A2 AGG'!J292</f>
        <v>540485</v>
      </c>
      <c r="F65" s="8">
        <f t="shared" si="2"/>
        <v>1.0010046532281192</v>
      </c>
    </row>
    <row r="66" spans="1:10" x14ac:dyDescent="0.35">
      <c r="A66" t="s">
        <v>231</v>
      </c>
      <c r="B66" t="str">
        <f t="shared" si="0"/>
        <v>2005</v>
      </c>
      <c r="C66" t="str">
        <f t="shared" si="1"/>
        <v>Q2</v>
      </c>
      <c r="D66">
        <f>'ONS A2 AGG'!G293</f>
        <v>545530</v>
      </c>
      <c r="E66">
        <f>'ONS A2 AGG'!J293</f>
        <v>532808</v>
      </c>
      <c r="F66" s="8">
        <f t="shared" si="2"/>
        <v>1.0238772691100735</v>
      </c>
    </row>
    <row r="67" spans="1:10" x14ac:dyDescent="0.35">
      <c r="A67" t="s">
        <v>232</v>
      </c>
      <c r="B67" t="str">
        <f t="shared" si="0"/>
        <v>2005</v>
      </c>
      <c r="C67" t="str">
        <f t="shared" si="1"/>
        <v>Q3</v>
      </c>
      <c r="D67">
        <f>'ONS A2 AGG'!G294</f>
        <v>550552</v>
      </c>
      <c r="E67">
        <f>'ONS A2 AGG'!J294</f>
        <v>555555</v>
      </c>
      <c r="F67" s="8">
        <f t="shared" si="2"/>
        <v>0.99099459099459097</v>
      </c>
    </row>
    <row r="68" spans="1:10" x14ac:dyDescent="0.35">
      <c r="A68" t="s">
        <v>233</v>
      </c>
      <c r="B68" t="str">
        <f t="shared" si="0"/>
        <v>2005</v>
      </c>
      <c r="C68" t="str">
        <f t="shared" si="1"/>
        <v>Q4</v>
      </c>
      <c r="D68">
        <f>'ONS A2 AGG'!G295</f>
        <v>556311</v>
      </c>
      <c r="E68">
        <f>'ONS A2 AGG'!J295</f>
        <v>564573</v>
      </c>
      <c r="F68" s="8">
        <f t="shared" si="2"/>
        <v>0.98536593142073747</v>
      </c>
    </row>
    <row r="69" spans="1:10" x14ac:dyDescent="0.35">
      <c r="A69" t="s">
        <v>234</v>
      </c>
      <c r="B69" t="str">
        <f t="shared" si="0"/>
        <v>2006</v>
      </c>
      <c r="C69" t="str">
        <f t="shared" si="1"/>
        <v>Q1</v>
      </c>
      <c r="D69">
        <f>'ONS A2 AGG'!G296</f>
        <v>558314</v>
      </c>
      <c r="E69">
        <f>'ONS A2 AGG'!J296</f>
        <v>557482</v>
      </c>
      <c r="F69" s="8">
        <f t="shared" si="2"/>
        <v>1.0014924248675294</v>
      </c>
      <c r="I69" s="12" t="s">
        <v>675</v>
      </c>
      <c r="J69" t="s">
        <v>677</v>
      </c>
    </row>
    <row r="70" spans="1:10" x14ac:dyDescent="0.35">
      <c r="A70" t="s">
        <v>235</v>
      </c>
      <c r="B70" t="str">
        <f t="shared" ref="B70:B133" si="3">LEFT(A70,4)</f>
        <v>2006</v>
      </c>
      <c r="C70" t="str">
        <f t="shared" ref="C70:C133" si="4">RIGHT(A70,2)</f>
        <v>Q2</v>
      </c>
      <c r="D70">
        <f>'ONS A2 AGG'!G297</f>
        <v>559795</v>
      </c>
      <c r="E70">
        <f>'ONS A2 AGG'!J297</f>
        <v>547458</v>
      </c>
      <c r="F70" s="8">
        <f t="shared" ref="F70:F133" si="5">D70/E70</f>
        <v>1.0225350620504221</v>
      </c>
    </row>
    <row r="71" spans="1:10" x14ac:dyDescent="0.35">
      <c r="A71" t="s">
        <v>236</v>
      </c>
      <c r="B71" t="str">
        <f t="shared" si="3"/>
        <v>2006</v>
      </c>
      <c r="C71" t="str">
        <f t="shared" si="4"/>
        <v>Q3</v>
      </c>
      <c r="D71">
        <f>'ONS A2 AGG'!G298</f>
        <v>560675</v>
      </c>
      <c r="E71">
        <f>'ONS A2 AGG'!J298</f>
        <v>564691</v>
      </c>
      <c r="F71" s="8">
        <f t="shared" si="5"/>
        <v>0.99288814590634522</v>
      </c>
      <c r="I71" s="12" t="s">
        <v>676</v>
      </c>
      <c r="J71" t="s">
        <v>679</v>
      </c>
    </row>
    <row r="72" spans="1:10" x14ac:dyDescent="0.35">
      <c r="A72" t="s">
        <v>237</v>
      </c>
      <c r="B72" t="str">
        <f t="shared" si="3"/>
        <v>2006</v>
      </c>
      <c r="C72" t="str">
        <f t="shared" si="4"/>
        <v>Q4</v>
      </c>
      <c r="D72">
        <f>'ONS A2 AGG'!G299</f>
        <v>562669</v>
      </c>
      <c r="E72">
        <f>'ONS A2 AGG'!J299</f>
        <v>571822</v>
      </c>
      <c r="F72" s="8">
        <f t="shared" si="5"/>
        <v>0.9839932706331691</v>
      </c>
    </row>
    <row r="73" spans="1:10" x14ac:dyDescent="0.35">
      <c r="A73" t="s">
        <v>238</v>
      </c>
      <c r="B73" t="str">
        <f t="shared" si="3"/>
        <v>2007</v>
      </c>
      <c r="C73" t="str">
        <f t="shared" si="4"/>
        <v>Q1</v>
      </c>
      <c r="D73">
        <f>'ONS A2 AGG'!G300</f>
        <v>568845</v>
      </c>
      <c r="E73">
        <f>'ONS A2 AGG'!J300</f>
        <v>564699</v>
      </c>
      <c r="F73" s="8">
        <f t="shared" si="5"/>
        <v>1.0073419644801922</v>
      </c>
    </row>
    <row r="74" spans="1:10" x14ac:dyDescent="0.35">
      <c r="A74" t="s">
        <v>239</v>
      </c>
      <c r="B74" t="str">
        <f t="shared" si="3"/>
        <v>2007</v>
      </c>
      <c r="C74" t="str">
        <f t="shared" si="4"/>
        <v>Q2</v>
      </c>
      <c r="D74">
        <f>'ONS A2 AGG'!G301</f>
        <v>574194</v>
      </c>
      <c r="E74">
        <f>'ONS A2 AGG'!J301</f>
        <v>558948</v>
      </c>
      <c r="F74" s="8">
        <f t="shared" si="5"/>
        <v>1.02727624036583</v>
      </c>
    </row>
    <row r="75" spans="1:10" x14ac:dyDescent="0.35">
      <c r="A75" t="s">
        <v>240</v>
      </c>
      <c r="B75" t="str">
        <f t="shared" si="3"/>
        <v>2007</v>
      </c>
      <c r="C75" t="str">
        <f t="shared" si="4"/>
        <v>Q3</v>
      </c>
      <c r="D75">
        <f>'ONS A2 AGG'!G302</f>
        <v>579605</v>
      </c>
      <c r="E75">
        <f>'ONS A2 AGG'!J302</f>
        <v>587952</v>
      </c>
      <c r="F75" s="8">
        <f t="shared" si="5"/>
        <v>0.98580326285138919</v>
      </c>
    </row>
    <row r="76" spans="1:10" x14ac:dyDescent="0.35">
      <c r="A76" t="s">
        <v>241</v>
      </c>
      <c r="B76" t="str">
        <f t="shared" si="3"/>
        <v>2007</v>
      </c>
      <c r="C76" t="str">
        <f t="shared" si="4"/>
        <v>Q4</v>
      </c>
      <c r="D76">
        <f>'ONS A2 AGG'!G303</f>
        <v>584504</v>
      </c>
      <c r="E76">
        <f>'ONS A2 AGG'!J303</f>
        <v>595549</v>
      </c>
      <c r="F76" s="8">
        <f t="shared" si="5"/>
        <v>0.98145408690132974</v>
      </c>
    </row>
    <row r="77" spans="1:10" x14ac:dyDescent="0.35">
      <c r="A77" t="s">
        <v>242</v>
      </c>
      <c r="B77" t="str">
        <f t="shared" si="3"/>
        <v>2008</v>
      </c>
      <c r="C77" t="str">
        <f t="shared" si="4"/>
        <v>Q1</v>
      </c>
      <c r="D77">
        <f>'ONS A2 AGG'!G304</f>
        <v>586690</v>
      </c>
      <c r="E77">
        <f>'ONS A2 AGG'!J304</f>
        <v>582870</v>
      </c>
      <c r="F77" s="8">
        <f t="shared" si="5"/>
        <v>1.0065537770000172</v>
      </c>
    </row>
    <row r="78" spans="1:10" x14ac:dyDescent="0.35">
      <c r="A78" t="s">
        <v>243</v>
      </c>
      <c r="B78" t="str">
        <f t="shared" si="3"/>
        <v>2008</v>
      </c>
      <c r="C78" t="str">
        <f t="shared" si="4"/>
        <v>Q2</v>
      </c>
      <c r="D78">
        <f>'ONS A2 AGG'!G305</f>
        <v>583541</v>
      </c>
      <c r="E78">
        <f>'ONS A2 AGG'!J305</f>
        <v>573055</v>
      </c>
      <c r="F78" s="8">
        <f t="shared" si="5"/>
        <v>1.0182984181274048</v>
      </c>
    </row>
    <row r="79" spans="1:10" x14ac:dyDescent="0.35">
      <c r="A79" t="s">
        <v>244</v>
      </c>
      <c r="B79" t="str">
        <f t="shared" si="3"/>
        <v>2008</v>
      </c>
      <c r="C79" t="str">
        <f t="shared" si="4"/>
        <v>Q3</v>
      </c>
      <c r="D79">
        <f>'ONS A2 AGG'!G306</f>
        <v>573961</v>
      </c>
      <c r="E79">
        <f>'ONS A2 AGG'!J306</f>
        <v>579909</v>
      </c>
      <c r="F79" s="8">
        <f t="shared" si="5"/>
        <v>0.98974321833253154</v>
      </c>
    </row>
    <row r="80" spans="1:10" x14ac:dyDescent="0.35">
      <c r="A80" t="s">
        <v>245</v>
      </c>
      <c r="B80" t="str">
        <f t="shared" si="3"/>
        <v>2008</v>
      </c>
      <c r="C80" t="str">
        <f t="shared" si="4"/>
        <v>Q4</v>
      </c>
      <c r="D80">
        <f>'ONS A2 AGG'!G307</f>
        <v>561816</v>
      </c>
      <c r="E80">
        <f>'ONS A2 AGG'!J307</f>
        <v>570174</v>
      </c>
      <c r="F80" s="8">
        <f t="shared" si="5"/>
        <v>0.98534131686116866</v>
      </c>
    </row>
    <row r="81" spans="1:6" x14ac:dyDescent="0.35">
      <c r="A81" t="s">
        <v>246</v>
      </c>
      <c r="B81" t="str">
        <f t="shared" si="3"/>
        <v>2009</v>
      </c>
      <c r="C81" t="str">
        <f t="shared" si="4"/>
        <v>Q1</v>
      </c>
      <c r="D81">
        <f>'ONS A2 AGG'!G308</f>
        <v>550451</v>
      </c>
      <c r="E81">
        <f>'ONS A2 AGG'!J308</f>
        <v>546681</v>
      </c>
      <c r="F81" s="8">
        <f t="shared" si="5"/>
        <v>1.0068961606494464</v>
      </c>
    </row>
    <row r="82" spans="1:6" x14ac:dyDescent="0.35">
      <c r="A82" t="s">
        <v>247</v>
      </c>
      <c r="B82" t="str">
        <f t="shared" si="3"/>
        <v>2009</v>
      </c>
      <c r="C82" t="str">
        <f t="shared" si="4"/>
        <v>Q2</v>
      </c>
      <c r="D82">
        <f>'ONS A2 AGG'!G309</f>
        <v>548859</v>
      </c>
      <c r="E82">
        <f>'ONS A2 AGG'!J309</f>
        <v>535755</v>
      </c>
      <c r="F82" s="8">
        <f t="shared" si="5"/>
        <v>1.0244589411204748</v>
      </c>
    </row>
    <row r="83" spans="1:6" x14ac:dyDescent="0.35">
      <c r="A83" t="s">
        <v>248</v>
      </c>
      <c r="B83" t="str">
        <f t="shared" si="3"/>
        <v>2009</v>
      </c>
      <c r="C83" t="str">
        <f t="shared" si="4"/>
        <v>Q3</v>
      </c>
      <c r="D83">
        <f>'ONS A2 AGG'!G310</f>
        <v>549540</v>
      </c>
      <c r="E83">
        <f>'ONS A2 AGG'!J310</f>
        <v>555896</v>
      </c>
      <c r="F83" s="8">
        <f t="shared" si="5"/>
        <v>0.98856620662857797</v>
      </c>
    </row>
    <row r="84" spans="1:6" x14ac:dyDescent="0.35">
      <c r="A84" t="s">
        <v>249</v>
      </c>
      <c r="B84" t="str">
        <f t="shared" si="3"/>
        <v>2009</v>
      </c>
      <c r="C84" t="str">
        <f t="shared" si="4"/>
        <v>Q4</v>
      </c>
      <c r="D84">
        <f>'ONS A2 AGG'!G311</f>
        <v>551372</v>
      </c>
      <c r="E84">
        <f>'ONS A2 AGG'!J311</f>
        <v>561890</v>
      </c>
      <c r="F84" s="8">
        <f t="shared" si="5"/>
        <v>0.98128103365427399</v>
      </c>
    </row>
    <row r="85" spans="1:6" x14ac:dyDescent="0.35">
      <c r="A85" t="s">
        <v>250</v>
      </c>
      <c r="B85" t="str">
        <f t="shared" si="3"/>
        <v>2010</v>
      </c>
      <c r="C85" t="str">
        <f t="shared" si="4"/>
        <v>Q1</v>
      </c>
      <c r="D85">
        <f>'ONS A2 AGG'!G312</f>
        <v>556002</v>
      </c>
      <c r="E85">
        <f>'ONS A2 AGG'!J312</f>
        <v>552155</v>
      </c>
      <c r="F85" s="8">
        <f t="shared" si="5"/>
        <v>1.0069672465159241</v>
      </c>
    </row>
    <row r="86" spans="1:6" x14ac:dyDescent="0.35">
      <c r="A86" t="s">
        <v>251</v>
      </c>
      <c r="B86" t="str">
        <f t="shared" si="3"/>
        <v>2010</v>
      </c>
      <c r="C86" t="str">
        <f t="shared" si="4"/>
        <v>Q2</v>
      </c>
      <c r="D86">
        <f>'ONS A2 AGG'!G313</f>
        <v>562353</v>
      </c>
      <c r="E86">
        <f>'ONS A2 AGG'!J313</f>
        <v>549207</v>
      </c>
      <c r="F86" s="8">
        <f t="shared" si="5"/>
        <v>1.0239363300176436</v>
      </c>
    </row>
    <row r="87" spans="1:6" x14ac:dyDescent="0.35">
      <c r="A87" t="s">
        <v>252</v>
      </c>
      <c r="B87" t="str">
        <f t="shared" si="3"/>
        <v>2010</v>
      </c>
      <c r="C87" t="str">
        <f t="shared" si="4"/>
        <v>Q3</v>
      </c>
      <c r="D87">
        <f>'ONS A2 AGG'!G314</f>
        <v>565659</v>
      </c>
      <c r="E87">
        <f>'ONS A2 AGG'!J314</f>
        <v>571304</v>
      </c>
      <c r="F87" s="8">
        <f t="shared" si="5"/>
        <v>0.99011909596291992</v>
      </c>
    </row>
    <row r="88" spans="1:6" x14ac:dyDescent="0.35">
      <c r="A88" t="s">
        <v>253</v>
      </c>
      <c r="B88" t="str">
        <f t="shared" si="3"/>
        <v>2010</v>
      </c>
      <c r="C88" t="str">
        <f t="shared" si="4"/>
        <v>Q4</v>
      </c>
      <c r="D88">
        <f>'ONS A2 AGG'!G315</f>
        <v>565945</v>
      </c>
      <c r="E88">
        <f>'ONS A2 AGG'!J315</f>
        <v>577293</v>
      </c>
      <c r="F88" s="8">
        <f t="shared" si="5"/>
        <v>0.98034273757000345</v>
      </c>
    </row>
    <row r="89" spans="1:6" x14ac:dyDescent="0.35">
      <c r="A89" t="s">
        <v>254</v>
      </c>
      <c r="B89" t="str">
        <f t="shared" si="3"/>
        <v>2011</v>
      </c>
      <c r="C89" t="str">
        <f t="shared" si="4"/>
        <v>Q1</v>
      </c>
      <c r="D89">
        <f>'ONS A2 AGG'!G316</f>
        <v>566873</v>
      </c>
      <c r="E89">
        <f>'ONS A2 AGG'!J316</f>
        <v>561218</v>
      </c>
      <c r="F89" s="8">
        <f t="shared" si="5"/>
        <v>1.0100762983368317</v>
      </c>
    </row>
    <row r="90" spans="1:6" x14ac:dyDescent="0.35">
      <c r="A90" t="s">
        <v>255</v>
      </c>
      <c r="B90" t="str">
        <f t="shared" si="3"/>
        <v>2011</v>
      </c>
      <c r="C90" t="str">
        <f t="shared" si="4"/>
        <v>Q2</v>
      </c>
      <c r="D90">
        <f>'ONS A2 AGG'!G317</f>
        <v>566601</v>
      </c>
      <c r="E90">
        <f>'ONS A2 AGG'!J317</f>
        <v>555645</v>
      </c>
      <c r="F90" s="8">
        <f t="shared" si="5"/>
        <v>1.0197176254623006</v>
      </c>
    </row>
    <row r="91" spans="1:6" x14ac:dyDescent="0.35">
      <c r="A91" t="s">
        <v>256</v>
      </c>
      <c r="B91" t="str">
        <f t="shared" si="3"/>
        <v>2011</v>
      </c>
      <c r="C91" t="str">
        <f t="shared" si="4"/>
        <v>Q3</v>
      </c>
      <c r="D91">
        <f>'ONS A2 AGG'!G318</f>
        <v>567586</v>
      </c>
      <c r="E91">
        <f>'ONS A2 AGG'!J318</f>
        <v>571731</v>
      </c>
      <c r="F91" s="8">
        <f t="shared" si="5"/>
        <v>0.99275008701644651</v>
      </c>
    </row>
    <row r="92" spans="1:6" x14ac:dyDescent="0.35">
      <c r="A92" t="s">
        <v>257</v>
      </c>
      <c r="B92" t="str">
        <f t="shared" si="3"/>
        <v>2011</v>
      </c>
      <c r="C92" t="str">
        <f t="shared" si="4"/>
        <v>Q4</v>
      </c>
      <c r="D92">
        <f>'ONS A2 AGG'!G319</f>
        <v>568056</v>
      </c>
      <c r="E92">
        <f>'ONS A2 AGG'!J319</f>
        <v>580522</v>
      </c>
      <c r="F92" s="8">
        <f t="shared" si="5"/>
        <v>0.97852622295106817</v>
      </c>
    </row>
    <row r="93" spans="1:6" x14ac:dyDescent="0.35">
      <c r="A93" t="s">
        <v>258</v>
      </c>
      <c r="B93" t="str">
        <f t="shared" si="3"/>
        <v>2012</v>
      </c>
      <c r="C93" t="str">
        <f t="shared" si="4"/>
        <v>Q1</v>
      </c>
      <c r="D93">
        <f>'ONS A2 AGG'!G320</f>
        <v>573416</v>
      </c>
      <c r="E93">
        <f>'ONS A2 AGG'!J320</f>
        <v>568310</v>
      </c>
      <c r="F93" s="8">
        <f t="shared" si="5"/>
        <v>1.008984533089335</v>
      </c>
    </row>
    <row r="94" spans="1:6" x14ac:dyDescent="0.35">
      <c r="A94" t="s">
        <v>259</v>
      </c>
      <c r="B94" t="str">
        <f t="shared" si="3"/>
        <v>2012</v>
      </c>
      <c r="C94" t="str">
        <f t="shared" si="4"/>
        <v>Q2</v>
      </c>
      <c r="D94">
        <f>'ONS A2 AGG'!G321</f>
        <v>573112</v>
      </c>
      <c r="E94">
        <f>'ONS A2 AGG'!J321</f>
        <v>562496</v>
      </c>
      <c r="F94" s="8">
        <f t="shared" si="5"/>
        <v>1.0188730230970531</v>
      </c>
    </row>
    <row r="95" spans="1:6" x14ac:dyDescent="0.35">
      <c r="A95" t="s">
        <v>260</v>
      </c>
      <c r="B95" t="str">
        <f t="shared" si="3"/>
        <v>2012</v>
      </c>
      <c r="C95" t="str">
        <f t="shared" si="4"/>
        <v>Q3</v>
      </c>
      <c r="D95">
        <f>'ONS A2 AGG'!G322</f>
        <v>579051</v>
      </c>
      <c r="E95">
        <f>'ONS A2 AGG'!J322</f>
        <v>580343</v>
      </c>
      <c r="F95" s="8">
        <f t="shared" si="5"/>
        <v>0.99777373036290606</v>
      </c>
    </row>
    <row r="96" spans="1:6" x14ac:dyDescent="0.35">
      <c r="A96" t="s">
        <v>261</v>
      </c>
      <c r="B96" t="str">
        <f t="shared" si="3"/>
        <v>2012</v>
      </c>
      <c r="C96" t="str">
        <f t="shared" si="4"/>
        <v>Q4</v>
      </c>
      <c r="D96">
        <f>'ONS A2 AGG'!G323</f>
        <v>578215</v>
      </c>
      <c r="E96">
        <f>'ONS A2 AGG'!J323</f>
        <v>592645</v>
      </c>
      <c r="F96" s="8">
        <f t="shared" si="5"/>
        <v>0.97565152831796442</v>
      </c>
    </row>
    <row r="97" spans="1:6" x14ac:dyDescent="0.35">
      <c r="A97" t="s">
        <v>262</v>
      </c>
      <c r="B97" t="str">
        <f t="shared" si="3"/>
        <v>2013</v>
      </c>
      <c r="C97" t="str">
        <f t="shared" si="4"/>
        <v>Q1</v>
      </c>
      <c r="D97">
        <f>'ONS A2 AGG'!G324</f>
        <v>579749</v>
      </c>
      <c r="E97">
        <f>'ONS A2 AGG'!J324</f>
        <v>573357</v>
      </c>
      <c r="F97" s="8">
        <f t="shared" si="5"/>
        <v>1.0111483770146696</v>
      </c>
    </row>
    <row r="98" spans="1:6" x14ac:dyDescent="0.35">
      <c r="A98" t="s">
        <v>263</v>
      </c>
      <c r="B98" t="str">
        <f t="shared" si="3"/>
        <v>2013</v>
      </c>
      <c r="C98" t="str">
        <f t="shared" si="4"/>
        <v>Q2</v>
      </c>
      <c r="D98">
        <f>'ONS A2 AGG'!G325</f>
        <v>583605</v>
      </c>
      <c r="E98">
        <f>'ONS A2 AGG'!J325</f>
        <v>575429</v>
      </c>
      <c r="F98" s="8">
        <f t="shared" si="5"/>
        <v>1.0142085296361498</v>
      </c>
    </row>
    <row r="99" spans="1:6" x14ac:dyDescent="0.35">
      <c r="A99" t="s">
        <v>264</v>
      </c>
      <c r="B99" t="str">
        <f t="shared" si="3"/>
        <v>2013</v>
      </c>
      <c r="C99" t="str">
        <f t="shared" si="4"/>
        <v>Q3</v>
      </c>
      <c r="D99">
        <f>'ONS A2 AGG'!G326</f>
        <v>588076</v>
      </c>
      <c r="E99">
        <f>'ONS A2 AGG'!J326</f>
        <v>589438</v>
      </c>
      <c r="F99" s="8">
        <f t="shared" si="5"/>
        <v>0.99768932440731684</v>
      </c>
    </row>
    <row r="100" spans="1:6" x14ac:dyDescent="0.35">
      <c r="A100" t="s">
        <v>265</v>
      </c>
      <c r="B100" t="str">
        <f t="shared" si="3"/>
        <v>2013</v>
      </c>
      <c r="C100" t="str">
        <f t="shared" si="4"/>
        <v>Q4</v>
      </c>
      <c r="D100">
        <f>'ONS A2 AGG'!G327</f>
        <v>591954</v>
      </c>
      <c r="E100">
        <f>'ONS A2 AGG'!J327</f>
        <v>605160</v>
      </c>
      <c r="F100" s="8">
        <f t="shared" si="5"/>
        <v>0.97817767202062267</v>
      </c>
    </row>
    <row r="101" spans="1:6" x14ac:dyDescent="0.35">
      <c r="A101" t="s">
        <v>266</v>
      </c>
      <c r="B101" t="str">
        <f t="shared" si="3"/>
        <v>2014</v>
      </c>
      <c r="C101" t="str">
        <f t="shared" si="4"/>
        <v>Q1</v>
      </c>
      <c r="D101">
        <f>'ONS A2 AGG'!G328</f>
        <v>596696</v>
      </c>
      <c r="E101">
        <f>'ONS A2 AGG'!J328</f>
        <v>592986</v>
      </c>
      <c r="F101" s="8">
        <f t="shared" si="5"/>
        <v>1.0062564714849929</v>
      </c>
    </row>
    <row r="102" spans="1:6" x14ac:dyDescent="0.35">
      <c r="A102" t="s">
        <v>267</v>
      </c>
      <c r="B102" t="str">
        <f t="shared" si="3"/>
        <v>2014</v>
      </c>
      <c r="C102" t="str">
        <f t="shared" si="4"/>
        <v>Q2</v>
      </c>
      <c r="D102">
        <f>'ONS A2 AGG'!G329</f>
        <v>602310</v>
      </c>
      <c r="E102">
        <f>'ONS A2 AGG'!J329</f>
        <v>597228</v>
      </c>
      <c r="F102" s="8">
        <f t="shared" si="5"/>
        <v>1.0085093130261809</v>
      </c>
    </row>
    <row r="103" spans="1:6" x14ac:dyDescent="0.35">
      <c r="A103" t="s">
        <v>268</v>
      </c>
      <c r="B103" t="str">
        <f t="shared" si="3"/>
        <v>2014</v>
      </c>
      <c r="C103" t="str">
        <f t="shared" si="4"/>
        <v>Q3</v>
      </c>
      <c r="D103">
        <f>'ONS A2 AGG'!G330</f>
        <v>607213</v>
      </c>
      <c r="E103">
        <f>'ONS A2 AGG'!J330</f>
        <v>605675</v>
      </c>
      <c r="F103" s="8">
        <f t="shared" si="5"/>
        <v>1.0025393156395757</v>
      </c>
    </row>
    <row r="104" spans="1:6" x14ac:dyDescent="0.35">
      <c r="A104" t="s">
        <v>269</v>
      </c>
      <c r="B104" t="str">
        <f t="shared" si="3"/>
        <v>2014</v>
      </c>
      <c r="C104" t="str">
        <f t="shared" si="4"/>
        <v>Q4</v>
      </c>
      <c r="D104">
        <f>'ONS A2 AGG'!G331</f>
        <v>611220</v>
      </c>
      <c r="E104">
        <f>'ONS A2 AGG'!J331</f>
        <v>621550</v>
      </c>
      <c r="F104" s="8">
        <f t="shared" si="5"/>
        <v>0.98338025902984472</v>
      </c>
    </row>
    <row r="105" spans="1:6" x14ac:dyDescent="0.35">
      <c r="A105" t="s">
        <v>270</v>
      </c>
      <c r="B105" t="str">
        <f t="shared" si="3"/>
        <v>2015</v>
      </c>
      <c r="C105" t="str">
        <f t="shared" si="4"/>
        <v>Q1</v>
      </c>
      <c r="D105">
        <f>'ONS A2 AGG'!G332</f>
        <v>613076</v>
      </c>
      <c r="E105">
        <f>'ONS A2 AGG'!J332</f>
        <v>605885</v>
      </c>
      <c r="F105" s="8">
        <f t="shared" si="5"/>
        <v>1.0118685889236407</v>
      </c>
    </row>
    <row r="106" spans="1:6" x14ac:dyDescent="0.35">
      <c r="A106" t="s">
        <v>271</v>
      </c>
      <c r="B106" t="str">
        <f t="shared" si="3"/>
        <v>2015</v>
      </c>
      <c r="C106" t="str">
        <f t="shared" si="4"/>
        <v>Q2</v>
      </c>
      <c r="D106">
        <f>'ONS A2 AGG'!G333</f>
        <v>615875</v>
      </c>
      <c r="E106">
        <f>'ONS A2 AGG'!J333</f>
        <v>610231</v>
      </c>
      <c r="F106" s="8">
        <f t="shared" si="5"/>
        <v>1.0092489565426863</v>
      </c>
    </row>
    <row r="107" spans="1:6" x14ac:dyDescent="0.35">
      <c r="A107" t="s">
        <v>272</v>
      </c>
      <c r="B107" t="str">
        <f t="shared" si="3"/>
        <v>2015</v>
      </c>
      <c r="C107" t="str">
        <f t="shared" si="4"/>
        <v>Q3</v>
      </c>
      <c r="D107">
        <f>'ONS A2 AGG'!G334</f>
        <v>618263</v>
      </c>
      <c r="E107">
        <f>'ONS A2 AGG'!J334</f>
        <v>618947</v>
      </c>
      <c r="F107" s="8">
        <f t="shared" si="5"/>
        <v>0.99889489730138448</v>
      </c>
    </row>
    <row r="108" spans="1:6" x14ac:dyDescent="0.35">
      <c r="A108" t="s">
        <v>273</v>
      </c>
      <c r="B108" t="str">
        <f t="shared" si="3"/>
        <v>2015</v>
      </c>
      <c r="C108" t="str">
        <f t="shared" si="4"/>
        <v>Q4</v>
      </c>
      <c r="D108">
        <f>'ONS A2 AGG'!G335</f>
        <v>621968</v>
      </c>
      <c r="E108">
        <f>'ONS A2 AGG'!J335</f>
        <v>634119</v>
      </c>
      <c r="F108" s="8">
        <f t="shared" si="5"/>
        <v>0.98083798151451074</v>
      </c>
    </row>
    <row r="109" spans="1:6" x14ac:dyDescent="0.35">
      <c r="A109" t="s">
        <v>274</v>
      </c>
      <c r="B109" t="str">
        <f t="shared" si="3"/>
        <v>2016</v>
      </c>
      <c r="C109" t="str">
        <f t="shared" si="4"/>
        <v>Q1</v>
      </c>
      <c r="D109">
        <f>'ONS A2 AGG'!G336</f>
        <v>625099</v>
      </c>
      <c r="E109">
        <f>'ONS A2 AGG'!J336</f>
        <v>618206</v>
      </c>
      <c r="F109" s="8">
        <f t="shared" si="5"/>
        <v>1.0111500050145097</v>
      </c>
    </row>
    <row r="110" spans="1:6" x14ac:dyDescent="0.35">
      <c r="A110" t="s">
        <v>275</v>
      </c>
      <c r="B110" t="str">
        <f t="shared" si="3"/>
        <v>2016</v>
      </c>
      <c r="C110" t="str">
        <f t="shared" si="4"/>
        <v>Q2</v>
      </c>
      <c r="D110">
        <f>'ONS A2 AGG'!G337</f>
        <v>629697</v>
      </c>
      <c r="E110">
        <f>'ONS A2 AGG'!J337</f>
        <v>624496</v>
      </c>
      <c r="F110" s="8">
        <f t="shared" si="5"/>
        <v>1.0083283159539853</v>
      </c>
    </row>
    <row r="111" spans="1:6" x14ac:dyDescent="0.35">
      <c r="A111" t="s">
        <v>276</v>
      </c>
      <c r="B111" t="str">
        <f t="shared" si="3"/>
        <v>2016</v>
      </c>
      <c r="C111" t="str">
        <f t="shared" si="4"/>
        <v>Q3</v>
      </c>
      <c r="D111">
        <f>'ONS A2 AGG'!G338</f>
        <v>632477</v>
      </c>
      <c r="E111">
        <f>'ONS A2 AGG'!J338</f>
        <v>629498</v>
      </c>
      <c r="F111" s="8">
        <f t="shared" si="5"/>
        <v>1.0047323422790859</v>
      </c>
    </row>
    <row r="112" spans="1:6" x14ac:dyDescent="0.35">
      <c r="A112" t="s">
        <v>277</v>
      </c>
      <c r="B112" t="str">
        <f t="shared" si="3"/>
        <v>2016</v>
      </c>
      <c r="C112" t="str">
        <f t="shared" si="4"/>
        <v>Q4</v>
      </c>
      <c r="D112">
        <f>'ONS A2 AGG'!G339</f>
        <v>636392</v>
      </c>
      <c r="E112">
        <f>'ONS A2 AGG'!J339</f>
        <v>651465</v>
      </c>
      <c r="F112" s="8">
        <f t="shared" si="5"/>
        <v>0.97686291665707292</v>
      </c>
    </row>
    <row r="113" spans="1:6" x14ac:dyDescent="0.35">
      <c r="A113" t="s">
        <v>278</v>
      </c>
      <c r="B113" t="str">
        <f t="shared" si="3"/>
        <v>2017</v>
      </c>
      <c r="C113" t="str">
        <f t="shared" si="4"/>
        <v>Q1</v>
      </c>
      <c r="D113">
        <f>'ONS A2 AGG'!G340</f>
        <v>642463</v>
      </c>
      <c r="E113">
        <f>'ONS A2 AGG'!J340</f>
        <v>634885</v>
      </c>
      <c r="F113" s="8">
        <f t="shared" si="5"/>
        <v>1.0119360199091174</v>
      </c>
    </row>
    <row r="114" spans="1:6" x14ac:dyDescent="0.35">
      <c r="A114" t="s">
        <v>279</v>
      </c>
      <c r="B114" t="str">
        <f t="shared" si="3"/>
        <v>2017</v>
      </c>
      <c r="C114" t="str">
        <f t="shared" si="4"/>
        <v>Q2</v>
      </c>
      <c r="D114">
        <f>'ONS A2 AGG'!G341</f>
        <v>647944</v>
      </c>
      <c r="E114">
        <f>'ONS A2 AGG'!J341</f>
        <v>640355</v>
      </c>
      <c r="F114" s="8">
        <f t="shared" si="5"/>
        <v>1.011851238765997</v>
      </c>
    </row>
    <row r="115" spans="1:6" x14ac:dyDescent="0.35">
      <c r="A115" t="s">
        <v>280</v>
      </c>
      <c r="B115" t="str">
        <f t="shared" si="3"/>
        <v>2017</v>
      </c>
      <c r="C115" t="str">
        <f t="shared" si="4"/>
        <v>Q3</v>
      </c>
      <c r="D115">
        <f>'ONS A2 AGG'!G342</f>
        <v>652329</v>
      </c>
      <c r="E115">
        <f>'ONS A2 AGG'!J342</f>
        <v>651108</v>
      </c>
      <c r="F115" s="8">
        <f t="shared" si="5"/>
        <v>1.0018752649330065</v>
      </c>
    </row>
    <row r="116" spans="1:6" x14ac:dyDescent="0.35">
      <c r="A116" t="s">
        <v>281</v>
      </c>
      <c r="B116" t="str">
        <f t="shared" si="3"/>
        <v>2017</v>
      </c>
      <c r="C116" t="str">
        <f t="shared" si="4"/>
        <v>Q4</v>
      </c>
      <c r="D116">
        <f>'ONS A2 AGG'!G343</f>
        <v>657225</v>
      </c>
      <c r="E116">
        <f>'ONS A2 AGG'!J343</f>
        <v>673613</v>
      </c>
      <c r="F116" s="8">
        <f t="shared" si="5"/>
        <v>0.9756714909005616</v>
      </c>
    </row>
    <row r="117" spans="1:6" x14ac:dyDescent="0.35">
      <c r="A117" t="s">
        <v>282</v>
      </c>
      <c r="B117" t="str">
        <f t="shared" si="3"/>
        <v>2018</v>
      </c>
      <c r="C117" t="str">
        <f t="shared" si="4"/>
        <v>Q1</v>
      </c>
      <c r="D117">
        <f>'ONS A2 AGG'!G344</f>
        <v>657741</v>
      </c>
      <c r="E117">
        <f>'ONS A2 AGG'!J344</f>
        <v>650263</v>
      </c>
      <c r="F117" s="8">
        <f t="shared" si="5"/>
        <v>1.011499962322937</v>
      </c>
    </row>
    <row r="118" spans="1:6" x14ac:dyDescent="0.35">
      <c r="A118" t="s">
        <v>283</v>
      </c>
      <c r="B118" t="str">
        <f t="shared" si="3"/>
        <v>2018</v>
      </c>
      <c r="C118" t="str">
        <f t="shared" si="4"/>
        <v>Q2</v>
      </c>
      <c r="D118">
        <f>'ONS A2 AGG'!G345</f>
        <v>659172</v>
      </c>
      <c r="E118">
        <f>'ONS A2 AGG'!J345</f>
        <v>651337</v>
      </c>
      <c r="F118" s="8">
        <f t="shared" si="5"/>
        <v>1.0120291032138509</v>
      </c>
    </row>
    <row r="119" spans="1:6" x14ac:dyDescent="0.35">
      <c r="A119" t="s">
        <v>284</v>
      </c>
      <c r="B119" t="str">
        <f t="shared" si="3"/>
        <v>2018</v>
      </c>
      <c r="C119" t="str">
        <f t="shared" si="4"/>
        <v>Q3</v>
      </c>
      <c r="D119">
        <f>'ONS A2 AGG'!G346</f>
        <v>661262</v>
      </c>
      <c r="E119">
        <f>'ONS A2 AGG'!J346</f>
        <v>659214</v>
      </c>
      <c r="F119" s="8">
        <f t="shared" si="5"/>
        <v>1.0031067301361924</v>
      </c>
    </row>
    <row r="120" spans="1:6" x14ac:dyDescent="0.35">
      <c r="A120" t="s">
        <v>285</v>
      </c>
      <c r="B120" t="str">
        <f t="shared" si="3"/>
        <v>2018</v>
      </c>
      <c r="C120" t="str">
        <f t="shared" si="4"/>
        <v>Q4</v>
      </c>
      <c r="D120">
        <f>'ONS A2 AGG'!G347</f>
        <v>662120</v>
      </c>
      <c r="E120">
        <f>'ONS A2 AGG'!J347</f>
        <v>679481</v>
      </c>
      <c r="F120" s="8">
        <f t="shared" si="5"/>
        <v>0.97444961669274044</v>
      </c>
    </row>
    <row r="121" spans="1:6" x14ac:dyDescent="0.35">
      <c r="A121" t="s">
        <v>286</v>
      </c>
      <c r="B121" t="str">
        <f t="shared" si="3"/>
        <v>2019</v>
      </c>
      <c r="C121" t="str">
        <f t="shared" si="4"/>
        <v>Q1</v>
      </c>
      <c r="D121">
        <f>'ONS A2 AGG'!G348</f>
        <v>665456</v>
      </c>
      <c r="E121">
        <f>'ONS A2 AGG'!J348</f>
        <v>656201</v>
      </c>
      <c r="F121" s="8">
        <f t="shared" si="5"/>
        <v>1.0141039102348213</v>
      </c>
    </row>
    <row r="122" spans="1:6" x14ac:dyDescent="0.35">
      <c r="A122" t="s">
        <v>287</v>
      </c>
      <c r="B122" t="str">
        <f t="shared" si="3"/>
        <v>2019</v>
      </c>
      <c r="C122" t="str">
        <f t="shared" si="4"/>
        <v>Q2</v>
      </c>
      <c r="D122">
        <f>'ONS A2 AGG'!G349</f>
        <v>666875</v>
      </c>
      <c r="E122">
        <f>'ONS A2 AGG'!J349</f>
        <v>662893</v>
      </c>
      <c r="F122" s="8">
        <f t="shared" si="5"/>
        <v>1.0060070026384349</v>
      </c>
    </row>
    <row r="123" spans="1:6" x14ac:dyDescent="0.35">
      <c r="A123" t="s">
        <v>288</v>
      </c>
      <c r="B123" t="str">
        <f t="shared" si="3"/>
        <v>2019</v>
      </c>
      <c r="C123" t="str">
        <f t="shared" si="4"/>
        <v>Q3</v>
      </c>
      <c r="D123">
        <f>'ONS A2 AGG'!G350</f>
        <v>670547</v>
      </c>
      <c r="E123">
        <f>'ONS A2 AGG'!J350</f>
        <v>665716</v>
      </c>
      <c r="F123" s="8">
        <f t="shared" si="5"/>
        <v>1.0072568482656268</v>
      </c>
    </row>
    <row r="124" spans="1:6" x14ac:dyDescent="0.35">
      <c r="A124" t="s">
        <v>289</v>
      </c>
      <c r="B124" t="str">
        <f t="shared" si="3"/>
        <v>2019</v>
      </c>
      <c r="C124" t="str">
        <f t="shared" si="4"/>
        <v>Q4</v>
      </c>
      <c r="D124">
        <f>'ONS A2 AGG'!G351</f>
        <v>670587</v>
      </c>
      <c r="E124">
        <f>'ONS A2 AGG'!J351</f>
        <v>688655</v>
      </c>
      <c r="F124" s="8">
        <f t="shared" si="5"/>
        <v>0.97376335029877081</v>
      </c>
    </row>
    <row r="125" spans="1:6" x14ac:dyDescent="0.35">
      <c r="A125" t="s">
        <v>290</v>
      </c>
      <c r="B125" t="str">
        <f t="shared" si="3"/>
        <v>2020</v>
      </c>
      <c r="C125" t="str">
        <f t="shared" si="4"/>
        <v>Q1</v>
      </c>
      <c r="D125">
        <f>'ONS A2 AGG'!G352</f>
        <v>652180</v>
      </c>
      <c r="E125">
        <f>'ONS A2 AGG'!J352</f>
        <v>650822</v>
      </c>
      <c r="F125" s="8">
        <f t="shared" si="5"/>
        <v>1.0020865920328446</v>
      </c>
    </row>
    <row r="126" spans="1:6" x14ac:dyDescent="0.35">
      <c r="A126" t="s">
        <v>291</v>
      </c>
      <c r="B126" t="str">
        <f t="shared" si="3"/>
        <v>2020</v>
      </c>
      <c r="C126" t="str">
        <f t="shared" si="4"/>
        <v>Q2</v>
      </c>
      <c r="D126">
        <f>'ONS A2 AGG'!G353</f>
        <v>522356</v>
      </c>
      <c r="E126">
        <f>'ONS A2 AGG'!J353</f>
        <v>521455</v>
      </c>
      <c r="F126" s="8">
        <f t="shared" si="5"/>
        <v>1.001727857629134</v>
      </c>
    </row>
    <row r="127" spans="1:6" x14ac:dyDescent="0.35">
      <c r="A127" t="s">
        <v>292</v>
      </c>
      <c r="B127" t="str">
        <f t="shared" si="3"/>
        <v>2020</v>
      </c>
      <c r="C127" t="str">
        <f t="shared" si="4"/>
        <v>Q3</v>
      </c>
      <c r="D127">
        <f>'ONS A2 AGG'!G354</f>
        <v>610972</v>
      </c>
      <c r="E127">
        <f>'ONS A2 AGG'!J354</f>
        <v>597994</v>
      </c>
      <c r="F127" s="8">
        <f t="shared" si="5"/>
        <v>1.0217025588885507</v>
      </c>
    </row>
    <row r="128" spans="1:6" x14ac:dyDescent="0.35">
      <c r="A128" t="s">
        <v>293</v>
      </c>
      <c r="B128" t="str">
        <f t="shared" si="3"/>
        <v>2020</v>
      </c>
      <c r="C128" t="str">
        <f t="shared" si="4"/>
        <v>Q4</v>
      </c>
      <c r="D128">
        <f>'ONS A2 AGG'!G355</f>
        <v>619330</v>
      </c>
      <c r="E128">
        <f>'ONS A2 AGG'!J355</f>
        <v>634567</v>
      </c>
      <c r="F128" s="8">
        <f t="shared" si="5"/>
        <v>0.97598835111186055</v>
      </c>
    </row>
    <row r="129" spans="1:6" x14ac:dyDescent="0.35">
      <c r="A129" t="s">
        <v>294</v>
      </c>
      <c r="B129" t="str">
        <f t="shared" si="3"/>
        <v>2021</v>
      </c>
      <c r="C129" t="str">
        <f t="shared" si="4"/>
        <v>Q1</v>
      </c>
      <c r="D129">
        <f>'ONS A2 AGG'!G356</f>
        <v>612665</v>
      </c>
      <c r="E129">
        <f>'ONS A2 AGG'!J356</f>
        <v>616211</v>
      </c>
      <c r="F129" s="8">
        <f t="shared" si="5"/>
        <v>0.99424547760426218</v>
      </c>
    </row>
    <row r="130" spans="1:6" x14ac:dyDescent="0.35">
      <c r="A130" t="s">
        <v>295</v>
      </c>
      <c r="B130" t="str">
        <f t="shared" si="3"/>
        <v>2021</v>
      </c>
      <c r="C130" t="str">
        <f t="shared" si="4"/>
        <v>Q2</v>
      </c>
      <c r="D130">
        <f>'ONS A2 AGG'!G357</f>
        <v>655443</v>
      </c>
      <c r="E130">
        <f>'ONS A2 AGG'!J357</f>
        <v>641411</v>
      </c>
      <c r="F130" s="8">
        <f t="shared" si="5"/>
        <v>1.0218767685618113</v>
      </c>
    </row>
    <row r="131" spans="1:6" x14ac:dyDescent="0.35">
      <c r="A131" t="s">
        <v>296</v>
      </c>
      <c r="B131" t="str">
        <f t="shared" si="3"/>
        <v>2021</v>
      </c>
      <c r="C131" t="str">
        <f t="shared" si="4"/>
        <v>Q3</v>
      </c>
      <c r="D131">
        <f>'ONS A2 AGG'!G358</f>
        <v>666498</v>
      </c>
      <c r="E131">
        <f>'ONS A2 AGG'!J358</f>
        <v>660310</v>
      </c>
      <c r="F131" s="8">
        <f t="shared" si="5"/>
        <v>1.0093713558782995</v>
      </c>
    </row>
    <row r="132" spans="1:6" x14ac:dyDescent="0.35">
      <c r="A132" t="s">
        <v>297</v>
      </c>
      <c r="B132" t="str">
        <f t="shared" si="3"/>
        <v>2021</v>
      </c>
      <c r="C132" t="str">
        <f t="shared" si="4"/>
        <v>Q4</v>
      </c>
      <c r="D132">
        <f>'ONS A2 AGG'!G359</f>
        <v>675680</v>
      </c>
      <c r="E132">
        <f>'ONS A2 AGG'!J359</f>
        <v>692354</v>
      </c>
      <c r="F132" s="8">
        <f t="shared" si="5"/>
        <v>0.97591694422217534</v>
      </c>
    </row>
    <row r="133" spans="1:6" x14ac:dyDescent="0.35">
      <c r="A133" t="s">
        <v>298</v>
      </c>
      <c r="B133" t="str">
        <f t="shared" si="3"/>
        <v>2022</v>
      </c>
      <c r="C133" t="str">
        <f t="shared" si="4"/>
        <v>Q1</v>
      </c>
      <c r="D133">
        <f>'ONS A2 AGG'!G360</f>
        <v>682527</v>
      </c>
      <c r="E133">
        <f>'ONS A2 AGG'!J360</f>
        <v>680219</v>
      </c>
      <c r="F133" s="8">
        <f t="shared" si="5"/>
        <v>1.0033930248934535</v>
      </c>
    </row>
    <row r="134" spans="1:6" x14ac:dyDescent="0.35">
      <c r="A134" t="s">
        <v>299</v>
      </c>
      <c r="B134" t="str">
        <f t="shared" ref="B134:B148" si="6">LEFT(A134,4)</f>
        <v>2022</v>
      </c>
      <c r="C134" t="str">
        <f t="shared" ref="C134:C148" si="7">RIGHT(A134,2)</f>
        <v>Q2</v>
      </c>
      <c r="D134">
        <f>'ONS A2 AGG'!G361</f>
        <v>686335</v>
      </c>
      <c r="E134">
        <f>'ONS A2 AGG'!J361</f>
        <v>670275</v>
      </c>
      <c r="F134" s="8">
        <f t="shared" ref="F134:F148" si="8">D134/E134</f>
        <v>1.0239603147961658</v>
      </c>
    </row>
    <row r="135" spans="1:6" x14ac:dyDescent="0.35">
      <c r="A135" t="s">
        <v>300</v>
      </c>
      <c r="B135" t="str">
        <f t="shared" si="6"/>
        <v>2022</v>
      </c>
      <c r="C135" t="str">
        <f t="shared" si="7"/>
        <v>Q3</v>
      </c>
      <c r="D135">
        <f>'ONS A2 AGG'!G362</f>
        <v>687029</v>
      </c>
      <c r="E135">
        <f>'ONS A2 AGG'!J362</f>
        <v>691709</v>
      </c>
      <c r="F135" s="8">
        <f t="shared" si="8"/>
        <v>0.99323414904244411</v>
      </c>
    </row>
    <row r="136" spans="1:6" x14ac:dyDescent="0.35">
      <c r="A136" t="s">
        <v>301</v>
      </c>
      <c r="B136" t="str">
        <f t="shared" si="6"/>
        <v>2022</v>
      </c>
      <c r="C136" t="str">
        <f t="shared" si="7"/>
        <v>Q4</v>
      </c>
      <c r="D136">
        <f>'ONS A2 AGG'!G363</f>
        <v>688817</v>
      </c>
      <c r="E136">
        <f>'ONS A2 AGG'!J363</f>
        <v>702505</v>
      </c>
      <c r="F136" s="8">
        <f t="shared" si="8"/>
        <v>0.98051544117123723</v>
      </c>
    </row>
    <row r="137" spans="1:6" x14ac:dyDescent="0.35">
      <c r="A137" t="s">
        <v>302</v>
      </c>
      <c r="B137" t="str">
        <f t="shared" si="6"/>
        <v>2023</v>
      </c>
      <c r="C137" t="str">
        <f t="shared" si="7"/>
        <v>Q1</v>
      </c>
      <c r="D137">
        <f>'ONS A2 AGG'!G364</f>
        <v>689206</v>
      </c>
      <c r="E137">
        <f>'ONS A2 AGG'!J364</f>
        <v>681920</v>
      </c>
      <c r="F137" s="8">
        <f t="shared" si="8"/>
        <v>1.0106845377756921</v>
      </c>
    </row>
    <row r="138" spans="1:6" x14ac:dyDescent="0.35">
      <c r="A138" t="s">
        <v>303</v>
      </c>
      <c r="B138" t="str">
        <f t="shared" si="6"/>
        <v>2023</v>
      </c>
      <c r="C138" t="str">
        <f t="shared" si="7"/>
        <v>Q2</v>
      </c>
      <c r="D138">
        <f>'ONS A2 AGG'!G365</f>
        <v>689491</v>
      </c>
      <c r="E138">
        <f>'ONS A2 AGG'!J365</f>
        <v>680189</v>
      </c>
      <c r="F138" s="8">
        <f t="shared" si="8"/>
        <v>1.0136756107493652</v>
      </c>
    </row>
    <row r="139" spans="1:6" x14ac:dyDescent="0.35">
      <c r="A139" t="s">
        <v>304</v>
      </c>
      <c r="B139" t="str">
        <f t="shared" si="6"/>
        <v>2023</v>
      </c>
      <c r="C139" t="str">
        <f t="shared" si="7"/>
        <v>Q3</v>
      </c>
      <c r="D139">
        <f>'ONS A2 AGG'!G366</f>
        <v>687839</v>
      </c>
      <c r="E139">
        <f>'ONS A2 AGG'!J366</f>
        <v>688094</v>
      </c>
      <c r="F139" s="8">
        <f t="shared" si="8"/>
        <v>0.99962941109790238</v>
      </c>
    </row>
    <row r="140" spans="1:6" x14ac:dyDescent="0.35">
      <c r="A140" t="s">
        <v>305</v>
      </c>
      <c r="B140" t="str">
        <f t="shared" si="6"/>
        <v>2023</v>
      </c>
      <c r="C140" t="str">
        <f t="shared" si="7"/>
        <v>Q4</v>
      </c>
      <c r="D140">
        <f>'ONS A2 AGG'!G367</f>
        <v>685628</v>
      </c>
      <c r="E140">
        <f>'ONS A2 AGG'!J367</f>
        <v>701961</v>
      </c>
      <c r="F140" s="8">
        <f t="shared" si="8"/>
        <v>0.97673232558503964</v>
      </c>
    </row>
    <row r="141" spans="1:6" x14ac:dyDescent="0.35">
      <c r="A141" t="s">
        <v>306</v>
      </c>
      <c r="B141" t="str">
        <f t="shared" si="6"/>
        <v>2024</v>
      </c>
      <c r="C141" t="str">
        <f t="shared" si="7"/>
        <v>Q1</v>
      </c>
      <c r="D141">
        <f>'ONS A2 AGG'!G368</f>
        <v>690904</v>
      </c>
      <c r="E141">
        <f>'ONS A2 AGG'!J368</f>
        <v>691928</v>
      </c>
      <c r="F141" s="8">
        <f t="shared" si="8"/>
        <v>0.99852007723346936</v>
      </c>
    </row>
    <row r="142" spans="1:6" x14ac:dyDescent="0.35">
      <c r="A142" t="s">
        <v>307</v>
      </c>
      <c r="B142" t="str">
        <f t="shared" si="6"/>
        <v>2024</v>
      </c>
      <c r="C142" t="str">
        <f t="shared" si="7"/>
        <v>Q2</v>
      </c>
      <c r="D142">
        <f>'ONS A2 AGG'!G369</f>
        <v>695145</v>
      </c>
      <c r="E142">
        <f>'ONS A2 AGG'!J369</f>
        <v>681844</v>
      </c>
      <c r="F142" s="8">
        <f t="shared" si="8"/>
        <v>1.0195073946533224</v>
      </c>
    </row>
    <row r="143" spans="1:6" x14ac:dyDescent="0.35">
      <c r="A143" t="s">
        <v>308</v>
      </c>
      <c r="B143" t="str">
        <f t="shared" si="6"/>
        <v>2024</v>
      </c>
      <c r="C143" t="str">
        <f t="shared" si="7"/>
        <v>Q3</v>
      </c>
      <c r="D143">
        <f>'ONS A2 AGG'!G370</f>
        <v>696752</v>
      </c>
      <c r="E143">
        <f>'ONS A2 AGG'!J370</f>
        <v>697764</v>
      </c>
      <c r="F143" s="8">
        <f t="shared" si="8"/>
        <v>0.99854965289123543</v>
      </c>
    </row>
    <row r="144" spans="1:6" x14ac:dyDescent="0.35">
      <c r="A144" t="s">
        <v>309</v>
      </c>
      <c r="B144" t="str">
        <f t="shared" si="6"/>
        <v>2024</v>
      </c>
      <c r="C144" t="str">
        <f t="shared" si="7"/>
        <v>Q4</v>
      </c>
      <c r="D144">
        <f>'ONS A2 AGG'!G371</f>
        <v>699094</v>
      </c>
      <c r="E144">
        <f>'ONS A2 AGG'!J371</f>
        <v>710359</v>
      </c>
      <c r="F144" s="8">
        <f t="shared" si="8"/>
        <v>0.98414182124812943</v>
      </c>
    </row>
    <row r="145" spans="1:6" x14ac:dyDescent="0.35">
      <c r="A145" t="s">
        <v>310</v>
      </c>
      <c r="B145" t="str">
        <f t="shared" si="6"/>
        <v>2025</v>
      </c>
      <c r="C145" t="str">
        <f t="shared" si="7"/>
        <v>Q1</v>
      </c>
      <c r="D145">
        <f>'ONS A2 AGG'!G372</f>
        <v>703655</v>
      </c>
      <c r="E145">
        <f>'ONS A2 AGG'!J372</f>
        <v>708038</v>
      </c>
      <c r="F145" s="8">
        <f t="shared" si="8"/>
        <v>0.99380965428409207</v>
      </c>
    </row>
    <row r="146" spans="1:6" x14ac:dyDescent="0.35">
      <c r="A146" t="s">
        <v>311</v>
      </c>
      <c r="B146" t="str">
        <f t="shared" si="6"/>
        <v>2025</v>
      </c>
      <c r="C146" t="str">
        <f t="shared" si="7"/>
        <v>Q2</v>
      </c>
      <c r="D146">
        <f>'ONS A2 AGG'!G373</f>
        <v>705117</v>
      </c>
      <c r="E146">
        <f>'ONS A2 AGG'!J373</f>
        <v>690487</v>
      </c>
      <c r="F146" s="8">
        <f t="shared" si="8"/>
        <v>1.02118794416115</v>
      </c>
    </row>
    <row r="147" spans="1:6" x14ac:dyDescent="0.35">
      <c r="A147" t="s">
        <v>312</v>
      </c>
      <c r="B147" t="str">
        <f t="shared" si="6"/>
        <v>2025</v>
      </c>
      <c r="C147" t="str">
        <f t="shared" si="7"/>
        <v>Q3</v>
      </c>
      <c r="D147">
        <f>'ONS A2 AGG'!G374</f>
        <v>705681</v>
      </c>
      <c r="E147">
        <f>'ONS A2 AGG'!J374</f>
        <v>705387</v>
      </c>
      <c r="F147" s="8">
        <f t="shared" si="8"/>
        <v>1.0004167924841256</v>
      </c>
    </row>
    <row r="148" spans="1:6" x14ac:dyDescent="0.35">
      <c r="A148" t="s">
        <v>313</v>
      </c>
      <c r="B148" t="str">
        <f t="shared" si="6"/>
        <v>2025</v>
      </c>
      <c r="C148" t="str">
        <f t="shared" si="7"/>
        <v>Q4</v>
      </c>
      <c r="D148">
        <f>'ONS A2 AGG'!G375</f>
        <v>706067</v>
      </c>
      <c r="E148">
        <f>'ONS A2 AGG'!J375</f>
        <v>716608</v>
      </c>
      <c r="F148" s="8">
        <f t="shared" si="8"/>
        <v>0.98529042377422527</v>
      </c>
    </row>
  </sheetData>
  <phoneticPr fontId="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8B74-6422-4BBC-A1D0-EE94F55997EE}">
  <dimension ref="A1:FI148"/>
  <sheetViews>
    <sheetView zoomScale="85" zoomScaleNormal="85" workbookViewId="0">
      <pane xSplit="3" ySplit="4" topLeftCell="R5" activePane="bottomRight" state="frozen"/>
      <selection pane="topRight" activeCell="D1" sqref="D1"/>
      <selection pane="bottomLeft" activeCell="A5" sqref="A5"/>
      <selection pane="bottomRight" activeCell="AE4" sqref="AE4"/>
    </sheetView>
  </sheetViews>
  <sheetFormatPr defaultRowHeight="14.5" x14ac:dyDescent="0.35"/>
  <cols>
    <col min="19" max="20" width="3.26953125" customWidth="1"/>
    <col min="36" max="37" width="3.26953125" customWidth="1"/>
    <col min="39" max="39" width="9.36328125" bestFit="1" customWidth="1"/>
    <col min="40" max="40" width="9.453125" bestFit="1" customWidth="1"/>
    <col min="41" max="42" width="9.36328125" bestFit="1" customWidth="1"/>
    <col min="43" max="44" width="10.36328125" bestFit="1" customWidth="1"/>
    <col min="45" max="46" width="9.36328125" bestFit="1" customWidth="1"/>
    <col min="47" max="53" width="9.36328125" customWidth="1"/>
    <col min="54" max="55" width="3.26953125" customWidth="1"/>
    <col min="62" max="63" width="3.453125" customWidth="1"/>
    <col min="70" max="71" width="3.453125" customWidth="1"/>
    <col min="78" max="79" width="3.453125" customWidth="1"/>
    <col min="86" max="87" width="3.453125" customWidth="1"/>
    <col min="94" max="95" width="3.453125" customWidth="1"/>
    <col min="102" max="103" width="3.453125" customWidth="1"/>
    <col min="110" max="111" width="3.453125" customWidth="1"/>
    <col min="118" max="119" width="3.453125" customWidth="1"/>
    <col min="126" max="127" width="3.453125" customWidth="1"/>
    <col min="134" max="135" width="3.453125" customWidth="1"/>
    <col min="142" max="143" width="3.453125" customWidth="1"/>
    <col min="150" max="151" width="3.453125" customWidth="1"/>
    <col min="158" max="159" width="3.453125" customWidth="1"/>
  </cols>
  <sheetData>
    <row r="1" spans="1:165" x14ac:dyDescent="0.35">
      <c r="D1" t="s">
        <v>521</v>
      </c>
      <c r="U1" s="7" t="s">
        <v>565</v>
      </c>
      <c r="AL1" s="7" t="s">
        <v>566</v>
      </c>
      <c r="BD1" s="7" t="s">
        <v>574</v>
      </c>
      <c r="BL1" s="7" t="s">
        <v>567</v>
      </c>
      <c r="BT1" s="7" t="s">
        <v>568</v>
      </c>
      <c r="CB1" s="7" t="s">
        <v>569</v>
      </c>
      <c r="CJ1" s="7" t="s">
        <v>571</v>
      </c>
      <c r="CR1" s="7" t="s">
        <v>572</v>
      </c>
      <c r="CZ1" s="7" t="s">
        <v>573</v>
      </c>
      <c r="DH1" s="7" t="s">
        <v>594</v>
      </c>
      <c r="DP1" s="7" t="s">
        <v>595</v>
      </c>
      <c r="DX1" s="7" t="s">
        <v>627</v>
      </c>
      <c r="EF1" s="7" t="s">
        <v>628</v>
      </c>
      <c r="EN1" s="7" t="s">
        <v>629</v>
      </c>
      <c r="EV1" s="7" t="s">
        <v>630</v>
      </c>
      <c r="FD1" s="7" t="s">
        <v>631</v>
      </c>
    </row>
    <row r="3" spans="1:165" x14ac:dyDescent="0.35">
      <c r="AM3" s="8">
        <f ca="1">AVERAGE(AM25:AM34)</f>
        <v>1.0298178922290173</v>
      </c>
      <c r="AN3" s="8">
        <f t="shared" ref="AN3:BA3" ca="1" si="0">AVERAGE(AN25:AN34)</f>
        <v>1</v>
      </c>
      <c r="AO3" s="8">
        <f t="shared" ca="1" si="0"/>
        <v>0.98529820411252289</v>
      </c>
      <c r="AP3" s="8">
        <f t="shared" ca="1" si="0"/>
        <v>0.97911195908183868</v>
      </c>
      <c r="AQ3" s="8">
        <f ca="1">AVERAGE(AQ25:AQ34)</f>
        <v>4.2579343883113783</v>
      </c>
      <c r="AR3" s="8">
        <f t="shared" ca="1" si="0"/>
        <v>1.8230680355641566</v>
      </c>
      <c r="AS3" s="8">
        <f t="shared" ca="1" si="0"/>
        <v>1.0227093865262893</v>
      </c>
      <c r="AT3" s="8">
        <f t="shared" ca="1" si="0"/>
        <v>1.0172455808471668</v>
      </c>
      <c r="AU3" s="8">
        <f t="shared" ca="1" si="0"/>
        <v>1.0463411472173605</v>
      </c>
      <c r="AV3" s="8">
        <f t="shared" ca="1" si="0"/>
        <v>0.73824665326457384</v>
      </c>
      <c r="AW3" s="8">
        <f t="shared" ca="1" si="0"/>
        <v>1.0961254426019129</v>
      </c>
      <c r="AX3" s="8">
        <f t="shared" ca="1" si="0"/>
        <v>0.93531524441744496</v>
      </c>
      <c r="AY3" s="8">
        <f t="shared" ca="1" si="0"/>
        <v>1.0273581212886778</v>
      </c>
      <c r="AZ3" s="8">
        <f t="shared" ca="1" si="0"/>
        <v>0.95863096361102773</v>
      </c>
      <c r="BA3" s="8">
        <f t="shared" ca="1" si="0"/>
        <v>0.97859794529785771</v>
      </c>
      <c r="BE3" s="8">
        <f>AVERAGE(BE25:BE34)</f>
        <v>0.96544619129563147</v>
      </c>
      <c r="BF3" s="8">
        <f t="shared" ref="BF3:BH3" si="1">AVERAGE(BF25:BF34)</f>
        <v>0.98738441904105412</v>
      </c>
      <c r="BG3" s="8">
        <f t="shared" si="1"/>
        <v>1.0202674300907781</v>
      </c>
      <c r="BH3" s="8">
        <f t="shared" si="1"/>
        <v>1.0394310227005119</v>
      </c>
      <c r="BM3" s="8">
        <f>AVERAGE(BM25:BM34)</f>
        <v>0.9915649796593472</v>
      </c>
      <c r="BN3" s="8">
        <f t="shared" ref="BN3:BP3" si="2">AVERAGE(BN25:BN34)</f>
        <v>1.0070972487356977</v>
      </c>
      <c r="BO3" s="8">
        <f t="shared" si="2"/>
        <v>1.0146557372571257</v>
      </c>
      <c r="BP3" s="8">
        <f t="shared" si="2"/>
        <v>1.000457129215977</v>
      </c>
      <c r="BU3" s="8">
        <f>AVERAGE(BU25:BU34)</f>
        <v>1.0180951827423996</v>
      </c>
      <c r="BV3" s="8">
        <f t="shared" ref="BV3:BX3" si="3">AVERAGE(BV25:BV34)</f>
        <v>0.9912248615186412</v>
      </c>
      <c r="BW3" s="8">
        <f t="shared" si="3"/>
        <v>0.99031558308930823</v>
      </c>
      <c r="BX3" s="8">
        <f t="shared" si="3"/>
        <v>1.0067217770369843</v>
      </c>
      <c r="CC3" s="8">
        <f>AVERAGE(CC25:CC34)</f>
        <v>1.0315866386277794</v>
      </c>
      <c r="CD3" s="8">
        <f t="shared" ref="CD3:CF3" si="4">AVERAGE(CD25:CD34)</f>
        <v>0.93907303529354691</v>
      </c>
      <c r="CE3" s="8">
        <f t="shared" si="4"/>
        <v>0.99483702465543067</v>
      </c>
      <c r="CF3" s="8">
        <f t="shared" si="4"/>
        <v>1.0474073678466722</v>
      </c>
      <c r="CK3" s="8">
        <f>AVERAGE(CK25:CK34)</f>
        <v>-1.082098418548588</v>
      </c>
      <c r="CL3" s="8">
        <f t="shared" ref="CL3:CN3" si="5">AVERAGE(CL25:CL34)</f>
        <v>-25.681222936496493</v>
      </c>
      <c r="CM3" s="8">
        <f t="shared" si="5"/>
        <v>-1.2226415642984292</v>
      </c>
      <c r="CN3" s="8">
        <f t="shared" si="5"/>
        <v>3.8609962328391889</v>
      </c>
      <c r="CS3" s="8">
        <f>AVERAGE(CS25:CS34)</f>
        <v>0.97870782529127764</v>
      </c>
      <c r="CT3" s="8">
        <f t="shared" ref="CT3:CV3" si="6">AVERAGE(CT25:CT34)</f>
        <v>1.0067443157576583</v>
      </c>
      <c r="CU3" s="8">
        <f t="shared" si="6"/>
        <v>0.99639109841460072</v>
      </c>
      <c r="CV3" s="8">
        <f t="shared" si="6"/>
        <v>1.0325934731695907</v>
      </c>
      <c r="CZ3" t="s">
        <v>575</v>
      </c>
      <c r="DA3" s="8">
        <f>AVERAGE(DA25:DA34)</f>
        <v>0.98477206471157319</v>
      </c>
      <c r="DB3" s="8">
        <f t="shared" ref="DB3:DD3" si="7">AVERAGE(DB25:DB34)</f>
        <v>0.99131496920814699</v>
      </c>
      <c r="DC3" s="8">
        <f t="shared" si="7"/>
        <v>1.0296615268152798</v>
      </c>
      <c r="DD3" s="8">
        <f t="shared" si="7"/>
        <v>1.0102396001880913</v>
      </c>
      <c r="DH3" t="s">
        <v>575</v>
      </c>
      <c r="DI3" s="8">
        <f>AVERAGE(DI25:DI34)</f>
        <v>0.95654500042925883</v>
      </c>
      <c r="DJ3" s="8">
        <f t="shared" ref="DJ3:DL3" si="8">AVERAGE(DJ25:DJ34)</f>
        <v>0.97271383068221284</v>
      </c>
      <c r="DK3" s="8">
        <f t="shared" si="8"/>
        <v>1.0012045034594013</v>
      </c>
      <c r="DL3" s="8">
        <f t="shared" si="8"/>
        <v>1.0809660008152653</v>
      </c>
      <c r="DP3" t="s">
        <v>575</v>
      </c>
      <c r="DQ3" s="8">
        <f>AVERAGE(DQ25:DQ34)</f>
        <v>1.4559705170038677</v>
      </c>
      <c r="DR3" s="8">
        <f t="shared" ref="DR3:DT3" si="9">AVERAGE(DR25:DR34)</f>
        <v>0.74676709118088336</v>
      </c>
      <c r="DS3" s="8">
        <f t="shared" si="9"/>
        <v>0.905371413904976</v>
      </c>
      <c r="DT3" s="8">
        <f t="shared" si="9"/>
        <v>0.92459676642491151</v>
      </c>
      <c r="DX3" t="s">
        <v>575</v>
      </c>
      <c r="DY3" s="8">
        <f>AVERAGE(DY25:DY34)</f>
        <v>1.0250894010615061</v>
      </c>
      <c r="DZ3" s="8">
        <f t="shared" ref="DZ3:EB3" si="10">AVERAGE(DZ25:DZ34)</f>
        <v>0.95940065212122361</v>
      </c>
      <c r="EA3" s="8">
        <f t="shared" si="10"/>
        <v>0.87301823297436676</v>
      </c>
      <c r="EB3" s="8">
        <f t="shared" si="10"/>
        <v>1.1630328477630225</v>
      </c>
      <c r="EF3" t="s">
        <v>575</v>
      </c>
      <c r="EG3" s="8">
        <f>AVERAGE(EG25:EG34)</f>
        <v>1.0794565162722818</v>
      </c>
      <c r="EH3" s="8">
        <f t="shared" ref="EH3:EJ3" si="11">AVERAGE(EH25:EH34)</f>
        <v>0.89774564720301042</v>
      </c>
      <c r="EI3" s="8">
        <f t="shared" si="11"/>
        <v>0.96574793183298002</v>
      </c>
      <c r="EJ3" s="8">
        <f t="shared" si="11"/>
        <v>1.0710460879806623</v>
      </c>
      <c r="EN3" t="s">
        <v>575</v>
      </c>
      <c r="EO3" s="8">
        <f>AVERAGE(EO25:EO34)</f>
        <v>0.96129050956121742</v>
      </c>
      <c r="EP3" s="8">
        <f t="shared" ref="EP3:ER3" si="12">AVERAGE(EP25:EP34)</f>
        <v>0.98468934661454077</v>
      </c>
      <c r="EQ3" s="8">
        <f t="shared" si="12"/>
        <v>1.0300790485507894</v>
      </c>
      <c r="ER3" s="8">
        <f t="shared" si="12"/>
        <v>1.0417622454296436</v>
      </c>
      <c r="EV3" t="s">
        <v>575</v>
      </c>
      <c r="EW3" s="8">
        <f>AVERAGE(EW25:EW34)</f>
        <v>1.0553609341843355</v>
      </c>
      <c r="EX3" s="8">
        <f t="shared" ref="EX3:EZ3" si="13">AVERAGE(EX25:EX34)</f>
        <v>0.89887368454539995</v>
      </c>
      <c r="EY3" s="8">
        <f t="shared" si="13"/>
        <v>1.0141664415999347</v>
      </c>
      <c r="EZ3" s="8">
        <f t="shared" si="13"/>
        <v>1.047306092327535</v>
      </c>
      <c r="FD3" t="s">
        <v>575</v>
      </c>
      <c r="FE3" s="8">
        <f>AVERAGE(FE25:FE34)</f>
        <v>1.0209403410065678</v>
      </c>
      <c r="FF3" s="8">
        <f t="shared" ref="FF3:FH3" si="14">AVERAGE(FF25:FF34)</f>
        <v>0.97790073801080291</v>
      </c>
      <c r="FG3" s="8">
        <f t="shared" si="14"/>
        <v>0.99332700641133564</v>
      </c>
      <c r="FH3" s="8">
        <f t="shared" si="14"/>
        <v>1.0122268139483963</v>
      </c>
    </row>
    <row r="4" spans="1:165" x14ac:dyDescent="0.35">
      <c r="A4" t="s">
        <v>336</v>
      </c>
      <c r="B4" t="s">
        <v>339</v>
      </c>
      <c r="C4" t="s">
        <v>340</v>
      </c>
      <c r="D4" t="s">
        <v>536</v>
      </c>
      <c r="E4" t="s">
        <v>544</v>
      </c>
      <c r="F4" t="s">
        <v>537</v>
      </c>
      <c r="G4" t="s">
        <v>538</v>
      </c>
      <c r="H4" t="s">
        <v>539</v>
      </c>
      <c r="I4" t="s">
        <v>540</v>
      </c>
      <c r="J4" t="s">
        <v>541</v>
      </c>
      <c r="K4" t="s">
        <v>542</v>
      </c>
      <c r="L4" t="s">
        <v>592</v>
      </c>
      <c r="M4" t="s">
        <v>593</v>
      </c>
      <c r="N4" t="s">
        <v>597</v>
      </c>
      <c r="O4" t="s">
        <v>598</v>
      </c>
      <c r="P4" t="s">
        <v>599</v>
      </c>
      <c r="Q4" t="s">
        <v>600</v>
      </c>
      <c r="R4" t="s">
        <v>601</v>
      </c>
      <c r="U4" t="s">
        <v>536</v>
      </c>
      <c r="V4" t="s">
        <v>544</v>
      </c>
      <c r="W4" t="s">
        <v>537</v>
      </c>
      <c r="X4" t="s">
        <v>538</v>
      </c>
      <c r="Y4" t="s">
        <v>539</v>
      </c>
      <c r="Z4" t="s">
        <v>540</v>
      </c>
      <c r="AA4" t="s">
        <v>541</v>
      </c>
      <c r="AB4" t="s">
        <v>542</v>
      </c>
      <c r="AC4" t="s">
        <v>592</v>
      </c>
      <c r="AD4" t="s">
        <v>593</v>
      </c>
      <c r="AE4" t="s">
        <v>597</v>
      </c>
      <c r="AF4" t="s">
        <v>598</v>
      </c>
      <c r="AG4" t="s">
        <v>599</v>
      </c>
      <c r="AH4" t="s">
        <v>600</v>
      </c>
      <c r="AI4" t="s">
        <v>601</v>
      </c>
      <c r="AL4" t="s">
        <v>339</v>
      </c>
      <c r="AM4" t="s">
        <v>536</v>
      </c>
      <c r="AN4" t="s">
        <v>544</v>
      </c>
      <c r="AO4" t="s">
        <v>537</v>
      </c>
      <c r="AP4" t="s">
        <v>538</v>
      </c>
      <c r="AQ4" t="s">
        <v>539</v>
      </c>
      <c r="AR4" t="s">
        <v>540</v>
      </c>
      <c r="AS4" t="s">
        <v>541</v>
      </c>
      <c r="AT4" t="s">
        <v>542</v>
      </c>
      <c r="AU4" t="s">
        <v>592</v>
      </c>
      <c r="AV4" t="s">
        <v>593</v>
      </c>
      <c r="AW4" t="s">
        <v>597</v>
      </c>
      <c r="AX4" t="s">
        <v>598</v>
      </c>
      <c r="AY4" t="s">
        <v>599</v>
      </c>
      <c r="AZ4" t="s">
        <v>600</v>
      </c>
      <c r="BA4" t="s">
        <v>601</v>
      </c>
      <c r="BD4" t="s">
        <v>339</v>
      </c>
      <c r="BE4" t="s">
        <v>343</v>
      </c>
      <c r="BF4" t="s">
        <v>344</v>
      </c>
      <c r="BG4" t="s">
        <v>345</v>
      </c>
      <c r="BH4" t="s">
        <v>346</v>
      </c>
      <c r="BI4" t="s">
        <v>348</v>
      </c>
      <c r="BL4" t="s">
        <v>339</v>
      </c>
      <c r="BM4" t="s">
        <v>343</v>
      </c>
      <c r="BN4" t="s">
        <v>344</v>
      </c>
      <c r="BO4" t="s">
        <v>345</v>
      </c>
      <c r="BP4" t="s">
        <v>346</v>
      </c>
      <c r="BQ4" t="s">
        <v>348</v>
      </c>
      <c r="BT4" t="s">
        <v>339</v>
      </c>
      <c r="BU4" t="s">
        <v>343</v>
      </c>
      <c r="BV4" t="s">
        <v>344</v>
      </c>
      <c r="BW4" t="s">
        <v>345</v>
      </c>
      <c r="BX4" t="s">
        <v>346</v>
      </c>
      <c r="BY4" t="s">
        <v>348</v>
      </c>
      <c r="CB4" t="s">
        <v>339</v>
      </c>
      <c r="CC4" t="s">
        <v>343</v>
      </c>
      <c r="CD4" t="s">
        <v>344</v>
      </c>
      <c r="CE4" t="s">
        <v>345</v>
      </c>
      <c r="CF4" t="s">
        <v>346</v>
      </c>
      <c r="CG4" t="s">
        <v>348</v>
      </c>
      <c r="CJ4" t="s">
        <v>339</v>
      </c>
      <c r="CK4" t="s">
        <v>343</v>
      </c>
      <c r="CL4" t="s">
        <v>344</v>
      </c>
      <c r="CM4" t="s">
        <v>345</v>
      </c>
      <c r="CN4" t="s">
        <v>346</v>
      </c>
      <c r="CO4" t="s">
        <v>348</v>
      </c>
      <c r="CR4" t="s">
        <v>339</v>
      </c>
      <c r="CS4" t="s">
        <v>343</v>
      </c>
      <c r="CT4" t="s">
        <v>344</v>
      </c>
      <c r="CU4" t="s">
        <v>345</v>
      </c>
      <c r="CV4" t="s">
        <v>346</v>
      </c>
      <c r="CW4" t="s">
        <v>348</v>
      </c>
      <c r="CZ4" t="s">
        <v>339</v>
      </c>
      <c r="DA4" t="s">
        <v>343</v>
      </c>
      <c r="DB4" t="s">
        <v>344</v>
      </c>
      <c r="DC4" t="s">
        <v>345</v>
      </c>
      <c r="DD4" t="s">
        <v>346</v>
      </c>
      <c r="DE4" t="s">
        <v>348</v>
      </c>
      <c r="DH4" t="s">
        <v>339</v>
      </c>
      <c r="DI4" t="s">
        <v>343</v>
      </c>
      <c r="DJ4" t="s">
        <v>344</v>
      </c>
      <c r="DK4" t="s">
        <v>345</v>
      </c>
      <c r="DL4" t="s">
        <v>346</v>
      </c>
      <c r="DM4" t="s">
        <v>348</v>
      </c>
      <c r="DP4" t="s">
        <v>339</v>
      </c>
      <c r="DQ4" t="s">
        <v>343</v>
      </c>
      <c r="DR4" t="s">
        <v>344</v>
      </c>
      <c r="DS4" t="s">
        <v>345</v>
      </c>
      <c r="DT4" t="s">
        <v>346</v>
      </c>
      <c r="DU4" t="s">
        <v>348</v>
      </c>
      <c r="DX4" t="s">
        <v>339</v>
      </c>
      <c r="DY4" t="s">
        <v>343</v>
      </c>
      <c r="DZ4" t="s">
        <v>344</v>
      </c>
      <c r="EA4" t="s">
        <v>345</v>
      </c>
      <c r="EB4" t="s">
        <v>346</v>
      </c>
      <c r="EC4" t="s">
        <v>348</v>
      </c>
      <c r="EF4" t="s">
        <v>339</v>
      </c>
      <c r="EG4" t="s">
        <v>343</v>
      </c>
      <c r="EH4" t="s">
        <v>344</v>
      </c>
      <c r="EI4" t="s">
        <v>345</v>
      </c>
      <c r="EJ4" t="s">
        <v>346</v>
      </c>
      <c r="EK4" t="s">
        <v>348</v>
      </c>
      <c r="EN4" t="s">
        <v>339</v>
      </c>
      <c r="EO4" t="s">
        <v>343</v>
      </c>
      <c r="EP4" t="s">
        <v>344</v>
      </c>
      <c r="EQ4" t="s">
        <v>345</v>
      </c>
      <c r="ER4" t="s">
        <v>346</v>
      </c>
      <c r="ES4" t="s">
        <v>348</v>
      </c>
      <c r="EV4" t="s">
        <v>339</v>
      </c>
      <c r="EW4" t="s">
        <v>343</v>
      </c>
      <c r="EX4" t="s">
        <v>344</v>
      </c>
      <c r="EY4" t="s">
        <v>345</v>
      </c>
      <c r="EZ4" t="s">
        <v>346</v>
      </c>
      <c r="FA4" t="s">
        <v>348</v>
      </c>
      <c r="FD4" t="s">
        <v>339</v>
      </c>
      <c r="FE4" t="s">
        <v>343</v>
      </c>
      <c r="FF4" t="s">
        <v>344</v>
      </c>
      <c r="FG4" t="s">
        <v>345</v>
      </c>
      <c r="FH4" t="s">
        <v>346</v>
      </c>
      <c r="FI4" t="s">
        <v>348</v>
      </c>
    </row>
    <row r="5" spans="1:165" x14ac:dyDescent="0.35">
      <c r="A5" t="s">
        <v>170</v>
      </c>
      <c r="B5" t="str">
        <f>LEFT(A5,4)</f>
        <v>1990</v>
      </c>
      <c r="C5" t="str">
        <f>RIGHT(A5,2)</f>
        <v>Q1</v>
      </c>
      <c r="D5" s="13">
        <f>HAVERQ!C11</f>
        <v>215861</v>
      </c>
      <c r="E5" s="13">
        <f>HAVERQ!D11</f>
        <v>6862</v>
      </c>
      <c r="F5" s="13">
        <f>HAVERQ!E11</f>
        <v>77235</v>
      </c>
      <c r="G5" s="13">
        <f>HAVERQ!F11</f>
        <v>73856</v>
      </c>
      <c r="H5" s="13">
        <f>HAVERQ!G11</f>
        <v>348</v>
      </c>
      <c r="I5" s="13">
        <f>HAVERQ!H11</f>
        <v>-336</v>
      </c>
      <c r="J5" s="13">
        <f>HAVERQ!I11</f>
        <v>69304</v>
      </c>
      <c r="K5" s="13">
        <f>HAVERQ!J11</f>
        <v>68197</v>
      </c>
      <c r="L5" s="13" t="e">
        <f>HAVERQ!U11</f>
        <v>#N/A</v>
      </c>
      <c r="M5" s="13" t="e">
        <f>HAVERQ!V11</f>
        <v>#N/A</v>
      </c>
      <c r="N5" s="13" t="e">
        <f>HAVERQ!Y11</f>
        <v>#N/A</v>
      </c>
      <c r="O5" s="13" t="e">
        <f>HAVERQ!Z11</f>
        <v>#N/A</v>
      </c>
      <c r="P5" s="13" t="e">
        <f>HAVERQ!AA11</f>
        <v>#N/A</v>
      </c>
      <c r="Q5" s="13" t="e">
        <f>HAVERQ!AB11</f>
        <v>#N/A</v>
      </c>
      <c r="R5" s="13" t="e">
        <f>HAVERQ!AC11</f>
        <v>#N/A</v>
      </c>
      <c r="U5" s="13">
        <f>HAVERQ!M11</f>
        <v>201610</v>
      </c>
      <c r="V5" s="13">
        <f>HAVERQ!N11</f>
        <v>6759</v>
      </c>
      <c r="W5" s="13">
        <f>HAVERQ!O11</f>
        <v>78352</v>
      </c>
      <c r="X5" s="13">
        <f>HAVERQ!P11</f>
        <v>73861</v>
      </c>
      <c r="Y5" s="13">
        <f>HAVERQ!Q11</f>
        <v>179</v>
      </c>
      <c r="Z5" s="13">
        <f>HAVERQ!R11</f>
        <v>-303</v>
      </c>
      <c r="AA5" s="13">
        <f>HAVERQ!S11</f>
        <v>66749</v>
      </c>
      <c r="AB5" s="13">
        <f>HAVERQ!T11</f>
        <v>66340</v>
      </c>
      <c r="AC5" s="13" t="e">
        <f>HAVERQ!W11</f>
        <v>#N/A</v>
      </c>
      <c r="AD5" s="13" t="e">
        <f>HAVERQ!X11</f>
        <v>#N/A</v>
      </c>
      <c r="AE5" s="13" t="e">
        <f>HAVERQ!AD11</f>
        <v>#N/A</v>
      </c>
      <c r="AF5" s="13" t="e">
        <f>HAVERQ!AE11</f>
        <v>#N/A</v>
      </c>
      <c r="AG5" s="13" t="e">
        <f>HAVERQ!AF11</f>
        <v>#N/A</v>
      </c>
      <c r="AH5" s="13" t="e">
        <f>HAVERQ!AG11</f>
        <v>#N/A</v>
      </c>
      <c r="AI5" s="13" t="e">
        <f>HAVERQ!AH11</f>
        <v>#N/A</v>
      </c>
      <c r="AL5">
        <v>1990</v>
      </c>
      <c r="AM5" s="15">
        <f t="shared" ref="AM5:AV5" si="15">D5/U5</f>
        <v>1.0706859778780815</v>
      </c>
      <c r="AN5" s="15">
        <f t="shared" si="15"/>
        <v>1.0152389406716971</v>
      </c>
      <c r="AO5" s="15">
        <f t="shared" si="15"/>
        <v>0.9857438227486216</v>
      </c>
      <c r="AP5" s="15">
        <f t="shared" si="15"/>
        <v>0.99993230527612675</v>
      </c>
      <c r="AQ5" s="15">
        <f t="shared" si="15"/>
        <v>1.9441340782122905</v>
      </c>
      <c r="AR5" s="15">
        <f t="shared" si="15"/>
        <v>1.108910891089109</v>
      </c>
      <c r="AS5" s="15">
        <f t="shared" si="15"/>
        <v>1.0382777270071462</v>
      </c>
      <c r="AT5" s="15">
        <f t="shared" si="15"/>
        <v>1.0279921615917997</v>
      </c>
      <c r="AU5" s="15" t="e">
        <f t="shared" si="15"/>
        <v>#N/A</v>
      </c>
      <c r="AV5" s="15" t="e">
        <f t="shared" si="15"/>
        <v>#N/A</v>
      </c>
      <c r="AW5" s="15" t="e">
        <f t="shared" ref="AW5:BA5" si="16">N5/AE5</f>
        <v>#N/A</v>
      </c>
      <c r="AX5" s="15" t="e">
        <f t="shared" si="16"/>
        <v>#N/A</v>
      </c>
      <c r="AY5" s="15" t="e">
        <f t="shared" si="16"/>
        <v>#N/A</v>
      </c>
      <c r="AZ5" s="15" t="e">
        <f t="shared" si="16"/>
        <v>#N/A</v>
      </c>
      <c r="BA5" s="15" t="e">
        <f t="shared" si="16"/>
        <v>#N/A</v>
      </c>
      <c r="BD5">
        <v>1990</v>
      </c>
      <c r="BL5">
        <v>1990</v>
      </c>
      <c r="BT5">
        <v>1990</v>
      </c>
      <c r="CB5">
        <v>1990</v>
      </c>
      <c r="CJ5">
        <v>1990</v>
      </c>
      <c r="CR5">
        <v>1990</v>
      </c>
      <c r="CZ5">
        <v>1990</v>
      </c>
      <c r="DH5">
        <v>1990</v>
      </c>
      <c r="DP5">
        <v>1990</v>
      </c>
      <c r="DX5">
        <v>1990</v>
      </c>
      <c r="EF5">
        <v>1990</v>
      </c>
      <c r="EN5">
        <v>1990</v>
      </c>
      <c r="EV5">
        <v>1990</v>
      </c>
      <c r="FD5">
        <v>1990</v>
      </c>
    </row>
    <row r="6" spans="1:165" x14ac:dyDescent="0.35">
      <c r="A6" t="s">
        <v>171</v>
      </c>
      <c r="B6" t="str">
        <f t="shared" ref="B6:B69" si="17">LEFT(A6,4)</f>
        <v>1990</v>
      </c>
      <c r="C6" t="str">
        <f t="shared" ref="C6:C69" si="18">RIGHT(A6,2)</f>
        <v>Q2</v>
      </c>
      <c r="D6" s="13">
        <f>HAVERQ!C12</f>
        <v>216571</v>
      </c>
      <c r="E6" s="13">
        <f>HAVERQ!D12</f>
        <v>6568</v>
      </c>
      <c r="F6" s="13">
        <f>HAVERQ!E12</f>
        <v>77520</v>
      </c>
      <c r="G6" s="13">
        <f>HAVERQ!F12</f>
        <v>72815</v>
      </c>
      <c r="H6" s="13">
        <f>HAVERQ!G12</f>
        <v>1826</v>
      </c>
      <c r="I6" s="13">
        <f>HAVERQ!H12</f>
        <v>1143</v>
      </c>
      <c r="J6" s="13">
        <f>HAVERQ!I12</f>
        <v>69149</v>
      </c>
      <c r="K6" s="13">
        <f>HAVERQ!J12</f>
        <v>68012</v>
      </c>
      <c r="L6" s="13" t="e">
        <f>HAVERQ!U12</f>
        <v>#N/A</v>
      </c>
      <c r="M6" s="13" t="e">
        <f>HAVERQ!V12</f>
        <v>#N/A</v>
      </c>
      <c r="N6" s="13" t="e">
        <f>HAVERQ!Y12</f>
        <v>#N/A</v>
      </c>
      <c r="O6" s="13" t="e">
        <f>HAVERQ!Z12</f>
        <v>#N/A</v>
      </c>
      <c r="P6" s="13" t="e">
        <f>HAVERQ!AA12</f>
        <v>#N/A</v>
      </c>
      <c r="Q6" s="13" t="e">
        <f>HAVERQ!AB12</f>
        <v>#N/A</v>
      </c>
      <c r="R6" s="13" t="e">
        <f>HAVERQ!AC12</f>
        <v>#N/A</v>
      </c>
      <c r="U6" s="13">
        <f>HAVERQ!M12</f>
        <v>208672</v>
      </c>
      <c r="V6" s="13">
        <f>HAVERQ!N12</f>
        <v>6684</v>
      </c>
      <c r="W6" s="13">
        <f>HAVERQ!O12</f>
        <v>76427</v>
      </c>
      <c r="X6" s="13">
        <f>HAVERQ!P12</f>
        <v>72814</v>
      </c>
      <c r="Y6" s="13">
        <f>HAVERQ!Q12</f>
        <v>1288</v>
      </c>
      <c r="Z6" s="13">
        <f>HAVERQ!R12</f>
        <v>1047</v>
      </c>
      <c r="AA6" s="13">
        <f>HAVERQ!S12</f>
        <v>69030</v>
      </c>
      <c r="AB6" s="13">
        <f>HAVERQ!T12</f>
        <v>69254</v>
      </c>
      <c r="AC6" s="13" t="e">
        <f>HAVERQ!W12</f>
        <v>#N/A</v>
      </c>
      <c r="AD6" s="13" t="e">
        <f>HAVERQ!X12</f>
        <v>#N/A</v>
      </c>
      <c r="AE6" s="13" t="e">
        <f>HAVERQ!AD12</f>
        <v>#N/A</v>
      </c>
      <c r="AF6" s="13" t="e">
        <f>HAVERQ!AE12</f>
        <v>#N/A</v>
      </c>
      <c r="AG6" s="13" t="e">
        <f>HAVERQ!AF12</f>
        <v>#N/A</v>
      </c>
      <c r="AH6" s="13" t="e">
        <f>HAVERQ!AG12</f>
        <v>#N/A</v>
      </c>
      <c r="AI6" s="13" t="e">
        <f>HAVERQ!AH12</f>
        <v>#N/A</v>
      </c>
      <c r="AL6">
        <v>1991</v>
      </c>
      <c r="AM6" s="15">
        <f t="shared" ref="AM6:AV6" si="19">D9/U9</f>
        <v>1.0707785440383761</v>
      </c>
      <c r="AN6" s="15">
        <f t="shared" si="19"/>
        <v>1.0086486486486486</v>
      </c>
      <c r="AO6" s="15">
        <f t="shared" si="19"/>
        <v>0.98908813334501267</v>
      </c>
      <c r="AP6" s="15">
        <f t="shared" si="19"/>
        <v>0.9999119498701261</v>
      </c>
      <c r="AQ6" s="15">
        <f t="shared" si="19"/>
        <v>0.44604147031102731</v>
      </c>
      <c r="AR6" s="15">
        <f t="shared" si="19"/>
        <v>1.0186210367388022</v>
      </c>
      <c r="AS6" s="15">
        <f t="shared" si="19"/>
        <v>1.0467805190543897</v>
      </c>
      <c r="AT6" s="15">
        <f t="shared" si="19"/>
        <v>1.0388665423983781</v>
      </c>
      <c r="AU6" s="15" t="e">
        <f t="shared" si="19"/>
        <v>#N/A</v>
      </c>
      <c r="AV6" s="15" t="e">
        <f t="shared" si="19"/>
        <v>#N/A</v>
      </c>
      <c r="AW6" s="15" t="e">
        <f t="shared" ref="AW6:BA6" si="20">N9/AE9</f>
        <v>#N/A</v>
      </c>
      <c r="AX6" s="15" t="e">
        <f t="shared" si="20"/>
        <v>#N/A</v>
      </c>
      <c r="AY6" s="15" t="e">
        <f t="shared" si="20"/>
        <v>#N/A</v>
      </c>
      <c r="AZ6" s="15" t="e">
        <f t="shared" si="20"/>
        <v>#N/A</v>
      </c>
      <c r="BA6" s="15" t="e">
        <f t="shared" si="20"/>
        <v>#N/A</v>
      </c>
      <c r="BD6">
        <v>1991</v>
      </c>
      <c r="BE6" s="8">
        <f>U9/AVERAGE(U6:U12)</f>
        <v>0.92585261936011498</v>
      </c>
      <c r="BF6" s="8">
        <f>U10/AVERAGE(U7:U13)</f>
        <v>0.95096292795234916</v>
      </c>
      <c r="BG6" s="8">
        <f>U11/AVERAGE(U8:U14)</f>
        <v>1.0355324595569708</v>
      </c>
      <c r="BH6" s="8">
        <f>U12/AVERAGE(U9:U15)</f>
        <v>1.068282208383442</v>
      </c>
      <c r="BI6">
        <v>1</v>
      </c>
      <c r="BL6">
        <v>1991</v>
      </c>
      <c r="BM6" s="8">
        <f>V9/AVERAGE(V6:V12)</f>
        <v>0.97496181892490696</v>
      </c>
      <c r="BN6" s="8">
        <f>V10/AVERAGE(V7:V13)</f>
        <v>0.98593679116890975</v>
      </c>
      <c r="BO6" s="8">
        <f>V11/AVERAGE(V8:V14)</f>
        <v>1.0047876044568245</v>
      </c>
      <c r="BP6" s="8">
        <f>V12/AVERAGE(V9:V15)</f>
        <v>1.0230603826575391</v>
      </c>
      <c r="BQ6">
        <v>1</v>
      </c>
      <c r="BT6">
        <v>1991</v>
      </c>
      <c r="BU6" s="8">
        <f>W9/AVERAGE(W6:W12)</f>
        <v>1.0092100467989449</v>
      </c>
      <c r="BV6" s="8">
        <f>W10/AVERAGE(W7:W13)</f>
        <v>1.0034124565394686</v>
      </c>
      <c r="BW6" s="8">
        <f>W11/AVERAGE(W8:W14)</f>
        <v>1.000902924084921</v>
      </c>
      <c r="BX6" s="8">
        <f>W12/AVERAGE(W9:W15)</f>
        <v>1.0010492378378952</v>
      </c>
      <c r="BY6">
        <v>1</v>
      </c>
      <c r="CB6">
        <v>1991</v>
      </c>
      <c r="CC6" s="8">
        <f>X9/AVERAGE(X6:X12)</f>
        <v>0.98634830635872817</v>
      </c>
      <c r="CD6" s="8">
        <f>X10/AVERAGE(X7:X13)</f>
        <v>0.98458933178521058</v>
      </c>
      <c r="CE6" s="8">
        <f>X11/AVERAGE(X8:X14)</f>
        <v>0.9794833246272302</v>
      </c>
      <c r="CF6" s="8">
        <f>X12/AVERAGE(X9:X15)</f>
        <v>0.99395443498870761</v>
      </c>
      <c r="CG6">
        <v>1</v>
      </c>
      <c r="CJ6">
        <v>1991</v>
      </c>
      <c r="CK6" s="8">
        <f>Y9/AVERAGE(Y6:Y12)</f>
        <v>1.5818114051434962</v>
      </c>
      <c r="CL6" s="8">
        <f>Y10/AVERAGE(Y7:Y13)</f>
        <v>0.52892598480833775</v>
      </c>
      <c r="CM6" s="8">
        <f>Y11/AVERAGE(Y8:Y14)</f>
        <v>9.0936925903245563E-2</v>
      </c>
      <c r="CN6" s="8">
        <f>Y12/AVERAGE(Y9:Y15)</f>
        <v>3.1875086649105784</v>
      </c>
      <c r="CO6">
        <v>1</v>
      </c>
      <c r="CR6">
        <v>1991</v>
      </c>
      <c r="CS6" s="8">
        <f>AA9/AVERAGE(AA6:AA12)</f>
        <v>0.91998513261542769</v>
      </c>
      <c r="CT6" s="8">
        <f>AA10/AVERAGE(AA7:AA13)</f>
        <v>0.99531283727527819</v>
      </c>
      <c r="CU6" s="8">
        <f>AA11/AVERAGE(AA8:AA14)</f>
        <v>1.0031060910834151</v>
      </c>
      <c r="CV6" s="8">
        <f>AA12/AVERAGE(AA9:AA15)</f>
        <v>1.0495098761792454</v>
      </c>
      <c r="CW6">
        <v>1</v>
      </c>
      <c r="CZ6">
        <v>1991</v>
      </c>
      <c r="DA6" s="8">
        <f>AB9/AVERAGE(AB6:AB12)</f>
        <v>0.93244090920971245</v>
      </c>
      <c r="DB6" s="8">
        <f>AB10/AVERAGE(AB7:AB13)</f>
        <v>1.0072459941292704</v>
      </c>
      <c r="DC6" s="8">
        <f>AB11/AVERAGE(AB8:AB14)</f>
        <v>1.0159358617210292</v>
      </c>
      <c r="DD6" s="8">
        <f>AB12/AVERAGE(AB9:AB15)</f>
        <v>0.96873444836315648</v>
      </c>
      <c r="DE6">
        <v>1</v>
      </c>
      <c r="DH6">
        <v>1991</v>
      </c>
      <c r="DI6" s="8" t="e">
        <f>AC9/AVERAGE(AC6:AC12)</f>
        <v>#N/A</v>
      </c>
      <c r="DJ6" s="8" t="e">
        <f>AC10/AVERAGE(AC7:AC13)</f>
        <v>#N/A</v>
      </c>
      <c r="DK6" s="8" t="e">
        <f>AC11/AVERAGE(AC8:AC14)</f>
        <v>#N/A</v>
      </c>
      <c r="DL6" s="8" t="e">
        <f>AC12/AVERAGE(AC9:AC15)</f>
        <v>#N/A</v>
      </c>
      <c r="DM6">
        <v>1</v>
      </c>
      <c r="DP6">
        <v>1991</v>
      </c>
      <c r="DQ6" s="8" t="e">
        <f>AD9/AVERAGE(AD6:AD12)</f>
        <v>#N/A</v>
      </c>
      <c r="DR6" s="8" t="e">
        <f>AD10/AVERAGE(AD7:AD13)</f>
        <v>#N/A</v>
      </c>
      <c r="DS6" s="8" t="e">
        <f>AD11/AVERAGE(AD8:AD14)</f>
        <v>#N/A</v>
      </c>
      <c r="DT6" s="8" t="e">
        <f>AD12/AVERAGE(AD9:AD15)</f>
        <v>#N/A</v>
      </c>
      <c r="DU6">
        <v>1</v>
      </c>
      <c r="DX6">
        <v>1991</v>
      </c>
      <c r="DY6" s="8" t="e">
        <f>AE9/AVERAGE(AE6:AE12)</f>
        <v>#N/A</v>
      </c>
      <c r="DZ6" s="8" t="e">
        <f>AE10/AVERAGE(AE7:AE13)</f>
        <v>#N/A</v>
      </c>
      <c r="EA6" s="8" t="e">
        <f>AE11/AVERAGE(AE8:AE14)</f>
        <v>#N/A</v>
      </c>
      <c r="EB6" s="8" t="e">
        <f>AE12/AVERAGE(AE9:AE15)</f>
        <v>#N/A</v>
      </c>
      <c r="EC6">
        <v>1</v>
      </c>
      <c r="EF6">
        <v>1991</v>
      </c>
      <c r="EG6" s="8" t="e">
        <f>AF9/AVERAGE(AF6:AF12)</f>
        <v>#N/A</v>
      </c>
      <c r="EH6" s="8" t="e">
        <f>AF10/AVERAGE(AF7:AF13)</f>
        <v>#N/A</v>
      </c>
      <c r="EI6" s="8" t="e">
        <f>AF11/AVERAGE(AF8:AF14)</f>
        <v>#N/A</v>
      </c>
      <c r="EJ6" s="8" t="e">
        <f>AF12/AVERAGE(AF9:AF15)</f>
        <v>#N/A</v>
      </c>
      <c r="EK6">
        <v>1</v>
      </c>
      <c r="EN6">
        <v>1991</v>
      </c>
      <c r="EO6" s="8" t="e">
        <f>AG9/AVERAGE(AG6:AG12)</f>
        <v>#N/A</v>
      </c>
      <c r="EP6" s="8" t="e">
        <f>AG10/AVERAGE(AG7:AG13)</f>
        <v>#N/A</v>
      </c>
      <c r="EQ6" s="8" t="e">
        <f>AG11/AVERAGE(AG8:AG14)</f>
        <v>#N/A</v>
      </c>
      <c r="ER6" s="8" t="e">
        <f>AG12/AVERAGE(AG9:AG15)</f>
        <v>#N/A</v>
      </c>
      <c r="ES6">
        <v>1</v>
      </c>
      <c r="EV6">
        <v>1991</v>
      </c>
      <c r="EW6" s="8" t="e">
        <f>AH9/AVERAGE(AH6:AH12)</f>
        <v>#N/A</v>
      </c>
      <c r="EX6" s="8" t="e">
        <f>AH10/AVERAGE(AH7:AH13)</f>
        <v>#N/A</v>
      </c>
      <c r="EY6" s="8" t="e">
        <f>AH11/AVERAGE(AH8:AH14)</f>
        <v>#N/A</v>
      </c>
      <c r="EZ6" s="8" t="e">
        <f>AH12/AVERAGE(AH9:AH15)</f>
        <v>#N/A</v>
      </c>
      <c r="FA6">
        <v>1</v>
      </c>
      <c r="FD6">
        <v>1991</v>
      </c>
      <c r="FE6" s="8" t="e">
        <f>AI9/AVERAGE(AI6:AI12)</f>
        <v>#N/A</v>
      </c>
      <c r="FF6" s="8" t="e">
        <f>AI10/AVERAGE(AI7:AI13)</f>
        <v>#N/A</v>
      </c>
      <c r="FG6" s="8" t="e">
        <f>AI11/AVERAGE(AI8:AI14)</f>
        <v>#N/A</v>
      </c>
      <c r="FH6" s="8" t="e">
        <f>AI12/AVERAGE(AI9:AI15)</f>
        <v>#N/A</v>
      </c>
      <c r="FI6">
        <v>1</v>
      </c>
    </row>
    <row r="7" spans="1:165" x14ac:dyDescent="0.35">
      <c r="A7" t="s">
        <v>172</v>
      </c>
      <c r="B7" t="str">
        <f t="shared" si="17"/>
        <v>1990</v>
      </c>
      <c r="C7" t="str">
        <f t="shared" si="18"/>
        <v>Q3</v>
      </c>
      <c r="D7" s="13">
        <f>HAVERQ!C13</f>
        <v>215211</v>
      </c>
      <c r="E7" s="13">
        <f>HAVERQ!D13</f>
        <v>6734</v>
      </c>
      <c r="F7" s="13">
        <f>HAVERQ!E13</f>
        <v>78145</v>
      </c>
      <c r="G7" s="13">
        <f>HAVERQ!F13</f>
        <v>72153</v>
      </c>
      <c r="H7" s="13">
        <f>HAVERQ!G13</f>
        <v>-1895</v>
      </c>
      <c r="I7" s="13">
        <f>HAVERQ!H13</f>
        <v>-3101</v>
      </c>
      <c r="J7" s="13">
        <f>HAVERQ!I13</f>
        <v>69065</v>
      </c>
      <c r="K7" s="13">
        <f>HAVERQ!J13</f>
        <v>66865</v>
      </c>
      <c r="L7" s="13" t="e">
        <f>HAVERQ!U13</f>
        <v>#N/A</v>
      </c>
      <c r="M7" s="13" t="e">
        <f>HAVERQ!V13</f>
        <v>#N/A</v>
      </c>
      <c r="N7" s="13" t="e">
        <f>HAVERQ!Y13</f>
        <v>#N/A</v>
      </c>
      <c r="O7" s="13" t="e">
        <f>HAVERQ!Z13</f>
        <v>#N/A</v>
      </c>
      <c r="P7" s="13" t="e">
        <f>HAVERQ!AA13</f>
        <v>#N/A</v>
      </c>
      <c r="Q7" s="13" t="e">
        <f>HAVERQ!AB13</f>
        <v>#N/A</v>
      </c>
      <c r="R7" s="13" t="e">
        <f>HAVERQ!AC13</f>
        <v>#N/A</v>
      </c>
      <c r="U7" s="13">
        <f>HAVERQ!M13</f>
        <v>222850</v>
      </c>
      <c r="V7" s="13">
        <f>HAVERQ!N13</f>
        <v>6746</v>
      </c>
      <c r="W7" s="13">
        <f>HAVERQ!O13</f>
        <v>77933</v>
      </c>
      <c r="X7" s="13">
        <f>HAVERQ!P13</f>
        <v>72151</v>
      </c>
      <c r="Y7" s="13">
        <f>HAVERQ!Q13</f>
        <v>249</v>
      </c>
      <c r="Z7" s="13">
        <f>HAVERQ!R13</f>
        <v>-2987</v>
      </c>
      <c r="AA7" s="13">
        <f>HAVERQ!S13</f>
        <v>68723</v>
      </c>
      <c r="AB7" s="13">
        <f>HAVERQ!T13</f>
        <v>68804</v>
      </c>
      <c r="AC7" s="13" t="e">
        <f>HAVERQ!W13</f>
        <v>#N/A</v>
      </c>
      <c r="AD7" s="13" t="e">
        <f>HAVERQ!X13</f>
        <v>#N/A</v>
      </c>
      <c r="AE7" s="13" t="e">
        <f>HAVERQ!AD13</f>
        <v>#N/A</v>
      </c>
      <c r="AF7" s="13" t="e">
        <f>HAVERQ!AE13</f>
        <v>#N/A</v>
      </c>
      <c r="AG7" s="13" t="e">
        <f>HAVERQ!AF13</f>
        <v>#N/A</v>
      </c>
      <c r="AH7" s="13" t="e">
        <f>HAVERQ!AG13</f>
        <v>#N/A</v>
      </c>
      <c r="AI7" s="13" t="e">
        <f>HAVERQ!AH13</f>
        <v>#N/A</v>
      </c>
      <c r="AL7">
        <v>1992</v>
      </c>
      <c r="AM7" s="15">
        <f t="shared" ref="AM7:AV7" si="21">D13/U13</f>
        <v>1.0488639440710927</v>
      </c>
      <c r="AN7" s="15">
        <f t="shared" si="21"/>
        <v>1.0149552883132902</v>
      </c>
      <c r="AO7" s="15">
        <f t="shared" si="21"/>
        <v>0.99233410033346048</v>
      </c>
      <c r="AP7" s="15">
        <f t="shared" si="21"/>
        <v>0.99980406342316275</v>
      </c>
      <c r="AQ7" s="15">
        <f t="shared" si="21"/>
        <v>0.52893203883495143</v>
      </c>
      <c r="AR7" s="15">
        <f t="shared" si="21"/>
        <v>0.99524375743162896</v>
      </c>
      <c r="AS7" s="15">
        <f t="shared" si="21"/>
        <v>1.0342516753536857</v>
      </c>
      <c r="AT7" s="15">
        <f t="shared" si="21"/>
        <v>1.0260265064717904</v>
      </c>
      <c r="AU7" s="15" t="e">
        <f t="shared" si="21"/>
        <v>#N/A</v>
      </c>
      <c r="AV7" s="15" t="e">
        <f t="shared" si="21"/>
        <v>#N/A</v>
      </c>
      <c r="AW7" s="15" t="e">
        <f t="shared" ref="AW7:BA7" si="22">N13/AE13</f>
        <v>#N/A</v>
      </c>
      <c r="AX7" s="15" t="e">
        <f t="shared" si="22"/>
        <v>#N/A</v>
      </c>
      <c r="AY7" s="15" t="e">
        <f t="shared" si="22"/>
        <v>#N/A</v>
      </c>
      <c r="AZ7" s="15" t="e">
        <f t="shared" si="22"/>
        <v>#N/A</v>
      </c>
      <c r="BA7" s="15" t="e">
        <f t="shared" si="22"/>
        <v>#N/A</v>
      </c>
      <c r="BD7">
        <v>1992</v>
      </c>
      <c r="BE7" s="8">
        <f>U13/AVERAGE(U10:U16)</f>
        <v>0.93652246941228767</v>
      </c>
      <c r="BF7" s="8">
        <f>U14/AVERAGE(U11:U17)</f>
        <v>0.96648650636076183</v>
      </c>
      <c r="BG7" s="8">
        <f>U15/AVERAGE(U12:U18)</f>
        <v>1.0351919690985107</v>
      </c>
      <c r="BH7" s="8">
        <f>U16/AVERAGE(U13:U19)</f>
        <v>1.0429853743775859</v>
      </c>
      <c r="BI7">
        <v>1</v>
      </c>
      <c r="BL7">
        <v>1992</v>
      </c>
      <c r="BM7" s="8">
        <f>V13/AVERAGE(V10:V16)</f>
        <v>0.99742964476372509</v>
      </c>
      <c r="BN7" s="8">
        <f>V14/AVERAGE(V11:V17)</f>
        <v>0.98165780200056918</v>
      </c>
      <c r="BO7" s="8">
        <f>V15/AVERAGE(V12:V18)</f>
        <v>0.96931656690065027</v>
      </c>
      <c r="BP7" s="8">
        <f>V16/AVERAGE(V13:V19)</f>
        <v>0.95283138918345711</v>
      </c>
      <c r="BQ7">
        <v>1</v>
      </c>
      <c r="BT7">
        <v>1992</v>
      </c>
      <c r="BU7" s="8">
        <f>W13/AVERAGE(W10:W16)</f>
        <v>1.0070704156037735</v>
      </c>
      <c r="BV7" s="8">
        <f>W14/AVERAGE(W11:W17)</f>
        <v>0.99367418611926617</v>
      </c>
      <c r="BW7" s="8">
        <f>W15/AVERAGE(W12:W18)</f>
        <v>1.000807043936109</v>
      </c>
      <c r="BX7" s="8">
        <f>W16/AVERAGE(W13:W19)</f>
        <v>1.010001769598301</v>
      </c>
      <c r="BY7">
        <v>1</v>
      </c>
      <c r="CB7">
        <v>1992</v>
      </c>
      <c r="CC7" s="8">
        <f>X13/AVERAGE(X10:X16)</f>
        <v>1.0046268956969222</v>
      </c>
      <c r="CD7" s="8">
        <f>X14/AVERAGE(X11:X17)</f>
        <v>1.0004789614555227</v>
      </c>
      <c r="CE7" s="8">
        <f>X15/AVERAGE(X12:X18)</f>
        <v>1.00452778006563</v>
      </c>
      <c r="CF7" s="8">
        <f>X16/AVERAGE(X13:X19)</f>
        <v>0.98122372155856774</v>
      </c>
      <c r="CG7">
        <v>1</v>
      </c>
      <c r="CJ7">
        <v>1992</v>
      </c>
      <c r="CK7" s="8">
        <f>Y13/AVERAGE(Y10:Y16)</f>
        <v>1.2774627923458539</v>
      </c>
      <c r="CL7" s="8">
        <f>Y14/AVERAGE(Y11:Y17)</f>
        <v>-1.2564414336170459E-2</v>
      </c>
      <c r="CM7" s="8">
        <f>Y15/AVERAGE(Y12:Y18)</f>
        <v>-0.4849133161195131</v>
      </c>
      <c r="CN7" s="8">
        <f>Y16/AVERAGE(Y13:Y19)</f>
        <v>4.4738041002277908</v>
      </c>
      <c r="CO7">
        <v>1</v>
      </c>
      <c r="CR7">
        <v>1992</v>
      </c>
      <c r="CS7" s="8">
        <f>AA13/AVERAGE(AA10:AA16)</f>
        <v>0.95680468413238184</v>
      </c>
      <c r="CT7" s="8">
        <f>AA14/AVERAGE(AA11:AA17)</f>
        <v>0.99809413997571128</v>
      </c>
      <c r="CU7" s="8">
        <f>AA15/AVERAGE(AA12:AA18)</f>
        <v>0.98500495565525981</v>
      </c>
      <c r="CV7" s="8">
        <f>AA16/AVERAGE(AA13:AA19)</f>
        <v>1.0508109103229735</v>
      </c>
      <c r="CW7">
        <v>1</v>
      </c>
      <c r="CZ7">
        <v>1992</v>
      </c>
      <c r="DA7" s="8">
        <f>AB13/AVERAGE(AB10:AB16)</f>
        <v>0.96398355678367964</v>
      </c>
      <c r="DB7" s="8">
        <f>AB14/AVERAGE(AB11:AB17)</f>
        <v>1.0436499260224714</v>
      </c>
      <c r="DC7" s="8">
        <f>AB15/AVERAGE(AB12:AB18)</f>
        <v>1.0399813316739266</v>
      </c>
      <c r="DD7" s="8">
        <f>AB16/AVERAGE(AB13:AB19)</f>
        <v>0.98187549251379047</v>
      </c>
      <c r="DE7">
        <v>1</v>
      </c>
      <c r="DH7">
        <v>1992</v>
      </c>
      <c r="DI7" s="8" t="e">
        <f>AC13/AVERAGE(AC10:AC16)</f>
        <v>#N/A</v>
      </c>
      <c r="DJ7" s="8" t="e">
        <f>AC14/AVERAGE(AC11:AC17)</f>
        <v>#N/A</v>
      </c>
      <c r="DK7" s="8" t="e">
        <f>AC15/AVERAGE(AC12:AC18)</f>
        <v>#N/A</v>
      </c>
      <c r="DL7" s="8" t="e">
        <f>AC16/AVERAGE(AC13:AC19)</f>
        <v>#N/A</v>
      </c>
      <c r="DM7">
        <v>1</v>
      </c>
      <c r="DP7">
        <v>1992</v>
      </c>
      <c r="DQ7" s="8" t="e">
        <f>AD13/AVERAGE(AD10:AD16)</f>
        <v>#N/A</v>
      </c>
      <c r="DR7" s="8" t="e">
        <f>AD14/AVERAGE(AD11:AD17)</f>
        <v>#N/A</v>
      </c>
      <c r="DS7" s="8" t="e">
        <f>AD15/AVERAGE(AD12:AD18)</f>
        <v>#N/A</v>
      </c>
      <c r="DT7" s="8" t="e">
        <f>AD16/AVERAGE(AD13:AD19)</f>
        <v>#N/A</v>
      </c>
      <c r="DU7">
        <v>1</v>
      </c>
      <c r="DX7">
        <v>1992</v>
      </c>
      <c r="DY7" s="8" t="e">
        <f>AE13/AVERAGE(AE10:AE16)</f>
        <v>#N/A</v>
      </c>
      <c r="DZ7" s="8" t="e">
        <f>AE14/AVERAGE(AE11:AE17)</f>
        <v>#N/A</v>
      </c>
      <c r="EA7" s="8" t="e">
        <f>AE15/AVERAGE(AE12:AE18)</f>
        <v>#N/A</v>
      </c>
      <c r="EB7" s="8" t="e">
        <f>AE16/AVERAGE(AE13:AE19)</f>
        <v>#N/A</v>
      </c>
      <c r="EC7">
        <v>1</v>
      </c>
      <c r="EF7">
        <v>1992</v>
      </c>
      <c r="EG7" s="8" t="e">
        <f>AF13/AVERAGE(AF10:AF16)</f>
        <v>#N/A</v>
      </c>
      <c r="EH7" s="8" t="e">
        <f>AF14/AVERAGE(AF11:AF17)</f>
        <v>#N/A</v>
      </c>
      <c r="EI7" s="8" t="e">
        <f>AF15/AVERAGE(AF12:AF18)</f>
        <v>#N/A</v>
      </c>
      <c r="EJ7" s="8" t="e">
        <f>AF16/AVERAGE(AF13:AF19)</f>
        <v>#N/A</v>
      </c>
      <c r="EK7">
        <v>1</v>
      </c>
      <c r="EN7">
        <v>1992</v>
      </c>
      <c r="EO7" s="8" t="e">
        <f>AG13/AVERAGE(AG10:AG16)</f>
        <v>#N/A</v>
      </c>
      <c r="EP7" s="8" t="e">
        <f>AG14/AVERAGE(AG11:AG17)</f>
        <v>#N/A</v>
      </c>
      <c r="EQ7" s="8" t="e">
        <f>AG15/AVERAGE(AG12:AG18)</f>
        <v>#N/A</v>
      </c>
      <c r="ER7" s="8" t="e">
        <f>AG16/AVERAGE(AG13:AG19)</f>
        <v>#N/A</v>
      </c>
      <c r="ES7">
        <v>1</v>
      </c>
      <c r="EV7">
        <v>1992</v>
      </c>
      <c r="EW7" s="8" t="e">
        <f>AH13/AVERAGE(AH10:AH16)</f>
        <v>#N/A</v>
      </c>
      <c r="EX7" s="8" t="e">
        <f>AH14/AVERAGE(AH11:AH17)</f>
        <v>#N/A</v>
      </c>
      <c r="EY7" s="8" t="e">
        <f>AH15/AVERAGE(AH12:AH18)</f>
        <v>#N/A</v>
      </c>
      <c r="EZ7" s="8" t="e">
        <f>AH16/AVERAGE(AH13:AH19)</f>
        <v>#N/A</v>
      </c>
      <c r="FA7">
        <v>1</v>
      </c>
      <c r="FD7">
        <v>1992</v>
      </c>
      <c r="FE7" s="8" t="e">
        <f>AI13/AVERAGE(AI10:AI16)</f>
        <v>#N/A</v>
      </c>
      <c r="FF7" s="8" t="e">
        <f>AI14/AVERAGE(AI11:AI17)</f>
        <v>#N/A</v>
      </c>
      <c r="FG7" s="8" t="e">
        <f>AI15/AVERAGE(AI12:AI18)</f>
        <v>#N/A</v>
      </c>
      <c r="FH7" s="8" t="e">
        <f>AI16/AVERAGE(AI13:AI19)</f>
        <v>#N/A</v>
      </c>
      <c r="FI7">
        <v>1</v>
      </c>
    </row>
    <row r="8" spans="1:165" x14ac:dyDescent="0.35">
      <c r="A8" t="s">
        <v>173</v>
      </c>
      <c r="B8" t="str">
        <f t="shared" si="17"/>
        <v>1990</v>
      </c>
      <c r="C8" t="str">
        <f t="shared" si="18"/>
        <v>Q4</v>
      </c>
      <c r="D8" s="13">
        <f>HAVERQ!C14</f>
        <v>215007</v>
      </c>
      <c r="E8" s="13">
        <f>HAVERQ!D14</f>
        <v>6832</v>
      </c>
      <c r="F8" s="13">
        <f>HAVERQ!E14</f>
        <v>78838</v>
      </c>
      <c r="G8" s="13">
        <f>HAVERQ!F14</f>
        <v>71349</v>
      </c>
      <c r="H8" s="13">
        <f>HAVERQ!G14</f>
        <v>-6060</v>
      </c>
      <c r="I8" s="13">
        <f>HAVERQ!H14</f>
        <v>1053</v>
      </c>
      <c r="J8" s="13">
        <f>HAVERQ!I14</f>
        <v>69632</v>
      </c>
      <c r="K8" s="13">
        <f>HAVERQ!J14</f>
        <v>65714</v>
      </c>
      <c r="L8" s="13" t="e">
        <f>HAVERQ!U14</f>
        <v>#N/A</v>
      </c>
      <c r="M8" s="13" t="e">
        <f>HAVERQ!V14</f>
        <v>#N/A</v>
      </c>
      <c r="N8" s="13" t="e">
        <f>HAVERQ!Y14</f>
        <v>#N/A</v>
      </c>
      <c r="O8" s="13" t="e">
        <f>HAVERQ!Z14</f>
        <v>#N/A</v>
      </c>
      <c r="P8" s="13" t="e">
        <f>HAVERQ!AA14</f>
        <v>#N/A</v>
      </c>
      <c r="Q8" s="13" t="e">
        <f>HAVERQ!AB14</f>
        <v>#N/A</v>
      </c>
      <c r="R8" s="13" t="e">
        <f>HAVERQ!AC14</f>
        <v>#N/A</v>
      </c>
      <c r="U8" s="13">
        <f>HAVERQ!M14</f>
        <v>229518</v>
      </c>
      <c r="V8" s="13">
        <f>HAVERQ!N14</f>
        <v>6807</v>
      </c>
      <c r="W8" s="13">
        <f>HAVERQ!O14</f>
        <v>79026</v>
      </c>
      <c r="X8" s="13">
        <f>HAVERQ!P14</f>
        <v>71347</v>
      </c>
      <c r="Y8" s="13">
        <f>HAVERQ!Q14</f>
        <v>-7497</v>
      </c>
      <c r="Z8" s="13">
        <f>HAVERQ!R14</f>
        <v>1002</v>
      </c>
      <c r="AA8" s="13">
        <f>HAVERQ!S14</f>
        <v>72648</v>
      </c>
      <c r="AB8" s="13">
        <f>HAVERQ!T14</f>
        <v>64390</v>
      </c>
      <c r="AC8" s="13" t="e">
        <f>HAVERQ!W14</f>
        <v>#N/A</v>
      </c>
      <c r="AD8" s="13" t="e">
        <f>HAVERQ!X14</f>
        <v>#N/A</v>
      </c>
      <c r="AE8" s="13" t="e">
        <f>HAVERQ!AD14</f>
        <v>#N/A</v>
      </c>
      <c r="AF8" s="13" t="e">
        <f>HAVERQ!AE14</f>
        <v>#N/A</v>
      </c>
      <c r="AG8" s="13" t="e">
        <f>HAVERQ!AF14</f>
        <v>#N/A</v>
      </c>
      <c r="AH8" s="13" t="e">
        <f>HAVERQ!AG14</f>
        <v>#N/A</v>
      </c>
      <c r="AI8" s="13" t="e">
        <f>HAVERQ!AH14</f>
        <v>#N/A</v>
      </c>
      <c r="AL8">
        <v>1993</v>
      </c>
      <c r="AM8" s="15">
        <f t="shared" ref="AM8:AV8" si="23">D17/U17</f>
        <v>1.0438045474878412</v>
      </c>
      <c r="AN8" s="15">
        <f t="shared" si="23"/>
        <v>1.0097188995215312</v>
      </c>
      <c r="AO8" s="15">
        <f t="shared" si="23"/>
        <v>0.99475541734537731</v>
      </c>
      <c r="AP8" s="15">
        <f t="shared" si="23"/>
        <v>0.99990940661331718</v>
      </c>
      <c r="AQ8" s="15">
        <f t="shared" si="23"/>
        <v>0.11576354679802955</v>
      </c>
      <c r="AR8" s="15">
        <f t="shared" si="23"/>
        <v>0.99557522123893805</v>
      </c>
      <c r="AS8" s="15">
        <f t="shared" si="23"/>
        <v>1.0276267369692975</v>
      </c>
      <c r="AT8" s="15">
        <f t="shared" si="23"/>
        <v>1.0364288466668643</v>
      </c>
      <c r="AU8" s="15" t="e">
        <f t="shared" si="23"/>
        <v>#N/A</v>
      </c>
      <c r="AV8" s="15" t="e">
        <f t="shared" si="23"/>
        <v>#N/A</v>
      </c>
      <c r="AW8" s="15" t="e">
        <f t="shared" ref="AW8:BA8" si="24">N17/AE17</f>
        <v>#N/A</v>
      </c>
      <c r="AX8" s="15" t="e">
        <f t="shared" si="24"/>
        <v>#N/A</v>
      </c>
      <c r="AY8" s="15" t="e">
        <f t="shared" si="24"/>
        <v>#N/A</v>
      </c>
      <c r="AZ8" s="15" t="e">
        <f t="shared" si="24"/>
        <v>#N/A</v>
      </c>
      <c r="BA8" s="15" t="e">
        <f t="shared" si="24"/>
        <v>#N/A</v>
      </c>
      <c r="BD8">
        <v>1993</v>
      </c>
      <c r="BE8" s="8">
        <f>U17/AVERAGE(U14:U20)</f>
        <v>0.94992286138102999</v>
      </c>
      <c r="BF8" s="8">
        <f>U18/AVERAGE(U15:U21)</f>
        <v>0.95844284406485003</v>
      </c>
      <c r="BG8" s="8">
        <f>U19/AVERAGE(U16:U22)</f>
        <v>1.0385274754388469</v>
      </c>
      <c r="BH8" s="8">
        <f>U20/AVERAGE(U17:U23)</f>
        <v>1.0457648105351147</v>
      </c>
      <c r="BI8">
        <v>1</v>
      </c>
      <c r="BL8">
        <v>1993</v>
      </c>
      <c r="BM8" s="8">
        <f>V17/AVERAGE(V14:V20)</f>
        <v>0.97387252454651352</v>
      </c>
      <c r="BN8" s="8">
        <f>V18/AVERAGE(V15:V21)</f>
        <v>1.050507318865729</v>
      </c>
      <c r="BO8" s="8">
        <f>V19/AVERAGE(V16:V22)</f>
        <v>1.0325066554574751</v>
      </c>
      <c r="BP8" s="8">
        <f>V20/AVERAGE(V17:V23)</f>
        <v>1.0152316065625122</v>
      </c>
      <c r="BQ8">
        <v>1</v>
      </c>
      <c r="BT8">
        <v>1993</v>
      </c>
      <c r="BU8" s="8">
        <f>W17/AVERAGE(W14:W20)</f>
        <v>1.0042631239775939</v>
      </c>
      <c r="BV8" s="8">
        <f>W18/AVERAGE(W15:W21)</f>
        <v>0.98445216561016369</v>
      </c>
      <c r="BW8" s="8">
        <f>W19/AVERAGE(W16:W22)</f>
        <v>0.9963439155587489</v>
      </c>
      <c r="BX8" s="8">
        <f>W20/AVERAGE(W17:W23)</f>
        <v>1.0010609189923918</v>
      </c>
      <c r="BY8">
        <v>1</v>
      </c>
      <c r="CB8">
        <v>1993</v>
      </c>
      <c r="CC8" s="8">
        <f>X17/AVERAGE(X14:X20)</f>
        <v>1.003193878831681</v>
      </c>
      <c r="CD8" s="8">
        <f>X18/AVERAGE(X15:X21)</f>
        <v>0.99274689729580734</v>
      </c>
      <c r="CE8" s="8">
        <f>X19/AVERAGE(X16:X22)</f>
        <v>0.99263371157700953</v>
      </c>
      <c r="CF8" s="8">
        <f>X20/AVERAGE(X17:X23)</f>
        <v>1.0077742370126397</v>
      </c>
      <c r="CG8">
        <v>1</v>
      </c>
      <c r="CJ8">
        <v>1993</v>
      </c>
      <c r="CK8" s="8">
        <f>Y17/AVERAGE(Y14:Y20)</f>
        <v>9.7467847956559019</v>
      </c>
      <c r="CL8" s="8">
        <f>Y18/AVERAGE(Y15:Y21)</f>
        <v>-3.9597948378557244</v>
      </c>
      <c r="CM8" s="8">
        <f>Y19/AVERAGE(Y16:Y22)</f>
        <v>4.5300462249614792</v>
      </c>
      <c r="CN8" s="8">
        <f>Y20/AVERAGE(Y17:Y23)</f>
        <v>5.6105977958365805E-2</v>
      </c>
      <c r="CO8">
        <v>1</v>
      </c>
      <c r="CR8">
        <v>1993</v>
      </c>
      <c r="CS8" s="8">
        <f>AA17/AVERAGE(AA14:AA20)</f>
        <v>0.97857221009714768</v>
      </c>
      <c r="CT8" s="8">
        <f>AA18/AVERAGE(AA15:AA21)</f>
        <v>0.96808383517473562</v>
      </c>
      <c r="CU8" s="8">
        <f>AA19/AVERAGE(AA16:AA22)</f>
        <v>0.99793993500429556</v>
      </c>
      <c r="CV8" s="8">
        <f>AA20/AVERAGE(AA17:AA23)</f>
        <v>1.0173661733778885</v>
      </c>
      <c r="CW8">
        <v>1</v>
      </c>
      <c r="CZ8">
        <v>1993</v>
      </c>
      <c r="DA8" s="8">
        <f>AB17/AVERAGE(AB14:AB20)</f>
        <v>0.96212551766002397</v>
      </c>
      <c r="DB8" s="8">
        <f>AB18/AVERAGE(AB15:AB21)</f>
        <v>1.0068883069566208</v>
      </c>
      <c r="DC8" s="8">
        <f>AB19/AVERAGE(AB16:AB22)</f>
        <v>1.0289328375028173</v>
      </c>
      <c r="DD8" s="8">
        <f>AB20/AVERAGE(AB17:AB23)</f>
        <v>0.98148177511743595</v>
      </c>
      <c r="DE8">
        <v>1</v>
      </c>
      <c r="DH8">
        <v>1993</v>
      </c>
      <c r="DI8" s="8" t="e">
        <f>AC17/AVERAGE(AC14:AC20)</f>
        <v>#N/A</v>
      </c>
      <c r="DJ8" s="8" t="e">
        <f>AC18/AVERAGE(AC15:AC21)</f>
        <v>#N/A</v>
      </c>
      <c r="DK8" s="8" t="e">
        <f>AC19/AVERAGE(AC16:AC22)</f>
        <v>#N/A</v>
      </c>
      <c r="DL8" s="8" t="e">
        <f>AC20/AVERAGE(AC17:AC23)</f>
        <v>#N/A</v>
      </c>
      <c r="DM8">
        <v>1</v>
      </c>
      <c r="DP8">
        <v>1993</v>
      </c>
      <c r="DQ8" s="8" t="e">
        <f>AD17/AVERAGE(AD14:AD20)</f>
        <v>#N/A</v>
      </c>
      <c r="DR8" s="8" t="e">
        <f>AD18/AVERAGE(AD15:AD21)</f>
        <v>#N/A</v>
      </c>
      <c r="DS8" s="8" t="e">
        <f>AD19/AVERAGE(AD16:AD22)</f>
        <v>#N/A</v>
      </c>
      <c r="DT8" s="8" t="e">
        <f>AD20/AVERAGE(AD17:AD23)</f>
        <v>#N/A</v>
      </c>
      <c r="DU8">
        <v>1</v>
      </c>
      <c r="DX8">
        <v>1993</v>
      </c>
      <c r="DY8" s="8" t="e">
        <f>AE17/AVERAGE(AE14:AE20)</f>
        <v>#N/A</v>
      </c>
      <c r="DZ8" s="8" t="e">
        <f>AE18/AVERAGE(AE15:AE21)</f>
        <v>#N/A</v>
      </c>
      <c r="EA8" s="8" t="e">
        <f>AE19/AVERAGE(AE16:AE22)</f>
        <v>#N/A</v>
      </c>
      <c r="EB8" s="8" t="e">
        <f>AE20/AVERAGE(AE17:AE23)</f>
        <v>#N/A</v>
      </c>
      <c r="EC8">
        <v>1</v>
      </c>
      <c r="EF8">
        <v>1993</v>
      </c>
      <c r="EG8" s="8" t="e">
        <f>AF17/AVERAGE(AF14:AF20)</f>
        <v>#N/A</v>
      </c>
      <c r="EH8" s="8" t="e">
        <f>AF18/AVERAGE(AF15:AF21)</f>
        <v>#N/A</v>
      </c>
      <c r="EI8" s="8" t="e">
        <f>AF19/AVERAGE(AF16:AF22)</f>
        <v>#N/A</v>
      </c>
      <c r="EJ8" s="8" t="e">
        <f>AF20/AVERAGE(AF17:AF23)</f>
        <v>#N/A</v>
      </c>
      <c r="EK8">
        <v>1</v>
      </c>
      <c r="EN8">
        <v>1993</v>
      </c>
      <c r="EO8" s="8" t="e">
        <f>AG17/AVERAGE(AG14:AG20)</f>
        <v>#N/A</v>
      </c>
      <c r="EP8" s="8" t="e">
        <f>AG18/AVERAGE(AG15:AG21)</f>
        <v>#N/A</v>
      </c>
      <c r="EQ8" s="8" t="e">
        <f>AG19/AVERAGE(AG16:AG22)</f>
        <v>#N/A</v>
      </c>
      <c r="ER8" s="8" t="e">
        <f>AG20/AVERAGE(AG17:AG23)</f>
        <v>#N/A</v>
      </c>
      <c r="ES8">
        <v>1</v>
      </c>
      <c r="EV8">
        <v>1993</v>
      </c>
      <c r="EW8" s="8" t="e">
        <f>AH17/AVERAGE(AH14:AH20)</f>
        <v>#N/A</v>
      </c>
      <c r="EX8" s="8" t="e">
        <f>AH18/AVERAGE(AH15:AH21)</f>
        <v>#N/A</v>
      </c>
      <c r="EY8" s="8" t="e">
        <f>AH19/AVERAGE(AH16:AH22)</f>
        <v>#N/A</v>
      </c>
      <c r="EZ8" s="8" t="e">
        <f>AH20/AVERAGE(AH17:AH23)</f>
        <v>#N/A</v>
      </c>
      <c r="FA8">
        <v>1</v>
      </c>
      <c r="FD8">
        <v>1993</v>
      </c>
      <c r="FE8" s="8" t="e">
        <f>AI17/AVERAGE(AI14:AI20)</f>
        <v>#N/A</v>
      </c>
      <c r="FF8" s="8" t="e">
        <f>AI18/AVERAGE(AI15:AI21)</f>
        <v>#N/A</v>
      </c>
      <c r="FG8" s="8" t="e">
        <f>AI19/AVERAGE(AI16:AI22)</f>
        <v>#N/A</v>
      </c>
      <c r="FH8" s="8" t="e">
        <f>AI20/AVERAGE(AI17:AI23)</f>
        <v>#N/A</v>
      </c>
      <c r="FI8">
        <v>1</v>
      </c>
    </row>
    <row r="9" spans="1:165" x14ac:dyDescent="0.35">
      <c r="A9" t="s">
        <v>174</v>
      </c>
      <c r="B9" t="str">
        <f t="shared" si="17"/>
        <v>1991</v>
      </c>
      <c r="C9" t="str">
        <f t="shared" si="18"/>
        <v>Q1</v>
      </c>
      <c r="D9" s="13">
        <f>HAVERQ!C15</f>
        <v>214735</v>
      </c>
      <c r="E9" s="13">
        <f>HAVERQ!D15</f>
        <v>6531</v>
      </c>
      <c r="F9" s="13">
        <f>HAVERQ!E15</f>
        <v>79041</v>
      </c>
      <c r="G9" s="13">
        <f>HAVERQ!F15</f>
        <v>68137</v>
      </c>
      <c r="H9" s="13">
        <f>HAVERQ!G15</f>
        <v>-1893</v>
      </c>
      <c r="I9" s="13">
        <f>HAVERQ!H15</f>
        <v>-2024</v>
      </c>
      <c r="J9" s="13">
        <f>HAVERQ!I15</f>
        <v>66995</v>
      </c>
      <c r="K9" s="13">
        <f>HAVERQ!J15</f>
        <v>63535</v>
      </c>
      <c r="L9" s="13" t="e">
        <f>HAVERQ!U15</f>
        <v>#N/A</v>
      </c>
      <c r="M9" s="13" t="e">
        <f>HAVERQ!V15</f>
        <v>#N/A</v>
      </c>
      <c r="N9" s="13" t="e">
        <f>HAVERQ!Y15</f>
        <v>#N/A</v>
      </c>
      <c r="O9" s="13" t="e">
        <f>HAVERQ!Z15</f>
        <v>#N/A</v>
      </c>
      <c r="P9" s="13" t="e">
        <f>HAVERQ!AA15</f>
        <v>#N/A</v>
      </c>
      <c r="Q9" s="13" t="e">
        <f>HAVERQ!AB15</f>
        <v>#N/A</v>
      </c>
      <c r="R9" s="13" t="e">
        <f>HAVERQ!AC15</f>
        <v>#N/A</v>
      </c>
      <c r="U9" s="13">
        <f>HAVERQ!M15</f>
        <v>200541</v>
      </c>
      <c r="V9" s="13">
        <f>HAVERQ!N15</f>
        <v>6475</v>
      </c>
      <c r="W9" s="13">
        <f>HAVERQ!O15</f>
        <v>79913</v>
      </c>
      <c r="X9" s="13">
        <f>HAVERQ!P15</f>
        <v>68143</v>
      </c>
      <c r="Y9" s="13">
        <f>HAVERQ!Q15</f>
        <v>-4244</v>
      </c>
      <c r="Z9" s="13">
        <f>HAVERQ!R15</f>
        <v>-1987</v>
      </c>
      <c r="AA9" s="13">
        <f>HAVERQ!S15</f>
        <v>64001</v>
      </c>
      <c r="AB9" s="13">
        <f>HAVERQ!T15</f>
        <v>61158</v>
      </c>
      <c r="AC9" s="13" t="e">
        <f>HAVERQ!W15</f>
        <v>#N/A</v>
      </c>
      <c r="AD9" s="13" t="e">
        <f>HAVERQ!X15</f>
        <v>#N/A</v>
      </c>
      <c r="AE9" s="13" t="e">
        <f>HAVERQ!AD15</f>
        <v>#N/A</v>
      </c>
      <c r="AF9" s="13" t="e">
        <f>HAVERQ!AE15</f>
        <v>#N/A</v>
      </c>
      <c r="AG9" s="13" t="e">
        <f>HAVERQ!AF15</f>
        <v>#N/A</v>
      </c>
      <c r="AH9" s="13" t="e">
        <f>HAVERQ!AG15</f>
        <v>#N/A</v>
      </c>
      <c r="AI9" s="13" t="e">
        <f>HAVERQ!AH15</f>
        <v>#N/A</v>
      </c>
      <c r="AL9">
        <v>1994</v>
      </c>
      <c r="AM9" s="15">
        <f ca="1">OFFSET($D$5, (ROW(D5)-1)*4,0)/OFFSET($U$5, (ROW(U5)-1)*4,0)</f>
        <v>1.0369941722445744</v>
      </c>
      <c r="AN9" s="15">
        <f t="shared" ref="AN9:AV9" ca="1" si="25">OFFSET(E$5, (ROW(E5)-1)*4,0)/OFFSET(V$5, (ROW(V5)-1)*4,0)</f>
        <v>1.0009565455042362</v>
      </c>
      <c r="AO9" s="15">
        <f t="shared" ca="1" si="25"/>
        <v>0.99602542738998956</v>
      </c>
      <c r="AP9" s="15">
        <f t="shared" ca="1" si="25"/>
        <v>0.9998239617410184</v>
      </c>
      <c r="AQ9" s="15">
        <f t="shared" ca="1" si="25"/>
        <v>0.71479713603818618</v>
      </c>
      <c r="AR9" s="15">
        <f t="shared" ca="1" si="25"/>
        <v>0.99717514124293782</v>
      </c>
      <c r="AS9" s="15">
        <f t="shared" ca="1" si="25"/>
        <v>1.0231859606068741</v>
      </c>
      <c r="AT9" s="15">
        <f t="shared" ca="1" si="25"/>
        <v>1.0324982788416956</v>
      </c>
      <c r="AU9" s="15" t="e">
        <f t="shared" ca="1" si="25"/>
        <v>#N/A</v>
      </c>
      <c r="AV9" s="15" t="e">
        <f t="shared" ca="1" si="25"/>
        <v>#N/A</v>
      </c>
      <c r="AW9" s="15" t="e">
        <f t="shared" ref="AW9:BA9" ca="1" si="26">OFFSET(N$5, (ROW(N5)-1)*4,0)/OFFSET(AE$5, (ROW(AE5)-1)*4,0)</f>
        <v>#N/A</v>
      </c>
      <c r="AX9" s="15" t="e">
        <f t="shared" ca="1" si="26"/>
        <v>#N/A</v>
      </c>
      <c r="AY9" s="15" t="e">
        <f t="shared" ca="1" si="26"/>
        <v>#N/A</v>
      </c>
      <c r="AZ9" s="15" t="e">
        <f t="shared" ca="1" si="26"/>
        <v>#N/A</v>
      </c>
      <c r="BA9" s="15" t="e">
        <f t="shared" ca="1" si="26"/>
        <v>#N/A</v>
      </c>
      <c r="BD9">
        <v>1994</v>
      </c>
      <c r="BE9" s="8">
        <f>U21/AVERAGE(U18:U24)</f>
        <v>0.96315269441180851</v>
      </c>
      <c r="BF9" s="8">
        <f>U22/AVERAGE(U19:U25)</f>
        <v>0.96724410254682103</v>
      </c>
      <c r="BG9" s="8">
        <f>U23/AVERAGE(U20:U26)</f>
        <v>1.0379031874613673</v>
      </c>
      <c r="BH9" s="8">
        <f>U24/AVERAGE(U21:U27)</f>
        <v>1.042579990411735</v>
      </c>
      <c r="BI9">
        <v>1</v>
      </c>
      <c r="BL9">
        <v>1994</v>
      </c>
      <c r="BM9" s="8">
        <f>V21/AVERAGE(V18:V24)</f>
        <v>0.98450953259532603</v>
      </c>
      <c r="BN9" s="8">
        <f>V22/AVERAGE(V19:V25)</f>
        <v>0.98534777651083238</v>
      </c>
      <c r="BO9" s="8">
        <f>V23/AVERAGE(V20:V26)</f>
        <v>0.99096543951915861</v>
      </c>
      <c r="BP9" s="8">
        <f>V24/AVERAGE(V21:V27)</f>
        <v>0.99237547537334203</v>
      </c>
      <c r="BQ9">
        <v>1</v>
      </c>
      <c r="BT9">
        <v>1994</v>
      </c>
      <c r="BU9" s="8">
        <f>W21/AVERAGE(W18:W24)</f>
        <v>0.9998078326698564</v>
      </c>
      <c r="BV9" s="8">
        <f>W22/AVERAGE(W19:W25)</f>
        <v>1.0030873022416269</v>
      </c>
      <c r="BW9" s="8">
        <f>W23/AVERAGE(W20:W26)</f>
        <v>0.99836697584557965</v>
      </c>
      <c r="BX9" s="8">
        <f>W24/AVERAGE(W21:W27)</f>
        <v>0.99892309276587132</v>
      </c>
      <c r="BY9">
        <v>1</v>
      </c>
      <c r="CB9">
        <v>1994</v>
      </c>
      <c r="CC9" s="8">
        <f>X21/AVERAGE(X18:X24)</f>
        <v>1.0175220491649466</v>
      </c>
      <c r="CD9" s="8">
        <f>X22/AVERAGE(X19:X25)</f>
        <v>0.99547900418894542</v>
      </c>
      <c r="CE9" s="8">
        <f>X23/AVERAGE(X20:X26)</f>
        <v>1.0001869484489654</v>
      </c>
      <c r="CF9" s="8">
        <f>X24/AVERAGE(X21:X27)</f>
        <v>1.0053530006542557</v>
      </c>
      <c r="CG9">
        <v>1</v>
      </c>
      <c r="CJ9">
        <v>1994</v>
      </c>
      <c r="CK9" s="8">
        <f>Y21/AVERAGE(Y18:Y24)</f>
        <v>-1.0120190925297601</v>
      </c>
      <c r="CL9" s="8">
        <f>Y22/AVERAGE(Y19:Y25)</f>
        <v>5.2870302809193728</v>
      </c>
      <c r="CM9" s="8">
        <f>Y23/AVERAGE(Y20:Y26)</f>
        <v>1.4480233454465368</v>
      </c>
      <c r="CN9" s="8">
        <f>Y24/AVERAGE(Y21:Y27)</f>
        <v>1.1066475798514808</v>
      </c>
      <c r="CO9">
        <v>1</v>
      </c>
      <c r="CR9">
        <v>1994</v>
      </c>
      <c r="CS9" s="8">
        <f>AA21/AVERAGE(AA18:AA24)</f>
        <v>0.98511336756994983</v>
      </c>
      <c r="CT9" s="8">
        <f>AA22/AVERAGE(AA19:AA25)</f>
        <v>0.97710041450704521</v>
      </c>
      <c r="CU9" s="8">
        <f>AA23/AVERAGE(AA20:AA26)</f>
        <v>1.0099401729714093</v>
      </c>
      <c r="CV9" s="8">
        <f>AA24/AVERAGE(AA21:AA27)</f>
        <v>1.018398737755128</v>
      </c>
      <c r="CW9">
        <v>1</v>
      </c>
      <c r="CZ9">
        <v>1994</v>
      </c>
      <c r="DA9" s="8">
        <f>AB21/AVERAGE(AB18:AB24)</f>
        <v>0.97166210620956772</v>
      </c>
      <c r="DB9" s="8">
        <f>AB22/AVERAGE(AB19:AB25)</f>
        <v>1.0296371938434778</v>
      </c>
      <c r="DC9" s="8">
        <f>AB23/AVERAGE(AB20:AB26)</f>
        <v>1.0135808500244261</v>
      </c>
      <c r="DD9" s="8">
        <f>AB24/AVERAGE(AB21:AB27)</f>
        <v>0.99458772466668421</v>
      </c>
      <c r="DE9">
        <v>1</v>
      </c>
      <c r="DH9">
        <v>1994</v>
      </c>
      <c r="DI9" s="8" t="e">
        <f>AC21/AVERAGE(AC18:AC24)</f>
        <v>#N/A</v>
      </c>
      <c r="DJ9" s="8" t="e">
        <f>AC22/AVERAGE(AC19:AC25)</f>
        <v>#N/A</v>
      </c>
      <c r="DK9" s="8" t="e">
        <f>AC23/AVERAGE(AC20:AC26)</f>
        <v>#N/A</v>
      </c>
      <c r="DL9" s="8" t="e">
        <f>AC24/AVERAGE(AC21:AC27)</f>
        <v>#N/A</v>
      </c>
      <c r="DM9">
        <v>1</v>
      </c>
      <c r="DP9">
        <v>1994</v>
      </c>
      <c r="DQ9" s="8" t="e">
        <f>AD21/AVERAGE(AD18:AD24)</f>
        <v>#N/A</v>
      </c>
      <c r="DR9" s="8" t="e">
        <f>AD22/AVERAGE(AD19:AD25)</f>
        <v>#N/A</v>
      </c>
      <c r="DS9" s="8" t="e">
        <f>AD23/AVERAGE(AD20:AD26)</f>
        <v>#N/A</v>
      </c>
      <c r="DT9" s="8" t="e">
        <f>AD24/AVERAGE(AD21:AD27)</f>
        <v>#N/A</v>
      </c>
      <c r="DU9">
        <v>1</v>
      </c>
      <c r="DX9">
        <v>1994</v>
      </c>
      <c r="DY9" s="8" t="e">
        <f>AE21/AVERAGE(AE18:AE24)</f>
        <v>#N/A</v>
      </c>
      <c r="DZ9" s="8" t="e">
        <f>AE22/AVERAGE(AE19:AE25)</f>
        <v>#N/A</v>
      </c>
      <c r="EA9" s="8" t="e">
        <f>AE23/AVERAGE(AE20:AE26)</f>
        <v>#N/A</v>
      </c>
      <c r="EB9" s="8" t="e">
        <f>AE24/AVERAGE(AE21:AE27)</f>
        <v>#N/A</v>
      </c>
      <c r="EC9">
        <v>1</v>
      </c>
      <c r="EF9">
        <v>1994</v>
      </c>
      <c r="EG9" s="8" t="e">
        <f>AF21/AVERAGE(AF18:AF24)</f>
        <v>#N/A</v>
      </c>
      <c r="EH9" s="8" t="e">
        <f>AF22/AVERAGE(AF19:AF25)</f>
        <v>#N/A</v>
      </c>
      <c r="EI9" s="8" t="e">
        <f>AF23/AVERAGE(AF20:AF26)</f>
        <v>#N/A</v>
      </c>
      <c r="EJ9" s="8" t="e">
        <f>AF24/AVERAGE(AF21:AF27)</f>
        <v>#N/A</v>
      </c>
      <c r="EK9">
        <v>1</v>
      </c>
      <c r="EN9">
        <v>1994</v>
      </c>
      <c r="EO9" s="8" t="e">
        <f>AG21/AVERAGE(AG18:AG24)</f>
        <v>#N/A</v>
      </c>
      <c r="EP9" s="8" t="e">
        <f>AG22/AVERAGE(AG19:AG25)</f>
        <v>#N/A</v>
      </c>
      <c r="EQ9" s="8" t="e">
        <f>AG23/AVERAGE(AG20:AG26)</f>
        <v>#N/A</v>
      </c>
      <c r="ER9" s="8" t="e">
        <f>AG24/AVERAGE(AG21:AG27)</f>
        <v>#N/A</v>
      </c>
      <c r="ES9">
        <v>1</v>
      </c>
      <c r="EV9">
        <v>1994</v>
      </c>
      <c r="EW9" s="8" t="e">
        <f>AH21/AVERAGE(AH18:AH24)</f>
        <v>#N/A</v>
      </c>
      <c r="EX9" s="8" t="e">
        <f>AH22/AVERAGE(AH19:AH25)</f>
        <v>#N/A</v>
      </c>
      <c r="EY9" s="8" t="e">
        <f>AH23/AVERAGE(AH20:AH26)</f>
        <v>#N/A</v>
      </c>
      <c r="EZ9" s="8" t="e">
        <f>AH24/AVERAGE(AH21:AH27)</f>
        <v>#N/A</v>
      </c>
      <c r="FA9">
        <v>1</v>
      </c>
      <c r="FD9">
        <v>1994</v>
      </c>
      <c r="FE9" s="8" t="e">
        <f>AI21/AVERAGE(AI18:AI24)</f>
        <v>#N/A</v>
      </c>
      <c r="FF9" s="8" t="e">
        <f>AI22/AVERAGE(AI19:AI25)</f>
        <v>#N/A</v>
      </c>
      <c r="FG9" s="8" t="e">
        <f>AI23/AVERAGE(AI20:AI26)</f>
        <v>#N/A</v>
      </c>
      <c r="FH9" s="8" t="e">
        <f>AI24/AVERAGE(AI21:AI27)</f>
        <v>#N/A</v>
      </c>
      <c r="FI9">
        <v>1</v>
      </c>
    </row>
    <row r="10" spans="1:165" x14ac:dyDescent="0.35">
      <c r="A10" t="s">
        <v>175</v>
      </c>
      <c r="B10" t="str">
        <f t="shared" si="17"/>
        <v>1991</v>
      </c>
      <c r="C10" t="str">
        <f t="shared" si="18"/>
        <v>Q2</v>
      </c>
      <c r="D10" s="13">
        <f>HAVERQ!C16</f>
        <v>213315</v>
      </c>
      <c r="E10" s="13">
        <f>HAVERQ!D16</f>
        <v>6485</v>
      </c>
      <c r="F10" s="13">
        <f>HAVERQ!E16</f>
        <v>81070</v>
      </c>
      <c r="G10" s="13">
        <f>HAVERQ!F16</f>
        <v>67111</v>
      </c>
      <c r="H10" s="13">
        <f>HAVERQ!G16</f>
        <v>-4769</v>
      </c>
      <c r="I10" s="13">
        <f>HAVERQ!H16</f>
        <v>4205</v>
      </c>
      <c r="J10" s="13">
        <f>HAVERQ!I16</f>
        <v>69215</v>
      </c>
      <c r="K10" s="13">
        <f>HAVERQ!J16</f>
        <v>63812</v>
      </c>
      <c r="L10" s="13" t="e">
        <f>HAVERQ!U16</f>
        <v>#N/A</v>
      </c>
      <c r="M10" s="13" t="e">
        <f>HAVERQ!V16</f>
        <v>#N/A</v>
      </c>
      <c r="N10" s="13" t="e">
        <f>HAVERQ!Y16</f>
        <v>#N/A</v>
      </c>
      <c r="O10" s="13" t="e">
        <f>HAVERQ!Z16</f>
        <v>#N/A</v>
      </c>
      <c r="P10" s="13" t="e">
        <f>HAVERQ!AA16</f>
        <v>#N/A</v>
      </c>
      <c r="Q10" s="13" t="e">
        <f>HAVERQ!AB16</f>
        <v>#N/A</v>
      </c>
      <c r="R10" s="13" t="e">
        <f>HAVERQ!AC16</f>
        <v>#N/A</v>
      </c>
      <c r="U10" s="13">
        <f>HAVERQ!M16</f>
        <v>205225</v>
      </c>
      <c r="V10" s="13">
        <f>HAVERQ!N16</f>
        <v>6520</v>
      </c>
      <c r="W10" s="13">
        <f>HAVERQ!O16</f>
        <v>80148</v>
      </c>
      <c r="X10" s="13">
        <f>HAVERQ!P16</f>
        <v>67112</v>
      </c>
      <c r="Y10" s="13">
        <f>HAVERQ!Q16</f>
        <v>-1711</v>
      </c>
      <c r="Z10" s="13">
        <f>HAVERQ!R16</f>
        <v>4101</v>
      </c>
      <c r="AA10" s="13">
        <f>HAVERQ!S16</f>
        <v>69165</v>
      </c>
      <c r="AB10" s="13">
        <f>HAVERQ!T16</f>
        <v>65393</v>
      </c>
      <c r="AC10" s="13" t="e">
        <f>HAVERQ!W16</f>
        <v>#N/A</v>
      </c>
      <c r="AD10" s="13" t="e">
        <f>HAVERQ!X16</f>
        <v>#N/A</v>
      </c>
      <c r="AE10" s="13" t="e">
        <f>HAVERQ!AD16</f>
        <v>#N/A</v>
      </c>
      <c r="AF10" s="13" t="e">
        <f>HAVERQ!AE16</f>
        <v>#N/A</v>
      </c>
      <c r="AG10" s="13" t="e">
        <f>HAVERQ!AF16</f>
        <v>#N/A</v>
      </c>
      <c r="AH10" s="13" t="e">
        <f>HAVERQ!AG16</f>
        <v>#N/A</v>
      </c>
      <c r="AI10" s="13" t="e">
        <f>HAVERQ!AH16</f>
        <v>#N/A</v>
      </c>
      <c r="AL10">
        <v>1995</v>
      </c>
      <c r="AM10" s="15">
        <f t="shared" ref="AM10:AM40" ca="1" si="27">OFFSET($D$5, (ROW(D6)-1)*4,0)/OFFSET($U$5, (ROW(U6)-1)*4,0)</f>
        <v>1.0498853470856409</v>
      </c>
      <c r="AN10" s="15">
        <f t="shared" ref="AN10:AN11" ca="1" si="28">OFFSET($E$5, (ROW(E6)-1)*4,0)/OFFSET($V$5, (ROW(V6)-1)*4,0)</f>
        <v>1.0085653104925054</v>
      </c>
      <c r="AO10" s="15">
        <f t="shared" ref="AO10:AO40" ca="1" si="29">OFFSET(F$5, (ROW(F6)-1)*4,0)/OFFSET(W$5, (ROW(W6)-1)*4,0)</f>
        <v>1.0002548574618624</v>
      </c>
      <c r="AP10" s="15">
        <f t="shared" ref="AP10:AP24" ca="1" si="30">OFFSET(G$5, (ROW(G6)-1)*4,0)/OFFSET(X$5, (ROW(X6)-1)*4,0)</f>
        <v>1.0006295813284165</v>
      </c>
      <c r="AQ10" s="15">
        <f t="shared" ref="AQ10:AQ24" ca="1" si="31">OFFSET(H$5, (ROW(H6)-1)*4,0)/OFFSET(Y$5, (ROW(Y6)-1)*4,0)</f>
        <v>0.55954757152361945</v>
      </c>
      <c r="AR10" s="15">
        <f t="shared" ref="AR10:AR24" ca="1" si="32">OFFSET(I$5, (ROW(I6)-1)*4,0)/OFFSET(Z$5, (ROW(Z6)-1)*4,0)</f>
        <v>1</v>
      </c>
      <c r="AS10" s="15">
        <f t="shared" ref="AS10:AS24" ca="1" si="33">OFFSET(J$5, (ROW(J6)-1)*4,0)/OFFSET(AA$5, (ROW(AA6)-1)*4,0)</f>
        <v>1.013208087519331</v>
      </c>
      <c r="AT10" s="15">
        <f t="shared" ref="AT10:AT24" ca="1" si="34">OFFSET(K$5, (ROW(K6)-1)*4,0)/OFFSET(AB$5, (ROW(AB6)-1)*4,0)</f>
        <v>1.0325157654268635</v>
      </c>
      <c r="AU10" s="15" t="e">
        <f t="shared" ref="AU10:AU40" ca="1" si="35">OFFSET(L$5, (ROW(L6)-1)*4,0)/OFFSET(AC$5, (ROW(AC6)-1)*4,0)</f>
        <v>#N/A</v>
      </c>
      <c r="AV10" s="15" t="e">
        <f t="shared" ref="AV10:AV40" ca="1" si="36">OFFSET(M$5, (ROW(M6)-1)*4,0)/OFFSET(AD$5, (ROW(AD6)-1)*4,0)</f>
        <v>#N/A</v>
      </c>
      <c r="AW10" s="15" t="e">
        <f t="shared" ref="AW10:AW40" ca="1" si="37">OFFSET(N$5, (ROW(N6)-1)*4,0)/OFFSET(AE$5, (ROW(AE6)-1)*4,0)</f>
        <v>#N/A</v>
      </c>
      <c r="AX10" s="15" t="e">
        <f t="shared" ref="AX10:AX40" ca="1" si="38">OFFSET(O$5, (ROW(O6)-1)*4,0)/OFFSET(AF$5, (ROW(AF6)-1)*4,0)</f>
        <v>#N/A</v>
      </c>
      <c r="AY10" s="15" t="e">
        <f t="shared" ref="AY10:AY40" ca="1" si="39">OFFSET(P$5, (ROW(P6)-1)*4,0)/OFFSET(AG$5, (ROW(AG6)-1)*4,0)</f>
        <v>#N/A</v>
      </c>
      <c r="AZ10" s="15" t="e">
        <f t="shared" ref="AZ10:AZ40" ca="1" si="40">OFFSET(Q$5, (ROW(Q6)-1)*4,0)/OFFSET(AH$5, (ROW(AH6)-1)*4,0)</f>
        <v>#N/A</v>
      </c>
      <c r="BA10" s="15" t="e">
        <f t="shared" ref="BA10:BA40" ca="1" si="41">OFFSET(R$5, (ROW(R6)-1)*4,0)/OFFSET(AI$5, (ROW(AI6)-1)*4,0)</f>
        <v>#N/A</v>
      </c>
      <c r="BD10">
        <v>1995</v>
      </c>
      <c r="BE10" s="8">
        <f>U25/AVERAGE(U22:U28)</f>
        <v>0.94524343661689136</v>
      </c>
      <c r="BF10" s="8">
        <f>U26/AVERAGE(U23:U29)</f>
        <v>0.96699459985873459</v>
      </c>
      <c r="BG10" s="8">
        <f>U27/AVERAGE(U24:U30)</f>
        <v>1.0323295745771399</v>
      </c>
      <c r="BH10" s="8">
        <f>U28/AVERAGE(U25:U31)</f>
        <v>1.0492139766555064</v>
      </c>
      <c r="BI10">
        <v>1</v>
      </c>
      <c r="BL10">
        <v>1995</v>
      </c>
      <c r="BM10" s="8">
        <f>V25/AVERAGE(V22:V28)</f>
        <v>1.0151061264749937</v>
      </c>
      <c r="BN10" s="8">
        <f>V26/AVERAGE(V23:V29)</f>
        <v>0.99256327428916258</v>
      </c>
      <c r="BO10" s="8">
        <f>V27/AVERAGE(V24:V30)</f>
        <v>0.9937048303996906</v>
      </c>
      <c r="BP10" s="8">
        <f>V28/AVERAGE(V25:V31)</f>
        <v>0.99656255452800557</v>
      </c>
      <c r="BQ10">
        <v>1</v>
      </c>
      <c r="BT10">
        <v>1995</v>
      </c>
      <c r="BU10" s="8">
        <f>W25/AVERAGE(W22:W28)</f>
        <v>1.0020865474155305</v>
      </c>
      <c r="BV10" s="8">
        <f>W26/AVERAGE(W23:W29)</f>
        <v>1.0000588822078751</v>
      </c>
      <c r="BW10" s="8">
        <f>W27/AVERAGE(W24:W30)</f>
        <v>0.99243616120053246</v>
      </c>
      <c r="BX10" s="8">
        <f>W28/AVERAGE(W25:W31)</f>
        <v>1.0107705768756181</v>
      </c>
      <c r="BY10">
        <v>1</v>
      </c>
      <c r="CB10">
        <v>1995</v>
      </c>
      <c r="CC10" s="8">
        <f>X25/AVERAGE(X22:X28)</f>
        <v>0.99276331314402588</v>
      </c>
      <c r="CD10" s="8">
        <f>X26/AVERAGE(X23:X29)</f>
        <v>0.98845711026374983</v>
      </c>
      <c r="CE10" s="8">
        <f>X27/AVERAGE(X24:X30)</f>
        <v>0.98621882555697782</v>
      </c>
      <c r="CF10" s="8">
        <f>X28/AVERAGE(X25:X31)</f>
        <v>0.9849094358578373</v>
      </c>
      <c r="CG10">
        <v>1</v>
      </c>
      <c r="CJ10">
        <v>1995</v>
      </c>
      <c r="CK10" s="8">
        <f>Y25/AVERAGE(Y22:Y28)</f>
        <v>-0.76288884054818362</v>
      </c>
      <c r="CL10" s="8">
        <f>Y26/AVERAGE(Y23:Y29)</f>
        <v>3.4252145857429839</v>
      </c>
      <c r="CM10" s="8">
        <f>Y27/AVERAGE(Y24:Y30)</f>
        <v>1.9616193480546793</v>
      </c>
      <c r="CN10" s="8">
        <f>Y28/AVERAGE(Y25:Y31)</f>
        <v>1.5565751741089717</v>
      </c>
      <c r="CO10">
        <v>1</v>
      </c>
      <c r="CR10">
        <v>1995</v>
      </c>
      <c r="CS10" s="8">
        <f>AA25/AVERAGE(AA22:AA28)</f>
        <v>1.0067200890959593</v>
      </c>
      <c r="CT10" s="8">
        <f>AA26/AVERAGE(AA23:AA29)</f>
        <v>0.98013952083525135</v>
      </c>
      <c r="CU10" s="8">
        <f>AA27/AVERAGE(AA24:AA30)</f>
        <v>1.0098920205850659</v>
      </c>
      <c r="CV10" s="8">
        <f>AA28/AVERAGE(AA25:AA31)</f>
        <v>1.0142962845928947</v>
      </c>
      <c r="CW10">
        <v>1</v>
      </c>
      <c r="CZ10">
        <v>1995</v>
      </c>
      <c r="DA10" s="8">
        <f>AB25/AVERAGE(AB22:AB28)</f>
        <v>0.94562989819696464</v>
      </c>
      <c r="DB10" s="8">
        <f>AB26/AVERAGE(AB23:AB29)</f>
        <v>1.0234262543050865</v>
      </c>
      <c r="DC10" s="8">
        <f>AB27/AVERAGE(AB24:AB30)</f>
        <v>1.0232293478514514</v>
      </c>
      <c r="DD10" s="8">
        <f>AB28/AVERAGE(AB25:AB31)</f>
        <v>0.97982750468851876</v>
      </c>
      <c r="DE10">
        <v>1</v>
      </c>
      <c r="DH10">
        <v>1995</v>
      </c>
      <c r="DI10" s="8" t="e">
        <f>AC25/AVERAGE(AC22:AC28)</f>
        <v>#N/A</v>
      </c>
      <c r="DJ10" s="8" t="e">
        <f>AC26/AVERAGE(AC23:AC29)</f>
        <v>#N/A</v>
      </c>
      <c r="DK10" s="8" t="e">
        <f>AC27/AVERAGE(AC24:AC30)</f>
        <v>#N/A</v>
      </c>
      <c r="DL10" s="8" t="e">
        <f>AC28/AVERAGE(AC25:AC31)</f>
        <v>#N/A</v>
      </c>
      <c r="DM10">
        <v>1</v>
      </c>
      <c r="DP10">
        <v>1995</v>
      </c>
      <c r="DQ10" s="8" t="e">
        <f>AD25/AVERAGE(AD22:AD28)</f>
        <v>#N/A</v>
      </c>
      <c r="DR10" s="8" t="e">
        <f>AD26/AVERAGE(AD23:AD29)</f>
        <v>#N/A</v>
      </c>
      <c r="DS10" s="8" t="e">
        <f>AD27/AVERAGE(AD24:AD30)</f>
        <v>#N/A</v>
      </c>
      <c r="DT10" s="8" t="e">
        <f>AD28/AVERAGE(AD25:AD31)</f>
        <v>#N/A</v>
      </c>
      <c r="DU10">
        <v>1</v>
      </c>
      <c r="DX10">
        <v>1995</v>
      </c>
      <c r="DY10" s="8" t="e">
        <f>AE25/AVERAGE(AE22:AE28)</f>
        <v>#N/A</v>
      </c>
      <c r="DZ10" s="8" t="e">
        <f>AE26/AVERAGE(AE23:AE29)</f>
        <v>#N/A</v>
      </c>
      <c r="EA10" s="8" t="e">
        <f>AE27/AVERAGE(AE24:AE30)</f>
        <v>#N/A</v>
      </c>
      <c r="EB10" s="8" t="e">
        <f>AE28/AVERAGE(AE25:AE31)</f>
        <v>#N/A</v>
      </c>
      <c r="EC10">
        <v>1</v>
      </c>
      <c r="EF10">
        <v>1995</v>
      </c>
      <c r="EG10" s="8" t="e">
        <f>AF25/AVERAGE(AF22:AF28)</f>
        <v>#N/A</v>
      </c>
      <c r="EH10" s="8" t="e">
        <f>AF26/AVERAGE(AF23:AF29)</f>
        <v>#N/A</v>
      </c>
      <c r="EI10" s="8" t="e">
        <f>AF27/AVERAGE(AF24:AF30)</f>
        <v>#N/A</v>
      </c>
      <c r="EJ10" s="8" t="e">
        <f>AF28/AVERAGE(AF25:AF31)</f>
        <v>#N/A</v>
      </c>
      <c r="EK10">
        <v>1</v>
      </c>
      <c r="EN10">
        <v>1995</v>
      </c>
      <c r="EO10" s="8" t="e">
        <f>AG25/AVERAGE(AG22:AG28)</f>
        <v>#N/A</v>
      </c>
      <c r="EP10" s="8" t="e">
        <f>AG26/AVERAGE(AG23:AG29)</f>
        <v>#N/A</v>
      </c>
      <c r="EQ10" s="8" t="e">
        <f>AG27/AVERAGE(AG24:AG30)</f>
        <v>#N/A</v>
      </c>
      <c r="ER10" s="8" t="e">
        <f>AG28/AVERAGE(AG25:AG31)</f>
        <v>#N/A</v>
      </c>
      <c r="ES10">
        <v>1</v>
      </c>
      <c r="EV10">
        <v>1995</v>
      </c>
      <c r="EW10" s="8" t="e">
        <f>AH25/AVERAGE(AH22:AH28)</f>
        <v>#N/A</v>
      </c>
      <c r="EX10" s="8" t="e">
        <f>AH26/AVERAGE(AH23:AH29)</f>
        <v>#N/A</v>
      </c>
      <c r="EY10" s="8" t="e">
        <f>AH27/AVERAGE(AH24:AH30)</f>
        <v>#N/A</v>
      </c>
      <c r="EZ10" s="8" t="e">
        <f>AH28/AVERAGE(AH25:AH31)</f>
        <v>#N/A</v>
      </c>
      <c r="FA10">
        <v>1</v>
      </c>
      <c r="FD10">
        <v>1995</v>
      </c>
      <c r="FE10" s="8" t="e">
        <f>AI25/AVERAGE(AI22:AI28)</f>
        <v>#N/A</v>
      </c>
      <c r="FF10" s="8" t="e">
        <f>AI26/AVERAGE(AI23:AI29)</f>
        <v>#N/A</v>
      </c>
      <c r="FG10" s="8" t="e">
        <f>AI27/AVERAGE(AI24:AI30)</f>
        <v>#N/A</v>
      </c>
      <c r="FH10" s="8" t="e">
        <f>AI28/AVERAGE(AI25:AI31)</f>
        <v>#N/A</v>
      </c>
      <c r="FI10">
        <v>1</v>
      </c>
    </row>
    <row r="11" spans="1:165" x14ac:dyDescent="0.35">
      <c r="A11" t="s">
        <v>176</v>
      </c>
      <c r="B11" t="str">
        <f t="shared" si="17"/>
        <v>1991</v>
      </c>
      <c r="C11" t="str">
        <f t="shared" si="18"/>
        <v>Q3</v>
      </c>
      <c r="D11" s="13">
        <f>HAVERQ!C17</f>
        <v>213544</v>
      </c>
      <c r="E11" s="13">
        <f>HAVERQ!D17</f>
        <v>6558</v>
      </c>
      <c r="F11" s="13">
        <f>HAVERQ!E17</f>
        <v>80462</v>
      </c>
      <c r="G11" s="13">
        <f>HAVERQ!F17</f>
        <v>65897</v>
      </c>
      <c r="H11" s="13">
        <f>HAVERQ!G17</f>
        <v>-3885</v>
      </c>
      <c r="I11" s="13">
        <f>HAVERQ!H17</f>
        <v>-2001</v>
      </c>
      <c r="J11" s="13">
        <f>HAVERQ!I17</f>
        <v>70286</v>
      </c>
      <c r="K11" s="13">
        <f>HAVERQ!J17</f>
        <v>64199</v>
      </c>
      <c r="L11" s="13" t="e">
        <f>HAVERQ!U17</f>
        <v>#N/A</v>
      </c>
      <c r="M11" s="13" t="e">
        <f>HAVERQ!V17</f>
        <v>#N/A</v>
      </c>
      <c r="N11" s="13" t="e">
        <f>HAVERQ!Y17</f>
        <v>#N/A</v>
      </c>
      <c r="O11" s="13" t="e">
        <f>HAVERQ!Z17</f>
        <v>#N/A</v>
      </c>
      <c r="P11" s="13" t="e">
        <f>HAVERQ!AA17</f>
        <v>#N/A</v>
      </c>
      <c r="Q11" s="13" t="e">
        <f>HAVERQ!AB17</f>
        <v>#N/A</v>
      </c>
      <c r="R11" s="13" t="e">
        <f>HAVERQ!AC17</f>
        <v>#N/A</v>
      </c>
      <c r="U11" s="13">
        <f>HAVERQ!M17</f>
        <v>221618</v>
      </c>
      <c r="V11" s="13">
        <f>HAVERQ!N17</f>
        <v>6596</v>
      </c>
      <c r="W11" s="13">
        <f>HAVERQ!O17</f>
        <v>80288</v>
      </c>
      <c r="X11" s="13">
        <f>HAVERQ!P17</f>
        <v>65896</v>
      </c>
      <c r="Y11" s="13">
        <f>HAVERQ!Q17</f>
        <v>-297</v>
      </c>
      <c r="Z11" s="13">
        <f>HAVERQ!R17</f>
        <v>-1894</v>
      </c>
      <c r="AA11" s="13">
        <f>HAVERQ!S17</f>
        <v>70172</v>
      </c>
      <c r="AB11" s="13">
        <f>HAVERQ!T17</f>
        <v>66165</v>
      </c>
      <c r="AC11" s="13" t="e">
        <f>HAVERQ!W17</f>
        <v>#N/A</v>
      </c>
      <c r="AD11" s="13" t="e">
        <f>HAVERQ!X17</f>
        <v>#N/A</v>
      </c>
      <c r="AE11" s="13" t="e">
        <f>HAVERQ!AD17</f>
        <v>#N/A</v>
      </c>
      <c r="AF11" s="13" t="e">
        <f>HAVERQ!AE17</f>
        <v>#N/A</v>
      </c>
      <c r="AG11" s="13" t="e">
        <f>HAVERQ!AF17</f>
        <v>#N/A</v>
      </c>
      <c r="AH11" s="13" t="e">
        <f>HAVERQ!AG17</f>
        <v>#N/A</v>
      </c>
      <c r="AI11" s="13" t="e">
        <f>HAVERQ!AH17</f>
        <v>#N/A</v>
      </c>
      <c r="AL11">
        <v>1996</v>
      </c>
      <c r="AM11" s="15">
        <f t="shared" ca="1" si="27"/>
        <v>1.0499428035466183</v>
      </c>
      <c r="AN11" s="15">
        <f t="shared" ca="1" si="28"/>
        <v>0.99544596245695882</v>
      </c>
      <c r="AO11" s="15">
        <f t="shared" ca="1" si="29"/>
        <v>0.99803646899656384</v>
      </c>
      <c r="AP11" s="15">
        <f t="shared" ca="1" si="30"/>
        <v>0.99551550232104991</v>
      </c>
      <c r="AQ11" s="15">
        <f t="shared" ca="1" si="31"/>
        <v>-1.0090466249130132</v>
      </c>
      <c r="AR11" s="15">
        <f t="shared" ca="1" si="32"/>
        <v>0.99796747967479671</v>
      </c>
      <c r="AS11" s="15">
        <f t="shared" ca="1" si="33"/>
        <v>1.0182034204990136</v>
      </c>
      <c r="AT11" s="15">
        <f t="shared" ca="1" si="34"/>
        <v>1.0277900688298918</v>
      </c>
      <c r="AU11" s="15" t="e">
        <f t="shared" ca="1" si="35"/>
        <v>#N/A</v>
      </c>
      <c r="AV11" s="15" t="e">
        <f t="shared" ca="1" si="36"/>
        <v>#N/A</v>
      </c>
      <c r="AW11" s="15" t="e">
        <f t="shared" ca="1" si="37"/>
        <v>#N/A</v>
      </c>
      <c r="AX11" s="15" t="e">
        <f t="shared" ca="1" si="38"/>
        <v>#N/A</v>
      </c>
      <c r="AY11" s="15" t="e">
        <f t="shared" ca="1" si="39"/>
        <v>#N/A</v>
      </c>
      <c r="AZ11" s="15" t="e">
        <f t="shared" ca="1" si="40"/>
        <v>#N/A</v>
      </c>
      <c r="BA11" s="15" t="e">
        <f t="shared" ca="1" si="41"/>
        <v>#N/A</v>
      </c>
      <c r="BD11">
        <v>1996</v>
      </c>
      <c r="BE11" s="8">
        <f>U29/AVERAGE(U26:U32)</f>
        <v>0.94651462002860065</v>
      </c>
      <c r="BF11" s="8">
        <f>U30/AVERAGE(U27:U33)</f>
        <v>0.96563075934897014</v>
      </c>
      <c r="BG11" s="8">
        <f>U31/AVERAGE(U28:U34)</f>
        <v>1.0284815691855924</v>
      </c>
      <c r="BH11" s="8">
        <f>U32/AVERAGE(U29:U35)</f>
        <v>1.0434940765580218</v>
      </c>
      <c r="BI11">
        <v>1</v>
      </c>
      <c r="BL11">
        <v>1996</v>
      </c>
      <c r="BM11" s="8">
        <f>V29/AVERAGE(V26:V32)</f>
        <v>1.0904041802200843</v>
      </c>
      <c r="BN11" s="8">
        <f>V30/AVERAGE(V27:V33)</f>
        <v>0.93956290883669824</v>
      </c>
      <c r="BO11" s="8">
        <f>V31/AVERAGE(V28:V34)</f>
        <v>0.91015989447608014</v>
      </c>
      <c r="BP11" s="8">
        <f>V32/AVERAGE(V29:V35)</f>
        <v>0.91761319433639343</v>
      </c>
      <c r="BQ11">
        <v>1</v>
      </c>
      <c r="BT11">
        <v>1996</v>
      </c>
      <c r="BU11" s="8">
        <f>W29/AVERAGE(W26:W32)</f>
        <v>1.0062440515426834</v>
      </c>
      <c r="BV11" s="8">
        <f>W30/AVERAGE(W27:W33)</f>
        <v>0.99459088280647645</v>
      </c>
      <c r="BW11" s="8">
        <f>W31/AVERAGE(W28:W34)</f>
        <v>0.99720071573586599</v>
      </c>
      <c r="BX11" s="8">
        <f>W32/AVERAGE(W29:W35)</f>
        <v>1.0146410584779375</v>
      </c>
      <c r="BY11">
        <v>1</v>
      </c>
      <c r="CB11">
        <v>1996</v>
      </c>
      <c r="CC11" s="8">
        <f>X29/AVERAGE(X26:X32)</f>
        <v>1.0106511274804881</v>
      </c>
      <c r="CD11" s="8">
        <f>X30/AVERAGE(X27:X33)</f>
        <v>1.037929096064393</v>
      </c>
      <c r="CE11" s="8">
        <f>X31/AVERAGE(X28:X34)</f>
        <v>1.030694902505352</v>
      </c>
      <c r="CF11" s="8">
        <f>X32/AVERAGE(X29:X35)</f>
        <v>0.98365749798595925</v>
      </c>
      <c r="CG11">
        <v>1</v>
      </c>
      <c r="CJ11">
        <v>1996</v>
      </c>
      <c r="CK11" s="8">
        <f>Y29/AVERAGE(Y26:Y32)</f>
        <v>-1.0706758914316126</v>
      </c>
      <c r="CL11" s="8">
        <f>Y30/AVERAGE(Y27:Y33)</f>
        <v>2.5186546071226683</v>
      </c>
      <c r="CM11" s="8">
        <f>Y31/AVERAGE(Y28:Y34)</f>
        <v>0.73944657644920209</v>
      </c>
      <c r="CN11" s="8">
        <f>Y32/AVERAGE(Y29:Y35)</f>
        <v>4.6146620003683925</v>
      </c>
      <c r="CO11">
        <v>1</v>
      </c>
      <c r="CR11">
        <v>1996</v>
      </c>
      <c r="CS11" s="8">
        <f>AA29/AVERAGE(AA26:AA32)</f>
        <v>0.9836368649195093</v>
      </c>
      <c r="CT11" s="8">
        <f>AA30/AVERAGE(AA27:AA33)</f>
        <v>0.9824717508210058</v>
      </c>
      <c r="CU11" s="8">
        <f>AA31/AVERAGE(AA28:AA34)</f>
        <v>0.98374771739654021</v>
      </c>
      <c r="CV11" s="8">
        <f>AA32/AVERAGE(AA29:AA35)</f>
        <v>1.0092184070958303</v>
      </c>
      <c r="CW11">
        <v>1</v>
      </c>
      <c r="CZ11">
        <v>1996</v>
      </c>
      <c r="DA11" s="8">
        <f>AB29/AVERAGE(AB26:AB32)</f>
        <v>0.97516874364321882</v>
      </c>
      <c r="DB11" s="8">
        <f>AB30/AVERAGE(AB27:AB33)</f>
        <v>1.0172663062685265</v>
      </c>
      <c r="DC11" s="8">
        <f>AB31/AVERAGE(AB28:AB34)</f>
        <v>1.0115482019804465</v>
      </c>
      <c r="DD11" s="8">
        <f>AB32/AVERAGE(AB29:AB35)</f>
        <v>0.98996362656607839</v>
      </c>
      <c r="DE11">
        <v>1</v>
      </c>
      <c r="DH11">
        <v>1996</v>
      </c>
      <c r="DI11" s="8" t="e">
        <f>AC29/AVERAGE(AC26:AC32)</f>
        <v>#N/A</v>
      </c>
      <c r="DJ11" s="8" t="e">
        <f>AC30/AVERAGE(AC27:AC33)</f>
        <v>#N/A</v>
      </c>
      <c r="DK11" s="8" t="e">
        <f>AC31/AVERAGE(AC28:AC34)</f>
        <v>#N/A</v>
      </c>
      <c r="DL11" s="8" t="e">
        <f>AC32/AVERAGE(AC29:AC35)</f>
        <v>#N/A</v>
      </c>
      <c r="DM11">
        <v>1</v>
      </c>
      <c r="DP11">
        <v>1996</v>
      </c>
      <c r="DQ11" s="8" t="e">
        <f>AD29/AVERAGE(AD26:AD32)</f>
        <v>#N/A</v>
      </c>
      <c r="DR11" s="8" t="e">
        <f>AD30/AVERAGE(AD27:AD33)</f>
        <v>#N/A</v>
      </c>
      <c r="DS11" s="8" t="e">
        <f>AD31/AVERAGE(AD28:AD34)</f>
        <v>#N/A</v>
      </c>
      <c r="DT11" s="8" t="e">
        <f>AD32/AVERAGE(AD29:AD35)</f>
        <v>#N/A</v>
      </c>
      <c r="DU11">
        <v>1</v>
      </c>
      <c r="DX11">
        <v>1996</v>
      </c>
      <c r="DY11" s="8" t="e">
        <f>AE29/AVERAGE(AE26:AE32)</f>
        <v>#N/A</v>
      </c>
      <c r="DZ11" s="8" t="e">
        <f>AE30/AVERAGE(AE27:AE33)</f>
        <v>#N/A</v>
      </c>
      <c r="EA11" s="8" t="e">
        <f>AE31/AVERAGE(AE28:AE34)</f>
        <v>#N/A</v>
      </c>
      <c r="EB11" s="8" t="e">
        <f>AE32/AVERAGE(AE29:AE35)</f>
        <v>#N/A</v>
      </c>
      <c r="EC11">
        <v>1</v>
      </c>
      <c r="EF11">
        <v>1996</v>
      </c>
      <c r="EG11" s="8" t="e">
        <f>AF29/AVERAGE(AF26:AF32)</f>
        <v>#N/A</v>
      </c>
      <c r="EH11" s="8" t="e">
        <f>AF30/AVERAGE(AF27:AF33)</f>
        <v>#N/A</v>
      </c>
      <c r="EI11" s="8" t="e">
        <f>AF31/AVERAGE(AF28:AF34)</f>
        <v>#N/A</v>
      </c>
      <c r="EJ11" s="8" t="e">
        <f>AF32/AVERAGE(AF29:AF35)</f>
        <v>#N/A</v>
      </c>
      <c r="EK11">
        <v>1</v>
      </c>
      <c r="EN11">
        <v>1996</v>
      </c>
      <c r="EO11" s="8" t="e">
        <f>AG29/AVERAGE(AG26:AG32)</f>
        <v>#N/A</v>
      </c>
      <c r="EP11" s="8" t="e">
        <f>AG30/AVERAGE(AG27:AG33)</f>
        <v>#N/A</v>
      </c>
      <c r="EQ11" s="8" t="e">
        <f>AG31/AVERAGE(AG28:AG34)</f>
        <v>#N/A</v>
      </c>
      <c r="ER11" s="8" t="e">
        <f>AG32/AVERAGE(AG29:AG35)</f>
        <v>#N/A</v>
      </c>
      <c r="ES11">
        <v>1</v>
      </c>
      <c r="EV11">
        <v>1996</v>
      </c>
      <c r="EW11" s="8" t="e">
        <f>AH29/AVERAGE(AH26:AH32)</f>
        <v>#N/A</v>
      </c>
      <c r="EX11" s="8" t="e">
        <f>AH30/AVERAGE(AH27:AH33)</f>
        <v>#N/A</v>
      </c>
      <c r="EY11" s="8" t="e">
        <f>AH31/AVERAGE(AH28:AH34)</f>
        <v>#N/A</v>
      </c>
      <c r="EZ11" s="8" t="e">
        <f>AH32/AVERAGE(AH29:AH35)</f>
        <v>#N/A</v>
      </c>
      <c r="FA11">
        <v>1</v>
      </c>
      <c r="FD11">
        <v>1996</v>
      </c>
      <c r="FE11" s="8" t="e">
        <f>AI29/AVERAGE(AI26:AI32)</f>
        <v>#N/A</v>
      </c>
      <c r="FF11" s="8" t="e">
        <f>AI30/AVERAGE(AI27:AI33)</f>
        <v>#N/A</v>
      </c>
      <c r="FG11" s="8" t="e">
        <f>AI31/AVERAGE(AI28:AI34)</f>
        <v>#N/A</v>
      </c>
      <c r="FH11" s="8" t="e">
        <f>AI32/AVERAGE(AI29:AI35)</f>
        <v>#N/A</v>
      </c>
      <c r="FI11">
        <v>1</v>
      </c>
    </row>
    <row r="12" spans="1:165" x14ac:dyDescent="0.35">
      <c r="A12" t="s">
        <v>177</v>
      </c>
      <c r="B12" t="str">
        <f t="shared" si="17"/>
        <v>1991</v>
      </c>
      <c r="C12" t="str">
        <f t="shared" si="18"/>
        <v>Q4</v>
      </c>
      <c r="D12" s="13">
        <f>HAVERQ!C18</f>
        <v>213576</v>
      </c>
      <c r="E12" s="13">
        <f>HAVERQ!D18</f>
        <v>6678</v>
      </c>
      <c r="F12" s="13">
        <f>HAVERQ!E18</f>
        <v>80327</v>
      </c>
      <c r="G12" s="13">
        <f>HAVERQ!F18</f>
        <v>66146</v>
      </c>
      <c r="H12" s="13">
        <f>HAVERQ!G18</f>
        <v>-2274</v>
      </c>
      <c r="I12" s="13">
        <f>HAVERQ!H18</f>
        <v>-1022</v>
      </c>
      <c r="J12" s="13">
        <f>HAVERQ!I18</f>
        <v>70075</v>
      </c>
      <c r="K12" s="13">
        <f>HAVERQ!J18</f>
        <v>65130</v>
      </c>
      <c r="L12" s="13" t="e">
        <f>HAVERQ!U18</f>
        <v>#N/A</v>
      </c>
      <c r="M12" s="13" t="e">
        <f>HAVERQ!V18</f>
        <v>#N/A</v>
      </c>
      <c r="N12" s="13" t="e">
        <f>HAVERQ!Y18</f>
        <v>#N/A</v>
      </c>
      <c r="O12" s="13" t="e">
        <f>HAVERQ!Z18</f>
        <v>#N/A</v>
      </c>
      <c r="P12" s="13" t="e">
        <f>HAVERQ!AA18</f>
        <v>#N/A</v>
      </c>
      <c r="Q12" s="13" t="e">
        <f>HAVERQ!AB18</f>
        <v>#N/A</v>
      </c>
      <c r="R12" s="13" t="e">
        <f>HAVERQ!AC18</f>
        <v>#N/A</v>
      </c>
      <c r="U12" s="13">
        <f>HAVERQ!M18</f>
        <v>227786</v>
      </c>
      <c r="V12" s="13">
        <f>HAVERQ!N18</f>
        <v>6661</v>
      </c>
      <c r="W12" s="13">
        <f>HAVERQ!O18</f>
        <v>80551</v>
      </c>
      <c r="X12" s="13">
        <f>HAVERQ!P18</f>
        <v>66140</v>
      </c>
      <c r="Y12" s="13">
        <f>HAVERQ!Q18</f>
        <v>-6569</v>
      </c>
      <c r="Z12" s="13">
        <f>HAVERQ!R18</f>
        <v>-1062</v>
      </c>
      <c r="AA12" s="13">
        <f>HAVERQ!S18</f>
        <v>73233</v>
      </c>
      <c r="AB12" s="13">
        <f>HAVERQ!T18</f>
        <v>63960</v>
      </c>
      <c r="AC12" s="13" t="e">
        <f>HAVERQ!W18</f>
        <v>#N/A</v>
      </c>
      <c r="AD12" s="13" t="e">
        <f>HAVERQ!X18</f>
        <v>#N/A</v>
      </c>
      <c r="AE12" s="13" t="e">
        <f>HAVERQ!AD18</f>
        <v>#N/A</v>
      </c>
      <c r="AF12" s="13" t="e">
        <f>HAVERQ!AE18</f>
        <v>#N/A</v>
      </c>
      <c r="AG12" s="13" t="e">
        <f>HAVERQ!AF18</f>
        <v>#N/A</v>
      </c>
      <c r="AH12" s="13" t="e">
        <f>HAVERQ!AG18</f>
        <v>#N/A</v>
      </c>
      <c r="AI12" s="13" t="e">
        <f>HAVERQ!AH18</f>
        <v>#N/A</v>
      </c>
      <c r="AL12">
        <v>1997</v>
      </c>
      <c r="AM12" s="15">
        <f t="shared" ca="1" si="27"/>
        <v>1.0281270231374764</v>
      </c>
      <c r="AN12" s="15">
        <f t="shared" ref="AN12:AN40" ca="1" si="42">OFFSET($E$5, (ROW(E8)-1)*4,0)/OFFSET($V$5, (ROW(V8)-1)*4,0)</f>
        <v>1</v>
      </c>
      <c r="AO12" s="15">
        <f t="shared" ca="1" si="29"/>
        <v>1.0030902723075246</v>
      </c>
      <c r="AP12" s="15">
        <f t="shared" ca="1" si="30"/>
        <v>0.96627716722412871</v>
      </c>
      <c r="AQ12" s="15">
        <f t="shared" ca="1" si="31"/>
        <v>0.77285092491838958</v>
      </c>
      <c r="AR12" s="15">
        <f t="shared" ca="1" si="32"/>
        <v>1.0692717584369449</v>
      </c>
      <c r="AS12" s="15">
        <f t="shared" ca="1" si="33"/>
        <v>1.0314307732828671</v>
      </c>
      <c r="AT12" s="15">
        <f t="shared" ca="1" si="34"/>
        <v>1.0408495234604105</v>
      </c>
      <c r="AU12" s="15">
        <f t="shared" ca="1" si="35"/>
        <v>1.0171018311866411</v>
      </c>
      <c r="AV12" s="15">
        <f t="shared" ca="1" si="36"/>
        <v>0.67218651269201435</v>
      </c>
      <c r="AW12" s="15">
        <f t="shared" ca="1" si="37"/>
        <v>0.91182519280205654</v>
      </c>
      <c r="AX12" s="15">
        <f t="shared" ca="1" si="38"/>
        <v>0.93898024614748166</v>
      </c>
      <c r="AY12" s="15">
        <f t="shared" ca="1" si="39"/>
        <v>0.98638794360719495</v>
      </c>
      <c r="AZ12" s="15">
        <f t="shared" ca="1" si="40"/>
        <v>0.95648926971150072</v>
      </c>
      <c r="BA12" s="15">
        <f t="shared" ca="1" si="41"/>
        <v>1.0027084701247537</v>
      </c>
      <c r="BD12">
        <v>1997</v>
      </c>
      <c r="BE12" s="8">
        <f>U33/AVERAGE(U30:U36)</f>
        <v>0.96384452430038836</v>
      </c>
      <c r="BF12" s="8">
        <f>U34/AVERAGE(U31:U37)</f>
        <v>0.9830622233155738</v>
      </c>
      <c r="BG12" s="8">
        <f>U35/AVERAGE(U32:U38)</f>
        <v>1.0153784942487114</v>
      </c>
      <c r="BH12" s="8">
        <f>U36/AVERAGE(U33:U39)</f>
        <v>1.0317490516441403</v>
      </c>
      <c r="BI12">
        <v>1</v>
      </c>
      <c r="BL12">
        <v>1997</v>
      </c>
      <c r="BM12" s="8">
        <f>V33/AVERAGE(V30:V36)</f>
        <v>1.0960307298335468</v>
      </c>
      <c r="BN12" s="8">
        <f>V34/AVERAGE(V31:V37)</f>
        <v>1.0461131131867325</v>
      </c>
      <c r="BO12" s="8">
        <f>V35/AVERAGE(V32:V38)</f>
        <v>1.0207007274380542</v>
      </c>
      <c r="BP12" s="8">
        <f>V36/AVERAGE(V33:V39)</f>
        <v>1.0009960297148865</v>
      </c>
      <c r="BQ12">
        <v>1</v>
      </c>
      <c r="BT12">
        <v>1997</v>
      </c>
      <c r="BU12" s="8">
        <f>W33/AVERAGE(W30:W36)</f>
        <v>0.99597897063717455</v>
      </c>
      <c r="BV12" s="8">
        <f>W34/AVERAGE(W31:W37)</f>
        <v>0.98820713791154313</v>
      </c>
      <c r="BW12" s="8">
        <f>W35/AVERAGE(W32:W38)</f>
        <v>0.97947321362936224</v>
      </c>
      <c r="BX12" s="8">
        <f>W36/AVERAGE(W33:W39)</f>
        <v>1.0036545706007445</v>
      </c>
      <c r="BY12">
        <v>1</v>
      </c>
      <c r="CB12">
        <v>1997</v>
      </c>
      <c r="CC12" s="8">
        <f>X33/AVERAGE(X30:X36)</f>
        <v>0.98336116642698335</v>
      </c>
      <c r="CD12" s="8">
        <f>X34/AVERAGE(X31:X37)</f>
        <v>0.92211211584849462</v>
      </c>
      <c r="CE12" s="8">
        <f>X35/AVERAGE(X32:X38)</f>
        <v>0.99108818953977762</v>
      </c>
      <c r="CF12" s="8">
        <f>X36/AVERAGE(X33:X39)</f>
        <v>1.0449659877516009</v>
      </c>
      <c r="CG12">
        <v>1</v>
      </c>
      <c r="CJ12">
        <v>1997</v>
      </c>
      <c r="CK12" s="8">
        <f>Y33/AVERAGE(Y30:Y36)</f>
        <v>-2.6081491992702213</v>
      </c>
      <c r="CL12" s="8">
        <f>Y34/AVERAGE(Y31:Y37)</f>
        <v>1.6435784851811197</v>
      </c>
      <c r="CM12" s="8">
        <f>Y35/AVERAGE(Y32:Y38)</f>
        <v>1.9377330673835749</v>
      </c>
      <c r="CN12" s="8">
        <f>Y36/AVERAGE(Y33:Y39)</f>
        <v>1.2754721380275122</v>
      </c>
      <c r="CO12">
        <v>1</v>
      </c>
      <c r="CR12">
        <v>1997</v>
      </c>
      <c r="CS12" s="8">
        <f>AA33/AVERAGE(AA30:AA36)</f>
        <v>0.9958587822543824</v>
      </c>
      <c r="CT12" s="8">
        <f>AA34/AVERAGE(AA31:AA37)</f>
        <v>1.0205946262937973</v>
      </c>
      <c r="CU12" s="8">
        <f>AA35/AVERAGE(AA32:AA38)</f>
        <v>1.0047162880902705</v>
      </c>
      <c r="CV12" s="8">
        <f>AA36/AVERAGE(AA33:AA39)</f>
        <v>1.0374561565442126</v>
      </c>
      <c r="CW12">
        <v>1</v>
      </c>
      <c r="CZ12">
        <v>1997</v>
      </c>
      <c r="DA12" s="8">
        <f>AB33/AVERAGE(AB30:AB36)</f>
        <v>0.95703707416085093</v>
      </c>
      <c r="DB12" s="8">
        <f>AB34/AVERAGE(AB31:AB37)</f>
        <v>1.033473254847795</v>
      </c>
      <c r="DC12" s="8">
        <f>AB35/AVERAGE(AB32:AB38)</f>
        <v>1.0290583127411848</v>
      </c>
      <c r="DD12" s="8">
        <f>AB36/AVERAGE(AB33:AB39)</f>
        <v>0.99295692725888562</v>
      </c>
      <c r="DE12">
        <v>1</v>
      </c>
      <c r="DH12">
        <v>1997</v>
      </c>
      <c r="DI12" s="8" t="e">
        <f>AC33/AVERAGE(AC30:AC36)</f>
        <v>#N/A</v>
      </c>
      <c r="DJ12" s="8" t="e">
        <f>AC34/AVERAGE(AC31:AC37)</f>
        <v>#N/A</v>
      </c>
      <c r="DK12" s="8" t="e">
        <f>AC35/AVERAGE(AC32:AC38)</f>
        <v>#N/A</v>
      </c>
      <c r="DL12" s="8">
        <f>AC36/AVERAGE(AC33:AC39)</f>
        <v>1.0644382734127726</v>
      </c>
      <c r="DM12">
        <v>1</v>
      </c>
      <c r="DP12">
        <v>1997</v>
      </c>
      <c r="DQ12" s="8" t="e">
        <f>AD33/AVERAGE(AD30:AD36)</f>
        <v>#N/A</v>
      </c>
      <c r="DR12" s="8" t="e">
        <f>AD34/AVERAGE(AD31:AD37)</f>
        <v>#N/A</v>
      </c>
      <c r="DS12" s="8" t="e">
        <f>AD35/AVERAGE(AD32:AD38)</f>
        <v>#N/A</v>
      </c>
      <c r="DT12" s="8">
        <f>AD36/AVERAGE(AD33:AD39)</f>
        <v>0.92802879605948663</v>
      </c>
      <c r="DU12">
        <v>1</v>
      </c>
      <c r="DX12">
        <v>1997</v>
      </c>
      <c r="DY12" s="8" t="e">
        <f>AE33/AVERAGE(AE30:AE36)</f>
        <v>#N/A</v>
      </c>
      <c r="DZ12" s="8" t="e">
        <f>AE34/AVERAGE(AE31:AE37)</f>
        <v>#N/A</v>
      </c>
      <c r="EA12" s="8" t="e">
        <f>AE35/AVERAGE(AE32:AE38)</f>
        <v>#N/A</v>
      </c>
      <c r="EB12" s="8">
        <f>AE36/AVERAGE(AE33:AE39)</f>
        <v>0.82560005706337602</v>
      </c>
      <c r="EC12">
        <v>1</v>
      </c>
      <c r="EF12">
        <v>1997</v>
      </c>
      <c r="EG12" s="8" t="e">
        <f>AF33/AVERAGE(AF30:AF36)</f>
        <v>#N/A</v>
      </c>
      <c r="EH12" s="8" t="e">
        <f>AF34/AVERAGE(AF31:AF37)</f>
        <v>#N/A</v>
      </c>
      <c r="EI12" s="8" t="e">
        <f>AF35/AVERAGE(AF32:AF38)</f>
        <v>#N/A</v>
      </c>
      <c r="EJ12" s="8">
        <f>AF36/AVERAGE(AF33:AF39)</f>
        <v>1.1390529553626874</v>
      </c>
      <c r="EK12">
        <v>1</v>
      </c>
      <c r="EN12">
        <v>1997</v>
      </c>
      <c r="EO12" s="8" t="e">
        <f>AG33/AVERAGE(AG30:AG36)</f>
        <v>#N/A</v>
      </c>
      <c r="EP12" s="8" t="e">
        <f>AG34/AVERAGE(AG31:AG37)</f>
        <v>#N/A</v>
      </c>
      <c r="EQ12" s="8" t="e">
        <f>AG35/AVERAGE(AG32:AG38)</f>
        <v>#N/A</v>
      </c>
      <c r="ER12" s="8">
        <f>AG36/AVERAGE(AG33:AG39)</f>
        <v>1.0425490030653279</v>
      </c>
      <c r="ES12">
        <v>1</v>
      </c>
      <c r="EV12">
        <v>1997</v>
      </c>
      <c r="EW12" s="8" t="e">
        <f>AH33/AVERAGE(AH30:AH36)</f>
        <v>#N/A</v>
      </c>
      <c r="EX12" s="8" t="e">
        <f>AH34/AVERAGE(AH31:AH37)</f>
        <v>#N/A</v>
      </c>
      <c r="EY12" s="8" t="e">
        <f>AH35/AVERAGE(AH32:AH38)</f>
        <v>#N/A</v>
      </c>
      <c r="EZ12" s="8">
        <f>AH36/AVERAGE(AH33:AH39)</f>
        <v>1.0503883903080189</v>
      </c>
      <c r="FA12">
        <v>1</v>
      </c>
      <c r="FD12">
        <v>1997</v>
      </c>
      <c r="FE12" s="8" t="e">
        <f>AI33/AVERAGE(AI30:AI36)</f>
        <v>#N/A</v>
      </c>
      <c r="FF12" s="8" t="e">
        <f>AI34/AVERAGE(AI31:AI37)</f>
        <v>#N/A</v>
      </c>
      <c r="FG12" s="8" t="e">
        <f>AI35/AVERAGE(AI32:AI38)</f>
        <v>#N/A</v>
      </c>
      <c r="FH12" s="8">
        <f>AI36/AVERAGE(AI33:AI39)</f>
        <v>1.0082148840728531</v>
      </c>
      <c r="FI12">
        <v>1</v>
      </c>
    </row>
    <row r="13" spans="1:165" x14ac:dyDescent="0.35">
      <c r="A13" t="s">
        <v>178</v>
      </c>
      <c r="B13" t="str">
        <f t="shared" si="17"/>
        <v>1992</v>
      </c>
      <c r="C13" t="str">
        <f t="shared" si="18"/>
        <v>Q1</v>
      </c>
      <c r="D13" s="13">
        <f>HAVERQ!C19</f>
        <v>213040</v>
      </c>
      <c r="E13" s="13">
        <f>HAVERQ!D19</f>
        <v>6583</v>
      </c>
      <c r="F13" s="13">
        <f>HAVERQ!E19</f>
        <v>80646</v>
      </c>
      <c r="G13" s="13">
        <f>HAVERQ!F19</f>
        <v>66335</v>
      </c>
      <c r="H13" s="13">
        <f>HAVERQ!G19</f>
        <v>-1362</v>
      </c>
      <c r="I13" s="13">
        <f>HAVERQ!H19</f>
        <v>-837</v>
      </c>
      <c r="J13" s="13">
        <f>HAVERQ!I19</f>
        <v>70839</v>
      </c>
      <c r="K13" s="13">
        <f>HAVERQ!J19</f>
        <v>66269</v>
      </c>
      <c r="L13" s="13" t="e">
        <f>HAVERQ!U19</f>
        <v>#N/A</v>
      </c>
      <c r="M13" s="13" t="e">
        <f>HAVERQ!V19</f>
        <v>#N/A</v>
      </c>
      <c r="N13" s="13" t="e">
        <f>HAVERQ!Y19</f>
        <v>#N/A</v>
      </c>
      <c r="O13" s="13" t="e">
        <f>HAVERQ!Z19</f>
        <v>#N/A</v>
      </c>
      <c r="P13" s="13" t="e">
        <f>HAVERQ!AA19</f>
        <v>#N/A</v>
      </c>
      <c r="Q13" s="13" t="e">
        <f>HAVERQ!AB19</f>
        <v>#N/A</v>
      </c>
      <c r="R13" s="13" t="e">
        <f>HAVERQ!AC19</f>
        <v>#N/A</v>
      </c>
      <c r="U13" s="13">
        <f>HAVERQ!M19</f>
        <v>203115</v>
      </c>
      <c r="V13" s="13">
        <f>HAVERQ!N19</f>
        <v>6486</v>
      </c>
      <c r="W13" s="13">
        <f>HAVERQ!O19</f>
        <v>81269</v>
      </c>
      <c r="X13" s="13">
        <f>HAVERQ!P19</f>
        <v>66348</v>
      </c>
      <c r="Y13" s="13">
        <f>HAVERQ!Q19</f>
        <v>-2575</v>
      </c>
      <c r="Z13" s="13">
        <f>HAVERQ!R19</f>
        <v>-841</v>
      </c>
      <c r="AA13" s="13">
        <f>HAVERQ!S19</f>
        <v>68493</v>
      </c>
      <c r="AB13" s="13">
        <f>HAVERQ!T19</f>
        <v>64588</v>
      </c>
      <c r="AC13" s="13" t="e">
        <f>HAVERQ!W19</f>
        <v>#N/A</v>
      </c>
      <c r="AD13" s="13" t="e">
        <f>HAVERQ!X19</f>
        <v>#N/A</v>
      </c>
      <c r="AE13" s="13" t="e">
        <f>HAVERQ!AD19</f>
        <v>#N/A</v>
      </c>
      <c r="AF13" s="13" t="e">
        <f>HAVERQ!AE19</f>
        <v>#N/A</v>
      </c>
      <c r="AG13" s="13" t="e">
        <f>HAVERQ!AF19</f>
        <v>#N/A</v>
      </c>
      <c r="AH13" s="13" t="e">
        <f>HAVERQ!AG19</f>
        <v>#N/A</v>
      </c>
      <c r="AI13" s="13" t="e">
        <f>HAVERQ!AH19</f>
        <v>#N/A</v>
      </c>
      <c r="AL13">
        <v>1998</v>
      </c>
      <c r="AM13" s="15">
        <f t="shared" ca="1" si="27"/>
        <v>1.0260165864098449</v>
      </c>
      <c r="AN13" s="15">
        <f t="shared" ca="1" si="42"/>
        <v>1</v>
      </c>
      <c r="AO13" s="15">
        <f t="shared" ca="1" si="29"/>
        <v>1.0014175181619513</v>
      </c>
      <c r="AP13" s="15">
        <f t="shared" ca="1" si="30"/>
        <v>0.94534526139222808</v>
      </c>
      <c r="AQ13" s="15">
        <f t="shared" ca="1" si="31"/>
        <v>2.0709497206703911</v>
      </c>
      <c r="AR13" s="15">
        <f t="shared" ca="1" si="32"/>
        <v>1.0697084917617237</v>
      </c>
      <c r="AS13" s="15">
        <f t="shared" ca="1" si="33"/>
        <v>1.0219325394259107</v>
      </c>
      <c r="AT13" s="15">
        <f t="shared" ca="1" si="34"/>
        <v>1.0268372601029803</v>
      </c>
      <c r="AU13" s="15">
        <f t="shared" ca="1" si="35"/>
        <v>0.9784876140808344</v>
      </c>
      <c r="AV13" s="15">
        <f t="shared" ca="1" si="36"/>
        <v>0.71477982115741523</v>
      </c>
      <c r="AW13" s="15">
        <f t="shared" ca="1" si="37"/>
        <v>0.93637880684188568</v>
      </c>
      <c r="AX13" s="15">
        <f t="shared" ca="1" si="38"/>
        <v>0.94756175957388189</v>
      </c>
      <c r="AY13" s="15">
        <f t="shared" ca="1" si="39"/>
        <v>0.98593281196202842</v>
      </c>
      <c r="AZ13" s="15">
        <f t="shared" ca="1" si="40"/>
        <v>0.90242953063673814</v>
      </c>
      <c r="BA13" s="15">
        <f t="shared" ca="1" si="41"/>
        <v>0.99236696714161088</v>
      </c>
      <c r="BD13">
        <v>1998</v>
      </c>
      <c r="BE13" s="8">
        <f>U37/AVERAGE(U34:U40)</f>
        <v>0.96985011999884452</v>
      </c>
      <c r="BF13" s="8">
        <f>U38/AVERAGE(U35:U41)</f>
        <v>0.98689703241838578</v>
      </c>
      <c r="BG13" s="8">
        <f>U39/AVERAGE(U36:U42)</f>
        <v>1.0170349390680158</v>
      </c>
      <c r="BH13" s="8">
        <f>U40/AVERAGE(U37:U43)</f>
        <v>1.0232068162727532</v>
      </c>
      <c r="BI13">
        <v>1</v>
      </c>
      <c r="BL13">
        <v>1998</v>
      </c>
      <c r="BM13" s="8">
        <f>V37/AVERAGE(V34:V40)</f>
        <v>1.0122665411399854</v>
      </c>
      <c r="BN13" s="8">
        <f>V38/AVERAGE(V35:V41)</f>
        <v>1.0160492972374162</v>
      </c>
      <c r="BO13" s="8">
        <f>V39/AVERAGE(V36:V42)</f>
        <v>0.99732376879569595</v>
      </c>
      <c r="BP13" s="8">
        <f>V40/AVERAGE(V37:V43)</f>
        <v>0.98345277231399841</v>
      </c>
      <c r="BQ13">
        <v>1</v>
      </c>
      <c r="BT13">
        <v>1998</v>
      </c>
      <c r="BU13" s="8">
        <f>W37/AVERAGE(W34:W40)</f>
        <v>1.0046623208185341</v>
      </c>
      <c r="BV13" s="8">
        <f>W38/AVERAGE(W35:W41)</f>
        <v>1.0112237380880535</v>
      </c>
      <c r="BW13" s="8">
        <f>W39/AVERAGE(W36:W42)</f>
        <v>0.99571412158640771</v>
      </c>
      <c r="BX13" s="8">
        <f>W40/AVERAGE(W37:W43)</f>
        <v>0.99328665187650211</v>
      </c>
      <c r="BY13">
        <v>1</v>
      </c>
      <c r="CB13">
        <v>1998</v>
      </c>
      <c r="CC13" s="8">
        <f>X37/AVERAGE(X34:X40)</f>
        <v>1.082644140815396</v>
      </c>
      <c r="CD13" s="8">
        <f>X38/AVERAGE(X35:X41)</f>
        <v>0.94794678449642178</v>
      </c>
      <c r="CE13" s="8">
        <f>X39/AVERAGE(X36:X42)</f>
        <v>0.96789394476769275</v>
      </c>
      <c r="CF13" s="8">
        <f>X40/AVERAGE(X37:X43)</f>
        <v>1.0262346299412477</v>
      </c>
      <c r="CG13">
        <v>1</v>
      </c>
      <c r="CJ13">
        <v>1998</v>
      </c>
      <c r="CK13" s="8">
        <f>Y37/AVERAGE(Y34:Y40)</f>
        <v>1.0422558642488771</v>
      </c>
      <c r="CL13" s="8">
        <f>Y38/AVERAGE(Y35:Y41)</f>
        <v>1.6847612818835842</v>
      </c>
      <c r="CM13" s="8">
        <f>Y39/AVERAGE(Y36:Y42)</f>
        <v>0.53582783076546836</v>
      </c>
      <c r="CN13" s="8">
        <f>Y40/AVERAGE(Y37:Y43)</f>
        <v>-0.18833352661486721</v>
      </c>
      <c r="CO13">
        <v>1</v>
      </c>
      <c r="CR13">
        <v>1998</v>
      </c>
      <c r="CS13" s="8">
        <f>AA37/AVERAGE(AA34:AA40)</f>
        <v>0.98734040307426874</v>
      </c>
      <c r="CT13" s="8">
        <f>AA38/AVERAGE(AA35:AA41)</f>
        <v>1.0036479939942993</v>
      </c>
      <c r="CU13" s="8">
        <f>AA39/AVERAGE(AA36:AA42)</f>
        <v>1.0059977183723003</v>
      </c>
      <c r="CV13" s="8">
        <f>AA40/AVERAGE(AA37:AA43)</f>
        <v>1.0078604051936249</v>
      </c>
      <c r="CW13">
        <v>1</v>
      </c>
      <c r="CZ13">
        <v>1998</v>
      </c>
      <c r="DA13" s="8">
        <f>AB37/AVERAGE(AB34:AB40)</f>
        <v>0.97128766031886238</v>
      </c>
      <c r="DB13" s="8">
        <f>AB38/AVERAGE(AB35:AB41)</f>
        <v>1.0182073009403267</v>
      </c>
      <c r="DC13" s="8">
        <f>AB39/AVERAGE(AB36:AB42)</f>
        <v>1.0319362968296659</v>
      </c>
      <c r="DD13" s="8">
        <f>AB40/AVERAGE(AB37:AB43)</f>
        <v>0.97598099898839763</v>
      </c>
      <c r="DE13">
        <v>1</v>
      </c>
      <c r="DH13">
        <v>1998</v>
      </c>
      <c r="DI13" s="8">
        <f>AC37/AVERAGE(AC34:AC40)</f>
        <v>1.035932950884628</v>
      </c>
      <c r="DJ13" s="8">
        <f>AC38/AVERAGE(AC35:AC41)</f>
        <v>0.97276400442012911</v>
      </c>
      <c r="DK13" s="8">
        <f>AC39/AVERAGE(AC36:AC42)</f>
        <v>0.97012887834614003</v>
      </c>
      <c r="DL13" s="8">
        <f>AC40/AVERAGE(AC37:AC43)</f>
        <v>1.0409140811052748</v>
      </c>
      <c r="DM13">
        <v>1</v>
      </c>
      <c r="DP13">
        <v>1998</v>
      </c>
      <c r="DQ13" s="8">
        <f>AD37/AVERAGE(AD34:AD40)</f>
        <v>1.6181041711355082</v>
      </c>
      <c r="DR13" s="8">
        <f>AD38/AVERAGE(AD35:AD41)</f>
        <v>0.71737778330638136</v>
      </c>
      <c r="DS13" s="8">
        <f>AD39/AVERAGE(AD36:AD42)</f>
        <v>0.88440927890667143</v>
      </c>
      <c r="DT13" s="8">
        <f>AD40/AVERAGE(AD37:AD43)</f>
        <v>0.97143115450682582</v>
      </c>
      <c r="DU13">
        <v>1</v>
      </c>
      <c r="DX13">
        <v>1998</v>
      </c>
      <c r="DY13" s="8">
        <f>AE37/AVERAGE(AE34:AE40)</f>
        <v>1.2004292613128242</v>
      </c>
      <c r="DZ13" s="8">
        <f>AE38/AVERAGE(AE35:AE41)</f>
        <v>1.0581934898649827</v>
      </c>
      <c r="EA13" s="8">
        <f>AE39/AVERAGE(AE36:AE42)</f>
        <v>0.92163310042471569</v>
      </c>
      <c r="EB13" s="8">
        <f>AE40/AVERAGE(AE37:AE43)</f>
        <v>0.88594040968342647</v>
      </c>
      <c r="EC13">
        <v>1</v>
      </c>
      <c r="EF13">
        <v>1998</v>
      </c>
      <c r="EG13" s="8">
        <f>AF37/AVERAGE(AF34:AF40)</f>
        <v>1.0747440850511829</v>
      </c>
      <c r="EH13" s="8">
        <f>AF38/AVERAGE(AF35:AF41)</f>
        <v>0.90650223910054861</v>
      </c>
      <c r="EI13" s="8">
        <f>AF39/AVERAGE(AF36:AF42)</f>
        <v>0.91474945919103146</v>
      </c>
      <c r="EJ13" s="8">
        <f>AF40/AVERAGE(AF37:AF43)</f>
        <v>1.0894074714299433</v>
      </c>
      <c r="EK13">
        <v>1</v>
      </c>
      <c r="EN13">
        <v>1998</v>
      </c>
      <c r="EO13" s="8">
        <f>AG37/AVERAGE(AG34:AG40)</f>
        <v>1.0045669513658502</v>
      </c>
      <c r="EP13" s="8">
        <f>AG38/AVERAGE(AG35:AG41)</f>
        <v>0.99548078809450402</v>
      </c>
      <c r="EQ13" s="8">
        <f>AG39/AVERAGE(AG36:AG42)</f>
        <v>0.98738515334944721</v>
      </c>
      <c r="ER13" s="8">
        <f>AG40/AVERAGE(AG37:AG43)</f>
        <v>0.97124981792707366</v>
      </c>
      <c r="ES13">
        <v>1</v>
      </c>
      <c r="EV13">
        <v>1998</v>
      </c>
      <c r="EW13" s="8">
        <f>AH37/AVERAGE(AH34:AH40)</f>
        <v>1.1427883011454201</v>
      </c>
      <c r="EX13" s="8">
        <f>AH38/AVERAGE(AH35:AH41)</f>
        <v>0.88809587795096545</v>
      </c>
      <c r="EY13" s="8">
        <f>AH39/AVERAGE(AH36:AH42)</f>
        <v>0.98780094135288232</v>
      </c>
      <c r="EZ13" s="8">
        <f>AH40/AVERAGE(AH37:AH43)</f>
        <v>1.0470791598341394</v>
      </c>
      <c r="FA13">
        <v>1</v>
      </c>
      <c r="FD13">
        <v>1998</v>
      </c>
      <c r="FE13" s="8">
        <f>AI37/AVERAGE(AI34:AI40)</f>
        <v>1.0199343289905731</v>
      </c>
      <c r="FF13" s="8">
        <f>AI38/AVERAGE(AI35:AI41)</f>
        <v>1.0165938773595722</v>
      </c>
      <c r="FG13" s="8">
        <f>AI39/AVERAGE(AI36:AI42)</f>
        <v>1.0074093948650211</v>
      </c>
      <c r="FH13" s="8">
        <f>AI40/AVERAGE(AI37:AI43)</f>
        <v>1.0099713055954089</v>
      </c>
      <c r="FI13">
        <v>1</v>
      </c>
    </row>
    <row r="14" spans="1:165" x14ac:dyDescent="0.35">
      <c r="A14" t="s">
        <v>179</v>
      </c>
      <c r="B14" t="str">
        <f t="shared" si="17"/>
        <v>1992</v>
      </c>
      <c r="C14" t="str">
        <f t="shared" si="18"/>
        <v>Q2</v>
      </c>
      <c r="D14" s="13">
        <f>HAVERQ!C20</f>
        <v>215855</v>
      </c>
      <c r="E14" s="13">
        <f>HAVERQ!D20</f>
        <v>6339</v>
      </c>
      <c r="F14" s="13">
        <f>HAVERQ!E20</f>
        <v>80966</v>
      </c>
      <c r="G14" s="13">
        <f>HAVERQ!F20</f>
        <v>65950</v>
      </c>
      <c r="H14" s="13">
        <f>HAVERQ!G20</f>
        <v>-3117</v>
      </c>
      <c r="I14" s="13">
        <f>HAVERQ!H20</f>
        <v>223</v>
      </c>
      <c r="J14" s="13">
        <f>HAVERQ!I20</f>
        <v>72581</v>
      </c>
      <c r="K14" s="13">
        <f>HAVERQ!J20</f>
        <v>69297</v>
      </c>
      <c r="L14" s="13" t="e">
        <f>HAVERQ!U20</f>
        <v>#N/A</v>
      </c>
      <c r="M14" s="13" t="e">
        <f>HAVERQ!V20</f>
        <v>#N/A</v>
      </c>
      <c r="N14" s="13" t="e">
        <f>HAVERQ!Y20</f>
        <v>#N/A</v>
      </c>
      <c r="O14" s="13" t="e">
        <f>HAVERQ!Z20</f>
        <v>#N/A</v>
      </c>
      <c r="P14" s="13" t="e">
        <f>HAVERQ!AA20</f>
        <v>#N/A</v>
      </c>
      <c r="Q14" s="13" t="e">
        <f>HAVERQ!AB20</f>
        <v>#N/A</v>
      </c>
      <c r="R14" s="13" t="e">
        <f>HAVERQ!AC20</f>
        <v>#N/A</v>
      </c>
      <c r="U14" s="13">
        <f>HAVERQ!M20</f>
        <v>210292</v>
      </c>
      <c r="V14" s="13">
        <f>HAVERQ!N20</f>
        <v>6407</v>
      </c>
      <c r="W14" s="13">
        <f>HAVERQ!O20</f>
        <v>80314</v>
      </c>
      <c r="X14" s="13">
        <f>HAVERQ!P20</f>
        <v>65948</v>
      </c>
      <c r="Y14" s="13">
        <f>HAVERQ!Q20</f>
        <v>31</v>
      </c>
      <c r="Z14" s="13">
        <f>HAVERQ!R20</f>
        <v>225</v>
      </c>
      <c r="AA14" s="13">
        <f>HAVERQ!S20</f>
        <v>71971</v>
      </c>
      <c r="AB14" s="13">
        <f>HAVERQ!T20</f>
        <v>70236</v>
      </c>
      <c r="AC14" s="13" t="e">
        <f>HAVERQ!W20</f>
        <v>#N/A</v>
      </c>
      <c r="AD14" s="13" t="e">
        <f>HAVERQ!X20</f>
        <v>#N/A</v>
      </c>
      <c r="AE14" s="13" t="e">
        <f>HAVERQ!AD20</f>
        <v>#N/A</v>
      </c>
      <c r="AF14" s="13" t="e">
        <f>HAVERQ!AE20</f>
        <v>#N/A</v>
      </c>
      <c r="AG14" s="13" t="e">
        <f>HAVERQ!AF20</f>
        <v>#N/A</v>
      </c>
      <c r="AH14" s="13" t="e">
        <f>HAVERQ!AG20</f>
        <v>#N/A</v>
      </c>
      <c r="AI14" s="13" t="e">
        <f>HAVERQ!AH20</f>
        <v>#N/A</v>
      </c>
      <c r="AL14">
        <v>1999</v>
      </c>
      <c r="AM14" s="15">
        <f t="shared" ca="1" si="27"/>
        <v>1.0258786985843611</v>
      </c>
      <c r="AN14" s="15">
        <f t="shared" ca="1" si="42"/>
        <v>1</v>
      </c>
      <c r="AO14" s="15">
        <f t="shared" ca="1" si="29"/>
        <v>1.0025835564232357</v>
      </c>
      <c r="AP14" s="15">
        <f t="shared" ca="1" si="30"/>
        <v>0.97366822218487825</v>
      </c>
      <c r="AQ14" s="15">
        <f t="shared" ca="1" si="31"/>
        <v>0.61813537675606645</v>
      </c>
      <c r="AR14" s="15">
        <f t="shared" ca="1" si="32"/>
        <v>1.0836707152496625</v>
      </c>
      <c r="AS14" s="15">
        <f t="shared" ca="1" si="33"/>
        <v>1.0251532366571985</v>
      </c>
      <c r="AT14" s="15">
        <f t="shared" ca="1" si="34"/>
        <v>1.0267521534847299</v>
      </c>
      <c r="AU14" s="15">
        <f t="shared" ca="1" si="35"/>
        <v>1.0152184585174275</v>
      </c>
      <c r="AV14" s="15">
        <f t="shared" ca="1" si="36"/>
        <v>0.72534661198984574</v>
      </c>
      <c r="AW14" s="15">
        <f t="shared" ca="1" si="37"/>
        <v>0.95228966986155483</v>
      </c>
      <c r="AX14" s="15">
        <f t="shared" ca="1" si="38"/>
        <v>0.94778936017253779</v>
      </c>
      <c r="AY14" s="15">
        <f t="shared" ca="1" si="39"/>
        <v>0.98547393133131178</v>
      </c>
      <c r="AZ14" s="15">
        <f t="shared" ca="1" si="40"/>
        <v>0.97431031453171679</v>
      </c>
      <c r="BA14" s="15">
        <f t="shared" ca="1" si="41"/>
        <v>0.99443453442739926</v>
      </c>
      <c r="BD14">
        <v>1999</v>
      </c>
      <c r="BE14" s="8">
        <f>U41/AVERAGE(U38:U44)</f>
        <v>0.96532814416286405</v>
      </c>
      <c r="BF14" s="8">
        <f>U42/AVERAGE(U39:U45)</f>
        <v>0.98868575997673913</v>
      </c>
      <c r="BG14" s="8">
        <f>U43/AVERAGE(U40:U46)</f>
        <v>1.0161882854161597</v>
      </c>
      <c r="BH14" s="8">
        <f>U44/AVERAGE(U41:U47)</f>
        <v>1.0273281991639922</v>
      </c>
      <c r="BI14">
        <v>1</v>
      </c>
      <c r="BL14">
        <v>1999</v>
      </c>
      <c r="BM14" s="8">
        <f>V41/AVERAGE(V38:V44)</f>
        <v>0.97343749999999996</v>
      </c>
      <c r="BN14" s="8">
        <f>V42/AVERAGE(V39:V45)</f>
        <v>1.0079112410674027</v>
      </c>
      <c r="BO14" s="8">
        <f>V43/AVERAGE(V40:V46)</f>
        <v>1.0012611366502582</v>
      </c>
      <c r="BP14" s="8">
        <f>V44/AVERAGE(V41:V47)</f>
        <v>1.0049221442845455</v>
      </c>
      <c r="BQ14">
        <v>1</v>
      </c>
      <c r="BT14">
        <v>1999</v>
      </c>
      <c r="BU14" s="8">
        <f>W41/AVERAGE(W38:W44)</f>
        <v>0.97988957183721825</v>
      </c>
      <c r="BV14" s="8">
        <f>W42/AVERAGE(W39:W45)</f>
        <v>1.0166101816311317</v>
      </c>
      <c r="BW14" s="8">
        <f>W43/AVERAGE(W40:W46)</f>
        <v>1.0062128896536071</v>
      </c>
      <c r="BX14" s="8">
        <f>W44/AVERAGE(W41:W47)</f>
        <v>1.002644149977461</v>
      </c>
      <c r="BY14">
        <v>1</v>
      </c>
      <c r="CB14">
        <v>1999</v>
      </c>
      <c r="CC14" s="8">
        <f>X41/AVERAGE(X38:X44)</f>
        <v>1.0383838035191066</v>
      </c>
      <c r="CD14" s="8">
        <f>X42/AVERAGE(X39:X45)</f>
        <v>0.94074701706066566</v>
      </c>
      <c r="CE14" s="8">
        <f>X43/AVERAGE(X40:X46)</f>
        <v>0.97898683068633274</v>
      </c>
      <c r="CF14" s="8">
        <f>X44/AVERAGE(X41:X47)</f>
        <v>1.0081516107064605</v>
      </c>
      <c r="CG14">
        <v>1</v>
      </c>
      <c r="CJ14">
        <v>1999</v>
      </c>
      <c r="CK14" s="8">
        <f>Y41/AVERAGE(Y38:Y44)</f>
        <v>1.5985805949834728</v>
      </c>
      <c r="CL14" s="8">
        <f>Y42/AVERAGE(Y39:Y45)</f>
        <v>-0.57957929113437712</v>
      </c>
      <c r="CM14" s="8">
        <f>Y43/AVERAGE(Y40:Y46)</f>
        <v>1.7181273682923848</v>
      </c>
      <c r="CN14" s="8">
        <f>Y44/AVERAGE(Y41:Y47)</f>
        <v>1.7033826638477803</v>
      </c>
      <c r="CO14">
        <v>1</v>
      </c>
      <c r="CR14">
        <v>1999</v>
      </c>
      <c r="CS14" s="8">
        <f>AA41/AVERAGE(AA38:AA44)</f>
        <v>0.95093561743642596</v>
      </c>
      <c r="CT14" s="8">
        <f>AA42/AVERAGE(AA39:AA45)</f>
        <v>0.96447844378168879</v>
      </c>
      <c r="CU14" s="8">
        <f>AA43/AVERAGE(AA40:AA46)</f>
        <v>1.0131853718309374</v>
      </c>
      <c r="CV14" s="8">
        <f>AA44/AVERAGE(AA41:AA47)</f>
        <v>1.0294987966225488</v>
      </c>
      <c r="CW14">
        <v>1</v>
      </c>
      <c r="CZ14">
        <v>1999</v>
      </c>
      <c r="DA14" s="8">
        <f>AB41/AVERAGE(AB38:AB44)</f>
        <v>0.96580150774807483</v>
      </c>
      <c r="DB14" s="8">
        <f>AB42/AVERAGE(AB39:AB45)</f>
        <v>0.99417540977485719</v>
      </c>
      <c r="DC14" s="8">
        <f>AB43/AVERAGE(AB40:AB46)</f>
        <v>1.0342186171943042</v>
      </c>
      <c r="DD14" s="8">
        <f>AB44/AVERAGE(AB41:AB47)</f>
        <v>1.0009666326578823</v>
      </c>
      <c r="DE14">
        <v>1</v>
      </c>
      <c r="DH14">
        <v>1999</v>
      </c>
      <c r="DI14" s="8">
        <f>AC41/AVERAGE(AC38:AC44)</f>
        <v>1.0054294175715697</v>
      </c>
      <c r="DJ14" s="8">
        <f>AC42/AVERAGE(AC39:AC45)</f>
        <v>0.95383309065218758</v>
      </c>
      <c r="DK14" s="8">
        <f>AC43/AVERAGE(AC40:AC46)</f>
        <v>0.98401973611409455</v>
      </c>
      <c r="DL14" s="8">
        <f>AC44/AVERAGE(AC41:AC47)</f>
        <v>1.0226992182142367</v>
      </c>
      <c r="DM14">
        <v>1</v>
      </c>
      <c r="DP14">
        <v>1999</v>
      </c>
      <c r="DQ14" s="8">
        <f>AD41/AVERAGE(AD38:AD44)</f>
        <v>1.4173536563667637</v>
      </c>
      <c r="DR14" s="8">
        <f>AD42/AVERAGE(AD39:AD45)</f>
        <v>0.77282269399974446</v>
      </c>
      <c r="DS14" s="8">
        <f>AD43/AVERAGE(AD40:AD46)</f>
        <v>0.87135470912066659</v>
      </c>
      <c r="DT14" s="8">
        <f>AD44/AVERAGE(AD41:AD47)</f>
        <v>0.94182010262601878</v>
      </c>
      <c r="DU14">
        <v>1</v>
      </c>
      <c r="DX14">
        <v>1999</v>
      </c>
      <c r="DY14" s="8">
        <f>AE41/AVERAGE(AE38:AE44)</f>
        <v>1.125321006676939</v>
      </c>
      <c r="DZ14" s="8">
        <f>AE42/AVERAGE(AE39:AE45)</f>
        <v>1.0732037486983688</v>
      </c>
      <c r="EA14" s="8">
        <f>AE43/AVERAGE(AE40:AE46)</f>
        <v>0.99935153583617753</v>
      </c>
      <c r="EB14" s="8">
        <f>AE44/AVERAGE(AE41:AE47)</f>
        <v>0.94626506024096391</v>
      </c>
      <c r="EC14">
        <v>1</v>
      </c>
      <c r="EF14">
        <v>1999</v>
      </c>
      <c r="EG14" s="8">
        <f>AF41/AVERAGE(AF38:AF44)</f>
        <v>1.0628752319615762</v>
      </c>
      <c r="EH14" s="8">
        <f>AF42/AVERAGE(AF39:AF45)</f>
        <v>0.89774744565860587</v>
      </c>
      <c r="EI14" s="8">
        <f>AF43/AVERAGE(AF40:AF46)</f>
        <v>0.93327495621716283</v>
      </c>
      <c r="EJ14" s="8">
        <f>AF44/AVERAGE(AF41:AF47)</f>
        <v>0.99098104639931761</v>
      </c>
      <c r="EK14">
        <v>1</v>
      </c>
      <c r="EN14">
        <v>1999</v>
      </c>
      <c r="EO14" s="8">
        <f>AG41/AVERAGE(AG38:AG44)</f>
        <v>0.98444120398393209</v>
      </c>
      <c r="EP14" s="8">
        <f>AG42/AVERAGE(AG39:AG45)</f>
        <v>0.99373448796805863</v>
      </c>
      <c r="EQ14" s="8">
        <f>AG43/AVERAGE(AG40:AG46)</f>
        <v>1.0103838308918969</v>
      </c>
      <c r="ER14" s="8">
        <f>AG44/AVERAGE(AG41:AG47)</f>
        <v>0.97928992161472372</v>
      </c>
      <c r="ES14">
        <v>1</v>
      </c>
      <c r="EV14">
        <v>1999</v>
      </c>
      <c r="EW14" s="8">
        <f>AH41/AVERAGE(AH38:AH44)</f>
        <v>1.0507865666445098</v>
      </c>
      <c r="EX14" s="8">
        <f>AH42/AVERAGE(AH39:AH45)</f>
        <v>0.88720724985976807</v>
      </c>
      <c r="EY14" s="8">
        <f>AH43/AVERAGE(AH40:AH46)</f>
        <v>0.99484203067689225</v>
      </c>
      <c r="EZ14" s="8">
        <f>AH44/AVERAGE(AH41:AH47)</f>
        <v>1.0674253936093876</v>
      </c>
      <c r="FA14">
        <v>1</v>
      </c>
      <c r="FD14">
        <v>1999</v>
      </c>
      <c r="FE14" s="8">
        <f>AI41/AVERAGE(AI38:AI44)</f>
        <v>0.99958225500784548</v>
      </c>
      <c r="FF14" s="8">
        <f>AI42/AVERAGE(AI39:AI45)</f>
        <v>0.97952049466037561</v>
      </c>
      <c r="FG14" s="8">
        <f>AI43/AVERAGE(AI40:AI46)</f>
        <v>0.97869004703368245</v>
      </c>
      <c r="FH14" s="8">
        <f>AI44/AVERAGE(AI41:AI47)</f>
        <v>0.99313501144164762</v>
      </c>
      <c r="FI14">
        <v>1</v>
      </c>
    </row>
    <row r="15" spans="1:165" x14ac:dyDescent="0.35">
      <c r="A15" t="s">
        <v>180</v>
      </c>
      <c r="B15" t="str">
        <f t="shared" si="17"/>
        <v>1992</v>
      </c>
      <c r="C15" t="str">
        <f t="shared" si="18"/>
        <v>Q3</v>
      </c>
      <c r="D15" s="13">
        <f>HAVERQ!C21</f>
        <v>217123</v>
      </c>
      <c r="E15" s="13">
        <f>HAVERQ!D21</f>
        <v>6366</v>
      </c>
      <c r="F15" s="13">
        <f>HAVERQ!E21</f>
        <v>80958</v>
      </c>
      <c r="G15" s="13">
        <f>HAVERQ!F21</f>
        <v>66215</v>
      </c>
      <c r="H15" s="13">
        <f>HAVERQ!G21</f>
        <v>-1381</v>
      </c>
      <c r="I15" s="13">
        <f>HAVERQ!H21</f>
        <v>-319</v>
      </c>
      <c r="J15" s="13">
        <f>HAVERQ!I21</f>
        <v>71131</v>
      </c>
      <c r="K15" s="13">
        <f>HAVERQ!J21</f>
        <v>68557</v>
      </c>
      <c r="L15" s="13" t="e">
        <f>HAVERQ!U21</f>
        <v>#N/A</v>
      </c>
      <c r="M15" s="13" t="e">
        <f>HAVERQ!V21</f>
        <v>#N/A</v>
      </c>
      <c r="N15" s="13" t="e">
        <f>HAVERQ!Y21</f>
        <v>#N/A</v>
      </c>
      <c r="O15" s="13" t="e">
        <f>HAVERQ!Z21</f>
        <v>#N/A</v>
      </c>
      <c r="P15" s="13" t="e">
        <f>HAVERQ!AA21</f>
        <v>#N/A</v>
      </c>
      <c r="Q15" s="13" t="e">
        <f>HAVERQ!AB21</f>
        <v>#N/A</v>
      </c>
      <c r="R15" s="13" t="e">
        <f>HAVERQ!AC21</f>
        <v>#N/A</v>
      </c>
      <c r="U15" s="13">
        <f>HAVERQ!M21</f>
        <v>224008</v>
      </c>
      <c r="V15" s="13">
        <f>HAVERQ!N21</f>
        <v>6431</v>
      </c>
      <c r="W15" s="13">
        <f>HAVERQ!O21</f>
        <v>80783</v>
      </c>
      <c r="X15" s="13">
        <f>HAVERQ!P21</f>
        <v>66209</v>
      </c>
      <c r="Y15" s="13">
        <f>HAVERQ!Q21</f>
        <v>939</v>
      </c>
      <c r="Z15" s="13">
        <f>HAVERQ!R21</f>
        <v>-320</v>
      </c>
      <c r="AA15" s="13">
        <f>HAVERQ!S21</f>
        <v>71413</v>
      </c>
      <c r="AB15" s="13">
        <f>HAVERQ!T21</f>
        <v>70670</v>
      </c>
      <c r="AC15" s="13" t="e">
        <f>HAVERQ!W21</f>
        <v>#N/A</v>
      </c>
      <c r="AD15" s="13" t="e">
        <f>HAVERQ!X21</f>
        <v>#N/A</v>
      </c>
      <c r="AE15" s="13" t="e">
        <f>HAVERQ!AD21</f>
        <v>#N/A</v>
      </c>
      <c r="AF15" s="13" t="e">
        <f>HAVERQ!AE21</f>
        <v>#N/A</v>
      </c>
      <c r="AG15" s="13" t="e">
        <f>HAVERQ!AF21</f>
        <v>#N/A</v>
      </c>
      <c r="AH15" s="13" t="e">
        <f>HAVERQ!AG21</f>
        <v>#N/A</v>
      </c>
      <c r="AI15" s="13" t="e">
        <f>HAVERQ!AH21</f>
        <v>#N/A</v>
      </c>
      <c r="AL15">
        <v>2000</v>
      </c>
      <c r="AM15" s="15">
        <f t="shared" ca="1" si="27"/>
        <v>1.0266713376118228</v>
      </c>
      <c r="AN15" s="15">
        <f t="shared" ca="1" si="42"/>
        <v>1</v>
      </c>
      <c r="AO15" s="15">
        <f t="shared" ca="1" si="29"/>
        <v>1.003878975950349</v>
      </c>
      <c r="AP15" s="15">
        <f t="shared" ca="1" si="30"/>
        <v>0.96838970850610917</v>
      </c>
      <c r="AQ15" s="15">
        <f t="shared" ca="1" si="31"/>
        <v>1.2623004235907462</v>
      </c>
      <c r="AR15" s="15">
        <f t="shared" ca="1" si="32"/>
        <v>1.1594533029612757</v>
      </c>
      <c r="AS15" s="15">
        <f t="shared" ca="1" si="33"/>
        <v>1.0157722090321064</v>
      </c>
      <c r="AT15" s="15">
        <f t="shared" ca="1" si="34"/>
        <v>1.0189855202806009</v>
      </c>
      <c r="AU15" s="15">
        <f t="shared" ca="1" si="35"/>
        <v>0.9983433330348348</v>
      </c>
      <c r="AV15" s="15">
        <f t="shared" ca="1" si="36"/>
        <v>0.73667837431008532</v>
      </c>
      <c r="AW15" s="15">
        <f t="shared" ca="1" si="37"/>
        <v>0.98120873539867959</v>
      </c>
      <c r="AX15" s="15">
        <f t="shared" ca="1" si="38"/>
        <v>0.95371954697303019</v>
      </c>
      <c r="AY15" s="15">
        <f t="shared" ca="1" si="39"/>
        <v>0.98430019409100711</v>
      </c>
      <c r="AZ15" s="15">
        <f t="shared" ca="1" si="40"/>
        <v>0.95302265283842791</v>
      </c>
      <c r="BA15" s="15">
        <f t="shared" ca="1" si="41"/>
        <v>0.99552966675697641</v>
      </c>
      <c r="BD15">
        <v>2000</v>
      </c>
      <c r="BE15" s="8">
        <f>U45/AVERAGE(U42:U48)</f>
        <v>0.97052604170578616</v>
      </c>
      <c r="BF15" s="8">
        <f>U46/AVERAGE(U43:U49)</f>
        <v>0.9886110174707966</v>
      </c>
      <c r="BG15" s="8">
        <f>U47/AVERAGE(U44:U50)</f>
        <v>1.0176109011201093</v>
      </c>
      <c r="BH15" s="8">
        <f>U48/AVERAGE(U45:U51)</f>
        <v>1.0329034934827621</v>
      </c>
      <c r="BI15">
        <v>1</v>
      </c>
      <c r="BL15">
        <v>2000</v>
      </c>
      <c r="BM15" s="8">
        <f>V45/AVERAGE(V42:V48)</f>
        <v>0.99362441015852809</v>
      </c>
      <c r="BN15" s="8">
        <f>V46/AVERAGE(V43:V49)</f>
        <v>1.0032393142134788</v>
      </c>
      <c r="BO15" s="8">
        <f>V47/AVERAGE(V44:V50)</f>
        <v>1.0073571614923038</v>
      </c>
      <c r="BP15" s="8">
        <f>V48/AVERAGE(V45:V51)</f>
        <v>0.99755788712011573</v>
      </c>
      <c r="BQ15">
        <v>1</v>
      </c>
      <c r="BT15">
        <v>2000</v>
      </c>
      <c r="BU15" s="8">
        <f>W45/AVERAGE(W42:W48)</f>
        <v>0.98061566182701365</v>
      </c>
      <c r="BV15" s="8">
        <f>W46/AVERAGE(W43:W49)</f>
        <v>1.0091306247269549</v>
      </c>
      <c r="BW15" s="8">
        <f>W47/AVERAGE(W44:W50)</f>
        <v>1.0023955600841157</v>
      </c>
      <c r="BX15" s="8">
        <f>W48/AVERAGE(W45:W51)</f>
        <v>0.99437514759870327</v>
      </c>
      <c r="BY15">
        <v>1</v>
      </c>
      <c r="CB15">
        <v>2000</v>
      </c>
      <c r="CC15" s="8">
        <f>X45/AVERAGE(X42:X48)</f>
        <v>1.0434169379613922</v>
      </c>
      <c r="CD15" s="8">
        <f>X46/AVERAGE(X43:X49)</f>
        <v>1.0041316849483002</v>
      </c>
      <c r="CE15" s="8">
        <f>X47/AVERAGE(X44:X50)</f>
        <v>0.94946580874730424</v>
      </c>
      <c r="CF15" s="8">
        <f>X48/AVERAGE(X45:X51)</f>
        <v>1.013454605018661</v>
      </c>
      <c r="CG15">
        <v>1</v>
      </c>
      <c r="CJ15">
        <v>2000</v>
      </c>
      <c r="CK15" s="8">
        <f>Y45/AVERAGE(Y42:Y48)</f>
        <v>2.8255951598053399</v>
      </c>
      <c r="CL15" s="8">
        <f>Y46/AVERAGE(Y43:Y49)</f>
        <v>-1.5087342112335393</v>
      </c>
      <c r="CM15" s="8">
        <f>Y47/AVERAGE(Y44:Y50)</f>
        <v>5.0675438596491231</v>
      </c>
      <c r="CN15" s="8">
        <f>Y48/AVERAGE(Y45:Y51)</f>
        <v>-2.6435572981643203</v>
      </c>
      <c r="CO15">
        <v>1</v>
      </c>
      <c r="CR15">
        <v>2000</v>
      </c>
      <c r="CS15" s="8">
        <f>AA45/AVERAGE(AA42:AA48)</f>
        <v>0.982947597584508</v>
      </c>
      <c r="CT15" s="8">
        <f>AA46/AVERAGE(AA43:AA49)</f>
        <v>1.0038979500138474</v>
      </c>
      <c r="CU15" s="8">
        <f>AA47/AVERAGE(AA44:AA50)</f>
        <v>1.0010845950031402</v>
      </c>
      <c r="CV15" s="8">
        <f>AA48/AVERAGE(AA45:AA51)</f>
        <v>1.0321063799688781</v>
      </c>
      <c r="CW15">
        <v>1</v>
      </c>
      <c r="CZ15">
        <v>2000</v>
      </c>
      <c r="DA15" s="8">
        <f>AB45/AVERAGE(AB42:AB48)</f>
        <v>0.96815884009513287</v>
      </c>
      <c r="DB15" s="8">
        <f>AB46/AVERAGE(AB43:AB49)</f>
        <v>0.99608108108108107</v>
      </c>
      <c r="DC15" s="8">
        <f>AB47/AVERAGE(AB44:AB50)</f>
        <v>1.0200110095256332</v>
      </c>
      <c r="DD15" s="8">
        <f>AB48/AVERAGE(AB45:AB51)</f>
        <v>1.0121643313674877</v>
      </c>
      <c r="DE15">
        <v>1</v>
      </c>
      <c r="DH15">
        <v>2000</v>
      </c>
      <c r="DI15" s="8">
        <f>AC45/AVERAGE(AC42:AC48)</f>
        <v>1.0052791656217648</v>
      </c>
      <c r="DJ15" s="8">
        <f>AC46/AVERAGE(AC43:AC49)</f>
        <v>1.035915753639191</v>
      </c>
      <c r="DK15" s="8">
        <f>AC47/AVERAGE(AC44:AC50)</f>
        <v>0.94363105560067606</v>
      </c>
      <c r="DL15" s="8">
        <f>AC48/AVERAGE(AC45:AC51)</f>
        <v>1.0432392990016159</v>
      </c>
      <c r="DM15">
        <v>1</v>
      </c>
      <c r="DP15">
        <v>2000</v>
      </c>
      <c r="DQ15" s="8">
        <f>AD45/AVERAGE(AD42:AD48)</f>
        <v>1.3868068947692798</v>
      </c>
      <c r="DR15" s="8">
        <f>AD46/AVERAGE(AD43:AD49)</f>
        <v>0.74542202387277301</v>
      </c>
      <c r="DS15" s="8">
        <f>AD47/AVERAGE(AD44:AD50)</f>
        <v>0.84529547359597657</v>
      </c>
      <c r="DT15" s="8">
        <f>AD48/AVERAGE(AD45:AD51)</f>
        <v>0.89635887672536885</v>
      </c>
      <c r="DU15">
        <v>1</v>
      </c>
      <c r="DX15">
        <v>2000</v>
      </c>
      <c r="DY15" s="8">
        <f>AE45/AVERAGE(AE42:AE48)</f>
        <v>0.97967161845191553</v>
      </c>
      <c r="DZ15" s="8">
        <f>AE46/AVERAGE(AE43:AE49)</f>
        <v>1.1024383153457611</v>
      </c>
      <c r="EA15" s="8">
        <f>AE47/AVERAGE(AE44:AE50)</f>
        <v>0.84810902896081763</v>
      </c>
      <c r="EB15" s="8">
        <f>AE48/AVERAGE(AE45:AE51)</f>
        <v>0.88003057392575856</v>
      </c>
      <c r="EC15">
        <v>1</v>
      </c>
      <c r="EF15">
        <v>2000</v>
      </c>
      <c r="EG15" s="8">
        <f>AF45/AVERAGE(AF42:AF48)</f>
        <v>1.0519800161633972</v>
      </c>
      <c r="EH15" s="8">
        <f>AF46/AVERAGE(AF43:AF49)</f>
        <v>1.110541719067712</v>
      </c>
      <c r="EI15" s="8">
        <f>AF47/AVERAGE(AF44:AF50)</f>
        <v>0.90731678900151469</v>
      </c>
      <c r="EJ15" s="8">
        <f>AF48/AVERAGE(AF45:AF51)</f>
        <v>1.0539949091830507</v>
      </c>
      <c r="EK15">
        <v>1</v>
      </c>
      <c r="EN15">
        <v>2000</v>
      </c>
      <c r="EO15" s="8">
        <f>AG45/AVERAGE(AG42:AG48)</f>
        <v>1.0408329485403518</v>
      </c>
      <c r="EP15" s="8">
        <f>AG46/AVERAGE(AG43:AG49)</f>
        <v>1.0189379544475692</v>
      </c>
      <c r="EQ15" s="8">
        <f>AG47/AVERAGE(AG44:AG50)</f>
        <v>1.0191953171028374</v>
      </c>
      <c r="ER15" s="8">
        <f>AG48/AVERAGE(AG45:AG51)</f>
        <v>0.98425686368089216</v>
      </c>
      <c r="ES15">
        <v>1</v>
      </c>
      <c r="EV15">
        <v>2000</v>
      </c>
      <c r="EW15" s="8">
        <f>AH45/AVERAGE(AH42:AH48)</f>
        <v>1.0798816879466964</v>
      </c>
      <c r="EX15" s="8">
        <f>AH46/AVERAGE(AH43:AH49)</f>
        <v>0.88217809162056748</v>
      </c>
      <c r="EY15" s="8">
        <f>AH47/AVERAGE(AH44:AH50)</f>
        <v>0.9363527900146843</v>
      </c>
      <c r="EZ15" s="8">
        <f>AH48/AVERAGE(AH45:AH51)</f>
        <v>1.0376307726988616</v>
      </c>
      <c r="FA15">
        <v>1</v>
      </c>
      <c r="FD15">
        <v>2000</v>
      </c>
      <c r="FE15" s="8">
        <f>AI45/AVERAGE(AI42:AI48)</f>
        <v>1.0109460133621575</v>
      </c>
      <c r="FF15" s="8">
        <f>AI46/AVERAGE(AI43:AI49)</f>
        <v>1.0257976917854719</v>
      </c>
      <c r="FG15" s="8">
        <f>AI47/AVERAGE(AI44:AI50)</f>
        <v>1.0031289111389237</v>
      </c>
      <c r="FH15" s="8">
        <f>AI48/AVERAGE(AI45:AI51)</f>
        <v>1.0245715761977208</v>
      </c>
      <c r="FI15">
        <v>1</v>
      </c>
    </row>
    <row r="16" spans="1:165" x14ac:dyDescent="0.35">
      <c r="A16" t="s">
        <v>181</v>
      </c>
      <c r="B16" t="str">
        <f t="shared" si="17"/>
        <v>1992</v>
      </c>
      <c r="C16" t="str">
        <f t="shared" si="18"/>
        <v>Q4</v>
      </c>
      <c r="D16" s="13">
        <f>HAVERQ!C22</f>
        <v>217528</v>
      </c>
      <c r="E16" s="13">
        <f>HAVERQ!D22</f>
        <v>6454</v>
      </c>
      <c r="F16" s="13">
        <f>HAVERQ!E22</f>
        <v>81332</v>
      </c>
      <c r="G16" s="13">
        <f>HAVERQ!F22</f>
        <v>64649</v>
      </c>
      <c r="H16" s="13">
        <f>HAVERQ!G22</f>
        <v>327</v>
      </c>
      <c r="I16" s="13">
        <f>HAVERQ!H22</f>
        <v>1245</v>
      </c>
      <c r="J16" s="13">
        <f>HAVERQ!I22</f>
        <v>73975</v>
      </c>
      <c r="K16" s="13">
        <f>HAVERQ!J22</f>
        <v>69367</v>
      </c>
      <c r="L16" s="13" t="e">
        <f>HAVERQ!U22</f>
        <v>#N/A</v>
      </c>
      <c r="M16" s="13" t="e">
        <f>HAVERQ!V22</f>
        <v>#N/A</v>
      </c>
      <c r="N16" s="13" t="e">
        <f>HAVERQ!Y22</f>
        <v>#N/A</v>
      </c>
      <c r="O16" s="13" t="e">
        <f>HAVERQ!Z22</f>
        <v>#N/A</v>
      </c>
      <c r="P16" s="13" t="e">
        <f>HAVERQ!AA22</f>
        <v>#N/A</v>
      </c>
      <c r="Q16" s="13" t="e">
        <f>HAVERQ!AB22</f>
        <v>#N/A</v>
      </c>
      <c r="R16" s="13" t="e">
        <f>HAVERQ!AC22</f>
        <v>#N/A</v>
      </c>
      <c r="U16" s="13">
        <f>HAVERQ!M22</f>
        <v>226131</v>
      </c>
      <c r="V16" s="13">
        <f>HAVERQ!N22</f>
        <v>6418</v>
      </c>
      <c r="W16" s="13">
        <f>HAVERQ!O22</f>
        <v>81536</v>
      </c>
      <c r="X16" s="13">
        <f>HAVERQ!P22</f>
        <v>64644</v>
      </c>
      <c r="Y16" s="13">
        <f>HAVERQ!Q22</f>
        <v>-3928</v>
      </c>
      <c r="Z16" s="13">
        <f>HAVERQ!R22</f>
        <v>1248</v>
      </c>
      <c r="AA16" s="13">
        <f>HAVERQ!S22</f>
        <v>76649</v>
      </c>
      <c r="AB16" s="13">
        <f>HAVERQ!T22</f>
        <v>67996</v>
      </c>
      <c r="AC16" s="13" t="e">
        <f>HAVERQ!W22</f>
        <v>#N/A</v>
      </c>
      <c r="AD16" s="13" t="e">
        <f>HAVERQ!X22</f>
        <v>#N/A</v>
      </c>
      <c r="AE16" s="13" t="e">
        <f>HAVERQ!AD22</f>
        <v>#N/A</v>
      </c>
      <c r="AF16" s="13" t="e">
        <f>HAVERQ!AE22</f>
        <v>#N/A</v>
      </c>
      <c r="AG16" s="13" t="e">
        <f>HAVERQ!AF22</f>
        <v>#N/A</v>
      </c>
      <c r="AH16" s="13" t="e">
        <f>HAVERQ!AG22</f>
        <v>#N/A</v>
      </c>
      <c r="AI16" s="13" t="e">
        <f>HAVERQ!AH22</f>
        <v>#N/A</v>
      </c>
      <c r="AL16">
        <v>2001</v>
      </c>
      <c r="AM16" s="15">
        <f t="shared" ca="1" si="27"/>
        <v>1.0278527101445225</v>
      </c>
      <c r="AN16" s="15">
        <f t="shared" ca="1" si="42"/>
        <v>1</v>
      </c>
      <c r="AO16" s="15">
        <f t="shared" ca="1" si="29"/>
        <v>1.0034437864852379</v>
      </c>
      <c r="AP16" s="15">
        <f t="shared" ca="1" si="30"/>
        <v>0.93909439146785889</v>
      </c>
      <c r="AQ16" s="15">
        <f t="shared" ca="1" si="31"/>
        <v>2.8211143695014664</v>
      </c>
      <c r="AR16" s="15">
        <f t="shared" ca="1" si="32"/>
        <v>1.2517985611510791</v>
      </c>
      <c r="AS16" s="15">
        <f t="shared" ca="1" si="33"/>
        <v>1.0172993496542417</v>
      </c>
      <c r="AT16" s="15">
        <f t="shared" ca="1" si="34"/>
        <v>1.0158251330859815</v>
      </c>
      <c r="AU16" s="15">
        <f t="shared" ca="1" si="35"/>
        <v>0.93475856984887573</v>
      </c>
      <c r="AV16" s="15">
        <f t="shared" ca="1" si="36"/>
        <v>0.83503888661481784</v>
      </c>
      <c r="AW16" s="15">
        <f t="shared" ca="1" si="37"/>
        <v>1.0242232754081095</v>
      </c>
      <c r="AX16" s="15">
        <f t="shared" ca="1" si="38"/>
        <v>0.95116950182260029</v>
      </c>
      <c r="AY16" s="15">
        <f t="shared" ca="1" si="39"/>
        <v>0.97926537709193651</v>
      </c>
      <c r="AZ16" s="15">
        <f t="shared" ca="1" si="40"/>
        <v>0.8813316860654139</v>
      </c>
      <c r="BA16" s="15">
        <f t="shared" ca="1" si="41"/>
        <v>0.99436562351503632</v>
      </c>
      <c r="BD16">
        <v>2001</v>
      </c>
      <c r="BE16" s="8">
        <f>U49/AVERAGE(U46:U52)</f>
        <v>0.96618174820476632</v>
      </c>
      <c r="BF16" s="8">
        <f>U50/AVERAGE(U47:U53)</f>
        <v>0.98473175857552064</v>
      </c>
      <c r="BG16" s="8">
        <f>U51/AVERAGE(U48:U54)</f>
        <v>1.0164700911404312</v>
      </c>
      <c r="BH16" s="8">
        <f>U52/AVERAGE(U49:U55)</f>
        <v>1.0362510505465696</v>
      </c>
      <c r="BI16">
        <v>1</v>
      </c>
      <c r="BL16">
        <v>2001</v>
      </c>
      <c r="BM16" s="8">
        <f>V49/AVERAGE(V46:V52)</f>
        <v>0.98819315637991678</v>
      </c>
      <c r="BN16" s="8">
        <f>V50/AVERAGE(V47:V53)</f>
        <v>1.0017784101013694</v>
      </c>
      <c r="BO16" s="8">
        <f>V51/AVERAGE(V48:V54)</f>
        <v>1.0104258702951052</v>
      </c>
      <c r="BP16" s="8">
        <f>V52/AVERAGE(V49:V55)</f>
        <v>1.0059272227085156</v>
      </c>
      <c r="BQ16">
        <v>1</v>
      </c>
      <c r="BT16">
        <v>2001</v>
      </c>
      <c r="BU16" s="8">
        <f>W49/AVERAGE(W46:W52)</f>
        <v>1.0078425444431007</v>
      </c>
      <c r="BV16" s="8">
        <f>W50/AVERAGE(W47:W53)</f>
        <v>0.98862226861704916</v>
      </c>
      <c r="BW16" s="8">
        <f>W51/AVERAGE(W48:W54)</f>
        <v>0.99941407872408605</v>
      </c>
      <c r="BX16" s="8">
        <f>W52/AVERAGE(W49:W55)</f>
        <v>1.009038307651271</v>
      </c>
      <c r="BY16">
        <v>1</v>
      </c>
      <c r="CB16">
        <v>2001</v>
      </c>
      <c r="CC16" s="8">
        <f>X49/AVERAGE(X46:X52)</f>
        <v>1.0582150369190422</v>
      </c>
      <c r="CD16" s="8">
        <f>X50/AVERAGE(X47:X53)</f>
        <v>0.98563098489815804</v>
      </c>
      <c r="CE16" s="8">
        <f>X51/AVERAGE(X48:X54)</f>
        <v>0.99097402812299151</v>
      </c>
      <c r="CF16" s="8">
        <f>X52/AVERAGE(X49:X55)</f>
        <v>0.99585984098025593</v>
      </c>
      <c r="CG16">
        <v>1</v>
      </c>
      <c r="CJ16">
        <v>2001</v>
      </c>
      <c r="CK16" s="8">
        <f>Y49/AVERAGE(Y46:Y52)</f>
        <v>-1.0831946755407653</v>
      </c>
      <c r="CL16" s="8">
        <f>Y50/AVERAGE(Y47:Y53)</f>
        <v>1.8435916002896451</v>
      </c>
      <c r="CM16" s="8">
        <f>Y51/AVERAGE(Y48:Y54)</f>
        <v>11.20100382409178</v>
      </c>
      <c r="CN16" s="8">
        <f>Y52/AVERAGE(Y49:Y55)</f>
        <v>-1.0679726921935293</v>
      </c>
      <c r="CO16">
        <v>1</v>
      </c>
      <c r="CR16">
        <v>2001</v>
      </c>
      <c r="CS16" s="8">
        <f>AA49/AVERAGE(AA46:AA52)</f>
        <v>1.0292418966819947</v>
      </c>
      <c r="CT16" s="8">
        <f>AA50/AVERAGE(AA47:AA53)</f>
        <v>1.0037575709947404</v>
      </c>
      <c r="CU16" s="8">
        <f>AA51/AVERAGE(AA48:AA54)</f>
        <v>0.9719952232655068</v>
      </c>
      <c r="CV16" s="8">
        <f>AA52/AVERAGE(AA49:AA55)</f>
        <v>0.99504426079953479</v>
      </c>
      <c r="CW16">
        <v>1</v>
      </c>
      <c r="CZ16">
        <v>2001</v>
      </c>
      <c r="DA16" s="8">
        <f>AB49/AVERAGE(AB46:AB52)</f>
        <v>1.0062343257780153</v>
      </c>
      <c r="DB16" s="8">
        <f>AB50/AVERAGE(AB47:AB53)</f>
        <v>1.02145473574045</v>
      </c>
      <c r="DC16" s="8">
        <f>AB51/AVERAGE(AB48:AB54)</f>
        <v>1.0060825994775</v>
      </c>
      <c r="DD16" s="8">
        <f>AB52/AVERAGE(AB49:AB55)</f>
        <v>0.96699305806824543</v>
      </c>
      <c r="DE16">
        <v>1</v>
      </c>
      <c r="DH16">
        <v>2001</v>
      </c>
      <c r="DI16" s="8">
        <f>AC49/AVERAGE(AC46:AC52)</f>
        <v>1.0076782141597507</v>
      </c>
      <c r="DJ16" s="8">
        <f>AC50/AVERAGE(AC47:AC53)</f>
        <v>1.015747385946546</v>
      </c>
      <c r="DK16" s="8">
        <f>AC51/AVERAGE(AC48:AC54)</f>
        <v>0.99278243663431631</v>
      </c>
      <c r="DL16" s="8">
        <f>AC52/AVERAGE(AC49:AC55)</f>
        <v>1.0169775242354555</v>
      </c>
      <c r="DM16">
        <v>1</v>
      </c>
      <c r="DP16">
        <v>2001</v>
      </c>
      <c r="DQ16" s="8">
        <f>AD49/AVERAGE(AD46:AD52)</f>
        <v>1.4753433639312583</v>
      </c>
      <c r="DR16" s="8">
        <f>AD50/AVERAGE(AD47:AD53)</f>
        <v>0.82723859405565725</v>
      </c>
      <c r="DS16" s="8">
        <f>AD51/AVERAGE(AD48:AD54)</f>
        <v>0.93926675719047037</v>
      </c>
      <c r="DT16" s="8">
        <f>AD52/AVERAGE(AD49:AD55)</f>
        <v>0.95642439632762843</v>
      </c>
      <c r="DU16">
        <v>1</v>
      </c>
      <c r="DX16">
        <v>2001</v>
      </c>
      <c r="DY16" s="8">
        <f>AE49/AVERAGE(AE46:AE52)</f>
        <v>0.89038480860042202</v>
      </c>
      <c r="DZ16" s="8">
        <f>AE50/AVERAGE(AE47:AE53)</f>
        <v>1.4187786465354542</v>
      </c>
      <c r="EA16" s="8">
        <f>AE51/AVERAGE(AE48:AE54)</f>
        <v>1.0244544770504138</v>
      </c>
      <c r="EB16" s="8">
        <f>AE52/AVERAGE(AE49:AE55)</f>
        <v>0.78702748619622587</v>
      </c>
      <c r="EC16">
        <v>1</v>
      </c>
      <c r="EF16">
        <v>2001</v>
      </c>
      <c r="EG16" s="8">
        <f>AF49/AVERAGE(AF46:AF52)</f>
        <v>1.0414778826055024</v>
      </c>
      <c r="EH16" s="8">
        <f>AF50/AVERAGE(AF47:AF53)</f>
        <v>0.90195303233968527</v>
      </c>
      <c r="EI16" s="8">
        <f>AF51/AVERAGE(AF48:AF54)</f>
        <v>0.95745889586953614</v>
      </c>
      <c r="EJ16" s="8">
        <f>AF52/AVERAGE(AF49:AF55)</f>
        <v>1.093786740418099</v>
      </c>
      <c r="EK16">
        <v>1</v>
      </c>
      <c r="EN16">
        <v>2001</v>
      </c>
      <c r="EO16" s="8">
        <f>AG49/AVERAGE(AG46:AG52)</f>
        <v>1.0168276820104818</v>
      </c>
      <c r="EP16" s="8">
        <f>AG50/AVERAGE(AG47:AG53)</f>
        <v>0.95521180808106143</v>
      </c>
      <c r="EQ16" s="8">
        <f>AG51/AVERAGE(AG48:AG54)</f>
        <v>1.0031053184044787</v>
      </c>
      <c r="ER16" s="8">
        <f>AG52/AVERAGE(AG49:AG55)</f>
        <v>0.96223799489852502</v>
      </c>
      <c r="ES16">
        <v>1</v>
      </c>
      <c r="EV16">
        <v>2001</v>
      </c>
      <c r="EW16" s="8">
        <f>AH49/AVERAGE(AH46:AH52)</f>
        <v>1.1182926385880716</v>
      </c>
      <c r="EX16" s="8">
        <f>AH50/AVERAGE(AH47:AH53)</f>
        <v>0.98204612448363315</v>
      </c>
      <c r="EY16" s="8">
        <f>AH51/AVERAGE(AH48:AH54)</f>
        <v>1.0184791998418001</v>
      </c>
      <c r="EZ16" s="8">
        <f>AH52/AVERAGE(AH49:AH55)</f>
        <v>0.98477444005826342</v>
      </c>
      <c r="FA16">
        <v>1</v>
      </c>
      <c r="FD16">
        <v>2001</v>
      </c>
      <c r="FE16" s="8">
        <f>AI49/AVERAGE(AI46:AI52)</f>
        <v>0.98119760592998584</v>
      </c>
      <c r="FF16" s="8">
        <f>AI50/AVERAGE(AI47:AI53)</f>
        <v>0.98204645681265201</v>
      </c>
      <c r="FG16" s="8">
        <f>AI51/AVERAGE(AI48:AI54)</f>
        <v>0.99574099953417183</v>
      </c>
      <c r="FH16" s="8">
        <f>AI52/AVERAGE(AI49:AI55)</f>
        <v>1.0210731429114586</v>
      </c>
      <c r="FI16">
        <v>1</v>
      </c>
    </row>
    <row r="17" spans="1:165" x14ac:dyDescent="0.35">
      <c r="A17" t="s">
        <v>182</v>
      </c>
      <c r="B17" t="str">
        <f t="shared" si="17"/>
        <v>1993</v>
      </c>
      <c r="C17" t="str">
        <f t="shared" si="18"/>
        <v>Q1</v>
      </c>
      <c r="D17" s="13">
        <f>HAVERQ!C23</f>
        <v>219343</v>
      </c>
      <c r="E17" s="13">
        <f>HAVERQ!D23</f>
        <v>6753</v>
      </c>
      <c r="F17" s="13">
        <f>HAVERQ!E23</f>
        <v>80611</v>
      </c>
      <c r="G17" s="13">
        <f>HAVERQ!F23</f>
        <v>66224</v>
      </c>
      <c r="H17" s="13">
        <f>HAVERQ!G23</f>
        <v>-564</v>
      </c>
      <c r="I17" s="13">
        <f>HAVERQ!H23</f>
        <v>450</v>
      </c>
      <c r="J17" s="13">
        <f>HAVERQ!I23</f>
        <v>74840</v>
      </c>
      <c r="K17" s="13">
        <f>HAVERQ!J23</f>
        <v>69932</v>
      </c>
      <c r="L17" s="13" t="e">
        <f>HAVERQ!U23</f>
        <v>#N/A</v>
      </c>
      <c r="M17" s="13" t="e">
        <f>HAVERQ!V23</f>
        <v>#N/A</v>
      </c>
      <c r="N17" s="13" t="e">
        <f>HAVERQ!Y23</f>
        <v>#N/A</v>
      </c>
      <c r="O17" s="13" t="e">
        <f>HAVERQ!Z23</f>
        <v>#N/A</v>
      </c>
      <c r="P17" s="13" t="e">
        <f>HAVERQ!AA23</f>
        <v>#N/A</v>
      </c>
      <c r="Q17" s="13" t="e">
        <f>HAVERQ!AB23</f>
        <v>#N/A</v>
      </c>
      <c r="R17" s="13" t="e">
        <f>HAVERQ!AC23</f>
        <v>#N/A</v>
      </c>
      <c r="U17" s="13">
        <f>HAVERQ!M23</f>
        <v>210138</v>
      </c>
      <c r="V17" s="13">
        <f>HAVERQ!N23</f>
        <v>6688</v>
      </c>
      <c r="W17" s="13">
        <f>HAVERQ!O23</f>
        <v>81036</v>
      </c>
      <c r="X17" s="13">
        <f>HAVERQ!P23</f>
        <v>66230</v>
      </c>
      <c r="Y17" s="13">
        <f>HAVERQ!Q23</f>
        <v>-4872</v>
      </c>
      <c r="Z17" s="13">
        <f>HAVERQ!R23</f>
        <v>452</v>
      </c>
      <c r="AA17" s="13">
        <f>HAVERQ!S23</f>
        <v>72828</v>
      </c>
      <c r="AB17" s="13">
        <f>HAVERQ!T23</f>
        <v>67474</v>
      </c>
      <c r="AC17" s="13" t="e">
        <f>HAVERQ!W23</f>
        <v>#N/A</v>
      </c>
      <c r="AD17" s="13" t="e">
        <f>HAVERQ!X23</f>
        <v>#N/A</v>
      </c>
      <c r="AE17" s="13" t="e">
        <f>HAVERQ!AD23</f>
        <v>#N/A</v>
      </c>
      <c r="AF17" s="13" t="e">
        <f>HAVERQ!AE23</f>
        <v>#N/A</v>
      </c>
      <c r="AG17" s="13" t="e">
        <f>HAVERQ!AF23</f>
        <v>#N/A</v>
      </c>
      <c r="AH17" s="13" t="e">
        <f>HAVERQ!AG23</f>
        <v>#N/A</v>
      </c>
      <c r="AI17" s="13" t="e">
        <f>HAVERQ!AH23</f>
        <v>#N/A</v>
      </c>
      <c r="AL17">
        <v>2002</v>
      </c>
      <c r="AM17" s="15">
        <f t="shared" ca="1" si="27"/>
        <v>1.0294431948868783</v>
      </c>
      <c r="AN17" s="15">
        <f t="shared" ca="1" si="42"/>
        <v>1</v>
      </c>
      <c r="AO17" s="15">
        <f t="shared" ca="1" si="29"/>
        <v>1.0038825204626243</v>
      </c>
      <c r="AP17" s="15">
        <f t="shared" ca="1" si="30"/>
        <v>0.976856620097178</v>
      </c>
      <c r="AQ17" s="15">
        <f t="shared" ca="1" si="31"/>
        <v>-0.22796143250688705</v>
      </c>
      <c r="AR17" s="15">
        <f t="shared" ca="1" si="32"/>
        <v>1.0876979293544458</v>
      </c>
      <c r="AS17" s="15">
        <f t="shared" ca="1" si="33"/>
        <v>1.0328199397531823</v>
      </c>
      <c r="AT17" s="15">
        <f t="shared" ca="1" si="34"/>
        <v>1.0319196158347121</v>
      </c>
      <c r="AU17" s="15">
        <f t="shared" ca="1" si="35"/>
        <v>1.0046415441176471</v>
      </c>
      <c r="AV17" s="15">
        <f t="shared" ca="1" si="36"/>
        <v>0.81039755351681952</v>
      </c>
      <c r="AW17" s="15">
        <f t="shared" ca="1" si="37"/>
        <v>1.048951048951049</v>
      </c>
      <c r="AX17" s="15">
        <f t="shared" ca="1" si="38"/>
        <v>0.95252181629936405</v>
      </c>
      <c r="AY17" s="15">
        <f t="shared" ca="1" si="39"/>
        <v>0.97754814077025232</v>
      </c>
      <c r="AZ17" s="15">
        <f t="shared" ca="1" si="40"/>
        <v>0.9691804018965906</v>
      </c>
      <c r="BA17" s="15">
        <f t="shared" ca="1" si="41"/>
        <v>0.99159719031051008</v>
      </c>
      <c r="BD17">
        <v>2002</v>
      </c>
      <c r="BE17" s="8">
        <f>U53/AVERAGE(U50:U56)</f>
        <v>0.96658272178173021</v>
      </c>
      <c r="BF17" s="8">
        <f>U54/AVERAGE(U51:U57)</f>
        <v>0.98603833094126325</v>
      </c>
      <c r="BG17" s="8">
        <f>U55/AVERAGE(U52:U58)</f>
        <v>1.0110011235960272</v>
      </c>
      <c r="BH17" s="8">
        <f>U56/AVERAGE(U53:U59)</f>
        <v>1.029355576520526</v>
      </c>
      <c r="BI17">
        <v>1</v>
      </c>
      <c r="BL17">
        <v>2002</v>
      </c>
      <c r="BM17" s="8">
        <f>V53/AVERAGE(V50:V56)</f>
        <v>0.99016235212592185</v>
      </c>
      <c r="BN17" s="8">
        <f>V54/AVERAGE(V51:V57)</f>
        <v>0.9917103663404031</v>
      </c>
      <c r="BO17" s="8">
        <f>V55/AVERAGE(V52:V58)</f>
        <v>1.0048651416865824</v>
      </c>
      <c r="BP17" s="8">
        <f>V56/AVERAGE(V53:V59)</f>
        <v>1.0042515158103245</v>
      </c>
      <c r="BQ17">
        <v>1</v>
      </c>
      <c r="BT17">
        <v>2002</v>
      </c>
      <c r="BU17" s="8">
        <f>W53/AVERAGE(W50:W56)</f>
        <v>0.9930489956430878</v>
      </c>
      <c r="BV17" s="8">
        <f>W54/AVERAGE(W51:W57)</f>
        <v>1.0056510176578122</v>
      </c>
      <c r="BW17" s="8">
        <f>W55/AVERAGE(W52:W58)</f>
        <v>1.0045000348784734</v>
      </c>
      <c r="BX17" s="8">
        <f>W56/AVERAGE(W53:W59)</f>
        <v>0.99779755261676428</v>
      </c>
      <c r="BY17">
        <v>1</v>
      </c>
      <c r="CB17">
        <v>2002</v>
      </c>
      <c r="CC17" s="8">
        <f>X53/AVERAGE(X50:X56)</f>
        <v>1.0016975190905875</v>
      </c>
      <c r="CD17" s="8">
        <f>X54/AVERAGE(X51:X57)</f>
        <v>0.95698137244716353</v>
      </c>
      <c r="CE17" s="8">
        <f>X55/AVERAGE(X52:X58)</f>
        <v>0.97630488194978537</v>
      </c>
      <c r="CF17" s="8">
        <f>X56/AVERAGE(X53:X59)</f>
        <v>1.0548145531254298</v>
      </c>
      <c r="CG17">
        <v>1</v>
      </c>
      <c r="CJ17">
        <v>2002</v>
      </c>
      <c r="CK17" s="8">
        <f>Y53/AVERAGE(Y50:Y56)</f>
        <v>1.075327972915785</v>
      </c>
      <c r="CL17" s="8">
        <f>Y54/AVERAGE(Y51:Y57)</f>
        <v>0.36226016546382678</v>
      </c>
      <c r="CM17" s="8">
        <f>Y55/AVERAGE(Y52:Y58)</f>
        <v>-12.601495726495726</v>
      </c>
      <c r="CN17" s="8">
        <f>Y56/AVERAGE(Y53:Y59)</f>
        <v>-3.656911581569116</v>
      </c>
      <c r="CO17">
        <v>1</v>
      </c>
      <c r="CR17">
        <v>2002</v>
      </c>
      <c r="CS17" s="8">
        <f>AA53/AVERAGE(AA50:AA56)</f>
        <v>0.9667179226240068</v>
      </c>
      <c r="CT17" s="8">
        <f>AA54/AVERAGE(AA51:AA57)</f>
        <v>1.0326307251247422</v>
      </c>
      <c r="CU17" s="8">
        <f>AA55/AVERAGE(AA52:AA58)</f>
        <v>1.019481608043102</v>
      </c>
      <c r="CV17" s="8">
        <f>AA56/AVERAGE(AA53:AA59)</f>
        <v>0.98852389720527956</v>
      </c>
      <c r="CW17">
        <v>1</v>
      </c>
      <c r="CZ17">
        <v>2002</v>
      </c>
      <c r="DA17" s="8">
        <f>AB53/AVERAGE(AB50:AB56)</f>
        <v>0.96426375713051671</v>
      </c>
      <c r="DB17" s="8">
        <f>AB54/AVERAGE(AB51:AB57)</f>
        <v>1.0392464956900762</v>
      </c>
      <c r="DC17" s="8">
        <f>AB55/AVERAGE(AB52:AB58)</f>
        <v>1.0363739127842988</v>
      </c>
      <c r="DD17" s="8">
        <f>AB56/AVERAGE(AB53:AB59)</f>
        <v>0.99597530125397815</v>
      </c>
      <c r="DE17">
        <v>1</v>
      </c>
      <c r="DH17">
        <v>2002</v>
      </c>
      <c r="DI17" s="8">
        <f>AC53/AVERAGE(AC50:AC56)</f>
        <v>0.96160705548874226</v>
      </c>
      <c r="DJ17" s="8">
        <f>AC54/AVERAGE(AC51:AC57)</f>
        <v>0.97522646624495823</v>
      </c>
      <c r="DK17" s="8">
        <f>AC55/AVERAGE(AC52:AC58)</f>
        <v>0.97450142765444125</v>
      </c>
      <c r="DL17" s="8">
        <f>AC56/AVERAGE(AC53:AC59)</f>
        <v>1.0737083811710677</v>
      </c>
      <c r="DM17">
        <v>1</v>
      </c>
      <c r="DP17">
        <v>2002</v>
      </c>
      <c r="DQ17" s="8">
        <f>AD53/AVERAGE(AD50:AD56)</f>
        <v>1.2463053420864316</v>
      </c>
      <c r="DR17" s="8">
        <f>AD54/AVERAGE(AD51:AD57)</f>
        <v>0.82275714245424025</v>
      </c>
      <c r="DS17" s="8">
        <f>AD55/AVERAGE(AD52:AD58)</f>
        <v>0.90680818378604855</v>
      </c>
      <c r="DT17" s="8">
        <f>AD56/AVERAGE(AD53:AD59)</f>
        <v>0.96084682372100094</v>
      </c>
      <c r="DU17">
        <v>1</v>
      </c>
      <c r="DX17">
        <v>2002</v>
      </c>
      <c r="DY17" s="8">
        <f>AE53/AVERAGE(AE50:AE56)</f>
        <v>0.86270022883295194</v>
      </c>
      <c r="DZ17" s="8">
        <f>AE54/AVERAGE(AE51:AE57)</f>
        <v>1.2607503427645519</v>
      </c>
      <c r="EA17" s="8">
        <f>AE55/AVERAGE(AE52:AE58)</f>
        <v>1.0550806627086506</v>
      </c>
      <c r="EB17" s="8">
        <f>AE56/AVERAGE(AE53:AE59)</f>
        <v>0.94677322074788905</v>
      </c>
      <c r="EC17">
        <v>1</v>
      </c>
      <c r="EF17">
        <v>2002</v>
      </c>
      <c r="EG17" s="8">
        <f>AF53/AVERAGE(AF50:AF56)</f>
        <v>1.0456579136333004</v>
      </c>
      <c r="EH17" s="8">
        <f>AF54/AVERAGE(AF51:AF57)</f>
        <v>0.92689820564429792</v>
      </c>
      <c r="EI17" s="8">
        <f>AF55/AVERAGE(AF52:AF58)</f>
        <v>0.95636911275556091</v>
      </c>
      <c r="EJ17" s="8">
        <f>AF56/AVERAGE(AF53:AF59)</f>
        <v>1.1187552097804945</v>
      </c>
      <c r="EK17">
        <v>1</v>
      </c>
      <c r="EN17">
        <v>2002</v>
      </c>
      <c r="EO17" s="8">
        <f>AG53/AVERAGE(AG50:AG56)</f>
        <v>1.0153746132267423</v>
      </c>
      <c r="EP17" s="8">
        <f>AG54/AVERAGE(AG51:AG57)</f>
        <v>0.96677302427064882</v>
      </c>
      <c r="EQ17" s="8">
        <f>AG55/AVERAGE(AG52:AG58)</f>
        <v>0.99874392220421393</v>
      </c>
      <c r="ER17" s="8">
        <f>AG56/AVERAGE(AG53:AG59)</f>
        <v>1.0611288544699131</v>
      </c>
      <c r="ES17">
        <v>1</v>
      </c>
      <c r="EV17">
        <v>2002</v>
      </c>
      <c r="EW17" s="8">
        <f>AH53/AVERAGE(AH50:AH56)</f>
        <v>0.98862132558102467</v>
      </c>
      <c r="EX17" s="8">
        <f>AH54/AVERAGE(AH51:AH57)</f>
        <v>0.87438090481541597</v>
      </c>
      <c r="EY17" s="8">
        <f>AH55/AVERAGE(AH52:AH58)</f>
        <v>0.96757465358210848</v>
      </c>
      <c r="EZ17" s="8">
        <f>AH56/AVERAGE(AH53:AH59)</f>
        <v>1.0896268325188805</v>
      </c>
      <c r="FA17">
        <v>1</v>
      </c>
      <c r="FD17">
        <v>2002</v>
      </c>
      <c r="FE17" s="8">
        <f>AI53/AVERAGE(AI50:AI56)</f>
        <v>1.0056492379658972</v>
      </c>
      <c r="FF17" s="8">
        <f>AI54/AVERAGE(AI51:AI57)</f>
        <v>0.96816413158825609</v>
      </c>
      <c r="FG17" s="8">
        <f>AI55/AVERAGE(AI52:AI58)</f>
        <v>0.98414403496208158</v>
      </c>
      <c r="FH17" s="8">
        <f>AI56/AVERAGE(AI53:AI59)</f>
        <v>0.99076609565051266</v>
      </c>
      <c r="FI17">
        <v>1</v>
      </c>
    </row>
    <row r="18" spans="1:165" x14ac:dyDescent="0.35">
      <c r="A18" t="s">
        <v>183</v>
      </c>
      <c r="B18" t="str">
        <f t="shared" si="17"/>
        <v>1993</v>
      </c>
      <c r="C18" t="str">
        <f t="shared" si="18"/>
        <v>Q2</v>
      </c>
      <c r="D18" s="13">
        <f>HAVERQ!C24</f>
        <v>219780</v>
      </c>
      <c r="E18" s="13">
        <f>HAVERQ!D24</f>
        <v>7329</v>
      </c>
      <c r="F18" s="13">
        <f>HAVERQ!E24</f>
        <v>79936</v>
      </c>
      <c r="G18" s="13">
        <f>HAVERQ!F24</f>
        <v>65856</v>
      </c>
      <c r="H18" s="13">
        <f>HAVERQ!G24</f>
        <v>1920</v>
      </c>
      <c r="I18" s="13">
        <f>HAVERQ!H24</f>
        <v>3309</v>
      </c>
      <c r="J18" s="13">
        <f>HAVERQ!I24</f>
        <v>73811</v>
      </c>
      <c r="K18" s="13">
        <f>HAVERQ!J24</f>
        <v>69387</v>
      </c>
      <c r="L18" s="13" t="e">
        <f>HAVERQ!U24</f>
        <v>#N/A</v>
      </c>
      <c r="M18" s="13" t="e">
        <f>HAVERQ!V24</f>
        <v>#N/A</v>
      </c>
      <c r="N18" s="13" t="e">
        <f>HAVERQ!Y24</f>
        <v>#N/A</v>
      </c>
      <c r="O18" s="13" t="e">
        <f>HAVERQ!Z24</f>
        <v>#N/A</v>
      </c>
      <c r="P18" s="13" t="e">
        <f>HAVERQ!AA24</f>
        <v>#N/A</v>
      </c>
      <c r="Q18" s="13" t="e">
        <f>HAVERQ!AB24</f>
        <v>#N/A</v>
      </c>
      <c r="R18" s="13" t="e">
        <f>HAVERQ!AC24</f>
        <v>#N/A</v>
      </c>
      <c r="U18" s="13">
        <f>HAVERQ!M24</f>
        <v>213279</v>
      </c>
      <c r="V18" s="13">
        <f>HAVERQ!N24</f>
        <v>7351</v>
      </c>
      <c r="W18" s="13">
        <f>HAVERQ!O24</f>
        <v>79536</v>
      </c>
      <c r="X18" s="13">
        <f>HAVERQ!P24</f>
        <v>65855</v>
      </c>
      <c r="Y18" s="13">
        <f>HAVERQ!Q24</f>
        <v>3419</v>
      </c>
      <c r="Z18" s="13">
        <f>HAVERQ!R24</f>
        <v>3318</v>
      </c>
      <c r="AA18" s="13">
        <f>HAVERQ!S24</f>
        <v>72914</v>
      </c>
      <c r="AB18" s="13">
        <f>HAVERQ!T24</f>
        <v>70748</v>
      </c>
      <c r="AC18" s="13" t="e">
        <f>HAVERQ!W24</f>
        <v>#N/A</v>
      </c>
      <c r="AD18" s="13" t="e">
        <f>HAVERQ!X24</f>
        <v>#N/A</v>
      </c>
      <c r="AE18" s="13" t="e">
        <f>HAVERQ!AD24</f>
        <v>#N/A</v>
      </c>
      <c r="AF18" s="13" t="e">
        <f>HAVERQ!AE24</f>
        <v>#N/A</v>
      </c>
      <c r="AG18" s="13" t="e">
        <f>HAVERQ!AF24</f>
        <v>#N/A</v>
      </c>
      <c r="AH18" s="13" t="e">
        <f>HAVERQ!AG24</f>
        <v>#N/A</v>
      </c>
      <c r="AI18" s="13" t="e">
        <f>HAVERQ!AH24</f>
        <v>#N/A</v>
      </c>
      <c r="AL18">
        <v>2003</v>
      </c>
      <c r="AM18" s="15">
        <f t="shared" ca="1" si="27"/>
        <v>1.0313985988602128</v>
      </c>
      <c r="AN18" s="15">
        <f t="shared" ca="1" si="42"/>
        <v>1</v>
      </c>
      <c r="AO18" s="15">
        <f t="shared" ca="1" si="29"/>
        <v>0.9986677982158364</v>
      </c>
      <c r="AP18" s="15">
        <f t="shared" ca="1" si="30"/>
        <v>0.97821031400513603</v>
      </c>
      <c r="AQ18" s="15">
        <f t="shared" ca="1" si="31"/>
        <v>3.8612244897959185</v>
      </c>
      <c r="AR18" s="15">
        <f t="shared" ca="1" si="32"/>
        <v>1.0795031055900621</v>
      </c>
      <c r="AS18" s="15">
        <f t="shared" ca="1" si="33"/>
        <v>1.029222117650719</v>
      </c>
      <c r="AT18" s="15">
        <f t="shared" ca="1" si="34"/>
        <v>1.0279676769562207</v>
      </c>
      <c r="AU18" s="15">
        <f t="shared" ca="1" si="35"/>
        <v>1.0127745022643766</v>
      </c>
      <c r="AV18" s="15">
        <f t="shared" ca="1" si="36"/>
        <v>0.81675281455781346</v>
      </c>
      <c r="AW18" s="15">
        <f t="shared" ca="1" si="37"/>
        <v>1.0668611173435045</v>
      </c>
      <c r="AX18" s="15">
        <f t="shared" ca="1" si="38"/>
        <v>0.95192442267319799</v>
      </c>
      <c r="AY18" s="15">
        <f t="shared" ca="1" si="39"/>
        <v>0.97945598530930789</v>
      </c>
      <c r="AZ18" s="15">
        <f t="shared" ca="1" si="40"/>
        <v>0.9740168539325843</v>
      </c>
      <c r="BA18" s="15">
        <f t="shared" ca="1" si="41"/>
        <v>0.98941504178272976</v>
      </c>
      <c r="BD18">
        <v>2003</v>
      </c>
      <c r="BE18" s="8">
        <f>U57/AVERAGE(U54:U60)</f>
        <v>0.96421938281537634</v>
      </c>
      <c r="BF18" s="8">
        <f>U58/AVERAGE(U55:U61)</f>
        <v>0.99413967772525569</v>
      </c>
      <c r="BG18" s="8">
        <f>U59/AVERAGE(U56:U62)</f>
        <v>1.0148727115745519</v>
      </c>
      <c r="BH18" s="8">
        <f>U60/AVERAGE(U57:U63)</f>
        <v>1.0316222199741996</v>
      </c>
      <c r="BI18">
        <v>1</v>
      </c>
      <c r="BL18">
        <v>2003</v>
      </c>
      <c r="BM18" s="8">
        <f>V57/AVERAGE(V54:V60)</f>
        <v>0.99235156548300874</v>
      </c>
      <c r="BN18" s="8">
        <f>V58/AVERAGE(V55:V61)</f>
        <v>0.99159792599575769</v>
      </c>
      <c r="BO18" s="8">
        <f>V59/AVERAGE(V56:V62)</f>
        <v>1.0049711672300656</v>
      </c>
      <c r="BP18" s="8">
        <f>V60/AVERAGE(V57:V63)</f>
        <v>1.009970436496435</v>
      </c>
      <c r="BQ18">
        <v>1</v>
      </c>
      <c r="BT18">
        <v>2003</v>
      </c>
      <c r="BU18" s="8">
        <f>W57/AVERAGE(W54:W60)</f>
        <v>0.98809304917119378</v>
      </c>
      <c r="BV18" s="8">
        <f>W58/AVERAGE(W55:W61)</f>
        <v>0.99794461063398632</v>
      </c>
      <c r="BW18" s="8">
        <f>W59/AVERAGE(W56:W62)</f>
        <v>1.0004505851462557</v>
      </c>
      <c r="BX18" s="8">
        <f>W60/AVERAGE(W57:W63)</f>
        <v>1.0100966412110564</v>
      </c>
      <c r="BY18">
        <v>1</v>
      </c>
      <c r="CB18">
        <v>2003</v>
      </c>
      <c r="CC18" s="8">
        <f>X57/AVERAGE(X54:X60)</f>
        <v>1.0720866559083881</v>
      </c>
      <c r="CD18" s="8">
        <f>X58/AVERAGE(X55:X61)</f>
        <v>0.95140868808605394</v>
      </c>
      <c r="CE18" s="8">
        <f>X59/AVERAGE(X56:X62)</f>
        <v>0.95959525632992182</v>
      </c>
      <c r="CF18" s="8">
        <f>X60/AVERAGE(X57:X63)</f>
        <v>1.0033616268876924</v>
      </c>
      <c r="CG18">
        <v>1</v>
      </c>
      <c r="CJ18">
        <v>2003</v>
      </c>
      <c r="CK18" s="8">
        <f>Y57/AVERAGE(Y54:Y60)</f>
        <v>76.5625</v>
      </c>
      <c r="CL18" s="8">
        <f>Y58/AVERAGE(Y55:Y61)</f>
        <v>1.0282485875706213</v>
      </c>
      <c r="CM18" s="8">
        <f>Y59/AVERAGE(Y56:Y62)</f>
        <v>-4.0154083204930666</v>
      </c>
      <c r="CN18" s="8">
        <f>Y60/AVERAGE(Y57:Y63)</f>
        <v>-8.1089108910891081</v>
      </c>
      <c r="CO18">
        <v>1</v>
      </c>
      <c r="CR18">
        <v>2003</v>
      </c>
      <c r="CS18" s="8">
        <f>AA57/AVERAGE(AA54:AA60)</f>
        <v>0.98365975567236008</v>
      </c>
      <c r="CT18" s="8">
        <f>AA58/AVERAGE(AA55:AA61)</f>
        <v>0.99808624174226446</v>
      </c>
      <c r="CU18" s="8">
        <f>AA59/AVERAGE(AA56:AA62)</f>
        <v>0.99517328484478951</v>
      </c>
      <c r="CV18" s="8">
        <f>AA60/AVERAGE(AA57:AA63)</f>
        <v>1.0148708687247883</v>
      </c>
      <c r="CW18">
        <v>1</v>
      </c>
      <c r="CZ18">
        <v>2003</v>
      </c>
      <c r="DA18" s="8">
        <f>AB57/AVERAGE(AB54:AB60)</f>
        <v>0.96639662420074424</v>
      </c>
      <c r="DB18" s="8">
        <f>AB58/AVERAGE(AB55:AB61)</f>
        <v>0.98644758574829994</v>
      </c>
      <c r="DC18" s="8">
        <f>AB59/AVERAGE(AB56:AB62)</f>
        <v>1.0177995750595077</v>
      </c>
      <c r="DD18" s="8">
        <f>AB60/AVERAGE(AB57:AB63)</f>
        <v>0.99647787196139359</v>
      </c>
      <c r="DE18">
        <v>1</v>
      </c>
      <c r="DH18">
        <v>2003</v>
      </c>
      <c r="DI18" s="8">
        <f>AC57/AVERAGE(AC54:AC60)</f>
        <v>1.0392373268381794</v>
      </c>
      <c r="DJ18" s="8">
        <f>AC58/AVERAGE(AC55:AC61)</f>
        <v>0.97287729115514188</v>
      </c>
      <c r="DK18" s="8">
        <f>AC59/AVERAGE(AC56:AC62)</f>
        <v>0.96955753693091318</v>
      </c>
      <c r="DL18" s="8">
        <f>AC60/AVERAGE(AC57:AC63)</f>
        <v>1.0413067265133917</v>
      </c>
      <c r="DM18">
        <v>1</v>
      </c>
      <c r="DP18">
        <v>2003</v>
      </c>
      <c r="DQ18" s="8">
        <f>AD57/AVERAGE(AD54:AD60)</f>
        <v>1.3848405894548104</v>
      </c>
      <c r="DR18" s="8">
        <f>AD58/AVERAGE(AD55:AD61)</f>
        <v>0.83559901827384053</v>
      </c>
      <c r="DS18" s="8">
        <f>AD59/AVERAGE(AD56:AD62)</f>
        <v>0.85590834777691727</v>
      </c>
      <c r="DT18" s="8">
        <f>AD60/AVERAGE(AD57:AD63)</f>
        <v>0.861740379024315</v>
      </c>
      <c r="DU18">
        <v>1</v>
      </c>
      <c r="DX18">
        <v>2003</v>
      </c>
      <c r="DY18" s="8">
        <f>AE57/AVERAGE(AE54:AE60)</f>
        <v>0.94559616900042431</v>
      </c>
      <c r="DZ18" s="8">
        <f>AE58/AVERAGE(AE55:AE61)</f>
        <v>1.0632599513631127</v>
      </c>
      <c r="EA18" s="8">
        <f>AE59/AVERAGE(AE56:AE62)</f>
        <v>1.0501006486244688</v>
      </c>
      <c r="EB18" s="8">
        <f>AE60/AVERAGE(AE57:AE63)</f>
        <v>0.89650624115300481</v>
      </c>
      <c r="EC18">
        <v>1</v>
      </c>
      <c r="EF18">
        <v>2003</v>
      </c>
      <c r="EG18" s="8">
        <f>AF57/AVERAGE(AF54:AF60)</f>
        <v>1.1256906854525608</v>
      </c>
      <c r="EH18" s="8">
        <f>AF58/AVERAGE(AF55:AF61)</f>
        <v>0.87044209963937491</v>
      </c>
      <c r="EI18" s="8">
        <f>AF59/AVERAGE(AF56:AF62)</f>
        <v>0.91814276533131889</v>
      </c>
      <c r="EJ18" s="8">
        <f>AF60/AVERAGE(AF57:AF63)</f>
        <v>1.0046731134039699</v>
      </c>
      <c r="EK18">
        <v>1</v>
      </c>
      <c r="EN18">
        <v>2003</v>
      </c>
      <c r="EO18" s="8">
        <f>AG57/AVERAGE(AG54:AG60)</f>
        <v>1.0156308109038228</v>
      </c>
      <c r="EP18" s="8">
        <f>AG58/AVERAGE(AG55:AG61)</f>
        <v>0.95652433238443813</v>
      </c>
      <c r="EQ18" s="8">
        <f>AG59/AVERAGE(AG56:AG62)</f>
        <v>0.99613791619600889</v>
      </c>
      <c r="ER18" s="8">
        <f>AG60/AVERAGE(AG57:AG63)</f>
        <v>1.0264279624893435</v>
      </c>
      <c r="ES18">
        <v>1</v>
      </c>
      <c r="EV18">
        <v>2003</v>
      </c>
      <c r="EW18" s="8">
        <f>AH57/AVERAGE(AH54:AH60)</f>
        <v>1.147804058474696</v>
      </c>
      <c r="EX18" s="8">
        <f>AH58/AVERAGE(AH55:AH61)</f>
        <v>0.90802078546431475</v>
      </c>
      <c r="EY18" s="8">
        <f>AH59/AVERAGE(AH56:AH62)</f>
        <v>0.9114995558068163</v>
      </c>
      <c r="EZ18" s="8">
        <f>AH60/AVERAGE(AH57:AH63)</f>
        <v>1.0125870936684487</v>
      </c>
      <c r="FA18">
        <v>1</v>
      </c>
      <c r="FD18">
        <v>2003</v>
      </c>
      <c r="FE18" s="8">
        <f>AI57/AVERAGE(AI54:AI60)</f>
        <v>1.016293407146452</v>
      </c>
      <c r="FF18" s="8">
        <f>AI58/AVERAGE(AI55:AI61)</f>
        <v>1.0197784880169276</v>
      </c>
      <c r="FG18" s="8">
        <f>AI59/AVERAGE(AI56:AI62)</f>
        <v>1.003982840449517</v>
      </c>
      <c r="FH18" s="8">
        <f>AI60/AVERAGE(AI57:AI63)</f>
        <v>1.0062496207754383</v>
      </c>
      <c r="FI18">
        <v>1</v>
      </c>
    </row>
    <row r="19" spans="1:165" x14ac:dyDescent="0.35">
      <c r="A19" t="s">
        <v>184</v>
      </c>
      <c r="B19" t="str">
        <f t="shared" si="17"/>
        <v>1993</v>
      </c>
      <c r="C19" t="str">
        <f t="shared" si="18"/>
        <v>Q3</v>
      </c>
      <c r="D19" s="13">
        <f>HAVERQ!C25</f>
        <v>223611</v>
      </c>
      <c r="E19" s="13">
        <f>HAVERQ!D25</f>
        <v>7289</v>
      </c>
      <c r="F19" s="13">
        <f>HAVERQ!E25</f>
        <v>80863</v>
      </c>
      <c r="G19" s="13">
        <f>HAVERQ!F25</f>
        <v>65937</v>
      </c>
      <c r="H19" s="13">
        <f>HAVERQ!G25</f>
        <v>305</v>
      </c>
      <c r="I19" s="13">
        <f>HAVERQ!H25</f>
        <v>-2681</v>
      </c>
      <c r="J19" s="13">
        <f>HAVERQ!I25</f>
        <v>75100</v>
      </c>
      <c r="K19" s="13">
        <f>HAVERQ!J25</f>
        <v>70897</v>
      </c>
      <c r="L19" s="13" t="e">
        <f>HAVERQ!U25</f>
        <v>#N/A</v>
      </c>
      <c r="M19" s="13" t="e">
        <f>HAVERQ!V25</f>
        <v>#N/A</v>
      </c>
      <c r="N19" s="13" t="e">
        <f>HAVERQ!Y25</f>
        <v>#N/A</v>
      </c>
      <c r="O19" s="13" t="e">
        <f>HAVERQ!Z25</f>
        <v>#N/A</v>
      </c>
      <c r="P19" s="13" t="e">
        <f>HAVERQ!AA25</f>
        <v>#N/A</v>
      </c>
      <c r="Q19" s="13" t="e">
        <f>HAVERQ!AB25</f>
        <v>#N/A</v>
      </c>
      <c r="R19" s="13" t="e">
        <f>HAVERQ!AC25</f>
        <v>#N/A</v>
      </c>
      <c r="U19" s="13">
        <f>HAVERQ!M25</f>
        <v>230716</v>
      </c>
      <c r="V19" s="13">
        <f>HAVERQ!N25</f>
        <v>7369</v>
      </c>
      <c r="W19" s="13">
        <f>HAVERQ!O25</f>
        <v>80626</v>
      </c>
      <c r="X19" s="13">
        <f>HAVERQ!P25</f>
        <v>65933</v>
      </c>
      <c r="Y19" s="13">
        <f>HAVERQ!Q25</f>
        <v>840</v>
      </c>
      <c r="Z19" s="13">
        <f>HAVERQ!R25</f>
        <v>-2689</v>
      </c>
      <c r="AA19" s="13">
        <f>HAVERQ!S25</f>
        <v>76331</v>
      </c>
      <c r="AB19" s="13">
        <f>HAVERQ!T25</f>
        <v>73046</v>
      </c>
      <c r="AC19" s="13" t="e">
        <f>HAVERQ!W25</f>
        <v>#N/A</v>
      </c>
      <c r="AD19" s="13" t="e">
        <f>HAVERQ!X25</f>
        <v>#N/A</v>
      </c>
      <c r="AE19" s="13" t="e">
        <f>HAVERQ!AD25</f>
        <v>#N/A</v>
      </c>
      <c r="AF19" s="13" t="e">
        <f>HAVERQ!AE25</f>
        <v>#N/A</v>
      </c>
      <c r="AG19" s="13" t="e">
        <f>HAVERQ!AF25</f>
        <v>#N/A</v>
      </c>
      <c r="AH19" s="13" t="e">
        <f>HAVERQ!AG25</f>
        <v>#N/A</v>
      </c>
      <c r="AI19" s="13" t="e">
        <f>HAVERQ!AH25</f>
        <v>#N/A</v>
      </c>
      <c r="AL19">
        <v>2004</v>
      </c>
      <c r="AM19" s="15">
        <f t="shared" ca="1" si="27"/>
        <v>1.0312429975351323</v>
      </c>
      <c r="AN19" s="15">
        <f t="shared" ca="1" si="42"/>
        <v>1</v>
      </c>
      <c r="AO19" s="15">
        <f t="shared" ca="1" si="29"/>
        <v>0.9959868151514023</v>
      </c>
      <c r="AP19" s="15">
        <f t="shared" ca="1" si="30"/>
        <v>0.96807424181874691</v>
      </c>
      <c r="AQ19" s="15">
        <f t="shared" ca="1" si="31"/>
        <v>-1.5453575240128068</v>
      </c>
      <c r="AR19" s="15">
        <f t="shared" ca="1" si="32"/>
        <v>1.0704521556256572</v>
      </c>
      <c r="AS19" s="15">
        <f t="shared" ca="1" si="33"/>
        <v>1.0258614744488632</v>
      </c>
      <c r="AT19" s="15">
        <f t="shared" ca="1" si="34"/>
        <v>1.0198832664624695</v>
      </c>
      <c r="AU19" s="15">
        <f t="shared" ca="1" si="35"/>
        <v>0.9971246802055741</v>
      </c>
      <c r="AV19" s="15">
        <f t="shared" ca="1" si="36"/>
        <v>0.81686344969199176</v>
      </c>
      <c r="AW19" s="15">
        <f t="shared" ca="1" si="37"/>
        <v>1.0690936106983655</v>
      </c>
      <c r="AX19" s="15">
        <f t="shared" ca="1" si="38"/>
        <v>0.94195191371432851</v>
      </c>
      <c r="AY19" s="15">
        <f t="shared" ca="1" si="39"/>
        <v>0.98231170231889264</v>
      </c>
      <c r="AZ19" s="15">
        <f t="shared" ca="1" si="40"/>
        <v>0.95067148760330578</v>
      </c>
      <c r="BA19" s="15">
        <f t="shared" ca="1" si="41"/>
        <v>0.9867569692205358</v>
      </c>
      <c r="BD19">
        <v>2004</v>
      </c>
      <c r="BE19" s="8">
        <f>U61/AVERAGE(U58:U64)</f>
        <v>0.96387130046127834</v>
      </c>
      <c r="BF19" s="8">
        <f>U62/AVERAGE(U59:U65)</f>
        <v>0.99080516800403962</v>
      </c>
      <c r="BG19" s="8">
        <f>U63/AVERAGE(U60:U66)</f>
        <v>1.0135887916525246</v>
      </c>
      <c r="BH19" s="8">
        <f>U64/AVERAGE(U61:U67)</f>
        <v>1.0292322898931885</v>
      </c>
      <c r="BI19">
        <v>1</v>
      </c>
      <c r="BL19">
        <v>2004</v>
      </c>
      <c r="BM19" s="8">
        <f>V61/AVERAGE(V58:V64)</f>
        <v>1.0122458357265938</v>
      </c>
      <c r="BN19" s="8">
        <f>V62/AVERAGE(V59:V65)</f>
        <v>0.9912791361322284</v>
      </c>
      <c r="BO19" s="8">
        <f>V63/AVERAGE(V60:V66)</f>
        <v>1.0068733214984751</v>
      </c>
      <c r="BP19" s="8">
        <f>V64/AVERAGE(V61:V67)</f>
        <v>1.0099823572932674</v>
      </c>
      <c r="BQ19">
        <v>1</v>
      </c>
      <c r="BT19">
        <v>2004</v>
      </c>
      <c r="BU19" s="8">
        <f>W61/AVERAGE(W58:W64)</f>
        <v>1.0047459239983909</v>
      </c>
      <c r="BV19" s="8">
        <f>W62/AVERAGE(W59:W65)</f>
        <v>1.0000092790201354</v>
      </c>
      <c r="BW19" s="8">
        <f>W63/AVERAGE(W60:W66)</f>
        <v>0.99854979476243189</v>
      </c>
      <c r="BX19" s="8">
        <f>W64/AVERAGE(W61:W67)</f>
        <v>1.003768302342543</v>
      </c>
      <c r="BY19">
        <v>1</v>
      </c>
      <c r="CB19">
        <v>2004</v>
      </c>
      <c r="CC19" s="8">
        <f>X61/AVERAGE(X58:X64)</f>
        <v>1.0490218259249402</v>
      </c>
      <c r="CD19" s="8">
        <f>X62/AVERAGE(X59:X65)</f>
        <v>0.94801388428781008</v>
      </c>
      <c r="CE19" s="8">
        <f>X63/AVERAGE(X60:X66)</f>
        <v>0.97593999234300743</v>
      </c>
      <c r="CF19" s="8">
        <f>X64/AVERAGE(X61:X67)</f>
        <v>1.007137177600975</v>
      </c>
      <c r="CG19">
        <v>1</v>
      </c>
      <c r="CJ19">
        <v>2004</v>
      </c>
      <c r="CK19" s="8">
        <f>Y61/AVERAGE(Y58:Y64)</f>
        <v>14.320960698689955</v>
      </c>
      <c r="CL19" s="8">
        <f>Y62/AVERAGE(Y59:Y65)</f>
        <v>-4.5603613994617458</v>
      </c>
      <c r="CM19" s="8">
        <f>Y63/AVERAGE(Y60:Y66)</f>
        <v>6.0263208453410186</v>
      </c>
      <c r="CN19" s="8">
        <f>Y64/AVERAGE(Y61:Y67)</f>
        <v>-3.1045970593709287</v>
      </c>
      <c r="CO19">
        <v>1</v>
      </c>
      <c r="CR19">
        <v>2004</v>
      </c>
      <c r="CS19" s="8">
        <f>AA61/AVERAGE(AA58:AA64)</f>
        <v>0.96640050270712874</v>
      </c>
      <c r="CT19" s="8">
        <f>AA62/AVERAGE(AA59:AA65)</f>
        <v>1.004486255772407</v>
      </c>
      <c r="CU19" s="8">
        <f>AA63/AVERAGE(AA60:AA66)</f>
        <v>1.0005559522542415</v>
      </c>
      <c r="CV19" s="8">
        <f>AA64/AVERAGE(AA61:AA67)</f>
        <v>1.0304249380536015</v>
      </c>
      <c r="CW19">
        <v>1</v>
      </c>
      <c r="CZ19">
        <v>2004</v>
      </c>
      <c r="DA19" s="8">
        <f>AB61/AVERAGE(AB58:AB64)</f>
        <v>0.96831873114881928</v>
      </c>
      <c r="DB19" s="8">
        <f>AB62/AVERAGE(AB59:AB65)</f>
        <v>0.99908090286583817</v>
      </c>
      <c r="DC19" s="8">
        <f>AB63/AVERAGE(AB60:AB66)</f>
        <v>1.0355340630759289</v>
      </c>
      <c r="DD19" s="8">
        <f>AB64/AVERAGE(AB61:AB67)</f>
        <v>1.0027098657850415</v>
      </c>
      <c r="DE19">
        <v>1</v>
      </c>
      <c r="DH19">
        <v>2004</v>
      </c>
      <c r="DI19" s="8">
        <f>AC61/AVERAGE(AC58:AC64)</f>
        <v>1.0209720240925662</v>
      </c>
      <c r="DJ19" s="8">
        <f>AC62/AVERAGE(AC59:AC65)</f>
        <v>0.91683269239679377</v>
      </c>
      <c r="DK19" s="8">
        <f>AC63/AVERAGE(AC60:AC66)</f>
        <v>0.89363619643185577</v>
      </c>
      <c r="DL19" s="8">
        <f>AC64/AVERAGE(AC61:AC67)</f>
        <v>0.96268563849322086</v>
      </c>
      <c r="DM19">
        <v>1</v>
      </c>
      <c r="DP19">
        <v>2004</v>
      </c>
      <c r="DQ19" s="8">
        <f>AD61/AVERAGE(AD58:AD64)</f>
        <v>1.3057550512304894</v>
      </c>
      <c r="DR19" s="8">
        <f>AD62/AVERAGE(AD59:AD65)</f>
        <v>0.8966209792002735</v>
      </c>
      <c r="DS19" s="8">
        <f>AD63/AVERAGE(AD60:AD66)</f>
        <v>1.2477379484266098</v>
      </c>
      <c r="DT19" s="8">
        <f>AD64/AVERAGE(AD61:AD67)</f>
        <v>1.2544440431764377</v>
      </c>
      <c r="DU19">
        <v>1</v>
      </c>
      <c r="DX19">
        <v>2004</v>
      </c>
      <c r="DY19" s="8">
        <f>AE61/AVERAGE(AE58:AE64)</f>
        <v>0.93179495632108134</v>
      </c>
      <c r="DZ19" s="8">
        <f>AE62/AVERAGE(AE59:AE65)</f>
        <v>1.1710135019654759</v>
      </c>
      <c r="EA19" s="8">
        <f>AE63/AVERAGE(AE60:AE66)</f>
        <v>1.0123565455838044</v>
      </c>
      <c r="EB19" s="8">
        <f>AE64/AVERAGE(AE61:AE67)</f>
        <v>0.87223603736810273</v>
      </c>
      <c r="EC19">
        <v>1</v>
      </c>
      <c r="EF19">
        <v>2004</v>
      </c>
      <c r="EG19" s="8">
        <f>AF61/AVERAGE(AF58:AF64)</f>
        <v>1.0924637918337288</v>
      </c>
      <c r="EH19" s="8">
        <f>AF62/AVERAGE(AF59:AF65)</f>
        <v>0.91224378369770465</v>
      </c>
      <c r="EI19" s="8">
        <f>AF63/AVERAGE(AF60:AF66)</f>
        <v>0.96003388873199669</v>
      </c>
      <c r="EJ19" s="8">
        <f>AF64/AVERAGE(AF61:AF67)</f>
        <v>1.0320537533733547</v>
      </c>
      <c r="EK19">
        <v>1</v>
      </c>
      <c r="EN19">
        <v>2004</v>
      </c>
      <c r="EO19" s="8">
        <f>AG61/AVERAGE(AG58:AG64)</f>
        <v>1.0351418166352109</v>
      </c>
      <c r="EP19" s="8">
        <f>AG62/AVERAGE(AG59:AG65)</f>
        <v>0.95716916766078564</v>
      </c>
      <c r="EQ19" s="8">
        <f>AG63/AVERAGE(AG60:AG66)</f>
        <v>0.99930219963339439</v>
      </c>
      <c r="ER19" s="8">
        <f>AG64/AVERAGE(AG61:AG67)</f>
        <v>1.0068789134844343</v>
      </c>
      <c r="ES19">
        <v>1</v>
      </c>
      <c r="EV19">
        <v>2004</v>
      </c>
      <c r="EW19" s="8">
        <f>AH61/AVERAGE(AH58:AH64)</f>
        <v>1.1003349233735917</v>
      </c>
      <c r="EX19" s="8">
        <f>AH62/AVERAGE(AH59:AH65)</f>
        <v>0.90183440026212702</v>
      </c>
      <c r="EY19" s="8">
        <f>AH63/AVERAGE(AH60:AH66)</f>
        <v>0.9705256437539902</v>
      </c>
      <c r="EZ19" s="8">
        <f>AH64/AVERAGE(AH61:AH67)</f>
        <v>1.0350870507538048</v>
      </c>
      <c r="FA19">
        <v>1</v>
      </c>
      <c r="FD19">
        <v>2004</v>
      </c>
      <c r="FE19" s="8">
        <f>AI61/AVERAGE(AI58:AI64)</f>
        <v>0.99218314748309355</v>
      </c>
      <c r="FF19" s="8">
        <f>AI62/AVERAGE(AI59:AI65)</f>
        <v>0.96869393005856663</v>
      </c>
      <c r="FG19" s="8">
        <f>AI63/AVERAGE(AI60:AI66)</f>
        <v>0.99347193939546308</v>
      </c>
      <c r="FH19" s="8">
        <f>AI64/AVERAGE(AI61:AI67)</f>
        <v>1.0117891529857852</v>
      </c>
      <c r="FI19">
        <v>1</v>
      </c>
    </row>
    <row r="20" spans="1:165" x14ac:dyDescent="0.35">
      <c r="A20" t="s">
        <v>185</v>
      </c>
      <c r="B20" t="str">
        <f t="shared" si="17"/>
        <v>1993</v>
      </c>
      <c r="C20" t="str">
        <f t="shared" si="18"/>
        <v>Q4</v>
      </c>
      <c r="D20" s="13">
        <f>HAVERQ!C26</f>
        <v>225346</v>
      </c>
      <c r="E20" s="13">
        <f>HAVERQ!D26</f>
        <v>7445</v>
      </c>
      <c r="F20" s="13">
        <f>HAVERQ!E26</f>
        <v>80801</v>
      </c>
      <c r="G20" s="13">
        <f>HAVERQ!F26</f>
        <v>67316</v>
      </c>
      <c r="H20" s="13">
        <f>HAVERQ!G26</f>
        <v>-2202</v>
      </c>
      <c r="I20" s="13">
        <f>HAVERQ!H26</f>
        <v>-1253</v>
      </c>
      <c r="J20" s="13">
        <f>HAVERQ!I26</f>
        <v>77175</v>
      </c>
      <c r="K20" s="13">
        <f>HAVERQ!J26</f>
        <v>71793</v>
      </c>
      <c r="L20" s="13" t="e">
        <f>HAVERQ!U26</f>
        <v>#N/A</v>
      </c>
      <c r="M20" s="13" t="e">
        <f>HAVERQ!V26</f>
        <v>#N/A</v>
      </c>
      <c r="N20" s="13" t="e">
        <f>HAVERQ!Y26</f>
        <v>#N/A</v>
      </c>
      <c r="O20" s="13" t="e">
        <f>HAVERQ!Z26</f>
        <v>#N/A</v>
      </c>
      <c r="P20" s="13" t="e">
        <f>HAVERQ!AA26</f>
        <v>#N/A</v>
      </c>
      <c r="Q20" s="13" t="e">
        <f>HAVERQ!AB26</f>
        <v>#N/A</v>
      </c>
      <c r="R20" s="13" t="e">
        <f>HAVERQ!AC26</f>
        <v>#N/A</v>
      </c>
      <c r="U20" s="13">
        <f>HAVERQ!M26</f>
        <v>233947</v>
      </c>
      <c r="V20" s="13">
        <f>HAVERQ!N26</f>
        <v>7408</v>
      </c>
      <c r="W20" s="13">
        <f>HAVERQ!O26</f>
        <v>81013</v>
      </c>
      <c r="X20" s="13">
        <f>HAVERQ!P26</f>
        <v>67315</v>
      </c>
      <c r="Y20" s="13">
        <f>HAVERQ!Q26</f>
        <v>72</v>
      </c>
      <c r="Z20" s="13">
        <f>HAVERQ!R26</f>
        <v>-1256</v>
      </c>
      <c r="AA20" s="13">
        <f>HAVERQ!S26</f>
        <v>78853</v>
      </c>
      <c r="AB20" s="13">
        <f>HAVERQ!T26</f>
        <v>70741</v>
      </c>
      <c r="AC20" s="13" t="e">
        <f>HAVERQ!W26</f>
        <v>#N/A</v>
      </c>
      <c r="AD20" s="13" t="e">
        <f>HAVERQ!X26</f>
        <v>#N/A</v>
      </c>
      <c r="AE20" s="13" t="e">
        <f>HAVERQ!AD26</f>
        <v>#N/A</v>
      </c>
      <c r="AF20" s="13" t="e">
        <f>HAVERQ!AE26</f>
        <v>#N/A</v>
      </c>
      <c r="AG20" s="13" t="e">
        <f>HAVERQ!AF26</f>
        <v>#N/A</v>
      </c>
      <c r="AH20" s="13" t="e">
        <f>HAVERQ!AG26</f>
        <v>#N/A</v>
      </c>
      <c r="AI20" s="13" t="e">
        <f>HAVERQ!AH26</f>
        <v>#N/A</v>
      </c>
      <c r="AL20">
        <v>2005</v>
      </c>
      <c r="AM20" s="15">
        <f t="shared" ca="1" si="27"/>
        <v>1.0300602755008754</v>
      </c>
      <c r="AN20" s="15">
        <f t="shared" ca="1" si="42"/>
        <v>1</v>
      </c>
      <c r="AO20" s="15">
        <f t="shared" ca="1" si="29"/>
        <v>0.9967240340919461</v>
      </c>
      <c r="AP20" s="15">
        <f t="shared" ca="1" si="30"/>
        <v>0.97370362845012881</v>
      </c>
      <c r="AQ20" s="15">
        <f t="shared" ca="1" si="31"/>
        <v>0.23828287017834923</v>
      </c>
      <c r="AR20" s="15">
        <f t="shared" ca="1" si="32"/>
        <v>1.0778032036613272</v>
      </c>
      <c r="AS20" s="15">
        <f t="shared" ca="1" si="33"/>
        <v>1.0385789599094537</v>
      </c>
      <c r="AT20" s="15">
        <f t="shared" ca="1" si="34"/>
        <v>1.0325978567716745</v>
      </c>
      <c r="AU20" s="15">
        <f t="shared" ca="1" si="35"/>
        <v>1.0515043345232025</v>
      </c>
      <c r="AV20" s="15">
        <f t="shared" ca="1" si="36"/>
        <v>0.74622107969151674</v>
      </c>
      <c r="AW20" s="15">
        <f t="shared" ca="1" si="37"/>
        <v>1.0599945459503681</v>
      </c>
      <c r="AX20" s="15">
        <f t="shared" ca="1" si="38"/>
        <v>0.94268409779156515</v>
      </c>
      <c r="AY20" s="15">
        <f t="shared" ca="1" si="39"/>
        <v>0.98235919234856539</v>
      </c>
      <c r="AZ20" s="15">
        <f t="shared" ca="1" si="40"/>
        <v>0.9716684789174822</v>
      </c>
      <c r="BA20" s="15">
        <f t="shared" ca="1" si="41"/>
        <v>0.98361204013377923</v>
      </c>
      <c r="BD20">
        <v>2005</v>
      </c>
      <c r="BE20" s="8">
        <f>U65/AVERAGE(U62:U68)</f>
        <v>0.96962385139155149</v>
      </c>
      <c r="BF20" s="8">
        <f>U66/AVERAGE(U63:U69)</f>
        <v>0.99292208159646911</v>
      </c>
      <c r="BG20" s="8">
        <f>U67/AVERAGE(U64:U70)</f>
        <v>1.0177550622761133</v>
      </c>
      <c r="BH20" s="8">
        <f>U68/AVERAGE(U65:U71)</f>
        <v>1.0333609022074333</v>
      </c>
      <c r="BI20">
        <v>1</v>
      </c>
      <c r="BL20">
        <v>2005</v>
      </c>
      <c r="BM20" s="8">
        <f>V65/AVERAGE(V62:V68)</f>
        <v>0.99849158463004128</v>
      </c>
      <c r="BN20" s="8">
        <f>V66/AVERAGE(V63:V69)</f>
        <v>0.99373033657001886</v>
      </c>
      <c r="BO20" s="8">
        <f>V67/AVERAGE(V64:V70)</f>
        <v>0.98855356635407787</v>
      </c>
      <c r="BP20" s="8">
        <f>V68/AVERAGE(V65:V71)</f>
        <v>1.0308448968413364</v>
      </c>
      <c r="BQ20">
        <v>1</v>
      </c>
      <c r="BT20">
        <v>2005</v>
      </c>
      <c r="BU20" s="8">
        <f>W65/AVERAGE(W62:W68)</f>
        <v>0.99677747140655582</v>
      </c>
      <c r="BV20" s="8">
        <f>W66/AVERAGE(W63:W69)</f>
        <v>1.0006563118112917</v>
      </c>
      <c r="BW20" s="8">
        <f>W67/AVERAGE(W64:W70)</f>
        <v>0.99998330595938723</v>
      </c>
      <c r="BX20" s="8">
        <f>W68/AVERAGE(W65:W71)</f>
        <v>1.0015648972077325</v>
      </c>
      <c r="BY20">
        <v>1</v>
      </c>
      <c r="CB20">
        <v>2005</v>
      </c>
      <c r="CC20" s="8">
        <f>X65/AVERAGE(X62:X68)</f>
        <v>1.0264380595154277</v>
      </c>
      <c r="CD20" s="8">
        <f>X66/AVERAGE(X63:X69)</f>
        <v>0.98109733418841749</v>
      </c>
      <c r="CE20" s="8">
        <f>X67/AVERAGE(X64:X70)</f>
        <v>1.0069230932982995</v>
      </c>
      <c r="CF20" s="8">
        <f>X68/AVERAGE(X65:X71)</f>
        <v>1.0299589094517294</v>
      </c>
      <c r="CG20">
        <v>1</v>
      </c>
      <c r="CJ20">
        <v>2005</v>
      </c>
      <c r="CK20" s="8">
        <f>Y65/AVERAGE(Y62:Y68)</f>
        <v>-14.081768877763871</v>
      </c>
      <c r="CL20" s="8">
        <f>Y66/AVERAGE(Y63:Y69)</f>
        <v>13.578438661710038</v>
      </c>
      <c r="CM20" s="8">
        <f>Y67/AVERAGE(Y64:Y70)</f>
        <v>2.5717981888745149</v>
      </c>
      <c r="CN20" s="8">
        <f>Y68/AVERAGE(Y65:Y71)</f>
        <v>-18.546335789065527</v>
      </c>
      <c r="CO20">
        <v>1</v>
      </c>
      <c r="CR20">
        <v>2005</v>
      </c>
      <c r="CS20" s="8">
        <f>AA65/AVERAGE(AA62:AA68)</f>
        <v>0.93112943292617689</v>
      </c>
      <c r="CT20" s="8">
        <f>AA66/AVERAGE(AA63:AA69)</f>
        <v>1.0010485280279608</v>
      </c>
      <c r="CU20" s="8">
        <f>AA67/AVERAGE(AA64:AA70)</f>
        <v>0.97161826647001437</v>
      </c>
      <c r="CV20" s="8">
        <f>AA68/AVERAGE(AA65:AA71)</f>
        <v>1.0059156270308367</v>
      </c>
      <c r="CW20">
        <v>1</v>
      </c>
      <c r="CZ20">
        <v>2005</v>
      </c>
      <c r="DA20" s="8">
        <f>AB65/AVERAGE(AB62:AB68)</f>
        <v>0.95148433480552974</v>
      </c>
      <c r="DB20" s="8">
        <f>AB66/AVERAGE(AB63:AB69)</f>
        <v>0.99542545662058146</v>
      </c>
      <c r="DC20" s="8">
        <f>AB67/AVERAGE(AB64:AB70)</f>
        <v>0.99786277232308185</v>
      </c>
      <c r="DD20" s="8">
        <f>AB68/AVERAGE(AB65:AB71)</f>
        <v>0.98046839959180021</v>
      </c>
      <c r="DE20">
        <v>1</v>
      </c>
      <c r="DH20">
        <v>2005</v>
      </c>
      <c r="DI20" s="8">
        <f>AC65/AVERAGE(AC62:AC68)</f>
        <v>0.89841732611411906</v>
      </c>
      <c r="DJ20" s="8">
        <f>AC66/AVERAGE(AC63:AC69)</f>
        <v>1.3566896089604916</v>
      </c>
      <c r="DK20" s="8">
        <f>AC67/AVERAGE(AC64:AC70)</f>
        <v>0.96111249448223557</v>
      </c>
      <c r="DL20" s="8">
        <f>AC68/AVERAGE(AC65:AC71)</f>
        <v>0.98910738357630246</v>
      </c>
      <c r="DM20">
        <v>1</v>
      </c>
      <c r="DP20">
        <v>2005</v>
      </c>
      <c r="DQ20" s="8">
        <f>AD65/AVERAGE(AD62:AD68)</f>
        <v>1.8902108872815115</v>
      </c>
      <c r="DR20" s="8">
        <f>AD66/AVERAGE(AD63:AD69)</f>
        <v>-1.0469886888724016</v>
      </c>
      <c r="DS20" s="8">
        <f>AD67/AVERAGE(AD64:AD70)</f>
        <v>1.2301104410867945</v>
      </c>
      <c r="DT20" s="8">
        <f>AD68/AVERAGE(AD65:AD71)</f>
        <v>1.2398516864464018</v>
      </c>
      <c r="DU20">
        <v>1</v>
      </c>
      <c r="DX20">
        <v>2005</v>
      </c>
      <c r="DY20" s="8">
        <f>AE65/AVERAGE(AE62:AE68)</f>
        <v>0.86241768579492006</v>
      </c>
      <c r="DZ20" s="8">
        <f>AE66/AVERAGE(AE63:AE69)</f>
        <v>1.1860409718913769</v>
      </c>
      <c r="EA20" s="8">
        <f>AE67/AVERAGE(AE64:AE70)</f>
        <v>0.97518906726814381</v>
      </c>
      <c r="EB20" s="8">
        <f>AE68/AVERAGE(AE65:AE71)</f>
        <v>0.8914782389620205</v>
      </c>
      <c r="EC20">
        <v>1</v>
      </c>
      <c r="EF20">
        <v>2005</v>
      </c>
      <c r="EG20" s="8">
        <f>AF65/AVERAGE(AF62:AF68)</f>
        <v>1.0150479821780483</v>
      </c>
      <c r="EH20" s="8">
        <f>AF66/AVERAGE(AF63:AF69)</f>
        <v>0.87768811698685134</v>
      </c>
      <c r="EI20" s="8">
        <f>AF67/AVERAGE(AF64:AF70)</f>
        <v>1.0337689535047623</v>
      </c>
      <c r="EJ20" s="8">
        <f>AF68/AVERAGE(AF65:AF71)</f>
        <v>1.1012074599899295</v>
      </c>
      <c r="EK20">
        <v>1</v>
      </c>
      <c r="EN20">
        <v>2005</v>
      </c>
      <c r="EO20" s="8">
        <f>AG65/AVERAGE(AG62:AG68)</f>
        <v>1.0258420200174427</v>
      </c>
      <c r="EP20" s="8">
        <f>AG66/AVERAGE(AG63:AG69)</f>
        <v>0.98274597123815477</v>
      </c>
      <c r="EQ20" s="8">
        <f>AG67/AVERAGE(AG64:AG70)</f>
        <v>1.015284564604275</v>
      </c>
      <c r="ER20" s="8">
        <f>AG68/AVERAGE(AG65:AG71)</f>
        <v>1.008682073703935</v>
      </c>
      <c r="ES20">
        <v>1</v>
      </c>
      <c r="EV20">
        <v>2005</v>
      </c>
      <c r="EW20" s="8">
        <f>AH65/AVERAGE(AH62:AH68)</f>
        <v>1.0881891686309126</v>
      </c>
      <c r="EX20" s="8">
        <f>AH66/AVERAGE(AH63:AH69)</f>
        <v>0.89369153034168791</v>
      </c>
      <c r="EY20" s="8">
        <f>AH67/AVERAGE(AH64:AH70)</f>
        <v>1.0032253984315709</v>
      </c>
      <c r="EZ20" s="8">
        <f>AH68/AVERAGE(AH65:AH71)</f>
        <v>1.0602424123681962</v>
      </c>
      <c r="FA20">
        <v>1</v>
      </c>
      <c r="FD20">
        <v>2005</v>
      </c>
      <c r="FE20" s="8">
        <f>AI65/AVERAGE(AI62:AI68)</f>
        <v>1.0261480634090538</v>
      </c>
      <c r="FF20" s="8">
        <f>AI66/AVERAGE(AI63:AI69)</f>
        <v>0.98242073312350342</v>
      </c>
      <c r="FG20" s="8">
        <f>AI67/AVERAGE(AI64:AI70)</f>
        <v>1.0042302126238449</v>
      </c>
      <c r="FH20" s="8">
        <f>AI68/AVERAGE(AI65:AI71)</f>
        <v>1.0063044702262471</v>
      </c>
      <c r="FI20">
        <v>1</v>
      </c>
    </row>
    <row r="21" spans="1:165" x14ac:dyDescent="0.35">
      <c r="A21" t="s">
        <v>186</v>
      </c>
      <c r="B21" t="str">
        <f t="shared" si="17"/>
        <v>1994</v>
      </c>
      <c r="C21" t="str">
        <f t="shared" si="18"/>
        <v>Q1</v>
      </c>
      <c r="D21" s="13">
        <f>HAVERQ!C27</f>
        <v>227586</v>
      </c>
      <c r="E21" s="13">
        <f>HAVERQ!D27</f>
        <v>7325</v>
      </c>
      <c r="F21" s="13">
        <f>HAVERQ!E27</f>
        <v>80693</v>
      </c>
      <c r="G21" s="13">
        <f>HAVERQ!F27</f>
        <v>68155</v>
      </c>
      <c r="H21" s="13">
        <f>HAVERQ!G27</f>
        <v>-1797</v>
      </c>
      <c r="I21" s="13">
        <f>HAVERQ!H27</f>
        <v>-353</v>
      </c>
      <c r="J21" s="13">
        <f>HAVERQ!I27</f>
        <v>80051</v>
      </c>
      <c r="K21" s="13">
        <f>HAVERQ!J27</f>
        <v>73486</v>
      </c>
      <c r="L21" s="13" t="e">
        <f>HAVERQ!U27</f>
        <v>#N/A</v>
      </c>
      <c r="M21" s="13" t="e">
        <f>HAVERQ!V27</f>
        <v>#N/A</v>
      </c>
      <c r="N21" s="13" t="e">
        <f>HAVERQ!Y27</f>
        <v>#N/A</v>
      </c>
      <c r="O21" s="13" t="e">
        <f>HAVERQ!Z27</f>
        <v>#N/A</v>
      </c>
      <c r="P21" s="13" t="e">
        <f>HAVERQ!AA27</f>
        <v>#N/A</v>
      </c>
      <c r="Q21" s="13" t="e">
        <f>HAVERQ!AB27</f>
        <v>#N/A</v>
      </c>
      <c r="R21" s="13" t="e">
        <f>HAVERQ!AC27</f>
        <v>#N/A</v>
      </c>
      <c r="U21" s="13">
        <f>HAVERQ!M27</f>
        <v>219467</v>
      </c>
      <c r="V21" s="13">
        <f>HAVERQ!N27</f>
        <v>7318</v>
      </c>
      <c r="W21" s="13">
        <f>HAVERQ!O27</f>
        <v>81015</v>
      </c>
      <c r="X21" s="13">
        <f>HAVERQ!P27</f>
        <v>68167</v>
      </c>
      <c r="Y21" s="13">
        <f>HAVERQ!Q27</f>
        <v>-2514</v>
      </c>
      <c r="Z21" s="13">
        <f>HAVERQ!R27</f>
        <v>-354</v>
      </c>
      <c r="AA21" s="13">
        <f>HAVERQ!S27</f>
        <v>78237</v>
      </c>
      <c r="AB21" s="13">
        <f>HAVERQ!T27</f>
        <v>71173</v>
      </c>
      <c r="AC21" s="13" t="e">
        <f>HAVERQ!W27</f>
        <v>#N/A</v>
      </c>
      <c r="AD21" s="13" t="e">
        <f>HAVERQ!X27</f>
        <v>#N/A</v>
      </c>
      <c r="AE21" s="13" t="e">
        <f>HAVERQ!AD27</f>
        <v>#N/A</v>
      </c>
      <c r="AF21" s="13" t="e">
        <f>HAVERQ!AE27</f>
        <v>#N/A</v>
      </c>
      <c r="AG21" s="13" t="e">
        <f>HAVERQ!AF27</f>
        <v>#N/A</v>
      </c>
      <c r="AH21" s="13" t="e">
        <f>HAVERQ!AG27</f>
        <v>#N/A</v>
      </c>
      <c r="AI21" s="13" t="e">
        <f>HAVERQ!AH27</f>
        <v>#N/A</v>
      </c>
      <c r="AL21">
        <v>2006</v>
      </c>
      <c r="AM21" s="15">
        <f t="shared" ca="1" si="27"/>
        <v>1.0301242197867007</v>
      </c>
      <c r="AN21" s="15">
        <f t="shared" ca="1" si="42"/>
        <v>1</v>
      </c>
      <c r="AO21" s="15">
        <f t="shared" ca="1" si="29"/>
        <v>0.99242097859058342</v>
      </c>
      <c r="AP21" s="15">
        <f t="shared" ca="1" si="30"/>
        <v>0.98045001470304916</v>
      </c>
      <c r="AQ21" s="15">
        <f t="shared" ca="1" si="31"/>
        <v>-5.4589235127478757</v>
      </c>
      <c r="AR21" s="15">
        <f t="shared" ca="1" si="32"/>
        <v>1.0506780870806567</v>
      </c>
      <c r="AS21" s="15">
        <f t="shared" ca="1" si="33"/>
        <v>1.0226849510664247</v>
      </c>
      <c r="AT21" s="15">
        <f t="shared" ca="1" si="34"/>
        <v>1.016306962777459</v>
      </c>
      <c r="AU21" s="15">
        <f t="shared" ca="1" si="35"/>
        <v>1.0437916524050175</v>
      </c>
      <c r="AV21" s="15">
        <f t="shared" ca="1" si="36"/>
        <v>0.74702168215391951</v>
      </c>
      <c r="AW21" s="15">
        <f t="shared" ca="1" si="37"/>
        <v>1.0976527900797166</v>
      </c>
      <c r="AX21" s="15">
        <f t="shared" ca="1" si="38"/>
        <v>0.92490947207928342</v>
      </c>
      <c r="AY21" s="15">
        <f t="shared" ca="1" si="39"/>
        <v>0.9830007390983001</v>
      </c>
      <c r="AZ21" s="15">
        <f t="shared" ca="1" si="40"/>
        <v>0.99467653162501124</v>
      </c>
      <c r="BA21" s="15">
        <f t="shared" ca="1" si="41"/>
        <v>0.97562918126791975</v>
      </c>
      <c r="BD21">
        <v>2006</v>
      </c>
      <c r="BE21" s="8">
        <f>U69/AVERAGE(U66:U72)</f>
        <v>0.96360249003992482</v>
      </c>
      <c r="BF21" s="8">
        <f>U70/AVERAGE(U67:U73)</f>
        <v>0.98602331446993308</v>
      </c>
      <c r="BG21" s="8">
        <f>U71/AVERAGE(U68:U74)</f>
        <v>1.0096252599199624</v>
      </c>
      <c r="BH21" s="8">
        <f>U72/AVERAGE(U69:U75)</f>
        <v>1.0221620095300712</v>
      </c>
      <c r="BI21">
        <v>1</v>
      </c>
      <c r="BL21">
        <v>2006</v>
      </c>
      <c r="BM21" s="8">
        <f>V69/AVERAGE(V66:V72)</f>
        <v>1.0116920817413055</v>
      </c>
      <c r="BN21" s="8">
        <f>V70/AVERAGE(V67:V73)</f>
        <v>0.99168690021967854</v>
      </c>
      <c r="BO21" s="8">
        <f>V71/AVERAGE(V68:V74)</f>
        <v>1.0058722779544897</v>
      </c>
      <c r="BP21" s="8">
        <f>V72/AVERAGE(V69:V75)</f>
        <v>0.99767915837093413</v>
      </c>
      <c r="BQ21">
        <v>1</v>
      </c>
      <c r="BT21">
        <v>2006</v>
      </c>
      <c r="BU21" s="8">
        <f>W69/AVERAGE(W66:W72)</f>
        <v>1.0130166748312477</v>
      </c>
      <c r="BV21" s="8">
        <f>W70/AVERAGE(W67:W73)</f>
        <v>0.98907681153735694</v>
      </c>
      <c r="BW21" s="8">
        <f>W71/AVERAGE(W68:W74)</f>
        <v>0.99909680121301114</v>
      </c>
      <c r="BX21" s="8">
        <f>W72/AVERAGE(W69:W75)</f>
        <v>0.99721845148315735</v>
      </c>
      <c r="BY21">
        <v>1</v>
      </c>
      <c r="CB21">
        <v>2006</v>
      </c>
      <c r="CC21" s="8">
        <f>X69/AVERAGE(X66:X72)</f>
        <v>1.0304369631997994</v>
      </c>
      <c r="CD21" s="8">
        <f>X70/AVERAGE(X67:X73)</f>
        <v>0.93442341524109407</v>
      </c>
      <c r="CE21" s="8">
        <f>X71/AVERAGE(X68:X74)</f>
        <v>0.99568779962105347</v>
      </c>
      <c r="CF21" s="8">
        <f>X72/AVERAGE(X69:X75)</f>
        <v>1.014549015544344</v>
      </c>
      <c r="CG21">
        <v>1</v>
      </c>
      <c r="CJ21">
        <v>2006</v>
      </c>
      <c r="CK21" s="8">
        <f>Y69/AVERAGE(Y66:Y72)</f>
        <v>1.9847389558232931</v>
      </c>
      <c r="CL21" s="8">
        <f>Y70/AVERAGE(Y67:Y73)</f>
        <v>-2.2336944975568302</v>
      </c>
      <c r="CM21" s="8">
        <f>Y71/AVERAGE(Y68:Y74)</f>
        <v>9.0042575838211807</v>
      </c>
      <c r="CN21" s="8">
        <f>Y72/AVERAGE(Y69:Y75)</f>
        <v>1.8218176391583345</v>
      </c>
      <c r="CO21">
        <v>1</v>
      </c>
      <c r="CR21">
        <v>2006</v>
      </c>
      <c r="CS21" s="8">
        <f>AA69/AVERAGE(AA66:AA72)</f>
        <v>1.0550850725362859</v>
      </c>
      <c r="CT21" s="8">
        <f>AA70/AVERAGE(AA67:AA73)</f>
        <v>1.1147979098745031</v>
      </c>
      <c r="CU21" s="8">
        <f>AA71/AVERAGE(AA68:AA74)</f>
        <v>0.96295308768413757</v>
      </c>
      <c r="CV21" s="8">
        <f>AA72/AVERAGE(AA69:AA75)</f>
        <v>0.96568869197533314</v>
      </c>
      <c r="CW21">
        <v>1</v>
      </c>
      <c r="CZ21">
        <v>2006</v>
      </c>
      <c r="DA21" s="8">
        <f>AB69/AVERAGE(AB66:AB72)</f>
        <v>1.0571341525871103</v>
      </c>
      <c r="DB21" s="8">
        <f>AB70/AVERAGE(AB67:AB73)</f>
        <v>1.0873088294338795</v>
      </c>
      <c r="DC21" s="8">
        <f>AB71/AVERAGE(AB68:AB74)</f>
        <v>0.98605218796246563</v>
      </c>
      <c r="DD21" s="8">
        <f>AB72/AVERAGE(AB69:AB75)</f>
        <v>0.94872729663341715</v>
      </c>
      <c r="DE21">
        <v>1</v>
      </c>
      <c r="DH21">
        <v>2006</v>
      </c>
      <c r="DI21" s="8">
        <f>AC69/AVERAGE(AC66:AC72)</f>
        <v>0.94185038495505691</v>
      </c>
      <c r="DJ21" s="8">
        <f>AC70/AVERAGE(AC67:AC73)</f>
        <v>0.96484050752994188</v>
      </c>
      <c r="DK21" s="8">
        <f>AC71/AVERAGE(AC68:AC74)</f>
        <v>1.0089534426558626</v>
      </c>
      <c r="DL21" s="8">
        <f>AC72/AVERAGE(AC69:AC75)</f>
        <v>1.0123151691476084</v>
      </c>
      <c r="DM21">
        <v>1</v>
      </c>
      <c r="DP21">
        <v>2006</v>
      </c>
      <c r="DQ21" s="8">
        <f>AD69/AVERAGE(AD66:AD72)</f>
        <v>1.7766422254138636</v>
      </c>
      <c r="DR21" s="8">
        <f>AD70/AVERAGE(AD67:AD73)</f>
        <v>0.72197803350572243</v>
      </c>
      <c r="DS21" s="8">
        <f>AD71/AVERAGE(AD68:AD74)</f>
        <v>0.91928285044254487</v>
      </c>
      <c r="DT21" s="8">
        <f>AD72/AVERAGE(AD69:AD75)</f>
        <v>0.99970443026196232</v>
      </c>
      <c r="DU21">
        <v>1</v>
      </c>
      <c r="DX21">
        <v>2006</v>
      </c>
      <c r="DY21" s="8">
        <f>AE69/AVERAGE(AE66:AE72)</f>
        <v>0.95490107234556709</v>
      </c>
      <c r="DZ21" s="8">
        <f>AE70/AVERAGE(AE67:AE73)</f>
        <v>1.0687249787698652</v>
      </c>
      <c r="EA21" s="8">
        <f>AE71/AVERAGE(AE68:AE74)</f>
        <v>1.0686316757160506</v>
      </c>
      <c r="EB21" s="8">
        <f>AE72/AVERAGE(AE69:AE75)</f>
        <v>0.98273787874548868</v>
      </c>
      <c r="EC21">
        <v>1</v>
      </c>
      <c r="EF21">
        <v>2006</v>
      </c>
      <c r="EG21" s="8">
        <f>AF69/AVERAGE(AF66:AF72)</f>
        <v>1.0526180036110395</v>
      </c>
      <c r="EH21" s="8">
        <f>AF70/AVERAGE(AF67:AF73)</f>
        <v>0.87110522427060244</v>
      </c>
      <c r="EI21" s="8">
        <f>AF71/AVERAGE(AF68:AF74)</f>
        <v>0.96239968472341642</v>
      </c>
      <c r="EJ21" s="8">
        <f>AF72/AVERAGE(AF69:AF75)</f>
        <v>1.0562259375445602</v>
      </c>
      <c r="EK21">
        <v>1</v>
      </c>
      <c r="EN21">
        <v>2006</v>
      </c>
      <c r="EO21" s="8">
        <f>AG69/AVERAGE(AG66:AG72)</f>
        <v>1.0462055579226435</v>
      </c>
      <c r="EP21" s="8">
        <f>AG70/AVERAGE(AG67:AG73)</f>
        <v>0.96372048365654472</v>
      </c>
      <c r="EQ21" s="8">
        <f>AG71/AVERAGE(AG68:AG74)</f>
        <v>0.98311640372979836</v>
      </c>
      <c r="ER21" s="8">
        <f>AG72/AVERAGE(AG69:AG75)</f>
        <v>0.99565429687499996</v>
      </c>
      <c r="ES21">
        <v>1</v>
      </c>
      <c r="EV21">
        <v>2006</v>
      </c>
      <c r="EW21" s="8">
        <f>AH69/AVERAGE(AH66:AH72)</f>
        <v>1.0295948295311277</v>
      </c>
      <c r="EX21" s="8">
        <f>AH70/AVERAGE(AH67:AH73)</f>
        <v>0.90375657207446347</v>
      </c>
      <c r="EY21" s="8">
        <f>AH71/AVERAGE(AH68:AH74)</f>
        <v>1.0269461077844311</v>
      </c>
      <c r="EZ21" s="8">
        <f>AH72/AVERAGE(AH69:AH75)</f>
        <v>1.026426469715342</v>
      </c>
      <c r="FA21">
        <v>1</v>
      </c>
      <c r="FD21">
        <v>2006</v>
      </c>
      <c r="FE21" s="8">
        <f>AI69/AVERAGE(AI66:AI72)</f>
        <v>1.0445013111922739</v>
      </c>
      <c r="FF21" s="8">
        <f>AI70/AVERAGE(AI67:AI73)</f>
        <v>0.98018356114910232</v>
      </c>
      <c r="FG21" s="8">
        <f>AI71/AVERAGE(AI68:AI74)</f>
        <v>0.97408151617266481</v>
      </c>
      <c r="FH21" s="8">
        <f>AI72/AVERAGE(AI69:AI75)</f>
        <v>0.98561571745994625</v>
      </c>
      <c r="FI21">
        <v>1</v>
      </c>
    </row>
    <row r="22" spans="1:165" x14ac:dyDescent="0.35">
      <c r="A22" t="s">
        <v>187</v>
      </c>
      <c r="B22" t="str">
        <f t="shared" si="17"/>
        <v>1994</v>
      </c>
      <c r="C22" t="str">
        <f t="shared" si="18"/>
        <v>Q2</v>
      </c>
      <c r="D22" s="13">
        <f>HAVERQ!C28</f>
        <v>227983</v>
      </c>
      <c r="E22" s="13">
        <f>HAVERQ!D28</f>
        <v>7454</v>
      </c>
      <c r="F22" s="13">
        <f>HAVERQ!E28</f>
        <v>81916</v>
      </c>
      <c r="G22" s="13">
        <f>HAVERQ!F28</f>
        <v>66804</v>
      </c>
      <c r="H22" s="13">
        <f>HAVERQ!G28</f>
        <v>5712</v>
      </c>
      <c r="I22" s="13">
        <f>HAVERQ!H28</f>
        <v>531</v>
      </c>
      <c r="J22" s="13">
        <f>HAVERQ!I28</f>
        <v>80308</v>
      </c>
      <c r="K22" s="13">
        <f>HAVERQ!J28</f>
        <v>74141</v>
      </c>
      <c r="L22" s="13" t="e">
        <f>HAVERQ!U28</f>
        <v>#N/A</v>
      </c>
      <c r="M22" s="13" t="e">
        <f>HAVERQ!V28</f>
        <v>#N/A</v>
      </c>
      <c r="N22" s="13" t="e">
        <f>HAVERQ!Y28</f>
        <v>#N/A</v>
      </c>
      <c r="O22" s="13" t="e">
        <f>HAVERQ!Z28</f>
        <v>#N/A</v>
      </c>
      <c r="P22" s="13" t="e">
        <f>HAVERQ!AA28</f>
        <v>#N/A</v>
      </c>
      <c r="Q22" s="13" t="e">
        <f>HAVERQ!AB28</f>
        <v>#N/A</v>
      </c>
      <c r="R22" s="13" t="e">
        <f>HAVERQ!AC28</f>
        <v>#N/A</v>
      </c>
      <c r="U22" s="13">
        <f>HAVERQ!M28</f>
        <v>221420</v>
      </c>
      <c r="V22" s="13">
        <f>HAVERQ!N28</f>
        <v>7407</v>
      </c>
      <c r="W22" s="13">
        <f>HAVERQ!O28</f>
        <v>81691</v>
      </c>
      <c r="X22" s="13">
        <f>HAVERQ!P28</f>
        <v>66812</v>
      </c>
      <c r="Y22" s="13">
        <f>HAVERQ!Q28</f>
        <v>8281</v>
      </c>
      <c r="Z22" s="13">
        <f>HAVERQ!R28</f>
        <v>532</v>
      </c>
      <c r="AA22" s="13">
        <f>HAVERQ!S28</f>
        <v>79608</v>
      </c>
      <c r="AB22" s="13">
        <f>HAVERQ!T28</f>
        <v>75766</v>
      </c>
      <c r="AC22" s="13" t="e">
        <f>HAVERQ!W28</f>
        <v>#N/A</v>
      </c>
      <c r="AD22" s="13" t="e">
        <f>HAVERQ!X28</f>
        <v>#N/A</v>
      </c>
      <c r="AE22" s="13" t="e">
        <f>HAVERQ!AD28</f>
        <v>#N/A</v>
      </c>
      <c r="AF22" s="13" t="e">
        <f>HAVERQ!AE28</f>
        <v>#N/A</v>
      </c>
      <c r="AG22" s="13" t="e">
        <f>HAVERQ!AF28</f>
        <v>#N/A</v>
      </c>
      <c r="AH22" s="13" t="e">
        <f>HAVERQ!AG28</f>
        <v>#N/A</v>
      </c>
      <c r="AI22" s="13" t="e">
        <f>HAVERQ!AH28</f>
        <v>#N/A</v>
      </c>
      <c r="AL22">
        <v>2007</v>
      </c>
      <c r="AM22" s="15">
        <f t="shared" ca="1" si="27"/>
        <v>1.0295481819272772</v>
      </c>
      <c r="AN22" s="15">
        <f t="shared" ca="1" si="42"/>
        <v>1</v>
      </c>
      <c r="AO22" s="15">
        <f t="shared" ca="1" si="29"/>
        <v>0.9919852194956934</v>
      </c>
      <c r="AP22" s="15">
        <f t="shared" ca="1" si="30"/>
        <v>0.95590687034739452</v>
      </c>
      <c r="AQ22" s="15">
        <f t="shared" ca="1" si="31"/>
        <v>0.87300280019766097</v>
      </c>
      <c r="AR22" s="15">
        <f t="shared" ca="1" si="32"/>
        <v>1.0990384615384616</v>
      </c>
      <c r="AS22" s="15">
        <f t="shared" ca="1" si="33"/>
        <v>1.0233107226715366</v>
      </c>
      <c r="AT22" s="15">
        <f t="shared" ca="1" si="34"/>
        <v>1.0139515924825682</v>
      </c>
      <c r="AU22" s="15">
        <f t="shared" ca="1" si="35"/>
        <v>0.99601196410767701</v>
      </c>
      <c r="AV22" s="15">
        <f t="shared" ca="1" si="36"/>
        <v>0.7494206093493867</v>
      </c>
      <c r="AW22" s="15">
        <f t="shared" ca="1" si="37"/>
        <v>1.1114321089558399</v>
      </c>
      <c r="AX22" s="15">
        <f t="shared" ca="1" si="38"/>
        <v>0.92327600150967815</v>
      </c>
      <c r="AY22" s="15">
        <f t="shared" ca="1" si="39"/>
        <v>0.98414947972998168</v>
      </c>
      <c r="AZ22" s="15">
        <f t="shared" ca="1" si="40"/>
        <v>0.92513278812916278</v>
      </c>
      <c r="BA22" s="15">
        <f t="shared" ca="1" si="41"/>
        <v>0.97466795201371037</v>
      </c>
      <c r="BD22">
        <v>2007</v>
      </c>
      <c r="BE22" s="8">
        <f>U73/AVERAGE(U70:U76)</f>
        <v>0.96373180694137695</v>
      </c>
      <c r="BF22" s="8">
        <f>U74/AVERAGE(U71:U77)</f>
        <v>0.98988541711196532</v>
      </c>
      <c r="BG22" s="8">
        <f>U75/AVERAGE(U72:U78)</f>
        <v>1.02475629890173</v>
      </c>
      <c r="BH22" s="8">
        <f>U76/AVERAGE(U73:U79)</f>
        <v>1.0431737713420302</v>
      </c>
      <c r="BI22">
        <v>1</v>
      </c>
      <c r="BL22">
        <v>2007</v>
      </c>
      <c r="BM22" s="8">
        <f>V73/AVERAGE(V70:V76)</f>
        <v>0.9887884912614433</v>
      </c>
      <c r="BN22" s="8">
        <f>V74/AVERAGE(V71:V77)</f>
        <v>0.98485519122414555</v>
      </c>
      <c r="BO22" s="8">
        <f>V75/AVERAGE(V72:V78)</f>
        <v>1.0050898527063852</v>
      </c>
      <c r="BP22" s="8">
        <f>V76/AVERAGE(V73:V79)</f>
        <v>0.99066326713829145</v>
      </c>
      <c r="BQ22">
        <v>1</v>
      </c>
      <c r="BT22">
        <v>2007</v>
      </c>
      <c r="BU22" s="8">
        <f>W73/AVERAGE(W70:W76)</f>
        <v>1.0138864459844514</v>
      </c>
      <c r="BV22" s="8">
        <f>W74/AVERAGE(W71:W77)</f>
        <v>0.99328499562363515</v>
      </c>
      <c r="BW22" s="8">
        <f>W75/AVERAGE(W72:W78)</f>
        <v>1.000696261734626</v>
      </c>
      <c r="BX22" s="8">
        <f>W76/AVERAGE(W73:W79)</f>
        <v>0.9903720357489636</v>
      </c>
      <c r="BY22">
        <v>1</v>
      </c>
      <c r="CB22">
        <v>2007</v>
      </c>
      <c r="CC22" s="8">
        <f>X73/AVERAGE(X70:X76)</f>
        <v>1.0390064799788221</v>
      </c>
      <c r="CD22" s="8">
        <f>X74/AVERAGE(X71:X77)</f>
        <v>0.94492874256211834</v>
      </c>
      <c r="CE22" s="8">
        <f>X75/AVERAGE(X72:X78)</f>
        <v>0.9826408195588805</v>
      </c>
      <c r="CF22" s="8">
        <f>X76/AVERAGE(X73:X79)</f>
        <v>1.0698542671655922</v>
      </c>
      <c r="CG22">
        <v>1</v>
      </c>
      <c r="CJ22">
        <v>2007</v>
      </c>
      <c r="CK22" s="8">
        <f>Y73/AVERAGE(Y70:Y76)</f>
        <v>6.4204562622752679</v>
      </c>
      <c r="CL22" s="8">
        <f>Y74/AVERAGE(Y71:Y77)</f>
        <v>-1.970188839380437</v>
      </c>
      <c r="CM22" s="8">
        <f>Y75/AVERAGE(Y72:Y78)</f>
        <v>4.6705435556610491</v>
      </c>
      <c r="CN22" s="8">
        <f>Y76/AVERAGE(Y73:Y79)</f>
        <v>-11.648550724637682</v>
      </c>
      <c r="CO22">
        <v>1</v>
      </c>
      <c r="CR22">
        <v>2007</v>
      </c>
      <c r="CS22" s="8">
        <f>AA73/AVERAGE(AA70:AA76)</f>
        <v>0.94043216908221017</v>
      </c>
      <c r="CT22" s="8">
        <f>AA74/AVERAGE(AA71:AA77)</f>
        <v>1.0142791949740926</v>
      </c>
      <c r="CU22" s="8">
        <f>AA75/AVERAGE(AA72:AA78)</f>
        <v>0.99405773687044907</v>
      </c>
      <c r="CV22" s="8">
        <f>AA76/AVERAGE(AA73:AA79)</f>
        <v>1.0429507460058174</v>
      </c>
      <c r="CW22">
        <v>1</v>
      </c>
      <c r="CZ22">
        <v>2007</v>
      </c>
      <c r="DA22" s="8">
        <f>AB73/AVERAGE(AB70:AB76)</f>
        <v>0.97103396163049405</v>
      </c>
      <c r="DB22" s="8">
        <f>AB74/AVERAGE(AB71:AB77)</f>
        <v>0.99303445682108482</v>
      </c>
      <c r="DC22" s="8">
        <f>AB75/AVERAGE(AB72:AB78)</f>
        <v>1.0432934413757291</v>
      </c>
      <c r="DD22" s="8">
        <f>AB76/AVERAGE(AB73:AB79)</f>
        <v>1.0088809961908038</v>
      </c>
      <c r="DE22">
        <v>1</v>
      </c>
      <c r="DH22">
        <v>2007</v>
      </c>
      <c r="DI22" s="8">
        <f>AC73/AVERAGE(AC70:AC76)</f>
        <v>0.98105298232131188</v>
      </c>
      <c r="DJ22" s="8">
        <f>AC74/AVERAGE(AC71:AC77)</f>
        <v>0.98450452172712455</v>
      </c>
      <c r="DK22" s="8">
        <f>AC75/AVERAGE(AC72:AC78)</f>
        <v>1.0145721738993372</v>
      </c>
      <c r="DL22" s="8">
        <f>AC76/AVERAGE(AC73:AC79)</f>
        <v>1.0763672757965594</v>
      </c>
      <c r="DM22">
        <v>1</v>
      </c>
      <c r="DP22">
        <v>2007</v>
      </c>
      <c r="DQ22" s="8">
        <f>AD73/AVERAGE(AD70:AD76)</f>
        <v>1.3768539725600943</v>
      </c>
      <c r="DR22" s="8">
        <f>AD74/AVERAGE(AD71:AD77)</f>
        <v>0.70261737749232944</v>
      </c>
      <c r="DS22" s="8">
        <f>AD75/AVERAGE(AD72:AD78)</f>
        <v>0.80540871074640996</v>
      </c>
      <c r="DT22" s="8">
        <f>AD76/AVERAGE(AD73:AD79)</f>
        <v>1.0441955193482688</v>
      </c>
      <c r="DU22">
        <v>1</v>
      </c>
      <c r="DX22">
        <v>2007</v>
      </c>
      <c r="DY22" s="8">
        <f>AE73/AVERAGE(AE70:AE76)</f>
        <v>0.9443501016118705</v>
      </c>
      <c r="DZ22" s="8">
        <f>AE74/AVERAGE(AE71:AE77)</f>
        <v>1.2155266639820514</v>
      </c>
      <c r="EA22" s="8">
        <f>AE75/AVERAGE(AE72:AE78)</f>
        <v>0.97164208236901539</v>
      </c>
      <c r="EB22" s="8">
        <f>AE76/AVERAGE(AE73:AE79)</f>
        <v>0.92748468682078644</v>
      </c>
      <c r="EC22">
        <v>1</v>
      </c>
      <c r="EF22">
        <v>2007</v>
      </c>
      <c r="EG22" s="8">
        <f>AF73/AVERAGE(AF70:AF76)</f>
        <v>1.1039223855722873</v>
      </c>
      <c r="EH22" s="8">
        <f>AF74/AVERAGE(AF71:AF77)</f>
        <v>0.85855976195999062</v>
      </c>
      <c r="EI22" s="8">
        <f>AF75/AVERAGE(AF72:AF78)</f>
        <v>0.91217064981236418</v>
      </c>
      <c r="EJ22" s="8">
        <f>AF76/AVERAGE(AF73:AF79)</f>
        <v>1.1652519016646457</v>
      </c>
      <c r="EK22">
        <v>1</v>
      </c>
      <c r="EN22">
        <v>2007</v>
      </c>
      <c r="EO22" s="8">
        <f>AG73/AVERAGE(AG70:AG76)</f>
        <v>1.032312887754653</v>
      </c>
      <c r="EP22" s="8">
        <f>AG74/AVERAGE(AG71:AG77)</f>
        <v>0.98444450584367138</v>
      </c>
      <c r="EQ22" s="8">
        <f>AG75/AVERAGE(AG72:AG78)</f>
        <v>0.98541571936206396</v>
      </c>
      <c r="ER22" s="8">
        <f>AG76/AVERAGE(AG73:AG79)</f>
        <v>1.0418011787277552</v>
      </c>
      <c r="ES22">
        <v>1</v>
      </c>
      <c r="EV22">
        <v>2007</v>
      </c>
      <c r="EW22" s="8">
        <f>AH73/AVERAGE(AH70:AH76)</f>
        <v>1.0354645603824568</v>
      </c>
      <c r="EX22" s="8">
        <f>AH74/AVERAGE(AH71:AH77)</f>
        <v>0.89136719033086664</v>
      </c>
      <c r="EY22" s="8">
        <f>AH75/AVERAGE(AH72:AH78)</f>
        <v>1.0323044459115192</v>
      </c>
      <c r="EZ22" s="8">
        <f>AH76/AVERAGE(AH73:AH79)</f>
        <v>1.0782239040492423</v>
      </c>
      <c r="FA22">
        <v>1</v>
      </c>
      <c r="FD22">
        <v>2007</v>
      </c>
      <c r="FE22" s="8">
        <f>AI73/AVERAGE(AI70:AI76)</f>
        <v>1.0118209898046866</v>
      </c>
      <c r="FF22" s="8">
        <f>AI74/AVERAGE(AI71:AI77)</f>
        <v>0.9920040285047228</v>
      </c>
      <c r="FG22" s="8">
        <f>AI75/AVERAGE(AI72:AI78)</f>
        <v>0.97671470610427835</v>
      </c>
      <c r="FH22" s="8">
        <f>AI76/AVERAGE(AI73:AI79)</f>
        <v>1.0310611824732578</v>
      </c>
      <c r="FI22">
        <v>1</v>
      </c>
    </row>
    <row r="23" spans="1:165" x14ac:dyDescent="0.35">
      <c r="A23" t="s">
        <v>188</v>
      </c>
      <c r="B23" t="str">
        <f t="shared" si="17"/>
        <v>1994</v>
      </c>
      <c r="C23" t="str">
        <f t="shared" si="18"/>
        <v>Q3</v>
      </c>
      <c r="D23" s="13">
        <f>HAVERQ!C29</f>
        <v>229961</v>
      </c>
      <c r="E23" s="13">
        <f>HAVERQ!D29</f>
        <v>7478</v>
      </c>
      <c r="F23" s="13">
        <f>HAVERQ!E29</f>
        <v>81861</v>
      </c>
      <c r="G23" s="13">
        <f>HAVERQ!F29</f>
        <v>67262</v>
      </c>
      <c r="H23" s="13">
        <f>HAVERQ!G29</f>
        <v>3711</v>
      </c>
      <c r="I23" s="13">
        <f>HAVERQ!H29</f>
        <v>-453</v>
      </c>
      <c r="J23" s="13">
        <f>HAVERQ!I29</f>
        <v>82678</v>
      </c>
      <c r="K23" s="13">
        <f>HAVERQ!J29</f>
        <v>73776</v>
      </c>
      <c r="L23" s="13" t="e">
        <f>HAVERQ!U29</f>
        <v>#N/A</v>
      </c>
      <c r="M23" s="13" t="e">
        <f>HAVERQ!V29</f>
        <v>#N/A</v>
      </c>
      <c r="N23" s="13" t="e">
        <f>HAVERQ!Y29</f>
        <v>#N/A</v>
      </c>
      <c r="O23" s="13" t="e">
        <f>HAVERQ!Z29</f>
        <v>#N/A</v>
      </c>
      <c r="P23" s="13" t="e">
        <f>HAVERQ!AA29</f>
        <v>#N/A</v>
      </c>
      <c r="Q23" s="13" t="e">
        <f>HAVERQ!AB29</f>
        <v>#N/A</v>
      </c>
      <c r="R23" s="13" t="e">
        <f>HAVERQ!AC29</f>
        <v>#N/A</v>
      </c>
      <c r="U23" s="13">
        <f>HAVERQ!M29</f>
        <v>236996</v>
      </c>
      <c r="V23" s="13">
        <f>HAVERQ!N29</f>
        <v>7537</v>
      </c>
      <c r="W23" s="13">
        <f>HAVERQ!O29</f>
        <v>81573</v>
      </c>
      <c r="X23" s="13">
        <f>HAVERQ!P29</f>
        <v>67258</v>
      </c>
      <c r="Y23" s="13">
        <f>HAVERQ!Q29</f>
        <v>3757</v>
      </c>
      <c r="Z23" s="13">
        <f>HAVERQ!R29</f>
        <v>-452</v>
      </c>
      <c r="AA23" s="13">
        <f>HAVERQ!S29</f>
        <v>83778</v>
      </c>
      <c r="AB23" s="13">
        <f>HAVERQ!T29</f>
        <v>75582</v>
      </c>
      <c r="AC23" s="13" t="e">
        <f>HAVERQ!W29</f>
        <v>#N/A</v>
      </c>
      <c r="AD23" s="13" t="e">
        <f>HAVERQ!X29</f>
        <v>#N/A</v>
      </c>
      <c r="AE23" s="13" t="e">
        <f>HAVERQ!AD29</f>
        <v>#N/A</v>
      </c>
      <c r="AF23" s="13" t="e">
        <f>HAVERQ!AE29</f>
        <v>#N/A</v>
      </c>
      <c r="AG23" s="13" t="e">
        <f>HAVERQ!AF29</f>
        <v>#N/A</v>
      </c>
      <c r="AH23" s="13" t="e">
        <f>HAVERQ!AG29</f>
        <v>#N/A</v>
      </c>
      <c r="AI23" s="13" t="e">
        <f>HAVERQ!AH29</f>
        <v>#N/A</v>
      </c>
      <c r="AL23">
        <v>2008</v>
      </c>
      <c r="AM23" s="15">
        <f t="shared" ca="1" si="27"/>
        <v>1.0284232112754383</v>
      </c>
      <c r="AN23" s="15">
        <f t="shared" ca="1" si="42"/>
        <v>1</v>
      </c>
      <c r="AO23" s="15">
        <f t="shared" ca="1" si="29"/>
        <v>0.99471738888078964</v>
      </c>
      <c r="AP23" s="15">
        <f t="shared" ca="1" si="30"/>
        <v>0.94892568463103666</v>
      </c>
      <c r="AQ23" s="15">
        <f t="shared" ca="1" si="31"/>
        <v>-3.5800766283524905</v>
      </c>
      <c r="AR23" s="15">
        <f t="shared" ca="1" si="32"/>
        <v>1.2849872773536897</v>
      </c>
      <c r="AS23" s="15">
        <f t="shared" ca="1" si="33"/>
        <v>1.0298164014687883</v>
      </c>
      <c r="AT23" s="15">
        <f t="shared" ca="1" si="34"/>
        <v>1.0224994107728846</v>
      </c>
      <c r="AU23" s="15">
        <f t="shared" ca="1" si="35"/>
        <v>0.97743049041311769</v>
      </c>
      <c r="AV23" s="15">
        <f t="shared" ca="1" si="36"/>
        <v>0.78937461766505101</v>
      </c>
      <c r="AW23" s="15">
        <f t="shared" ca="1" si="37"/>
        <v>1.1368909512761021</v>
      </c>
      <c r="AX23" s="15">
        <f t="shared" ca="1" si="38"/>
        <v>0.91769140164899887</v>
      </c>
      <c r="AY23" s="15">
        <f t="shared" ca="1" si="39"/>
        <v>0.98831498059098466</v>
      </c>
      <c r="AZ23" s="15">
        <f t="shared" ca="1" si="40"/>
        <v>0.91082852855224705</v>
      </c>
      <c r="BA23" s="15">
        <f t="shared" ca="1" si="41"/>
        <v>0.97591766375988642</v>
      </c>
      <c r="BD23">
        <v>2008</v>
      </c>
      <c r="BE23" s="8">
        <f>U77/AVERAGE(U74:U80)</f>
        <v>0.98692551020158148</v>
      </c>
      <c r="BF23" s="8">
        <f>U78/AVERAGE(U75:U81)</f>
        <v>1.0000514340639988</v>
      </c>
      <c r="BG23" s="8">
        <f>U79/AVERAGE(U76:U82)</f>
        <v>1.0115318002541724</v>
      </c>
      <c r="BH23" s="8">
        <f>U80/AVERAGE(U77:U83)</f>
        <v>1.0161405791837455</v>
      </c>
      <c r="BI23">
        <v>1</v>
      </c>
      <c r="BL23">
        <v>2008</v>
      </c>
      <c r="BM23" s="8">
        <f>V77/AVERAGE(V74:V80)</f>
        <v>0.97530629689429194</v>
      </c>
      <c r="BN23" s="8">
        <f>V78/AVERAGE(V75:V81)</f>
        <v>0.9889956475322329</v>
      </c>
      <c r="BO23" s="8">
        <f>V79/AVERAGE(V76:V82)</f>
        <v>1.0006953135864276</v>
      </c>
      <c r="BP23" s="8">
        <f>V80/AVERAGE(V77:V83)</f>
        <v>1.0008871096149035</v>
      </c>
      <c r="BQ23">
        <v>1</v>
      </c>
      <c r="BT23">
        <v>2008</v>
      </c>
      <c r="BU23" s="8">
        <f>W77/AVERAGE(W74:W80)</f>
        <v>1.008059406943242</v>
      </c>
      <c r="BV23" s="8">
        <f>W78/AVERAGE(W75:W81)</f>
        <v>0.98859134591201148</v>
      </c>
      <c r="BW23" s="8">
        <f>W79/AVERAGE(W76:W82)</f>
        <v>1.0012935613199465</v>
      </c>
      <c r="BX23" s="8">
        <f>W80/AVERAGE(W77:W83)</f>
        <v>1.0111827155622777</v>
      </c>
      <c r="BY23">
        <v>1</v>
      </c>
      <c r="CB23">
        <v>2008</v>
      </c>
      <c r="CC23" s="8">
        <f>X77/AVERAGE(X74:X80)</f>
        <v>1.0658421885148166</v>
      </c>
      <c r="CD23" s="8">
        <f>X78/AVERAGE(X75:X81)</f>
        <v>0.97698897747124858</v>
      </c>
      <c r="CE23" s="8">
        <f>X79/AVERAGE(X76:X82)</f>
        <v>0.99086398511362683</v>
      </c>
      <c r="CF23" s="8">
        <f>X80/AVERAGE(X77:X83)</f>
        <v>1.0230602123582371</v>
      </c>
      <c r="CG23">
        <v>1</v>
      </c>
      <c r="CJ23">
        <v>2008</v>
      </c>
      <c r="CK23" s="8">
        <f>Y77/AVERAGE(Y74:Y80)</f>
        <v>-0.61511009359639091</v>
      </c>
      <c r="CL23" s="8">
        <f>Y78/AVERAGE(Y75:Y81)</f>
        <v>0.14121466971842234</v>
      </c>
      <c r="CM23" s="8">
        <f>Y79/AVERAGE(Y76:Y82)</f>
        <v>-0.75732405045839934</v>
      </c>
      <c r="CN23" s="8">
        <f>Y80/AVERAGE(Y77:Y83)</f>
        <v>3.0932792786495651</v>
      </c>
      <c r="CO23">
        <v>1</v>
      </c>
      <c r="CR23">
        <v>2008</v>
      </c>
      <c r="CS23" s="8">
        <f>AA77/AVERAGE(AA74:AA80)</f>
        <v>0.98288754797140887</v>
      </c>
      <c r="CT23" s="8">
        <f>AA78/AVERAGE(AA75:AA81)</f>
        <v>1.0339518213293022</v>
      </c>
      <c r="CU23" s="8">
        <f>AA79/AVERAGE(AA76:AA82)</f>
        <v>1.0419874775114122</v>
      </c>
      <c r="CV23" s="8">
        <f>AA80/AVERAGE(AA77:AA83)</f>
        <v>1.02726474510536</v>
      </c>
      <c r="CW23">
        <v>1</v>
      </c>
      <c r="CZ23">
        <v>2008</v>
      </c>
      <c r="DA23" s="8">
        <f>AB77/AVERAGE(AB74:AB80)</f>
        <v>0.99599468595087504</v>
      </c>
      <c r="DB23" s="8">
        <f>AB78/AVERAGE(AB75:AB81)</f>
        <v>1.0276614464498626</v>
      </c>
      <c r="DC23" s="8">
        <f>AB79/AVERAGE(AB76:AB82)</f>
        <v>1.0513065115619744</v>
      </c>
      <c r="DD23" s="8">
        <f>AB80/AVERAGE(AB77:AB83)</f>
        <v>0.98234766589412381</v>
      </c>
      <c r="DE23">
        <v>1</v>
      </c>
      <c r="DH23">
        <v>2008</v>
      </c>
      <c r="DI23" s="8">
        <f>AC77/AVERAGE(AC74:AC80)</f>
        <v>0.97274538021941348</v>
      </c>
      <c r="DJ23" s="8">
        <f>AC78/AVERAGE(AC75:AC81)</f>
        <v>1.0315990193407791</v>
      </c>
      <c r="DK23" s="8">
        <f>AC79/AVERAGE(AC76:AC82)</f>
        <v>1.034765441740767</v>
      </c>
      <c r="DL23" s="8">
        <f>AC80/AVERAGE(AC77:AC83)</f>
        <v>1.042827574779754</v>
      </c>
      <c r="DM23">
        <v>1</v>
      </c>
      <c r="DP23">
        <v>2008</v>
      </c>
      <c r="DQ23" s="8">
        <f>AD77/AVERAGE(AD74:AD80)</f>
        <v>1.4509480706956421</v>
      </c>
      <c r="DR23" s="8">
        <f>AD78/AVERAGE(AD75:AD81)</f>
        <v>0.73769300635785651</v>
      </c>
      <c r="DS23" s="8">
        <f>AD79/AVERAGE(AD76:AD82)</f>
        <v>0.88786178812896799</v>
      </c>
      <c r="DT23" s="8">
        <f>AD80/AVERAGE(AD77:AD83)</f>
        <v>1.0154779068781274</v>
      </c>
      <c r="DU23">
        <v>1</v>
      </c>
      <c r="DX23">
        <v>2008</v>
      </c>
      <c r="DY23" s="8">
        <f>AE77/AVERAGE(AE74:AE80)</f>
        <v>0.76922859004504385</v>
      </c>
      <c r="DZ23" s="8">
        <f>AE78/AVERAGE(AE75:AE81)</f>
        <v>1.3537964946152221</v>
      </c>
      <c r="EA23" s="8">
        <f>AE79/AVERAGE(AE76:AE82)</f>
        <v>0.95555025919084791</v>
      </c>
      <c r="EB23" s="8">
        <f>AE80/AVERAGE(AE77:AE83)</f>
        <v>0.9932034163358594</v>
      </c>
      <c r="EC23">
        <v>1</v>
      </c>
      <c r="EF23">
        <v>2008</v>
      </c>
      <c r="EG23" s="8">
        <f>AF77/AVERAGE(AF74:AF80)</f>
        <v>1.1724761085551496</v>
      </c>
      <c r="EH23" s="8">
        <f>AF78/AVERAGE(AF75:AF81)</f>
        <v>0.90648485080629726</v>
      </c>
      <c r="EI23" s="8">
        <f>AF79/AVERAGE(AF76:AF82)</f>
        <v>0.9615765262899536</v>
      </c>
      <c r="EJ23" s="8">
        <f>AF80/AVERAGE(AF77:AF83)</f>
        <v>1.0731191636812123</v>
      </c>
      <c r="EK23">
        <v>1</v>
      </c>
      <c r="EN23">
        <v>2008</v>
      </c>
      <c r="EO23" s="8">
        <f>AG77/AVERAGE(AG74:AG80)</f>
        <v>1.046001775673276</v>
      </c>
      <c r="EP23" s="8">
        <f>AG78/AVERAGE(AG75:AG81)</f>
        <v>1.003654102755573</v>
      </c>
      <c r="EQ23" s="8">
        <f>AG79/AVERAGE(AG76:AG82)</f>
        <v>0.99454532635100923</v>
      </c>
      <c r="ER23" s="8">
        <f>AG80/AVERAGE(AG77:AG83)</f>
        <v>1.0201627000134463</v>
      </c>
      <c r="ES23">
        <v>1</v>
      </c>
      <c r="EV23">
        <v>2008</v>
      </c>
      <c r="EW23" s="8">
        <f>AH77/AVERAGE(AH74:AH80)</f>
        <v>1.0916492513107707</v>
      </c>
      <c r="EX23" s="8">
        <f>AH78/AVERAGE(AH75:AH81)</f>
        <v>0.93907925059660013</v>
      </c>
      <c r="EY23" s="8">
        <f>AH79/AVERAGE(AH76:AH82)</f>
        <v>1.0119086113002043</v>
      </c>
      <c r="EZ23" s="8">
        <f>AH80/AVERAGE(AH77:AH83)</f>
        <v>1.0071525557356227</v>
      </c>
      <c r="FA23">
        <v>1</v>
      </c>
      <c r="FD23">
        <v>2008</v>
      </c>
      <c r="FE23" s="8">
        <f>AI77/AVERAGE(AI74:AI80)</f>
        <v>1.0203149594661505</v>
      </c>
      <c r="FF23" s="8">
        <f>AI78/AVERAGE(AI75:AI81)</f>
        <v>0.98337150108668692</v>
      </c>
      <c r="FG23" s="8">
        <f>AI79/AVERAGE(AI76:AI82)</f>
        <v>0.99401197604790414</v>
      </c>
      <c r="FH23" s="8">
        <f>AI80/AVERAGE(AI77:AI83)</f>
        <v>1.0108158622987873</v>
      </c>
      <c r="FI23">
        <v>1</v>
      </c>
    </row>
    <row r="24" spans="1:165" x14ac:dyDescent="0.35">
      <c r="A24" t="s">
        <v>189</v>
      </c>
      <c r="B24" t="str">
        <f t="shared" si="17"/>
        <v>1994</v>
      </c>
      <c r="C24" t="str">
        <f t="shared" si="18"/>
        <v>Q4</v>
      </c>
      <c r="D24" s="13">
        <f>HAVERQ!C30</f>
        <v>231570</v>
      </c>
      <c r="E24" s="13">
        <f>HAVERQ!D30</f>
        <v>7647</v>
      </c>
      <c r="F24" s="13">
        <f>HAVERQ!E30</f>
        <v>81569</v>
      </c>
      <c r="G24" s="13">
        <f>HAVERQ!F30</f>
        <v>67628</v>
      </c>
      <c r="H24" s="13">
        <f>HAVERQ!G30</f>
        <v>5432</v>
      </c>
      <c r="I24" s="13">
        <f>HAVERQ!H30</f>
        <v>2569</v>
      </c>
      <c r="J24" s="13">
        <f>HAVERQ!I30</f>
        <v>84800</v>
      </c>
      <c r="K24" s="13">
        <f>HAVERQ!J30</f>
        <v>76803</v>
      </c>
      <c r="L24" s="13" t="e">
        <f>HAVERQ!U30</f>
        <v>#N/A</v>
      </c>
      <c r="M24" s="13" t="e">
        <f>HAVERQ!V30</f>
        <v>#N/A</v>
      </c>
      <c r="N24" s="13" t="e">
        <f>HAVERQ!Y30</f>
        <v>#N/A</v>
      </c>
      <c r="O24" s="13" t="e">
        <f>HAVERQ!Z30</f>
        <v>#N/A</v>
      </c>
      <c r="P24" s="13" t="e">
        <f>HAVERQ!AA30</f>
        <v>#N/A</v>
      </c>
      <c r="Q24" s="13" t="e">
        <f>HAVERQ!AB30</f>
        <v>#N/A</v>
      </c>
      <c r="R24" s="13" t="e">
        <f>HAVERQ!AC30</f>
        <v>#N/A</v>
      </c>
      <c r="U24" s="13">
        <f>HAVERQ!M30</f>
        <v>239217</v>
      </c>
      <c r="V24" s="13">
        <f>HAVERQ!N30</f>
        <v>7642</v>
      </c>
      <c r="W24" s="13">
        <f>HAVERQ!O30</f>
        <v>81760</v>
      </c>
      <c r="X24" s="13">
        <f>HAVERQ!P30</f>
        <v>67612</v>
      </c>
      <c r="Y24" s="13">
        <f>HAVERQ!Q30</f>
        <v>3534</v>
      </c>
      <c r="Z24" s="13">
        <f>HAVERQ!R30</f>
        <v>2568</v>
      </c>
      <c r="AA24" s="13">
        <f>HAVERQ!S30</f>
        <v>86214</v>
      </c>
      <c r="AB24" s="13">
        <f>HAVERQ!T30</f>
        <v>75685</v>
      </c>
      <c r="AC24" s="13" t="e">
        <f>HAVERQ!W30</f>
        <v>#N/A</v>
      </c>
      <c r="AD24" s="13" t="e">
        <f>HAVERQ!X30</f>
        <v>#N/A</v>
      </c>
      <c r="AE24" s="13" t="e">
        <f>HAVERQ!AD30</f>
        <v>#N/A</v>
      </c>
      <c r="AF24" s="13" t="e">
        <f>HAVERQ!AE30</f>
        <v>#N/A</v>
      </c>
      <c r="AG24" s="13" t="e">
        <f>HAVERQ!AF30</f>
        <v>#N/A</v>
      </c>
      <c r="AH24" s="13" t="e">
        <f>HAVERQ!AG30</f>
        <v>#N/A</v>
      </c>
      <c r="AI24" s="13" t="e">
        <f>HAVERQ!AH30</f>
        <v>#N/A</v>
      </c>
      <c r="AL24">
        <v>2009</v>
      </c>
      <c r="AM24" s="15">
        <f t="shared" ca="1" si="27"/>
        <v>1.0248104204994641</v>
      </c>
      <c r="AN24" s="15">
        <f t="shared" ca="1" si="42"/>
        <v>1</v>
      </c>
      <c r="AO24" s="15">
        <f t="shared" ca="1" si="29"/>
        <v>0.99048667546285019</v>
      </c>
      <c r="AP24" s="15">
        <f t="shared" ca="1" si="30"/>
        <v>0.9527782150165276</v>
      </c>
      <c r="AQ24" s="15">
        <f t="shared" ca="1" si="31"/>
        <v>1.1540446198209136</v>
      </c>
      <c r="AR24" s="15">
        <f t="shared" ca="1" si="32"/>
        <v>1.096168881939015</v>
      </c>
      <c r="AS24" s="15">
        <f t="shared" ca="1" si="33"/>
        <v>1.0323845846942432</v>
      </c>
      <c r="AT24" s="15">
        <f t="shared" ca="1" si="34"/>
        <v>1.0207754246259126</v>
      </c>
      <c r="AU24" s="15">
        <f t="shared" ca="1" si="35"/>
        <v>1.019804272335052</v>
      </c>
      <c r="AV24" s="15">
        <f t="shared" ca="1" si="36"/>
        <v>0.75342937002795096</v>
      </c>
      <c r="AW24" s="15">
        <f t="shared" ca="1" si="37"/>
        <v>1.1240030872137896</v>
      </c>
      <c r="AX24" s="15">
        <f t="shared" ca="1" si="38"/>
        <v>0.90067885117493474</v>
      </c>
      <c r="AY24" s="15">
        <f t="shared" ca="1" si="39"/>
        <v>0.99441593721702382</v>
      </c>
      <c r="AZ24" s="15">
        <f t="shared" ca="1" si="40"/>
        <v>0.92131603336422618</v>
      </c>
      <c r="BA24" s="15">
        <f t="shared" ca="1" si="41"/>
        <v>0.97776032205802932</v>
      </c>
      <c r="BD24">
        <v>2009</v>
      </c>
      <c r="BE24" s="8">
        <f>U81/AVERAGE(U78:U84)</f>
        <v>0.95921716278960145</v>
      </c>
      <c r="BF24" s="8">
        <f>U82/AVERAGE(U79:U85)</f>
        <v>0.97948811537245428</v>
      </c>
      <c r="BG24" s="8">
        <f>U83/AVERAGE(U80:U86)</f>
        <v>1.0012618406616556</v>
      </c>
      <c r="BH24" s="8">
        <f>U84/AVERAGE(U81:U87)</f>
        <v>1.0266031960704527</v>
      </c>
      <c r="BI24">
        <v>1</v>
      </c>
      <c r="BL24">
        <v>2009</v>
      </c>
      <c r="BM24" s="8">
        <f>V81/AVERAGE(V78:V84)</f>
        <v>0.99612143907984485</v>
      </c>
      <c r="BN24" s="8">
        <f>V82/AVERAGE(V79:V85)</f>
        <v>0.99889253171635661</v>
      </c>
      <c r="BO24" s="8">
        <f>V83/AVERAGE(V80:V86)</f>
        <v>1.0192049684064746</v>
      </c>
      <c r="BP24" s="8">
        <f>V84/AVERAGE(V81:V87)</f>
        <v>1.0131214509522943</v>
      </c>
      <c r="BQ24">
        <v>1</v>
      </c>
      <c r="BT24">
        <v>2009</v>
      </c>
      <c r="BU24" s="8">
        <f>W81/AVERAGE(W78:W84)</f>
        <v>1.0104142405186134</v>
      </c>
      <c r="BV24" s="8">
        <f>W82/AVERAGE(W79:W85)</f>
        <v>0.98661793734525749</v>
      </c>
      <c r="BW24" s="8">
        <f>W83/AVERAGE(W80:W86)</f>
        <v>0.99723384166818396</v>
      </c>
      <c r="BX24" s="8">
        <f>W84/AVERAGE(W81:W87)</f>
        <v>1.0121484711202209</v>
      </c>
      <c r="BY24">
        <v>1</v>
      </c>
      <c r="CB24">
        <v>2009</v>
      </c>
      <c r="CC24" s="8">
        <f>X81/AVERAGE(X78:X84)</f>
        <v>1.0343969371188262</v>
      </c>
      <c r="CD24" s="8">
        <f>X82/AVERAGE(X79:X85)</f>
        <v>0.89265697210720096</v>
      </c>
      <c r="CE24" s="8">
        <f>X83/AVERAGE(X80:X86)</f>
        <v>0.97992975975150687</v>
      </c>
      <c r="CF24" s="8">
        <f>X84/AVERAGE(X81:X87)</f>
        <v>0.99763375349687633</v>
      </c>
      <c r="CG24">
        <v>1</v>
      </c>
      <c r="CJ24">
        <v>2009</v>
      </c>
      <c r="CK24" s="8">
        <f>Y81/AVERAGE(Y78:Y84)</f>
        <v>1.1859556195520815</v>
      </c>
      <c r="CL24" s="8">
        <f>Y82/AVERAGE(Y79:Y85)</f>
        <v>1.2362354734235093</v>
      </c>
      <c r="CM24" s="8">
        <f>Y83/AVERAGE(Y80:Y86)</f>
        <v>0.85545465601816195</v>
      </c>
      <c r="CN24" s="8">
        <f>Y84/AVERAGE(Y81:Y87)</f>
        <v>1.9119965906669507</v>
      </c>
      <c r="CO24">
        <v>1</v>
      </c>
      <c r="CR24">
        <v>2009</v>
      </c>
      <c r="CS24" s="8">
        <f>AA81/AVERAGE(AA78:AA84)</f>
        <v>0.92638850481516588</v>
      </c>
      <c r="CT24" s="8">
        <f>AA82/AVERAGE(AA79:AA85)</f>
        <v>0.96910302684616179</v>
      </c>
      <c r="CU24" s="8">
        <f>AA83/AVERAGE(AA80:AA86)</f>
        <v>0.97461359375171308</v>
      </c>
      <c r="CV24" s="8">
        <f>AA84/AVERAGE(AA81:AA87)</f>
        <v>1.031111590142866</v>
      </c>
      <c r="CW24">
        <v>1</v>
      </c>
      <c r="CZ24">
        <v>2009</v>
      </c>
      <c r="DA24" s="8">
        <f>AB81/AVERAGE(AB78:AB84)</f>
        <v>0.92941188205359782</v>
      </c>
      <c r="DB24" s="8">
        <f>AB82/AVERAGE(AB79:AB85)</f>
        <v>0.95554750084880291</v>
      </c>
      <c r="DC24" s="8">
        <f>AB83/AVERAGE(AB80:AB86)</f>
        <v>1.0166354741917245</v>
      </c>
      <c r="DD24" s="8">
        <f>AB84/AVERAGE(AB81:AB87)</f>
        <v>1.001517322615276</v>
      </c>
      <c r="DE24">
        <v>1</v>
      </c>
      <c r="DH24">
        <v>2009</v>
      </c>
      <c r="DI24" s="8">
        <f>AC81/AVERAGE(AC78:AC84)</f>
        <v>0.95170308225841516</v>
      </c>
      <c r="DJ24" s="8">
        <f>AC82/AVERAGE(AC79:AC85)</f>
        <v>0.9442203628355581</v>
      </c>
      <c r="DK24" s="8">
        <f>AC83/AVERAGE(AC80:AC86)</f>
        <v>0.97935551130870668</v>
      </c>
      <c r="DL24" s="8">
        <f>AC84/AVERAGE(AC81:AC87)</f>
        <v>1.0064738368334534</v>
      </c>
      <c r="DM24">
        <v>1</v>
      </c>
      <c r="DP24">
        <v>2009</v>
      </c>
      <c r="DQ24" s="8">
        <f>AD81/AVERAGE(AD78:AD84)</f>
        <v>1.4262871061577822</v>
      </c>
      <c r="DR24" s="8">
        <f>AD82/AVERAGE(AD79:AD85)</f>
        <v>0.69027893175074184</v>
      </c>
      <c r="DS24" s="8">
        <f>AD83/AVERAGE(AD80:AD86)</f>
        <v>0.94621091467855389</v>
      </c>
      <c r="DT24" s="8">
        <f>AD84/AVERAGE(AD81:AD87)</f>
        <v>0.98158982384334492</v>
      </c>
      <c r="DU24">
        <v>1</v>
      </c>
      <c r="DX24">
        <v>2009</v>
      </c>
      <c r="DY24" s="8">
        <f>AE81/AVERAGE(AE78:AE84)</f>
        <v>0.81635163516351628</v>
      </c>
      <c r="DZ24" s="8">
        <f>AE82/AVERAGE(AE79:AE85)</f>
        <v>1.218422326181642</v>
      </c>
      <c r="EA24" s="8">
        <f>AE83/AVERAGE(AE80:AE86)</f>
        <v>0.99432463110102154</v>
      </c>
      <c r="EB24" s="8">
        <f>AE84/AVERAGE(AE81:AE87)</f>
        <v>0.8982391283198754</v>
      </c>
      <c r="EC24">
        <v>1</v>
      </c>
      <c r="EF24">
        <v>2009</v>
      </c>
      <c r="EG24" s="8">
        <f>AF81/AVERAGE(AF78:AF84)</f>
        <v>1.18416635748485</v>
      </c>
      <c r="EH24" s="8">
        <f>AF82/AVERAGE(AF79:AF85)</f>
        <v>0.75422656497135421</v>
      </c>
      <c r="EI24" s="8">
        <f>AF83/AVERAGE(AF80:AF86)</f>
        <v>0.90526199323234091</v>
      </c>
      <c r="EJ24" s="8">
        <f>AF84/AVERAGE(AF81:AF87)</f>
        <v>1.032414801049198</v>
      </c>
      <c r="EK24">
        <v>1</v>
      </c>
      <c r="EN24">
        <v>2009</v>
      </c>
      <c r="EO24" s="8">
        <f>AG81/AVERAGE(AG78:AG84)</f>
        <v>0.98431697120179962</v>
      </c>
      <c r="EP24" s="8">
        <f>AG82/AVERAGE(AG79:AG85)</f>
        <v>0.91509211147850722</v>
      </c>
      <c r="EQ24" s="8">
        <f>AG83/AVERAGE(AG80:AG86)</f>
        <v>0.99253612106548572</v>
      </c>
      <c r="ER24" s="8">
        <f>AG84/AVERAGE(AG81:AG87)</f>
        <v>0.96861448395490024</v>
      </c>
      <c r="ES24">
        <v>1</v>
      </c>
      <c r="EV24">
        <v>2009</v>
      </c>
      <c r="EW24" s="8">
        <f>AH81/AVERAGE(AH78:AH84)</f>
        <v>1.0219554216541435</v>
      </c>
      <c r="EX24" s="8">
        <f>AH82/AVERAGE(AH79:AH85)</f>
        <v>0.85477197085544665</v>
      </c>
      <c r="EY24" s="8">
        <f>AH83/AVERAGE(AH80:AH86)</f>
        <v>1.0145318595578674</v>
      </c>
      <c r="EZ24" s="8">
        <f>AH84/AVERAGE(AH81:AH87)</f>
        <v>1.0217968448509138</v>
      </c>
      <c r="FA24">
        <v>1</v>
      </c>
      <c r="FD24">
        <v>2009</v>
      </c>
      <c r="FE24" s="8">
        <f>AI81/AVERAGE(AI78:AI84)</f>
        <v>1.0300007223867658</v>
      </c>
      <c r="FF24" s="8">
        <f>AI82/AVERAGE(AI79:AI85)</f>
        <v>0.96124185282849894</v>
      </c>
      <c r="FG24" s="8">
        <f>AI83/AVERAGE(AI80:AI86)</f>
        <v>0.97787884761609745</v>
      </c>
      <c r="FH24" s="8">
        <f>AI84/AVERAGE(AI81:AI87)</f>
        <v>0.98256239925755873</v>
      </c>
      <c r="FI24">
        <v>1</v>
      </c>
    </row>
    <row r="25" spans="1:165" x14ac:dyDescent="0.35">
      <c r="A25" t="s">
        <v>190</v>
      </c>
      <c r="B25" t="str">
        <f t="shared" si="17"/>
        <v>1995</v>
      </c>
      <c r="C25" t="str">
        <f t="shared" si="18"/>
        <v>Q1</v>
      </c>
      <c r="D25" s="13">
        <f>HAVERQ!C31</f>
        <v>231674</v>
      </c>
      <c r="E25" s="13">
        <f>HAVERQ!D31</f>
        <v>8007</v>
      </c>
      <c r="F25" s="13">
        <f>HAVERQ!E31</f>
        <v>82420</v>
      </c>
      <c r="G25" s="13">
        <f>HAVERQ!F31</f>
        <v>66753</v>
      </c>
      <c r="H25" s="13">
        <f>HAVERQ!G31</f>
        <v>-1682</v>
      </c>
      <c r="I25" s="13">
        <f>HAVERQ!H31</f>
        <v>358</v>
      </c>
      <c r="J25" s="13">
        <f>HAVERQ!I31</f>
        <v>88448</v>
      </c>
      <c r="K25" s="13">
        <f>HAVERQ!J31</f>
        <v>75480</v>
      </c>
      <c r="L25" s="13" t="e">
        <f>HAVERQ!U31</f>
        <v>#N/A</v>
      </c>
      <c r="M25" s="13" t="e">
        <f>HAVERQ!V31</f>
        <v>#N/A</v>
      </c>
      <c r="N25" s="13" t="e">
        <f>HAVERQ!Y31</f>
        <v>#N/A</v>
      </c>
      <c r="O25" s="13" t="e">
        <f>HAVERQ!Z31</f>
        <v>#N/A</v>
      </c>
      <c r="P25" s="13" t="e">
        <f>HAVERQ!AA31</f>
        <v>#N/A</v>
      </c>
      <c r="Q25" s="13" t="e">
        <f>HAVERQ!AB31</f>
        <v>#N/A</v>
      </c>
      <c r="R25" s="13" t="e">
        <f>HAVERQ!AC31</f>
        <v>#N/A</v>
      </c>
      <c r="U25" s="13">
        <f>HAVERQ!M31</f>
        <v>220666</v>
      </c>
      <c r="V25" s="13">
        <f>HAVERQ!N31</f>
        <v>7939</v>
      </c>
      <c r="W25" s="13">
        <f>HAVERQ!O31</f>
        <v>82399</v>
      </c>
      <c r="X25" s="13">
        <f>HAVERQ!P31</f>
        <v>66711</v>
      </c>
      <c r="Y25" s="13">
        <f>HAVERQ!Q31</f>
        <v>-3006</v>
      </c>
      <c r="Z25" s="13">
        <f>HAVERQ!R31</f>
        <v>358</v>
      </c>
      <c r="AA25" s="13">
        <f>HAVERQ!S31</f>
        <v>87295</v>
      </c>
      <c r="AB25" s="13">
        <f>HAVERQ!T31</f>
        <v>73103</v>
      </c>
      <c r="AC25" s="13" t="e">
        <f>HAVERQ!W31</f>
        <v>#N/A</v>
      </c>
      <c r="AD25" s="13" t="e">
        <f>HAVERQ!X31</f>
        <v>#N/A</v>
      </c>
      <c r="AE25" s="13" t="e">
        <f>HAVERQ!AD31</f>
        <v>#N/A</v>
      </c>
      <c r="AF25" s="13" t="e">
        <f>HAVERQ!AE31</f>
        <v>#N/A</v>
      </c>
      <c r="AG25" s="13" t="e">
        <f>HAVERQ!AF31</f>
        <v>#N/A</v>
      </c>
      <c r="AH25" s="13" t="e">
        <f>HAVERQ!AG31</f>
        <v>#N/A</v>
      </c>
      <c r="AI25" s="13" t="e">
        <f>HAVERQ!AH31</f>
        <v>#N/A</v>
      </c>
      <c r="AL25">
        <v>2010</v>
      </c>
      <c r="AM25" s="15">
        <f t="shared" ca="1" si="27"/>
        <v>1.026141355147324</v>
      </c>
      <c r="AN25" s="15">
        <f t="shared" ca="1" si="42"/>
        <v>1</v>
      </c>
      <c r="AO25" s="15">
        <f t="shared" ca="1" si="29"/>
        <v>0.9865335073103817</v>
      </c>
      <c r="AP25" s="15">
        <f t="shared" ref="AP25:AP40" ca="1" si="43">OFFSET(G$5, (ROW(G21)-1)*4,0)/OFFSET(X$5, (ROW(X21)-1)*4,0)</f>
        <v>0.95826546147540115</v>
      </c>
      <c r="AQ25" s="15">
        <f t="shared" ref="AQ25:AQ40" ca="1" si="44">OFFSET(H$5, (ROW(H21)-1)*4,0)/OFFSET(Y$5, (ROW(Y21)-1)*4,0)</f>
        <v>0.69137931034482758</v>
      </c>
      <c r="AR25" s="15">
        <f t="shared" ref="AR25:AR40" ca="1" si="45">OFFSET(I$5, (ROW(I21)-1)*4,0)/OFFSET(Z$5, (ROW(Z21)-1)*4,0)</f>
        <v>0.76923076923076927</v>
      </c>
      <c r="AS25" s="15">
        <f t="shared" ref="AS25:AS40" ca="1" si="46">OFFSET(J$5, (ROW(J21)-1)*4,0)/OFFSET(AA$5, (ROW(AA21)-1)*4,0)</f>
        <v>1.0307114002858393</v>
      </c>
      <c r="AT25" s="15">
        <f t="shared" ref="AT25:AT40" ca="1" si="47">OFFSET(K$5, (ROW(K21)-1)*4,0)/OFFSET(AB$5, (ROW(AB21)-1)*4,0)</f>
        <v>1.0256768862908372</v>
      </c>
      <c r="AU25" s="15">
        <f t="shared" ca="1" si="35"/>
        <v>1.0274963505239993</v>
      </c>
      <c r="AV25" s="15">
        <f t="shared" ca="1" si="36"/>
        <v>0.76463604356014081</v>
      </c>
      <c r="AW25" s="15">
        <f t="shared" ca="1" si="37"/>
        <v>1.1278213935230619</v>
      </c>
      <c r="AX25" s="15">
        <f t="shared" ca="1" si="38"/>
        <v>0.87501428081800525</v>
      </c>
      <c r="AY25" s="15">
        <f t="shared" ca="1" si="39"/>
        <v>1.0078632478632479</v>
      </c>
      <c r="AZ25" s="15">
        <f t="shared" ca="1" si="40"/>
        <v>0.95064686152371825</v>
      </c>
      <c r="BA25" s="15">
        <f t="shared" ca="1" si="41"/>
        <v>0.96701509872241576</v>
      </c>
      <c r="BD25">
        <v>2010</v>
      </c>
      <c r="BE25" s="8">
        <f>U85/AVERAGE(U82:U88)</f>
        <v>0.96125964461021818</v>
      </c>
      <c r="BF25" s="8">
        <f>U86/AVERAGE(U83:U89)</f>
        <v>0.99952823093724086</v>
      </c>
      <c r="BG25" s="8">
        <f>U87/AVERAGE(U84:U90)</f>
        <v>1.0246002892821102</v>
      </c>
      <c r="BH25" s="8">
        <f>U88/AVERAGE(U85:U91)</f>
        <v>1.0423384688630657</v>
      </c>
      <c r="BI25">
        <v>1</v>
      </c>
      <c r="BL25">
        <v>2010</v>
      </c>
      <c r="BM25" s="8">
        <f>V85/AVERAGE(V82:V88)</f>
        <v>1.004287745961665</v>
      </c>
      <c r="BN25" s="8">
        <f>V86/AVERAGE(V83:V89)</f>
        <v>1.0051567132570944</v>
      </c>
      <c r="BO25" s="8">
        <f>V87/AVERAGE(V84:V90)</f>
        <v>1.0096196490042448</v>
      </c>
      <c r="BP25" s="8">
        <f>V88/AVERAGE(V85:V91)</f>
        <v>0.99485454602967072</v>
      </c>
      <c r="BQ25">
        <v>1</v>
      </c>
      <c r="BT25">
        <v>2010</v>
      </c>
      <c r="BU25" s="8">
        <f>W85/AVERAGE(W82:W88)</f>
        <v>1.01028889299334</v>
      </c>
      <c r="BV25" s="8">
        <f>W86/AVERAGE(W83:W89)</f>
        <v>0.98713722852200647</v>
      </c>
      <c r="BW25" s="8">
        <f>W87/AVERAGE(W84:W90)</f>
        <v>0.9916479956874249</v>
      </c>
      <c r="BX25" s="8">
        <f>W88/AVERAGE(W85:W91)</f>
        <v>1.0061169322533439</v>
      </c>
      <c r="BY25">
        <v>1</v>
      </c>
      <c r="CB25">
        <v>2010</v>
      </c>
      <c r="CC25" s="8">
        <f>X85/AVERAGE(X82:X88)</f>
        <v>1.0625741390177286</v>
      </c>
      <c r="CD25" s="8">
        <f>X86/AVERAGE(X83:X89)</f>
        <v>0.91141761017465472</v>
      </c>
      <c r="CE25" s="8">
        <f>X87/AVERAGE(X84:X90)</f>
        <v>1.0109477550223867</v>
      </c>
      <c r="CF25" s="8">
        <f>X88/AVERAGE(X85:X91)</f>
        <v>1.0608610286371039</v>
      </c>
      <c r="CG25">
        <v>1</v>
      </c>
      <c r="CJ25">
        <v>2010</v>
      </c>
      <c r="CK25" s="8">
        <f>Y85/AVERAGE(Y82:Y88)</f>
        <v>0.82736134225452573</v>
      </c>
      <c r="CL25" s="8">
        <f>Y86/AVERAGE(Y83:Y89)</f>
        <v>1.2295636910732197</v>
      </c>
      <c r="CM25" s="8">
        <f>Y87/AVERAGE(Y84:Y90)</f>
        <v>-1.7068724593495934</v>
      </c>
      <c r="CN25" s="8">
        <f>Y88/AVERAGE(Y85:Y91)</f>
        <v>5.9921959095801931</v>
      </c>
      <c r="CO25">
        <v>1</v>
      </c>
      <c r="CR25">
        <v>2010</v>
      </c>
      <c r="CS25" s="8">
        <f>AA85/AVERAGE(AA82:AA88)</f>
        <v>0.95960489683158812</v>
      </c>
      <c r="CT25" s="8">
        <f>AA86/AVERAGE(AA83:AA89)</f>
        <v>1.0037687270449061</v>
      </c>
      <c r="CU25" s="8">
        <f>AA87/AVERAGE(AA84:AA90)</f>
        <v>0.9961814444822823</v>
      </c>
      <c r="CV25" s="8">
        <f>AA88/AVERAGE(AA85:AA91)</f>
        <v>1.0223928441373933</v>
      </c>
      <c r="CW25">
        <v>1</v>
      </c>
      <c r="CZ25">
        <v>2010</v>
      </c>
      <c r="DA25" s="8">
        <f>AB85/AVERAGE(AB82:AB88)</f>
        <v>0.96375641328248263</v>
      </c>
      <c r="DB25" s="8">
        <f>AB86/AVERAGE(AB83:AB89)</f>
        <v>0.99777806959947479</v>
      </c>
      <c r="DC25" s="8">
        <f>AB87/AVERAGE(AB84:AB90)</f>
        <v>1.0524066383935025</v>
      </c>
      <c r="DD25" s="8">
        <f>AB88/AVERAGE(AB85:AB91)</f>
        <v>1.0233434666007224</v>
      </c>
      <c r="DE25">
        <v>1</v>
      </c>
      <c r="DH25">
        <v>2010</v>
      </c>
      <c r="DI25" s="8">
        <f>AC85/AVERAGE(AC82:AC88)</f>
        <v>0.97426356871235964</v>
      </c>
      <c r="DJ25" s="8">
        <f>AC86/AVERAGE(AC83:AC89)</f>
        <v>0.9515923566878981</v>
      </c>
      <c r="DK25" s="8">
        <f>AC87/AVERAGE(AC84:AC90)</f>
        <v>1.012289949880661</v>
      </c>
      <c r="DL25" s="8">
        <f>AC88/AVERAGE(AC85:AC91)</f>
        <v>1.0943696070889759</v>
      </c>
      <c r="DM25">
        <v>1</v>
      </c>
      <c r="DP25">
        <v>2010</v>
      </c>
      <c r="DQ25" s="8">
        <f>AD85/AVERAGE(AD82:AD88)</f>
        <v>1.4453132264308839</v>
      </c>
      <c r="DR25" s="8">
        <f>AD86/AVERAGE(AD83:AD89)</f>
        <v>0.71516646115906291</v>
      </c>
      <c r="DS25" s="8">
        <f>AD87/AVERAGE(AD84:AD90)</f>
        <v>0.93669056706216758</v>
      </c>
      <c r="DT25" s="8">
        <f>AD88/AVERAGE(AD85:AD91)</f>
        <v>0.96713641809779194</v>
      </c>
      <c r="DU25">
        <v>1</v>
      </c>
      <c r="DX25">
        <v>2010</v>
      </c>
      <c r="DY25" s="8">
        <f>AE85/AVERAGE(AE82:AE88)</f>
        <v>0.82783032553821168</v>
      </c>
      <c r="DZ25" s="8">
        <f>AE86/AVERAGE(AE83:AE89)</f>
        <v>0.96032016877113524</v>
      </c>
      <c r="EA25" s="8">
        <f>AE87/AVERAGE(AE84:AE90)</f>
        <v>1.0226252746912625</v>
      </c>
      <c r="EB25" s="8">
        <f>AE88/AVERAGE(AE85:AE91)</f>
        <v>1.6526983728089466</v>
      </c>
      <c r="EC25">
        <v>1</v>
      </c>
      <c r="EF25">
        <v>2010</v>
      </c>
      <c r="EG25" s="8">
        <f>AF85/AVERAGE(AF82:AF88)</f>
        <v>1.2418748416518877</v>
      </c>
      <c r="EH25" s="8">
        <f>AF86/AVERAGE(AF83:AF89)</f>
        <v>0.82217155606004266</v>
      </c>
      <c r="EI25" s="8">
        <f>AF87/AVERAGE(AF84:AF90)</f>
        <v>0.90640530093870786</v>
      </c>
      <c r="EJ25" s="8">
        <f>AF88/AVERAGE(AF85:AF91)</f>
        <v>1.0028934556550764</v>
      </c>
      <c r="EK25">
        <v>1</v>
      </c>
      <c r="EN25">
        <v>2010</v>
      </c>
      <c r="EO25" s="8">
        <f>AG85/AVERAGE(AG82:AG88)</f>
        <v>0.95538429234681588</v>
      </c>
      <c r="EP25" s="8">
        <f>AG86/AVERAGE(AG83:AG89)</f>
        <v>0.98334677794669723</v>
      </c>
      <c r="EQ25" s="8">
        <f>AG87/AVERAGE(AG84:AG90)</f>
        <v>1.0589915927027469</v>
      </c>
      <c r="ER25" s="8">
        <f>AG88/AVERAGE(AG85:AG91)</f>
        <v>1.0529662171101271</v>
      </c>
      <c r="ES25">
        <v>1</v>
      </c>
      <c r="EV25">
        <v>2010</v>
      </c>
      <c r="EW25" s="8">
        <f>AH85/AVERAGE(AH82:AH88)</f>
        <v>1.0864739239564936</v>
      </c>
      <c r="EX25" s="8">
        <f>AH86/AVERAGE(AH83:AH89)</f>
        <v>0.84559989962088955</v>
      </c>
      <c r="EY25" s="8">
        <f>AH87/AVERAGE(AH84:AH90)</f>
        <v>1.0454949383903622</v>
      </c>
      <c r="EZ25" s="8">
        <f>AH88/AVERAGE(AH85:AH91)</f>
        <v>1.0394050104384134</v>
      </c>
      <c r="FA25">
        <v>1</v>
      </c>
      <c r="FD25">
        <v>2010</v>
      </c>
      <c r="FE25" s="8">
        <f>AI85/AVERAGE(AI82:AI88)</f>
        <v>1.0453741284212716</v>
      </c>
      <c r="FF25" s="8">
        <f>AI86/AVERAGE(AI83:AI89)</f>
        <v>0.99952928656215467</v>
      </c>
      <c r="FG25" s="8">
        <f>AI87/AVERAGE(AI84:AI90)</f>
        <v>1.0073897141151003</v>
      </c>
      <c r="FH25" s="8">
        <f>AI88/AVERAGE(AI85:AI91)</f>
        <v>0.99627281640766663</v>
      </c>
      <c r="FI25">
        <v>1</v>
      </c>
    </row>
    <row r="26" spans="1:165" x14ac:dyDescent="0.35">
      <c r="A26" t="s">
        <v>191</v>
      </c>
      <c r="B26" t="str">
        <f t="shared" si="17"/>
        <v>1995</v>
      </c>
      <c r="C26" t="str">
        <f t="shared" si="18"/>
        <v>Q2</v>
      </c>
      <c r="D26" s="13">
        <f>HAVERQ!C32</f>
        <v>233343</v>
      </c>
      <c r="E26" s="13">
        <f>HAVERQ!D32</f>
        <v>8008</v>
      </c>
      <c r="F26" s="13">
        <f>HAVERQ!E32</f>
        <v>82730</v>
      </c>
      <c r="G26" s="13">
        <f>HAVERQ!F32</f>
        <v>66884</v>
      </c>
      <c r="H26" s="13">
        <f>HAVERQ!G32</f>
        <v>4292</v>
      </c>
      <c r="I26" s="13">
        <f>HAVERQ!H32</f>
        <v>1834</v>
      </c>
      <c r="J26" s="13">
        <f>HAVERQ!I32</f>
        <v>87297</v>
      </c>
      <c r="K26" s="13">
        <f>HAVERQ!J32</f>
        <v>78210</v>
      </c>
      <c r="L26" s="13" t="e">
        <f>HAVERQ!U32</f>
        <v>#N/A</v>
      </c>
      <c r="M26" s="13" t="e">
        <f>HAVERQ!V32</f>
        <v>#N/A</v>
      </c>
      <c r="N26" s="13" t="e">
        <f>HAVERQ!Y32</f>
        <v>#N/A</v>
      </c>
      <c r="O26" s="13" t="e">
        <f>HAVERQ!Z32</f>
        <v>#N/A</v>
      </c>
      <c r="P26" s="13" t="e">
        <f>HAVERQ!AA32</f>
        <v>#N/A</v>
      </c>
      <c r="Q26" s="13" t="e">
        <f>HAVERQ!AB32</f>
        <v>#N/A</v>
      </c>
      <c r="R26" s="13" t="e">
        <f>HAVERQ!AC32</f>
        <v>#N/A</v>
      </c>
      <c r="U26" s="13">
        <f>HAVERQ!M32</f>
        <v>226675</v>
      </c>
      <c r="V26" s="13">
        <f>HAVERQ!N32</f>
        <v>7989</v>
      </c>
      <c r="W26" s="13">
        <f>HAVERQ!O32</f>
        <v>82494</v>
      </c>
      <c r="X26" s="13">
        <f>HAVERQ!P32</f>
        <v>66843</v>
      </c>
      <c r="Y26" s="13">
        <f>HAVERQ!Q32</f>
        <v>8038</v>
      </c>
      <c r="Z26" s="13">
        <f>HAVERQ!R32</f>
        <v>1836</v>
      </c>
      <c r="AA26" s="13">
        <f>HAVERQ!S32</f>
        <v>86689</v>
      </c>
      <c r="AB26" s="13">
        <f>HAVERQ!T32</f>
        <v>79935</v>
      </c>
      <c r="AC26" s="13" t="e">
        <f>HAVERQ!W32</f>
        <v>#N/A</v>
      </c>
      <c r="AD26" s="13" t="e">
        <f>HAVERQ!X32</f>
        <v>#N/A</v>
      </c>
      <c r="AE26" s="13" t="e">
        <f>HAVERQ!AD32</f>
        <v>#N/A</v>
      </c>
      <c r="AF26" s="13" t="e">
        <f>HAVERQ!AE32</f>
        <v>#N/A</v>
      </c>
      <c r="AG26" s="13" t="e">
        <f>HAVERQ!AF32</f>
        <v>#N/A</v>
      </c>
      <c r="AH26" s="13" t="e">
        <f>HAVERQ!AG32</f>
        <v>#N/A</v>
      </c>
      <c r="AI26" s="13" t="e">
        <f>HAVERQ!AH32</f>
        <v>#N/A</v>
      </c>
      <c r="AL26">
        <v>2011</v>
      </c>
      <c r="AM26" s="15">
        <f t="shared" ca="1" si="27"/>
        <v>1.0286541827828273</v>
      </c>
      <c r="AN26" s="15">
        <f t="shared" ca="1" si="42"/>
        <v>1</v>
      </c>
      <c r="AO26" s="15">
        <f t="shared" ca="1" si="29"/>
        <v>0.98592527661545082</v>
      </c>
      <c r="AP26" s="15">
        <f t="shared" ca="1" si="43"/>
        <v>0.95871510417784267</v>
      </c>
      <c r="AQ26" s="15">
        <f t="shared" ca="1" si="44"/>
        <v>3.5244608100999476E-2</v>
      </c>
      <c r="AR26" s="15">
        <f t="shared" ca="1" si="45"/>
        <v>0.95136986301369864</v>
      </c>
      <c r="AS26" s="15">
        <f t="shared" ca="1" si="46"/>
        <v>1.0250376968124277</v>
      </c>
      <c r="AT26" s="15">
        <f t="shared" ca="1" si="47"/>
        <v>1.0202983182264269</v>
      </c>
      <c r="AU26" s="15">
        <f t="shared" ca="1" si="35"/>
        <v>1.0286338797814207</v>
      </c>
      <c r="AV26" s="15">
        <f t="shared" ca="1" si="36"/>
        <v>0.74603752223839559</v>
      </c>
      <c r="AW26" s="15">
        <f t="shared" ca="1" si="37"/>
        <v>1.153067678684377</v>
      </c>
      <c r="AX26" s="15">
        <f t="shared" ca="1" si="38"/>
        <v>0.90133705088397442</v>
      </c>
      <c r="AY26" s="15">
        <f t="shared" ca="1" si="39"/>
        <v>1.0330766247437531</v>
      </c>
      <c r="AZ26" s="15">
        <f t="shared" ca="1" si="40"/>
        <v>0.91425890114890229</v>
      </c>
      <c r="BA26" s="15">
        <f t="shared" ca="1" si="41"/>
        <v>0.98125947361168531</v>
      </c>
      <c r="BD26">
        <v>2011</v>
      </c>
      <c r="BE26" s="8">
        <f>U89/AVERAGE(U86:U92)</f>
        <v>0.96583357713911044</v>
      </c>
      <c r="BF26" s="8">
        <f>U90/AVERAGE(U87:U93)</f>
        <v>0.98142647349143985</v>
      </c>
      <c r="BG26" s="8">
        <f>U91/AVERAGE(U88:U94)</f>
        <v>1.0068030936454848</v>
      </c>
      <c r="BH26" s="8">
        <f>U92/AVERAGE(U89:U95)</f>
        <v>1.0278501917529499</v>
      </c>
      <c r="BI26">
        <v>1</v>
      </c>
      <c r="BL26">
        <v>2011</v>
      </c>
      <c r="BM26" s="8">
        <f>V89/AVERAGE(V86:V92)</f>
        <v>0.97793356842705403</v>
      </c>
      <c r="BN26" s="8">
        <f>V90/AVERAGE(V87:V93)</f>
        <v>1.0176976145311192</v>
      </c>
      <c r="BO26" s="8">
        <f>V91/AVERAGE(V88:V94)</f>
        <v>1.0138125350874405</v>
      </c>
      <c r="BP26" s="8">
        <f>V92/AVERAGE(V89:V95)</f>
        <v>0.98879735018301873</v>
      </c>
      <c r="BQ26">
        <v>1</v>
      </c>
      <c r="BT26">
        <v>2011</v>
      </c>
      <c r="BU26" s="8">
        <f>W89/AVERAGE(W86:W92)</f>
        <v>1.024573337529352</v>
      </c>
      <c r="BV26" s="8">
        <f>W90/AVERAGE(W87:W93)</f>
        <v>0.98187217146991035</v>
      </c>
      <c r="BW26" s="8">
        <f>W91/AVERAGE(W88:W94)</f>
        <v>0.9786449609010025</v>
      </c>
      <c r="BX26" s="8">
        <f>W92/AVERAGE(W89:W95)</f>
        <v>0.99619044408296742</v>
      </c>
      <c r="BY26">
        <v>1</v>
      </c>
      <c r="CB26">
        <v>2011</v>
      </c>
      <c r="CC26" s="8">
        <f>X89/AVERAGE(X86:X92)</f>
        <v>1.0390990807336293</v>
      </c>
      <c r="CD26" s="8">
        <f>X90/AVERAGE(X87:X93)</f>
        <v>0.90077138467058215</v>
      </c>
      <c r="CE26" s="8">
        <f>X91/AVERAGE(X88:X94)</f>
        <v>0.98534453622994755</v>
      </c>
      <c r="CF26" s="8">
        <f>X92/AVERAGE(X89:X95)</f>
        <v>1.0578166772050095</v>
      </c>
      <c r="CG26">
        <v>1</v>
      </c>
      <c r="CJ26">
        <v>2011</v>
      </c>
      <c r="CK26" s="8">
        <f>Y89/AVERAGE(Y86:Y92)</f>
        <v>4.2719101123595502</v>
      </c>
      <c r="CL26" s="8">
        <f>Y90/AVERAGE(Y87:Y93)</f>
        <v>-24.608482871125613</v>
      </c>
      <c r="CM26" s="8">
        <f>Y91/AVERAGE(Y88:Y94)</f>
        <v>3.3847736625514404</v>
      </c>
      <c r="CN26" s="8">
        <f>Y92/AVERAGE(Y89:Y95)</f>
        <v>-1.6264224033572754</v>
      </c>
      <c r="CO26">
        <v>1</v>
      </c>
      <c r="CR26">
        <v>2011</v>
      </c>
      <c r="CS26" s="8">
        <f>AA89/AVERAGE(AA86:AA92)</f>
        <v>1.0027192067417574</v>
      </c>
      <c r="CT26" s="8">
        <f>AA90/AVERAGE(AA87:AA93)</f>
        <v>1.0005513941509232</v>
      </c>
      <c r="CU26" s="8">
        <f>AA91/AVERAGE(AA88:AA94)</f>
        <v>1.0013530977064706</v>
      </c>
      <c r="CV26" s="8">
        <f>AA92/AVERAGE(AA89:AA95)</f>
        <v>1.0189587694846063</v>
      </c>
      <c r="CW26">
        <v>1</v>
      </c>
      <c r="CZ26">
        <v>2011</v>
      </c>
      <c r="DA26" s="8">
        <f>AB89/AVERAGE(AB86:AB92)</f>
        <v>0.96567576726659932</v>
      </c>
      <c r="DB26" s="8">
        <f>AB90/AVERAGE(AB87:AB93)</f>
        <v>0.99566758730784266</v>
      </c>
      <c r="DC26" s="8">
        <f>AB91/AVERAGE(AB88:AB94)</f>
        <v>1.0231930487596308</v>
      </c>
      <c r="DD26" s="8">
        <f>AB92/AVERAGE(AB89:AB95)</f>
        <v>0.99659837989651645</v>
      </c>
      <c r="DE26">
        <v>1</v>
      </c>
      <c r="DH26">
        <v>2011</v>
      </c>
      <c r="DI26" s="8">
        <f>AC89/AVERAGE(AC86:AC92)</f>
        <v>0.92933836331979103</v>
      </c>
      <c r="DJ26" s="8">
        <f>AC90/AVERAGE(AC87:AC93)</f>
        <v>0.95668731622370029</v>
      </c>
      <c r="DK26" s="8">
        <f>AC91/AVERAGE(AC88:AC94)</f>
        <v>1.0053861388382825</v>
      </c>
      <c r="DL26" s="8">
        <f>AC92/AVERAGE(AC89:AC95)</f>
        <v>1.0926290503964353</v>
      </c>
      <c r="DM26">
        <v>1</v>
      </c>
      <c r="DP26">
        <v>2011</v>
      </c>
      <c r="DQ26" s="8">
        <f>AD89/AVERAGE(AD86:AD92)</f>
        <v>1.52459622734558</v>
      </c>
      <c r="DR26" s="8">
        <f>AD90/AVERAGE(AD87:AD93)</f>
        <v>0.65864457267496279</v>
      </c>
      <c r="DS26" s="8">
        <f>AD91/AVERAGE(AD88:AD94)</f>
        <v>0.88372919504827341</v>
      </c>
      <c r="DT26" s="8">
        <f>AD92/AVERAGE(AD89:AD95)</f>
        <v>0.93566264849602698</v>
      </c>
      <c r="DU26">
        <v>1</v>
      </c>
      <c r="DX26">
        <v>2011</v>
      </c>
      <c r="DY26" s="8">
        <f>AE89/AVERAGE(AE86:AE92)</f>
        <v>0.66456494325346782</v>
      </c>
      <c r="DZ26" s="8">
        <f>AE90/AVERAGE(AE87:AE93)</f>
        <v>0.84084537416433036</v>
      </c>
      <c r="EA26" s="8">
        <f>AE91/AVERAGE(AE88:AE94)</f>
        <v>0.68610837438423644</v>
      </c>
      <c r="EB26" s="8">
        <f>AE92/AVERAGE(AE89:AE95)</f>
        <v>1.3165192040408151</v>
      </c>
      <c r="EC26">
        <v>1</v>
      </c>
      <c r="EF26">
        <v>2011</v>
      </c>
      <c r="EG26" s="8">
        <f>AF89/AVERAGE(AF86:AF92)</f>
        <v>1.0986275484833417</v>
      </c>
      <c r="EH26" s="8">
        <f>AF90/AVERAGE(AF87:AF93)</f>
        <v>0.88704385671242048</v>
      </c>
      <c r="EI26" s="8">
        <f>AF91/AVERAGE(AF88:AF94)</f>
        <v>0.9950246412182091</v>
      </c>
      <c r="EJ26" s="8">
        <f>AF92/AVERAGE(AF89:AF95)</f>
        <v>1.0923494373356379</v>
      </c>
      <c r="EK26">
        <v>1</v>
      </c>
      <c r="EN26">
        <v>2011</v>
      </c>
      <c r="EO26" s="8">
        <f>AG89/AVERAGE(AG86:AG92)</f>
        <v>0.97377933639061232</v>
      </c>
      <c r="EP26" s="8">
        <f>AG90/AVERAGE(AG87:AG93)</f>
        <v>0.97056511553698044</v>
      </c>
      <c r="EQ26" s="8">
        <f>AG91/AVERAGE(AG88:AG94)</f>
        <v>1.0141603731674811</v>
      </c>
      <c r="ER26" s="8">
        <f>AG92/AVERAGE(AG89:AG95)</f>
        <v>1.0551612980827059</v>
      </c>
      <c r="ES26">
        <v>1</v>
      </c>
      <c r="EV26">
        <v>2011</v>
      </c>
      <c r="EW26" s="8">
        <f>AH89/AVERAGE(AH86:AH92)</f>
        <v>1.1324855533880527</v>
      </c>
      <c r="EX26" s="8">
        <f>AH90/AVERAGE(AH87:AH93)</f>
        <v>0.82674473823326489</v>
      </c>
      <c r="EY26" s="8">
        <f>AH91/AVERAGE(AH88:AH94)</f>
        <v>1.0041977590704831</v>
      </c>
      <c r="EZ26" s="8">
        <f>AH92/AVERAGE(AH89:AH95)</f>
        <v>1.0310161597564644</v>
      </c>
      <c r="FA26">
        <v>1</v>
      </c>
      <c r="FD26">
        <v>2011</v>
      </c>
      <c r="FE26" s="8">
        <f>AI89/AVERAGE(AI86:AI92)</f>
        <v>1.0211470038394275</v>
      </c>
      <c r="FF26" s="8">
        <f>AI90/AVERAGE(AI87:AI93)</f>
        <v>0.96937322893863909</v>
      </c>
      <c r="FG26" s="8">
        <f>AI91/AVERAGE(AI88:AI94)</f>
        <v>1.0142246368569308</v>
      </c>
      <c r="FH26" s="8">
        <f>AI92/AVERAGE(AI89:AI95)</f>
        <v>1.0131292332342405</v>
      </c>
      <c r="FI26">
        <v>1</v>
      </c>
    </row>
    <row r="27" spans="1:165" x14ac:dyDescent="0.35">
      <c r="A27" t="s">
        <v>192</v>
      </c>
      <c r="B27" t="str">
        <f t="shared" si="17"/>
        <v>1995</v>
      </c>
      <c r="C27" t="str">
        <f t="shared" si="18"/>
        <v>Q3</v>
      </c>
      <c r="D27" s="13">
        <f>HAVERQ!C33</f>
        <v>234345</v>
      </c>
      <c r="E27" s="13">
        <f>HAVERQ!D33</f>
        <v>7959</v>
      </c>
      <c r="F27" s="13">
        <f>HAVERQ!E33</f>
        <v>82532</v>
      </c>
      <c r="G27" s="13">
        <f>HAVERQ!F33</f>
        <v>67357</v>
      </c>
      <c r="H27" s="13">
        <f>HAVERQ!G33</f>
        <v>6523</v>
      </c>
      <c r="I27" s="13">
        <f>HAVERQ!H33</f>
        <v>-1866</v>
      </c>
      <c r="J27" s="13">
        <f>HAVERQ!I33</f>
        <v>90195</v>
      </c>
      <c r="K27" s="13">
        <f>HAVERQ!J33</f>
        <v>79909</v>
      </c>
      <c r="L27" s="13" t="e">
        <f>HAVERQ!U33</f>
        <v>#N/A</v>
      </c>
      <c r="M27" s="13" t="e">
        <f>HAVERQ!V33</f>
        <v>#N/A</v>
      </c>
      <c r="N27" s="13" t="e">
        <f>HAVERQ!Y33</f>
        <v>#N/A</v>
      </c>
      <c r="O27" s="13" t="e">
        <f>HAVERQ!Z33</f>
        <v>#N/A</v>
      </c>
      <c r="P27" s="13" t="e">
        <f>HAVERQ!AA33</f>
        <v>#N/A</v>
      </c>
      <c r="Q27" s="13" t="e">
        <f>HAVERQ!AB33</f>
        <v>#N/A</v>
      </c>
      <c r="R27" s="13" t="e">
        <f>HAVERQ!AC33</f>
        <v>#N/A</v>
      </c>
      <c r="U27" s="13">
        <f>HAVERQ!M33</f>
        <v>241689</v>
      </c>
      <c r="V27" s="13">
        <f>HAVERQ!N33</f>
        <v>8073</v>
      </c>
      <c r="W27" s="13">
        <f>HAVERQ!O33</f>
        <v>82005</v>
      </c>
      <c r="X27" s="13">
        <f>HAVERQ!P33</f>
        <v>67361</v>
      </c>
      <c r="Y27" s="13">
        <f>HAVERQ!Q33</f>
        <v>4264</v>
      </c>
      <c r="Z27" s="13">
        <f>HAVERQ!R33</f>
        <v>-1867</v>
      </c>
      <c r="AA27" s="13">
        <f>HAVERQ!S33</f>
        <v>90774</v>
      </c>
      <c r="AB27" s="13">
        <f>HAVERQ!T33</f>
        <v>81434</v>
      </c>
      <c r="AC27" s="13" t="e">
        <f>HAVERQ!W33</f>
        <v>#N/A</v>
      </c>
      <c r="AD27" s="13" t="e">
        <f>HAVERQ!X33</f>
        <v>#N/A</v>
      </c>
      <c r="AE27" s="13" t="e">
        <f>HAVERQ!AD33</f>
        <v>#N/A</v>
      </c>
      <c r="AF27" s="13" t="e">
        <f>HAVERQ!AE33</f>
        <v>#N/A</v>
      </c>
      <c r="AG27" s="13" t="e">
        <f>HAVERQ!AF33</f>
        <v>#N/A</v>
      </c>
      <c r="AH27" s="13" t="e">
        <f>HAVERQ!AG33</f>
        <v>#N/A</v>
      </c>
      <c r="AI27" s="13" t="e">
        <f>HAVERQ!AH33</f>
        <v>#N/A</v>
      </c>
      <c r="AL27">
        <v>2012</v>
      </c>
      <c r="AM27" s="15">
        <f t="shared" ca="1" si="27"/>
        <v>1.0289372414166902</v>
      </c>
      <c r="AN27" s="15">
        <f t="shared" ca="1" si="42"/>
        <v>1</v>
      </c>
      <c r="AO27" s="15">
        <f t="shared" ca="1" si="29"/>
        <v>0.98467923671795199</v>
      </c>
      <c r="AP27" s="15">
        <f t="shared" ca="1" si="43"/>
        <v>0.97879780732152988</v>
      </c>
      <c r="AQ27" s="15">
        <f t="shared" ca="1" si="44"/>
        <v>3.253968253968254</v>
      </c>
      <c r="AR27" s="15">
        <f t="shared" ca="1" si="45"/>
        <v>0.93062827225130895</v>
      </c>
      <c r="AS27" s="15">
        <f t="shared" ca="1" si="46"/>
        <v>1.0162440081276169</v>
      </c>
      <c r="AT27" s="15">
        <f t="shared" ca="1" si="47"/>
        <v>1.0126588188604144</v>
      </c>
      <c r="AU27" s="15">
        <f t="shared" ca="1" si="35"/>
        <v>1.0647792516333399</v>
      </c>
      <c r="AV27" s="15">
        <f t="shared" ca="1" si="36"/>
        <v>0.73016994041050542</v>
      </c>
      <c r="AW27" s="15">
        <f t="shared" ca="1" si="37"/>
        <v>1.0901120311738919</v>
      </c>
      <c r="AX27" s="15">
        <f t="shared" ca="1" si="38"/>
        <v>0.94593074134266786</v>
      </c>
      <c r="AY27" s="15">
        <f t="shared" ca="1" si="39"/>
        <v>1.0129947190411204</v>
      </c>
      <c r="AZ27" s="15">
        <f t="shared" ca="1" si="40"/>
        <v>0.92930924159785488</v>
      </c>
      <c r="BA27" s="15">
        <f t="shared" ca="1" si="41"/>
        <v>1.0037842033766737</v>
      </c>
      <c r="BD27">
        <v>2012</v>
      </c>
      <c r="BE27" s="8">
        <f>U93/AVERAGE(U90:U96)</f>
        <v>0.95900870072453093</v>
      </c>
      <c r="BF27" s="8">
        <f>U94/AVERAGE(U91:U97)</f>
        <v>0.98012022871093862</v>
      </c>
      <c r="BG27" s="8">
        <f>U95/AVERAGE(U92:U98)</f>
        <v>1.0162877741997554</v>
      </c>
      <c r="BH27" s="8">
        <f>U96/AVERAGE(U93:U99)</f>
        <v>1.045777961211857</v>
      </c>
      <c r="BI27">
        <v>1</v>
      </c>
      <c r="BL27">
        <v>2012</v>
      </c>
      <c r="BM27" s="8">
        <f>V93/AVERAGE(V90:V96)</f>
        <v>0.97758748282059416</v>
      </c>
      <c r="BN27" s="8">
        <f>V94/AVERAGE(V91:V97)</f>
        <v>1.0242498665242925</v>
      </c>
      <c r="BO27" s="8">
        <f>V95/AVERAGE(V92:V98)</f>
        <v>1.046687363904879</v>
      </c>
      <c r="BP27" s="8">
        <f>V96/AVERAGE(V93:V99)</f>
        <v>0.98957892337252096</v>
      </c>
      <c r="BQ27">
        <v>1</v>
      </c>
      <c r="BT27">
        <v>2012</v>
      </c>
      <c r="BU27" s="8">
        <f>W93/AVERAGE(W90:W96)</f>
        <v>1.0401455062303888</v>
      </c>
      <c r="BV27" s="8">
        <f>W94/AVERAGE(W91:W97)</f>
        <v>0.98370138715680822</v>
      </c>
      <c r="BW27" s="8">
        <f>W95/AVERAGE(W92:W98)</f>
        <v>0.98642453338816438</v>
      </c>
      <c r="BX27" s="8">
        <f>W96/AVERAGE(W93:W99)</f>
        <v>1.0091878469353719</v>
      </c>
      <c r="BY27">
        <v>1</v>
      </c>
      <c r="CB27">
        <v>2012</v>
      </c>
      <c r="CC27" s="8">
        <f>X93/AVERAGE(X90:X96)</f>
        <v>1.0491076206364693</v>
      </c>
      <c r="CD27" s="8">
        <f>X94/AVERAGE(X91:X97)</f>
        <v>0.92270506787218531</v>
      </c>
      <c r="CE27" s="8">
        <f>X95/AVERAGE(X92:X98)</f>
        <v>0.96979750353586069</v>
      </c>
      <c r="CF27" s="8">
        <f>X96/AVERAGE(X93:X99)</f>
        <v>1.0499644835040483</v>
      </c>
      <c r="CG27">
        <v>1</v>
      </c>
      <c r="CJ27">
        <v>2012</v>
      </c>
      <c r="CK27" s="8">
        <f>Y93/AVERAGE(Y90:Y96)</f>
        <v>-1.7316753926701569</v>
      </c>
      <c r="CL27" s="8">
        <f>Y94/AVERAGE(Y91:Y97)</f>
        <v>-236.33228840125392</v>
      </c>
      <c r="CM27" s="8">
        <f>Y95/AVERAGE(Y92:Y98)</f>
        <v>-9.1477632173520096</v>
      </c>
      <c r="CN27" s="8">
        <f>Y96/AVERAGE(Y93:Y99)</f>
        <v>-10.705712518044958</v>
      </c>
      <c r="CO27">
        <v>1</v>
      </c>
      <c r="CR27">
        <v>2012</v>
      </c>
      <c r="CS27" s="8">
        <f>AA93/AVERAGE(AA90:AA96)</f>
        <v>1.0183799091620271</v>
      </c>
      <c r="CT27" s="8">
        <f>AA94/AVERAGE(AA91:AA97)</f>
        <v>0.98589759109066688</v>
      </c>
      <c r="CU27" s="8">
        <f>AA95/AVERAGE(AA92:AA98)</f>
        <v>1.001751366318486</v>
      </c>
      <c r="CV27" s="8">
        <f>AA96/AVERAGE(AA93:AA99)</f>
        <v>0.99245828076205045</v>
      </c>
      <c r="CW27">
        <v>1</v>
      </c>
      <c r="CZ27">
        <v>2012</v>
      </c>
      <c r="DA27" s="8">
        <f>AB93/AVERAGE(AB90:AB96)</f>
        <v>0.98809004018591962</v>
      </c>
      <c r="DB27" s="8">
        <f>AB94/AVERAGE(AB91:AB97)</f>
        <v>1.0073698327301022</v>
      </c>
      <c r="DC27" s="8">
        <f>AB95/AVERAGE(AB92:AB98)</f>
        <v>1.0250574356019473</v>
      </c>
      <c r="DD27" s="8">
        <f>AB96/AVERAGE(AB93:AB99)</f>
        <v>0.97978233250910607</v>
      </c>
      <c r="DE27">
        <v>1</v>
      </c>
      <c r="DH27">
        <v>2012</v>
      </c>
      <c r="DI27" s="8">
        <f>AC93/AVERAGE(AC90:AC96)</f>
        <v>0.96762981734984876</v>
      </c>
      <c r="DJ27" s="8">
        <f>AC94/AVERAGE(AC91:AC97)</f>
        <v>0.95970389164017034</v>
      </c>
      <c r="DK27" s="8">
        <f>AC95/AVERAGE(AC92:AC98)</f>
        <v>0.98928339787874786</v>
      </c>
      <c r="DL27" s="8">
        <f>AC96/AVERAGE(AC93:AC99)</f>
        <v>1.0895407685098406</v>
      </c>
      <c r="DM27">
        <v>1</v>
      </c>
      <c r="DP27">
        <v>2012</v>
      </c>
      <c r="DQ27" s="8">
        <f>AD93/AVERAGE(AD90:AD96)</f>
        <v>1.5292671166827387</v>
      </c>
      <c r="DR27" s="8">
        <f>AD94/AVERAGE(AD91:AD97)</f>
        <v>0.75267006939062731</v>
      </c>
      <c r="DS27" s="8">
        <f>AD95/AVERAGE(AD92:AD98)</f>
        <v>0.85297438365292066</v>
      </c>
      <c r="DT27" s="8">
        <f>AD96/AVERAGE(AD93:AD99)</f>
        <v>0.92693581409391546</v>
      </c>
      <c r="DU27">
        <v>1</v>
      </c>
      <c r="DX27">
        <v>2012</v>
      </c>
      <c r="DY27" s="8">
        <f>AE93/AVERAGE(AE90:AE96)</f>
        <v>1.9100212652844231</v>
      </c>
      <c r="DZ27" s="8">
        <f>AE94/AVERAGE(AE91:AE97)</f>
        <v>0.78607089365951077</v>
      </c>
      <c r="EA27" s="8">
        <f>AE95/AVERAGE(AE92:AE98)</f>
        <v>0.37528785261945885</v>
      </c>
      <c r="EB27" s="8">
        <f>AE96/AVERAGE(AE93:AE99)</f>
        <v>0.98003650042832136</v>
      </c>
      <c r="EC27">
        <v>1</v>
      </c>
      <c r="EF27">
        <v>2012</v>
      </c>
      <c r="EG27" s="8">
        <f>AF93/AVERAGE(AF90:AF96)</f>
        <v>1.0231703974417541</v>
      </c>
      <c r="EH27" s="8">
        <f>AF94/AVERAGE(AF91:AF97)</f>
        <v>0.90506368055128283</v>
      </c>
      <c r="EI27" s="8">
        <f>AF95/AVERAGE(AF92:AF98)</f>
        <v>0.9935411750093156</v>
      </c>
      <c r="EJ27" s="8">
        <f>AF96/AVERAGE(AF93:AF99)</f>
        <v>1.1068966755223666</v>
      </c>
      <c r="EK27">
        <v>1</v>
      </c>
      <c r="EN27">
        <v>2012</v>
      </c>
      <c r="EO27" s="8">
        <f>AG93/AVERAGE(AG90:AG96)</f>
        <v>0.94326995346457077</v>
      </c>
      <c r="EP27" s="8">
        <f>AG94/AVERAGE(AG91:AG97)</f>
        <v>0.95231329865793357</v>
      </c>
      <c r="EQ27" s="8">
        <f>AG95/AVERAGE(AG92:AG98)</f>
        <v>1.0045173751336856</v>
      </c>
      <c r="ER27" s="8">
        <f>AG96/AVERAGE(AG93:AG99)</f>
        <v>1.0193900557731104</v>
      </c>
      <c r="ES27">
        <v>1</v>
      </c>
      <c r="EV27">
        <v>2012</v>
      </c>
      <c r="EW27" s="8">
        <f>AH93/AVERAGE(AH90:AH96)</f>
        <v>1.0467674250121886</v>
      </c>
      <c r="EX27" s="8">
        <f>AH94/AVERAGE(AH91:AH97)</f>
        <v>0.89669306624897971</v>
      </c>
      <c r="EY27" s="8">
        <f>AH95/AVERAGE(AH92:AH98)</f>
        <v>0.9967787690390657</v>
      </c>
      <c r="EZ27" s="8">
        <f>AH96/AVERAGE(AH93:AH99)</f>
        <v>1.079813832001788</v>
      </c>
      <c r="FA27">
        <v>1</v>
      </c>
      <c r="FD27">
        <v>2012</v>
      </c>
      <c r="FE27" s="8">
        <f>AI93/AVERAGE(AI90:AI96)</f>
        <v>0.94751635188736238</v>
      </c>
      <c r="FF27" s="8">
        <f>AI94/AVERAGE(AI91:AI97)</f>
        <v>0.97615016609591243</v>
      </c>
      <c r="FG27" s="8">
        <f>AI95/AVERAGE(AI92:AI98)</f>
        <v>1.0121279851670295</v>
      </c>
      <c r="FH27" s="8">
        <f>AI96/AVERAGE(AI93:AI99)</f>
        <v>1.0115746701250417</v>
      </c>
      <c r="FI27">
        <v>1</v>
      </c>
    </row>
    <row r="28" spans="1:165" x14ac:dyDescent="0.35">
      <c r="A28" t="s">
        <v>193</v>
      </c>
      <c r="B28" t="str">
        <f t="shared" si="17"/>
        <v>1995</v>
      </c>
      <c r="C28" t="str">
        <f t="shared" si="18"/>
        <v>Q4</v>
      </c>
      <c r="D28" s="13">
        <f>HAVERQ!C34</f>
        <v>237147</v>
      </c>
      <c r="E28" s="13">
        <f>HAVERQ!D34</f>
        <v>8186</v>
      </c>
      <c r="F28" s="13">
        <f>HAVERQ!E34</f>
        <v>82886</v>
      </c>
      <c r="G28" s="13">
        <f>HAVERQ!F34</f>
        <v>67705</v>
      </c>
      <c r="H28" s="13">
        <f>HAVERQ!G34</f>
        <v>2877</v>
      </c>
      <c r="I28" s="13">
        <f>HAVERQ!H34</f>
        <v>-1092</v>
      </c>
      <c r="J28" s="13">
        <f>HAVERQ!I34</f>
        <v>91446</v>
      </c>
      <c r="K28" s="13">
        <f>HAVERQ!J34</f>
        <v>80511</v>
      </c>
      <c r="L28" s="13" t="e">
        <f>HAVERQ!U34</f>
        <v>#N/A</v>
      </c>
      <c r="M28" s="13" t="e">
        <f>HAVERQ!V34</f>
        <v>#N/A</v>
      </c>
      <c r="N28" s="13" t="e">
        <f>HAVERQ!Y34</f>
        <v>#N/A</v>
      </c>
      <c r="O28" s="13" t="e">
        <f>HAVERQ!Z34</f>
        <v>#N/A</v>
      </c>
      <c r="P28" s="13" t="e">
        <f>HAVERQ!AA34</f>
        <v>#N/A</v>
      </c>
      <c r="Q28" s="13" t="e">
        <f>HAVERQ!AB34</f>
        <v>#N/A</v>
      </c>
      <c r="R28" s="13" t="e">
        <f>HAVERQ!AC34</f>
        <v>#N/A</v>
      </c>
      <c r="U28" s="13">
        <f>HAVERQ!M34</f>
        <v>247479</v>
      </c>
      <c r="V28" s="13">
        <f>HAVERQ!N34</f>
        <v>8159</v>
      </c>
      <c r="W28" s="13">
        <f>HAVERQ!O34</f>
        <v>83670</v>
      </c>
      <c r="X28" s="13">
        <f>HAVERQ!P34</f>
        <v>67784</v>
      </c>
      <c r="Y28" s="13">
        <f>HAVERQ!Q34</f>
        <v>2714</v>
      </c>
      <c r="Z28" s="13">
        <f>HAVERQ!R34</f>
        <v>-1093</v>
      </c>
      <c r="AA28" s="13">
        <f>HAVERQ!S34</f>
        <v>92628</v>
      </c>
      <c r="AB28" s="13">
        <f>HAVERQ!T34</f>
        <v>79638</v>
      </c>
      <c r="AC28" s="13" t="e">
        <f>HAVERQ!W34</f>
        <v>#N/A</v>
      </c>
      <c r="AD28" s="13" t="e">
        <f>HAVERQ!X34</f>
        <v>#N/A</v>
      </c>
      <c r="AE28" s="13" t="e">
        <f>HAVERQ!AD34</f>
        <v>#N/A</v>
      </c>
      <c r="AF28" s="13" t="e">
        <f>HAVERQ!AE34</f>
        <v>#N/A</v>
      </c>
      <c r="AG28" s="13" t="e">
        <f>HAVERQ!AF34</f>
        <v>#N/A</v>
      </c>
      <c r="AH28" s="13" t="e">
        <f>HAVERQ!AG34</f>
        <v>#N/A</v>
      </c>
      <c r="AI28" s="13" t="e">
        <f>HAVERQ!AH34</f>
        <v>#N/A</v>
      </c>
      <c r="AL28">
        <v>2013</v>
      </c>
      <c r="AM28" s="15">
        <f t="shared" ca="1" si="27"/>
        <v>1.0258966575954225</v>
      </c>
      <c r="AN28" s="15">
        <f t="shared" ca="1" si="42"/>
        <v>1</v>
      </c>
      <c r="AO28" s="15">
        <f t="shared" ca="1" si="29"/>
        <v>0.98722333836983411</v>
      </c>
      <c r="AP28" s="15">
        <f t="shared" ca="1" si="43"/>
        <v>0.97896624472573834</v>
      </c>
      <c r="AQ28" s="15">
        <f t="shared" ca="1" si="44"/>
        <v>0.14603174603174604</v>
      </c>
      <c r="AR28" s="15">
        <f t="shared" ca="1" si="45"/>
        <v>1.4527938342967244</v>
      </c>
      <c r="AS28" s="15">
        <f t="shared" ca="1" si="46"/>
        <v>1.0277300010530379</v>
      </c>
      <c r="AT28" s="15">
        <f t="shared" ca="1" si="47"/>
        <v>1.0221401126747283</v>
      </c>
      <c r="AU28" s="15">
        <f t="shared" ca="1" si="35"/>
        <v>1.0454713493530499</v>
      </c>
      <c r="AV28" s="15">
        <f t="shared" ca="1" si="36"/>
        <v>0.72599880739415623</v>
      </c>
      <c r="AW28" s="15">
        <f t="shared" ca="1" si="37"/>
        <v>1.0928393005828476</v>
      </c>
      <c r="AX28" s="15">
        <f t="shared" ca="1" si="38"/>
        <v>0.9170698389208265</v>
      </c>
      <c r="AY28" s="15">
        <f t="shared" ca="1" si="39"/>
        <v>1.0351929844804708</v>
      </c>
      <c r="AZ28" s="15">
        <f t="shared" ca="1" si="40"/>
        <v>0.98321357225916095</v>
      </c>
      <c r="BA28" s="15">
        <f t="shared" ca="1" si="41"/>
        <v>0.96890572875911207</v>
      </c>
      <c r="BD28">
        <v>2013</v>
      </c>
      <c r="BE28" s="8">
        <f>U97/AVERAGE(U94:U100)</f>
        <v>0.96782308465047173</v>
      </c>
      <c r="BF28" s="8">
        <f>U98/AVERAGE(U95:U101)</f>
        <v>0.98108521222787426</v>
      </c>
      <c r="BG28" s="8">
        <f>U99/AVERAGE(U96:U102)</f>
        <v>1.0149279830215752</v>
      </c>
      <c r="BH28" s="8">
        <f>U100/AVERAGE(U97:U103)</f>
        <v>1.030119468950913</v>
      </c>
      <c r="BI28">
        <v>1</v>
      </c>
      <c r="BL28">
        <v>2013</v>
      </c>
      <c r="BM28" s="8">
        <f>V97/AVERAGE(V94:V100)</f>
        <v>0.98083354349184759</v>
      </c>
      <c r="BN28" s="8">
        <f>V98/AVERAGE(V95:V101)</f>
        <v>0.99869477911646587</v>
      </c>
      <c r="BO28" s="8">
        <f>V99/AVERAGE(V96:V102)</f>
        <v>1.0185159817351599</v>
      </c>
      <c r="BP28" s="8">
        <f>V100/AVERAGE(V97:V103)</f>
        <v>0.9961672514213592</v>
      </c>
      <c r="BQ28">
        <v>1</v>
      </c>
      <c r="BT28">
        <v>2013</v>
      </c>
      <c r="BU28" s="8">
        <f>W97/AVERAGE(W94:W100)</f>
        <v>1.0099778642339683</v>
      </c>
      <c r="BV28" s="8">
        <f>W98/AVERAGE(W95:W101)</f>
        <v>0.98811448391369172</v>
      </c>
      <c r="BW28" s="8">
        <f>W99/AVERAGE(W96:W102)</f>
        <v>0.97749533320171333</v>
      </c>
      <c r="BX28" s="8">
        <f>W100/AVERAGE(W97:W103)</f>
        <v>1.0065152579595837</v>
      </c>
      <c r="BY28">
        <v>1</v>
      </c>
      <c r="CB28">
        <v>2013</v>
      </c>
      <c r="CC28" s="8">
        <f>X97/AVERAGE(X94:X100)</f>
        <v>1.0113202026297983</v>
      </c>
      <c r="CD28" s="8">
        <f>X98/AVERAGE(X95:X101)</f>
        <v>0.93662724903705397</v>
      </c>
      <c r="CE28" s="8">
        <f>X99/AVERAGE(X96:X102)</f>
        <v>1.0016482886885087</v>
      </c>
      <c r="CF28" s="8">
        <f>X100/AVERAGE(X97:X103)</f>
        <v>1.0320171552276585</v>
      </c>
      <c r="CG28">
        <v>1</v>
      </c>
      <c r="CJ28">
        <v>2013</v>
      </c>
      <c r="CK28" s="8">
        <f>Y97/AVERAGE(Y94:Y100)</f>
        <v>-5.1174934725848562</v>
      </c>
      <c r="CL28" s="8">
        <f>Y98/AVERAGE(Y95:Y101)</f>
        <v>-0.92038505096262746</v>
      </c>
      <c r="CM28" s="8">
        <f>Y99/AVERAGE(Y96:Y102)</f>
        <v>-10.24169289961525</v>
      </c>
      <c r="CN28" s="8">
        <f>Y100/AVERAGE(Y97:Y103)</f>
        <v>0.22828972317026924</v>
      </c>
      <c r="CO28">
        <v>1</v>
      </c>
      <c r="CR28">
        <v>2013</v>
      </c>
      <c r="CS28" s="8">
        <f>AA97/AVERAGE(AA94:AA100)</f>
        <v>0.97736170546447509</v>
      </c>
      <c r="CT28" s="8">
        <f>AA98/AVERAGE(AA95:AA101)</f>
        <v>1.0178809694812607</v>
      </c>
      <c r="CU28" s="8">
        <f>AA99/AVERAGE(AA96:AA102)</f>
        <v>1.0129855624481796</v>
      </c>
      <c r="CV28" s="8">
        <f>AA100/AVERAGE(AA97:AA103)</f>
        <v>1.0036507896489664</v>
      </c>
      <c r="CW28">
        <v>1</v>
      </c>
      <c r="CZ28">
        <v>2013</v>
      </c>
      <c r="DA28" s="8">
        <f>AB97/AVERAGE(AB94:AB100)</f>
        <v>0.95478023506111243</v>
      </c>
      <c r="DB28" s="8">
        <f>AB98/AVERAGE(AB95:AB101)</f>
        <v>1.0106010886089933</v>
      </c>
      <c r="DC28" s="8">
        <f>AB99/AVERAGE(AB96:AB102)</f>
        <v>1.0307083885043997</v>
      </c>
      <c r="DD28" s="8">
        <f>AB100/AVERAGE(AB97:AB103)</f>
        <v>1.0135310113158893</v>
      </c>
      <c r="DE28">
        <v>1</v>
      </c>
      <c r="DH28">
        <v>2013</v>
      </c>
      <c r="DI28" s="8">
        <f>AC97/AVERAGE(AC94:AC100)</f>
        <v>0.94062848880836036</v>
      </c>
      <c r="DJ28" s="8">
        <f>AC98/AVERAGE(AC95:AC101)</f>
        <v>0.96673829186838223</v>
      </c>
      <c r="DK28" s="8">
        <f>AC99/AVERAGE(AC96:AC102)</f>
        <v>1.0188905777017103</v>
      </c>
      <c r="DL28" s="8">
        <f>AC100/AVERAGE(AC97:AC103)</f>
        <v>1.0634745239346908</v>
      </c>
      <c r="DM28">
        <v>1</v>
      </c>
      <c r="DP28">
        <v>2013</v>
      </c>
      <c r="DQ28" s="8">
        <f>AD97/AVERAGE(AD94:AD100)</f>
        <v>1.4438078448655796</v>
      </c>
      <c r="DR28" s="8">
        <f>AD98/AVERAGE(AD95:AD101)</f>
        <v>0.6899530775600331</v>
      </c>
      <c r="DS28" s="8">
        <f>AD99/AVERAGE(AD96:AD102)</f>
        <v>0.86357190835136954</v>
      </c>
      <c r="DT28" s="8">
        <f>AD100/AVERAGE(AD97:AD103)</f>
        <v>0.92247509351505497</v>
      </c>
      <c r="DU28">
        <v>1</v>
      </c>
      <c r="DX28">
        <v>2013</v>
      </c>
      <c r="DY28" s="8">
        <f>AE97/AVERAGE(AE94:AE100)</f>
        <v>0.71768823629844636</v>
      </c>
      <c r="DZ28" s="8">
        <f>AE98/AVERAGE(AE95:AE101)</f>
        <v>0.91554368499858363</v>
      </c>
      <c r="EA28" s="8">
        <f>AE99/AVERAGE(AE96:AE102)</f>
        <v>1.1229359715738869</v>
      </c>
      <c r="EB28" s="8">
        <f>AE100/AVERAGE(AE97:AE103)</f>
        <v>1.1260450592619953</v>
      </c>
      <c r="EC28">
        <v>1</v>
      </c>
      <c r="EF28">
        <v>2013</v>
      </c>
      <c r="EG28" s="8">
        <f>AF97/AVERAGE(AF94:AF100)</f>
        <v>1.0928810727710587</v>
      </c>
      <c r="EH28" s="8">
        <f>AF98/AVERAGE(AF95:AF101)</f>
        <v>0.84792069632495159</v>
      </c>
      <c r="EI28" s="8">
        <f>AF99/AVERAGE(AF96:AF102)</f>
        <v>0.94040177216726351</v>
      </c>
      <c r="EJ28" s="8">
        <f>AF100/AVERAGE(AF97:AF103)</f>
        <v>1.0424857931058491</v>
      </c>
      <c r="EK28">
        <v>1</v>
      </c>
      <c r="EN28">
        <v>2013</v>
      </c>
      <c r="EO28" s="8">
        <f>AG97/AVERAGE(AG94:AG100)</f>
        <v>0.93613820134559589</v>
      </c>
      <c r="EP28" s="8">
        <f>AG98/AVERAGE(AG95:AG101)</f>
        <v>1.0078618857901727</v>
      </c>
      <c r="EQ28" s="8">
        <f>AG99/AVERAGE(AG96:AG102)</f>
        <v>1.0499103497114617</v>
      </c>
      <c r="ER28" s="8">
        <f>AG100/AVERAGE(AG97:AG103)</f>
        <v>1.0411283983210478</v>
      </c>
      <c r="ES28">
        <v>1</v>
      </c>
      <c r="EV28">
        <v>2013</v>
      </c>
      <c r="EW28" s="8">
        <f>AH97/AVERAGE(AH94:AH100)</f>
        <v>1.0190198401847295</v>
      </c>
      <c r="EX28" s="8">
        <f>AH98/AVERAGE(AH95:AH101)</f>
        <v>0.91703891716078267</v>
      </c>
      <c r="EY28" s="8">
        <f>AH99/AVERAGE(AH96:AH102)</f>
        <v>1.0037368048012281</v>
      </c>
      <c r="EZ28" s="8">
        <f>AH100/AVERAGE(AH97:AH103)</f>
        <v>1.0291490736932232</v>
      </c>
      <c r="FA28">
        <v>1</v>
      </c>
      <c r="FD28">
        <v>2013</v>
      </c>
      <c r="FE28" s="8">
        <f>AI97/AVERAGE(AI94:AI100)</f>
        <v>1.0439528041717083</v>
      </c>
      <c r="FF28" s="8">
        <f>AI98/AVERAGE(AI95:AI101)</f>
        <v>0.97514361002899219</v>
      </c>
      <c r="FG28" s="8">
        <f>AI99/AVERAGE(AI96:AI102)</f>
        <v>0.9864041032499985</v>
      </c>
      <c r="FH28" s="8">
        <f>AI100/AVERAGE(AI97:AI103)</f>
        <v>1.0024206483076177</v>
      </c>
      <c r="FI28">
        <v>1</v>
      </c>
    </row>
    <row r="29" spans="1:165" x14ac:dyDescent="0.35">
      <c r="A29" t="s">
        <v>194</v>
      </c>
      <c r="B29" t="str">
        <f t="shared" si="17"/>
        <v>1996</v>
      </c>
      <c r="C29" t="str">
        <f t="shared" si="18"/>
        <v>Q1</v>
      </c>
      <c r="D29" s="13">
        <f>HAVERQ!C35</f>
        <v>239556</v>
      </c>
      <c r="E29" s="13">
        <f>HAVERQ!D35</f>
        <v>8962</v>
      </c>
      <c r="F29" s="13">
        <f>HAVERQ!E35</f>
        <v>83359</v>
      </c>
      <c r="G29" s="13">
        <f>HAVERQ!F35</f>
        <v>69483</v>
      </c>
      <c r="H29" s="13">
        <f>HAVERQ!G35</f>
        <v>2900</v>
      </c>
      <c r="I29" s="13">
        <f>HAVERQ!H35</f>
        <v>-491</v>
      </c>
      <c r="J29" s="13">
        <f>HAVERQ!I35</f>
        <v>93411</v>
      </c>
      <c r="K29" s="13">
        <f>HAVERQ!J35</f>
        <v>83621</v>
      </c>
      <c r="L29" s="13" t="e">
        <f>HAVERQ!U35</f>
        <v>#N/A</v>
      </c>
      <c r="M29" s="13" t="e">
        <f>HAVERQ!V35</f>
        <v>#N/A</v>
      </c>
      <c r="N29" s="13" t="e">
        <f>HAVERQ!Y35</f>
        <v>#N/A</v>
      </c>
      <c r="O29" s="13" t="e">
        <f>HAVERQ!Z35</f>
        <v>#N/A</v>
      </c>
      <c r="P29" s="13" t="e">
        <f>HAVERQ!AA35</f>
        <v>#N/A</v>
      </c>
      <c r="Q29" s="13" t="e">
        <f>HAVERQ!AB35</f>
        <v>#N/A</v>
      </c>
      <c r="R29" s="13" t="e">
        <f>HAVERQ!AC35</f>
        <v>#N/A</v>
      </c>
      <c r="U29" s="13">
        <f>HAVERQ!M35</f>
        <v>228161</v>
      </c>
      <c r="V29" s="13">
        <f>HAVERQ!N35</f>
        <v>9003</v>
      </c>
      <c r="W29" s="13">
        <f>HAVERQ!O35</f>
        <v>83523</v>
      </c>
      <c r="X29" s="13">
        <f>HAVERQ!P35</f>
        <v>69796</v>
      </c>
      <c r="Y29" s="13">
        <f>HAVERQ!Q35</f>
        <v>-2874</v>
      </c>
      <c r="Z29" s="13">
        <f>HAVERQ!R35</f>
        <v>-492</v>
      </c>
      <c r="AA29" s="13">
        <f>HAVERQ!S35</f>
        <v>91741</v>
      </c>
      <c r="AB29" s="13">
        <f>HAVERQ!T35</f>
        <v>81360</v>
      </c>
      <c r="AC29" s="13" t="e">
        <f>HAVERQ!W35</f>
        <v>#N/A</v>
      </c>
      <c r="AD29" s="13" t="e">
        <f>HAVERQ!X35</f>
        <v>#N/A</v>
      </c>
      <c r="AE29" s="13" t="e">
        <f>HAVERQ!AD35</f>
        <v>#N/A</v>
      </c>
      <c r="AF29" s="13" t="e">
        <f>HAVERQ!AE35</f>
        <v>#N/A</v>
      </c>
      <c r="AG29" s="13" t="e">
        <f>HAVERQ!AF35</f>
        <v>#N/A</v>
      </c>
      <c r="AH29" s="13" t="e">
        <f>HAVERQ!AG35</f>
        <v>#N/A</v>
      </c>
      <c r="AI29" s="13" t="e">
        <f>HAVERQ!AH35</f>
        <v>#N/A</v>
      </c>
      <c r="AL29">
        <v>2014</v>
      </c>
      <c r="AM29" s="15">
        <f t="shared" ca="1" si="27"/>
        <v>1.0309428602394657</v>
      </c>
      <c r="AN29" s="15">
        <f t="shared" ca="1" si="42"/>
        <v>1</v>
      </c>
      <c r="AO29" s="15">
        <f t="shared" ca="1" si="29"/>
        <v>0.98360827315250909</v>
      </c>
      <c r="AP29" s="15">
        <f t="shared" ca="1" si="43"/>
        <v>0.97631385591090147</v>
      </c>
      <c r="AQ29" s="15">
        <f t="shared" ca="1" si="44"/>
        <v>-1.8772708922083166E-2</v>
      </c>
      <c r="AR29" s="15">
        <f t="shared" ca="1" si="45"/>
        <v>1.3795423956931359</v>
      </c>
      <c r="AS29" s="15">
        <f t="shared" ca="1" si="46"/>
        <v>1.0234378637612329</v>
      </c>
      <c r="AT29" s="15">
        <f t="shared" ca="1" si="47"/>
        <v>1.0192310904484843</v>
      </c>
      <c r="AU29" s="15">
        <f t="shared" ca="1" si="35"/>
        <v>1.044229071649257</v>
      </c>
      <c r="AV29" s="15">
        <f t="shared" ca="1" si="36"/>
        <v>0.73398292661895315</v>
      </c>
      <c r="AW29" s="15">
        <f t="shared" ca="1" si="37"/>
        <v>1.1067238267148014</v>
      </c>
      <c r="AX29" s="15">
        <f t="shared" ca="1" si="38"/>
        <v>0.93423027742258302</v>
      </c>
      <c r="AY29" s="15">
        <f t="shared" ca="1" si="39"/>
        <v>1.0357815442561205</v>
      </c>
      <c r="AZ29" s="15">
        <f t="shared" ca="1" si="40"/>
        <v>0.9499303449971318</v>
      </c>
      <c r="BA29" s="15">
        <f t="shared" ca="1" si="41"/>
        <v>0.9740707375347617</v>
      </c>
      <c r="BD29">
        <v>2014</v>
      </c>
      <c r="BE29" s="8">
        <f>U101/AVERAGE(U98:U104)</f>
        <v>0.96057502260247429</v>
      </c>
      <c r="BF29" s="8">
        <f>U102/AVERAGE(U99:U105)</f>
        <v>0.98283385372591359</v>
      </c>
      <c r="BG29" s="8">
        <f>U103/AVERAGE(U100:U106)</f>
        <v>1.0220614029137409</v>
      </c>
      <c r="BH29" s="8">
        <f>U104/AVERAGE(U101:U107)</f>
        <v>1.0335645910719828</v>
      </c>
      <c r="BI29">
        <v>1</v>
      </c>
      <c r="BL29">
        <v>2014</v>
      </c>
      <c r="BM29" s="8">
        <f>V101/AVERAGE(V98:V104)</f>
        <v>0.99812105127181339</v>
      </c>
      <c r="BN29" s="8">
        <f>V102/AVERAGE(V99:V105)</f>
        <v>0.98732713400095373</v>
      </c>
      <c r="BO29" s="8">
        <f>V103/AVERAGE(V100:V106)</f>
        <v>0.99028776546574304</v>
      </c>
      <c r="BP29" s="8">
        <f>V104/AVERAGE(V101:V107)</f>
        <v>0.97473045822102422</v>
      </c>
      <c r="BQ29">
        <v>1</v>
      </c>
      <c r="BT29">
        <v>2014</v>
      </c>
      <c r="BU29" s="8">
        <f>W101/AVERAGE(W98:W104)</f>
        <v>1.0240192493189599</v>
      </c>
      <c r="BV29" s="8">
        <f>W102/AVERAGE(W99:W105)</f>
        <v>0.99840616563473106</v>
      </c>
      <c r="BW29" s="8">
        <f>W103/AVERAGE(W100:W106)</f>
        <v>0.99090521925915231</v>
      </c>
      <c r="BX29" s="8">
        <f>W104/AVERAGE(W101:W107)</f>
        <v>0.99652077778500359</v>
      </c>
      <c r="BY29">
        <v>1</v>
      </c>
      <c r="CB29">
        <v>2014</v>
      </c>
      <c r="CC29" s="8">
        <f>X101/AVERAGE(X98:X104)</f>
        <v>1.0341797572423093</v>
      </c>
      <c r="CD29" s="8">
        <f>X102/AVERAGE(X99:X105)</f>
        <v>0.93445897707817815</v>
      </c>
      <c r="CE29" s="8">
        <f>X103/AVERAGE(X100:X106)</f>
        <v>0.97831394710852626</v>
      </c>
      <c r="CF29" s="8">
        <f>X104/AVERAGE(X101:X107)</f>
        <v>1.0456867076776672</v>
      </c>
      <c r="CG29">
        <v>1</v>
      </c>
      <c r="CJ29">
        <v>2014</v>
      </c>
      <c r="CK29" s="8">
        <f>Y101/AVERAGE(Y98:Y104)</f>
        <v>-1.3030473828580018</v>
      </c>
      <c r="CL29" s="8">
        <f>Y102/AVERAGE(Y99:Y105)</f>
        <v>1.7298480412658581</v>
      </c>
      <c r="CM29" s="8">
        <f>Y103/AVERAGE(Y100:Y106)</f>
        <v>1.7508036571619423</v>
      </c>
      <c r="CN29" s="8">
        <f>Y104/AVERAGE(Y101:Y107)</f>
        <v>3.8969400121187636</v>
      </c>
      <c r="CO29">
        <v>1</v>
      </c>
      <c r="CR29">
        <v>2014</v>
      </c>
      <c r="CS29" s="8">
        <f>AA101/AVERAGE(AA98:AA104)</f>
        <v>0.96684914988544546</v>
      </c>
      <c r="CT29" s="8">
        <f>AA102/AVERAGE(AA99:AA105)</f>
        <v>1.0035148310588811</v>
      </c>
      <c r="CU29" s="8">
        <f>AA103/AVERAGE(AA100:AA106)</f>
        <v>0.98647976666719794</v>
      </c>
      <c r="CV29" s="8">
        <f>AA104/AVERAGE(AA101:AA107)</f>
        <v>1.0304222715846942</v>
      </c>
      <c r="CW29">
        <v>1</v>
      </c>
      <c r="CZ29">
        <v>2014</v>
      </c>
      <c r="DA29" s="8">
        <f>AB101/AVERAGE(AB98:AB104)</f>
        <v>0.96390885902037027</v>
      </c>
      <c r="DB29" s="8">
        <f>AB102/AVERAGE(AB99:AB105)</f>
        <v>0.96284510315666905</v>
      </c>
      <c r="DC29" s="8">
        <f>AB103/AVERAGE(AB100:AB106)</f>
        <v>1.0198234687421717</v>
      </c>
      <c r="DD29" s="8">
        <f>AB104/AVERAGE(AB101:AB107)</f>
        <v>1.0434992746526994</v>
      </c>
      <c r="DE29">
        <v>1</v>
      </c>
      <c r="DH29">
        <v>2014</v>
      </c>
      <c r="DI29" s="8">
        <f>AC101/AVERAGE(AC98:AC104)</f>
        <v>0.9384765215676123</v>
      </c>
      <c r="DJ29" s="8">
        <f>AC102/AVERAGE(AC99:AC105)</f>
        <v>0.97757858385706442</v>
      </c>
      <c r="DK29" s="8">
        <f>AC103/AVERAGE(AC100:AC106)</f>
        <v>0.97820973577065895</v>
      </c>
      <c r="DL29" s="8">
        <f>AC104/AVERAGE(AC101:AC107)</f>
        <v>1.0805274473133419</v>
      </c>
      <c r="DM29">
        <v>1</v>
      </c>
      <c r="DP29">
        <v>2014</v>
      </c>
      <c r="DQ29" s="8">
        <f>AD101/AVERAGE(AD98:AD104)</f>
        <v>1.5671470352602774</v>
      </c>
      <c r="DR29" s="8">
        <f>AD102/AVERAGE(AD99:AD105)</f>
        <v>0.70247422148453287</v>
      </c>
      <c r="DS29" s="8">
        <f>AD103/AVERAGE(AD100:AD106)</f>
        <v>0.89111534108447366</v>
      </c>
      <c r="DT29" s="8">
        <f>AD104/AVERAGE(AD101:AD107)</f>
        <v>0.93849512617368391</v>
      </c>
      <c r="DU29">
        <v>1</v>
      </c>
      <c r="DX29">
        <v>2014</v>
      </c>
      <c r="DY29" s="8">
        <f>AE101/AVERAGE(AE98:AE104)</f>
        <v>0.9372809667673716</v>
      </c>
      <c r="DZ29" s="8">
        <f>AE102/AVERAGE(AE99:AE105)</f>
        <v>0.99065975178677412</v>
      </c>
      <c r="EA29" s="8">
        <f>AE103/AVERAGE(AE100:AE106)</f>
        <v>0.85162264150943401</v>
      </c>
      <c r="EB29" s="8">
        <f>AE104/AVERAGE(AE101:AE107)</f>
        <v>1.0042646062764971</v>
      </c>
      <c r="EC29">
        <v>1</v>
      </c>
      <c r="EF29">
        <v>2014</v>
      </c>
      <c r="EG29" s="8">
        <f>AF101/AVERAGE(AF98:AF104)</f>
        <v>1.0881427707199032</v>
      </c>
      <c r="EH29" s="8">
        <f>AF102/AVERAGE(AF99:AF105)</f>
        <v>0.91081468323460169</v>
      </c>
      <c r="EI29" s="8">
        <f>AF103/AVERAGE(AF100:AF106)</f>
        <v>1.0099216008863967</v>
      </c>
      <c r="EJ29" s="8">
        <f>AF104/AVERAGE(AF101:AF107)</f>
        <v>1.0882977733016241</v>
      </c>
      <c r="EK29">
        <v>1</v>
      </c>
      <c r="EN29">
        <v>2014</v>
      </c>
      <c r="EO29" s="8">
        <f>AG101/AVERAGE(AG98:AG104)</f>
        <v>0.96689861481433304</v>
      </c>
      <c r="EP29" s="8">
        <f>AG102/AVERAGE(AG99:AG105)</f>
        <v>0.95231289634518579</v>
      </c>
      <c r="EQ29" s="8">
        <f>AG103/AVERAGE(AG100:AG106)</f>
        <v>1.0208198574099216</v>
      </c>
      <c r="ER29" s="8">
        <f>AG104/AVERAGE(AG101:AG107)</f>
        <v>1.0265342529252293</v>
      </c>
      <c r="ES29">
        <v>1</v>
      </c>
      <c r="EV29">
        <v>2014</v>
      </c>
      <c r="EW29" s="8">
        <f>AH101/AVERAGE(AH98:AH104)</f>
        <v>1.0532409405324095</v>
      </c>
      <c r="EX29" s="8">
        <f>AH102/AVERAGE(AH99:AH105)</f>
        <v>0.91099630643826024</v>
      </c>
      <c r="EY29" s="8">
        <f>AH103/AVERAGE(AH100:AH106)</f>
        <v>0.96550012801071339</v>
      </c>
      <c r="EZ29" s="8">
        <f>AH104/AVERAGE(AH101:AH107)</f>
        <v>1.0461639750590606</v>
      </c>
      <c r="FA29">
        <v>1</v>
      </c>
      <c r="FD29">
        <v>2014</v>
      </c>
      <c r="FE29" s="8">
        <f>AI101/AVERAGE(AI98:AI104)</f>
        <v>1.0446338284204557</v>
      </c>
      <c r="FF29" s="8">
        <f>AI102/AVERAGE(AI99:AI105)</f>
        <v>0.95309837424584354</v>
      </c>
      <c r="FG29" s="8">
        <f>AI103/AVERAGE(AI100:AI106)</f>
        <v>0.97270865596796063</v>
      </c>
      <c r="FH29" s="8">
        <f>AI104/AVERAGE(AI101:AI107)</f>
        <v>1.0388924806746311</v>
      </c>
      <c r="FI29">
        <v>1</v>
      </c>
    </row>
    <row r="30" spans="1:165" x14ac:dyDescent="0.35">
      <c r="A30" t="s">
        <v>195</v>
      </c>
      <c r="B30" t="str">
        <f t="shared" si="17"/>
        <v>1996</v>
      </c>
      <c r="C30" t="str">
        <f t="shared" si="18"/>
        <v>Q2</v>
      </c>
      <c r="D30" s="13">
        <f>HAVERQ!C36</f>
        <v>241559</v>
      </c>
      <c r="E30" s="13">
        <f>HAVERQ!D36</f>
        <v>8068</v>
      </c>
      <c r="F30" s="13">
        <f>HAVERQ!E36</f>
        <v>82760</v>
      </c>
      <c r="G30" s="13">
        <f>HAVERQ!F36</f>
        <v>71846</v>
      </c>
      <c r="H30" s="13">
        <f>HAVERQ!G36</f>
        <v>-718</v>
      </c>
      <c r="I30" s="13">
        <f>HAVERQ!H36</f>
        <v>67</v>
      </c>
      <c r="J30" s="13">
        <f>HAVERQ!I36</f>
        <v>94853</v>
      </c>
      <c r="K30" s="13">
        <f>HAVERQ!J36</f>
        <v>84635</v>
      </c>
      <c r="L30" s="13" t="e">
        <f>HAVERQ!U36</f>
        <v>#N/A</v>
      </c>
      <c r="M30" s="13" t="e">
        <f>HAVERQ!V36</f>
        <v>#N/A</v>
      </c>
      <c r="N30" s="13" t="e">
        <f>HAVERQ!Y36</f>
        <v>#N/A</v>
      </c>
      <c r="O30" s="13" t="e">
        <f>HAVERQ!Z36</f>
        <v>#N/A</v>
      </c>
      <c r="P30" s="13" t="e">
        <f>HAVERQ!AA36</f>
        <v>#N/A</v>
      </c>
      <c r="Q30" s="13" t="e">
        <f>HAVERQ!AB36</f>
        <v>#N/A</v>
      </c>
      <c r="R30" s="13" t="e">
        <f>HAVERQ!AC36</f>
        <v>#N/A</v>
      </c>
      <c r="U30" s="13">
        <f>HAVERQ!M36</f>
        <v>234953</v>
      </c>
      <c r="V30" s="13">
        <f>HAVERQ!N36</f>
        <v>8064</v>
      </c>
      <c r="W30" s="13">
        <f>HAVERQ!O36</f>
        <v>82559</v>
      </c>
      <c r="X30" s="13">
        <f>HAVERQ!P36</f>
        <v>72009</v>
      </c>
      <c r="Y30" s="13">
        <f>HAVERQ!Q36</f>
        <v>2546</v>
      </c>
      <c r="Z30" s="13">
        <f>HAVERQ!R36</f>
        <v>66</v>
      </c>
      <c r="AA30" s="13">
        <f>HAVERQ!S36</f>
        <v>93853</v>
      </c>
      <c r="AB30" s="13">
        <f>HAVERQ!T36</f>
        <v>85942</v>
      </c>
      <c r="AC30" s="13" t="e">
        <f>HAVERQ!W36</f>
        <v>#N/A</v>
      </c>
      <c r="AD30" s="13" t="e">
        <f>HAVERQ!X36</f>
        <v>#N/A</v>
      </c>
      <c r="AE30" s="13" t="e">
        <f>HAVERQ!AD36</f>
        <v>#N/A</v>
      </c>
      <c r="AF30" s="13" t="e">
        <f>HAVERQ!AE36</f>
        <v>#N/A</v>
      </c>
      <c r="AG30" s="13" t="e">
        <f>HAVERQ!AF36</f>
        <v>#N/A</v>
      </c>
      <c r="AH30" s="13" t="e">
        <f>HAVERQ!AG36</f>
        <v>#N/A</v>
      </c>
      <c r="AI30" s="13" t="e">
        <f>HAVERQ!AH36</f>
        <v>#N/A</v>
      </c>
      <c r="AL30">
        <v>2015</v>
      </c>
      <c r="AM30" s="15">
        <f t="shared" ca="1" si="27"/>
        <v>1.0294746583650258</v>
      </c>
      <c r="AN30" s="15">
        <f t="shared" ca="1" si="42"/>
        <v>1</v>
      </c>
      <c r="AO30" s="15">
        <f t="shared" ca="1" si="29"/>
        <v>0.98428940319038538</v>
      </c>
      <c r="AP30" s="15">
        <f t="shared" ca="1" si="43"/>
        <v>0.98706239121462791</v>
      </c>
      <c r="AQ30" s="15">
        <f t="shared" ca="1" si="44"/>
        <v>0.4910208393354461</v>
      </c>
      <c r="AR30" s="15">
        <f t="shared" ca="1" si="45"/>
        <v>1.1742027605901952</v>
      </c>
      <c r="AS30" s="15">
        <f t="shared" ca="1" si="46"/>
        <v>1.022169210119672</v>
      </c>
      <c r="AT30" s="15">
        <f t="shared" ca="1" si="47"/>
        <v>1.0194637232053678</v>
      </c>
      <c r="AU30" s="15">
        <f t="shared" ca="1" si="35"/>
        <v>1.0495392082909711</v>
      </c>
      <c r="AV30" s="15">
        <f t="shared" ca="1" si="36"/>
        <v>0.75315292206404172</v>
      </c>
      <c r="AW30" s="15">
        <f t="shared" ca="1" si="37"/>
        <v>1.0647991900101248</v>
      </c>
      <c r="AX30" s="15">
        <f t="shared" ca="1" si="38"/>
        <v>0.94231531276535518</v>
      </c>
      <c r="AY30" s="15">
        <f t="shared" ca="1" si="39"/>
        <v>1.0354169819887997</v>
      </c>
      <c r="AZ30" s="15">
        <f t="shared" ca="1" si="40"/>
        <v>0.96906478498747251</v>
      </c>
      <c r="BA30" s="15">
        <f t="shared" ca="1" si="41"/>
        <v>0.97735279315551082</v>
      </c>
      <c r="BD30">
        <v>2015</v>
      </c>
      <c r="BE30" s="8">
        <f>U105/AVERAGE(U102:U108)</f>
        <v>0.96944099275252127</v>
      </c>
      <c r="BF30" s="8">
        <f>U106/AVERAGE(U103:U109)</f>
        <v>0.98328321928478513</v>
      </c>
      <c r="BG30" s="8">
        <f>U107/AVERAGE(U104:U110)</f>
        <v>1.0167845868591208</v>
      </c>
      <c r="BH30" s="8">
        <f>U108/AVERAGE(U105:U111)</f>
        <v>1.0204222319572733</v>
      </c>
      <c r="BI30">
        <v>1</v>
      </c>
      <c r="BL30">
        <v>2015</v>
      </c>
      <c r="BM30" s="8">
        <f>V105/AVERAGE(V102:V108)</f>
        <v>0.97225740305168562</v>
      </c>
      <c r="BN30" s="8">
        <f>V106/AVERAGE(V103:V109)</f>
        <v>1.0281487743026205</v>
      </c>
      <c r="BO30" s="8">
        <f>V107/AVERAGE(V104:V110)</f>
        <v>1.0232246214821707</v>
      </c>
      <c r="BP30" s="8">
        <f>V108/AVERAGE(V105:V111)</f>
        <v>1.0090645745322873</v>
      </c>
      <c r="BQ30">
        <v>1</v>
      </c>
      <c r="BT30">
        <v>2015</v>
      </c>
      <c r="BU30" s="8">
        <f>W105/AVERAGE(W102:W108)</f>
        <v>1.0102900916506641</v>
      </c>
      <c r="BV30" s="8">
        <f>W106/AVERAGE(W103:W109)</f>
        <v>0.99426741807420826</v>
      </c>
      <c r="BW30" s="8">
        <f>W107/AVERAGE(W104:W110)</f>
        <v>0.99541029287305771</v>
      </c>
      <c r="BX30" s="8">
        <f>W108/AVERAGE(W105:W111)</f>
        <v>1.001268145518261</v>
      </c>
      <c r="BY30">
        <v>1</v>
      </c>
      <c r="CB30">
        <v>2015</v>
      </c>
      <c r="CC30" s="8">
        <f>X105/AVERAGE(X102:X108)</f>
        <v>1.0438236671349252</v>
      </c>
      <c r="CD30" s="8">
        <f>X106/AVERAGE(X103:X109)</f>
        <v>0.9578635517183004</v>
      </c>
      <c r="CE30" s="8">
        <f>X107/AVERAGE(X104:X110)</f>
        <v>0.96868541277910047</v>
      </c>
      <c r="CF30" s="8">
        <f>X108/AVERAGE(X105:X111)</f>
        <v>1.0283426547590231</v>
      </c>
      <c r="CG30">
        <v>1</v>
      </c>
      <c r="CJ30">
        <v>2015</v>
      </c>
      <c r="CK30" s="8">
        <f>Y105/AVERAGE(Y102:Y108)</f>
        <v>2.0934861278648973</v>
      </c>
      <c r="CL30" s="8">
        <f>Y106/AVERAGE(Y103:Y109)</f>
        <v>-2.0979913137893593</v>
      </c>
      <c r="CM30" s="8">
        <f>Y107/AVERAGE(Y104:Y110)</f>
        <v>-1.7228331177231566</v>
      </c>
      <c r="CN30" s="8">
        <f>Y108/AVERAGE(Y105:Y111)</f>
        <v>20.791260702686746</v>
      </c>
      <c r="CO30">
        <v>1</v>
      </c>
      <c r="CR30">
        <v>2015</v>
      </c>
      <c r="CS30" s="8">
        <f>AA105/AVERAGE(AA102:AA108)</f>
        <v>0.97079236960041304</v>
      </c>
      <c r="CT30" s="8">
        <f>AA106/AVERAGE(AA103:AA109)</f>
        <v>1.0305147356552398</v>
      </c>
      <c r="CU30" s="8">
        <f>AA107/AVERAGE(AA104:AA110)</f>
        <v>0.96761268422635671</v>
      </c>
      <c r="CV30" s="8">
        <f>AA108/AVERAGE(AA105:AA111)</f>
        <v>1.0287156178550234</v>
      </c>
      <c r="CW30">
        <v>1</v>
      </c>
      <c r="CZ30">
        <v>2015</v>
      </c>
      <c r="DA30" s="8">
        <f>AB105/AVERAGE(AB102:AB108)</f>
        <v>0.99897299075326196</v>
      </c>
      <c r="DB30" s="8">
        <f>AB106/AVERAGE(AB103:AB109)</f>
        <v>0.98110163914574999</v>
      </c>
      <c r="DC30" s="8">
        <f>AB107/AVERAGE(AB104:AB110)</f>
        <v>1.001119919331481</v>
      </c>
      <c r="DD30" s="8">
        <f>AB108/AVERAGE(AB105:AB111)</f>
        <v>1.0038457295288097</v>
      </c>
      <c r="DE30">
        <v>1</v>
      </c>
      <c r="DH30">
        <v>2015</v>
      </c>
      <c r="DI30" s="8">
        <f>AC105/AVERAGE(AC102:AC108)</f>
        <v>0.97509908057792238</v>
      </c>
      <c r="DJ30" s="8">
        <f>AC106/AVERAGE(AC103:AC109)</f>
        <v>0.9810588230019861</v>
      </c>
      <c r="DK30" s="8">
        <f>AC107/AVERAGE(AC104:AC110)</f>
        <v>0.96280448313336331</v>
      </c>
      <c r="DL30" s="8">
        <f>AC108/AVERAGE(AC105:AC111)</f>
        <v>1.0674673015032519</v>
      </c>
      <c r="DM30">
        <v>1</v>
      </c>
      <c r="DP30">
        <v>2015</v>
      </c>
      <c r="DQ30" s="8">
        <f>AD105/AVERAGE(AD102:AD108)</f>
        <v>1.5054337832371005</v>
      </c>
      <c r="DR30" s="8">
        <f>AD106/AVERAGE(AD103:AD109)</f>
        <v>0.79806973481953114</v>
      </c>
      <c r="DS30" s="8">
        <f>AD107/AVERAGE(AD104:AD110)</f>
        <v>0.8896641357137971</v>
      </c>
      <c r="DT30" s="8">
        <f>AD108/AVERAGE(AD105:AD111)</f>
        <v>0.88365681896255588</v>
      </c>
      <c r="DU30">
        <v>1</v>
      </c>
      <c r="DX30">
        <v>2015</v>
      </c>
      <c r="DY30" s="8">
        <f>AE105/AVERAGE(AE102:AE108)</f>
        <v>1.4697420634920635</v>
      </c>
      <c r="DZ30" s="8">
        <f>AE106/AVERAGE(AE103:AE109)</f>
        <v>0.87384876123363742</v>
      </c>
      <c r="EA30" s="8">
        <f>AE107/AVERAGE(AE104:AE110)</f>
        <v>0.70875831027790392</v>
      </c>
      <c r="EB30" s="8">
        <f>AE108/AVERAGE(AE105:AE111)</f>
        <v>0.95310867036065705</v>
      </c>
      <c r="EC30">
        <v>1</v>
      </c>
      <c r="EF30">
        <v>2015</v>
      </c>
      <c r="EG30" s="8">
        <f>AF105/AVERAGE(AF102:AF108)</f>
        <v>1.0379401519284845</v>
      </c>
      <c r="EH30" s="8">
        <f>AF106/AVERAGE(AF103:AF109)</f>
        <v>0.87962635573499548</v>
      </c>
      <c r="EI30" s="8">
        <f>AF107/AVERAGE(AF104:AF110)</f>
        <v>0.93148606300511305</v>
      </c>
      <c r="EJ30" s="8">
        <f>AF108/AVERAGE(AF105:AF111)</f>
        <v>1.0964510187731773</v>
      </c>
      <c r="EK30">
        <v>1</v>
      </c>
      <c r="EN30">
        <v>2015</v>
      </c>
      <c r="EO30" s="8">
        <f>AG105/AVERAGE(AG102:AG108)</f>
        <v>0.95259902094733306</v>
      </c>
      <c r="EP30" s="8">
        <f>AG106/AVERAGE(AG103:AG109)</f>
        <v>1.0070479950947033</v>
      </c>
      <c r="EQ30" s="8">
        <f>AG107/AVERAGE(AG104:AG110)</f>
        <v>1.0138949919439673</v>
      </c>
      <c r="ER30" s="8">
        <f>AG108/AVERAGE(AG105:AG111)</f>
        <v>1.025463993089186</v>
      </c>
      <c r="ES30">
        <v>1</v>
      </c>
      <c r="EV30">
        <v>2015</v>
      </c>
      <c r="EW30" s="8">
        <f>AH105/AVERAGE(AH102:AH108)</f>
        <v>1.0447115384615384</v>
      </c>
      <c r="EX30" s="8">
        <f>AH106/AVERAGE(AH103:AH109)</f>
        <v>0.95161963122242932</v>
      </c>
      <c r="EY30" s="8">
        <f>AH107/AVERAGE(AH104:AH110)</f>
        <v>1.0110174841086923</v>
      </c>
      <c r="EZ30" s="8">
        <f>AH108/AVERAGE(AH105:AH111)</f>
        <v>1.0333694379711382</v>
      </c>
      <c r="FA30">
        <v>1</v>
      </c>
      <c r="FD30">
        <v>2015</v>
      </c>
      <c r="FE30" s="8">
        <f>AI105/AVERAGE(AI102:AI108)</f>
        <v>1.0105912073417467</v>
      </c>
      <c r="FF30" s="8">
        <f>AI106/AVERAGE(AI103:AI109)</f>
        <v>1.0029005653366023</v>
      </c>
      <c r="FG30" s="8">
        <f>AI107/AVERAGE(AI104:AI110)</f>
        <v>0.97670190778154109</v>
      </c>
      <c r="FH30" s="8">
        <f>AI108/AVERAGE(AI105:AI111)</f>
        <v>0.99936078210189883</v>
      </c>
      <c r="FI30">
        <v>1</v>
      </c>
    </row>
    <row r="31" spans="1:165" x14ac:dyDescent="0.35">
      <c r="A31" t="s">
        <v>196</v>
      </c>
      <c r="B31" t="str">
        <f t="shared" si="17"/>
        <v>1996</v>
      </c>
      <c r="C31" t="str">
        <f t="shared" si="18"/>
        <v>Q3</v>
      </c>
      <c r="D31" s="13">
        <f>HAVERQ!C37</f>
        <v>243639</v>
      </c>
      <c r="E31" s="13">
        <f>HAVERQ!D37</f>
        <v>8100</v>
      </c>
      <c r="F31" s="13">
        <f>HAVERQ!E37</f>
        <v>83261</v>
      </c>
      <c r="G31" s="13">
        <f>HAVERQ!F37</f>
        <v>71269</v>
      </c>
      <c r="H31" s="13">
        <f>HAVERQ!G37</f>
        <v>-349</v>
      </c>
      <c r="I31" s="13">
        <f>HAVERQ!H37</f>
        <v>-610</v>
      </c>
      <c r="J31" s="13">
        <f>HAVERQ!I37</f>
        <v>96007</v>
      </c>
      <c r="K31" s="13">
        <f>HAVERQ!J37</f>
        <v>86356</v>
      </c>
      <c r="L31" s="13" t="e">
        <f>HAVERQ!U37</f>
        <v>#N/A</v>
      </c>
      <c r="M31" s="13" t="e">
        <f>HAVERQ!V37</f>
        <v>#N/A</v>
      </c>
      <c r="N31" s="13" t="e">
        <f>HAVERQ!Y37</f>
        <v>#N/A</v>
      </c>
      <c r="O31" s="13" t="e">
        <f>HAVERQ!Z37</f>
        <v>#N/A</v>
      </c>
      <c r="P31" s="13" t="e">
        <f>HAVERQ!AA37</f>
        <v>#N/A</v>
      </c>
      <c r="Q31" s="13" t="e">
        <f>HAVERQ!AB37</f>
        <v>#N/A</v>
      </c>
      <c r="R31" s="13" t="e">
        <f>HAVERQ!AC37</f>
        <v>#N/A</v>
      </c>
      <c r="U31" s="13">
        <f>HAVERQ!M37</f>
        <v>251473</v>
      </c>
      <c r="V31" s="13">
        <f>HAVERQ!N37</f>
        <v>8083</v>
      </c>
      <c r="W31" s="13">
        <f>HAVERQ!O37</f>
        <v>82799</v>
      </c>
      <c r="X31" s="13">
        <f>HAVERQ!P37</f>
        <v>71254</v>
      </c>
      <c r="Y31" s="13">
        <f>HAVERQ!Q37</f>
        <v>523</v>
      </c>
      <c r="Z31" s="13">
        <f>HAVERQ!R37</f>
        <v>-608</v>
      </c>
      <c r="AA31" s="13">
        <f>HAVERQ!S37</f>
        <v>96277</v>
      </c>
      <c r="AB31" s="13">
        <f>HAVERQ!T37</f>
        <v>87531</v>
      </c>
      <c r="AC31" s="13" t="e">
        <f>HAVERQ!W37</f>
        <v>#N/A</v>
      </c>
      <c r="AD31" s="13" t="e">
        <f>HAVERQ!X37</f>
        <v>#N/A</v>
      </c>
      <c r="AE31" s="13" t="e">
        <f>HAVERQ!AD37</f>
        <v>#N/A</v>
      </c>
      <c r="AF31" s="13" t="e">
        <f>HAVERQ!AE37</f>
        <v>#N/A</v>
      </c>
      <c r="AG31" s="13" t="e">
        <f>HAVERQ!AF37</f>
        <v>#N/A</v>
      </c>
      <c r="AH31" s="13" t="e">
        <f>HAVERQ!AG37</f>
        <v>#N/A</v>
      </c>
      <c r="AI31" s="13" t="e">
        <f>HAVERQ!AH37</f>
        <v>#N/A</v>
      </c>
      <c r="AL31">
        <v>2016</v>
      </c>
      <c r="AM31" s="15">
        <f t="shared" ca="1" si="27"/>
        <v>1.0290593225047691</v>
      </c>
      <c r="AN31" s="15">
        <f t="shared" ca="1" si="42"/>
        <v>1</v>
      </c>
      <c r="AO31" s="15">
        <f t="shared" ca="1" si="29"/>
        <v>0.98733395608049268</v>
      </c>
      <c r="AP31" s="15">
        <f t="shared" ca="1" si="43"/>
        <v>0.97122252864900049</v>
      </c>
      <c r="AQ31" s="15">
        <f t="shared" ca="1" si="44"/>
        <v>33.958083832335326</v>
      </c>
      <c r="AR31" s="15">
        <f t="shared" ca="1" si="45"/>
        <v>10.095238095238095</v>
      </c>
      <c r="AS31" s="15">
        <f t="shared" ca="1" si="46"/>
        <v>1.0232135768701638</v>
      </c>
      <c r="AT31" s="15">
        <f t="shared" ca="1" si="47"/>
        <v>1.0151014817581869</v>
      </c>
      <c r="AU31" s="15">
        <f t="shared" ca="1" si="35"/>
        <v>1.0467517524337255</v>
      </c>
      <c r="AV31" s="15">
        <f t="shared" ca="1" si="36"/>
        <v>0.64866095828019676</v>
      </c>
      <c r="AW31" s="15">
        <f t="shared" ca="1" si="37"/>
        <v>1.0559309309309308</v>
      </c>
      <c r="AX31" s="15">
        <f t="shared" ca="1" si="38"/>
        <v>0.95485089132004219</v>
      </c>
      <c r="AY31" s="15">
        <f t="shared" ca="1" si="39"/>
        <v>1.0327604478643506</v>
      </c>
      <c r="AZ31" s="15">
        <f t="shared" ca="1" si="40"/>
        <v>0.9237588225375184</v>
      </c>
      <c r="BA31" s="15">
        <f t="shared" ca="1" si="41"/>
        <v>0.98011073874398946</v>
      </c>
      <c r="BD31">
        <v>2016</v>
      </c>
      <c r="BE31" s="8">
        <f>U109/AVERAGE(U106:U112)</f>
        <v>0.97127216804966676</v>
      </c>
      <c r="BF31" s="8">
        <f>U110/AVERAGE(U107:U113)</f>
        <v>0.99134779701179421</v>
      </c>
      <c r="BG31" s="8">
        <f>U111/AVERAGE(U108:U114)</f>
        <v>1.0199262449352551</v>
      </c>
      <c r="BH31" s="8">
        <f>U112/AVERAGE(U109:U115)</f>
        <v>1.031328220994379</v>
      </c>
      <c r="BI31">
        <v>1</v>
      </c>
      <c r="BL31">
        <v>2016</v>
      </c>
      <c r="BM31" s="8">
        <f>V109/AVERAGE(V106:V112)</f>
        <v>0.98912768647281923</v>
      </c>
      <c r="BN31" s="8">
        <f>V110/AVERAGE(V107:V113)</f>
        <v>0.99091347894292259</v>
      </c>
      <c r="BO31" s="8">
        <f>V111/AVERAGE(V108:V114)</f>
        <v>0.98345156511580301</v>
      </c>
      <c r="BP31" s="8">
        <f>V112/AVERAGE(V109:V115)</f>
        <v>0.9820092646900398</v>
      </c>
      <c r="BQ31">
        <v>1</v>
      </c>
      <c r="BT31">
        <v>2016</v>
      </c>
      <c r="BU31" s="8">
        <f>W109/AVERAGE(W106:W112)</f>
        <v>1.0159144854906124</v>
      </c>
      <c r="BV31" s="8">
        <f>W110/AVERAGE(W107:W113)</f>
        <v>0.99523965218822807</v>
      </c>
      <c r="BW31" s="8">
        <f>W111/AVERAGE(W108:W114)</f>
        <v>0.98973833437372682</v>
      </c>
      <c r="BX31" s="8">
        <f>W112/AVERAGE(W109:W115)</f>
        <v>0.99703706912669354</v>
      </c>
      <c r="BY31">
        <v>1</v>
      </c>
      <c r="CB31">
        <v>2016</v>
      </c>
      <c r="CC31" s="8">
        <f>X109/AVERAGE(X106:X112)</f>
        <v>1.0290079142252091</v>
      </c>
      <c r="CD31" s="8">
        <f>X110/AVERAGE(X107:X113)</f>
        <v>0.96071882401222264</v>
      </c>
      <c r="CE31" s="8">
        <f>X111/AVERAGE(X108:X114)</f>
        <v>1.0084138364672164</v>
      </c>
      <c r="CF31" s="8">
        <f>X112/AVERAGE(X109:X115)</f>
        <v>1.0277491467410858</v>
      </c>
      <c r="CG31">
        <v>1</v>
      </c>
      <c r="CJ31">
        <v>2016</v>
      </c>
      <c r="CK31" s="8">
        <f>Y109/AVERAGE(Y106:Y112)</f>
        <v>6.7646548232162484E-2</v>
      </c>
      <c r="CL31" s="8">
        <f>Y110/AVERAGE(Y107:Y113)</f>
        <v>3.493957877776499</v>
      </c>
      <c r="CM31" s="8">
        <f>Y111/AVERAGE(Y108:Y114)</f>
        <v>2.5253012048192769</v>
      </c>
      <c r="CN31" s="8">
        <f>Y112/AVERAGE(Y109:Y115)</f>
        <v>5.1143488173268734</v>
      </c>
      <c r="CO31">
        <v>1</v>
      </c>
      <c r="CR31">
        <v>2016</v>
      </c>
      <c r="CS31" s="8">
        <f>AA109/AVERAGE(AA106:AA112)</f>
        <v>0.97026072459005519</v>
      </c>
      <c r="CT31" s="8">
        <f>AA110/AVERAGE(AA107:AA113)</f>
        <v>1.0283999679020142</v>
      </c>
      <c r="CU31" s="8">
        <f>AA111/AVERAGE(AA108:AA114)</f>
        <v>0.96027587161937189</v>
      </c>
      <c r="CV31" s="8">
        <f>AA112/AVERAGE(AA109:AA115)</f>
        <v>1.020032301931918</v>
      </c>
      <c r="CW31">
        <v>1</v>
      </c>
      <c r="CZ31">
        <v>2016</v>
      </c>
      <c r="DA31" s="8">
        <f>AB109/AVERAGE(AB106:AB112)</f>
        <v>0.98614412856834122</v>
      </c>
      <c r="DB31" s="8">
        <f>AB110/AVERAGE(AB107:AB113)</f>
        <v>0.99611154733431306</v>
      </c>
      <c r="DC31" s="8">
        <f>AB111/AVERAGE(AB108:AB114)</f>
        <v>1.0426650352430222</v>
      </c>
      <c r="DD31" s="8">
        <f>AB112/AVERAGE(AB109:AB115)</f>
        <v>0.98340609391731504</v>
      </c>
      <c r="DE31">
        <v>1</v>
      </c>
      <c r="DH31">
        <v>2016</v>
      </c>
      <c r="DI31" s="8">
        <f>AC109/AVERAGE(AC106:AC112)</f>
        <v>0.98022824651301832</v>
      </c>
      <c r="DJ31" s="8">
        <f>AC110/AVERAGE(AC107:AC113)</f>
        <v>0.99955828437651839</v>
      </c>
      <c r="DK31" s="8">
        <f>AC111/AVERAGE(AC108:AC114)</f>
        <v>1.0252216511136618</v>
      </c>
      <c r="DL31" s="8">
        <f>AC112/AVERAGE(AC109:AC115)</f>
        <v>1.0483857858287606</v>
      </c>
      <c r="DM31">
        <v>1</v>
      </c>
      <c r="DP31">
        <v>2016</v>
      </c>
      <c r="DQ31" s="8">
        <f>AD109/AVERAGE(AD106:AD112)</f>
        <v>1.4211134638323053</v>
      </c>
      <c r="DR31" s="8">
        <f>AD110/AVERAGE(AD107:AD113)</f>
        <v>0.76762150537634399</v>
      </c>
      <c r="DS31" s="8">
        <f>AD111/AVERAGE(AD108:AD114)</f>
        <v>0.91342210477546892</v>
      </c>
      <c r="DT31" s="8">
        <f>AD112/AVERAGE(AD109:AD115)</f>
        <v>0.88864601286308786</v>
      </c>
      <c r="DU31">
        <v>1</v>
      </c>
      <c r="DX31">
        <v>2016</v>
      </c>
      <c r="DY31" s="8">
        <f>AE109/AVERAGE(AE106:AE112)</f>
        <v>1.1610493109745974</v>
      </c>
      <c r="DZ31" s="8">
        <f>AE110/AVERAGE(AE107:AE113)</f>
        <v>1.2046684501807339</v>
      </c>
      <c r="EA31" s="8">
        <f>AE111/AVERAGE(AE108:AE114)</f>
        <v>1.0634830180077501</v>
      </c>
      <c r="EB31" s="8">
        <f>AE112/AVERAGE(AE109:AE115)</f>
        <v>0.84940758972010766</v>
      </c>
      <c r="EC31">
        <v>1</v>
      </c>
      <c r="EF31">
        <v>2016</v>
      </c>
      <c r="EG31" s="8">
        <f>AF109/AVERAGE(AF106:AF112)</f>
        <v>1.0280818230755426</v>
      </c>
      <c r="EH31" s="8">
        <f>AF110/AVERAGE(AF107:AF113)</f>
        <v>0.93415827064391088</v>
      </c>
      <c r="EI31" s="8">
        <f>AF111/AVERAGE(AF108:AF114)</f>
        <v>0.99858811348430054</v>
      </c>
      <c r="EJ31" s="8">
        <f>AF112/AVERAGE(AF109:AF115)</f>
        <v>1.0608941458869605</v>
      </c>
      <c r="EK31">
        <v>1</v>
      </c>
      <c r="EN31">
        <v>2016</v>
      </c>
      <c r="EO31" s="8">
        <f>AG109/AVERAGE(AG106:AG112)</f>
        <v>0.96290263287994216</v>
      </c>
      <c r="EP31" s="8">
        <f>AG110/AVERAGE(AG107:AG113)</f>
        <v>0.9737539684024723</v>
      </c>
      <c r="EQ31" s="8">
        <f>AG111/AVERAGE(AG108:AG114)</f>
        <v>1.0067729766803841</v>
      </c>
      <c r="ER31" s="8">
        <f>AG112/AVERAGE(AG109:AG115)</f>
        <v>1.0413386299265519</v>
      </c>
      <c r="ES31">
        <v>1</v>
      </c>
      <c r="EV31">
        <v>2016</v>
      </c>
      <c r="EW31" s="8">
        <f>AH109/AVERAGE(AH106:AH112)</f>
        <v>1.0505137048203659</v>
      </c>
      <c r="EX31" s="8">
        <f>AH110/AVERAGE(AH107:AH113)</f>
        <v>0.90920157003030755</v>
      </c>
      <c r="EY31" s="8">
        <f>AH111/AVERAGE(AH108:AH114)</f>
        <v>1.0104185686819973</v>
      </c>
      <c r="EZ31" s="8">
        <f>AH112/AVERAGE(AH109:AH115)</f>
        <v>1.0376728098261996</v>
      </c>
      <c r="FA31">
        <v>1</v>
      </c>
      <c r="FD31">
        <v>2016</v>
      </c>
      <c r="FE31" s="8">
        <f>AI109/AVERAGE(AI106:AI112)</f>
        <v>1.0150811636002515</v>
      </c>
      <c r="FF31" s="8">
        <f>AI110/AVERAGE(AI107:AI113)</f>
        <v>0.97000849307788106</v>
      </c>
      <c r="FG31" s="8">
        <f>AI111/AVERAGE(AI108:AI114)</f>
        <v>0.99945959577764165</v>
      </c>
      <c r="FH31" s="8">
        <f>AI112/AVERAGE(AI109:AI115)</f>
        <v>1.0313852318550951</v>
      </c>
      <c r="FI31">
        <v>1</v>
      </c>
    </row>
    <row r="32" spans="1:165" x14ac:dyDescent="0.35">
      <c r="A32" t="s">
        <v>197</v>
      </c>
      <c r="B32" t="str">
        <f t="shared" si="17"/>
        <v>1996</v>
      </c>
      <c r="C32" t="str">
        <f t="shared" si="18"/>
        <v>Q4</v>
      </c>
      <c r="D32" s="13">
        <f>HAVERQ!C38</f>
        <v>246780</v>
      </c>
      <c r="E32" s="13">
        <f>HAVERQ!D38</f>
        <v>8445</v>
      </c>
      <c r="F32" s="13">
        <f>HAVERQ!E38</f>
        <v>83484</v>
      </c>
      <c r="G32" s="13">
        <f>HAVERQ!F38</f>
        <v>68837</v>
      </c>
      <c r="H32" s="13">
        <f>HAVERQ!G38</f>
        <v>1941</v>
      </c>
      <c r="I32" s="13">
        <f>HAVERQ!H38</f>
        <v>-220</v>
      </c>
      <c r="J32" s="13">
        <f>HAVERQ!I38</f>
        <v>98508</v>
      </c>
      <c r="K32" s="13">
        <f>HAVERQ!J38</f>
        <v>88403</v>
      </c>
      <c r="L32" s="13" t="e">
        <f>HAVERQ!U38</f>
        <v>#N/A</v>
      </c>
      <c r="M32" s="13" t="e">
        <f>HAVERQ!V38</f>
        <v>#N/A</v>
      </c>
      <c r="N32" s="13" t="e">
        <f>HAVERQ!Y38</f>
        <v>#N/A</v>
      </c>
      <c r="O32" s="13" t="e">
        <f>HAVERQ!Z38</f>
        <v>#N/A</v>
      </c>
      <c r="P32" s="13" t="e">
        <f>HAVERQ!AA38</f>
        <v>#N/A</v>
      </c>
      <c r="Q32" s="13" t="e">
        <f>HAVERQ!AB38</f>
        <v>#N/A</v>
      </c>
      <c r="R32" s="13" t="e">
        <f>HAVERQ!AC38</f>
        <v>#N/A</v>
      </c>
      <c r="U32" s="13">
        <f>HAVERQ!M38</f>
        <v>256947</v>
      </c>
      <c r="V32" s="13">
        <f>HAVERQ!N38</f>
        <v>8425</v>
      </c>
      <c r="W32" s="13">
        <f>HAVERQ!O38</f>
        <v>83983</v>
      </c>
      <c r="X32" s="13">
        <f>HAVERQ!P38</f>
        <v>68376</v>
      </c>
      <c r="Y32" s="13">
        <f>HAVERQ!Q38</f>
        <v>3579</v>
      </c>
      <c r="Z32" s="13">
        <f>HAVERQ!R38</f>
        <v>-220</v>
      </c>
      <c r="AA32" s="13">
        <f>HAVERQ!S38</f>
        <v>100908</v>
      </c>
      <c r="AB32" s="13">
        <f>HAVERQ!T38</f>
        <v>88182</v>
      </c>
      <c r="AC32" s="13" t="e">
        <f>HAVERQ!W38</f>
        <v>#N/A</v>
      </c>
      <c r="AD32" s="13" t="e">
        <f>HAVERQ!X38</f>
        <v>#N/A</v>
      </c>
      <c r="AE32" s="13" t="e">
        <f>HAVERQ!AD38</f>
        <v>#N/A</v>
      </c>
      <c r="AF32" s="13" t="e">
        <f>HAVERQ!AE38</f>
        <v>#N/A</v>
      </c>
      <c r="AG32" s="13" t="e">
        <f>HAVERQ!AF38</f>
        <v>#N/A</v>
      </c>
      <c r="AH32" s="13" t="e">
        <f>HAVERQ!AG38</f>
        <v>#N/A</v>
      </c>
      <c r="AI32" s="13" t="e">
        <f>HAVERQ!AH38</f>
        <v>#N/A</v>
      </c>
      <c r="AL32">
        <v>2017</v>
      </c>
      <c r="AM32" s="15">
        <f t="shared" ca="1" si="27"/>
        <v>1.0314187809781739</v>
      </c>
      <c r="AN32" s="15">
        <f t="shared" ca="1" si="42"/>
        <v>1</v>
      </c>
      <c r="AO32" s="15">
        <f t="shared" ca="1" si="29"/>
        <v>0.98391911637626284</v>
      </c>
      <c r="AP32" s="15">
        <f t="shared" ca="1" si="43"/>
        <v>0.98813031610754498</v>
      </c>
      <c r="AQ32" s="15">
        <f t="shared" ca="1" si="44"/>
        <v>-2.5724217844727693</v>
      </c>
      <c r="AR32" s="15">
        <f t="shared" ca="1" si="45"/>
        <v>0.70351390922401169</v>
      </c>
      <c r="AS32" s="15">
        <f t="shared" ca="1" si="46"/>
        <v>1.0160898867218835</v>
      </c>
      <c r="AT32" s="15">
        <f t="shared" ca="1" si="47"/>
        <v>1.007932407966204</v>
      </c>
      <c r="AU32" s="15">
        <f t="shared" ca="1" si="35"/>
        <v>1.0474494415937217</v>
      </c>
      <c r="AV32" s="15">
        <f t="shared" ca="1" si="36"/>
        <v>0.72953769493402232</v>
      </c>
      <c r="AW32" s="15">
        <f t="shared" ca="1" si="37"/>
        <v>1.0783576241968345</v>
      </c>
      <c r="AX32" s="15">
        <f t="shared" ca="1" si="38"/>
        <v>0.9600042492165507</v>
      </c>
      <c r="AY32" s="15">
        <f t="shared" ca="1" si="39"/>
        <v>1.0286120639170082</v>
      </c>
      <c r="AZ32" s="15">
        <f t="shared" ca="1" si="40"/>
        <v>0.96658489532474334</v>
      </c>
      <c r="BA32" s="15">
        <f t="shared" ca="1" si="41"/>
        <v>0.98311972491403565</v>
      </c>
      <c r="BD32">
        <v>2017</v>
      </c>
      <c r="BE32" s="8">
        <f>U113/AVERAGE(U110:U116)</f>
        <v>0.96786851553299258</v>
      </c>
      <c r="BF32" s="8">
        <f>U114/AVERAGE(U111:U117)</f>
        <v>0.98863445096467384</v>
      </c>
      <c r="BG32" s="8">
        <f>U115/AVERAGE(U112:U118)</f>
        <v>1.0136437644086622</v>
      </c>
      <c r="BH32" s="8">
        <f>U116/AVERAGE(U113:U119)</f>
        <v>1.0318152071077471</v>
      </c>
      <c r="BI32">
        <v>1</v>
      </c>
      <c r="BL32">
        <v>2017</v>
      </c>
      <c r="BM32" s="8">
        <f>V113/AVERAGE(V110:V116)</f>
        <v>0.9903616734780657</v>
      </c>
      <c r="BN32" s="8">
        <f>V114/AVERAGE(V111:V117)</f>
        <v>0.99569420749045412</v>
      </c>
      <c r="BO32" s="8">
        <f>V115/AVERAGE(V112:V118)</f>
        <v>0.98669306930693068</v>
      </c>
      <c r="BP32" s="8">
        <f>V116/AVERAGE(V113:V119)</f>
        <v>0.98905265934645703</v>
      </c>
      <c r="BQ32">
        <v>1</v>
      </c>
      <c r="BT32">
        <v>2017</v>
      </c>
      <c r="BU32" s="8">
        <f>W113/AVERAGE(W110:W116)</f>
        <v>1.0151059811027139</v>
      </c>
      <c r="BV32" s="8">
        <f>W114/AVERAGE(W111:W117)</f>
        <v>0.99283358212002559</v>
      </c>
      <c r="BW32" s="8">
        <f>W115/AVERAGE(W112:W118)</f>
        <v>0.99284666509715858</v>
      </c>
      <c r="BX32" s="8">
        <f>W116/AVERAGE(W113:W119)</f>
        <v>1.0052193271208183</v>
      </c>
      <c r="BY32">
        <v>1</v>
      </c>
      <c r="CB32">
        <v>2017</v>
      </c>
      <c r="CC32" s="8">
        <f>X113/AVERAGE(X110:X116)</f>
        <v>1.0055866792653738</v>
      </c>
      <c r="CD32" s="8">
        <f>X114/AVERAGE(X111:X117)</f>
        <v>0.96118186111640469</v>
      </c>
      <c r="CE32" s="8">
        <f>X115/AVERAGE(X112:X118)</f>
        <v>1.0023144986895591</v>
      </c>
      <c r="CF32" s="8">
        <f>X116/AVERAGE(X113:X119)</f>
        <v>1.0636128448579845</v>
      </c>
      <c r="CG32">
        <v>1</v>
      </c>
      <c r="CJ32">
        <v>2017</v>
      </c>
      <c r="CK32" s="8">
        <f>Y113/AVERAGE(Y110:Y116)</f>
        <v>-0.27623576752480677</v>
      </c>
      <c r="CL32" s="8">
        <f>Y114/AVERAGE(Y111:Y117)</f>
        <v>-0.74246971808339579</v>
      </c>
      <c r="CM32" s="8">
        <f>Y115/AVERAGE(Y112:Y118)</f>
        <v>0.46818210204209082</v>
      </c>
      <c r="CN32" s="8">
        <f>Y116/AVERAGE(Y113:Y119)</f>
        <v>9.433962264150944</v>
      </c>
      <c r="CO32">
        <v>1</v>
      </c>
      <c r="CR32">
        <v>2017</v>
      </c>
      <c r="CS32" s="8">
        <f>AA113/AVERAGE(AA110:AA116)</f>
        <v>0.98056044049641022</v>
      </c>
      <c r="CT32" s="8">
        <f>AA114/AVERAGE(AA111:AA117)</f>
        <v>1.016741011924861</v>
      </c>
      <c r="CU32" s="8">
        <f>AA115/AVERAGE(AA112:AA118)</f>
        <v>1.0033302088651206</v>
      </c>
      <c r="CV32" s="8">
        <f>AA116/AVERAGE(AA113:AA119)</f>
        <v>1.0163952481557164</v>
      </c>
      <c r="CW32">
        <v>1</v>
      </c>
      <c r="CZ32">
        <v>2017</v>
      </c>
      <c r="DA32" s="8">
        <f>AB113/AVERAGE(AB110:AB116)</f>
        <v>0.97932302006029093</v>
      </c>
      <c r="DB32" s="8">
        <f>AB114/AVERAGE(AB111:AB117)</f>
        <v>1.0045538698825225</v>
      </c>
      <c r="DC32" s="8">
        <f>AB115/AVERAGE(AB112:AB118)</f>
        <v>1.0342749468552175</v>
      </c>
      <c r="DD32" s="8">
        <f>AB116/AVERAGE(AB113:AB119)</f>
        <v>0.98605411933326248</v>
      </c>
      <c r="DE32">
        <v>1</v>
      </c>
      <c r="DH32">
        <v>2017</v>
      </c>
      <c r="DI32" s="8">
        <f>AC113/AVERAGE(AC110:AC116)</f>
        <v>0.9484101830078725</v>
      </c>
      <c r="DJ32" s="8">
        <f>AC114/AVERAGE(AC111:AC117)</f>
        <v>0.97888219654697028</v>
      </c>
      <c r="DK32" s="8">
        <f>AC115/AVERAGE(AC112:AC118)</f>
        <v>1.0007255004092566</v>
      </c>
      <c r="DL32" s="8">
        <f>AC116/AVERAGE(AC113:AC119)</f>
        <v>1.0949205445405672</v>
      </c>
      <c r="DM32">
        <v>1</v>
      </c>
      <c r="DP32">
        <v>2017</v>
      </c>
      <c r="DQ32" s="8">
        <f>AD113/AVERAGE(AD110:AD116)</f>
        <v>1.3293087888691264</v>
      </c>
      <c r="DR32" s="8">
        <f>AD114/AVERAGE(AD111:AD117)</f>
        <v>0.85189553496208925</v>
      </c>
      <c r="DS32" s="8">
        <f>AD115/AVERAGE(AD112:AD118)</f>
        <v>0.97000705430190781</v>
      </c>
      <c r="DT32" s="8">
        <f>AD116/AVERAGE(AD113:AD119)</f>
        <v>0.9596110635779912</v>
      </c>
      <c r="DU32">
        <v>1</v>
      </c>
      <c r="DX32">
        <v>2017</v>
      </c>
      <c r="DY32" s="8">
        <f>AE113/AVERAGE(AE110:AE116)</f>
        <v>0.84132903882013899</v>
      </c>
      <c r="DZ32" s="8">
        <f>AE114/AVERAGE(AE111:AE117)</f>
        <v>1.2053417345587349</v>
      </c>
      <c r="EA32" s="8">
        <f>AE115/AVERAGE(AE112:AE118)</f>
        <v>1.0182428456223709</v>
      </c>
      <c r="EB32" s="8">
        <f>AE116/AVERAGE(AE113:AE119)</f>
        <v>1.3443349208107209</v>
      </c>
      <c r="EC32">
        <v>1</v>
      </c>
      <c r="EF32">
        <v>2017</v>
      </c>
      <c r="EG32" s="8">
        <f>AF113/AVERAGE(AF110:AF116)</f>
        <v>1.0239219951829694</v>
      </c>
      <c r="EH32" s="8">
        <f>AF114/AVERAGE(AF111:AF117)</f>
        <v>0.92965882057869009</v>
      </c>
      <c r="EI32" s="8">
        <f>AF115/AVERAGE(AF112:AF118)</f>
        <v>0.96743540465513556</v>
      </c>
      <c r="EJ32" s="8">
        <f>AF116/AVERAGE(AF113:AF119)</f>
        <v>1.0833628919081475</v>
      </c>
      <c r="EK32">
        <v>1</v>
      </c>
      <c r="EN32">
        <v>2017</v>
      </c>
      <c r="EO32" s="8">
        <f>AG113/AVERAGE(AG110:AG116)</f>
        <v>0.97357520188033797</v>
      </c>
      <c r="EP32" s="8">
        <f>AG114/AVERAGE(AG111:AG117)</f>
        <v>0.99069722176105879</v>
      </c>
      <c r="EQ32" s="8">
        <f>AG115/AVERAGE(AG112:AG118)</f>
        <v>1.0160449823476996</v>
      </c>
      <c r="ER32" s="8">
        <f>AG116/AVERAGE(AG113:AG119)</f>
        <v>1.0520815898414397</v>
      </c>
      <c r="ES32">
        <v>1</v>
      </c>
      <c r="EV32">
        <v>2017</v>
      </c>
      <c r="EW32" s="8">
        <f>AH113/AVERAGE(AH110:AH116)</f>
        <v>1.0470648169919274</v>
      </c>
      <c r="EX32" s="8">
        <f>AH114/AVERAGE(AH111:AH117)</f>
        <v>0.90485202123744946</v>
      </c>
      <c r="EY32" s="8">
        <f>AH115/AVERAGE(AH112:AH118)</f>
        <v>1.0231744504425468</v>
      </c>
      <c r="EZ32" s="8">
        <f>AH116/AVERAGE(AH113:AH119)</f>
        <v>1.0400206284616254</v>
      </c>
      <c r="FA32">
        <v>1</v>
      </c>
      <c r="FD32">
        <v>2017</v>
      </c>
      <c r="FE32" s="8">
        <f>AI113/AVERAGE(AI110:AI116)</f>
        <v>1.0113156230868821</v>
      </c>
      <c r="FF32" s="8">
        <f>AI114/AVERAGE(AI111:AI117)</f>
        <v>0.96940762301852657</v>
      </c>
      <c r="FG32" s="8">
        <f>AI115/AVERAGE(AI112:AI118)</f>
        <v>0.98704083671649212</v>
      </c>
      <c r="FH32" s="8">
        <f>AI116/AVERAGE(AI113:AI119)</f>
        <v>1.0243927356934708</v>
      </c>
      <c r="FI32">
        <v>1</v>
      </c>
    </row>
    <row r="33" spans="1:165" x14ac:dyDescent="0.35">
      <c r="A33" t="s">
        <v>198</v>
      </c>
      <c r="B33" t="str">
        <f t="shared" si="17"/>
        <v>1997</v>
      </c>
      <c r="C33" t="str">
        <f t="shared" si="18"/>
        <v>Q1</v>
      </c>
      <c r="D33" s="13">
        <f>HAVERQ!C39</f>
        <v>249328</v>
      </c>
      <c r="E33" s="13">
        <f>HAVERQ!D39</f>
        <v>10272</v>
      </c>
      <c r="F33" s="13">
        <f>HAVERQ!E39</f>
        <v>82772</v>
      </c>
      <c r="G33" s="13">
        <f>HAVERQ!F39</f>
        <v>66734</v>
      </c>
      <c r="H33" s="13">
        <f>HAVERQ!G39</f>
        <v>-2841</v>
      </c>
      <c r="I33" s="13">
        <f>HAVERQ!H39</f>
        <v>602</v>
      </c>
      <c r="J33" s="13">
        <f>HAVERQ!I39</f>
        <v>105733</v>
      </c>
      <c r="K33" s="13">
        <f>HAVERQ!J39</f>
        <v>90862</v>
      </c>
      <c r="L33" s="13">
        <f>HAVERQ!U39</f>
        <v>37825</v>
      </c>
      <c r="M33" s="13">
        <f>HAVERQ!V39</f>
        <v>6170</v>
      </c>
      <c r="N33" s="13">
        <f>HAVERQ!Y39</f>
        <v>3547</v>
      </c>
      <c r="O33" s="13">
        <f>HAVERQ!Z39</f>
        <v>9079</v>
      </c>
      <c r="P33" s="13">
        <f>HAVERQ!AA39</f>
        <v>20290</v>
      </c>
      <c r="Q33" s="13">
        <f>HAVERQ!AB39</f>
        <v>24335</v>
      </c>
      <c r="R33" s="13">
        <f>HAVERQ!AC39</f>
        <v>12217</v>
      </c>
      <c r="U33" s="13">
        <f>HAVERQ!M39</f>
        <v>242507</v>
      </c>
      <c r="V33" s="13">
        <f>HAVERQ!N39</f>
        <v>10272</v>
      </c>
      <c r="W33" s="13">
        <f>HAVERQ!O39</f>
        <v>82517</v>
      </c>
      <c r="X33" s="13">
        <f>HAVERQ!P39</f>
        <v>69063</v>
      </c>
      <c r="Y33" s="13">
        <f>HAVERQ!Q39</f>
        <v>-3676</v>
      </c>
      <c r="Z33" s="13">
        <f>HAVERQ!R39</f>
        <v>563</v>
      </c>
      <c r="AA33" s="13">
        <f>HAVERQ!S39</f>
        <v>102511</v>
      </c>
      <c r="AB33" s="13">
        <f>HAVERQ!T39</f>
        <v>87296</v>
      </c>
      <c r="AC33" s="13">
        <f>HAVERQ!W39</f>
        <v>37189</v>
      </c>
      <c r="AD33" s="13">
        <f>HAVERQ!X39</f>
        <v>9179</v>
      </c>
      <c r="AE33" s="13">
        <f>HAVERQ!AD39</f>
        <v>3890</v>
      </c>
      <c r="AF33" s="13">
        <f>HAVERQ!AE39</f>
        <v>9669</v>
      </c>
      <c r="AG33" s="13">
        <f>HAVERQ!AF39</f>
        <v>20570</v>
      </c>
      <c r="AH33" s="13">
        <f>HAVERQ!AG39</f>
        <v>25442</v>
      </c>
      <c r="AI33" s="13">
        <f>HAVERQ!AH39</f>
        <v>12184</v>
      </c>
      <c r="AL33">
        <v>2018</v>
      </c>
      <c r="AM33" s="15">
        <f t="shared" ca="1" si="27"/>
        <v>1.0323741098645189</v>
      </c>
      <c r="AN33" s="15">
        <f t="shared" ca="1" si="42"/>
        <v>1</v>
      </c>
      <c r="AO33" s="15">
        <f t="shared" ca="1" si="29"/>
        <v>0.98677640817600254</v>
      </c>
      <c r="AP33" s="15">
        <f t="shared" ca="1" si="43"/>
        <v>1.0075623979855477</v>
      </c>
      <c r="AQ33" s="15">
        <f t="shared" ca="1" si="44"/>
        <v>2.428063943161634</v>
      </c>
      <c r="AR33" s="15">
        <f t="shared" ca="1" si="45"/>
        <v>-0.24542124542124541</v>
      </c>
      <c r="AS33" s="15">
        <f t="shared" ca="1" si="46"/>
        <v>1.0189076857187354</v>
      </c>
      <c r="AT33" s="15">
        <f t="shared" ca="1" si="47"/>
        <v>1.0137206514841712</v>
      </c>
      <c r="AU33" s="15">
        <f t="shared" ca="1" si="35"/>
        <v>1.0723304119590304</v>
      </c>
      <c r="AV33" s="15">
        <f t="shared" ca="1" si="36"/>
        <v>0.77737634408602152</v>
      </c>
      <c r="AW33" s="15">
        <f t="shared" ca="1" si="37"/>
        <v>1.109477756286267</v>
      </c>
      <c r="AX33" s="15">
        <f t="shared" ca="1" si="38"/>
        <v>0.97258604934511117</v>
      </c>
      <c r="AY33" s="15">
        <f t="shared" ca="1" si="39"/>
        <v>1.0269344170850268</v>
      </c>
      <c r="AZ33" s="15">
        <f t="shared" ca="1" si="40"/>
        <v>1.0216505842990835</v>
      </c>
      <c r="BA33" s="15">
        <f t="shared" ca="1" si="41"/>
        <v>0.97810860996188553</v>
      </c>
      <c r="BD33">
        <v>2018</v>
      </c>
      <c r="BE33" s="8">
        <f>U117/AVERAGE(U114:U120)</f>
        <v>0.96677422752808995</v>
      </c>
      <c r="BF33" s="8">
        <f>U118/AVERAGE(U115:U121)</f>
        <v>0.98633504456680743</v>
      </c>
      <c r="BG33" s="8">
        <f>U119/AVERAGE(U116:U122)</f>
        <v>1.0126457535463602</v>
      </c>
      <c r="BH33" s="8">
        <f>U120/AVERAGE(U117:U123)</f>
        <v>1.0371141531674881</v>
      </c>
      <c r="BI33">
        <v>1</v>
      </c>
      <c r="BL33">
        <v>2018</v>
      </c>
      <c r="BM33" s="8">
        <f>V117/AVERAGE(V114:V120)</f>
        <v>0.98809473010454452</v>
      </c>
      <c r="BN33" s="8">
        <f>V118/AVERAGE(V115:V121)</f>
        <v>1.010632874517515</v>
      </c>
      <c r="BO33" s="8">
        <f>V119/AVERAGE(V116:V122)</f>
        <v>1.0253573546553241</v>
      </c>
      <c r="BP33" s="8">
        <f>V120/AVERAGE(V117:V123)</f>
        <v>1.0439081157660393</v>
      </c>
      <c r="BQ33">
        <v>1</v>
      </c>
      <c r="BT33">
        <v>2018</v>
      </c>
      <c r="BU33" s="8">
        <f>W117/AVERAGE(W114:W120)</f>
        <v>1.013689313478161</v>
      </c>
      <c r="BV33" s="8">
        <f>W118/AVERAGE(W115:W121)</f>
        <v>0.98801065520058173</v>
      </c>
      <c r="BW33" s="8">
        <f>W119/AVERAGE(W116:W122)</f>
        <v>0.98015797280510542</v>
      </c>
      <c r="BX33" s="8">
        <f>W120/AVERAGE(W117:W123)</f>
        <v>1.0006133439601761</v>
      </c>
      <c r="BY33">
        <v>1</v>
      </c>
      <c r="CB33">
        <v>2018</v>
      </c>
      <c r="CC33" s="8">
        <f>X117/AVERAGE(X114:X120)</f>
        <v>1.0064982315611206</v>
      </c>
      <c r="CD33" s="8">
        <f>X118/AVERAGE(X115:X121)</f>
        <v>0.93819470503369085</v>
      </c>
      <c r="CE33" s="8">
        <f>X119/AVERAGE(X116:X122)</f>
        <v>0.98934305955362822</v>
      </c>
      <c r="CF33" s="8">
        <f>X120/AVERAGE(X117:X123)</f>
        <v>1.0326249657535456</v>
      </c>
      <c r="CG33">
        <v>1</v>
      </c>
      <c r="CJ33">
        <v>2018</v>
      </c>
      <c r="CK33" s="8">
        <f>Y117/AVERAGE(Y114:Y120)</f>
        <v>0.91736499068901312</v>
      </c>
      <c r="CL33" s="8">
        <f>Y118/AVERAGE(Y115:Y121)</f>
        <v>-1.3204583038034492</v>
      </c>
      <c r="CM33" s="8">
        <f>Y119/AVERAGE(Y116:Y122)</f>
        <v>0.15870589733791873</v>
      </c>
      <c r="CN33" s="8">
        <f>Y120/AVERAGE(Y117:Y123)</f>
        <v>5.3545221843003414</v>
      </c>
      <c r="CO33">
        <v>1</v>
      </c>
      <c r="CR33">
        <v>2018</v>
      </c>
      <c r="CS33" s="8">
        <f>AA117/AVERAGE(AA114:AA120)</f>
        <v>0.98119545470980019</v>
      </c>
      <c r="CT33" s="8">
        <f>AA118/AVERAGE(AA115:AA121)</f>
        <v>1.0176465698278951</v>
      </c>
      <c r="CU33" s="8">
        <f>AA119/AVERAGE(AA116:AA122)</f>
        <v>1.0000715529372481</v>
      </c>
      <c r="CV33" s="8">
        <f>AA120/AVERAGE(AA117:AA123)</f>
        <v>1.0351125272768724</v>
      </c>
      <c r="CW33">
        <v>1</v>
      </c>
      <c r="CZ33">
        <v>2018</v>
      </c>
      <c r="DA33" s="8">
        <f>AB117/AVERAGE(AB114:AB120)</f>
        <v>0.97423204440129685</v>
      </c>
      <c r="DB33" s="8">
        <f>AB118/AVERAGE(AB115:AB121)</f>
        <v>0.98150509016244469</v>
      </c>
      <c r="DC33" s="8">
        <f>AB119/AVERAGE(AB116:AB122)</f>
        <v>1.0020726721012163</v>
      </c>
      <c r="DD33" s="8">
        <f>AB120/AVERAGE(AB117:AB123)</f>
        <v>1.018351436886719</v>
      </c>
      <c r="DE33">
        <v>1</v>
      </c>
      <c r="DH33">
        <v>2018</v>
      </c>
      <c r="DI33" s="8">
        <f>AC117/AVERAGE(AC114:AC120)</f>
        <v>0.94939114708217054</v>
      </c>
      <c r="DJ33" s="8">
        <f>AC118/AVERAGE(AC115:AC121)</f>
        <v>0.95804105521366789</v>
      </c>
      <c r="DK33" s="8">
        <f>AC119/AVERAGE(AC116:AC122)</f>
        <v>0.99274853465942481</v>
      </c>
      <c r="DL33" s="8">
        <f>AC120/AVERAGE(AC117:AC123)</f>
        <v>1.0703029223683775</v>
      </c>
      <c r="DM33">
        <v>1</v>
      </c>
      <c r="DP33">
        <v>2018</v>
      </c>
      <c r="DQ33" s="8">
        <f>AD117/AVERAGE(AD114:AD120)</f>
        <v>1.3568718996206595</v>
      </c>
      <c r="DR33" s="8">
        <f>AD118/AVERAGE(AD115:AD121)</f>
        <v>0.75182701667104435</v>
      </c>
      <c r="DS33" s="8">
        <f>AD119/AVERAGE(AD116:AD122)</f>
        <v>0.92951878999234661</v>
      </c>
      <c r="DT33" s="8">
        <f>AD120/AVERAGE(AD117:AD123)</f>
        <v>0.91603777312418511</v>
      </c>
      <c r="DU33">
        <v>1</v>
      </c>
      <c r="DX33">
        <v>2018</v>
      </c>
      <c r="DY33" s="8">
        <f>AE117/AVERAGE(AE114:AE120)</f>
        <v>0.78797247866225395</v>
      </c>
      <c r="DZ33" s="8">
        <f>AE118/AVERAGE(AE115:AE121)</f>
        <v>0.66379876219054768</v>
      </c>
      <c r="EA33" s="8">
        <f>AE119/AVERAGE(AE116:AE122)</f>
        <v>0.92166502785971816</v>
      </c>
      <c r="EB33" s="8">
        <f>AE120/AVERAGE(AE117:AE123)</f>
        <v>1.2787637698898409</v>
      </c>
      <c r="EC33">
        <v>1</v>
      </c>
      <c r="EF33">
        <v>2018</v>
      </c>
      <c r="EG33" s="8">
        <f>AF117/AVERAGE(AF114:AF120)</f>
        <v>1.0606289037260392</v>
      </c>
      <c r="EH33" s="8">
        <f>AF118/AVERAGE(AF115:AF121)</f>
        <v>0.93783800114807092</v>
      </c>
      <c r="EI33" s="8">
        <f>AF119/AVERAGE(AF116:AF122)</f>
        <v>0.94956949569495697</v>
      </c>
      <c r="EJ33" s="8">
        <f>AF120/AVERAGE(AF117:AF123)</f>
        <v>1.0492464278723821</v>
      </c>
      <c r="EK33">
        <v>1</v>
      </c>
      <c r="EN33">
        <v>2018</v>
      </c>
      <c r="EO33" s="8">
        <f>AG117/AVERAGE(AG114:AG120)</f>
        <v>0.96218324013779422</v>
      </c>
      <c r="EP33" s="8">
        <f>AG118/AVERAGE(AG115:AG121)</f>
        <v>0.99155658228671828</v>
      </c>
      <c r="EQ33" s="8">
        <f>AG119/AVERAGE(AG116:AG122)</f>
        <v>1.0062688334050798</v>
      </c>
      <c r="ER33" s="8">
        <f>AG120/AVERAGE(AG117:AG123)</f>
        <v>1.0217891873366747</v>
      </c>
      <c r="ES33">
        <v>1</v>
      </c>
      <c r="EV33">
        <v>2018</v>
      </c>
      <c r="EW33" s="8">
        <f>AH117/AVERAGE(AH114:AH120)</f>
        <v>1.0195597899591431</v>
      </c>
      <c r="EX33" s="8">
        <f>AH118/AVERAGE(AH115:AH121)</f>
        <v>0.91005075441080008</v>
      </c>
      <c r="EY33" s="8">
        <f>AH119/AVERAGE(AH116:AH122)</f>
        <v>1.0257971439749609</v>
      </c>
      <c r="EZ33" s="8">
        <f>AH120/AVERAGE(AH117:AH123)</f>
        <v>1.0289470189881822</v>
      </c>
      <c r="FA33">
        <v>1</v>
      </c>
      <c r="FD33">
        <v>2018</v>
      </c>
      <c r="FE33" s="8">
        <f>AI117/AVERAGE(AI114:AI120)</f>
        <v>1.0393733161135537</v>
      </c>
      <c r="FF33" s="8">
        <f>AI118/AVERAGE(AI115:AI121)</f>
        <v>0.98504241950773364</v>
      </c>
      <c r="FG33" s="8">
        <f>AI119/AVERAGE(AI116:AI122)</f>
        <v>0.97290832879437317</v>
      </c>
      <c r="FH33" s="8">
        <f>AI120/AVERAGE(AI117:AI123)</f>
        <v>0.9890927773823609</v>
      </c>
      <c r="FI33">
        <v>1</v>
      </c>
    </row>
    <row r="34" spans="1:165" x14ac:dyDescent="0.35">
      <c r="A34" t="s">
        <v>199</v>
      </c>
      <c r="B34" t="str">
        <f t="shared" si="17"/>
        <v>1997</v>
      </c>
      <c r="C34" t="str">
        <f t="shared" si="18"/>
        <v>Q2</v>
      </c>
      <c r="D34" s="13">
        <f>HAVERQ!C40</f>
        <v>253090</v>
      </c>
      <c r="E34" s="13">
        <f>HAVERQ!D40</f>
        <v>10160</v>
      </c>
      <c r="F34" s="13">
        <f>HAVERQ!E40</f>
        <v>81353</v>
      </c>
      <c r="G34" s="13">
        <f>HAVERQ!F40</f>
        <v>67734</v>
      </c>
      <c r="H34" s="13">
        <f>HAVERQ!G40</f>
        <v>-972</v>
      </c>
      <c r="I34" s="13">
        <f>HAVERQ!H40</f>
        <v>642</v>
      </c>
      <c r="J34" s="13">
        <f>HAVERQ!I40</f>
        <v>107210</v>
      </c>
      <c r="K34" s="13">
        <f>HAVERQ!J40</f>
        <v>95127</v>
      </c>
      <c r="L34" s="13">
        <f>HAVERQ!U40</f>
        <v>38040</v>
      </c>
      <c r="M34" s="13">
        <f>HAVERQ!V40</f>
        <v>6934</v>
      </c>
      <c r="N34" s="13">
        <f>HAVERQ!Y40</f>
        <v>3730</v>
      </c>
      <c r="O34" s="13">
        <f>HAVERQ!Z40</f>
        <v>9397</v>
      </c>
      <c r="P34" s="13">
        <f>HAVERQ!AA40</f>
        <v>19619</v>
      </c>
      <c r="Q34" s="13">
        <f>HAVERQ!AB40</f>
        <v>25029</v>
      </c>
      <c r="R34" s="13">
        <f>HAVERQ!AC40</f>
        <v>12530</v>
      </c>
      <c r="U34" s="13">
        <f>HAVERQ!M40</f>
        <v>250043</v>
      </c>
      <c r="V34" s="13">
        <f>HAVERQ!N40</f>
        <v>10160</v>
      </c>
      <c r="W34" s="13">
        <f>HAVERQ!O40</f>
        <v>82169</v>
      </c>
      <c r="X34" s="13">
        <f>HAVERQ!P40</f>
        <v>65642</v>
      </c>
      <c r="Y34" s="13">
        <f>HAVERQ!Q40</f>
        <v>2139</v>
      </c>
      <c r="Z34" s="13">
        <f>HAVERQ!R40</f>
        <v>745</v>
      </c>
      <c r="AA34" s="13">
        <f>HAVERQ!S40</f>
        <v>107155</v>
      </c>
      <c r="AB34" s="13">
        <f>HAVERQ!T40</f>
        <v>95773</v>
      </c>
      <c r="AC34" s="13">
        <f>HAVERQ!W40</f>
        <v>37998</v>
      </c>
      <c r="AD34" s="13">
        <f>HAVERQ!X40</f>
        <v>5250</v>
      </c>
      <c r="AE34" s="13">
        <f>HAVERQ!AD40</f>
        <v>3987</v>
      </c>
      <c r="AF34" s="13">
        <f>HAVERQ!AE40</f>
        <v>8583</v>
      </c>
      <c r="AG34" s="13">
        <f>HAVERQ!AF40</f>
        <v>19392</v>
      </c>
      <c r="AH34" s="13">
        <f>HAVERQ!AG40</f>
        <v>23798</v>
      </c>
      <c r="AI34" s="13">
        <f>HAVERQ!AH40</f>
        <v>12486</v>
      </c>
      <c r="AL34">
        <v>2019</v>
      </c>
      <c r="AM34" s="15">
        <f t="shared" ca="1" si="27"/>
        <v>1.0352797533959557</v>
      </c>
      <c r="AN34" s="15">
        <f t="shared" ca="1" si="42"/>
        <v>1</v>
      </c>
      <c r="AO34" s="15">
        <f t="shared" ca="1" si="29"/>
        <v>0.98269352513595765</v>
      </c>
      <c r="AP34" s="15">
        <f t="shared" ca="1" si="43"/>
        <v>0.98608348325025164</v>
      </c>
      <c r="AQ34" s="15">
        <f t="shared" ca="1" si="44"/>
        <v>4.1667458432304034</v>
      </c>
      <c r="AR34" s="15">
        <f t="shared" ca="1" si="45"/>
        <v>1.0195817015248729</v>
      </c>
      <c r="AS34" s="15">
        <f t="shared" ca="1" si="46"/>
        <v>1.0235525357922834</v>
      </c>
      <c r="AT34" s="15">
        <f t="shared" ca="1" si="47"/>
        <v>1.0162323175568482</v>
      </c>
      <c r="AU34" s="15">
        <f t="shared" ca="1" si="35"/>
        <v>1.0367307549550888</v>
      </c>
      <c r="AV34" s="15">
        <f t="shared" ca="1" si="36"/>
        <v>0.77291337305930519</v>
      </c>
      <c r="AW34" s="15">
        <f t="shared" ca="1" si="37"/>
        <v>1.0821246939159916</v>
      </c>
      <c r="AX34" s="15">
        <f t="shared" ca="1" si="38"/>
        <v>0.9498137521393335</v>
      </c>
      <c r="AY34" s="15">
        <f t="shared" ca="1" si="39"/>
        <v>1.0249481816468815</v>
      </c>
      <c r="AZ34" s="15">
        <f t="shared" ca="1" si="40"/>
        <v>0.97789162743469027</v>
      </c>
      <c r="BA34" s="15">
        <f t="shared" ca="1" si="41"/>
        <v>0.97225234419850737</v>
      </c>
      <c r="BD34">
        <v>2019</v>
      </c>
      <c r="BE34" s="8">
        <f>U121/AVERAGE(U118:U124)</f>
        <v>0.96460597936623937</v>
      </c>
      <c r="BF34" s="8">
        <f>U122/AVERAGE(U119:U125)</f>
        <v>0.99924967948907306</v>
      </c>
      <c r="BG34" s="8">
        <f>U123/AVERAGE(U120:U126)</f>
        <v>1.0549934080957173</v>
      </c>
      <c r="BH34" s="8">
        <f>U124/AVERAGE(U121:U127)</f>
        <v>1.0939797319274636</v>
      </c>
      <c r="BI34">
        <v>1</v>
      </c>
      <c r="BL34">
        <v>2019</v>
      </c>
      <c r="BM34" s="8">
        <f>V121/AVERAGE(V118:V124)</f>
        <v>1.0370449115133844</v>
      </c>
      <c r="BN34" s="8">
        <f>V122/AVERAGE(V119:V125)</f>
        <v>1.0124570446735395</v>
      </c>
      <c r="BO34" s="8">
        <f>V123/AVERAGE(V120:V126)</f>
        <v>1.0489074668135618</v>
      </c>
      <c r="BP34" s="8">
        <f>V124/AVERAGE(V121:V127)</f>
        <v>1.0364081485973542</v>
      </c>
      <c r="BQ34">
        <v>1</v>
      </c>
      <c r="BT34">
        <v>2019</v>
      </c>
      <c r="BU34" s="8">
        <f>W121/AVERAGE(W118:W124)</f>
        <v>1.016947105395837</v>
      </c>
      <c r="BV34" s="8">
        <f>W122/AVERAGE(W119:W125)</f>
        <v>1.0026658709062199</v>
      </c>
      <c r="BW34" s="8">
        <f>W123/AVERAGE(W120:W126)</f>
        <v>1.0198845233065765</v>
      </c>
      <c r="BX34" s="8">
        <f>W124/AVERAGE(W121:W127)</f>
        <v>1.0485486256276229</v>
      </c>
      <c r="BY34">
        <v>1</v>
      </c>
      <c r="CB34">
        <v>2019</v>
      </c>
      <c r="CC34" s="8">
        <f>X121/AVERAGE(X118:X124)</f>
        <v>1.03466909383123</v>
      </c>
      <c r="CD34" s="8">
        <f>X122/AVERAGE(X119:X125)</f>
        <v>0.96679112222219621</v>
      </c>
      <c r="CE34" s="8">
        <f>X123/AVERAGE(X120:X126)</f>
        <v>1.0335614084795728</v>
      </c>
      <c r="CF34" s="8">
        <f>X124/AVERAGE(X121:X127)</f>
        <v>1.0753980141035966</v>
      </c>
      <c r="CG34">
        <v>1</v>
      </c>
      <c r="CJ34">
        <v>2019</v>
      </c>
      <c r="CK34" s="8">
        <f>Y121/AVERAGE(Y118:Y124)</f>
        <v>-10.570301291248207</v>
      </c>
      <c r="CL34" s="8">
        <f>Y122/AVERAGE(Y119:Y125)</f>
        <v>2.7564766839378239</v>
      </c>
      <c r="CM34" s="8">
        <f>Y123/AVERAGE(Y120:Y126)</f>
        <v>2.3049795271430455</v>
      </c>
      <c r="CN34" s="8">
        <f>Y124/AVERAGE(Y121:Y127)</f>
        <v>0.1305776364599894</v>
      </c>
      <c r="CO34">
        <v>1</v>
      </c>
      <c r="CR34">
        <v>2019</v>
      </c>
      <c r="CS34" s="8">
        <f>AA121/AVERAGE(AA118:AA124)</f>
        <v>0.95935439543080325</v>
      </c>
      <c r="CT34" s="8">
        <f>AA122/AVERAGE(AA119:AA125)</f>
        <v>0.96252735943993584</v>
      </c>
      <c r="CU34" s="8">
        <f>AA123/AVERAGE(AA120:AA126)</f>
        <v>1.0338694288752937</v>
      </c>
      <c r="CV34" s="8">
        <f>AA124/AVERAGE(AA121:AA127)</f>
        <v>1.157796080858666</v>
      </c>
      <c r="CW34">
        <v>1</v>
      </c>
      <c r="CZ34">
        <v>2019</v>
      </c>
      <c r="DA34" s="8">
        <f>AB121/AVERAGE(AB118:AB124)</f>
        <v>1.0728371485160553</v>
      </c>
      <c r="DB34" s="8">
        <f>AB122/AVERAGE(AB119:AB125)</f>
        <v>0.97561586415335766</v>
      </c>
      <c r="DC34" s="8">
        <f>AB123/AVERAGE(AB120:AB126)</f>
        <v>1.0652937146202097</v>
      </c>
      <c r="DD34" s="8">
        <f>AB124/AVERAGE(AB121:AB127)</f>
        <v>1.0539841572398732</v>
      </c>
      <c r="DE34">
        <v>1</v>
      </c>
      <c r="DH34">
        <v>2019</v>
      </c>
      <c r="DI34" s="8">
        <f>AC121/AVERAGE(AC118:AC124)</f>
        <v>0.96198458735363179</v>
      </c>
      <c r="DJ34" s="8">
        <f>AC122/AVERAGE(AC119:AC125)</f>
        <v>0.99729750740577072</v>
      </c>
      <c r="DK34" s="8">
        <f>AC123/AVERAGE(AC120:AC126)</f>
        <v>1.0264850652082458</v>
      </c>
      <c r="DL34" s="8">
        <f>AC124/AVERAGE(AC121:AC127)</f>
        <v>1.1080420566684108</v>
      </c>
      <c r="DM34">
        <v>1</v>
      </c>
      <c r="DP34">
        <v>2019</v>
      </c>
      <c r="DQ34" s="8">
        <f>AD121/AVERAGE(AD118:AD124)</f>
        <v>1.4368457838944269</v>
      </c>
      <c r="DR34" s="8">
        <f>AD122/AVERAGE(AD119:AD125)</f>
        <v>0.77934871771060654</v>
      </c>
      <c r="DS34" s="8">
        <f>AD123/AVERAGE(AD120:AD126)</f>
        <v>0.92302065906703501</v>
      </c>
      <c r="DT34" s="8">
        <f>AD124/AVERAGE(AD121:AD127)</f>
        <v>0.9073108953448209</v>
      </c>
      <c r="DU34">
        <v>1</v>
      </c>
      <c r="DX34">
        <v>2019</v>
      </c>
      <c r="DY34" s="8">
        <f>AE121/AVERAGE(AE118:AE124)</f>
        <v>0.9334153815240871</v>
      </c>
      <c r="DZ34" s="8">
        <f>AE122/AVERAGE(AE119:AE125)</f>
        <v>1.1529089396682488</v>
      </c>
      <c r="EA34" s="8">
        <f>AE123/AVERAGE(AE120:AE126)</f>
        <v>0.95945301319764675</v>
      </c>
      <c r="EB34" s="8">
        <f>AE124/AVERAGE(AE121:AE127)</f>
        <v>1.1251497840323255</v>
      </c>
      <c r="EC34">
        <v>1</v>
      </c>
      <c r="EF34">
        <v>2019</v>
      </c>
      <c r="EG34" s="8">
        <f>AF121/AVERAGE(AF118:AF124)</f>
        <v>1.099295657741836</v>
      </c>
      <c r="EH34" s="8">
        <f>AF122/AVERAGE(AF119:AF125)</f>
        <v>0.9231605510411377</v>
      </c>
      <c r="EI34" s="8">
        <f>AF123/AVERAGE(AF120:AF126)</f>
        <v>0.96510575127040177</v>
      </c>
      <c r="EJ34" s="8">
        <f>AF124/AVERAGE(AF121:AF127)</f>
        <v>1.0875832604454014</v>
      </c>
      <c r="EK34">
        <v>1</v>
      </c>
      <c r="EN34">
        <v>2019</v>
      </c>
      <c r="EO34" s="8">
        <f>AG121/AVERAGE(AG118:AG124)</f>
        <v>0.98617460140483892</v>
      </c>
      <c r="EP34" s="8">
        <f>AG122/AVERAGE(AG119:AG125)</f>
        <v>1.0174377243234858</v>
      </c>
      <c r="EQ34" s="8">
        <f>AG123/AVERAGE(AG120:AG126)</f>
        <v>1.1094091530054644</v>
      </c>
      <c r="ER34" s="8">
        <f>AG124/AVERAGE(AG121:AG127)</f>
        <v>1.0817688318903653</v>
      </c>
      <c r="ES34">
        <v>1</v>
      </c>
      <c r="EV34">
        <v>2019</v>
      </c>
      <c r="EW34" s="8">
        <f>AH121/AVERAGE(AH118:AH124)</f>
        <v>1.0537718085365091</v>
      </c>
      <c r="EX34" s="8">
        <f>AH122/AVERAGE(AH119:AH125)</f>
        <v>0.91593994085083785</v>
      </c>
      <c r="EY34" s="8">
        <f>AH123/AVERAGE(AH120:AH126)</f>
        <v>1.0555483694792969</v>
      </c>
      <c r="EZ34" s="8">
        <f>AH124/AVERAGE(AH121:AH127)</f>
        <v>1.1075029770792548</v>
      </c>
      <c r="FA34">
        <v>1</v>
      </c>
      <c r="FD34">
        <v>2019</v>
      </c>
      <c r="FE34" s="8">
        <f>AI121/AVERAGE(AI118:AI124)</f>
        <v>1.0304179831830196</v>
      </c>
      <c r="FF34" s="8">
        <f>AI122/AVERAGE(AI119:AI125)</f>
        <v>0.97835361329574122</v>
      </c>
      <c r="FG34" s="8">
        <f>AI123/AVERAGE(AI120:AI126)</f>
        <v>1.004304299686289</v>
      </c>
      <c r="FH34" s="8">
        <f>AI124/AVERAGE(AI121:AI127)</f>
        <v>1.0157467637019386</v>
      </c>
      <c r="FI34">
        <v>1</v>
      </c>
    </row>
    <row r="35" spans="1:165" x14ac:dyDescent="0.35">
      <c r="A35" t="s">
        <v>200</v>
      </c>
      <c r="B35" t="str">
        <f t="shared" si="17"/>
        <v>1997</v>
      </c>
      <c r="C35" t="str">
        <f t="shared" si="18"/>
        <v>Q3</v>
      </c>
      <c r="D35" s="13">
        <f>HAVERQ!C41</f>
        <v>256735</v>
      </c>
      <c r="E35" s="13">
        <f>HAVERQ!D41</f>
        <v>10263</v>
      </c>
      <c r="F35" s="13">
        <f>HAVERQ!E41</f>
        <v>82427</v>
      </c>
      <c r="G35" s="13">
        <f>HAVERQ!F41</f>
        <v>71812</v>
      </c>
      <c r="H35" s="13">
        <f>HAVERQ!G41</f>
        <v>3796</v>
      </c>
      <c r="I35" s="13">
        <f>HAVERQ!H41</f>
        <v>613</v>
      </c>
      <c r="J35" s="13">
        <f>HAVERQ!I41</f>
        <v>106575</v>
      </c>
      <c r="K35" s="13">
        <f>HAVERQ!J41</f>
        <v>94199</v>
      </c>
      <c r="L35" s="13">
        <f>HAVERQ!U41</f>
        <v>40957</v>
      </c>
      <c r="M35" s="13">
        <f>HAVERQ!V41</f>
        <v>7403</v>
      </c>
      <c r="N35" s="13">
        <f>HAVERQ!Y41</f>
        <v>3954</v>
      </c>
      <c r="O35" s="13">
        <f>HAVERQ!Z41</f>
        <v>10301</v>
      </c>
      <c r="P35" s="13">
        <f>HAVERQ!AA41</f>
        <v>20015</v>
      </c>
      <c r="Q35" s="13">
        <f>HAVERQ!AB41</f>
        <v>26487</v>
      </c>
      <c r="R35" s="13">
        <f>HAVERQ!AC41</f>
        <v>12904</v>
      </c>
      <c r="U35" s="13">
        <f>HAVERQ!M41</f>
        <v>259576</v>
      </c>
      <c r="V35" s="13">
        <f>HAVERQ!N41</f>
        <v>10263</v>
      </c>
      <c r="W35" s="13">
        <f>HAVERQ!O41</f>
        <v>81848</v>
      </c>
      <c r="X35" s="13">
        <f>HAVERQ!P41</f>
        <v>70444</v>
      </c>
      <c r="Y35" s="13">
        <f>HAVERQ!Q41</f>
        <v>3192</v>
      </c>
      <c r="Z35" s="13">
        <f>HAVERQ!R41</f>
        <v>512</v>
      </c>
      <c r="AA35" s="13">
        <f>HAVERQ!S41</f>
        <v>107459</v>
      </c>
      <c r="AB35" s="13">
        <f>HAVERQ!T41</f>
        <v>97448</v>
      </c>
      <c r="AC35" s="13">
        <f>HAVERQ!W41</f>
        <v>40158</v>
      </c>
      <c r="AD35" s="13">
        <f>HAVERQ!X41</f>
        <v>6711</v>
      </c>
      <c r="AE35" s="13">
        <f>HAVERQ!AD41</f>
        <v>3884</v>
      </c>
      <c r="AF35" s="13">
        <f>HAVERQ!AE41</f>
        <v>9719</v>
      </c>
      <c r="AG35" s="13">
        <f>HAVERQ!AF41</f>
        <v>20212</v>
      </c>
      <c r="AH35" s="13">
        <f>HAVERQ!AG41</f>
        <v>26061</v>
      </c>
      <c r="AI35" s="13">
        <f>HAVERQ!AH41</f>
        <v>12885</v>
      </c>
      <c r="AL35">
        <v>2020</v>
      </c>
      <c r="AM35" s="15">
        <f t="shared" ca="1" si="27"/>
        <v>1.0263799532844322</v>
      </c>
      <c r="AN35" s="15">
        <f t="shared" ca="1" si="42"/>
        <v>1</v>
      </c>
      <c r="AO35" s="15">
        <f t="shared" ca="1" si="29"/>
        <v>0.9840279890477639</v>
      </c>
      <c r="AP35" s="15">
        <f t="shared" ca="1" si="43"/>
        <v>0.98479065074827643</v>
      </c>
      <c r="AQ35" s="15">
        <f t="shared" ca="1" si="44"/>
        <v>-1.8270594653573378</v>
      </c>
      <c r="AR35" s="15">
        <f t="shared" ca="1" si="45"/>
        <v>1.3483365949119375</v>
      </c>
      <c r="AS35" s="15">
        <f t="shared" ca="1" si="46"/>
        <v>1.0183051513959891</v>
      </c>
      <c r="AT35" s="15">
        <f t="shared" ca="1" si="47"/>
        <v>1.0145166168218018</v>
      </c>
      <c r="AU35" s="15">
        <f t="shared" ca="1" si="35"/>
        <v>1.0455121645768743</v>
      </c>
      <c r="AV35" s="15">
        <f t="shared" ca="1" si="36"/>
        <v>0.73630301181188162</v>
      </c>
      <c r="AW35" s="15">
        <f t="shared" ca="1" si="37"/>
        <v>1.1012732615083252</v>
      </c>
      <c r="AX35" s="15">
        <f t="shared" ca="1" si="38"/>
        <v>0.95339940879846985</v>
      </c>
      <c r="AY35" s="15">
        <f t="shared" ca="1" si="39"/>
        <v>1.025805929701088</v>
      </c>
      <c r="AZ35" s="15">
        <f t="shared" ca="1" si="40"/>
        <v>0.97059265567857322</v>
      </c>
      <c r="BA35" s="15">
        <f t="shared" ca="1" si="41"/>
        <v>0.96930723827275556</v>
      </c>
      <c r="BD35">
        <v>2020</v>
      </c>
      <c r="BE35" s="8">
        <f>U125/AVERAGE(U122:U128)</f>
        <v>1.0145835885442769</v>
      </c>
      <c r="BF35" s="8">
        <f>U126/AVERAGE(U123:U129)</f>
        <v>0.81596521937668853</v>
      </c>
      <c r="BG35" s="8">
        <f>U127/AVERAGE(U124:U130)</f>
        <v>0.99054507234137001</v>
      </c>
      <c r="BH35" s="8">
        <f>U128/AVERAGE(U125:U131)</f>
        <v>1.0271296026142265</v>
      </c>
      <c r="BI35">
        <v>1</v>
      </c>
      <c r="BL35">
        <v>2020</v>
      </c>
      <c r="BM35" s="8">
        <f>V125/AVERAGE(V122:V128)</f>
        <v>1.0452205967588621</v>
      </c>
      <c r="BN35" s="8">
        <f>V126/AVERAGE(V123:V129)</f>
        <v>0.76448712123023932</v>
      </c>
      <c r="BO35" s="8">
        <f>V127/AVERAGE(V124:V130)</f>
        <v>0.94371418941691942</v>
      </c>
      <c r="BP35" s="8">
        <f>V128/AVERAGE(V125:V131)</f>
        <v>0.99482033020394944</v>
      </c>
      <c r="BQ35">
        <v>1</v>
      </c>
      <c r="BT35">
        <v>2020</v>
      </c>
      <c r="BU35" s="8">
        <f>W125/AVERAGE(W122:W128)</f>
        <v>1.0418808101756467</v>
      </c>
      <c r="BV35" s="8">
        <f>W126/AVERAGE(W123:W129)</f>
        <v>0.82910944485768434</v>
      </c>
      <c r="BW35" s="8">
        <f>W127/AVERAGE(W124:W130)</f>
        <v>0.96618635220609284</v>
      </c>
      <c r="BX35" s="8">
        <f>W128/AVERAGE(W125:W131)</f>
        <v>1.0162352049346537</v>
      </c>
      <c r="BY35">
        <v>1</v>
      </c>
      <c r="CB35">
        <v>2020</v>
      </c>
      <c r="CC35" s="8">
        <f>X125/AVERAGE(X122:X128)</f>
        <v>1.0284263069023318</v>
      </c>
      <c r="CD35" s="8">
        <f>X126/AVERAGE(X123:X129)</f>
        <v>0.80322518408952048</v>
      </c>
      <c r="CE35" s="8">
        <f>X127/AVERAGE(X124:X130)</f>
        <v>0.96578343313373261</v>
      </c>
      <c r="CF35" s="8">
        <f>X128/AVERAGE(X125:X131)</f>
        <v>1.0626669756198373</v>
      </c>
      <c r="CG35">
        <v>1</v>
      </c>
      <c r="CJ35">
        <v>2020</v>
      </c>
      <c r="CK35" s="8">
        <f>Y125/AVERAGE(Y122:Y128)</f>
        <v>-2.6212461695607763</v>
      </c>
      <c r="CL35" s="8">
        <f>Y126/AVERAGE(Y123:Y129)</f>
        <v>-14.417812499999998</v>
      </c>
      <c r="CM35" s="8">
        <f>Y127/AVERAGE(Y124:Y130)</f>
        <v>10.293124246079614</v>
      </c>
      <c r="CN35" s="8">
        <f>Y128/AVERAGE(Y125:Y131)</f>
        <v>-25.088996763754047</v>
      </c>
      <c r="CO35">
        <v>1</v>
      </c>
      <c r="CR35">
        <v>2020</v>
      </c>
      <c r="CS35" s="8">
        <f>AA125/AVERAGE(AA122:AA128)</f>
        <v>1.0061609767126385</v>
      </c>
      <c r="CT35" s="8">
        <f>AA126/AVERAGE(AA123:AA129)</f>
        <v>0.89575320069819053</v>
      </c>
      <c r="CU35" s="8">
        <f>AA127/AVERAGE(AA124:AA130)</f>
        <v>0.90587863155293924</v>
      </c>
      <c r="CV35" s="8">
        <f>AA128/AVERAGE(AA125:AA131)</f>
        <v>1.0564909615217448</v>
      </c>
      <c r="CW35">
        <v>1</v>
      </c>
      <c r="CZ35">
        <v>2020</v>
      </c>
      <c r="DA35" s="8">
        <f>AB125/AVERAGE(AB122:AB128)</f>
        <v>1.013273675220921</v>
      </c>
      <c r="DB35" s="8">
        <f>AB126/AVERAGE(AB123:AB129)</f>
        <v>0.77453263439144315</v>
      </c>
      <c r="DC35" s="8">
        <f>AB127/AVERAGE(AB124:AB130)</f>
        <v>0.94659260625390995</v>
      </c>
      <c r="DD35" s="8">
        <f>AB128/AVERAGE(AB125:AB131)</f>
        <v>1.1216225290759207</v>
      </c>
      <c r="DE35">
        <v>1</v>
      </c>
      <c r="DH35">
        <v>2020</v>
      </c>
      <c r="DI35" s="8">
        <f>AC125/AVERAGE(AC122:AC128)</f>
        <v>0.98087215934017724</v>
      </c>
      <c r="DJ35" s="8">
        <f>AC126/AVERAGE(AC123:AC129)</f>
        <v>0.85348154032842416</v>
      </c>
      <c r="DK35" s="8">
        <f>AC127/AVERAGE(AC124:AC130)</f>
        <v>0.96840946857564181</v>
      </c>
      <c r="DL35" s="8">
        <f>AC128/AVERAGE(AC125:AC131)</f>
        <v>1.093551416009541</v>
      </c>
      <c r="DM35">
        <v>1</v>
      </c>
      <c r="DP35">
        <v>2020</v>
      </c>
      <c r="DQ35" s="8">
        <f>AD125/AVERAGE(AD122:AD128)</f>
        <v>1.2912850859913325</v>
      </c>
      <c r="DR35" s="8">
        <f>AD126/AVERAGE(AD123:AD129)</f>
        <v>0.82652381196493563</v>
      </c>
      <c r="DS35" s="8">
        <f>AD127/AVERAGE(AD124:AD130)</f>
        <v>0.93984852258244089</v>
      </c>
      <c r="DT35" s="8">
        <f>AD128/AVERAGE(AD125:AD131)</f>
        <v>0.94660610648498611</v>
      </c>
      <c r="DU35">
        <v>1</v>
      </c>
      <c r="DX35">
        <v>2020</v>
      </c>
      <c r="DY35" s="8">
        <f>AE125/AVERAGE(AE122:AE128)</f>
        <v>0.93358936175771357</v>
      </c>
      <c r="DZ35" s="8">
        <f>AE126/AVERAGE(AE123:AE129)</f>
        <v>0.51000175984044116</v>
      </c>
      <c r="EA35" s="8">
        <f>AE127/AVERAGE(AE124:AE130)</f>
        <v>1.117367931044839</v>
      </c>
      <c r="EB35" s="8">
        <f>AE128/AVERAGE(AE125:AE131)</f>
        <v>1.7165101098551185</v>
      </c>
      <c r="EC35">
        <v>1</v>
      </c>
      <c r="EF35">
        <v>2020</v>
      </c>
      <c r="EG35" s="8">
        <f>AF125/AVERAGE(AF122:AF128)</f>
        <v>1.029669795636494</v>
      </c>
      <c r="EH35" s="8">
        <f>AF126/AVERAGE(AF123:AF129)</f>
        <v>0.85298241737696834</v>
      </c>
      <c r="EI35" s="8">
        <f>AF127/AVERAGE(AF124:AF130)</f>
        <v>0.9259100715728914</v>
      </c>
      <c r="EJ35" s="8">
        <f>AF128/AVERAGE(AF125:AF131)</f>
        <v>1.0925454047952938</v>
      </c>
      <c r="EK35">
        <v>1</v>
      </c>
      <c r="EN35">
        <v>2020</v>
      </c>
      <c r="EO35" s="8">
        <f>AG125/AVERAGE(AG122:AG128)</f>
        <v>1.0061978545887962</v>
      </c>
      <c r="EP35" s="8">
        <f>AG126/AVERAGE(AG123:AG129)</f>
        <v>0.63797091870456046</v>
      </c>
      <c r="EQ35" s="8">
        <f>AG127/AVERAGE(AG124:AG130)</f>
        <v>1.01818561623396</v>
      </c>
      <c r="ER35" s="8">
        <f>AG128/AVERAGE(AG125:AG131)</f>
        <v>1.0759712144286184</v>
      </c>
      <c r="ES35">
        <v>1</v>
      </c>
      <c r="EV35">
        <v>2020</v>
      </c>
      <c r="EW35" s="8">
        <f>AH125/AVERAGE(AH122:AH128)</f>
        <v>1.0503499237008471</v>
      </c>
      <c r="EX35" s="8">
        <f>AH126/AVERAGE(AH123:AH129)</f>
        <v>0.78787234042553189</v>
      </c>
      <c r="EY35" s="8">
        <f>AH127/AVERAGE(AH124:AH130)</f>
        <v>0.93447820645870205</v>
      </c>
      <c r="EZ35" s="8">
        <f>AH128/AVERAGE(AH125:AH131)</f>
        <v>1.0304874284214913</v>
      </c>
      <c r="FA35">
        <v>1</v>
      </c>
      <c r="FD35">
        <v>2020</v>
      </c>
      <c r="FE35" s="8">
        <f>AI125/AVERAGE(AI122:AI128)</f>
        <v>1.0371301141933971</v>
      </c>
      <c r="FF35" s="8">
        <f>AI126/AVERAGE(AI123:AI129)</f>
        <v>0.96531286788010506</v>
      </c>
      <c r="FG35" s="8">
        <f>AI127/AVERAGE(AI124:AI130)</f>
        <v>0.9610275970383666</v>
      </c>
      <c r="FH35" s="8">
        <f>AI128/AVERAGE(AI125:AI131)</f>
        <v>0.97434834915118296</v>
      </c>
      <c r="FI35">
        <v>1</v>
      </c>
    </row>
    <row r="36" spans="1:165" x14ac:dyDescent="0.35">
      <c r="A36" t="s">
        <v>201</v>
      </c>
      <c r="B36" t="str">
        <f t="shared" si="17"/>
        <v>1997</v>
      </c>
      <c r="C36" t="str">
        <f t="shared" si="18"/>
        <v>Q4</v>
      </c>
      <c r="D36" s="13">
        <f>HAVERQ!C42</f>
        <v>258701</v>
      </c>
      <c r="E36" s="13">
        <f>HAVERQ!D42</f>
        <v>10337</v>
      </c>
      <c r="F36" s="13">
        <f>HAVERQ!E42</f>
        <v>84058</v>
      </c>
      <c r="G36" s="13">
        <f>HAVERQ!F42</f>
        <v>73702</v>
      </c>
      <c r="H36" s="13">
        <f>HAVERQ!G42</f>
        <v>3235</v>
      </c>
      <c r="I36" s="13">
        <f>HAVERQ!H42</f>
        <v>590</v>
      </c>
      <c r="J36" s="13">
        <f>HAVERQ!I42</f>
        <v>110005</v>
      </c>
      <c r="K36" s="13">
        <f>HAVERQ!J42</f>
        <v>96661</v>
      </c>
      <c r="L36" s="13">
        <f>HAVERQ!U42</f>
        <v>41619</v>
      </c>
      <c r="M36" s="13">
        <f>HAVERQ!V42</f>
        <v>7631</v>
      </c>
      <c r="N36" s="13">
        <f>HAVERQ!Y42</f>
        <v>3838</v>
      </c>
      <c r="O36" s="13">
        <f>HAVERQ!Z42</f>
        <v>10462</v>
      </c>
      <c r="P36" s="13">
        <f>HAVERQ!AA42</f>
        <v>21434</v>
      </c>
      <c r="Q36" s="13">
        <f>HAVERQ!AB42</f>
        <v>27305</v>
      </c>
      <c r="R36" s="13">
        <f>HAVERQ!AC42</f>
        <v>13228</v>
      </c>
      <c r="U36" s="13">
        <f>HAVERQ!M42</f>
        <v>265728</v>
      </c>
      <c r="V36" s="13">
        <f>HAVERQ!N42</f>
        <v>10337</v>
      </c>
      <c r="W36" s="13">
        <f>HAVERQ!O42</f>
        <v>84076</v>
      </c>
      <c r="X36" s="13">
        <f>HAVERQ!P42</f>
        <v>74833</v>
      </c>
      <c r="Y36" s="13">
        <f>HAVERQ!Q42</f>
        <v>1563</v>
      </c>
      <c r="Z36" s="13">
        <f>HAVERQ!R42</f>
        <v>627</v>
      </c>
      <c r="AA36" s="13">
        <f>HAVERQ!S42</f>
        <v>112398</v>
      </c>
      <c r="AB36" s="13">
        <f>HAVERQ!T42</f>
        <v>96332</v>
      </c>
      <c r="AC36" s="13">
        <f>HAVERQ!W42</f>
        <v>43095</v>
      </c>
      <c r="AD36" s="13">
        <f>HAVERQ!X42</f>
        <v>6998</v>
      </c>
      <c r="AE36" s="13">
        <f>HAVERQ!AD42</f>
        <v>3307</v>
      </c>
      <c r="AF36" s="13">
        <f>HAVERQ!AE42</f>
        <v>11268</v>
      </c>
      <c r="AG36" s="13">
        <f>HAVERQ!AF42</f>
        <v>21184</v>
      </c>
      <c r="AH36" s="13">
        <f>HAVERQ!AG42</f>
        <v>27856</v>
      </c>
      <c r="AI36" s="13">
        <f>HAVERQ!AH42</f>
        <v>13325</v>
      </c>
      <c r="AL36">
        <v>2021</v>
      </c>
      <c r="AM36" s="15">
        <f t="shared" ca="1" si="27"/>
        <v>1.0132655073607035</v>
      </c>
      <c r="AN36" s="15">
        <f t="shared" ca="1" si="42"/>
        <v>1</v>
      </c>
      <c r="AO36" s="15">
        <f t="shared" ca="1" si="29"/>
        <v>0.98503806437024199</v>
      </c>
      <c r="AP36" s="15">
        <f t="shared" ca="1" si="43"/>
        <v>0.98340612840881036</v>
      </c>
      <c r="AQ36" s="15">
        <f t="shared" ca="1" si="44"/>
        <v>0.7689488152899594</v>
      </c>
      <c r="AR36" s="15">
        <f t="shared" ca="1" si="45"/>
        <v>1.0056754952147786</v>
      </c>
      <c r="AS36" s="15">
        <f t="shared" ca="1" si="46"/>
        <v>1.0196770469108241</v>
      </c>
      <c r="AT36" s="15">
        <f t="shared" ca="1" si="47"/>
        <v>1.0089346798321301</v>
      </c>
      <c r="AU36" s="15">
        <f t="shared" ca="1" si="35"/>
        <v>1.0751585414189457</v>
      </c>
      <c r="AV36" s="15">
        <f t="shared" ca="1" si="36"/>
        <v>0.70571848059330644</v>
      </c>
      <c r="AW36" s="15">
        <f t="shared" ca="1" si="37"/>
        <v>1.530404080031385</v>
      </c>
      <c r="AX36" s="15">
        <f t="shared" ca="1" si="38"/>
        <v>0.90865243220987002</v>
      </c>
      <c r="AY36" s="15">
        <f t="shared" ca="1" si="39"/>
        <v>1.0239506373305187</v>
      </c>
      <c r="AZ36" s="15">
        <f t="shared" ca="1" si="40"/>
        <v>0.96942441524508205</v>
      </c>
      <c r="BA36" s="15">
        <f t="shared" ca="1" si="41"/>
        <v>0.96659454011915702</v>
      </c>
      <c r="BD36">
        <v>2021</v>
      </c>
      <c r="BE36" s="8">
        <f>U129/AVERAGE(U126:U132)</f>
        <v>0.9308891477233282</v>
      </c>
      <c r="BF36" s="8">
        <f>U130/AVERAGE(U127:U133)</f>
        <v>1.0050708249195464</v>
      </c>
      <c r="BG36" s="8">
        <f>U131/AVERAGE(U128:U134)</f>
        <v>1.023821522986464</v>
      </c>
      <c r="BH36" s="8">
        <f>U132/AVERAGE(U129:U135)</f>
        <v>1.0425451296367401</v>
      </c>
      <c r="BI36">
        <v>1</v>
      </c>
      <c r="BL36">
        <v>2021</v>
      </c>
      <c r="BM36" s="8">
        <f>V129/AVERAGE(V126:V132)</f>
        <v>0.95537229308810445</v>
      </c>
      <c r="BN36" s="8">
        <f>V130/AVERAGE(V127:V133)</f>
        <v>1.0498699778230574</v>
      </c>
      <c r="BO36" s="8">
        <f>V131/AVERAGE(V128:V134)</f>
        <v>1.0229406420351301</v>
      </c>
      <c r="BP36" s="8">
        <f>V132/AVERAGE(V129:V135)</f>
        <v>1.0100828874199979</v>
      </c>
      <c r="BQ36">
        <v>1</v>
      </c>
      <c r="BT36">
        <v>2021</v>
      </c>
      <c r="BU36" s="8">
        <f>W129/AVERAGE(W126:W132)</f>
        <v>1.0141072386000431</v>
      </c>
      <c r="BV36" s="8">
        <f>W130/AVERAGE(W127:W133)</f>
        <v>1.0334825708528961</v>
      </c>
      <c r="BW36" s="8">
        <f>W131/AVERAGE(W128:W134)</f>
        <v>1.0115467970103706</v>
      </c>
      <c r="BX36" s="8">
        <f>W132/AVERAGE(W129:W135)</f>
        <v>1.0237413761385861</v>
      </c>
      <c r="BY36">
        <v>1</v>
      </c>
      <c r="CB36">
        <v>2021</v>
      </c>
      <c r="CC36" s="8">
        <f>X129/AVERAGE(X126:X132)</f>
        <v>1.0160834053218348</v>
      </c>
      <c r="CD36" s="8">
        <f>X130/AVERAGE(X127:X133)</f>
        <v>0.94810770872670558</v>
      </c>
      <c r="CE36" s="8">
        <f>X131/AVERAGE(X128:X134)</f>
        <v>0.98857753079155786</v>
      </c>
      <c r="CF36" s="8">
        <f>X132/AVERAGE(X129:X135)</f>
        <v>1.0436872779942752</v>
      </c>
      <c r="CG36">
        <v>1</v>
      </c>
      <c r="CJ36">
        <v>2021</v>
      </c>
      <c r="CK36" s="8">
        <f>Y129/AVERAGE(Y126:Y132)</f>
        <v>-10.407356948228882</v>
      </c>
      <c r="CL36" s="8">
        <f>Y130/AVERAGE(Y127:Y133)</f>
        <v>-6.5223829593347764</v>
      </c>
      <c r="CM36" s="8">
        <f>Y131/AVERAGE(Y128:Y134)</f>
        <v>0.21453960163637581</v>
      </c>
      <c r="CN36" s="8">
        <f>Y132/AVERAGE(Y129:Y135)</f>
        <v>-2.2416685058485983</v>
      </c>
      <c r="CO36">
        <v>1</v>
      </c>
      <c r="CR36">
        <v>2021</v>
      </c>
      <c r="CS36" s="8">
        <f>AA129/AVERAGE(AA126:AA132)</f>
        <v>0.95748111057470997</v>
      </c>
      <c r="CT36" s="8">
        <f>AA130/AVERAGE(AA127:AA133)</f>
        <v>1.0108870356330553</v>
      </c>
      <c r="CU36" s="8">
        <f>AA131/AVERAGE(AA128:AA134)</f>
        <v>0.93520737016164412</v>
      </c>
      <c r="CV36" s="8">
        <f>AA132/AVERAGE(AA129:AA135)</f>
        <v>1.059949724322869</v>
      </c>
      <c r="CW36">
        <v>1</v>
      </c>
      <c r="CZ36">
        <v>2021</v>
      </c>
      <c r="DA36" s="8">
        <f>AB129/AVERAGE(AB126:AB132)</f>
        <v>0.99682354113001659</v>
      </c>
      <c r="DB36" s="8">
        <f>AB130/AVERAGE(AB127:AB133)</f>
        <v>0.94399209114799942</v>
      </c>
      <c r="DC36" s="8">
        <f>AB131/AVERAGE(AB128:AB134)</f>
        <v>0.97179841171160264</v>
      </c>
      <c r="DD36" s="8">
        <f>AB132/AVERAGE(AB129:AB135)</f>
        <v>0.9954405777929789</v>
      </c>
      <c r="DE36">
        <v>1</v>
      </c>
      <c r="DH36">
        <v>2021</v>
      </c>
      <c r="DI36" s="8">
        <f>AC129/AVERAGE(AC126:AC132)</f>
        <v>0.9244882602484269</v>
      </c>
      <c r="DJ36" s="8">
        <f>AC130/AVERAGE(AC127:AC133)</f>
        <v>0.97478526141766575</v>
      </c>
      <c r="DK36" s="8">
        <f>AC131/AVERAGE(AC128:AC134)</f>
        <v>1.0025386698288694</v>
      </c>
      <c r="DL36" s="8">
        <f>AC132/AVERAGE(AC129:AC135)</f>
        <v>1.0883651262537759</v>
      </c>
      <c r="DM36">
        <v>1</v>
      </c>
      <c r="DP36">
        <v>2021</v>
      </c>
      <c r="DQ36" s="8">
        <f>AD129/AVERAGE(AD126:AD132)</f>
        <v>1.3788932724252492</v>
      </c>
      <c r="DR36" s="8">
        <f>AD130/AVERAGE(AD127:AD133)</f>
        <v>0.7957442233913179</v>
      </c>
      <c r="DS36" s="8">
        <f>AD131/AVERAGE(AD128:AD134)</f>
        <v>0.91325169323390565</v>
      </c>
      <c r="DT36" s="8">
        <f>AD132/AVERAGE(AD129:AD135)</f>
        <v>0.91570311375521762</v>
      </c>
      <c r="DU36">
        <v>1</v>
      </c>
      <c r="DX36">
        <v>2021</v>
      </c>
      <c r="DY36" s="8">
        <f>AE129/AVERAGE(AE126:AE132)</f>
        <v>0.54209327054534406</v>
      </c>
      <c r="DZ36" s="8">
        <f>AE130/AVERAGE(AE127:AE133)</f>
        <v>0.8831756834698351</v>
      </c>
      <c r="EA36" s="8">
        <f>AE131/AVERAGE(AE128:AE134)</f>
        <v>0.75675675675675669</v>
      </c>
      <c r="EB36" s="8">
        <f>AE132/AVERAGE(AE129:AE135)</f>
        <v>1.3660097940881468</v>
      </c>
      <c r="EC36">
        <v>1</v>
      </c>
      <c r="EF36">
        <v>2021</v>
      </c>
      <c r="EG36" s="8">
        <f>AF129/AVERAGE(AF126:AF132)</f>
        <v>0.99467587175286687</v>
      </c>
      <c r="EH36" s="8">
        <f>AF130/AVERAGE(AF127:AF133)</f>
        <v>0.87000806151556487</v>
      </c>
      <c r="EI36" s="8">
        <f>AF131/AVERAGE(AF128:AF134)</f>
        <v>0.99522722239616346</v>
      </c>
      <c r="EJ36" s="8">
        <f>AF132/AVERAGE(AF129:AF135)</f>
        <v>1.0652615037226902</v>
      </c>
      <c r="EK36">
        <v>1</v>
      </c>
      <c r="EN36">
        <v>2021</v>
      </c>
      <c r="EO36" s="8">
        <f>AG129/AVERAGE(AG126:AG132)</f>
        <v>1.0112598083486788</v>
      </c>
      <c r="EP36" s="8">
        <f>AG130/AVERAGE(AG127:AG133)</f>
        <v>0.98747430137820758</v>
      </c>
      <c r="EQ36" s="8">
        <f>AG131/AVERAGE(AG128:AG134)</f>
        <v>0.99001403777437469</v>
      </c>
      <c r="ER36" s="8">
        <f>AG132/AVERAGE(AG129:AG135)</f>
        <v>1.0148705671261886</v>
      </c>
      <c r="ES36">
        <v>1</v>
      </c>
      <c r="EV36">
        <v>2021</v>
      </c>
      <c r="EW36" s="8">
        <f>AH129/AVERAGE(AH126:AH132)</f>
        <v>1.0706885553326724</v>
      </c>
      <c r="EX36" s="8">
        <f>AH130/AVERAGE(AH127:AH133)</f>
        <v>0.92937569983662838</v>
      </c>
      <c r="EY36" s="8">
        <f>AH131/AVERAGE(AH128:AH134)</f>
        <v>1.0225360038881641</v>
      </c>
      <c r="EZ36" s="8">
        <f>AH132/AVERAGE(AH129:AH135)</f>
        <v>1.0380236802407816</v>
      </c>
      <c r="FA36">
        <v>1</v>
      </c>
      <c r="FD36">
        <v>2021</v>
      </c>
      <c r="FE36" s="8">
        <f>AI129/AVERAGE(AI126:AI132)</f>
        <v>1.0423500644409527</v>
      </c>
      <c r="FF36" s="8">
        <f>AI130/AVERAGE(AI127:AI133)</f>
        <v>0.99221641535298155</v>
      </c>
      <c r="FG36" s="8">
        <f>AI131/AVERAGE(AI128:AI134)</f>
        <v>0.98499530572277005</v>
      </c>
      <c r="FH36" s="8">
        <f>AI132/AVERAGE(AI129:AI135)</f>
        <v>1.0113353677785961</v>
      </c>
      <c r="FI36">
        <v>1</v>
      </c>
    </row>
    <row r="37" spans="1:165" x14ac:dyDescent="0.35">
      <c r="A37" t="s">
        <v>202</v>
      </c>
      <c r="B37" t="str">
        <f t="shared" si="17"/>
        <v>1998</v>
      </c>
      <c r="C37" t="str">
        <f t="shared" si="18"/>
        <v>Q1</v>
      </c>
      <c r="D37" s="13">
        <f>HAVERQ!C43</f>
        <v>260797</v>
      </c>
      <c r="E37" s="13">
        <f>HAVERQ!D43</f>
        <v>10445</v>
      </c>
      <c r="F37" s="13">
        <f>HAVERQ!E43</f>
        <v>84775</v>
      </c>
      <c r="G37" s="13">
        <f>HAVERQ!F43</f>
        <v>74393</v>
      </c>
      <c r="H37" s="13">
        <f>HAVERQ!G43</f>
        <v>3707</v>
      </c>
      <c r="I37" s="13">
        <f>HAVERQ!H43</f>
        <v>844</v>
      </c>
      <c r="J37" s="13">
        <f>HAVERQ!I43</f>
        <v>110615</v>
      </c>
      <c r="K37" s="13">
        <f>HAVERQ!J43</f>
        <v>98715</v>
      </c>
      <c r="L37" s="13">
        <f>HAVERQ!U43</f>
        <v>42028</v>
      </c>
      <c r="M37" s="13">
        <f>HAVERQ!V43</f>
        <v>8473</v>
      </c>
      <c r="N37" s="13">
        <f>HAVERQ!Y43</f>
        <v>4489</v>
      </c>
      <c r="O37" s="13">
        <f>HAVERQ!Z43</f>
        <v>10318</v>
      </c>
      <c r="P37" s="13">
        <f>HAVERQ!AA43</f>
        <v>20045</v>
      </c>
      <c r="Q37" s="13">
        <f>HAVERQ!AB43</f>
        <v>27821</v>
      </c>
      <c r="R37" s="13">
        <f>HAVERQ!AC43</f>
        <v>13651</v>
      </c>
      <c r="U37" s="13">
        <f>HAVERQ!M43</f>
        <v>254184</v>
      </c>
      <c r="V37" s="13">
        <f>HAVERQ!N43</f>
        <v>10445</v>
      </c>
      <c r="W37" s="13">
        <f>HAVERQ!O43</f>
        <v>84655</v>
      </c>
      <c r="X37" s="13">
        <f>HAVERQ!P43</f>
        <v>78694</v>
      </c>
      <c r="Y37" s="13">
        <f>HAVERQ!Q43</f>
        <v>1790</v>
      </c>
      <c r="Z37" s="13">
        <f>HAVERQ!R43</f>
        <v>789</v>
      </c>
      <c r="AA37" s="13">
        <f>HAVERQ!S43</f>
        <v>108241</v>
      </c>
      <c r="AB37" s="13">
        <f>HAVERQ!T43</f>
        <v>96135</v>
      </c>
      <c r="AC37" s="13">
        <f>HAVERQ!W43</f>
        <v>42952</v>
      </c>
      <c r="AD37" s="13">
        <f>HAVERQ!X43</f>
        <v>11854</v>
      </c>
      <c r="AE37" s="13">
        <f>HAVERQ!AD43</f>
        <v>4794</v>
      </c>
      <c r="AF37" s="13">
        <f>HAVERQ!AE43</f>
        <v>10889</v>
      </c>
      <c r="AG37" s="13">
        <f>HAVERQ!AF43</f>
        <v>20331</v>
      </c>
      <c r="AH37" s="13">
        <f>HAVERQ!AG43</f>
        <v>30829</v>
      </c>
      <c r="AI37" s="13">
        <f>HAVERQ!AH43</f>
        <v>13756</v>
      </c>
      <c r="AL37">
        <v>2022</v>
      </c>
      <c r="AM37" s="15">
        <f t="shared" ca="1" si="27"/>
        <v>1.0299793489621465</v>
      </c>
      <c r="AN37" s="15">
        <f t="shared" ca="1" si="42"/>
        <v>1</v>
      </c>
      <c r="AO37" s="15">
        <f t="shared" ca="1" si="29"/>
        <v>0.98511548212743427</v>
      </c>
      <c r="AP37" s="15">
        <f t="shared" ca="1" si="43"/>
        <v>0.95282991180829679</v>
      </c>
      <c r="AQ37" s="15">
        <f t="shared" ca="1" si="44"/>
        <v>0.90349440349440346</v>
      </c>
      <c r="AR37" s="15">
        <f t="shared" ca="1" si="45"/>
        <v>1.0025609620309541</v>
      </c>
      <c r="AS37" s="15">
        <f t="shared" ca="1" si="46"/>
        <v>1.0298044629427401</v>
      </c>
      <c r="AT37" s="15">
        <f t="shared" ca="1" si="47"/>
        <v>1.0156668007203931</v>
      </c>
      <c r="AU37" s="15">
        <f t="shared" ca="1" si="35"/>
        <v>1.0111652485191129</v>
      </c>
      <c r="AV37" s="15">
        <f t="shared" ca="1" si="36"/>
        <v>0.71030955227846415</v>
      </c>
      <c r="AW37" s="15">
        <f t="shared" ca="1" si="37"/>
        <v>1.0127208480565371</v>
      </c>
      <c r="AX37" s="15">
        <f t="shared" ca="1" si="38"/>
        <v>0.93443867864827235</v>
      </c>
      <c r="AY37" s="15">
        <f t="shared" ca="1" si="39"/>
        <v>1.0182715020147284</v>
      </c>
      <c r="AZ37" s="15">
        <f t="shared" ca="1" si="40"/>
        <v>0.91661939875212706</v>
      </c>
      <c r="BA37" s="15">
        <f t="shared" ca="1" si="41"/>
        <v>0.94806203626818097</v>
      </c>
      <c r="BD37">
        <v>2022</v>
      </c>
      <c r="BE37" s="8">
        <f>U133/AVERAGE(U130:U136)</f>
        <v>0.97123945960014002</v>
      </c>
      <c r="BF37" s="8">
        <f>U134/AVERAGE(U131:U137)</f>
        <v>1.0108040965938843</v>
      </c>
      <c r="BG37" s="8">
        <f>U135/AVERAGE(U132:U138)</f>
        <v>1.0123109936713306</v>
      </c>
      <c r="BH37" s="8">
        <f>U136/AVERAGE(U133:U139)</f>
        <v>1.0379200182140098</v>
      </c>
      <c r="BI37">
        <v>1</v>
      </c>
      <c r="BL37">
        <v>2022</v>
      </c>
      <c r="BM37" s="8">
        <f>V133/AVERAGE(V130:V136)</f>
        <v>0.97157950236246027</v>
      </c>
      <c r="BN37" s="8">
        <f>V134/AVERAGE(V131:V137)</f>
        <v>1.0375321182551664</v>
      </c>
      <c r="BO37" s="8">
        <f>V135/AVERAGE(V132:V138)</f>
        <v>1.0225265938955712</v>
      </c>
      <c r="BP37" s="8">
        <f>V136/AVERAGE(V133:V139)</f>
        <v>1.0274173418649339</v>
      </c>
      <c r="BQ37">
        <v>1</v>
      </c>
      <c r="BT37">
        <v>2022</v>
      </c>
      <c r="BU37" s="8">
        <f>W133/AVERAGE(W130:W136)</f>
        <v>1.0267159624581015</v>
      </c>
      <c r="BV37" s="8">
        <f>W134/AVERAGE(W131:W137)</f>
        <v>0.97426995994823318</v>
      </c>
      <c r="BW37" s="8">
        <f>W135/AVERAGE(W132:W138)</f>
        <v>0.98484079256912815</v>
      </c>
      <c r="BX37" s="8">
        <f>W136/AVERAGE(W133:W139)</f>
        <v>0.99005120433327132</v>
      </c>
      <c r="BY37">
        <v>1</v>
      </c>
      <c r="CB37">
        <v>2022</v>
      </c>
      <c r="CC37" s="8">
        <f>X133/AVERAGE(X130:X136)</f>
        <v>1.0784849676926347</v>
      </c>
      <c r="CD37" s="8">
        <f>X134/AVERAGE(X131:X137)</f>
        <v>0.93688485432887136</v>
      </c>
      <c r="CE37" s="8">
        <f>X135/AVERAGE(X132:X138)</f>
        <v>0.98470782978938987</v>
      </c>
      <c r="CF37" s="8">
        <f>X136/AVERAGE(X133:X139)</f>
        <v>1.0230225039143011</v>
      </c>
      <c r="CG37">
        <v>1</v>
      </c>
      <c r="CJ37">
        <v>2022</v>
      </c>
      <c r="CK37" s="8">
        <f>Y133/AVERAGE(Y130:Y136)</f>
        <v>-8.7497014161405904</v>
      </c>
      <c r="CL37" s="8">
        <f>Y134/AVERAGE(Y131:Y137)</f>
        <v>-35.57494866529774</v>
      </c>
      <c r="CM37" s="8">
        <f>Y135/AVERAGE(Y132:Y138)</f>
        <v>-256.3235294117647</v>
      </c>
      <c r="CN37" s="8">
        <f>Y136/AVERAGE(Y133:Y139)</f>
        <v>-4.3160134378499437</v>
      </c>
      <c r="CO37">
        <v>1</v>
      </c>
      <c r="CR37">
        <v>2022</v>
      </c>
      <c r="CS37" s="8">
        <f>AA133/AVERAGE(AA130:AA136)</f>
        <v>0.90761814055443268</v>
      </c>
      <c r="CT37" s="8">
        <f>AA134/AVERAGE(AA131:AA137)</f>
        <v>1.0039624278804624</v>
      </c>
      <c r="CU37" s="8">
        <f>AA135/AVERAGE(AA132:AA138)</f>
        <v>1.0653480247659493</v>
      </c>
      <c r="CV37" s="8">
        <f>AA136/AVERAGE(AA133:AA139)</f>
        <v>1.1229577869883873</v>
      </c>
      <c r="CW37">
        <v>1</v>
      </c>
      <c r="CZ37">
        <v>2022</v>
      </c>
      <c r="DA37" s="8">
        <f>AB133/AVERAGE(AB130:AB136)</f>
        <v>1.0387477020836604</v>
      </c>
      <c r="DB37" s="8">
        <f>AB134/AVERAGE(AB131:AB137)</f>
        <v>1.0416425863644811</v>
      </c>
      <c r="DC37" s="8">
        <f>AB135/AVERAGE(AB132:AB138)</f>
        <v>1.0014888468244523</v>
      </c>
      <c r="DD37" s="8">
        <f>AB136/AVERAGE(AB133:AB139)</f>
        <v>1.0222306028313184</v>
      </c>
      <c r="DE37">
        <v>1</v>
      </c>
      <c r="DH37">
        <v>2022</v>
      </c>
      <c r="DI37" s="8">
        <f>AC133/AVERAGE(AC130:AC136)</f>
        <v>0.99909372174216282</v>
      </c>
      <c r="DJ37" s="8">
        <f>AC134/AVERAGE(AC131:AC137)</f>
        <v>0.96744333606412547</v>
      </c>
      <c r="DK37" s="8">
        <f>AC135/AVERAGE(AC132:AC138)</f>
        <v>0.98506069839041588</v>
      </c>
      <c r="DL37" s="8">
        <f>AC136/AVERAGE(AC133:AC139)</f>
        <v>1.0464322657748586</v>
      </c>
      <c r="DM37">
        <v>1</v>
      </c>
      <c r="DP37">
        <v>2022</v>
      </c>
      <c r="DQ37" s="8">
        <f>AD133/AVERAGE(AD130:AD136)</f>
        <v>1.5130082701585112</v>
      </c>
      <c r="DR37" s="8">
        <f>AD134/AVERAGE(AD131:AD137)</f>
        <v>0.71201615311700617</v>
      </c>
      <c r="DS37" s="8">
        <f>AD135/AVERAGE(AD132:AD138)</f>
        <v>0.85556378252591492</v>
      </c>
      <c r="DT37" s="8">
        <f>AD136/AVERAGE(AD133:AD139)</f>
        <v>0.92145236289285359</v>
      </c>
      <c r="DU37">
        <v>1</v>
      </c>
      <c r="DX37">
        <v>2022</v>
      </c>
      <c r="DY37" s="8">
        <f>AE133/AVERAGE(AE130:AE136)</f>
        <v>0.73840763381541674</v>
      </c>
      <c r="DZ37" s="8">
        <f>AE134/AVERAGE(AE131:AE137)</f>
        <v>1.0547032747696521</v>
      </c>
      <c r="EA37" s="8">
        <f>AE135/AVERAGE(AE132:AE138)</f>
        <v>0.85527770689801819</v>
      </c>
      <c r="EB37" s="8">
        <f>AE136/AVERAGE(AE133:AE139)</f>
        <v>1.3280779979945811</v>
      </c>
      <c r="EC37">
        <v>1</v>
      </c>
      <c r="EF37">
        <v>2022</v>
      </c>
      <c r="EG37" s="8">
        <f>AF133/AVERAGE(AF130:AF136)</f>
        <v>1.2498003886771418</v>
      </c>
      <c r="EH37" s="8">
        <f>AF134/AVERAGE(AF131:AF137)</f>
        <v>0.88114899437661487</v>
      </c>
      <c r="EI37" s="8">
        <f>AF135/AVERAGE(AF132:AF138)</f>
        <v>0.94040383379112846</v>
      </c>
      <c r="EJ37" s="8">
        <f>AF136/AVERAGE(AF133:AF139)</f>
        <v>0.96899443204650093</v>
      </c>
      <c r="EK37">
        <v>1</v>
      </c>
      <c r="EN37">
        <v>2022</v>
      </c>
      <c r="EO37" s="8">
        <f>AG133/AVERAGE(AG130:AG136)</f>
        <v>1.0272466368627371</v>
      </c>
      <c r="EP37" s="8">
        <f>AG134/AVERAGE(AG131:AG137)</f>
        <v>1.009886242571433</v>
      </c>
      <c r="EQ37" s="8">
        <f>AG135/AVERAGE(AG132:AG138)</f>
        <v>1.0342808313855587</v>
      </c>
      <c r="ER37" s="8">
        <f>AG136/AVERAGE(AG133:AG139)</f>
        <v>1.0273349783772601</v>
      </c>
      <c r="ES37">
        <v>1</v>
      </c>
      <c r="EV37">
        <v>2022</v>
      </c>
      <c r="EW37" s="8">
        <f>AH133/AVERAGE(AH130:AH136)</f>
        <v>1.0641621695421914</v>
      </c>
      <c r="EX37" s="8">
        <f>AH134/AVERAGE(AH131:AH137)</f>
        <v>0.88779161900364156</v>
      </c>
      <c r="EY37" s="8">
        <f>AH135/AVERAGE(AH132:AH138)</f>
        <v>1.0176841222935729</v>
      </c>
      <c r="EZ37" s="8">
        <f>AH136/AVERAGE(AH133:AH139)</f>
        <v>1.0414849810523612</v>
      </c>
      <c r="FA37">
        <v>1</v>
      </c>
      <c r="FD37">
        <v>2022</v>
      </c>
      <c r="FE37" s="8">
        <f>AI133/AVERAGE(AI130:AI136)</f>
        <v>1.1003827513463666</v>
      </c>
      <c r="FF37" s="8">
        <f>AI134/AVERAGE(AI131:AI137)</f>
        <v>0.94388539280225037</v>
      </c>
      <c r="FG37" s="8">
        <f>AI135/AVERAGE(AI132:AI138)</f>
        <v>0.96100871265491561</v>
      </c>
      <c r="FH37" s="8">
        <f>AI136/AVERAGE(AI133:AI139)</f>
        <v>0.9649052384092669</v>
      </c>
      <c r="FI37">
        <v>1</v>
      </c>
    </row>
    <row r="38" spans="1:165" x14ac:dyDescent="0.35">
      <c r="A38" t="s">
        <v>203</v>
      </c>
      <c r="B38" t="str">
        <f t="shared" si="17"/>
        <v>1998</v>
      </c>
      <c r="C38" t="str">
        <f t="shared" si="18"/>
        <v>Q2</v>
      </c>
      <c r="D38" s="13">
        <f>HAVERQ!C44</f>
        <v>263411</v>
      </c>
      <c r="E38" s="13">
        <f>HAVERQ!D44</f>
        <v>10482</v>
      </c>
      <c r="F38" s="13">
        <f>HAVERQ!E44</f>
        <v>85124</v>
      </c>
      <c r="G38" s="13">
        <f>HAVERQ!F44</f>
        <v>74474</v>
      </c>
      <c r="H38" s="13">
        <f>HAVERQ!G44</f>
        <v>2303</v>
      </c>
      <c r="I38" s="13">
        <f>HAVERQ!H44</f>
        <v>718</v>
      </c>
      <c r="J38" s="13">
        <f>HAVERQ!I44</f>
        <v>110558</v>
      </c>
      <c r="K38" s="13">
        <f>HAVERQ!J44</f>
        <v>101342</v>
      </c>
      <c r="L38" s="13">
        <f>HAVERQ!U44</f>
        <v>42503</v>
      </c>
      <c r="M38" s="13">
        <f>HAVERQ!V44</f>
        <v>7895</v>
      </c>
      <c r="N38" s="13">
        <f>HAVERQ!Y44</f>
        <v>3991</v>
      </c>
      <c r="O38" s="13">
        <f>HAVERQ!Z44</f>
        <v>10328</v>
      </c>
      <c r="P38" s="13">
        <f>HAVERQ!AA44</f>
        <v>20520</v>
      </c>
      <c r="Q38" s="13">
        <f>HAVERQ!AB44</f>
        <v>27940</v>
      </c>
      <c r="R38" s="13">
        <f>HAVERQ!AC44</f>
        <v>13986</v>
      </c>
      <c r="U38" s="13">
        <f>HAVERQ!M44</f>
        <v>260527</v>
      </c>
      <c r="V38" s="13">
        <f>HAVERQ!N44</f>
        <v>10482</v>
      </c>
      <c r="W38" s="13">
        <f>HAVERQ!O44</f>
        <v>85695</v>
      </c>
      <c r="X38" s="13">
        <f>HAVERQ!P44</f>
        <v>70490</v>
      </c>
      <c r="Y38" s="13">
        <f>HAVERQ!Q44</f>
        <v>2944</v>
      </c>
      <c r="Z38" s="13">
        <f>HAVERQ!R44</f>
        <v>815</v>
      </c>
      <c r="AA38" s="13">
        <f>HAVERQ!S44</f>
        <v>110010</v>
      </c>
      <c r="AB38" s="13">
        <f>HAVERQ!T44</f>
        <v>101708</v>
      </c>
      <c r="AC38" s="13">
        <f>HAVERQ!W44</f>
        <v>40997</v>
      </c>
      <c r="AD38" s="13">
        <f>HAVERQ!X44</f>
        <v>5767</v>
      </c>
      <c r="AE38" s="13">
        <f>HAVERQ!AD44</f>
        <v>4333</v>
      </c>
      <c r="AF38" s="13">
        <f>HAVERQ!AE44</f>
        <v>9514</v>
      </c>
      <c r="AG38" s="13">
        <f>HAVERQ!AF44</f>
        <v>20297</v>
      </c>
      <c r="AH38" s="13">
        <f>HAVERQ!AG44</f>
        <v>24549</v>
      </c>
      <c r="AI38" s="13">
        <f>HAVERQ!AH44</f>
        <v>13933</v>
      </c>
      <c r="AL38">
        <v>2023</v>
      </c>
      <c r="AM38" s="15">
        <f t="shared" ca="1" si="27"/>
        <v>1.0266110806146116</v>
      </c>
      <c r="AN38" s="15">
        <f t="shared" ca="1" si="42"/>
        <v>1</v>
      </c>
      <c r="AO38" s="15">
        <f t="shared" ca="1" si="29"/>
        <v>0.98612160524627557</v>
      </c>
      <c r="AP38" s="15">
        <f t="shared" ca="1" si="43"/>
        <v>0.96328650948620054</v>
      </c>
      <c r="AQ38" s="15">
        <f t="shared" ca="1" si="44"/>
        <v>1.175694939415538</v>
      </c>
      <c r="AR38" s="15">
        <f t="shared" ca="1" si="45"/>
        <v>0.98108326596604689</v>
      </c>
      <c r="AS38" s="15">
        <f t="shared" ca="1" si="46"/>
        <v>1.0252066509607398</v>
      </c>
      <c r="AT38" s="15">
        <f t="shared" ca="1" si="47"/>
        <v>1.0109291076490403</v>
      </c>
      <c r="AU38" s="15">
        <f t="shared" ca="1" si="35"/>
        <v>1.032857870606215</v>
      </c>
      <c r="AV38" s="15">
        <f t="shared" ca="1" si="36"/>
        <v>0.71809535846314254</v>
      </c>
      <c r="AW38" s="15">
        <f t="shared" ca="1" si="37"/>
        <v>1.0074792243767312</v>
      </c>
      <c r="AX38" s="15">
        <f t="shared" ca="1" si="38"/>
        <v>0.92838826984941025</v>
      </c>
      <c r="AY38" s="15">
        <f t="shared" ca="1" si="39"/>
        <v>1.0170387145476114</v>
      </c>
      <c r="AZ38" s="15">
        <f t="shared" ca="1" si="40"/>
        <v>0.94695530790178262</v>
      </c>
      <c r="BA38" s="15">
        <f t="shared" ca="1" si="41"/>
        <v>0.95524486870926739</v>
      </c>
      <c r="BD38">
        <v>2023</v>
      </c>
      <c r="BE38" s="8">
        <f>U137/AVERAGE(U134:U140)</f>
        <v>0.97156043686013394</v>
      </c>
      <c r="BF38" s="8">
        <f>U138/AVERAGE(U135:U141)</f>
        <v>1.0029263625778753</v>
      </c>
      <c r="BG38" s="8">
        <f>U139/AVERAGE(U136:U142)</f>
        <v>0.99903808937778804</v>
      </c>
      <c r="BH38" s="8">
        <f>U140/AVERAGE(U137:U143)</f>
        <v>1.0206416259070414</v>
      </c>
      <c r="BI38">
        <v>1</v>
      </c>
      <c r="BL38">
        <v>2023</v>
      </c>
      <c r="BM38" s="8">
        <f>V137/AVERAGE(V134:V140)</f>
        <v>1.0203422731054153</v>
      </c>
      <c r="BN38" s="8">
        <f>V138/AVERAGE(V135:V141)</f>
        <v>0.99804811300822005</v>
      </c>
      <c r="BO38" s="8">
        <f>V139/AVERAGE(V136:V142)</f>
        <v>1.00229626983722</v>
      </c>
      <c r="BP38" s="8">
        <f>V140/AVERAGE(V137:V143)</f>
        <v>0.98913121938643978</v>
      </c>
      <c r="BQ38">
        <v>1</v>
      </c>
      <c r="BT38">
        <v>2023</v>
      </c>
      <c r="BU38" s="8">
        <f>W137/AVERAGE(W134:W140)</f>
        <v>1.0023312164581433</v>
      </c>
      <c r="BV38" s="8">
        <f>W138/AVERAGE(W135:W141)</f>
        <v>0.9940355842083064</v>
      </c>
      <c r="BW38" s="8">
        <f>W139/AVERAGE(W136:W142)</f>
        <v>1.0021095987244006</v>
      </c>
      <c r="BX38" s="8">
        <f>W140/AVERAGE(W137:W143)</f>
        <v>1.0055664989273723</v>
      </c>
      <c r="BY38">
        <v>1</v>
      </c>
      <c r="CB38">
        <v>2023</v>
      </c>
      <c r="CC38" s="8">
        <f>X137/AVERAGE(X134:X140)</f>
        <v>1.0659734473017923</v>
      </c>
      <c r="CD38" s="8">
        <f>X138/AVERAGE(X135:X141)</f>
        <v>0.94155760010366718</v>
      </c>
      <c r="CE38" s="8">
        <f>X139/AVERAGE(X136:X142)</f>
        <v>0.96244972015566166</v>
      </c>
      <c r="CF38" s="8">
        <f>X140/AVERAGE(X137:X143)</f>
        <v>1.0198838749331498</v>
      </c>
      <c r="CG38">
        <v>1</v>
      </c>
      <c r="CJ38">
        <v>2023</v>
      </c>
      <c r="CK38" s="8">
        <f>Y137/AVERAGE(Y134:Y140)</f>
        <v>7.1975082447783079</v>
      </c>
      <c r="CL38" s="8">
        <f>Y138/AVERAGE(Y135:Y141)</f>
        <v>-4.1088664421997754</v>
      </c>
      <c r="CM38" s="8">
        <f>Y139/AVERAGE(Y136:Y142)</f>
        <v>85.288702928870279</v>
      </c>
      <c r="CN38" s="8">
        <f>Y140/AVERAGE(Y137:Y143)</f>
        <v>0.12130760141788106</v>
      </c>
      <c r="CO38">
        <v>1</v>
      </c>
      <c r="CR38">
        <v>2023</v>
      </c>
      <c r="CS38" s="8">
        <f>AA137/AVERAGE(AA134:AA140)</f>
        <v>0.97383681828429403</v>
      </c>
      <c r="CT38" s="8">
        <f>AA138/AVERAGE(AA135:AA141)</f>
        <v>0.98083047060254158</v>
      </c>
      <c r="CU38" s="8">
        <f>AA139/AVERAGE(AA136:AA142)</f>
        <v>0.97041589316534016</v>
      </c>
      <c r="CV38" s="8">
        <f>AA140/AVERAGE(AA137:AA143)</f>
        <v>1.0025913987173847</v>
      </c>
      <c r="CW38">
        <v>1</v>
      </c>
      <c r="CZ38">
        <v>2023</v>
      </c>
      <c r="DA38" s="8">
        <f>AB137/AVERAGE(AB134:AB140)</f>
        <v>0.97893089999831984</v>
      </c>
      <c r="DB38" s="8">
        <f>AB138/AVERAGE(AB135:AB141)</f>
        <v>1.0117266310378021</v>
      </c>
      <c r="DC38" s="8">
        <f>AB139/AVERAGE(AB136:AB142)</f>
        <v>0.99067064965284113</v>
      </c>
      <c r="DD38" s="8">
        <f>AB140/AVERAGE(AB137:AB143)</f>
        <v>0.99996253608243568</v>
      </c>
      <c r="DE38">
        <v>1</v>
      </c>
      <c r="DH38">
        <v>2023</v>
      </c>
      <c r="DI38" s="8">
        <f>AC137/AVERAGE(AC134:AC140)</f>
        <v>0.98069442957570574</v>
      </c>
      <c r="DJ38" s="8">
        <f>AC138/AVERAGE(AC135:AC141)</f>
        <v>0.99399870359388209</v>
      </c>
      <c r="DK38" s="8">
        <f>AC139/AVERAGE(AC136:AC142)</f>
        <v>0.97075374820291638</v>
      </c>
      <c r="DL38" s="8">
        <f>AC140/AVERAGE(AC137:AC143)</f>
        <v>1.0540135415443623</v>
      </c>
      <c r="DM38">
        <v>1</v>
      </c>
      <c r="DP38">
        <v>2023</v>
      </c>
      <c r="DQ38" s="8">
        <f>AD137/AVERAGE(AD134:AD140)</f>
        <v>1.5563696907535161</v>
      </c>
      <c r="DR38" s="8">
        <f>AD138/AVERAGE(AD135:AD141)</f>
        <v>0.71786745146867392</v>
      </c>
      <c r="DS38" s="8">
        <f>AD139/AVERAGE(AD136:AD142)</f>
        <v>0.86070256011234891</v>
      </c>
      <c r="DT38" s="8">
        <f>AD140/AVERAGE(AD137:AD143)</f>
        <v>0.91916295950901683</v>
      </c>
      <c r="DU38">
        <v>1</v>
      </c>
      <c r="DX38">
        <v>2023</v>
      </c>
      <c r="DY38" s="8">
        <f>AE137/AVERAGE(AE134:AE140)</f>
        <v>0.97357065803667742</v>
      </c>
      <c r="DZ38" s="8">
        <f>AE138/AVERAGE(AE135:AE141)</f>
        <v>1.0450335173125036</v>
      </c>
      <c r="EA38" s="8">
        <f>AE139/AVERAGE(AE136:AE142)</f>
        <v>0.81778067129629628</v>
      </c>
      <c r="EB38" s="8">
        <f>AE140/AVERAGE(AE137:AE143)</f>
        <v>1.2224291330436583</v>
      </c>
      <c r="EC38">
        <v>1</v>
      </c>
      <c r="EF38">
        <v>2023</v>
      </c>
      <c r="EG38" s="8">
        <f>AF137/AVERAGE(AF134:AF140)</f>
        <v>1.1427799427631979</v>
      </c>
      <c r="EH38" s="8">
        <f>AF138/AVERAGE(AF135:AF141)</f>
        <v>0.89908780354059681</v>
      </c>
      <c r="EI38" s="8">
        <f>AF139/AVERAGE(AF136:AF142)</f>
        <v>0.94057552017016932</v>
      </c>
      <c r="EJ38" s="8">
        <f>AF140/AVERAGE(AF137:AF143)</f>
        <v>1.0612489871860276</v>
      </c>
      <c r="EK38">
        <v>1</v>
      </c>
      <c r="EN38">
        <v>2023</v>
      </c>
      <c r="EO38" s="8">
        <f>AG137/AVERAGE(AG134:AG140)</f>
        <v>0.99080594281062373</v>
      </c>
      <c r="EP38" s="8">
        <f>AG138/AVERAGE(AG135:AG141)</f>
        <v>0.98699766624778806</v>
      </c>
      <c r="EQ38" s="8">
        <f>AG139/AVERAGE(AG136:AG142)</f>
        <v>0.98099762470308782</v>
      </c>
      <c r="ER38" s="8">
        <f>AG140/AVERAGE(AG137:AG143)</f>
        <v>0.99667598160779736</v>
      </c>
      <c r="ES38">
        <v>1</v>
      </c>
      <c r="EV38">
        <v>2023</v>
      </c>
      <c r="EW38" s="8">
        <f>AH137/AVERAGE(AH134:AH140)</f>
        <v>1.0953777510402567</v>
      </c>
      <c r="EX38" s="8">
        <f>AH138/AVERAGE(AH135:AH141)</f>
        <v>0.85981491877296723</v>
      </c>
      <c r="EY38" s="8">
        <f>AH139/AVERAGE(AH136:AH142)</f>
        <v>0.96402123746399704</v>
      </c>
      <c r="EZ38" s="8">
        <f>AH140/AVERAGE(AH137:AH143)</f>
        <v>1.0039461217293524</v>
      </c>
      <c r="FA38">
        <v>1</v>
      </c>
      <c r="FD38">
        <v>2023</v>
      </c>
      <c r="FE38" s="8">
        <f>AI137/AVERAGE(AI134:AI140)</f>
        <v>1.069026468268226</v>
      </c>
      <c r="FF38" s="8">
        <f>AI138/AVERAGE(AI135:AI141)</f>
        <v>1.0024300891439737</v>
      </c>
      <c r="FG38" s="8">
        <f>AI139/AVERAGE(AI136:AI142)</f>
        <v>0.9920086751394942</v>
      </c>
      <c r="FH38" s="8">
        <f>AI140/AVERAGE(AI137:AI143)</f>
        <v>0.99314562436254705</v>
      </c>
      <c r="FI38">
        <v>1</v>
      </c>
    </row>
    <row r="39" spans="1:165" x14ac:dyDescent="0.35">
      <c r="A39" t="s">
        <v>204</v>
      </c>
      <c r="B39" t="str">
        <f t="shared" si="17"/>
        <v>1998</v>
      </c>
      <c r="C39" t="str">
        <f t="shared" si="18"/>
        <v>Q3</v>
      </c>
      <c r="D39" s="13">
        <f>HAVERQ!C45</f>
        <v>267649</v>
      </c>
      <c r="E39" s="13">
        <f>HAVERQ!D45</f>
        <v>10328</v>
      </c>
      <c r="F39" s="13">
        <f>HAVERQ!E45</f>
        <v>85950</v>
      </c>
      <c r="G39" s="13">
        <f>HAVERQ!F45</f>
        <v>73749</v>
      </c>
      <c r="H39" s="13">
        <f>HAVERQ!G45</f>
        <v>2199</v>
      </c>
      <c r="I39" s="13">
        <f>HAVERQ!H45</f>
        <v>967</v>
      </c>
      <c r="J39" s="13">
        <f>HAVERQ!I45</f>
        <v>110034</v>
      </c>
      <c r="K39" s="13">
        <f>HAVERQ!J45</f>
        <v>101742</v>
      </c>
      <c r="L39" s="13">
        <f>HAVERQ!U45</f>
        <v>41933</v>
      </c>
      <c r="M39" s="13">
        <f>HAVERQ!V45</f>
        <v>7804</v>
      </c>
      <c r="N39" s="13">
        <f>HAVERQ!Y45</f>
        <v>3911</v>
      </c>
      <c r="O39" s="13">
        <f>HAVERQ!Z45</f>
        <v>10188</v>
      </c>
      <c r="P39" s="13">
        <f>HAVERQ!AA45</f>
        <v>20052</v>
      </c>
      <c r="Q39" s="13">
        <f>HAVERQ!AB45</f>
        <v>27676</v>
      </c>
      <c r="R39" s="13">
        <f>HAVERQ!AC45</f>
        <v>14039</v>
      </c>
      <c r="U39" s="13">
        <f>HAVERQ!M45</f>
        <v>270292</v>
      </c>
      <c r="V39" s="13">
        <f>HAVERQ!N45</f>
        <v>10328</v>
      </c>
      <c r="W39" s="13">
        <f>HAVERQ!O45</f>
        <v>85429</v>
      </c>
      <c r="X39" s="13">
        <f>HAVERQ!P45</f>
        <v>72124</v>
      </c>
      <c r="Y39" s="13">
        <f>HAVERQ!Q45</f>
        <v>626</v>
      </c>
      <c r="Z39" s="13">
        <f>HAVERQ!R45</f>
        <v>881</v>
      </c>
      <c r="AA39" s="13">
        <f>HAVERQ!S45</f>
        <v>110606</v>
      </c>
      <c r="AB39" s="13">
        <f>HAVERQ!T45</f>
        <v>104415</v>
      </c>
      <c r="AC39" s="13">
        <f>HAVERQ!W45</f>
        <v>41014</v>
      </c>
      <c r="AD39" s="13">
        <f>HAVERQ!X45</f>
        <v>7026</v>
      </c>
      <c r="AE39" s="13">
        <f>HAVERQ!AD45</f>
        <v>3844</v>
      </c>
      <c r="AF39" s="13">
        <f>HAVERQ!AE45</f>
        <v>9605</v>
      </c>
      <c r="AG39" s="13">
        <f>HAVERQ!AF45</f>
        <v>20250</v>
      </c>
      <c r="AH39" s="13">
        <f>HAVERQ!AG45</f>
        <v>27103</v>
      </c>
      <c r="AI39" s="13">
        <f>HAVERQ!AH45</f>
        <v>13946</v>
      </c>
      <c r="AL39">
        <v>2024</v>
      </c>
      <c r="AM39" s="15">
        <f t="shared" ca="1" si="27"/>
        <v>1.0267235958196501</v>
      </c>
      <c r="AN39" s="15">
        <f t="shared" ca="1" si="42"/>
        <v>1</v>
      </c>
      <c r="AO39" s="15">
        <f t="shared" ca="1" si="29"/>
        <v>0.99357008469845554</v>
      </c>
      <c r="AP39" s="15">
        <f t="shared" ca="1" si="43"/>
        <v>0.9517179559468818</v>
      </c>
      <c r="AQ39" s="15">
        <f t="shared" ca="1" si="44"/>
        <v>-7.1303331385154878E-2</v>
      </c>
      <c r="AR39" s="15">
        <f t="shared" ca="1" si="45"/>
        <v>0.87669114804793202</v>
      </c>
      <c r="AS39" s="15">
        <f t="shared" ca="1" si="46"/>
        <v>1.0248406808845136</v>
      </c>
      <c r="AT39" s="15">
        <f t="shared" ca="1" si="47"/>
        <v>1.0277230881414638</v>
      </c>
      <c r="AU39" s="15">
        <f t="shared" ca="1" si="35"/>
        <v>1.0138107345810234</v>
      </c>
      <c r="AV39" s="15">
        <f t="shared" ca="1" si="36"/>
        <v>0.72354832725248908</v>
      </c>
      <c r="AW39" s="15">
        <f t="shared" ca="1" si="37"/>
        <v>1.0829851606396772</v>
      </c>
      <c r="AX39" s="15">
        <f t="shared" ca="1" si="38"/>
        <v>0.90590705219963741</v>
      </c>
      <c r="AY39" s="15">
        <f t="shared" ca="1" si="39"/>
        <v>1.0201496407141271</v>
      </c>
      <c r="AZ39" s="15">
        <f t="shared" ca="1" si="40"/>
        <v>0.90985302812737567</v>
      </c>
      <c r="BA39" s="15">
        <f t="shared" ca="1" si="41"/>
        <v>0.95684470190415483</v>
      </c>
      <c r="BD39">
        <v>2024</v>
      </c>
      <c r="BE39" s="8">
        <f>U141/AVERAGE(U138:U144)</f>
        <v>0.96775466692426315</v>
      </c>
      <c r="BF39" s="8">
        <f>U142/AVERAGE(U139:U145)</f>
        <v>0.99290510214824379</v>
      </c>
      <c r="BG39" s="8">
        <f>U143/AVERAGE(U140:U146)</f>
        <v>1.0094361856574545</v>
      </c>
      <c r="BH39" s="8">
        <f>U144/AVERAGE(U141:U147)</f>
        <v>1.0267851455727226</v>
      </c>
      <c r="BI39">
        <v>1</v>
      </c>
      <c r="BL39">
        <v>2024</v>
      </c>
      <c r="BM39" s="8">
        <f>V141/AVERAGE(V138:V144)</f>
        <v>0.96040609137055832</v>
      </c>
      <c r="BN39" s="8">
        <f>V142/AVERAGE(V139:V145)</f>
        <v>0.96176968845549948</v>
      </c>
      <c r="BO39" s="8">
        <f>V143/AVERAGE(V140:V146)</f>
        <v>0.99060190831480022</v>
      </c>
      <c r="BP39" s="8">
        <f>V144/AVERAGE(V141:V147)</f>
        <v>1.011623786235736</v>
      </c>
      <c r="BQ39">
        <v>1</v>
      </c>
      <c r="BT39">
        <v>2024</v>
      </c>
      <c r="BU39" s="8">
        <f>W141/AVERAGE(W138:W144)</f>
        <v>1.0046070324005527</v>
      </c>
      <c r="BV39" s="8">
        <f>W142/AVERAGE(W139:W145)</f>
        <v>0.99568829323531083</v>
      </c>
      <c r="BW39" s="8">
        <f>W143/AVERAGE(W140:W146)</f>
        <v>0.99622707850079362</v>
      </c>
      <c r="BX39" s="8">
        <f>W144/AVERAGE(W141:W147)</f>
        <v>1.0091218138578035</v>
      </c>
      <c r="BY39">
        <v>1</v>
      </c>
      <c r="CB39">
        <v>2024</v>
      </c>
      <c r="CC39" s="8">
        <f>X141/AVERAGE(X138:X144)</f>
        <v>1.0616314153024395</v>
      </c>
      <c r="CD39" s="8">
        <f>X142/AVERAGE(X139:X145)</f>
        <v>0.94898244553809374</v>
      </c>
      <c r="CE39" s="8">
        <f>X143/AVERAGE(X140:X146)</f>
        <v>0.96607351573630906</v>
      </c>
      <c r="CF39" s="8">
        <f>X144/AVERAGE(X141:X147)</f>
        <v>1.0049136469872677</v>
      </c>
      <c r="CG39">
        <v>1</v>
      </c>
      <c r="CJ39">
        <v>2024</v>
      </c>
      <c r="CK39" s="8">
        <f>Y141/AVERAGE(Y138:Y144)</f>
        <v>2.5291943828529195</v>
      </c>
      <c r="CL39" s="8">
        <f>Y142/AVERAGE(Y139:Y145)</f>
        <v>-0.80453295782203438</v>
      </c>
      <c r="CM39" s="8">
        <f>Y143/AVERAGE(Y140:Y146)</f>
        <v>3.2918149466192173</v>
      </c>
      <c r="CN39" s="8">
        <f>Y144/AVERAGE(Y141:Y147)</f>
        <v>-0.47058823529411764</v>
      </c>
      <c r="CO39">
        <v>1</v>
      </c>
      <c r="CR39">
        <v>2024</v>
      </c>
      <c r="CS39" s="8">
        <f>AA141/AVERAGE(AA138:AA144)</f>
        <v>0.96648498352318868</v>
      </c>
      <c r="CT39" s="8">
        <f>AA142/AVERAGE(AA139:AA145)</f>
        <v>1.0002181796586844</v>
      </c>
      <c r="CU39" s="8">
        <f>AA143/AVERAGE(AA140:AA146)</f>
        <v>1.0025930260131599</v>
      </c>
      <c r="CV39" s="8">
        <f>AA144/AVERAGE(AA141:AA147)</f>
        <v>1.038288839800906</v>
      </c>
      <c r="CW39">
        <v>1</v>
      </c>
      <c r="CZ39">
        <v>2024</v>
      </c>
      <c r="DA39" s="8">
        <f>AB141/AVERAGE(AB138:AB144)</f>
        <v>0.94779283993523167</v>
      </c>
      <c r="DB39" s="8">
        <f>AB142/AVERAGE(AB139:AB145)</f>
        <v>1.0227229133724662</v>
      </c>
      <c r="DC39" s="8">
        <f>AB143/AVERAGE(AB140:AB146)</f>
        <v>0.99798254093852046</v>
      </c>
      <c r="DD39" s="8">
        <f>AB144/AVERAGE(AB141:AB147)</f>
        <v>1.0280496939173338</v>
      </c>
      <c r="DE39">
        <v>1</v>
      </c>
      <c r="DH39">
        <v>2024</v>
      </c>
      <c r="DI39" s="8">
        <f>AC141/AVERAGE(AC138:AC144)</f>
        <v>0.97221209121381058</v>
      </c>
      <c r="DJ39" s="8">
        <f>AC142/AVERAGE(AC139:AC145)</f>
        <v>0.99272386990814132</v>
      </c>
      <c r="DK39" s="8">
        <f>AC143/AVERAGE(AC140:AC146)</f>
        <v>0.98167835630626288</v>
      </c>
      <c r="DL39" s="8">
        <f>AC144/AVERAGE(AC141:AC147)</f>
        <v>1.0279307587268298</v>
      </c>
      <c r="DM39">
        <v>1</v>
      </c>
      <c r="DP39">
        <v>2024</v>
      </c>
      <c r="DQ39" s="8">
        <f>AD141/AVERAGE(AD138:AD144)</f>
        <v>1.524446329852063</v>
      </c>
      <c r="DR39" s="8">
        <f>AD142/AVERAGE(AD139:AD145)</f>
        <v>0.74284504657070283</v>
      </c>
      <c r="DS39" s="8">
        <f>AD143/AVERAGE(AD140:AD146)</f>
        <v>0.87489372555687805</v>
      </c>
      <c r="DT39" s="8">
        <f>AD144/AVERAGE(AD141:AD147)</f>
        <v>0.91478968461828947</v>
      </c>
      <c r="DU39">
        <v>1</v>
      </c>
      <c r="DX39">
        <v>2024</v>
      </c>
      <c r="DY39" s="8">
        <f>AE141/AVERAGE(AE138:AE144)</f>
        <v>0.88800146212190445</v>
      </c>
      <c r="DZ39" s="8">
        <f>AE142/AVERAGE(AE139:AE145)</f>
        <v>1.1340512093162138</v>
      </c>
      <c r="EA39" s="8">
        <f>AE143/AVERAGE(AE140:AE146)</f>
        <v>0.88117539710619919</v>
      </c>
      <c r="EB39" s="8">
        <f>AE144/AVERAGE(AE141:AE147)</f>
        <v>1.2318988865482998</v>
      </c>
      <c r="EC39">
        <v>1</v>
      </c>
      <c r="EF39">
        <v>2024</v>
      </c>
      <c r="EG39" s="8">
        <f>AF141/AVERAGE(AF138:AF144)</f>
        <v>1.1181859756097563</v>
      </c>
      <c r="EH39" s="8">
        <f>AF142/AVERAGE(AF139:AF145)</f>
        <v>0.87006722430338179</v>
      </c>
      <c r="EI39" s="8">
        <f>AF143/AVERAGE(AF140:AF146)</f>
        <v>0.94954597257453777</v>
      </c>
      <c r="EJ39" s="8">
        <f>AF144/AVERAGE(AF141:AF147)</f>
        <v>0.99696126905644833</v>
      </c>
      <c r="EK39">
        <v>1</v>
      </c>
      <c r="EN39">
        <v>2024</v>
      </c>
      <c r="EO39" s="8">
        <f>AG141/AVERAGE(AG138:AG144)</f>
        <v>0.99288641378585685</v>
      </c>
      <c r="EP39" s="8">
        <f>AG142/AVERAGE(AG139:AG145)</f>
        <v>1.0061560698215426</v>
      </c>
      <c r="EQ39" s="8">
        <f>AG143/AVERAGE(AG140:AG146)</f>
        <v>0.99219861507042773</v>
      </c>
      <c r="ER39" s="8">
        <f>AG144/AVERAGE(AG141:AG147)</f>
        <v>1.0015128435198131</v>
      </c>
      <c r="ES39">
        <v>1</v>
      </c>
      <c r="EV39">
        <v>2024</v>
      </c>
      <c r="EW39" s="8">
        <f>AH141/AVERAGE(AH138:AH144)</f>
        <v>1.1510378688444898</v>
      </c>
      <c r="EX39" s="8">
        <f>AH142/AVERAGE(AH139:AH145)</f>
        <v>0.89503455285894384</v>
      </c>
      <c r="EY39" s="8">
        <f>AH143/AVERAGE(AH140:AH146)</f>
        <v>0.95312479571157749</v>
      </c>
      <c r="EZ39" s="8">
        <f>AH144/AVERAGE(AH141:AH147)</f>
        <v>0.98205509716398398</v>
      </c>
      <c r="FA39">
        <v>1</v>
      </c>
      <c r="FD39">
        <v>2024</v>
      </c>
      <c r="FE39" s="8">
        <f>AI141/AVERAGE(AI138:AI144)</f>
        <v>1.0185601187331368</v>
      </c>
      <c r="FF39" s="8">
        <f>AI142/AVERAGE(AI139:AI145)</f>
        <v>0.97387275677701546</v>
      </c>
      <c r="FG39" s="8">
        <f>AI143/AVERAGE(AI140:AI146)</f>
        <v>0.98876279483756124</v>
      </c>
      <c r="FH39" s="8">
        <f>AI144/AVERAGE(AI141:AI147)</f>
        <v>0.99508091537748622</v>
      </c>
      <c r="FI39">
        <v>1</v>
      </c>
    </row>
    <row r="40" spans="1:165" x14ac:dyDescent="0.35">
      <c r="A40" t="s">
        <v>205</v>
      </c>
      <c r="B40" t="str">
        <f t="shared" si="17"/>
        <v>1998</v>
      </c>
      <c r="C40" t="str">
        <f t="shared" si="18"/>
        <v>Q4</v>
      </c>
      <c r="D40" s="13">
        <f>HAVERQ!C46</f>
        <v>267397</v>
      </c>
      <c r="E40" s="13">
        <f>HAVERQ!D46</f>
        <v>10214</v>
      </c>
      <c r="F40" s="13">
        <f>HAVERQ!E46</f>
        <v>85893</v>
      </c>
      <c r="G40" s="13">
        <f>HAVERQ!F46</f>
        <v>75273</v>
      </c>
      <c r="H40" s="13">
        <f>HAVERQ!G46</f>
        <v>-3081</v>
      </c>
      <c r="I40" s="13">
        <f>HAVERQ!H46</f>
        <v>829</v>
      </c>
      <c r="J40" s="13">
        <f>HAVERQ!I46</f>
        <v>109183</v>
      </c>
      <c r="K40" s="13">
        <f>HAVERQ!J46</f>
        <v>101486</v>
      </c>
      <c r="L40" s="13">
        <f>HAVERQ!U46</f>
        <v>42520</v>
      </c>
      <c r="M40" s="13">
        <f>HAVERQ!V46</f>
        <v>8151</v>
      </c>
      <c r="N40" s="13">
        <f>HAVERQ!Y46</f>
        <v>4386</v>
      </c>
      <c r="O40" s="13">
        <f>HAVERQ!Z46</f>
        <v>10518</v>
      </c>
      <c r="P40" s="13">
        <f>HAVERQ!AA46</f>
        <v>20264</v>
      </c>
      <c r="Q40" s="13">
        <f>HAVERQ!AB46</f>
        <v>27687</v>
      </c>
      <c r="R40" s="13">
        <f>HAVERQ!AC46</f>
        <v>14037</v>
      </c>
      <c r="U40" s="13">
        <f>HAVERQ!M46</f>
        <v>274251</v>
      </c>
      <c r="V40" s="13">
        <f>HAVERQ!N46</f>
        <v>10214</v>
      </c>
      <c r="W40" s="13">
        <f>HAVERQ!O46</f>
        <v>85963</v>
      </c>
      <c r="X40" s="13">
        <f>HAVERQ!P46</f>
        <v>76581</v>
      </c>
      <c r="Y40" s="13">
        <f>HAVERQ!Q46</f>
        <v>-232</v>
      </c>
      <c r="Z40" s="13">
        <f>HAVERQ!R46</f>
        <v>873</v>
      </c>
      <c r="AA40" s="13">
        <f>HAVERQ!S46</f>
        <v>111533</v>
      </c>
      <c r="AB40" s="13">
        <f>HAVERQ!T46</f>
        <v>101027</v>
      </c>
      <c r="AC40" s="13">
        <f>HAVERQ!W46</f>
        <v>44021</v>
      </c>
      <c r="AD40" s="13">
        <f>HAVERQ!X46</f>
        <v>7675</v>
      </c>
      <c r="AE40" s="13">
        <f>HAVERQ!AD46</f>
        <v>3806</v>
      </c>
      <c r="AF40" s="13">
        <f>HAVERQ!AE46</f>
        <v>11344</v>
      </c>
      <c r="AG40" s="13">
        <f>HAVERQ!AF46</f>
        <v>20004</v>
      </c>
      <c r="AH40" s="13">
        <f>HAVERQ!AG46</f>
        <v>28643</v>
      </c>
      <c r="AI40" s="13">
        <f>HAVERQ!AH46</f>
        <v>14079</v>
      </c>
      <c r="AL40">
        <v>2025</v>
      </c>
      <c r="AM40" s="15">
        <f t="shared" ca="1" si="27"/>
        <v>1.0275416970611144</v>
      </c>
      <c r="AN40" s="15">
        <f t="shared" ca="1" si="42"/>
        <v>1</v>
      </c>
      <c r="AO40" s="15">
        <f t="shared" ca="1" si="29"/>
        <v>0.99127493717281012</v>
      </c>
      <c r="AP40" s="15">
        <f t="shared" ca="1" si="43"/>
        <v>0.94945152170757496</v>
      </c>
      <c r="AQ40" s="15">
        <f t="shared" ca="1" si="44"/>
        <v>3.5604192355117137E-2</v>
      </c>
      <c r="AR40" s="15">
        <f t="shared" ca="1" si="45"/>
        <v>1.0849950149551346</v>
      </c>
      <c r="AS40" s="15">
        <f t="shared" ca="1" si="46"/>
        <v>1.025795113356466</v>
      </c>
      <c r="AT40" s="15">
        <f t="shared" ca="1" si="47"/>
        <v>1.0285153075047413</v>
      </c>
      <c r="AU40" s="15">
        <f t="shared" ca="1" si="35"/>
        <v>1.0114205337325144</v>
      </c>
      <c r="AV40" s="15">
        <f t="shared" ca="1" si="36"/>
        <v>0.71408310449923051</v>
      </c>
      <c r="AW40" s="15">
        <f t="shared" ca="1" si="37"/>
        <v>1.1102303320370925</v>
      </c>
      <c r="AX40" s="15">
        <f t="shared" ca="1" si="38"/>
        <v>0.90262620885458256</v>
      </c>
      <c r="AY40" s="15">
        <f t="shared" ca="1" si="39"/>
        <v>1.0192746734533478</v>
      </c>
      <c r="AZ40" s="15">
        <f t="shared" ca="1" si="40"/>
        <v>0.90638255894248787</v>
      </c>
      <c r="BA40" s="15">
        <f t="shared" ca="1" si="41"/>
        <v>0.95728293157382827</v>
      </c>
      <c r="BD40">
        <v>2025</v>
      </c>
      <c r="BE40" s="8">
        <f>U145/AVERAGE(U142:U148)</f>
        <v>0.97158155651563893</v>
      </c>
      <c r="BF40" s="9"/>
      <c r="BG40" s="8"/>
      <c r="BI40">
        <v>1</v>
      </c>
      <c r="BL40">
        <v>2025</v>
      </c>
      <c r="BM40" s="8">
        <f>V145/AVERAGE(V142:V148)</f>
        <v>1.0075107830539203</v>
      </c>
      <c r="BN40" s="9"/>
      <c r="BO40" s="8"/>
      <c r="BQ40">
        <v>1</v>
      </c>
      <c r="BT40">
        <v>2025</v>
      </c>
      <c r="BU40" s="8">
        <f>W145/AVERAGE(W142:W148)</f>
        <v>1.0059078731946955</v>
      </c>
      <c r="BV40" s="9"/>
      <c r="BW40" s="8"/>
      <c r="BY40">
        <v>1</v>
      </c>
      <c r="CB40">
        <v>2025</v>
      </c>
      <c r="CC40" s="8">
        <f>X145/AVERAGE(X142:X148)</f>
        <v>1.0741263206349443</v>
      </c>
      <c r="CD40" s="9"/>
      <c r="CE40" s="8"/>
      <c r="CG40">
        <v>1</v>
      </c>
      <c r="CJ40">
        <v>2025</v>
      </c>
      <c r="CK40" s="8">
        <f>Y145/AVERAGE(Y142:Y148)</f>
        <v>9.6179584921643375</v>
      </c>
      <c r="CL40" s="9"/>
      <c r="CM40" s="8"/>
      <c r="CO40">
        <v>1</v>
      </c>
      <c r="CR40">
        <v>2025</v>
      </c>
      <c r="CS40" s="8">
        <f>AA145/AVERAGE(AA142:AA148)</f>
        <v>0.98277015344306662</v>
      </c>
      <c r="CT40" s="9"/>
      <c r="CU40" s="8"/>
      <c r="CW40">
        <v>1</v>
      </c>
      <c r="CZ40">
        <v>2025</v>
      </c>
      <c r="DA40" s="8">
        <f>AB145/AVERAGE(AB142:AB148)</f>
        <v>0.97948236174969172</v>
      </c>
      <c r="DB40" s="9"/>
      <c r="DC40" s="8"/>
      <c r="DE40">
        <v>1</v>
      </c>
      <c r="DH40">
        <v>2025</v>
      </c>
      <c r="DI40" s="8">
        <f>AC145/AVERAGE(AC142:AC148)</f>
        <v>1.0091436927123931</v>
      </c>
      <c r="DJ40" s="9"/>
      <c r="DK40" s="8"/>
      <c r="DM40">
        <v>1</v>
      </c>
      <c r="DP40">
        <v>2025</v>
      </c>
      <c r="DQ40" s="8">
        <f>AD145/AVERAGE(AD142:AD148)</f>
        <v>1.4865680632633966</v>
      </c>
      <c r="DR40" s="9"/>
      <c r="DS40" s="8"/>
      <c r="DU40">
        <v>1</v>
      </c>
      <c r="DX40">
        <v>2025</v>
      </c>
      <c r="DY40" s="8">
        <f>AE145/AVERAGE(AE142:AE148)</f>
        <v>0.95578655012559477</v>
      </c>
      <c r="DZ40" s="9"/>
      <c r="EA40" s="8"/>
      <c r="EC40">
        <v>1</v>
      </c>
      <c r="EF40">
        <v>2025</v>
      </c>
      <c r="EG40" s="8">
        <f>AF145/AVERAGE(AF142:AF148)</f>
        <v>1.162403865986976</v>
      </c>
      <c r="EH40" s="9"/>
      <c r="EI40" s="8"/>
      <c r="EK40">
        <v>1</v>
      </c>
      <c r="EN40">
        <v>2025</v>
      </c>
      <c r="EO40" s="8">
        <f>AG145/AVERAGE(AG142:AG148)</f>
        <v>0.97170600429137721</v>
      </c>
      <c r="EP40" s="9"/>
      <c r="EQ40" s="8"/>
      <c r="ES40">
        <v>1</v>
      </c>
      <c r="EV40">
        <v>2025</v>
      </c>
      <c r="EW40" s="8">
        <f>AH145/AVERAGE(AH142:AH148)</f>
        <v>1.1422376325600263</v>
      </c>
      <c r="EX40" s="9"/>
      <c r="EY40" s="8"/>
      <c r="FA40">
        <v>1</v>
      </c>
      <c r="FD40">
        <v>2025</v>
      </c>
      <c r="FE40" s="8">
        <f>AI145/AVERAGE(AI142:AI148)</f>
        <v>1.0442054161732297</v>
      </c>
      <c r="FF40" s="9"/>
      <c r="FG40" s="8"/>
      <c r="FI40">
        <v>1</v>
      </c>
    </row>
    <row r="41" spans="1:165" x14ac:dyDescent="0.35">
      <c r="A41" t="s">
        <v>206</v>
      </c>
      <c r="B41" t="str">
        <f t="shared" si="17"/>
        <v>1999</v>
      </c>
      <c r="C41" t="str">
        <f t="shared" si="18"/>
        <v>Q1</v>
      </c>
      <c r="D41" s="13">
        <f>HAVERQ!C47</f>
        <v>270159</v>
      </c>
      <c r="E41" s="13">
        <f>HAVERQ!D47</f>
        <v>10146</v>
      </c>
      <c r="F41" s="13">
        <f>HAVERQ!E47</f>
        <v>85762</v>
      </c>
      <c r="G41" s="13">
        <f>HAVERQ!F47</f>
        <v>75322</v>
      </c>
      <c r="H41" s="13">
        <f>HAVERQ!G47</f>
        <v>1452</v>
      </c>
      <c r="I41" s="13">
        <f>HAVERQ!H47</f>
        <v>803</v>
      </c>
      <c r="J41" s="13">
        <f>HAVERQ!I47</f>
        <v>109716</v>
      </c>
      <c r="K41" s="13">
        <f>HAVERQ!J47</f>
        <v>104893</v>
      </c>
      <c r="L41" s="13">
        <f>HAVERQ!U47</f>
        <v>43428</v>
      </c>
      <c r="M41" s="13">
        <f>HAVERQ!V47</f>
        <v>7429</v>
      </c>
      <c r="N41" s="13">
        <f>HAVERQ!Y47</f>
        <v>4471</v>
      </c>
      <c r="O41" s="13">
        <f>HAVERQ!Z47</f>
        <v>10547</v>
      </c>
      <c r="P41" s="13">
        <f>HAVERQ!AA47</f>
        <v>20149</v>
      </c>
      <c r="Q41" s="13">
        <f>HAVERQ!AB47</f>
        <v>27724</v>
      </c>
      <c r="R41" s="13">
        <f>HAVERQ!AC47</f>
        <v>13937</v>
      </c>
      <c r="U41" s="13">
        <f>HAVERQ!M47</f>
        <v>263344</v>
      </c>
      <c r="V41" s="13">
        <f>HAVERQ!N47</f>
        <v>10146</v>
      </c>
      <c r="W41" s="13">
        <f>HAVERQ!O47</f>
        <v>85541</v>
      </c>
      <c r="X41" s="13">
        <f>HAVERQ!P47</f>
        <v>77359</v>
      </c>
      <c r="Y41" s="13">
        <f>HAVERQ!Q47</f>
        <v>2349</v>
      </c>
      <c r="Z41" s="13">
        <f>HAVERQ!R47</f>
        <v>741</v>
      </c>
      <c r="AA41" s="13">
        <f>HAVERQ!S47</f>
        <v>107024</v>
      </c>
      <c r="AB41" s="13">
        <f>HAVERQ!T47</f>
        <v>102160</v>
      </c>
      <c r="AC41" s="13">
        <f>HAVERQ!W47</f>
        <v>42777</v>
      </c>
      <c r="AD41" s="13">
        <f>HAVERQ!X47</f>
        <v>10242</v>
      </c>
      <c r="AE41" s="13">
        <f>HAVERQ!AD47</f>
        <v>4695</v>
      </c>
      <c r="AF41" s="13">
        <f>HAVERQ!AE47</f>
        <v>11128</v>
      </c>
      <c r="AG41" s="13">
        <f>HAVERQ!AF47</f>
        <v>20446</v>
      </c>
      <c r="AH41" s="13">
        <f>HAVERQ!AG47</f>
        <v>28455</v>
      </c>
      <c r="AI41" s="13">
        <f>HAVERQ!AH47</f>
        <v>14015</v>
      </c>
    </row>
    <row r="42" spans="1:165" x14ac:dyDescent="0.35">
      <c r="A42" t="s">
        <v>207</v>
      </c>
      <c r="B42" t="str">
        <f t="shared" si="17"/>
        <v>1999</v>
      </c>
      <c r="C42" t="str">
        <f t="shared" si="18"/>
        <v>Q2</v>
      </c>
      <c r="D42" s="13">
        <f>HAVERQ!C48</f>
        <v>275407</v>
      </c>
      <c r="E42" s="13">
        <f>HAVERQ!D48</f>
        <v>10538</v>
      </c>
      <c r="F42" s="13">
        <f>HAVERQ!E48</f>
        <v>88720</v>
      </c>
      <c r="G42" s="13">
        <f>HAVERQ!F48</f>
        <v>75306</v>
      </c>
      <c r="H42" s="13">
        <f>HAVERQ!G48</f>
        <v>312</v>
      </c>
      <c r="I42" s="13">
        <f>HAVERQ!H48</f>
        <v>516</v>
      </c>
      <c r="J42" s="13">
        <f>HAVERQ!I48</f>
        <v>110243</v>
      </c>
      <c r="K42" s="13">
        <f>HAVERQ!J48</f>
        <v>106418</v>
      </c>
      <c r="L42" s="13">
        <f>HAVERQ!U48</f>
        <v>43043</v>
      </c>
      <c r="M42" s="13">
        <f>HAVERQ!V48</f>
        <v>7559</v>
      </c>
      <c r="N42" s="13">
        <f>HAVERQ!Y48</f>
        <v>3987</v>
      </c>
      <c r="O42" s="13">
        <f>HAVERQ!Z48</f>
        <v>10570</v>
      </c>
      <c r="P42" s="13">
        <f>HAVERQ!AA48</f>
        <v>21262</v>
      </c>
      <c r="Q42" s="13">
        <f>HAVERQ!AB48</f>
        <v>27772</v>
      </c>
      <c r="R42" s="13">
        <f>HAVERQ!AC48</f>
        <v>13892</v>
      </c>
      <c r="U42" s="13">
        <f>HAVERQ!M48</f>
        <v>272027</v>
      </c>
      <c r="V42" s="13">
        <f>HAVERQ!N48</f>
        <v>10538</v>
      </c>
      <c r="W42" s="13">
        <f>HAVERQ!O48</f>
        <v>89218</v>
      </c>
      <c r="X42" s="13">
        <f>HAVERQ!P48</f>
        <v>71534</v>
      </c>
      <c r="Y42" s="13">
        <f>HAVERQ!Q48</f>
        <v>-862</v>
      </c>
      <c r="Z42" s="13">
        <f>HAVERQ!R48</f>
        <v>600</v>
      </c>
      <c r="AA42" s="13">
        <f>HAVERQ!S48</f>
        <v>109814</v>
      </c>
      <c r="AB42" s="13">
        <f>HAVERQ!T48</f>
        <v>106508</v>
      </c>
      <c r="AC42" s="13">
        <f>HAVERQ!W48</f>
        <v>41082</v>
      </c>
      <c r="AD42" s="13">
        <f>HAVERQ!X48</f>
        <v>6048</v>
      </c>
      <c r="AE42" s="13">
        <f>HAVERQ!AD48</f>
        <v>4417</v>
      </c>
      <c r="AF42" s="13">
        <f>HAVERQ!AE48</f>
        <v>9753</v>
      </c>
      <c r="AG42" s="13">
        <f>HAVERQ!AF48</f>
        <v>21049</v>
      </c>
      <c r="AH42" s="13">
        <f>HAVERQ!AG48</f>
        <v>24629</v>
      </c>
      <c r="AI42" s="13">
        <f>HAVERQ!AH48</f>
        <v>13850</v>
      </c>
    </row>
    <row r="43" spans="1:165" x14ac:dyDescent="0.35">
      <c r="A43" t="s">
        <v>208</v>
      </c>
      <c r="B43" t="str">
        <f t="shared" si="17"/>
        <v>1999</v>
      </c>
      <c r="C43" t="str">
        <f t="shared" si="18"/>
        <v>Q3</v>
      </c>
      <c r="D43" s="13">
        <f>HAVERQ!C49</f>
        <v>278331</v>
      </c>
      <c r="E43" s="13">
        <f>HAVERQ!D49</f>
        <v>10548</v>
      </c>
      <c r="F43" s="13">
        <f>HAVERQ!E49</f>
        <v>89707</v>
      </c>
      <c r="G43" s="13">
        <f>HAVERQ!F49</f>
        <v>76109</v>
      </c>
      <c r="H43" s="13">
        <f>HAVERQ!G49</f>
        <v>-251</v>
      </c>
      <c r="I43" s="13">
        <f>HAVERQ!H49</f>
        <v>665</v>
      </c>
      <c r="J43" s="13">
        <f>HAVERQ!I49</f>
        <v>116888</v>
      </c>
      <c r="K43" s="13">
        <f>HAVERQ!J49</f>
        <v>109856</v>
      </c>
      <c r="L43" s="13">
        <f>HAVERQ!U49</f>
        <v>42939</v>
      </c>
      <c r="M43" s="13">
        <f>HAVERQ!V49</f>
        <v>7620</v>
      </c>
      <c r="N43" s="13">
        <f>HAVERQ!Y49</f>
        <v>4283</v>
      </c>
      <c r="O43" s="13">
        <f>HAVERQ!Z49</f>
        <v>11283</v>
      </c>
      <c r="P43" s="13">
        <f>HAVERQ!AA49</f>
        <v>21615</v>
      </c>
      <c r="Q43" s="13">
        <f>HAVERQ!AB49</f>
        <v>26676</v>
      </c>
      <c r="R43" s="13">
        <f>HAVERQ!AC49</f>
        <v>14084</v>
      </c>
      <c r="U43" s="13">
        <f>HAVERQ!M49</f>
        <v>281591</v>
      </c>
      <c r="V43" s="13">
        <f>HAVERQ!N49</f>
        <v>10548</v>
      </c>
      <c r="W43" s="13">
        <f>HAVERQ!O49</f>
        <v>89307</v>
      </c>
      <c r="X43" s="13">
        <f>HAVERQ!P49</f>
        <v>75581</v>
      </c>
      <c r="Y43" s="13">
        <f>HAVERQ!Q49</f>
        <v>2008</v>
      </c>
      <c r="Z43" s="13">
        <f>HAVERQ!R49</f>
        <v>595</v>
      </c>
      <c r="AA43" s="13">
        <f>HAVERQ!S49</f>
        <v>117414</v>
      </c>
      <c r="AB43" s="13">
        <f>HAVERQ!T49</f>
        <v>112640</v>
      </c>
      <c r="AC43" s="13">
        <f>HAVERQ!W49</f>
        <v>43192</v>
      </c>
      <c r="AD43" s="13">
        <f>HAVERQ!X49</f>
        <v>6693</v>
      </c>
      <c r="AE43" s="13">
        <f>HAVERQ!AD49</f>
        <v>4183</v>
      </c>
      <c r="AF43" s="13">
        <f>HAVERQ!AE49</f>
        <v>10658</v>
      </c>
      <c r="AG43" s="13">
        <f>HAVERQ!AF49</f>
        <v>21796</v>
      </c>
      <c r="AH43" s="13">
        <f>HAVERQ!AG49</f>
        <v>27278</v>
      </c>
      <c r="AI43" s="13">
        <f>HAVERQ!AH49</f>
        <v>14001</v>
      </c>
    </row>
    <row r="44" spans="1:165" x14ac:dyDescent="0.35">
      <c r="A44" t="s">
        <v>209</v>
      </c>
      <c r="B44" t="str">
        <f t="shared" si="17"/>
        <v>1999</v>
      </c>
      <c r="C44" t="str">
        <f t="shared" si="18"/>
        <v>Q4</v>
      </c>
      <c r="D44" s="13">
        <f>HAVERQ!C50</f>
        <v>280651</v>
      </c>
      <c r="E44" s="13">
        <f>HAVERQ!D50</f>
        <v>10704</v>
      </c>
      <c r="F44" s="13">
        <f>HAVERQ!E50</f>
        <v>89800</v>
      </c>
      <c r="G44" s="13">
        <f>HAVERQ!F50</f>
        <v>75564</v>
      </c>
      <c r="H44" s="13">
        <f>HAVERQ!G50</f>
        <v>5435</v>
      </c>
      <c r="I44" s="13">
        <f>HAVERQ!H50</f>
        <v>1052</v>
      </c>
      <c r="J44" s="13">
        <f>HAVERQ!I50</f>
        <v>118826</v>
      </c>
      <c r="K44" s="13">
        <f>HAVERQ!J50</f>
        <v>112125</v>
      </c>
      <c r="L44" s="13">
        <f>HAVERQ!U50</f>
        <v>42381</v>
      </c>
      <c r="M44" s="13">
        <f>HAVERQ!V50</f>
        <v>7508</v>
      </c>
      <c r="N44" s="13">
        <f>HAVERQ!Y50</f>
        <v>4479</v>
      </c>
      <c r="O44" s="13">
        <f>HAVERQ!Z50</f>
        <v>10425</v>
      </c>
      <c r="P44" s="13">
        <f>HAVERQ!AA50</f>
        <v>21806</v>
      </c>
      <c r="Q44" s="13">
        <f>HAVERQ!AB50</f>
        <v>27091</v>
      </c>
      <c r="R44" s="13">
        <f>HAVERQ!AC50</f>
        <v>14274</v>
      </c>
      <c r="U44" s="13">
        <f>HAVERQ!M50</f>
        <v>287586</v>
      </c>
      <c r="V44" s="13">
        <f>HAVERQ!N50</f>
        <v>10704</v>
      </c>
      <c r="W44" s="13">
        <f>HAVERQ!O50</f>
        <v>89923</v>
      </c>
      <c r="X44" s="13">
        <f>HAVERQ!P50</f>
        <v>77827</v>
      </c>
      <c r="Y44" s="13">
        <f>HAVERQ!Q50</f>
        <v>3453</v>
      </c>
      <c r="Z44" s="13">
        <f>HAVERQ!R50</f>
        <v>1100</v>
      </c>
      <c r="AA44" s="13">
        <f>HAVERQ!S50</f>
        <v>121421</v>
      </c>
      <c r="AB44" s="13">
        <f>HAVERQ!T50</f>
        <v>111984</v>
      </c>
      <c r="AC44" s="13">
        <f>HAVERQ!W50</f>
        <v>44739</v>
      </c>
      <c r="AD44" s="13">
        <f>HAVERQ!X50</f>
        <v>7132</v>
      </c>
      <c r="AE44" s="13">
        <f>HAVERQ!AD50</f>
        <v>3927</v>
      </c>
      <c r="AF44" s="13">
        <f>HAVERQ!AE50</f>
        <v>11286</v>
      </c>
      <c r="AG44" s="13">
        <f>HAVERQ!AF50</f>
        <v>21542</v>
      </c>
      <c r="AH44" s="13">
        <f>HAVERQ!AG50</f>
        <v>28901</v>
      </c>
      <c r="AI44" s="13">
        <f>HAVERQ!AH50</f>
        <v>14322</v>
      </c>
    </row>
    <row r="45" spans="1:165" x14ac:dyDescent="0.35">
      <c r="A45" t="s">
        <v>210</v>
      </c>
      <c r="B45" t="str">
        <f t="shared" si="17"/>
        <v>2000</v>
      </c>
      <c r="C45" t="str">
        <f t="shared" si="18"/>
        <v>Q1</v>
      </c>
      <c r="D45" s="13">
        <f>HAVERQ!C51</f>
        <v>284274</v>
      </c>
      <c r="E45" s="13">
        <f>HAVERQ!D51</f>
        <v>10709</v>
      </c>
      <c r="F45" s="13">
        <f>HAVERQ!E51</f>
        <v>89286</v>
      </c>
      <c r="G45" s="13">
        <f>HAVERQ!F51</f>
        <v>78702</v>
      </c>
      <c r="H45" s="13">
        <f>HAVERQ!G51</f>
        <v>3874</v>
      </c>
      <c r="I45" s="13">
        <f>HAVERQ!H51</f>
        <v>509</v>
      </c>
      <c r="J45" s="13">
        <f>HAVERQ!I51</f>
        <v>121077</v>
      </c>
      <c r="K45" s="13">
        <f>HAVERQ!J51</f>
        <v>113301</v>
      </c>
      <c r="L45" s="13">
        <f>HAVERQ!U51</f>
        <v>44594</v>
      </c>
      <c r="M45" s="13">
        <f>HAVERQ!V51</f>
        <v>7341</v>
      </c>
      <c r="N45" s="13">
        <f>HAVERQ!Y51</f>
        <v>3864</v>
      </c>
      <c r="O45" s="13">
        <f>HAVERQ!Z51</f>
        <v>11705</v>
      </c>
      <c r="P45" s="13">
        <f>HAVERQ!AA51</f>
        <v>22821</v>
      </c>
      <c r="Q45" s="13">
        <f>HAVERQ!AB51</f>
        <v>27935</v>
      </c>
      <c r="R45" s="13">
        <f>HAVERQ!AC51</f>
        <v>14698</v>
      </c>
      <c r="U45" s="13">
        <f>HAVERQ!M51</f>
        <v>276889</v>
      </c>
      <c r="V45" s="13">
        <f>HAVERQ!N51</f>
        <v>10709</v>
      </c>
      <c r="W45" s="13">
        <f>HAVERQ!O51</f>
        <v>88941</v>
      </c>
      <c r="X45" s="13">
        <f>HAVERQ!P51</f>
        <v>81271</v>
      </c>
      <c r="Y45" s="13">
        <f>HAVERQ!Q51</f>
        <v>3069</v>
      </c>
      <c r="Z45" s="13">
        <f>HAVERQ!R51</f>
        <v>439</v>
      </c>
      <c r="AA45" s="13">
        <f>HAVERQ!S51</f>
        <v>119197</v>
      </c>
      <c r="AB45" s="13">
        <f>HAVERQ!T51</f>
        <v>111190</v>
      </c>
      <c r="AC45" s="13">
        <f>HAVERQ!W51</f>
        <v>44668</v>
      </c>
      <c r="AD45" s="13">
        <f>HAVERQ!X51</f>
        <v>9965</v>
      </c>
      <c r="AE45" s="13">
        <f>HAVERQ!AD51</f>
        <v>3938</v>
      </c>
      <c r="AF45" s="13">
        <f>HAVERQ!AE51</f>
        <v>12273</v>
      </c>
      <c r="AG45" s="13">
        <f>HAVERQ!AF51</f>
        <v>23185</v>
      </c>
      <c r="AH45" s="13">
        <f>HAVERQ!AG51</f>
        <v>29312</v>
      </c>
      <c r="AI45" s="13">
        <f>HAVERQ!AH51</f>
        <v>14764</v>
      </c>
    </row>
    <row r="46" spans="1:165" x14ac:dyDescent="0.35">
      <c r="A46" t="s">
        <v>211</v>
      </c>
      <c r="B46" t="str">
        <f t="shared" si="17"/>
        <v>2000</v>
      </c>
      <c r="C46" t="str">
        <f t="shared" si="18"/>
        <v>Q2</v>
      </c>
      <c r="D46" s="13">
        <f>HAVERQ!C52</f>
        <v>287388</v>
      </c>
      <c r="E46" s="13">
        <f>HAVERQ!D52</f>
        <v>10884</v>
      </c>
      <c r="F46" s="13">
        <f>HAVERQ!E52</f>
        <v>91962</v>
      </c>
      <c r="G46" s="13">
        <f>HAVERQ!F52</f>
        <v>83313</v>
      </c>
      <c r="H46" s="13">
        <f>HAVERQ!G52</f>
        <v>-3292</v>
      </c>
      <c r="I46" s="13">
        <f>HAVERQ!H52</f>
        <v>366</v>
      </c>
      <c r="J46" s="13">
        <f>HAVERQ!I52</f>
        <v>124998</v>
      </c>
      <c r="K46" s="13">
        <f>HAVERQ!J52</f>
        <v>116898</v>
      </c>
      <c r="L46" s="13">
        <f>HAVERQ!U52</f>
        <v>47936</v>
      </c>
      <c r="M46" s="13">
        <f>HAVERQ!V52</f>
        <v>7599</v>
      </c>
      <c r="N46" s="13">
        <f>HAVERQ!Y52</f>
        <v>3846</v>
      </c>
      <c r="O46" s="13">
        <f>HAVERQ!Z52</f>
        <v>14382</v>
      </c>
      <c r="P46" s="13">
        <f>HAVERQ!AA52</f>
        <v>23244</v>
      </c>
      <c r="Q46" s="13">
        <f>HAVERQ!AB52</f>
        <v>27147</v>
      </c>
      <c r="R46" s="13">
        <f>HAVERQ!AC52</f>
        <v>15155</v>
      </c>
      <c r="U46" s="13">
        <f>HAVERQ!M52</f>
        <v>284048</v>
      </c>
      <c r="V46" s="13">
        <f>HAVERQ!N52</f>
        <v>10884</v>
      </c>
      <c r="W46" s="13">
        <f>HAVERQ!O52</f>
        <v>92396</v>
      </c>
      <c r="X46" s="13">
        <f>HAVERQ!P52</f>
        <v>80270</v>
      </c>
      <c r="Y46" s="13">
        <f>HAVERQ!Q52</f>
        <v>-1604</v>
      </c>
      <c r="Z46" s="13">
        <f>HAVERQ!R52</f>
        <v>451</v>
      </c>
      <c r="AA46" s="13">
        <f>HAVERQ!S52</f>
        <v>124799</v>
      </c>
      <c r="AB46" s="13">
        <f>HAVERQ!T52</f>
        <v>116883</v>
      </c>
      <c r="AC46" s="13">
        <f>HAVERQ!W52</f>
        <v>46775</v>
      </c>
      <c r="AD46" s="13">
        <f>HAVERQ!X52</f>
        <v>6013</v>
      </c>
      <c r="AE46" s="13">
        <f>HAVERQ!AD52</f>
        <v>4334</v>
      </c>
      <c r="AF46" s="13">
        <f>HAVERQ!AE52</f>
        <v>13498</v>
      </c>
      <c r="AG46" s="13">
        <f>HAVERQ!AF52</f>
        <v>22982</v>
      </c>
      <c r="AH46" s="13">
        <f>HAVERQ!AG52</f>
        <v>24718</v>
      </c>
      <c r="AI46" s="13">
        <f>HAVERQ!AH52</f>
        <v>15110</v>
      </c>
    </row>
    <row r="47" spans="1:165" x14ac:dyDescent="0.35">
      <c r="A47" t="s">
        <v>212</v>
      </c>
      <c r="B47" t="str">
        <f t="shared" si="17"/>
        <v>2000</v>
      </c>
      <c r="C47" t="str">
        <f t="shared" si="18"/>
        <v>Q3</v>
      </c>
      <c r="D47" s="13">
        <f>HAVERQ!C53</f>
        <v>290894</v>
      </c>
      <c r="E47" s="13">
        <f>HAVERQ!D53</f>
        <v>11032</v>
      </c>
      <c r="F47" s="13">
        <f>HAVERQ!E53</f>
        <v>92728</v>
      </c>
      <c r="G47" s="13">
        <f>HAVERQ!F53</f>
        <v>77774</v>
      </c>
      <c r="H47" s="13">
        <f>HAVERQ!G53</f>
        <v>5022</v>
      </c>
      <c r="I47" s="13">
        <f>HAVERQ!H53</f>
        <v>541</v>
      </c>
      <c r="J47" s="13">
        <f>HAVERQ!I53</f>
        <v>125649</v>
      </c>
      <c r="K47" s="13">
        <f>HAVERQ!J53</f>
        <v>119290</v>
      </c>
      <c r="L47" s="13">
        <f>HAVERQ!U53</f>
        <v>43712</v>
      </c>
      <c r="M47" s="13">
        <f>HAVERQ!V53</f>
        <v>7548</v>
      </c>
      <c r="N47" s="13">
        <f>HAVERQ!Y53</f>
        <v>3616</v>
      </c>
      <c r="O47" s="13">
        <f>HAVERQ!Z53</f>
        <v>11761</v>
      </c>
      <c r="P47" s="13">
        <f>HAVERQ!AA53</f>
        <v>22828</v>
      </c>
      <c r="Q47" s="13">
        <f>HAVERQ!AB53</f>
        <v>26201</v>
      </c>
      <c r="R47" s="13">
        <f>HAVERQ!AC53</f>
        <v>14968</v>
      </c>
      <c r="U47" s="13">
        <f>HAVERQ!M53</f>
        <v>294066</v>
      </c>
      <c r="V47" s="13">
        <f>HAVERQ!N53</f>
        <v>11032</v>
      </c>
      <c r="W47" s="13">
        <f>HAVERQ!O53</f>
        <v>92475</v>
      </c>
      <c r="X47" s="13">
        <f>HAVERQ!P53</f>
        <v>76542</v>
      </c>
      <c r="Y47" s="13">
        <f>HAVERQ!Q53</f>
        <v>5777</v>
      </c>
      <c r="Z47" s="13">
        <f>HAVERQ!R53</f>
        <v>474</v>
      </c>
      <c r="AA47" s="13">
        <f>HAVERQ!S53</f>
        <v>125924</v>
      </c>
      <c r="AB47" s="13">
        <f>HAVERQ!T53</f>
        <v>121766</v>
      </c>
      <c r="AC47" s="13">
        <f>HAVERQ!W53</f>
        <v>42989</v>
      </c>
      <c r="AD47" s="13">
        <f>HAVERQ!X53</f>
        <v>6915</v>
      </c>
      <c r="AE47" s="13">
        <f>HAVERQ!AD53</f>
        <v>3556</v>
      </c>
      <c r="AF47" s="13">
        <f>HAVERQ!AE53</f>
        <v>11125</v>
      </c>
      <c r="AG47" s="13">
        <f>HAVERQ!AF53</f>
        <v>22983</v>
      </c>
      <c r="AH47" s="13">
        <f>HAVERQ!AG53</f>
        <v>26235</v>
      </c>
      <c r="AI47" s="13">
        <f>HAVERQ!AH53</f>
        <v>14885</v>
      </c>
    </row>
    <row r="48" spans="1:165" x14ac:dyDescent="0.35">
      <c r="A48" t="s">
        <v>213</v>
      </c>
      <c r="B48" t="str">
        <f t="shared" si="17"/>
        <v>2000</v>
      </c>
      <c r="C48" t="str">
        <f t="shared" si="18"/>
        <v>Q4</v>
      </c>
      <c r="D48" s="13">
        <f>HAVERQ!C54</f>
        <v>293325</v>
      </c>
      <c r="E48" s="13">
        <f>HAVERQ!D54</f>
        <v>11029</v>
      </c>
      <c r="F48" s="13">
        <f>HAVERQ!E54</f>
        <v>92470</v>
      </c>
      <c r="G48" s="13">
        <f>HAVERQ!F54</f>
        <v>80494</v>
      </c>
      <c r="H48" s="13">
        <f>HAVERQ!G54</f>
        <v>-2600</v>
      </c>
      <c r="I48" s="13">
        <f>HAVERQ!H54</f>
        <v>264</v>
      </c>
      <c r="J48" s="13">
        <f>HAVERQ!I54</f>
        <v>128481</v>
      </c>
      <c r="K48" s="13">
        <f>HAVERQ!J54</f>
        <v>123307</v>
      </c>
      <c r="L48" s="13">
        <f>HAVERQ!U54</f>
        <v>45780</v>
      </c>
      <c r="M48" s="13">
        <f>HAVERQ!V54</f>
        <v>7936</v>
      </c>
      <c r="N48" s="13">
        <f>HAVERQ!Y54</f>
        <v>4283</v>
      </c>
      <c r="O48" s="13">
        <f>HAVERQ!Z54</f>
        <v>12120</v>
      </c>
      <c r="P48" s="13">
        <f>HAVERQ!AA54</f>
        <v>22649</v>
      </c>
      <c r="Q48" s="13">
        <f>HAVERQ!AB54</f>
        <v>27916</v>
      </c>
      <c r="R48" s="13">
        <f>HAVERQ!AC54</f>
        <v>15235</v>
      </c>
      <c r="U48" s="13">
        <f>HAVERQ!M54</f>
        <v>300878</v>
      </c>
      <c r="V48" s="13">
        <f>HAVERQ!N54</f>
        <v>11029</v>
      </c>
      <c r="W48" s="13">
        <f>HAVERQ!O54</f>
        <v>92634</v>
      </c>
      <c r="X48" s="13">
        <f>HAVERQ!P54</f>
        <v>82200</v>
      </c>
      <c r="Y48" s="13">
        <f>HAVERQ!Q54</f>
        <v>-4238</v>
      </c>
      <c r="Z48" s="13">
        <f>HAVERQ!R54</f>
        <v>316</v>
      </c>
      <c r="AA48" s="13">
        <f>HAVERQ!S54</f>
        <v>130285</v>
      </c>
      <c r="AB48" s="13">
        <f>HAVERQ!T54</f>
        <v>122957</v>
      </c>
      <c r="AC48" s="13">
        <f>HAVERQ!W54</f>
        <v>47589</v>
      </c>
      <c r="AD48" s="13">
        <f>HAVERQ!X54</f>
        <v>7533</v>
      </c>
      <c r="AE48" s="13">
        <f>HAVERQ!AD54</f>
        <v>3783</v>
      </c>
      <c r="AF48" s="13">
        <f>HAVERQ!AE54</f>
        <v>13073</v>
      </c>
      <c r="AG48" s="13">
        <f>HAVERQ!AF54</f>
        <v>22391</v>
      </c>
      <c r="AH48" s="13">
        <f>HAVERQ!AG54</f>
        <v>28933</v>
      </c>
      <c r="AI48" s="13">
        <f>HAVERQ!AH54</f>
        <v>15297</v>
      </c>
    </row>
    <row r="49" spans="1:35" x14ac:dyDescent="0.35">
      <c r="A49" t="s">
        <v>214</v>
      </c>
      <c r="B49" t="str">
        <f t="shared" si="17"/>
        <v>2001</v>
      </c>
      <c r="C49" t="str">
        <f t="shared" si="18"/>
        <v>Q1</v>
      </c>
      <c r="D49" s="13">
        <f>HAVERQ!C55</f>
        <v>294155</v>
      </c>
      <c r="E49" s="13">
        <f>HAVERQ!D55</f>
        <v>11036</v>
      </c>
      <c r="F49" s="13">
        <f>HAVERQ!E55</f>
        <v>95572</v>
      </c>
      <c r="G49" s="13">
        <f>HAVERQ!F55</f>
        <v>80656</v>
      </c>
      <c r="H49" s="13">
        <f>HAVERQ!G55</f>
        <v>-2886</v>
      </c>
      <c r="I49" s="13">
        <f>HAVERQ!H55</f>
        <v>348</v>
      </c>
      <c r="J49" s="13">
        <f>HAVERQ!I55</f>
        <v>133430</v>
      </c>
      <c r="K49" s="13">
        <f>HAVERQ!J55</f>
        <v>125942</v>
      </c>
      <c r="L49" s="13">
        <f>HAVERQ!U55</f>
        <v>43112</v>
      </c>
      <c r="M49" s="13">
        <f>HAVERQ!V55</f>
        <v>10200</v>
      </c>
      <c r="N49" s="13">
        <f>HAVERQ!Y55</f>
        <v>3890</v>
      </c>
      <c r="O49" s="13">
        <f>HAVERQ!Z55</f>
        <v>12525</v>
      </c>
      <c r="P49" s="13">
        <f>HAVERQ!AA55</f>
        <v>22528</v>
      </c>
      <c r="Q49" s="13">
        <f>HAVERQ!AB55</f>
        <v>27108</v>
      </c>
      <c r="R49" s="13">
        <f>HAVERQ!AC55</f>
        <v>14648</v>
      </c>
      <c r="U49" s="13">
        <f>HAVERQ!M55</f>
        <v>286184</v>
      </c>
      <c r="V49" s="13">
        <f>HAVERQ!N55</f>
        <v>11036</v>
      </c>
      <c r="W49" s="13">
        <f>HAVERQ!O55</f>
        <v>95244</v>
      </c>
      <c r="X49" s="13">
        <f>HAVERQ!P55</f>
        <v>85887</v>
      </c>
      <c r="Y49" s="13">
        <f>HAVERQ!Q55</f>
        <v>-1023</v>
      </c>
      <c r="Z49" s="13">
        <f>HAVERQ!R55</f>
        <v>278</v>
      </c>
      <c r="AA49" s="13">
        <f>HAVERQ!S55</f>
        <v>131161</v>
      </c>
      <c r="AB49" s="13">
        <f>HAVERQ!T55</f>
        <v>123980</v>
      </c>
      <c r="AC49" s="13">
        <f>HAVERQ!W55</f>
        <v>46121</v>
      </c>
      <c r="AD49" s="13">
        <f>HAVERQ!X55</f>
        <v>12215</v>
      </c>
      <c r="AE49" s="13">
        <f>HAVERQ!AD55</f>
        <v>3798</v>
      </c>
      <c r="AF49" s="13">
        <f>HAVERQ!AE55</f>
        <v>13168</v>
      </c>
      <c r="AG49" s="13">
        <f>HAVERQ!AF55</f>
        <v>23005</v>
      </c>
      <c r="AH49" s="13">
        <f>HAVERQ!AG55</f>
        <v>30758</v>
      </c>
      <c r="AI49" s="13">
        <f>HAVERQ!AH55</f>
        <v>14731</v>
      </c>
    </row>
    <row r="50" spans="1:35" x14ac:dyDescent="0.35">
      <c r="A50" t="s">
        <v>215</v>
      </c>
      <c r="B50" t="str">
        <f t="shared" si="17"/>
        <v>2001</v>
      </c>
      <c r="C50" t="str">
        <f t="shared" si="18"/>
        <v>Q2</v>
      </c>
      <c r="D50" s="13">
        <f>HAVERQ!C56</f>
        <v>296378</v>
      </c>
      <c r="E50" s="13">
        <f>HAVERQ!D56</f>
        <v>11266</v>
      </c>
      <c r="F50" s="13">
        <f>HAVERQ!E56</f>
        <v>93844</v>
      </c>
      <c r="G50" s="13">
        <f>HAVERQ!F56</f>
        <v>83881</v>
      </c>
      <c r="H50" s="13">
        <f>HAVERQ!G56</f>
        <v>5252</v>
      </c>
      <c r="I50" s="13">
        <f>HAVERQ!H56</f>
        <v>1026</v>
      </c>
      <c r="J50" s="13">
        <f>HAVERQ!I56</f>
        <v>127850</v>
      </c>
      <c r="K50" s="13">
        <f>HAVERQ!J56</f>
        <v>126802</v>
      </c>
      <c r="L50" s="13">
        <f>HAVERQ!U56</f>
        <v>47836</v>
      </c>
      <c r="M50" s="13">
        <f>HAVERQ!V56</f>
        <v>8881</v>
      </c>
      <c r="N50" s="13">
        <f>HAVERQ!Y56</f>
        <v>5290</v>
      </c>
      <c r="O50" s="13">
        <f>HAVERQ!Z56</f>
        <v>12341</v>
      </c>
      <c r="P50" s="13">
        <f>HAVERQ!AA56</f>
        <v>22155</v>
      </c>
      <c r="Q50" s="13">
        <f>HAVERQ!AB56</f>
        <v>30320</v>
      </c>
      <c r="R50" s="13">
        <f>HAVERQ!AC56</f>
        <v>14825</v>
      </c>
      <c r="U50" s="13">
        <f>HAVERQ!M56</f>
        <v>293187</v>
      </c>
      <c r="V50" s="13">
        <f>HAVERQ!N56</f>
        <v>11266</v>
      </c>
      <c r="W50" s="13">
        <f>HAVERQ!O56</f>
        <v>94165</v>
      </c>
      <c r="X50" s="13">
        <f>HAVERQ!P56</f>
        <v>80314</v>
      </c>
      <c r="Y50" s="13">
        <f>HAVERQ!Q56</f>
        <v>2546</v>
      </c>
      <c r="Z50" s="13">
        <f>HAVERQ!R56</f>
        <v>1100</v>
      </c>
      <c r="AA50" s="13">
        <f>HAVERQ!S56</f>
        <v>127726</v>
      </c>
      <c r="AB50" s="13">
        <f>HAVERQ!T56</f>
        <v>126880</v>
      </c>
      <c r="AC50" s="13">
        <f>HAVERQ!W56</f>
        <v>46018</v>
      </c>
      <c r="AD50" s="13">
        <f>HAVERQ!X56</f>
        <v>7491</v>
      </c>
      <c r="AE50" s="13">
        <f>HAVERQ!AD56</f>
        <v>6014</v>
      </c>
      <c r="AF50" s="13">
        <f>HAVERQ!AE56</f>
        <v>11407</v>
      </c>
      <c r="AG50" s="13">
        <f>HAVERQ!AF56</f>
        <v>21763</v>
      </c>
      <c r="AH50" s="13">
        <f>HAVERQ!AG56</f>
        <v>27271</v>
      </c>
      <c r="AI50" s="13">
        <f>HAVERQ!AH56</f>
        <v>14761</v>
      </c>
    </row>
    <row r="51" spans="1:35" x14ac:dyDescent="0.35">
      <c r="A51" t="s">
        <v>216</v>
      </c>
      <c r="B51" t="str">
        <f t="shared" si="17"/>
        <v>2001</v>
      </c>
      <c r="C51" t="str">
        <f t="shared" si="18"/>
        <v>Q3</v>
      </c>
      <c r="D51" s="13">
        <f>HAVERQ!C57</f>
        <v>300827</v>
      </c>
      <c r="E51" s="13">
        <f>HAVERQ!D57</f>
        <v>11436</v>
      </c>
      <c r="F51" s="13">
        <f>HAVERQ!E57</f>
        <v>96405</v>
      </c>
      <c r="G51" s="13">
        <f>HAVERQ!F57</f>
        <v>83716</v>
      </c>
      <c r="H51" s="13">
        <f>HAVERQ!G57</f>
        <v>3143</v>
      </c>
      <c r="I51" s="13">
        <f>HAVERQ!H57</f>
        <v>1095</v>
      </c>
      <c r="J51" s="13">
        <f>HAVERQ!I57</f>
        <v>124640</v>
      </c>
      <c r="K51" s="13">
        <f>HAVERQ!J57</f>
        <v>124660</v>
      </c>
      <c r="L51" s="13">
        <f>HAVERQ!U57</f>
        <v>46997</v>
      </c>
      <c r="M51" s="13">
        <f>HAVERQ!V57</f>
        <v>9295</v>
      </c>
      <c r="N51" s="13">
        <f>HAVERQ!Y57</f>
        <v>4784</v>
      </c>
      <c r="O51" s="13">
        <f>HAVERQ!Z57</f>
        <v>12908</v>
      </c>
      <c r="P51" s="13">
        <f>HAVERQ!AA57</f>
        <v>22843</v>
      </c>
      <c r="Q51" s="13">
        <f>HAVERQ!AB57</f>
        <v>28925</v>
      </c>
      <c r="R51" s="13">
        <f>HAVERQ!AC57</f>
        <v>15041</v>
      </c>
      <c r="U51" s="13">
        <f>HAVERQ!M57</f>
        <v>303802</v>
      </c>
      <c r="V51" s="13">
        <f>HAVERQ!N57</f>
        <v>11436</v>
      </c>
      <c r="W51" s="13">
        <f>HAVERQ!O57</f>
        <v>96251</v>
      </c>
      <c r="X51" s="13">
        <f>HAVERQ!P57</f>
        <v>81277</v>
      </c>
      <c r="Y51" s="13">
        <f>HAVERQ!Q57</f>
        <v>6695</v>
      </c>
      <c r="Z51" s="13">
        <f>HAVERQ!R57</f>
        <v>1030</v>
      </c>
      <c r="AA51" s="13">
        <f>HAVERQ!S57</f>
        <v>124533</v>
      </c>
      <c r="AB51" s="13">
        <f>HAVERQ!T57</f>
        <v>126699</v>
      </c>
      <c r="AC51" s="13">
        <f>HAVERQ!W57</f>
        <v>45156</v>
      </c>
      <c r="AD51" s="13">
        <f>HAVERQ!X57</f>
        <v>8696</v>
      </c>
      <c r="AE51" s="13">
        <f>HAVERQ!AD57</f>
        <v>4668</v>
      </c>
      <c r="AF51" s="13">
        <f>HAVERQ!AE57</f>
        <v>12279</v>
      </c>
      <c r="AG51" s="13">
        <f>HAVERQ!AF57</f>
        <v>22935</v>
      </c>
      <c r="AH51" s="13">
        <f>HAVERQ!AG57</f>
        <v>27959</v>
      </c>
      <c r="AI51" s="13">
        <f>HAVERQ!AH57</f>
        <v>14963</v>
      </c>
    </row>
    <row r="52" spans="1:35" x14ac:dyDescent="0.35">
      <c r="A52" t="s">
        <v>217</v>
      </c>
      <c r="B52" t="str">
        <f t="shared" si="17"/>
        <v>2001</v>
      </c>
      <c r="C52" t="str">
        <f t="shared" si="18"/>
        <v>Q4</v>
      </c>
      <c r="D52" s="13">
        <f>HAVERQ!C58</f>
        <v>303055</v>
      </c>
      <c r="E52" s="13">
        <f>HAVERQ!D58</f>
        <v>11492</v>
      </c>
      <c r="F52" s="13">
        <f>HAVERQ!E58</f>
        <v>98194</v>
      </c>
      <c r="G52" s="13">
        <f>HAVERQ!F58</f>
        <v>80870</v>
      </c>
      <c r="H52" s="13">
        <f>HAVERQ!G58</f>
        <v>1167</v>
      </c>
      <c r="I52" s="13">
        <f>HAVERQ!H58</f>
        <v>617</v>
      </c>
      <c r="J52" s="13">
        <f>HAVERQ!I58</f>
        <v>125114</v>
      </c>
      <c r="K52" s="13">
        <f>HAVERQ!J58</f>
        <v>123473</v>
      </c>
      <c r="L52" s="13">
        <f>HAVERQ!U58</f>
        <v>45091</v>
      </c>
      <c r="M52" s="13">
        <f>HAVERQ!V58</f>
        <v>9120</v>
      </c>
      <c r="N52" s="13">
        <f>HAVERQ!Y58</f>
        <v>4222</v>
      </c>
      <c r="O52" s="13">
        <f>HAVERQ!Z58</f>
        <v>13035</v>
      </c>
      <c r="P52" s="13">
        <f>HAVERQ!AA58</f>
        <v>22488</v>
      </c>
      <c r="Q52" s="13">
        <f>HAVERQ!AB58</f>
        <v>26292</v>
      </c>
      <c r="R52" s="13">
        <f>HAVERQ!AC58</f>
        <v>15286</v>
      </c>
      <c r="U52" s="13">
        <f>HAVERQ!M58</f>
        <v>311242</v>
      </c>
      <c r="V52" s="13">
        <f>HAVERQ!N58</f>
        <v>11492</v>
      </c>
      <c r="W52" s="13">
        <f>HAVERQ!O58</f>
        <v>98355</v>
      </c>
      <c r="X52" s="13">
        <f>HAVERQ!P58</f>
        <v>81645</v>
      </c>
      <c r="Y52" s="13">
        <f>HAVERQ!Q58</f>
        <v>-1542</v>
      </c>
      <c r="Z52" s="13">
        <f>HAVERQ!R58</f>
        <v>678</v>
      </c>
      <c r="AA52" s="13">
        <f>HAVERQ!S58</f>
        <v>127614</v>
      </c>
      <c r="AB52" s="13">
        <f>HAVERQ!T58</f>
        <v>123318</v>
      </c>
      <c r="AC52" s="13">
        <f>HAVERQ!W58</f>
        <v>45739</v>
      </c>
      <c r="AD52" s="13">
        <f>HAVERQ!X58</f>
        <v>9093</v>
      </c>
      <c r="AE52" s="13">
        <f>HAVERQ!AD58</f>
        <v>3706</v>
      </c>
      <c r="AF52" s="13">
        <f>HAVERQ!AE58</f>
        <v>13955</v>
      </c>
      <c r="AG52" s="13">
        <f>HAVERQ!AF58</f>
        <v>22311</v>
      </c>
      <c r="AH52" s="13">
        <f>HAVERQ!AG58</f>
        <v>26657</v>
      </c>
      <c r="AI52" s="13">
        <f>HAVERQ!AH58</f>
        <v>15346</v>
      </c>
    </row>
    <row r="53" spans="1:35" x14ac:dyDescent="0.35">
      <c r="A53" t="s">
        <v>218</v>
      </c>
      <c r="B53" t="str">
        <f t="shared" si="17"/>
        <v>2002</v>
      </c>
      <c r="C53" t="str">
        <f t="shared" si="18"/>
        <v>Q1</v>
      </c>
      <c r="D53" s="13">
        <f>HAVERQ!C59</f>
        <v>303450</v>
      </c>
      <c r="E53" s="13">
        <f>HAVERQ!D59</f>
        <v>11431</v>
      </c>
      <c r="F53" s="13">
        <f>HAVERQ!E59</f>
        <v>97996</v>
      </c>
      <c r="G53" s="13">
        <f>HAVERQ!F59</f>
        <v>80619</v>
      </c>
      <c r="H53" s="13">
        <f>HAVERQ!G59</f>
        <v>-331</v>
      </c>
      <c r="I53" s="13">
        <f>HAVERQ!H59</f>
        <v>893</v>
      </c>
      <c r="J53" s="13">
        <f>HAVERQ!I59</f>
        <v>127545</v>
      </c>
      <c r="K53" s="13">
        <f>HAVERQ!J59</f>
        <v>127860</v>
      </c>
      <c r="L53" s="13">
        <f>HAVERQ!U59</f>
        <v>43722</v>
      </c>
      <c r="M53" s="13">
        <f>HAVERQ!V59</f>
        <v>9275</v>
      </c>
      <c r="N53" s="13">
        <f>HAVERQ!Y59</f>
        <v>4350</v>
      </c>
      <c r="O53" s="13">
        <f>HAVERQ!Z59</f>
        <v>12880</v>
      </c>
      <c r="P53" s="13">
        <f>HAVERQ!AA59</f>
        <v>23555</v>
      </c>
      <c r="Q53" s="13">
        <f>HAVERQ!AB59</f>
        <v>25755</v>
      </c>
      <c r="R53" s="13">
        <f>HAVERQ!AC59</f>
        <v>15105</v>
      </c>
      <c r="U53" s="13">
        <f>HAVERQ!M59</f>
        <v>294771</v>
      </c>
      <c r="V53" s="13">
        <f>HAVERQ!N59</f>
        <v>11431</v>
      </c>
      <c r="W53" s="13">
        <f>HAVERQ!O59</f>
        <v>97617</v>
      </c>
      <c r="X53" s="13">
        <f>HAVERQ!P59</f>
        <v>82529</v>
      </c>
      <c r="Y53" s="13">
        <f>HAVERQ!Q59</f>
        <v>1452</v>
      </c>
      <c r="Z53" s="13">
        <f>HAVERQ!R59</f>
        <v>821</v>
      </c>
      <c r="AA53" s="13">
        <f>HAVERQ!S59</f>
        <v>123492</v>
      </c>
      <c r="AB53" s="13">
        <f>HAVERQ!T59</f>
        <v>123905</v>
      </c>
      <c r="AC53" s="13">
        <f>HAVERQ!W59</f>
        <v>43520</v>
      </c>
      <c r="AD53" s="13">
        <f>HAVERQ!X59</f>
        <v>11445</v>
      </c>
      <c r="AE53" s="13">
        <f>HAVERQ!AD59</f>
        <v>4147</v>
      </c>
      <c r="AF53" s="13">
        <f>HAVERQ!AE59</f>
        <v>13522</v>
      </c>
      <c r="AG53" s="13">
        <f>HAVERQ!AF59</f>
        <v>24096</v>
      </c>
      <c r="AH53" s="13">
        <f>HAVERQ!AG59</f>
        <v>26574</v>
      </c>
      <c r="AI53" s="13">
        <f>HAVERQ!AH59</f>
        <v>15233</v>
      </c>
    </row>
    <row r="54" spans="1:35" x14ac:dyDescent="0.35">
      <c r="A54" t="s">
        <v>219</v>
      </c>
      <c r="B54" t="str">
        <f t="shared" si="17"/>
        <v>2002</v>
      </c>
      <c r="C54" t="str">
        <f t="shared" si="18"/>
        <v>Q2</v>
      </c>
      <c r="D54" s="13">
        <f>HAVERQ!C60</f>
        <v>304764</v>
      </c>
      <c r="E54" s="13">
        <f>HAVERQ!D60</f>
        <v>11536</v>
      </c>
      <c r="F54" s="13">
        <f>HAVERQ!E60</f>
        <v>99479</v>
      </c>
      <c r="G54" s="13">
        <f>HAVERQ!F60</f>
        <v>80307</v>
      </c>
      <c r="H54" s="13">
        <f>HAVERQ!G60</f>
        <v>3821</v>
      </c>
      <c r="I54" s="13">
        <f>HAVERQ!H60</f>
        <v>1155</v>
      </c>
      <c r="J54" s="13">
        <f>HAVERQ!I60</f>
        <v>131298</v>
      </c>
      <c r="K54" s="13">
        <f>HAVERQ!J60</f>
        <v>132775</v>
      </c>
      <c r="L54" s="13">
        <f>HAVERQ!U60</f>
        <v>42992</v>
      </c>
      <c r="M54" s="13">
        <f>HAVERQ!V60</f>
        <v>9212</v>
      </c>
      <c r="N54" s="13">
        <f>HAVERQ!Y60</f>
        <v>5003</v>
      </c>
      <c r="O54" s="13">
        <f>HAVERQ!Z60</f>
        <v>13348</v>
      </c>
      <c r="P54" s="13">
        <f>HAVERQ!AA60</f>
        <v>24082</v>
      </c>
      <c r="Q54" s="13">
        <f>HAVERQ!AB60</f>
        <v>23580</v>
      </c>
      <c r="R54" s="13">
        <f>HAVERQ!AC60</f>
        <v>14935</v>
      </c>
      <c r="U54" s="13">
        <f>HAVERQ!M60</f>
        <v>302092</v>
      </c>
      <c r="V54" s="13">
        <f>HAVERQ!N60</f>
        <v>11536</v>
      </c>
      <c r="W54" s="13">
        <f>HAVERQ!O60</f>
        <v>99886</v>
      </c>
      <c r="X54" s="13">
        <f>HAVERQ!P60</f>
        <v>80269</v>
      </c>
      <c r="Y54" s="13">
        <f>HAVERQ!Q60</f>
        <v>294</v>
      </c>
      <c r="Z54" s="13">
        <f>HAVERQ!R60</f>
        <v>1239</v>
      </c>
      <c r="AA54" s="13">
        <f>HAVERQ!S60</f>
        <v>132036</v>
      </c>
      <c r="AB54" s="13">
        <f>HAVERQ!T60</f>
        <v>133792</v>
      </c>
      <c r="AC54" s="13">
        <f>HAVERQ!W60</f>
        <v>44247</v>
      </c>
      <c r="AD54" s="13">
        <f>HAVERQ!X60</f>
        <v>8335</v>
      </c>
      <c r="AE54" s="13">
        <f>HAVERQ!AD60</f>
        <v>5780</v>
      </c>
      <c r="AF54" s="13">
        <f>HAVERQ!AE60</f>
        <v>12368</v>
      </c>
      <c r="AG54" s="13">
        <f>HAVERQ!AF60</f>
        <v>23547</v>
      </c>
      <c r="AH54" s="13">
        <f>HAVERQ!AG60</f>
        <v>24010</v>
      </c>
      <c r="AI54" s="13">
        <f>HAVERQ!AH60</f>
        <v>14858</v>
      </c>
    </row>
    <row r="55" spans="1:35" x14ac:dyDescent="0.35">
      <c r="A55" t="s">
        <v>220</v>
      </c>
      <c r="B55" t="str">
        <f t="shared" si="17"/>
        <v>2002</v>
      </c>
      <c r="C55" t="str">
        <f t="shared" si="18"/>
        <v>Q3</v>
      </c>
      <c r="D55" s="13">
        <f>HAVERQ!C61</f>
        <v>307772</v>
      </c>
      <c r="E55" s="13">
        <f>HAVERQ!D61</f>
        <v>11773</v>
      </c>
      <c r="F55" s="13">
        <f>HAVERQ!E61</f>
        <v>100956</v>
      </c>
      <c r="G55" s="13">
        <f>HAVERQ!F61</f>
        <v>84317</v>
      </c>
      <c r="H55" s="13">
        <f>HAVERQ!G61</f>
        <v>-3108</v>
      </c>
      <c r="I55" s="13">
        <f>HAVERQ!H61</f>
        <v>1076</v>
      </c>
      <c r="J55" s="13">
        <f>HAVERQ!I61</f>
        <v>130399</v>
      </c>
      <c r="K55" s="13">
        <f>HAVERQ!J61</f>
        <v>131079</v>
      </c>
      <c r="L55" s="13">
        <f>HAVERQ!U61</f>
        <v>45703</v>
      </c>
      <c r="M55" s="13">
        <f>HAVERQ!V61</f>
        <v>10101</v>
      </c>
      <c r="N55" s="13">
        <f>HAVERQ!Y61</f>
        <v>4908</v>
      </c>
      <c r="O55" s="13">
        <f>HAVERQ!Z61</f>
        <v>13187</v>
      </c>
      <c r="P55" s="13">
        <f>HAVERQ!AA61</f>
        <v>24600</v>
      </c>
      <c r="Q55" s="13">
        <f>HAVERQ!AB61</f>
        <v>27414</v>
      </c>
      <c r="R55" s="13">
        <f>HAVERQ!AC61</f>
        <v>15391</v>
      </c>
      <c r="U55" s="13">
        <f>HAVERQ!M61</f>
        <v>311199</v>
      </c>
      <c r="V55" s="13">
        <f>HAVERQ!N61</f>
        <v>11773</v>
      </c>
      <c r="W55" s="13">
        <f>HAVERQ!O61</f>
        <v>100800</v>
      </c>
      <c r="X55" s="13">
        <f>HAVERQ!P61</f>
        <v>81970</v>
      </c>
      <c r="Y55" s="13">
        <f>HAVERQ!Q61</f>
        <v>1685</v>
      </c>
      <c r="Z55" s="13">
        <f>HAVERQ!R61</f>
        <v>993</v>
      </c>
      <c r="AA55" s="13">
        <f>HAVERQ!S61</f>
        <v>131185</v>
      </c>
      <c r="AB55" s="13">
        <f>HAVERQ!T61</f>
        <v>134117</v>
      </c>
      <c r="AC55" s="13">
        <f>HAVERQ!W61</f>
        <v>44027</v>
      </c>
      <c r="AD55" s="13">
        <f>HAVERQ!X61</f>
        <v>9276</v>
      </c>
      <c r="AE55" s="13">
        <f>HAVERQ!AD61</f>
        <v>4849</v>
      </c>
      <c r="AF55" s="13">
        <f>HAVERQ!AE61</f>
        <v>12610</v>
      </c>
      <c r="AG55" s="13">
        <f>HAVERQ!AF61</f>
        <v>24649</v>
      </c>
      <c r="AH55" s="13">
        <f>HAVERQ!AG61</f>
        <v>26255</v>
      </c>
      <c r="AI55" s="13">
        <f>HAVERQ!AH61</f>
        <v>15313</v>
      </c>
    </row>
    <row r="56" spans="1:35" x14ac:dyDescent="0.35">
      <c r="A56" t="s">
        <v>221</v>
      </c>
      <c r="B56" t="str">
        <f t="shared" si="17"/>
        <v>2002</v>
      </c>
      <c r="C56" t="str">
        <f t="shared" si="18"/>
        <v>Q4</v>
      </c>
      <c r="D56" s="13">
        <f>HAVERQ!C62</f>
        <v>310517</v>
      </c>
      <c r="E56" s="13">
        <f>HAVERQ!D62</f>
        <v>11878</v>
      </c>
      <c r="F56" s="13">
        <f>HAVERQ!E62</f>
        <v>100900</v>
      </c>
      <c r="G56" s="13">
        <f>HAVERQ!F62</f>
        <v>88245</v>
      </c>
      <c r="H56" s="13">
        <f>HAVERQ!G62</f>
        <v>1371</v>
      </c>
      <c r="I56" s="13">
        <f>HAVERQ!H62</f>
        <v>1062</v>
      </c>
      <c r="J56" s="13">
        <f>HAVERQ!I62</f>
        <v>125090</v>
      </c>
      <c r="K56" s="13">
        <f>HAVERQ!J62</f>
        <v>130868</v>
      </c>
      <c r="L56" s="13">
        <f>HAVERQ!U62</f>
        <v>47474</v>
      </c>
      <c r="M56" s="13">
        <f>HAVERQ!V62</f>
        <v>10415</v>
      </c>
      <c r="N56" s="13">
        <f>HAVERQ!Y62</f>
        <v>5000</v>
      </c>
      <c r="O56" s="13">
        <f>HAVERQ!Z62</f>
        <v>13466</v>
      </c>
      <c r="P56" s="13">
        <f>HAVERQ!AA62</f>
        <v>26872</v>
      </c>
      <c r="Q56" s="13">
        <f>HAVERQ!AB62</f>
        <v>29522</v>
      </c>
      <c r="R56" s="13">
        <f>HAVERQ!AC62</f>
        <v>15530</v>
      </c>
      <c r="U56" s="13">
        <f>HAVERQ!M62</f>
        <v>318441</v>
      </c>
      <c r="V56" s="13">
        <f>HAVERQ!N62</f>
        <v>11878</v>
      </c>
      <c r="W56" s="13">
        <f>HAVERQ!O62</f>
        <v>101028</v>
      </c>
      <c r="X56" s="13">
        <f>HAVERQ!P62</f>
        <v>88720</v>
      </c>
      <c r="Y56" s="13">
        <f>HAVERQ!Q62</f>
        <v>-1678</v>
      </c>
      <c r="Z56" s="13">
        <f>HAVERQ!R62</f>
        <v>1133</v>
      </c>
      <c r="AA56" s="13">
        <f>HAVERQ!S62</f>
        <v>127619</v>
      </c>
      <c r="AB56" s="13">
        <f>HAVERQ!T62</f>
        <v>130768</v>
      </c>
      <c r="AC56" s="13">
        <f>HAVERQ!W62</f>
        <v>48096</v>
      </c>
      <c r="AD56" s="13">
        <f>HAVERQ!X62</f>
        <v>9946</v>
      </c>
      <c r="AE56" s="13">
        <f>HAVERQ!AD62</f>
        <v>4485</v>
      </c>
      <c r="AF56" s="13">
        <f>HAVERQ!AE62</f>
        <v>14380</v>
      </c>
      <c r="AG56" s="13">
        <f>HAVERQ!AF62</f>
        <v>26817</v>
      </c>
      <c r="AH56" s="13">
        <f>HAVERQ!AG62</f>
        <v>29433</v>
      </c>
      <c r="AI56" s="13">
        <f>HAVERQ!AH62</f>
        <v>15558</v>
      </c>
    </row>
    <row r="57" spans="1:35" x14ac:dyDescent="0.35">
      <c r="A57" t="s">
        <v>222</v>
      </c>
      <c r="B57" t="str">
        <f t="shared" si="17"/>
        <v>2003</v>
      </c>
      <c r="C57" t="str">
        <f t="shared" si="18"/>
        <v>Q1</v>
      </c>
      <c r="D57" s="13">
        <f>HAVERQ!C63</f>
        <v>312554</v>
      </c>
      <c r="E57" s="13">
        <f>HAVERQ!D63</f>
        <v>11881</v>
      </c>
      <c r="F57" s="13">
        <f>HAVERQ!E63</f>
        <v>101201</v>
      </c>
      <c r="G57" s="13">
        <f>HAVERQ!F63</f>
        <v>88754</v>
      </c>
      <c r="H57" s="13">
        <f>HAVERQ!G63</f>
        <v>-4730</v>
      </c>
      <c r="I57" s="13">
        <f>HAVERQ!H63</f>
        <v>869</v>
      </c>
      <c r="J57" s="13">
        <f>HAVERQ!I63</f>
        <v>132324</v>
      </c>
      <c r="K57" s="13">
        <f>HAVERQ!J63</f>
        <v>132173</v>
      </c>
      <c r="L57" s="13">
        <f>HAVERQ!U63</f>
        <v>47410</v>
      </c>
      <c r="M57" s="13">
        <f>HAVERQ!V63</f>
        <v>11535</v>
      </c>
      <c r="N57" s="13">
        <f>HAVERQ!Y63</f>
        <v>4755</v>
      </c>
      <c r="O57" s="13">
        <f>HAVERQ!Z63</f>
        <v>13603</v>
      </c>
      <c r="P57" s="13">
        <f>HAVERQ!AA63</f>
        <v>25602</v>
      </c>
      <c r="Q57" s="13">
        <f>HAVERQ!AB63</f>
        <v>30514</v>
      </c>
      <c r="R57" s="13">
        <f>HAVERQ!AC63</f>
        <v>15984</v>
      </c>
      <c r="U57" s="13">
        <f>HAVERQ!M63</f>
        <v>303039</v>
      </c>
      <c r="V57" s="13">
        <f>HAVERQ!N63</f>
        <v>11881</v>
      </c>
      <c r="W57" s="13">
        <f>HAVERQ!O63</f>
        <v>101336</v>
      </c>
      <c r="X57" s="13">
        <f>HAVERQ!P63</f>
        <v>90731</v>
      </c>
      <c r="Y57" s="13">
        <f>HAVERQ!Q63</f>
        <v>-1225</v>
      </c>
      <c r="Z57" s="13">
        <f>HAVERQ!R63</f>
        <v>805</v>
      </c>
      <c r="AA57" s="13">
        <f>HAVERQ!S63</f>
        <v>128567</v>
      </c>
      <c r="AB57" s="13">
        <f>HAVERQ!T63</f>
        <v>128577</v>
      </c>
      <c r="AC57" s="13">
        <f>HAVERQ!W63</f>
        <v>46812</v>
      </c>
      <c r="AD57" s="13">
        <f>HAVERQ!X63</f>
        <v>14123</v>
      </c>
      <c r="AE57" s="13">
        <f>HAVERQ!AD63</f>
        <v>4457</v>
      </c>
      <c r="AF57" s="13">
        <f>HAVERQ!AE63</f>
        <v>14290</v>
      </c>
      <c r="AG57" s="13">
        <f>HAVERQ!AF63</f>
        <v>26139</v>
      </c>
      <c r="AH57" s="13">
        <f>HAVERQ!AG63</f>
        <v>31328</v>
      </c>
      <c r="AI57" s="13">
        <f>HAVERQ!AH63</f>
        <v>16155</v>
      </c>
    </row>
    <row r="58" spans="1:35" x14ac:dyDescent="0.35">
      <c r="A58" t="s">
        <v>223</v>
      </c>
      <c r="B58" t="str">
        <f t="shared" si="17"/>
        <v>2003</v>
      </c>
      <c r="C58" t="str">
        <f t="shared" si="18"/>
        <v>Q2</v>
      </c>
      <c r="D58" s="13">
        <f>HAVERQ!C64</f>
        <v>316413</v>
      </c>
      <c r="E58" s="13">
        <f>HAVERQ!D64</f>
        <v>12021</v>
      </c>
      <c r="F58" s="13">
        <f>HAVERQ!E64</f>
        <v>103491</v>
      </c>
      <c r="G58" s="13">
        <f>HAVERQ!F64</f>
        <v>83391</v>
      </c>
      <c r="H58" s="13">
        <f>HAVERQ!G64</f>
        <v>1208</v>
      </c>
      <c r="I58" s="13">
        <f>HAVERQ!H64</f>
        <v>1118</v>
      </c>
      <c r="J58" s="13">
        <f>HAVERQ!I64</f>
        <v>129361</v>
      </c>
      <c r="K58" s="13">
        <f>HAVERQ!J64</f>
        <v>131091</v>
      </c>
      <c r="L58" s="13">
        <f>HAVERQ!U64</f>
        <v>43668</v>
      </c>
      <c r="M58" s="13">
        <f>HAVERQ!V64</f>
        <v>10531</v>
      </c>
      <c r="N58" s="13">
        <f>HAVERQ!Y64</f>
        <v>4031</v>
      </c>
      <c r="O58" s="13">
        <f>HAVERQ!Z64</f>
        <v>12230</v>
      </c>
      <c r="P58" s="13">
        <f>HAVERQ!AA64</f>
        <v>25821</v>
      </c>
      <c r="Q58" s="13">
        <f>HAVERQ!AB64</f>
        <v>26377</v>
      </c>
      <c r="R58" s="13">
        <f>HAVERQ!AC64</f>
        <v>16579</v>
      </c>
      <c r="U58" s="13">
        <f>HAVERQ!M64</f>
        <v>313905</v>
      </c>
      <c r="V58" s="13">
        <f>HAVERQ!N64</f>
        <v>12021</v>
      </c>
      <c r="W58" s="13">
        <f>HAVERQ!O64</f>
        <v>103417</v>
      </c>
      <c r="X58" s="13">
        <f>HAVERQ!P64</f>
        <v>81852</v>
      </c>
      <c r="Y58" s="13">
        <f>HAVERQ!Q64</f>
        <v>78</v>
      </c>
      <c r="Z58" s="13">
        <f>HAVERQ!R64</f>
        <v>1204</v>
      </c>
      <c r="AA58" s="13">
        <f>HAVERQ!S64</f>
        <v>130234</v>
      </c>
      <c r="AB58" s="13">
        <f>HAVERQ!T64</f>
        <v>131392</v>
      </c>
      <c r="AC58" s="13">
        <f>HAVERQ!W64</f>
        <v>43812</v>
      </c>
      <c r="AD58" s="13">
        <f>HAVERQ!X64</f>
        <v>9387</v>
      </c>
      <c r="AE58" s="13">
        <f>HAVERQ!AD64</f>
        <v>4747</v>
      </c>
      <c r="AF58" s="13">
        <f>HAVERQ!AE64</f>
        <v>11172</v>
      </c>
      <c r="AG58" s="13">
        <f>HAVERQ!AF64</f>
        <v>25201</v>
      </c>
      <c r="AH58" s="13">
        <f>HAVERQ!AG64</f>
        <v>25687</v>
      </c>
      <c r="AI58" s="13">
        <f>HAVERQ!AH64</f>
        <v>16455</v>
      </c>
    </row>
    <row r="59" spans="1:35" x14ac:dyDescent="0.35">
      <c r="A59" t="s">
        <v>224</v>
      </c>
      <c r="B59" t="str">
        <f t="shared" si="17"/>
        <v>2003</v>
      </c>
      <c r="C59" t="str">
        <f t="shared" si="18"/>
        <v>Q3</v>
      </c>
      <c r="D59" s="13">
        <f>HAVERQ!C65</f>
        <v>318762</v>
      </c>
      <c r="E59" s="13">
        <f>HAVERQ!D65</f>
        <v>12274</v>
      </c>
      <c r="F59" s="13">
        <f>HAVERQ!E65</f>
        <v>104847</v>
      </c>
      <c r="G59" s="13">
        <f>HAVERQ!F65</f>
        <v>84584</v>
      </c>
      <c r="H59" s="13">
        <f>HAVERQ!G65</f>
        <v>1967</v>
      </c>
      <c r="I59" s="13">
        <f>HAVERQ!H65</f>
        <v>1022</v>
      </c>
      <c r="J59" s="13">
        <f>HAVERQ!I65</f>
        <v>129682</v>
      </c>
      <c r="K59" s="13">
        <f>HAVERQ!J65</f>
        <v>132718</v>
      </c>
      <c r="L59" s="13">
        <f>HAVERQ!U65</f>
        <v>44102</v>
      </c>
      <c r="M59" s="13">
        <f>HAVERQ!V65</f>
        <v>10955</v>
      </c>
      <c r="N59" s="13">
        <f>HAVERQ!Y65</f>
        <v>4697</v>
      </c>
      <c r="O59" s="13">
        <f>HAVERQ!Z65</f>
        <v>12119</v>
      </c>
      <c r="P59" s="13">
        <f>HAVERQ!AA65</f>
        <v>26449</v>
      </c>
      <c r="Q59" s="13">
        <f>HAVERQ!AB65</f>
        <v>26759</v>
      </c>
      <c r="R59" s="13">
        <f>HAVERQ!AC65</f>
        <v>16431</v>
      </c>
      <c r="U59" s="13">
        <f>HAVERQ!M65</f>
        <v>322070</v>
      </c>
      <c r="V59" s="13">
        <f>HAVERQ!N65</f>
        <v>12274</v>
      </c>
      <c r="W59" s="13">
        <f>HAVERQ!O65</f>
        <v>104673</v>
      </c>
      <c r="X59" s="13">
        <f>HAVERQ!P65</f>
        <v>82696</v>
      </c>
      <c r="Y59" s="13">
        <f>HAVERQ!Q65</f>
        <v>2606</v>
      </c>
      <c r="Z59" s="13">
        <f>HAVERQ!R65</f>
        <v>925</v>
      </c>
      <c r="AA59" s="13">
        <f>HAVERQ!S65</f>
        <v>130571</v>
      </c>
      <c r="AB59" s="13">
        <f>HAVERQ!T65</f>
        <v>136524</v>
      </c>
      <c r="AC59" s="13">
        <f>HAVERQ!W65</f>
        <v>43046</v>
      </c>
      <c r="AD59" s="13">
        <f>HAVERQ!X65</f>
        <v>9947</v>
      </c>
      <c r="AE59" s="13">
        <f>HAVERQ!AD65</f>
        <v>4695</v>
      </c>
      <c r="AF59" s="13">
        <f>HAVERQ!AE65</f>
        <v>11633</v>
      </c>
      <c r="AG59" s="13">
        <f>HAVERQ!AF65</f>
        <v>26456</v>
      </c>
      <c r="AH59" s="13">
        <f>HAVERQ!AG65</f>
        <v>25797</v>
      </c>
      <c r="AI59" s="13">
        <f>HAVERQ!AH65</f>
        <v>16349</v>
      </c>
    </row>
    <row r="60" spans="1:35" x14ac:dyDescent="0.35">
      <c r="A60" t="s">
        <v>225</v>
      </c>
      <c r="B60" t="str">
        <f t="shared" si="17"/>
        <v>2003</v>
      </c>
      <c r="C60" t="str">
        <f t="shared" si="18"/>
        <v>Q4</v>
      </c>
      <c r="D60" s="13">
        <f>HAVERQ!C66</f>
        <v>320529</v>
      </c>
      <c r="E60" s="13">
        <f>HAVERQ!D66</f>
        <v>12445</v>
      </c>
      <c r="F60" s="13">
        <f>HAVERQ!E66</f>
        <v>106647</v>
      </c>
      <c r="G60" s="13">
        <f>HAVERQ!F66</f>
        <v>84724</v>
      </c>
      <c r="H60" s="13">
        <f>HAVERQ!G66</f>
        <v>1142</v>
      </c>
      <c r="I60" s="13">
        <f>HAVERQ!H66</f>
        <v>1492</v>
      </c>
      <c r="J60" s="13">
        <f>HAVERQ!I66</f>
        <v>132712</v>
      </c>
      <c r="K60" s="13">
        <f>HAVERQ!J66</f>
        <v>136676</v>
      </c>
      <c r="L60" s="13">
        <f>HAVERQ!U66</f>
        <v>43762</v>
      </c>
      <c r="M60" s="13">
        <f>HAVERQ!V66</f>
        <v>10809</v>
      </c>
      <c r="N60" s="13">
        <f>HAVERQ!Y66</f>
        <v>4397</v>
      </c>
      <c r="O60" s="13">
        <f>HAVERQ!Z66</f>
        <v>11551</v>
      </c>
      <c r="P60" s="13">
        <f>HAVERQ!AA66</f>
        <v>27273</v>
      </c>
      <c r="Q60" s="13">
        <f>HAVERQ!AB66</f>
        <v>27710</v>
      </c>
      <c r="R60" s="13">
        <f>HAVERQ!AC66</f>
        <v>16550</v>
      </c>
      <c r="U60" s="13">
        <f>HAVERQ!M66</f>
        <v>329244</v>
      </c>
      <c r="V60" s="13">
        <f>HAVERQ!N66</f>
        <v>12445</v>
      </c>
      <c r="W60" s="13">
        <f>HAVERQ!O66</f>
        <v>106760</v>
      </c>
      <c r="X60" s="13">
        <f>HAVERQ!P66</f>
        <v>86174</v>
      </c>
      <c r="Y60" s="13">
        <f>HAVERQ!Q66</f>
        <v>-1872</v>
      </c>
      <c r="Z60" s="13">
        <f>HAVERQ!R66</f>
        <v>1567</v>
      </c>
      <c r="AA60" s="13">
        <f>HAVERQ!S66</f>
        <v>134707</v>
      </c>
      <c r="AB60" s="13">
        <f>HAVERQ!T66</f>
        <v>136165</v>
      </c>
      <c r="AC60" s="13">
        <f>HAVERQ!W66</f>
        <v>45272</v>
      </c>
      <c r="AD60" s="13">
        <f>HAVERQ!X66</f>
        <v>10374</v>
      </c>
      <c r="AE60" s="13">
        <f>HAVERQ!AD66</f>
        <v>3981</v>
      </c>
      <c r="AF60" s="13">
        <f>HAVERQ!AE66</f>
        <v>12408</v>
      </c>
      <c r="AG60" s="13">
        <f>HAVERQ!AF66</f>
        <v>27348</v>
      </c>
      <c r="AH60" s="13">
        <f>HAVERQ!AG66</f>
        <v>28547</v>
      </c>
      <c r="AI60" s="13">
        <f>HAVERQ!AH66</f>
        <v>16584</v>
      </c>
    </row>
    <row r="61" spans="1:35" x14ac:dyDescent="0.35">
      <c r="A61" t="s">
        <v>226</v>
      </c>
      <c r="B61" t="str">
        <f t="shared" si="17"/>
        <v>2004</v>
      </c>
      <c r="C61" t="str">
        <f t="shared" si="18"/>
        <v>Q1</v>
      </c>
      <c r="D61" s="13">
        <f>HAVERQ!C67</f>
        <v>322150</v>
      </c>
      <c r="E61" s="13">
        <f>HAVERQ!D67</f>
        <v>12588</v>
      </c>
      <c r="F61" s="13">
        <f>HAVERQ!E67</f>
        <v>106965</v>
      </c>
      <c r="G61" s="13">
        <f>HAVERQ!F67</f>
        <v>87208</v>
      </c>
      <c r="H61" s="13">
        <f>HAVERQ!G67</f>
        <v>-1448</v>
      </c>
      <c r="I61" s="13">
        <f>HAVERQ!H67</f>
        <v>1018</v>
      </c>
      <c r="J61" s="13">
        <f>HAVERQ!I67</f>
        <v>133878</v>
      </c>
      <c r="K61" s="13">
        <f>HAVERQ!J67</f>
        <v>137518</v>
      </c>
      <c r="L61" s="13">
        <f>HAVERQ!U67</f>
        <v>44042</v>
      </c>
      <c r="M61" s="13">
        <f>HAVERQ!V67</f>
        <v>12730</v>
      </c>
      <c r="N61" s="13">
        <f>HAVERQ!Y67</f>
        <v>4317</v>
      </c>
      <c r="O61" s="13">
        <f>HAVERQ!Z67</f>
        <v>12576</v>
      </c>
      <c r="P61" s="13">
        <f>HAVERQ!AA67</f>
        <v>27323</v>
      </c>
      <c r="Q61" s="13">
        <f>HAVERQ!AB67</f>
        <v>29448</v>
      </c>
      <c r="R61" s="13">
        <f>HAVERQ!AC67</f>
        <v>16318</v>
      </c>
      <c r="U61" s="13">
        <f>HAVERQ!M67</f>
        <v>312390</v>
      </c>
      <c r="V61" s="13">
        <f>HAVERQ!N67</f>
        <v>12588</v>
      </c>
      <c r="W61" s="13">
        <f>HAVERQ!O67</f>
        <v>107396</v>
      </c>
      <c r="X61" s="13">
        <f>HAVERQ!P67</f>
        <v>90084</v>
      </c>
      <c r="Y61" s="13">
        <f>HAVERQ!Q67</f>
        <v>937</v>
      </c>
      <c r="Z61" s="13">
        <f>HAVERQ!R67</f>
        <v>951</v>
      </c>
      <c r="AA61" s="13">
        <f>HAVERQ!S67</f>
        <v>130503</v>
      </c>
      <c r="AB61" s="13">
        <f>HAVERQ!T67</f>
        <v>134837</v>
      </c>
      <c r="AC61" s="13">
        <f>HAVERQ!W67</f>
        <v>44169</v>
      </c>
      <c r="AD61" s="13">
        <f>HAVERQ!X67</f>
        <v>15584</v>
      </c>
      <c r="AE61" s="13">
        <f>HAVERQ!AD67</f>
        <v>4038</v>
      </c>
      <c r="AF61" s="13">
        <f>HAVERQ!AE67</f>
        <v>13351</v>
      </c>
      <c r="AG61" s="13">
        <f>HAVERQ!AF67</f>
        <v>27815</v>
      </c>
      <c r="AH61" s="13">
        <f>HAVERQ!AG67</f>
        <v>30976</v>
      </c>
      <c r="AI61" s="13">
        <f>HAVERQ!AH67</f>
        <v>16537</v>
      </c>
    </row>
    <row r="62" spans="1:35" x14ac:dyDescent="0.35">
      <c r="A62" t="s">
        <v>227</v>
      </c>
      <c r="B62" t="str">
        <f t="shared" si="17"/>
        <v>2004</v>
      </c>
      <c r="C62" t="str">
        <f t="shared" si="18"/>
        <v>Q2</v>
      </c>
      <c r="D62" s="13">
        <f>HAVERQ!C68</f>
        <v>325157</v>
      </c>
      <c r="E62" s="13">
        <f>HAVERQ!D68</f>
        <v>12406</v>
      </c>
      <c r="F62" s="13">
        <f>HAVERQ!E68</f>
        <v>108070</v>
      </c>
      <c r="G62" s="13">
        <f>HAVERQ!F68</f>
        <v>86590</v>
      </c>
      <c r="H62" s="13">
        <f>HAVERQ!G68</f>
        <v>-1401</v>
      </c>
      <c r="I62" s="13">
        <f>HAVERQ!H68</f>
        <v>-32</v>
      </c>
      <c r="J62" s="13">
        <f>HAVERQ!I68</f>
        <v>135889</v>
      </c>
      <c r="K62" s="13">
        <f>HAVERQ!J68</f>
        <v>141062</v>
      </c>
      <c r="L62" s="13">
        <f>HAVERQ!U68</f>
        <v>41630</v>
      </c>
      <c r="M62" s="13">
        <f>HAVERQ!V68</f>
        <v>12970</v>
      </c>
      <c r="N62" s="13">
        <f>HAVERQ!Y68</f>
        <v>4243</v>
      </c>
      <c r="O62" s="13">
        <f>HAVERQ!Z68</f>
        <v>12530</v>
      </c>
      <c r="P62" s="13">
        <f>HAVERQ!AA68</f>
        <v>26769</v>
      </c>
      <c r="Q62" s="13">
        <f>HAVERQ!AB68</f>
        <v>28818</v>
      </c>
      <c r="R62" s="13">
        <f>HAVERQ!AC68</f>
        <v>16520</v>
      </c>
      <c r="U62" s="13">
        <f>HAVERQ!M68</f>
        <v>322362</v>
      </c>
      <c r="V62" s="13">
        <f>HAVERQ!N68</f>
        <v>12406</v>
      </c>
      <c r="W62" s="13">
        <f>HAVERQ!O68</f>
        <v>107771</v>
      </c>
      <c r="X62" s="13">
        <f>HAVERQ!P68</f>
        <v>82989</v>
      </c>
      <c r="Y62" s="13">
        <f>HAVERQ!Q68</f>
        <v>-3389</v>
      </c>
      <c r="Z62" s="13">
        <f>HAVERQ!R68</f>
        <v>82</v>
      </c>
      <c r="AA62" s="13">
        <f>HAVERQ!S68</f>
        <v>136229</v>
      </c>
      <c r="AB62" s="13">
        <f>HAVERQ!T68</f>
        <v>140692</v>
      </c>
      <c r="AC62" s="13">
        <f>HAVERQ!W68</f>
        <v>39576</v>
      </c>
      <c r="AD62" s="13">
        <f>HAVERQ!X68</f>
        <v>11990</v>
      </c>
      <c r="AE62" s="13">
        <f>HAVERQ!AD68</f>
        <v>4894</v>
      </c>
      <c r="AF62" s="13">
        <f>HAVERQ!AE68</f>
        <v>11457</v>
      </c>
      <c r="AG62" s="13">
        <f>HAVERQ!AF68</f>
        <v>26134</v>
      </c>
      <c r="AH62" s="13">
        <f>HAVERQ!AG68</f>
        <v>26344</v>
      </c>
      <c r="AI62" s="13">
        <f>HAVERQ!AH68</f>
        <v>16351</v>
      </c>
    </row>
    <row r="63" spans="1:35" x14ac:dyDescent="0.35">
      <c r="A63" t="s">
        <v>228</v>
      </c>
      <c r="B63" t="str">
        <f t="shared" si="17"/>
        <v>2004</v>
      </c>
      <c r="C63" t="str">
        <f t="shared" si="18"/>
        <v>Q3</v>
      </c>
      <c r="D63" s="13">
        <f>HAVERQ!C69</f>
        <v>326983</v>
      </c>
      <c r="E63" s="13">
        <f>HAVERQ!D69</f>
        <v>12640</v>
      </c>
      <c r="F63" s="13">
        <f>HAVERQ!E69</f>
        <v>108663</v>
      </c>
      <c r="G63" s="13">
        <f>HAVERQ!F69</f>
        <v>88025</v>
      </c>
      <c r="H63" s="13">
        <f>HAVERQ!G69</f>
        <v>907</v>
      </c>
      <c r="I63" s="13">
        <f>HAVERQ!H69</f>
        <v>799</v>
      </c>
      <c r="J63" s="13">
        <f>HAVERQ!I69</f>
        <v>137775</v>
      </c>
      <c r="K63" s="13">
        <f>HAVERQ!J69</f>
        <v>144794</v>
      </c>
      <c r="L63" s="13">
        <f>HAVERQ!U69</f>
        <v>41970</v>
      </c>
      <c r="M63" s="13">
        <f>HAVERQ!V69</f>
        <v>14111</v>
      </c>
      <c r="N63" s="13">
        <f>HAVERQ!Y69</f>
        <v>4248</v>
      </c>
      <c r="O63" s="13">
        <f>HAVERQ!Z69</f>
        <v>12655</v>
      </c>
      <c r="P63" s="13">
        <f>HAVERQ!AA69</f>
        <v>27424</v>
      </c>
      <c r="Q63" s="13">
        <f>HAVERQ!AB69</f>
        <v>29154</v>
      </c>
      <c r="R63" s="13">
        <f>HAVERQ!AC69</f>
        <v>17033</v>
      </c>
      <c r="U63" s="13">
        <f>HAVERQ!M69</f>
        <v>331052</v>
      </c>
      <c r="V63" s="13">
        <f>HAVERQ!N69</f>
        <v>12640</v>
      </c>
      <c r="W63" s="13">
        <f>HAVERQ!O69</f>
        <v>108497</v>
      </c>
      <c r="X63" s="13">
        <f>HAVERQ!P69</f>
        <v>86671</v>
      </c>
      <c r="Y63" s="13">
        <f>HAVERQ!Q69</f>
        <v>4481</v>
      </c>
      <c r="Z63" s="13">
        <f>HAVERQ!R69</f>
        <v>674</v>
      </c>
      <c r="AA63" s="13">
        <f>HAVERQ!S69</f>
        <v>138321</v>
      </c>
      <c r="AB63" s="13">
        <f>HAVERQ!T69</f>
        <v>148337</v>
      </c>
      <c r="AC63" s="13">
        <f>HAVERQ!W69</f>
        <v>41646</v>
      </c>
      <c r="AD63" s="13">
        <f>HAVERQ!X69</f>
        <v>12864</v>
      </c>
      <c r="AE63" s="13">
        <f>HAVERQ!AD69</f>
        <v>4272</v>
      </c>
      <c r="AF63" s="13">
        <f>HAVERQ!AE69</f>
        <v>12141</v>
      </c>
      <c r="AG63" s="13">
        <f>HAVERQ!AF69</f>
        <v>27414</v>
      </c>
      <c r="AH63" s="13">
        <f>HAVERQ!AG69</f>
        <v>28666</v>
      </c>
      <c r="AI63" s="13">
        <f>HAVERQ!AH69</f>
        <v>16936</v>
      </c>
    </row>
    <row r="64" spans="1:35" x14ac:dyDescent="0.35">
      <c r="A64" t="s">
        <v>229</v>
      </c>
      <c r="B64" t="str">
        <f t="shared" si="17"/>
        <v>2004</v>
      </c>
      <c r="C64" t="str">
        <f t="shared" si="18"/>
        <v>Q4</v>
      </c>
      <c r="D64" s="13">
        <f>HAVERQ!C70</f>
        <v>329186</v>
      </c>
      <c r="E64" s="13">
        <f>HAVERQ!D70</f>
        <v>12676</v>
      </c>
      <c r="F64" s="13">
        <f>HAVERQ!E70</f>
        <v>109673</v>
      </c>
      <c r="G64" s="13">
        <f>HAVERQ!F70</f>
        <v>88575</v>
      </c>
      <c r="H64" s="13">
        <f>HAVERQ!G70</f>
        <v>1588</v>
      </c>
      <c r="I64" s="13">
        <f>HAVERQ!H70</f>
        <v>445</v>
      </c>
      <c r="J64" s="13">
        <f>HAVERQ!I70</f>
        <v>142228</v>
      </c>
      <c r="K64" s="13">
        <f>HAVERQ!J70</f>
        <v>147285</v>
      </c>
      <c r="L64" s="13">
        <f>HAVERQ!U70</f>
        <v>43060</v>
      </c>
      <c r="M64" s="13">
        <f>HAVERQ!V70</f>
        <v>14025</v>
      </c>
      <c r="N64" s="13">
        <f>HAVERQ!Y70</f>
        <v>4106</v>
      </c>
      <c r="O64" s="13">
        <f>HAVERQ!Z70</f>
        <v>12573</v>
      </c>
      <c r="P64" s="13">
        <f>HAVERQ!AA70</f>
        <v>27574</v>
      </c>
      <c r="Q64" s="13">
        <f>HAVERQ!AB70</f>
        <v>29609</v>
      </c>
      <c r="R64" s="13">
        <f>HAVERQ!AC70</f>
        <v>17412</v>
      </c>
      <c r="U64" s="13">
        <f>HAVERQ!M70</f>
        <v>337672</v>
      </c>
      <c r="V64" s="13">
        <f>HAVERQ!N70</f>
        <v>12676</v>
      </c>
      <c r="W64" s="13">
        <f>HAVERQ!O70</f>
        <v>109707</v>
      </c>
      <c r="X64" s="13">
        <f>HAVERQ!P70</f>
        <v>90654</v>
      </c>
      <c r="Y64" s="13">
        <f>HAVERQ!Q70</f>
        <v>-2383</v>
      </c>
      <c r="Z64" s="13">
        <f>HAVERQ!R70</f>
        <v>523</v>
      </c>
      <c r="AA64" s="13">
        <f>HAVERQ!S70</f>
        <v>144717</v>
      </c>
      <c r="AB64" s="13">
        <f>HAVERQ!T70</f>
        <v>146793</v>
      </c>
      <c r="AC64" s="13">
        <f>HAVERQ!W70</f>
        <v>45311</v>
      </c>
      <c r="AD64" s="13">
        <f>HAVERQ!X70</f>
        <v>13398</v>
      </c>
      <c r="AE64" s="13">
        <f>HAVERQ!AD70</f>
        <v>3708</v>
      </c>
      <c r="AF64" s="13">
        <f>HAVERQ!AE70</f>
        <v>13385</v>
      </c>
      <c r="AG64" s="13">
        <f>HAVERQ!AF70</f>
        <v>27727</v>
      </c>
      <c r="AH64" s="13">
        <f>HAVERQ!AG70</f>
        <v>31043</v>
      </c>
      <c r="AI64" s="13">
        <f>HAVERQ!AH70</f>
        <v>17459</v>
      </c>
    </row>
    <row r="65" spans="1:35" x14ac:dyDescent="0.35">
      <c r="A65" t="s">
        <v>230</v>
      </c>
      <c r="B65" t="str">
        <f t="shared" si="17"/>
        <v>2005</v>
      </c>
      <c r="C65" t="str">
        <f t="shared" si="18"/>
        <v>Q1</v>
      </c>
      <c r="D65" s="13">
        <f>HAVERQ!C71</f>
        <v>332385</v>
      </c>
      <c r="E65" s="13">
        <f>HAVERQ!D71</f>
        <v>12577</v>
      </c>
      <c r="F65" s="13">
        <f>HAVERQ!E71</f>
        <v>109227</v>
      </c>
      <c r="G65" s="13">
        <f>HAVERQ!F71</f>
        <v>91052</v>
      </c>
      <c r="H65" s="13">
        <f>HAVERQ!G71</f>
        <v>1149</v>
      </c>
      <c r="I65" s="13">
        <f>HAVERQ!H71</f>
        <v>942</v>
      </c>
      <c r="J65" s="13">
        <f>HAVERQ!I71</f>
        <v>139477</v>
      </c>
      <c r="K65" s="13">
        <f>HAVERQ!J71</f>
        <v>147044</v>
      </c>
      <c r="L65" s="13">
        <f>HAVERQ!U71</f>
        <v>45364</v>
      </c>
      <c r="M65" s="13">
        <f>HAVERQ!V71</f>
        <v>14514</v>
      </c>
      <c r="N65" s="13">
        <f>HAVERQ!Y71</f>
        <v>3887</v>
      </c>
      <c r="O65" s="13">
        <f>HAVERQ!Z71</f>
        <v>12763</v>
      </c>
      <c r="P65" s="13">
        <f>HAVERQ!AA71</f>
        <v>27732</v>
      </c>
      <c r="Q65" s="13">
        <f>HAVERQ!AB71</f>
        <v>32170</v>
      </c>
      <c r="R65" s="13">
        <f>HAVERQ!AC71</f>
        <v>17646</v>
      </c>
      <c r="U65" s="13">
        <f>HAVERQ!M71</f>
        <v>322685</v>
      </c>
      <c r="V65" s="13">
        <f>HAVERQ!N71</f>
        <v>12577</v>
      </c>
      <c r="W65" s="13">
        <f>HAVERQ!O71</f>
        <v>109586</v>
      </c>
      <c r="X65" s="13">
        <f>HAVERQ!P71</f>
        <v>93511</v>
      </c>
      <c r="Y65" s="13">
        <f>HAVERQ!Q71</f>
        <v>4822</v>
      </c>
      <c r="Z65" s="13">
        <f>HAVERQ!R71</f>
        <v>874</v>
      </c>
      <c r="AA65" s="13">
        <f>HAVERQ!S71</f>
        <v>134296</v>
      </c>
      <c r="AB65" s="13">
        <f>HAVERQ!T71</f>
        <v>142402</v>
      </c>
      <c r="AC65" s="13">
        <f>HAVERQ!W71</f>
        <v>43142</v>
      </c>
      <c r="AD65" s="13">
        <f>HAVERQ!X71</f>
        <v>19450</v>
      </c>
      <c r="AE65" s="13">
        <f>HAVERQ!AD71</f>
        <v>3667</v>
      </c>
      <c r="AF65" s="13">
        <f>HAVERQ!AE71</f>
        <v>13539</v>
      </c>
      <c r="AG65" s="13">
        <f>HAVERQ!AF71</f>
        <v>28230</v>
      </c>
      <c r="AH65" s="13">
        <f>HAVERQ!AG71</f>
        <v>33108</v>
      </c>
      <c r="AI65" s="13">
        <f>HAVERQ!AH71</f>
        <v>17940</v>
      </c>
    </row>
    <row r="66" spans="1:35" x14ac:dyDescent="0.35">
      <c r="A66" t="s">
        <v>231</v>
      </c>
      <c r="B66" t="str">
        <f t="shared" si="17"/>
        <v>2005</v>
      </c>
      <c r="C66" t="str">
        <f t="shared" si="18"/>
        <v>Q2</v>
      </c>
      <c r="D66" s="13">
        <f>HAVERQ!C72</f>
        <v>333357</v>
      </c>
      <c r="E66" s="13">
        <f>HAVERQ!D72</f>
        <v>12544</v>
      </c>
      <c r="F66" s="13">
        <f>HAVERQ!E72</f>
        <v>111034</v>
      </c>
      <c r="G66" s="13">
        <f>HAVERQ!F72</f>
        <v>94541</v>
      </c>
      <c r="H66" s="13">
        <f>HAVERQ!G72</f>
        <v>5056</v>
      </c>
      <c r="I66" s="13">
        <f>HAVERQ!H72</f>
        <v>493</v>
      </c>
      <c r="J66" s="13">
        <f>HAVERQ!I72</f>
        <v>147666</v>
      </c>
      <c r="K66" s="13">
        <f>HAVERQ!J72</f>
        <v>152627</v>
      </c>
      <c r="L66" s="13">
        <f>HAVERQ!U72</f>
        <v>66508</v>
      </c>
      <c r="M66" s="13">
        <f>HAVERQ!V72</f>
        <v>-8497</v>
      </c>
      <c r="N66" s="13">
        <f>HAVERQ!Y72</f>
        <v>4410</v>
      </c>
      <c r="O66" s="13">
        <f>HAVERQ!Z72</f>
        <v>13389</v>
      </c>
      <c r="P66" s="13">
        <f>HAVERQ!AA72</f>
        <v>28047</v>
      </c>
      <c r="Q66" s="13">
        <f>HAVERQ!AB72</f>
        <v>29760</v>
      </c>
      <c r="R66" s="13">
        <f>HAVERQ!AC72</f>
        <v>17651</v>
      </c>
      <c r="U66" s="13">
        <f>HAVERQ!M72</f>
        <v>330891</v>
      </c>
      <c r="V66" s="13">
        <f>HAVERQ!N72</f>
        <v>12544</v>
      </c>
      <c r="W66" s="13">
        <f>HAVERQ!O72</f>
        <v>110865</v>
      </c>
      <c r="X66" s="13">
        <f>HAVERQ!P72</f>
        <v>91571</v>
      </c>
      <c r="Y66" s="13">
        <f>HAVERQ!Q72</f>
        <v>2609</v>
      </c>
      <c r="Z66" s="13">
        <f>HAVERQ!R72</f>
        <v>626</v>
      </c>
      <c r="AA66" s="13">
        <f>HAVERQ!S72</f>
        <v>148936</v>
      </c>
      <c r="AB66" s="13">
        <f>HAVERQ!T72</f>
        <v>153502</v>
      </c>
      <c r="AC66" s="13">
        <f>HAVERQ!W72</f>
        <v>67104</v>
      </c>
      <c r="AD66" s="13">
        <f>HAVERQ!X72</f>
        <v>-11491</v>
      </c>
      <c r="AE66" s="13">
        <f>HAVERQ!AD72</f>
        <v>4979</v>
      </c>
      <c r="AF66" s="13">
        <f>HAVERQ!AE72</f>
        <v>12244</v>
      </c>
      <c r="AG66" s="13">
        <f>HAVERQ!AF72</f>
        <v>27364</v>
      </c>
      <c r="AH66" s="13">
        <f>HAVERQ!AG72</f>
        <v>28072</v>
      </c>
      <c r="AI66" s="13">
        <f>HAVERQ!AH72</f>
        <v>17524</v>
      </c>
    </row>
    <row r="67" spans="1:35" x14ac:dyDescent="0.35">
      <c r="A67" t="s">
        <v>232</v>
      </c>
      <c r="B67" t="str">
        <f t="shared" si="17"/>
        <v>2005</v>
      </c>
      <c r="C67" t="str">
        <f t="shared" si="18"/>
        <v>Q3</v>
      </c>
      <c r="D67" s="13">
        <f>HAVERQ!C73</f>
        <v>335900</v>
      </c>
      <c r="E67" s="13">
        <f>HAVERQ!D73</f>
        <v>12424</v>
      </c>
      <c r="F67" s="13">
        <f>HAVERQ!E73</f>
        <v>111435</v>
      </c>
      <c r="G67" s="13">
        <f>HAVERQ!F73</f>
        <v>95781</v>
      </c>
      <c r="H67" s="13">
        <f>HAVERQ!G73</f>
        <v>-1552</v>
      </c>
      <c r="I67" s="13">
        <f>HAVERQ!H73</f>
        <v>522</v>
      </c>
      <c r="J67" s="13">
        <f>HAVERQ!I73</f>
        <v>149100</v>
      </c>
      <c r="K67" s="13">
        <f>HAVERQ!J73</f>
        <v>154080</v>
      </c>
      <c r="L67" s="13">
        <f>HAVERQ!U73</f>
        <v>48527</v>
      </c>
      <c r="M67" s="13">
        <f>HAVERQ!V73</f>
        <v>14323</v>
      </c>
      <c r="N67" s="13">
        <f>HAVERQ!Y73</f>
        <v>4210</v>
      </c>
      <c r="O67" s="13">
        <f>HAVERQ!Z73</f>
        <v>15198</v>
      </c>
      <c r="P67" s="13">
        <f>HAVERQ!AA73</f>
        <v>28092</v>
      </c>
      <c r="Q67" s="13">
        <f>HAVERQ!AB73</f>
        <v>31867</v>
      </c>
      <c r="R67" s="13">
        <f>HAVERQ!AC73</f>
        <v>18194</v>
      </c>
      <c r="U67" s="13">
        <f>HAVERQ!M73</f>
        <v>339518</v>
      </c>
      <c r="V67" s="13">
        <f>HAVERQ!N73</f>
        <v>12424</v>
      </c>
      <c r="W67" s="13">
        <f>HAVERQ!O73</f>
        <v>111244</v>
      </c>
      <c r="X67" s="13">
        <f>HAVERQ!P73</f>
        <v>94601</v>
      </c>
      <c r="Y67" s="13">
        <f>HAVERQ!Q73</f>
        <v>-1704</v>
      </c>
      <c r="Z67" s="13">
        <f>HAVERQ!R73</f>
        <v>373</v>
      </c>
      <c r="AA67" s="13">
        <f>HAVERQ!S73</f>
        <v>150106</v>
      </c>
      <c r="AB67" s="13">
        <f>HAVERQ!T73</f>
        <v>158211</v>
      </c>
      <c r="AC67" s="13">
        <f>HAVERQ!W73</f>
        <v>48523</v>
      </c>
      <c r="AD67" s="13">
        <f>HAVERQ!X73</f>
        <v>12968</v>
      </c>
      <c r="AE67" s="13">
        <f>HAVERQ!AD73</f>
        <v>4200</v>
      </c>
      <c r="AF67" s="13">
        <f>HAVERQ!AE73</f>
        <v>14668</v>
      </c>
      <c r="AG67" s="13">
        <f>HAVERQ!AF73</f>
        <v>28079</v>
      </c>
      <c r="AH67" s="13">
        <f>HAVERQ!AG73</f>
        <v>31726</v>
      </c>
      <c r="AI67" s="13">
        <f>HAVERQ!AH73</f>
        <v>18042</v>
      </c>
    </row>
    <row r="68" spans="1:35" x14ac:dyDescent="0.35">
      <c r="A68" t="s">
        <v>233</v>
      </c>
      <c r="B68" t="str">
        <f t="shared" si="17"/>
        <v>2005</v>
      </c>
      <c r="C68" t="str">
        <f t="shared" si="18"/>
        <v>Q4</v>
      </c>
      <c r="D68" s="13">
        <f>HAVERQ!C74</f>
        <v>336830</v>
      </c>
      <c r="E68" s="13">
        <f>HAVERQ!D74</f>
        <v>12905</v>
      </c>
      <c r="F68" s="13">
        <f>HAVERQ!E74</f>
        <v>111911</v>
      </c>
      <c r="G68" s="13">
        <f>HAVERQ!F74</f>
        <v>96029</v>
      </c>
      <c r="H68" s="13">
        <f>HAVERQ!G74</f>
        <v>-5759</v>
      </c>
      <c r="I68" s="13">
        <f>HAVERQ!H74</f>
        <v>668</v>
      </c>
      <c r="J68" s="13">
        <f>HAVERQ!I74</f>
        <v>154094</v>
      </c>
      <c r="K68" s="13">
        <f>HAVERQ!J74</f>
        <v>158068</v>
      </c>
      <c r="L68" s="13">
        <f>HAVERQ!U74</f>
        <v>49209</v>
      </c>
      <c r="M68" s="13">
        <f>HAVERQ!V74</f>
        <v>13437</v>
      </c>
      <c r="N68" s="13">
        <f>HAVERQ!Y74</f>
        <v>4382</v>
      </c>
      <c r="O68" s="13">
        <f>HAVERQ!Z74</f>
        <v>15035</v>
      </c>
      <c r="P68" s="13">
        <f>HAVERQ!AA74</f>
        <v>27485</v>
      </c>
      <c r="Q68" s="13">
        <f>HAVERQ!AB74</f>
        <v>33124</v>
      </c>
      <c r="R68" s="13">
        <f>HAVERQ!AC74</f>
        <v>18143</v>
      </c>
      <c r="U68" s="13">
        <f>HAVERQ!M74</f>
        <v>345378</v>
      </c>
      <c r="V68" s="13">
        <f>HAVERQ!N74</f>
        <v>12905</v>
      </c>
      <c r="W68" s="13">
        <f>HAVERQ!O74</f>
        <v>111912</v>
      </c>
      <c r="X68" s="13">
        <f>HAVERQ!P74</f>
        <v>97720</v>
      </c>
      <c r="Y68" s="13">
        <f>HAVERQ!Q74</f>
        <v>-6833</v>
      </c>
      <c r="Z68" s="13">
        <f>HAVERQ!R74</f>
        <v>752</v>
      </c>
      <c r="AA68" s="13">
        <f>HAVERQ!S74</f>
        <v>156999</v>
      </c>
      <c r="AB68" s="13">
        <f>HAVERQ!T74</f>
        <v>157704</v>
      </c>
      <c r="AC68" s="13">
        <f>HAVERQ!W74</f>
        <v>50838</v>
      </c>
      <c r="AD68" s="13">
        <f>HAVERQ!X74</f>
        <v>12850</v>
      </c>
      <c r="AE68" s="13">
        <f>HAVERQ!AD74</f>
        <v>4044</v>
      </c>
      <c r="AF68" s="13">
        <f>HAVERQ!AE74</f>
        <v>15934</v>
      </c>
      <c r="AG68" s="13">
        <f>HAVERQ!AF74</f>
        <v>27684</v>
      </c>
      <c r="AH68" s="13">
        <f>HAVERQ!AG74</f>
        <v>34015</v>
      </c>
      <c r="AI68" s="13">
        <f>HAVERQ!AH74</f>
        <v>18128</v>
      </c>
    </row>
    <row r="69" spans="1:35" x14ac:dyDescent="0.35">
      <c r="A69" t="s">
        <v>234</v>
      </c>
      <c r="B69" t="str">
        <f t="shared" si="17"/>
        <v>2006</v>
      </c>
      <c r="C69" t="str">
        <f t="shared" si="18"/>
        <v>Q1</v>
      </c>
      <c r="D69" s="13">
        <f>HAVERQ!C75</f>
        <v>335359</v>
      </c>
      <c r="E69" s="13">
        <f>HAVERQ!D75</f>
        <v>12596</v>
      </c>
      <c r="F69" s="13">
        <f>HAVERQ!E75</f>
        <v>112873</v>
      </c>
      <c r="G69" s="13">
        <f>HAVERQ!F75</f>
        <v>96691</v>
      </c>
      <c r="H69" s="13">
        <f>HAVERQ!G75</f>
        <v>-1927</v>
      </c>
      <c r="I69" s="13">
        <f>HAVERQ!H75</f>
        <v>1472</v>
      </c>
      <c r="J69" s="13">
        <f>HAVERQ!I75</f>
        <v>171898</v>
      </c>
      <c r="K69" s="13">
        <f>HAVERQ!J75</f>
        <v>175316</v>
      </c>
      <c r="L69" s="13">
        <f>HAVERQ!U75</f>
        <v>51842</v>
      </c>
      <c r="M69" s="13">
        <f>HAVERQ!V75</f>
        <v>12541</v>
      </c>
      <c r="N69" s="13">
        <f>HAVERQ!Y75</f>
        <v>4957</v>
      </c>
      <c r="O69" s="13">
        <f>HAVERQ!Z75</f>
        <v>14559</v>
      </c>
      <c r="P69" s="13">
        <f>HAVERQ!AA75</f>
        <v>27930</v>
      </c>
      <c r="Q69" s="13">
        <f>HAVERQ!AB75</f>
        <v>33072</v>
      </c>
      <c r="R69" s="13">
        <f>HAVERQ!AC75</f>
        <v>18375</v>
      </c>
      <c r="U69" s="13">
        <f>HAVERQ!M75</f>
        <v>325552</v>
      </c>
      <c r="V69" s="13">
        <f>HAVERQ!N75</f>
        <v>12596</v>
      </c>
      <c r="W69" s="13">
        <f>HAVERQ!O75</f>
        <v>113735</v>
      </c>
      <c r="X69" s="13">
        <f>HAVERQ!P75</f>
        <v>98619</v>
      </c>
      <c r="Y69" s="13">
        <f>HAVERQ!Q75</f>
        <v>353</v>
      </c>
      <c r="Z69" s="13">
        <f>HAVERQ!R75</f>
        <v>1401</v>
      </c>
      <c r="AA69" s="13">
        <f>HAVERQ!S75</f>
        <v>168085</v>
      </c>
      <c r="AB69" s="13">
        <f>HAVERQ!T75</f>
        <v>172503</v>
      </c>
      <c r="AC69" s="13">
        <f>HAVERQ!W75</f>
        <v>49667</v>
      </c>
      <c r="AD69" s="13">
        <f>HAVERQ!X75</f>
        <v>16788</v>
      </c>
      <c r="AE69" s="13">
        <f>HAVERQ!AD75</f>
        <v>4516</v>
      </c>
      <c r="AF69" s="13">
        <f>HAVERQ!AE75</f>
        <v>15741</v>
      </c>
      <c r="AG69" s="13">
        <f>HAVERQ!AF75</f>
        <v>28413</v>
      </c>
      <c r="AH69" s="13">
        <f>HAVERQ!AG75</f>
        <v>33249</v>
      </c>
      <c r="AI69" s="13">
        <f>HAVERQ!AH75</f>
        <v>18834</v>
      </c>
    </row>
    <row r="70" spans="1:35" x14ac:dyDescent="0.35">
      <c r="A70" t="s">
        <v>235</v>
      </c>
      <c r="B70" t="str">
        <f t="shared" ref="B70:B133" si="48">LEFT(A70,4)</f>
        <v>2006</v>
      </c>
      <c r="C70" t="str">
        <f t="shared" ref="C70:C133" si="49">RIGHT(A70,2)</f>
        <v>Q2</v>
      </c>
      <c r="D70" s="13">
        <f>HAVERQ!C76</f>
        <v>335833</v>
      </c>
      <c r="E70" s="13">
        <f>HAVERQ!D76</f>
        <v>12253</v>
      </c>
      <c r="F70" s="13">
        <f>HAVERQ!E76</f>
        <v>112232</v>
      </c>
      <c r="G70" s="13">
        <f>HAVERQ!F76</f>
        <v>95793</v>
      </c>
      <c r="H70" s="13">
        <f>HAVERQ!G76</f>
        <v>-2257</v>
      </c>
      <c r="I70" s="13">
        <f>HAVERQ!H76</f>
        <v>1298</v>
      </c>
      <c r="J70" s="13">
        <f>HAVERQ!I76</f>
        <v>177260</v>
      </c>
      <c r="K70" s="13">
        <f>HAVERQ!J76</f>
        <v>178558</v>
      </c>
      <c r="L70" s="13">
        <f>HAVERQ!U76</f>
        <v>49901</v>
      </c>
      <c r="M70" s="13">
        <f>HAVERQ!V76</f>
        <v>12967</v>
      </c>
      <c r="N70" s="13">
        <f>HAVERQ!Y76</f>
        <v>4310</v>
      </c>
      <c r="O70" s="13">
        <f>HAVERQ!Z76</f>
        <v>15302</v>
      </c>
      <c r="P70" s="13">
        <f>HAVERQ!AA76</f>
        <v>26831</v>
      </c>
      <c r="Q70" s="13">
        <f>HAVERQ!AB76</f>
        <v>33383</v>
      </c>
      <c r="R70" s="13">
        <f>HAVERQ!AC76</f>
        <v>18076</v>
      </c>
      <c r="U70" s="13">
        <f>HAVERQ!M76</f>
        <v>333469</v>
      </c>
      <c r="V70" s="13">
        <f>HAVERQ!N76</f>
        <v>12253</v>
      </c>
      <c r="W70" s="13">
        <f>HAVERQ!O76</f>
        <v>111672</v>
      </c>
      <c r="X70" s="13">
        <f>HAVERQ!P76</f>
        <v>90978</v>
      </c>
      <c r="Y70" s="13">
        <f>HAVERQ!Q76</f>
        <v>-1502</v>
      </c>
      <c r="Z70" s="13">
        <f>HAVERQ!R76</f>
        <v>1465</v>
      </c>
      <c r="AA70" s="13">
        <f>HAVERQ!S76</f>
        <v>178296</v>
      </c>
      <c r="AB70" s="13">
        <f>HAVERQ!T76</f>
        <v>178734</v>
      </c>
      <c r="AC70" s="13">
        <f>HAVERQ!W76</f>
        <v>48819</v>
      </c>
      <c r="AD70" s="13">
        <f>HAVERQ!X76</f>
        <v>9832</v>
      </c>
      <c r="AE70" s="13">
        <f>HAVERQ!AD76</f>
        <v>5034</v>
      </c>
      <c r="AF70" s="13">
        <f>HAVERQ!AE76</f>
        <v>13811</v>
      </c>
      <c r="AG70" s="13">
        <f>HAVERQ!AF76</f>
        <v>26097</v>
      </c>
      <c r="AH70" s="13">
        <f>HAVERQ!AG76</f>
        <v>30155</v>
      </c>
      <c r="AI70" s="13">
        <f>HAVERQ!AH76</f>
        <v>17835</v>
      </c>
    </row>
    <row r="71" spans="1:35" x14ac:dyDescent="0.35">
      <c r="A71" t="s">
        <v>236</v>
      </c>
      <c r="B71" t="str">
        <f t="shared" si="48"/>
        <v>2006</v>
      </c>
      <c r="C71" t="str">
        <f t="shared" si="49"/>
        <v>Q3</v>
      </c>
      <c r="D71" s="13">
        <f>HAVERQ!C77</f>
        <v>338624</v>
      </c>
      <c r="E71" s="13">
        <f>HAVERQ!D77</f>
        <v>12333</v>
      </c>
      <c r="F71" s="13">
        <f>HAVERQ!E77</f>
        <v>113420</v>
      </c>
      <c r="G71" s="13">
        <f>HAVERQ!F77</f>
        <v>97542</v>
      </c>
      <c r="H71" s="13">
        <f>HAVERQ!G77</f>
        <v>5685</v>
      </c>
      <c r="I71" s="13">
        <f>HAVERQ!H77</f>
        <v>1315</v>
      </c>
      <c r="J71" s="13">
        <f>HAVERQ!I77</f>
        <v>155434</v>
      </c>
      <c r="K71" s="13">
        <f>HAVERQ!J77</f>
        <v>159178</v>
      </c>
      <c r="L71" s="13">
        <f>HAVERQ!U77</f>
        <v>51539</v>
      </c>
      <c r="M71" s="13">
        <f>HAVERQ!V77</f>
        <v>12842</v>
      </c>
      <c r="N71" s="13">
        <f>HAVERQ!Y77</f>
        <v>5309</v>
      </c>
      <c r="O71" s="13">
        <f>HAVERQ!Z77</f>
        <v>15967</v>
      </c>
      <c r="P71" s="13">
        <f>HAVERQ!AA77</f>
        <v>26241</v>
      </c>
      <c r="Q71" s="13">
        <f>HAVERQ!AB77</f>
        <v>33554</v>
      </c>
      <c r="R71" s="13">
        <f>HAVERQ!AC77</f>
        <v>18007</v>
      </c>
      <c r="U71" s="13">
        <f>HAVERQ!M77</f>
        <v>342102</v>
      </c>
      <c r="V71" s="13">
        <f>HAVERQ!N77</f>
        <v>12333</v>
      </c>
      <c r="W71" s="13">
        <f>HAVERQ!O77</f>
        <v>113146</v>
      </c>
      <c r="X71" s="13">
        <f>HAVERQ!P77</f>
        <v>97143</v>
      </c>
      <c r="Y71" s="13">
        <f>HAVERQ!Q77</f>
        <v>4834</v>
      </c>
      <c r="Z71" s="13">
        <f>HAVERQ!R77</f>
        <v>1148</v>
      </c>
      <c r="AA71" s="13">
        <f>HAVERQ!S77</f>
        <v>155812</v>
      </c>
      <c r="AB71" s="13">
        <f>HAVERQ!T77</f>
        <v>162863</v>
      </c>
      <c r="AC71" s="13">
        <f>HAVERQ!W77</f>
        <v>51692</v>
      </c>
      <c r="AD71" s="13">
        <f>HAVERQ!X77</f>
        <v>12152</v>
      </c>
      <c r="AE71" s="13">
        <f>HAVERQ!AD77</f>
        <v>5314</v>
      </c>
      <c r="AF71" s="13">
        <f>HAVERQ!AE77</f>
        <v>15350</v>
      </c>
      <c r="AG71" s="13">
        <f>HAVERQ!AF77</f>
        <v>26253</v>
      </c>
      <c r="AH71" s="13">
        <f>HAVERQ!AG77</f>
        <v>34251</v>
      </c>
      <c r="AI71" s="13">
        <f>HAVERQ!AH77</f>
        <v>17798</v>
      </c>
    </row>
    <row r="72" spans="1:35" x14ac:dyDescent="0.35">
      <c r="A72" t="s">
        <v>237</v>
      </c>
      <c r="B72" t="str">
        <f t="shared" si="48"/>
        <v>2006</v>
      </c>
      <c r="C72" t="str">
        <f t="shared" si="49"/>
        <v>Q4</v>
      </c>
      <c r="D72" s="13">
        <f>HAVERQ!C78</f>
        <v>339339</v>
      </c>
      <c r="E72" s="13">
        <f>HAVERQ!D78</f>
        <v>12098</v>
      </c>
      <c r="F72" s="13">
        <f>HAVERQ!E78</f>
        <v>113369</v>
      </c>
      <c r="G72" s="13">
        <f>HAVERQ!F78</f>
        <v>96024</v>
      </c>
      <c r="H72" s="13">
        <f>HAVERQ!G78</f>
        <v>5672</v>
      </c>
      <c r="I72" s="13">
        <f>HAVERQ!H78</f>
        <v>-194</v>
      </c>
      <c r="J72" s="13">
        <f>HAVERQ!I78</f>
        <v>154533</v>
      </c>
      <c r="K72" s="13">
        <f>HAVERQ!J78</f>
        <v>159790</v>
      </c>
      <c r="L72" s="13">
        <f>HAVERQ!U78</f>
        <v>49386</v>
      </c>
      <c r="M72" s="13">
        <f>HAVERQ!V78</f>
        <v>13467</v>
      </c>
      <c r="N72" s="13">
        <f>HAVERQ!Y78</f>
        <v>5305</v>
      </c>
      <c r="O72" s="13">
        <f>HAVERQ!Z78</f>
        <v>16004</v>
      </c>
      <c r="P72" s="13">
        <f>HAVERQ!AA78</f>
        <v>25979</v>
      </c>
      <c r="Q72" s="13">
        <f>HAVERQ!AB78</f>
        <v>32231</v>
      </c>
      <c r="R72" s="13">
        <f>HAVERQ!AC78</f>
        <v>18069</v>
      </c>
      <c r="U72" s="13">
        <f>HAVERQ!M78</f>
        <v>348032</v>
      </c>
      <c r="V72" s="13">
        <f>HAVERQ!N78</f>
        <v>12098</v>
      </c>
      <c r="W72" s="13">
        <f>HAVERQ!O78</f>
        <v>113341</v>
      </c>
      <c r="X72" s="13">
        <f>HAVERQ!P78</f>
        <v>99310</v>
      </c>
      <c r="Y72" s="13">
        <f>HAVERQ!Q78</f>
        <v>3488</v>
      </c>
      <c r="Z72" s="13">
        <f>HAVERQ!R78</f>
        <v>-123</v>
      </c>
      <c r="AA72" s="13">
        <f>HAVERQ!S78</f>
        <v>156932</v>
      </c>
      <c r="AB72" s="13">
        <f>HAVERQ!T78</f>
        <v>158742</v>
      </c>
      <c r="AC72" s="13">
        <f>HAVERQ!W78</f>
        <v>52491</v>
      </c>
      <c r="AD72" s="13">
        <f>HAVERQ!X78</f>
        <v>13046</v>
      </c>
      <c r="AE72" s="13">
        <f>HAVERQ!AD78</f>
        <v>5018</v>
      </c>
      <c r="AF72" s="13">
        <f>HAVERQ!AE78</f>
        <v>16931</v>
      </c>
      <c r="AG72" s="13">
        <f>HAVERQ!AF78</f>
        <v>26217</v>
      </c>
      <c r="AH72" s="13">
        <f>HAVERQ!AG78</f>
        <v>34585</v>
      </c>
      <c r="AI72" s="13">
        <f>HAVERQ!AH78</f>
        <v>18060</v>
      </c>
    </row>
    <row r="73" spans="1:35" x14ac:dyDescent="0.35">
      <c r="A73" t="s">
        <v>238</v>
      </c>
      <c r="B73" t="str">
        <f t="shared" si="48"/>
        <v>2007</v>
      </c>
      <c r="C73" t="str">
        <f t="shared" si="49"/>
        <v>Q1</v>
      </c>
      <c r="D73" s="13">
        <f>HAVERQ!C79</f>
        <v>343169</v>
      </c>
      <c r="E73" s="13">
        <f>HAVERQ!D79</f>
        <v>11881</v>
      </c>
      <c r="F73" s="13">
        <f>HAVERQ!E79</f>
        <v>114363</v>
      </c>
      <c r="G73" s="13">
        <f>HAVERQ!F79</f>
        <v>98619</v>
      </c>
      <c r="H73" s="13">
        <f>HAVERQ!G79</f>
        <v>5300</v>
      </c>
      <c r="I73" s="13">
        <f>HAVERQ!H79</f>
        <v>1143</v>
      </c>
      <c r="J73" s="13">
        <f>HAVERQ!I79</f>
        <v>156894</v>
      </c>
      <c r="K73" s="13">
        <f>HAVERQ!J79</f>
        <v>164176</v>
      </c>
      <c r="L73" s="13">
        <f>HAVERQ!U79</f>
        <v>51948</v>
      </c>
      <c r="M73" s="13">
        <f>HAVERQ!V79</f>
        <v>13258</v>
      </c>
      <c r="N73" s="13">
        <f>HAVERQ!Y79</f>
        <v>5386</v>
      </c>
      <c r="O73" s="13">
        <f>HAVERQ!Z79</f>
        <v>17124</v>
      </c>
      <c r="P73" s="13">
        <f>HAVERQ!AA79</f>
        <v>26388</v>
      </c>
      <c r="Q73" s="13">
        <f>HAVERQ!AB79</f>
        <v>32919</v>
      </c>
      <c r="R73" s="13">
        <f>HAVERQ!AC79</f>
        <v>18199</v>
      </c>
      <c r="U73" s="13">
        <f>HAVERQ!M79</f>
        <v>333320</v>
      </c>
      <c r="V73" s="13">
        <f>HAVERQ!N79</f>
        <v>11881</v>
      </c>
      <c r="W73" s="13">
        <f>HAVERQ!O79</f>
        <v>115287</v>
      </c>
      <c r="X73" s="13">
        <f>HAVERQ!P79</f>
        <v>103168</v>
      </c>
      <c r="Y73" s="13">
        <f>HAVERQ!Q79</f>
        <v>6071</v>
      </c>
      <c r="Z73" s="13">
        <f>HAVERQ!R79</f>
        <v>1040</v>
      </c>
      <c r="AA73" s="13">
        <f>HAVERQ!S79</f>
        <v>153320</v>
      </c>
      <c r="AB73" s="13">
        <f>HAVERQ!T79</f>
        <v>161917</v>
      </c>
      <c r="AC73" s="13">
        <f>HAVERQ!W79</f>
        <v>52156</v>
      </c>
      <c r="AD73" s="13">
        <f>HAVERQ!X79</f>
        <v>17691</v>
      </c>
      <c r="AE73" s="13">
        <f>HAVERQ!AD79</f>
        <v>4846</v>
      </c>
      <c r="AF73" s="13">
        <f>HAVERQ!AE79</f>
        <v>18547</v>
      </c>
      <c r="AG73" s="13">
        <f>HAVERQ!AF79</f>
        <v>26813</v>
      </c>
      <c r="AH73" s="13">
        <f>HAVERQ!AG79</f>
        <v>35583</v>
      </c>
      <c r="AI73" s="13">
        <f>HAVERQ!AH79</f>
        <v>18672</v>
      </c>
    </row>
    <row r="74" spans="1:35" x14ac:dyDescent="0.35">
      <c r="A74" t="s">
        <v>239</v>
      </c>
      <c r="B74" t="str">
        <f t="shared" si="48"/>
        <v>2007</v>
      </c>
      <c r="C74" t="str">
        <f t="shared" si="49"/>
        <v>Q2</v>
      </c>
      <c r="D74" s="13">
        <f>HAVERQ!C80</f>
        <v>347001</v>
      </c>
      <c r="E74" s="13">
        <f>HAVERQ!D80</f>
        <v>11761</v>
      </c>
      <c r="F74" s="13">
        <f>HAVERQ!E80</f>
        <v>114182</v>
      </c>
      <c r="G74" s="13">
        <f>HAVERQ!F80</f>
        <v>102493</v>
      </c>
      <c r="H74" s="13">
        <f>HAVERQ!G80</f>
        <v>2428</v>
      </c>
      <c r="I74" s="13">
        <f>HAVERQ!H80</f>
        <v>-53</v>
      </c>
      <c r="J74" s="13">
        <f>HAVERQ!I80</f>
        <v>162210</v>
      </c>
      <c r="K74" s="13">
        <f>HAVERQ!J80</f>
        <v>163957</v>
      </c>
      <c r="L74" s="13">
        <f>HAVERQ!U80</f>
        <v>55519</v>
      </c>
      <c r="M74" s="13">
        <f>HAVERQ!V80</f>
        <v>13327</v>
      </c>
      <c r="N74" s="13">
        <f>HAVERQ!Y80</f>
        <v>5285</v>
      </c>
      <c r="O74" s="13">
        <f>HAVERQ!Z80</f>
        <v>16987</v>
      </c>
      <c r="P74" s="13">
        <f>HAVERQ!AA80</f>
        <v>26234</v>
      </c>
      <c r="Q74" s="13">
        <f>HAVERQ!AB80</f>
        <v>36267</v>
      </c>
      <c r="R74" s="13">
        <f>HAVERQ!AC80</f>
        <v>18852</v>
      </c>
      <c r="U74" s="13">
        <f>HAVERQ!M80</f>
        <v>344031</v>
      </c>
      <c r="V74" s="13">
        <f>HAVERQ!N80</f>
        <v>11761</v>
      </c>
      <c r="W74" s="13">
        <f>HAVERQ!O80</f>
        <v>113645</v>
      </c>
      <c r="X74" s="13">
        <f>HAVERQ!P80</f>
        <v>96008</v>
      </c>
      <c r="Y74" s="13">
        <f>HAVERQ!Q80</f>
        <v>-2653</v>
      </c>
      <c r="Z74" s="13">
        <f>HAVERQ!R80</f>
        <v>114</v>
      </c>
      <c r="AA74" s="13">
        <f>HAVERQ!S80</f>
        <v>163201</v>
      </c>
      <c r="AB74" s="13">
        <f>HAVERQ!T80</f>
        <v>163704</v>
      </c>
      <c r="AC74" s="13">
        <f>HAVERQ!W80</f>
        <v>52970</v>
      </c>
      <c r="AD74" s="13">
        <f>HAVERQ!X80</f>
        <v>10174</v>
      </c>
      <c r="AE74" s="13">
        <f>HAVERQ!AD80</f>
        <v>6037</v>
      </c>
      <c r="AF74" s="13">
        <f>HAVERQ!AE80</f>
        <v>15334</v>
      </c>
      <c r="AG74" s="13">
        <f>HAVERQ!AF80</f>
        <v>25450</v>
      </c>
      <c r="AH74" s="13">
        <f>HAVERQ!AG80</f>
        <v>31628</v>
      </c>
      <c r="AI74" s="13">
        <f>HAVERQ!AH80</f>
        <v>18574</v>
      </c>
    </row>
    <row r="75" spans="1:35" x14ac:dyDescent="0.35">
      <c r="A75" t="s">
        <v>240</v>
      </c>
      <c r="B75" t="str">
        <f t="shared" si="48"/>
        <v>2007</v>
      </c>
      <c r="C75" t="str">
        <f t="shared" si="49"/>
        <v>Q3</v>
      </c>
      <c r="D75" s="13">
        <f>HAVERQ!C81</f>
        <v>353872</v>
      </c>
      <c r="E75" s="13">
        <f>HAVERQ!D81</f>
        <v>11961</v>
      </c>
      <c r="F75" s="13">
        <f>HAVERQ!E81</f>
        <v>115149</v>
      </c>
      <c r="G75" s="13">
        <f>HAVERQ!F81</f>
        <v>99552</v>
      </c>
      <c r="H75" s="13">
        <f>HAVERQ!G81</f>
        <v>-1836</v>
      </c>
      <c r="I75" s="13">
        <f>HAVERQ!H81</f>
        <v>1435</v>
      </c>
      <c r="J75" s="13">
        <f>HAVERQ!I81</f>
        <v>162555</v>
      </c>
      <c r="K75" s="13">
        <f>HAVERQ!J81</f>
        <v>169987</v>
      </c>
      <c r="L75" s="13">
        <f>HAVERQ!U81</f>
        <v>54051</v>
      </c>
      <c r="M75" s="13">
        <f>HAVERQ!V81</f>
        <v>12482</v>
      </c>
      <c r="N75" s="13">
        <f>HAVERQ!Y81</f>
        <v>5030</v>
      </c>
      <c r="O75" s="13">
        <f>HAVERQ!Z81</f>
        <v>17564</v>
      </c>
      <c r="P75" s="13">
        <f>HAVERQ!AA81</f>
        <v>25018</v>
      </c>
      <c r="Q75" s="13">
        <f>HAVERQ!AB81</f>
        <v>34457</v>
      </c>
      <c r="R75" s="13">
        <f>HAVERQ!AC81</f>
        <v>18686</v>
      </c>
      <c r="U75" s="13">
        <f>HAVERQ!M81</f>
        <v>356897</v>
      </c>
      <c r="V75" s="13">
        <f>HAVERQ!N81</f>
        <v>11961</v>
      </c>
      <c r="W75" s="13">
        <f>HAVERQ!O81</f>
        <v>114774</v>
      </c>
      <c r="X75" s="13">
        <f>HAVERQ!P81</f>
        <v>99975</v>
      </c>
      <c r="Y75" s="13">
        <f>HAVERQ!Q81</f>
        <v>2811</v>
      </c>
      <c r="Z75" s="13">
        <f>HAVERQ!R81</f>
        <v>1286</v>
      </c>
      <c r="AA75" s="13">
        <f>HAVERQ!S81</f>
        <v>161909</v>
      </c>
      <c r="AB75" s="13">
        <f>HAVERQ!T81</f>
        <v>172784</v>
      </c>
      <c r="AC75" s="13">
        <f>HAVERQ!W81</f>
        <v>55172</v>
      </c>
      <c r="AD75" s="13">
        <f>HAVERQ!X81</f>
        <v>11666</v>
      </c>
      <c r="AE75" s="13">
        <f>HAVERQ!AD81</f>
        <v>4978</v>
      </c>
      <c r="AF75" s="13">
        <f>HAVERQ!AE81</f>
        <v>16494</v>
      </c>
      <c r="AG75" s="13">
        <f>HAVERQ!AF81</f>
        <v>25077</v>
      </c>
      <c r="AH75" s="13">
        <f>HAVERQ!AG81</f>
        <v>36411</v>
      </c>
      <c r="AI75" s="13">
        <f>HAVERQ!AH81</f>
        <v>18492</v>
      </c>
    </row>
    <row r="76" spans="1:35" x14ac:dyDescent="0.35">
      <c r="A76" t="s">
        <v>241</v>
      </c>
      <c r="B76" t="str">
        <f t="shared" si="48"/>
        <v>2007</v>
      </c>
      <c r="C76" t="str">
        <f t="shared" si="49"/>
        <v>Q4</v>
      </c>
      <c r="D76" s="13">
        <f>HAVERQ!C82</f>
        <v>353402</v>
      </c>
      <c r="E76" s="13">
        <f>HAVERQ!D82</f>
        <v>11823</v>
      </c>
      <c r="F76" s="13">
        <f>HAVERQ!E82</f>
        <v>114103</v>
      </c>
      <c r="G76" s="13">
        <f>HAVERQ!F82</f>
        <v>106969</v>
      </c>
      <c r="H76" s="13">
        <f>HAVERQ!G82</f>
        <v>-6093</v>
      </c>
      <c r="I76" s="13">
        <f>HAVERQ!H82</f>
        <v>-659</v>
      </c>
      <c r="J76" s="13">
        <f>HAVERQ!I82</f>
        <v>168521</v>
      </c>
      <c r="K76" s="13">
        <f>HAVERQ!J82</f>
        <v>168770</v>
      </c>
      <c r="L76" s="13">
        <f>HAVERQ!U82</f>
        <v>57624</v>
      </c>
      <c r="M76" s="13">
        <f>HAVERQ!V82</f>
        <v>15845</v>
      </c>
      <c r="N76" s="13">
        <f>HAVERQ!Y82</f>
        <v>4854</v>
      </c>
      <c r="O76" s="13">
        <f>HAVERQ!Z82</f>
        <v>19839</v>
      </c>
      <c r="P76" s="13">
        <f>HAVERQ!AA82</f>
        <v>25609</v>
      </c>
      <c r="Q76" s="13">
        <f>HAVERQ!AB82</f>
        <v>37916</v>
      </c>
      <c r="R76" s="13">
        <f>HAVERQ!AC82</f>
        <v>19747</v>
      </c>
      <c r="U76" s="13">
        <f>HAVERQ!M82</f>
        <v>363196</v>
      </c>
      <c r="V76" s="13">
        <f>HAVERQ!N82</f>
        <v>11823</v>
      </c>
      <c r="W76" s="13">
        <f>HAVERQ!O82</f>
        <v>114091</v>
      </c>
      <c r="X76" s="13">
        <f>HAVERQ!P82</f>
        <v>108482</v>
      </c>
      <c r="Y76" s="13">
        <f>HAVERQ!Q82</f>
        <v>-6430</v>
      </c>
      <c r="Z76" s="13">
        <f>HAVERQ!R82</f>
        <v>-574</v>
      </c>
      <c r="AA76" s="13">
        <f>HAVERQ!S82</f>
        <v>171750</v>
      </c>
      <c r="AB76" s="13">
        <f>HAVERQ!T82</f>
        <v>168485</v>
      </c>
      <c r="AC76" s="13">
        <f>HAVERQ!W82</f>
        <v>58843</v>
      </c>
      <c r="AD76" s="13">
        <f>HAVERQ!X82</f>
        <v>15381</v>
      </c>
      <c r="AE76" s="13">
        <f>HAVERQ!AD82</f>
        <v>4694</v>
      </c>
      <c r="AF76" s="13">
        <f>HAVERQ!AE82</f>
        <v>21140</v>
      </c>
      <c r="AG76" s="13">
        <f>HAVERQ!AF82</f>
        <v>25909</v>
      </c>
      <c r="AH76" s="13">
        <f>HAVERQ!AG82</f>
        <v>37937</v>
      </c>
      <c r="AI76" s="13">
        <f>HAVERQ!AH82</f>
        <v>19746</v>
      </c>
    </row>
    <row r="77" spans="1:35" x14ac:dyDescent="0.35">
      <c r="A77" t="s">
        <v>242</v>
      </c>
      <c r="B77" t="str">
        <f t="shared" si="48"/>
        <v>2008</v>
      </c>
      <c r="C77" t="str">
        <f t="shared" si="49"/>
        <v>Q1</v>
      </c>
      <c r="D77" s="13">
        <f>HAVERQ!C83</f>
        <v>355059</v>
      </c>
      <c r="E77" s="13">
        <f>HAVERQ!D83</f>
        <v>11736</v>
      </c>
      <c r="F77" s="13">
        <f>HAVERQ!E83</f>
        <v>115993</v>
      </c>
      <c r="G77" s="13">
        <f>HAVERQ!F83</f>
        <v>101666</v>
      </c>
      <c r="H77" s="13">
        <f>HAVERQ!G83</f>
        <v>-4672</v>
      </c>
      <c r="I77" s="13">
        <f>HAVERQ!H83</f>
        <v>505</v>
      </c>
      <c r="J77" s="13">
        <f>HAVERQ!I83</f>
        <v>168272</v>
      </c>
      <c r="K77" s="13">
        <f>HAVERQ!J83</f>
        <v>169194</v>
      </c>
      <c r="L77" s="13">
        <f>HAVERQ!U83</f>
        <v>52099</v>
      </c>
      <c r="M77" s="13">
        <f>HAVERQ!V83</f>
        <v>16775</v>
      </c>
      <c r="N77" s="13">
        <f>HAVERQ!Y83</f>
        <v>4410</v>
      </c>
      <c r="O77" s="13">
        <f>HAVERQ!Z83</f>
        <v>19478</v>
      </c>
      <c r="P77" s="13">
        <f>HAVERQ!AA83</f>
        <v>24951</v>
      </c>
      <c r="Q77" s="13">
        <f>HAVERQ!AB83</f>
        <v>34596</v>
      </c>
      <c r="R77" s="13">
        <f>HAVERQ!AC83</f>
        <v>19249</v>
      </c>
      <c r="U77" s="13">
        <f>HAVERQ!M83</f>
        <v>345246</v>
      </c>
      <c r="V77" s="13">
        <f>HAVERQ!N83</f>
        <v>11736</v>
      </c>
      <c r="W77" s="13">
        <f>HAVERQ!O83</f>
        <v>116609</v>
      </c>
      <c r="X77" s="13">
        <f>HAVERQ!P83</f>
        <v>107138</v>
      </c>
      <c r="Y77" s="13">
        <f>HAVERQ!Q83</f>
        <v>1305</v>
      </c>
      <c r="Z77" s="13">
        <f>HAVERQ!R83</f>
        <v>393</v>
      </c>
      <c r="AA77" s="13">
        <f>HAVERQ!S83</f>
        <v>163400</v>
      </c>
      <c r="AB77" s="13">
        <f>HAVERQ!T83</f>
        <v>165471</v>
      </c>
      <c r="AC77" s="13">
        <f>HAVERQ!W83</f>
        <v>53302</v>
      </c>
      <c r="AD77" s="13">
        <f>HAVERQ!X83</f>
        <v>21251</v>
      </c>
      <c r="AE77" s="13">
        <f>HAVERQ!AD83</f>
        <v>3879</v>
      </c>
      <c r="AF77" s="13">
        <f>HAVERQ!AE83</f>
        <v>21225</v>
      </c>
      <c r="AG77" s="13">
        <f>HAVERQ!AF83</f>
        <v>25246</v>
      </c>
      <c r="AH77" s="13">
        <f>HAVERQ!AG83</f>
        <v>37983</v>
      </c>
      <c r="AI77" s="13">
        <f>HAVERQ!AH83</f>
        <v>19724</v>
      </c>
    </row>
    <row r="78" spans="1:35" x14ac:dyDescent="0.35">
      <c r="A78" t="s">
        <v>243</v>
      </c>
      <c r="B78" t="str">
        <f t="shared" si="48"/>
        <v>2008</v>
      </c>
      <c r="C78" t="str">
        <f t="shared" si="49"/>
        <v>Q2</v>
      </c>
      <c r="D78" s="13">
        <f>HAVERQ!C84</f>
        <v>350021</v>
      </c>
      <c r="E78" s="13">
        <f>HAVERQ!D84</f>
        <v>12043</v>
      </c>
      <c r="F78" s="13">
        <f>HAVERQ!E84</f>
        <v>115307</v>
      </c>
      <c r="G78" s="13">
        <f>HAVERQ!F84</f>
        <v>103272</v>
      </c>
      <c r="H78" s="13">
        <f>HAVERQ!G84</f>
        <v>-281</v>
      </c>
      <c r="I78" s="13">
        <f>HAVERQ!H84</f>
        <v>-216</v>
      </c>
      <c r="J78" s="13">
        <f>HAVERQ!I84</f>
        <v>168427</v>
      </c>
      <c r="K78" s="13">
        <f>HAVERQ!J84</f>
        <v>168732</v>
      </c>
      <c r="L78" s="13">
        <f>HAVERQ!U84</f>
        <v>57108</v>
      </c>
      <c r="M78" s="13">
        <f>HAVERQ!V84</f>
        <v>15255</v>
      </c>
      <c r="N78" s="13">
        <f>HAVERQ!Y84</f>
        <v>5747</v>
      </c>
      <c r="O78" s="13">
        <f>HAVERQ!Z84</f>
        <v>18836</v>
      </c>
      <c r="P78" s="13">
        <f>HAVERQ!AA84</f>
        <v>24208</v>
      </c>
      <c r="Q78" s="13">
        <f>HAVERQ!AB84</f>
        <v>35706</v>
      </c>
      <c r="R78" s="13">
        <f>HAVERQ!AC84</f>
        <v>19553</v>
      </c>
      <c r="U78" s="13">
        <f>HAVERQ!M84</f>
        <v>347203</v>
      </c>
      <c r="V78" s="13">
        <f>HAVERQ!N84</f>
        <v>12043</v>
      </c>
      <c r="W78" s="13">
        <f>HAVERQ!O84</f>
        <v>115112</v>
      </c>
      <c r="X78" s="13">
        <f>HAVERQ!P84</f>
        <v>98107</v>
      </c>
      <c r="Y78" s="13">
        <f>HAVERQ!Q84</f>
        <v>-379</v>
      </c>
      <c r="Z78" s="13">
        <f>HAVERQ!R84</f>
        <v>-62</v>
      </c>
      <c r="AA78" s="13">
        <f>HAVERQ!S84</f>
        <v>169626</v>
      </c>
      <c r="AB78" s="13">
        <f>HAVERQ!T84</f>
        <v>168195</v>
      </c>
      <c r="AC78" s="13">
        <f>HAVERQ!W84</f>
        <v>55723</v>
      </c>
      <c r="AD78" s="13">
        <f>HAVERQ!X84</f>
        <v>12183</v>
      </c>
      <c r="AE78" s="13">
        <f>HAVERQ!AD84</f>
        <v>6411</v>
      </c>
      <c r="AF78" s="13">
        <f>HAVERQ!AE84</f>
        <v>16904</v>
      </c>
      <c r="AG78" s="13">
        <f>HAVERQ!AF84</f>
        <v>23425</v>
      </c>
      <c r="AH78" s="13">
        <f>HAVERQ!AG84</f>
        <v>32774</v>
      </c>
      <c r="AI78" s="13">
        <f>HAVERQ!AH84</f>
        <v>19262</v>
      </c>
    </row>
    <row r="79" spans="1:35" x14ac:dyDescent="0.35">
      <c r="A79" t="s">
        <v>244</v>
      </c>
      <c r="B79" t="str">
        <f t="shared" si="48"/>
        <v>2008</v>
      </c>
      <c r="C79" t="str">
        <f t="shared" si="49"/>
        <v>Q3</v>
      </c>
      <c r="D79" s="13">
        <f>HAVERQ!C85</f>
        <v>344231</v>
      </c>
      <c r="E79" s="13">
        <f>HAVERQ!D85</f>
        <v>12336</v>
      </c>
      <c r="F79" s="13">
        <f>HAVERQ!E85</f>
        <v>117362</v>
      </c>
      <c r="G79" s="13">
        <f>HAVERQ!F85</f>
        <v>98198</v>
      </c>
      <c r="H79" s="13">
        <f>HAVERQ!G85</f>
        <v>-858</v>
      </c>
      <c r="I79" s="13">
        <f>HAVERQ!H85</f>
        <v>-1304</v>
      </c>
      <c r="J79" s="13">
        <f>HAVERQ!I85</f>
        <v>169095</v>
      </c>
      <c r="K79" s="13">
        <f>HAVERQ!J85</f>
        <v>164567</v>
      </c>
      <c r="L79" s="13">
        <f>HAVERQ!U85</f>
        <v>54942</v>
      </c>
      <c r="M79" s="13">
        <f>HAVERQ!V85</f>
        <v>15861</v>
      </c>
      <c r="N79" s="13">
        <f>HAVERQ!Y85</f>
        <v>4624</v>
      </c>
      <c r="O79" s="13">
        <f>HAVERQ!Z85</f>
        <v>18077</v>
      </c>
      <c r="P79" s="13">
        <f>HAVERQ!AA85</f>
        <v>22062</v>
      </c>
      <c r="Q79" s="13">
        <f>HAVERQ!AB85</f>
        <v>34223</v>
      </c>
      <c r="R79" s="13">
        <f>HAVERQ!AC85</f>
        <v>19785</v>
      </c>
      <c r="U79" s="13">
        <f>HAVERQ!M85</f>
        <v>347258</v>
      </c>
      <c r="V79" s="13">
        <f>HAVERQ!N85</f>
        <v>12336</v>
      </c>
      <c r="W79" s="13">
        <f>HAVERQ!O85</f>
        <v>116883</v>
      </c>
      <c r="X79" s="13">
        <f>HAVERQ!P85</f>
        <v>96914</v>
      </c>
      <c r="Y79" s="13">
        <f>HAVERQ!Q85</f>
        <v>3139</v>
      </c>
      <c r="Z79" s="13">
        <f>HAVERQ!R85</f>
        <v>-1430</v>
      </c>
      <c r="AA79" s="13">
        <f>HAVERQ!S85</f>
        <v>169533</v>
      </c>
      <c r="AB79" s="13">
        <f>HAVERQ!T85</f>
        <v>168457</v>
      </c>
      <c r="AC79" s="13">
        <f>HAVERQ!W85</f>
        <v>54511</v>
      </c>
      <c r="AD79" s="13">
        <f>HAVERQ!X85</f>
        <v>14764</v>
      </c>
      <c r="AE79" s="13">
        <f>HAVERQ!AD85</f>
        <v>4582</v>
      </c>
      <c r="AF79" s="13">
        <f>HAVERQ!AE85</f>
        <v>17350</v>
      </c>
      <c r="AG79" s="13">
        <f>HAVERQ!AF85</f>
        <v>22166</v>
      </c>
      <c r="AH79" s="13">
        <f>HAVERQ!AG85</f>
        <v>33977</v>
      </c>
      <c r="AI79" s="13">
        <f>HAVERQ!AH85</f>
        <v>19588</v>
      </c>
    </row>
    <row r="80" spans="1:35" x14ac:dyDescent="0.35">
      <c r="A80" t="s">
        <v>245</v>
      </c>
      <c r="B80" t="str">
        <f t="shared" si="48"/>
        <v>2008</v>
      </c>
      <c r="C80" t="str">
        <f t="shared" si="49"/>
        <v>Q4</v>
      </c>
      <c r="D80" s="13">
        <f>HAVERQ!C86</f>
        <v>335303</v>
      </c>
      <c r="E80" s="13">
        <f>HAVERQ!D86</f>
        <v>12572</v>
      </c>
      <c r="F80" s="13">
        <f>HAVERQ!E86</f>
        <v>118565</v>
      </c>
      <c r="G80" s="13">
        <f>HAVERQ!F86</f>
        <v>96036</v>
      </c>
      <c r="H80" s="13">
        <f>HAVERQ!G86</f>
        <v>-2768</v>
      </c>
      <c r="I80" s="13">
        <f>HAVERQ!H86</f>
        <v>241</v>
      </c>
      <c r="J80" s="13">
        <f>HAVERQ!I86</f>
        <v>161060</v>
      </c>
      <c r="K80" s="13">
        <f>HAVERQ!J86</f>
        <v>155489</v>
      </c>
      <c r="L80" s="13">
        <f>HAVERQ!U86</f>
        <v>52434</v>
      </c>
      <c r="M80" s="13">
        <f>HAVERQ!V86</f>
        <v>17411</v>
      </c>
      <c r="N80" s="13">
        <f>HAVERQ!Y86</f>
        <v>4810</v>
      </c>
      <c r="O80" s="13">
        <f>HAVERQ!Z86</f>
        <v>17359</v>
      </c>
      <c r="P80" s="13">
        <f>HAVERQ!AA86</f>
        <v>21292</v>
      </c>
      <c r="Q80" s="13">
        <f>HAVERQ!AB86</f>
        <v>33057</v>
      </c>
      <c r="R80" s="13">
        <f>HAVERQ!AC86</f>
        <v>19920</v>
      </c>
      <c r="U80" s="13">
        <f>HAVERQ!M86</f>
        <v>344907</v>
      </c>
      <c r="V80" s="13">
        <f>HAVERQ!N86</f>
        <v>12572</v>
      </c>
      <c r="W80" s="13">
        <f>HAVERQ!O86</f>
        <v>118623</v>
      </c>
      <c r="X80" s="13">
        <f>HAVERQ!P86</f>
        <v>97013</v>
      </c>
      <c r="Y80" s="13">
        <f>HAVERQ!Q86</f>
        <v>-12644</v>
      </c>
      <c r="Z80" s="13">
        <f>HAVERQ!R86</f>
        <v>325</v>
      </c>
      <c r="AA80" s="13">
        <f>HAVERQ!S86</f>
        <v>164295</v>
      </c>
      <c r="AB80" s="13">
        <f>HAVERQ!T86</f>
        <v>155859</v>
      </c>
      <c r="AC80" s="13">
        <f>HAVERQ!W86</f>
        <v>53047</v>
      </c>
      <c r="AD80" s="13">
        <f>HAVERQ!X86</f>
        <v>17105</v>
      </c>
      <c r="AE80" s="13">
        <f>HAVERQ!AD86</f>
        <v>4718</v>
      </c>
      <c r="AF80" s="13">
        <f>HAVERQ!AE86</f>
        <v>18272</v>
      </c>
      <c r="AG80" s="13">
        <f>HAVERQ!AF86</f>
        <v>21677</v>
      </c>
      <c r="AH80" s="13">
        <f>HAVERQ!AG86</f>
        <v>32849</v>
      </c>
      <c r="AI80" s="13">
        <f>HAVERQ!AH86</f>
        <v>19933</v>
      </c>
    </row>
    <row r="81" spans="1:72" x14ac:dyDescent="0.35">
      <c r="A81" t="s">
        <v>246</v>
      </c>
      <c r="B81" t="str">
        <f t="shared" si="48"/>
        <v>2009</v>
      </c>
      <c r="C81" t="str">
        <f t="shared" si="49"/>
        <v>Q1</v>
      </c>
      <c r="D81" s="13">
        <f>HAVERQ!C87</f>
        <v>333667</v>
      </c>
      <c r="E81" s="13">
        <f>HAVERQ!D87</f>
        <v>12768</v>
      </c>
      <c r="F81" s="13">
        <f>HAVERQ!E87</f>
        <v>117859</v>
      </c>
      <c r="G81" s="13">
        <f>HAVERQ!F87</f>
        <v>90795</v>
      </c>
      <c r="H81" s="13">
        <f>HAVERQ!G87</f>
        <v>-7604</v>
      </c>
      <c r="I81" s="13">
        <f>HAVERQ!H87</f>
        <v>1402</v>
      </c>
      <c r="J81" s="13">
        <f>HAVERQ!I87</f>
        <v>152668</v>
      </c>
      <c r="K81" s="13">
        <f>HAVERQ!J87</f>
        <v>149465</v>
      </c>
      <c r="L81" s="13">
        <f>HAVERQ!U87</f>
        <v>48456</v>
      </c>
      <c r="M81" s="13">
        <f>HAVERQ!V87</f>
        <v>17521</v>
      </c>
      <c r="N81" s="13">
        <f>HAVERQ!Y87</f>
        <v>4369</v>
      </c>
      <c r="O81" s="13">
        <f>HAVERQ!Z87</f>
        <v>17248</v>
      </c>
      <c r="P81" s="13">
        <f>HAVERQ!AA87</f>
        <v>19767</v>
      </c>
      <c r="Q81" s="13">
        <f>HAVERQ!AB87</f>
        <v>29823</v>
      </c>
      <c r="R81" s="13">
        <f>HAVERQ!AC87</f>
        <v>19916</v>
      </c>
      <c r="U81" s="13">
        <f>HAVERQ!M87</f>
        <v>325589</v>
      </c>
      <c r="V81" s="13">
        <f>HAVERQ!N87</f>
        <v>12768</v>
      </c>
      <c r="W81" s="13">
        <f>HAVERQ!O87</f>
        <v>118991</v>
      </c>
      <c r="X81" s="13">
        <f>HAVERQ!P87</f>
        <v>95295</v>
      </c>
      <c r="Y81" s="13">
        <f>HAVERQ!Q87</f>
        <v>-6589</v>
      </c>
      <c r="Z81" s="13">
        <f>HAVERQ!R87</f>
        <v>1279</v>
      </c>
      <c r="AA81" s="13">
        <f>HAVERQ!S87</f>
        <v>147879</v>
      </c>
      <c r="AB81" s="13">
        <f>HAVERQ!T87</f>
        <v>146423</v>
      </c>
      <c r="AC81" s="13">
        <f>HAVERQ!W87</f>
        <v>47515</v>
      </c>
      <c r="AD81" s="13">
        <f>HAVERQ!X87</f>
        <v>23255</v>
      </c>
      <c r="AE81" s="13">
        <f>HAVERQ!AD87</f>
        <v>3887</v>
      </c>
      <c r="AF81" s="13">
        <f>HAVERQ!AE87</f>
        <v>19150</v>
      </c>
      <c r="AG81" s="13">
        <f>HAVERQ!AF87</f>
        <v>19878</v>
      </c>
      <c r="AH81" s="13">
        <f>HAVERQ!AG87</f>
        <v>32370</v>
      </c>
      <c r="AI81" s="13">
        <f>HAVERQ!AH87</f>
        <v>20369</v>
      </c>
    </row>
    <row r="82" spans="1:72" x14ac:dyDescent="0.35">
      <c r="A82" t="s">
        <v>247</v>
      </c>
      <c r="B82" t="str">
        <f t="shared" si="48"/>
        <v>2009</v>
      </c>
      <c r="C82" t="str">
        <f t="shared" si="49"/>
        <v>Q2</v>
      </c>
      <c r="D82" s="13">
        <f>HAVERQ!C88</f>
        <v>332958</v>
      </c>
      <c r="E82" s="13">
        <f>HAVERQ!D88</f>
        <v>13014</v>
      </c>
      <c r="F82" s="13">
        <f>HAVERQ!E88</f>
        <v>117610</v>
      </c>
      <c r="G82" s="13">
        <f>HAVERQ!F88</f>
        <v>87418</v>
      </c>
      <c r="H82" s="13">
        <f>HAVERQ!G88</f>
        <v>-7752</v>
      </c>
      <c r="I82" s="13">
        <f>HAVERQ!H88</f>
        <v>533</v>
      </c>
      <c r="J82" s="13">
        <f>HAVERQ!I88</f>
        <v>151806</v>
      </c>
      <c r="K82" s="13">
        <f>HAVERQ!J88</f>
        <v>149713</v>
      </c>
      <c r="L82" s="13">
        <f>HAVERQ!U88</f>
        <v>46751</v>
      </c>
      <c r="M82" s="13">
        <f>HAVERQ!V88</f>
        <v>16507</v>
      </c>
      <c r="N82" s="13">
        <f>HAVERQ!Y88</f>
        <v>4902</v>
      </c>
      <c r="O82" s="13">
        <f>HAVERQ!Z88</f>
        <v>13994</v>
      </c>
      <c r="P82" s="13">
        <f>HAVERQ!AA88</f>
        <v>18477</v>
      </c>
      <c r="Q82" s="13">
        <f>HAVERQ!AB88</f>
        <v>30733</v>
      </c>
      <c r="R82" s="13">
        <f>HAVERQ!AC88</f>
        <v>19634</v>
      </c>
      <c r="U82" s="13">
        <f>HAVERQ!M88</f>
        <v>329695</v>
      </c>
      <c r="V82" s="13">
        <f>HAVERQ!N88</f>
        <v>13014</v>
      </c>
      <c r="W82" s="13">
        <f>HAVERQ!O88</f>
        <v>116815</v>
      </c>
      <c r="X82" s="13">
        <f>HAVERQ!P88</f>
        <v>81704</v>
      </c>
      <c r="Y82" s="13">
        <f>HAVERQ!Q88</f>
        <v>-7416</v>
      </c>
      <c r="Z82" s="13">
        <f>HAVERQ!R88</f>
        <v>687</v>
      </c>
      <c r="AA82" s="13">
        <f>HAVERQ!S88</f>
        <v>152428</v>
      </c>
      <c r="AB82" s="13">
        <f>HAVERQ!T88</f>
        <v>148761</v>
      </c>
      <c r="AC82" s="13">
        <f>HAVERQ!W88</f>
        <v>45816</v>
      </c>
      <c r="AD82" s="13">
        <f>HAVERQ!X88</f>
        <v>12462</v>
      </c>
      <c r="AE82" s="13">
        <f>HAVERQ!AD88</f>
        <v>5395</v>
      </c>
      <c r="AF82" s="13">
        <f>HAVERQ!AE88</f>
        <v>12262</v>
      </c>
      <c r="AG82" s="13">
        <f>HAVERQ!AF88</f>
        <v>17712</v>
      </c>
      <c r="AH82" s="13">
        <f>HAVERQ!AG88</f>
        <v>27150</v>
      </c>
      <c r="AI82" s="13">
        <f>HAVERQ!AH88</f>
        <v>19320</v>
      </c>
    </row>
    <row r="83" spans="1:72" x14ac:dyDescent="0.35">
      <c r="A83" t="s">
        <v>248</v>
      </c>
      <c r="B83" t="str">
        <f t="shared" si="48"/>
        <v>2009</v>
      </c>
      <c r="C83" t="str">
        <f t="shared" si="49"/>
        <v>Q3</v>
      </c>
      <c r="D83" s="13">
        <f>HAVERQ!C89</f>
        <v>333656</v>
      </c>
      <c r="E83" s="13">
        <f>HAVERQ!D89</f>
        <v>13457</v>
      </c>
      <c r="F83" s="13">
        <f>HAVERQ!E89</f>
        <v>118717</v>
      </c>
      <c r="G83" s="13">
        <f>HAVERQ!F89</f>
        <v>87976</v>
      </c>
      <c r="H83" s="13">
        <f>HAVERQ!G89</f>
        <v>-8530</v>
      </c>
      <c r="I83" s="13">
        <f>HAVERQ!H89</f>
        <v>773</v>
      </c>
      <c r="J83" s="13">
        <f>HAVERQ!I89</f>
        <v>151599</v>
      </c>
      <c r="K83" s="13">
        <f>HAVERQ!J89</f>
        <v>153656</v>
      </c>
      <c r="L83" s="13">
        <f>HAVERQ!U89</f>
        <v>45581</v>
      </c>
      <c r="M83" s="13">
        <f>HAVERQ!V89</f>
        <v>18129</v>
      </c>
      <c r="N83" s="13">
        <f>HAVERQ!Y89</f>
        <v>4445</v>
      </c>
      <c r="O83" s="13">
        <f>HAVERQ!Z89</f>
        <v>14691</v>
      </c>
      <c r="P83" s="13">
        <f>HAVERQ!AA89</f>
        <v>18464</v>
      </c>
      <c r="Q83" s="13">
        <f>HAVERQ!AB89</f>
        <v>30737</v>
      </c>
      <c r="R83" s="13">
        <f>HAVERQ!AC89</f>
        <v>19991</v>
      </c>
      <c r="U83" s="13">
        <f>HAVERQ!M89</f>
        <v>336101</v>
      </c>
      <c r="V83" s="13">
        <f>HAVERQ!N89</f>
        <v>13457</v>
      </c>
      <c r="W83" s="13">
        <f>HAVERQ!O89</f>
        <v>118145</v>
      </c>
      <c r="X83" s="13">
        <f>HAVERQ!P89</f>
        <v>87613</v>
      </c>
      <c r="Y83" s="13">
        <f>HAVERQ!Q89</f>
        <v>-6029</v>
      </c>
      <c r="Z83" s="13">
        <f>HAVERQ!R89</f>
        <v>701</v>
      </c>
      <c r="AA83" s="13">
        <f>HAVERQ!S89</f>
        <v>152380</v>
      </c>
      <c r="AB83" s="13">
        <f>HAVERQ!T89</f>
        <v>157452</v>
      </c>
      <c r="AC83" s="13">
        <f>HAVERQ!W89</f>
        <v>46165</v>
      </c>
      <c r="AD83" s="13">
        <f>HAVERQ!X89</f>
        <v>16890</v>
      </c>
      <c r="AE83" s="13">
        <f>HAVERQ!AD89</f>
        <v>4380</v>
      </c>
      <c r="AF83" s="13">
        <f>HAVERQ!AE89</f>
        <v>14026</v>
      </c>
      <c r="AG83" s="13">
        <f>HAVERQ!AF89</f>
        <v>18636</v>
      </c>
      <c r="AH83" s="13">
        <f>HAVERQ!AG89</f>
        <v>31207</v>
      </c>
      <c r="AI83" s="13">
        <f>HAVERQ!AH89</f>
        <v>19842</v>
      </c>
    </row>
    <row r="84" spans="1:72" x14ac:dyDescent="0.35">
      <c r="A84" t="s">
        <v>249</v>
      </c>
      <c r="B84" t="str">
        <f t="shared" si="48"/>
        <v>2009</v>
      </c>
      <c r="C84" t="str">
        <f t="shared" si="49"/>
        <v>Q4</v>
      </c>
      <c r="D84" s="13">
        <f>HAVERQ!C90</f>
        <v>336375</v>
      </c>
      <c r="E84" s="13">
        <f>HAVERQ!D90</f>
        <v>13534</v>
      </c>
      <c r="F84" s="13">
        <f>HAVERQ!E90</f>
        <v>119548</v>
      </c>
      <c r="G84" s="13">
        <f>HAVERQ!F90</f>
        <v>86660</v>
      </c>
      <c r="H84" s="13">
        <f>HAVERQ!G90</f>
        <v>-5121</v>
      </c>
      <c r="I84" s="13">
        <f>HAVERQ!H90</f>
        <v>-322</v>
      </c>
      <c r="J84" s="13">
        <f>HAVERQ!I90</f>
        <v>157880</v>
      </c>
      <c r="K84" s="13">
        <f>HAVERQ!J90</f>
        <v>157461</v>
      </c>
      <c r="L84" s="13">
        <f>HAVERQ!U90</f>
        <v>45414</v>
      </c>
      <c r="M84" s="13">
        <f>HAVERQ!V90</f>
        <v>17924</v>
      </c>
      <c r="N84" s="13">
        <f>HAVERQ!Y90</f>
        <v>3903</v>
      </c>
      <c r="O84" s="13">
        <f>HAVERQ!Z90</f>
        <v>14743</v>
      </c>
      <c r="P84" s="13">
        <f>HAVERQ!AA90</f>
        <v>17387</v>
      </c>
      <c r="Q84" s="13">
        <f>HAVERQ!AB90</f>
        <v>30830</v>
      </c>
      <c r="R84" s="13">
        <f>HAVERQ!AC90</f>
        <v>20105</v>
      </c>
      <c r="U84" s="13">
        <f>HAVERQ!M90</f>
        <v>345271</v>
      </c>
      <c r="V84" s="13">
        <f>HAVERQ!N90</f>
        <v>13534</v>
      </c>
      <c r="W84" s="13">
        <f>HAVERQ!O90</f>
        <v>119783</v>
      </c>
      <c r="X84" s="13">
        <f>HAVERQ!P90</f>
        <v>88237</v>
      </c>
      <c r="Y84" s="13">
        <f>HAVERQ!Q90</f>
        <v>-8973</v>
      </c>
      <c r="Z84" s="13">
        <f>HAVERQ!R90</f>
        <v>-281</v>
      </c>
      <c r="AA84" s="13">
        <f>HAVERQ!S90</f>
        <v>161266</v>
      </c>
      <c r="AB84" s="13">
        <f>HAVERQ!T90</f>
        <v>157659</v>
      </c>
      <c r="AC84" s="13">
        <f>HAVERQ!W90</f>
        <v>46707</v>
      </c>
      <c r="AD84" s="13">
        <f>HAVERQ!X90</f>
        <v>17473</v>
      </c>
      <c r="AE84" s="13">
        <f>HAVERQ!AD90</f>
        <v>3957</v>
      </c>
      <c r="AF84" s="13">
        <f>HAVERQ!AE90</f>
        <v>15238</v>
      </c>
      <c r="AG84" s="13">
        <f>HAVERQ!AF90</f>
        <v>17869</v>
      </c>
      <c r="AH84" s="13">
        <f>HAVERQ!AG90</f>
        <v>31395</v>
      </c>
      <c r="AI84" s="13">
        <f>HAVERQ!AH90</f>
        <v>20116</v>
      </c>
    </row>
    <row r="85" spans="1:72" x14ac:dyDescent="0.35">
      <c r="A85" t="s">
        <v>250</v>
      </c>
      <c r="B85" t="str">
        <f t="shared" si="48"/>
        <v>2010</v>
      </c>
      <c r="C85" t="str">
        <f t="shared" si="49"/>
        <v>Q1</v>
      </c>
      <c r="D85" s="13">
        <f>HAVERQ!C91</f>
        <v>335932</v>
      </c>
      <c r="E85" s="13">
        <f>HAVERQ!D91</f>
        <v>13518</v>
      </c>
      <c r="F85" s="13">
        <f>HAVERQ!E91</f>
        <v>117946</v>
      </c>
      <c r="G85" s="13">
        <f>HAVERQ!F91</f>
        <v>90007</v>
      </c>
      <c r="H85" s="13">
        <f>HAVERQ!G91</f>
        <v>-2406</v>
      </c>
      <c r="I85" s="13">
        <f>HAVERQ!H91</f>
        <v>-480</v>
      </c>
      <c r="J85" s="13">
        <f>HAVERQ!I91</f>
        <v>157939</v>
      </c>
      <c r="K85" s="13">
        <f>HAVERQ!J91</f>
        <v>159143</v>
      </c>
      <c r="L85" s="13">
        <f>HAVERQ!U91</f>
        <v>47159</v>
      </c>
      <c r="M85" s="13">
        <f>HAVERQ!V91</f>
        <v>18677</v>
      </c>
      <c r="N85" s="13">
        <f>HAVERQ!Y91</f>
        <v>4597</v>
      </c>
      <c r="O85" s="13">
        <f>HAVERQ!Z91</f>
        <v>15318</v>
      </c>
      <c r="P85" s="13">
        <f>HAVERQ!AA91</f>
        <v>17688</v>
      </c>
      <c r="Q85" s="13">
        <f>HAVERQ!AB91</f>
        <v>31744</v>
      </c>
      <c r="R85" s="13">
        <f>HAVERQ!AC91</f>
        <v>20815</v>
      </c>
      <c r="U85" s="13">
        <f>HAVERQ!M91</f>
        <v>327374</v>
      </c>
      <c r="V85" s="13">
        <f>HAVERQ!N91</f>
        <v>13518</v>
      </c>
      <c r="W85" s="13">
        <f>HAVERQ!O91</f>
        <v>119556</v>
      </c>
      <c r="X85" s="13">
        <f>HAVERQ!P91</f>
        <v>93927</v>
      </c>
      <c r="Y85" s="13">
        <f>HAVERQ!Q91</f>
        <v>-3480</v>
      </c>
      <c r="Z85" s="13">
        <f>HAVERQ!R91</f>
        <v>-624</v>
      </c>
      <c r="AA85" s="13">
        <f>HAVERQ!S91</f>
        <v>153233</v>
      </c>
      <c r="AB85" s="13">
        <f>HAVERQ!T91</f>
        <v>155159</v>
      </c>
      <c r="AC85" s="13">
        <f>HAVERQ!W91</f>
        <v>45897</v>
      </c>
      <c r="AD85" s="13">
        <f>HAVERQ!X91</f>
        <v>24426</v>
      </c>
      <c r="AE85" s="13">
        <f>HAVERQ!AD91</f>
        <v>4076</v>
      </c>
      <c r="AF85" s="13">
        <f>HAVERQ!AE91</f>
        <v>17506</v>
      </c>
      <c r="AG85" s="13">
        <f>HAVERQ!AF91</f>
        <v>17550</v>
      </c>
      <c r="AH85" s="13">
        <f>HAVERQ!AG91</f>
        <v>33392</v>
      </c>
      <c r="AI85" s="13">
        <f>HAVERQ!AH91</f>
        <v>21525</v>
      </c>
    </row>
    <row r="86" spans="1:72" x14ac:dyDescent="0.35">
      <c r="A86" t="s">
        <v>251</v>
      </c>
      <c r="B86" t="str">
        <f t="shared" si="48"/>
        <v>2010</v>
      </c>
      <c r="C86" t="str">
        <f t="shared" si="49"/>
        <v>Q2</v>
      </c>
      <c r="D86" s="13">
        <f>HAVERQ!C92</f>
        <v>345407</v>
      </c>
      <c r="E86" s="13">
        <f>HAVERQ!D92</f>
        <v>13561</v>
      </c>
      <c r="F86" s="13">
        <f>HAVERQ!E92</f>
        <v>118254</v>
      </c>
      <c r="G86" s="13">
        <f>HAVERQ!F92</f>
        <v>87938</v>
      </c>
      <c r="H86" s="13">
        <f>HAVERQ!G92</f>
        <v>-1128</v>
      </c>
      <c r="I86" s="13">
        <f>HAVERQ!H92</f>
        <v>-745</v>
      </c>
      <c r="J86" s="13">
        <f>HAVERQ!I92</f>
        <v>162472</v>
      </c>
      <c r="K86" s="13">
        <f>HAVERQ!J92</f>
        <v>163970</v>
      </c>
      <c r="L86" s="13">
        <f>HAVERQ!U92</f>
        <v>46055</v>
      </c>
      <c r="M86" s="13">
        <f>HAVERQ!V92</f>
        <v>17329</v>
      </c>
      <c r="N86" s="13">
        <f>HAVERQ!Y92</f>
        <v>4137</v>
      </c>
      <c r="O86" s="13">
        <f>HAVERQ!Z92</f>
        <v>13889</v>
      </c>
      <c r="P86" s="13">
        <f>HAVERQ!AA92</f>
        <v>18757</v>
      </c>
      <c r="Q86" s="13">
        <f>HAVERQ!AB92</f>
        <v>30152</v>
      </c>
      <c r="R86" s="13">
        <f>HAVERQ!AC92</f>
        <v>21485</v>
      </c>
      <c r="U86" s="13">
        <f>HAVERQ!M92</f>
        <v>340805</v>
      </c>
      <c r="V86" s="13">
        <f>HAVERQ!N92</f>
        <v>13561</v>
      </c>
      <c r="W86" s="13">
        <f>HAVERQ!O92</f>
        <v>117396</v>
      </c>
      <c r="X86" s="13">
        <f>HAVERQ!P92</f>
        <v>82063</v>
      </c>
      <c r="Y86" s="13">
        <f>HAVERQ!Q92</f>
        <v>-4203</v>
      </c>
      <c r="Z86" s="13">
        <f>HAVERQ!R92</f>
        <v>-626</v>
      </c>
      <c r="AA86" s="13">
        <f>HAVERQ!S92</f>
        <v>162963</v>
      </c>
      <c r="AB86" s="13">
        <f>HAVERQ!T92</f>
        <v>162816</v>
      </c>
      <c r="AC86" s="13">
        <f>HAVERQ!W92</f>
        <v>44820</v>
      </c>
      <c r="AD86" s="13">
        <f>HAVERQ!X92</f>
        <v>13340</v>
      </c>
      <c r="AE86" s="13">
        <f>HAVERQ!AD92</f>
        <v>4422</v>
      </c>
      <c r="AF86" s="13">
        <f>HAVERQ!AE92</f>
        <v>12003</v>
      </c>
      <c r="AG86" s="13">
        <f>HAVERQ!AF92</f>
        <v>18111</v>
      </c>
      <c r="AH86" s="13">
        <f>HAVERQ!AG92</f>
        <v>26957</v>
      </c>
      <c r="AI86" s="13">
        <f>HAVERQ!AH92</f>
        <v>20931</v>
      </c>
    </row>
    <row r="87" spans="1:72" x14ac:dyDescent="0.35">
      <c r="A87" t="s">
        <v>252</v>
      </c>
      <c r="B87" t="str">
        <f t="shared" si="48"/>
        <v>2010</v>
      </c>
      <c r="C87" t="str">
        <f t="shared" si="49"/>
        <v>Q3</v>
      </c>
      <c r="D87" s="13">
        <f>HAVERQ!C93</f>
        <v>346142</v>
      </c>
      <c r="E87" s="13">
        <f>HAVERQ!D93</f>
        <v>13659</v>
      </c>
      <c r="F87" s="13">
        <f>HAVERQ!E93</f>
        <v>118609</v>
      </c>
      <c r="G87" s="13">
        <f>HAVERQ!F93</f>
        <v>90701</v>
      </c>
      <c r="H87" s="13">
        <f>HAVERQ!G93</f>
        <v>-989</v>
      </c>
      <c r="I87" s="13">
        <f>HAVERQ!H93</f>
        <v>346</v>
      </c>
      <c r="J87" s="13">
        <f>HAVERQ!I93</f>
        <v>164195</v>
      </c>
      <c r="K87" s="13">
        <f>HAVERQ!J93</f>
        <v>169094</v>
      </c>
      <c r="L87" s="13">
        <f>HAVERQ!U93</f>
        <v>47527</v>
      </c>
      <c r="M87" s="13">
        <f>HAVERQ!V93</f>
        <v>17948</v>
      </c>
      <c r="N87" s="13">
        <f>HAVERQ!Y93</f>
        <v>4720</v>
      </c>
      <c r="O87" s="13">
        <f>HAVERQ!Z93</f>
        <v>13941</v>
      </c>
      <c r="P87" s="13">
        <f>HAVERQ!AA93</f>
        <v>19136</v>
      </c>
      <c r="Q87" s="13">
        <f>HAVERQ!AB93</f>
        <v>32139</v>
      </c>
      <c r="R87" s="13">
        <f>HAVERQ!AC93</f>
        <v>21368</v>
      </c>
      <c r="U87" s="13">
        <f>HAVERQ!M93</f>
        <v>349431</v>
      </c>
      <c r="V87" s="13">
        <f>HAVERQ!N93</f>
        <v>13659</v>
      </c>
      <c r="W87" s="13">
        <f>HAVERQ!O93</f>
        <v>117731</v>
      </c>
      <c r="X87" s="13">
        <f>HAVERQ!P93</f>
        <v>90285</v>
      </c>
      <c r="Y87" s="13">
        <f>HAVERQ!Q93</f>
        <v>3839</v>
      </c>
      <c r="Z87" s="13">
        <f>HAVERQ!R93</f>
        <v>349</v>
      </c>
      <c r="AA87" s="13">
        <f>HAVERQ!S93</f>
        <v>164652</v>
      </c>
      <c r="AB87" s="13">
        <f>HAVERQ!T93</f>
        <v>173671</v>
      </c>
      <c r="AC87" s="13">
        <f>HAVERQ!W93</f>
        <v>47926</v>
      </c>
      <c r="AD87" s="13">
        <f>HAVERQ!X93</f>
        <v>16759</v>
      </c>
      <c r="AE87" s="13">
        <f>HAVERQ!AD93</f>
        <v>4720</v>
      </c>
      <c r="AF87" s="13">
        <f>HAVERQ!AE93</f>
        <v>13132</v>
      </c>
      <c r="AG87" s="13">
        <f>HAVERQ!AF93</f>
        <v>19380</v>
      </c>
      <c r="AH87" s="13">
        <f>HAVERQ!AG93</f>
        <v>32606</v>
      </c>
      <c r="AI87" s="13">
        <f>HAVERQ!AH93</f>
        <v>21208</v>
      </c>
    </row>
    <row r="88" spans="1:72" x14ac:dyDescent="0.35">
      <c r="A88" t="s">
        <v>253</v>
      </c>
      <c r="B88" t="str">
        <f t="shared" si="48"/>
        <v>2010</v>
      </c>
      <c r="C88" t="str">
        <f t="shared" si="49"/>
        <v>Q4</v>
      </c>
      <c r="D88" s="13">
        <f>HAVERQ!C94</f>
        <v>345426</v>
      </c>
      <c r="E88" s="13">
        <f>HAVERQ!D94</f>
        <v>13479</v>
      </c>
      <c r="F88" s="13">
        <f>HAVERQ!E94</f>
        <v>118817</v>
      </c>
      <c r="G88" s="13">
        <f>HAVERQ!F94</f>
        <v>92570</v>
      </c>
      <c r="H88" s="13">
        <f>HAVERQ!G94</f>
        <v>-2502</v>
      </c>
      <c r="I88" s="13">
        <f>HAVERQ!H94</f>
        <v>364</v>
      </c>
      <c r="J88" s="13">
        <f>HAVERQ!I94</f>
        <v>167104</v>
      </c>
      <c r="K88" s="13">
        <f>HAVERQ!J94</f>
        <v>170879</v>
      </c>
      <c r="L88" s="13">
        <f>HAVERQ!U94</f>
        <v>50337</v>
      </c>
      <c r="M88" s="13">
        <f>HAVERQ!V94</f>
        <v>17522</v>
      </c>
      <c r="N88" s="13">
        <f>HAVERQ!Y94</f>
        <v>7281</v>
      </c>
      <c r="O88" s="13">
        <f>HAVERQ!Z94</f>
        <v>14003</v>
      </c>
      <c r="P88" s="13">
        <f>HAVERQ!AA94</f>
        <v>18789</v>
      </c>
      <c r="Q88" s="13">
        <f>HAVERQ!AB94</f>
        <v>31353</v>
      </c>
      <c r="R88" s="13">
        <f>HAVERQ!AC94</f>
        <v>21189</v>
      </c>
      <c r="U88" s="13">
        <f>HAVERQ!M94</f>
        <v>355297</v>
      </c>
      <c r="V88" s="13">
        <f>HAVERQ!N94</f>
        <v>13479</v>
      </c>
      <c r="W88" s="13">
        <f>HAVERQ!O94</f>
        <v>118943</v>
      </c>
      <c r="X88" s="13">
        <f>HAVERQ!P94</f>
        <v>94941</v>
      </c>
      <c r="Y88" s="13">
        <f>HAVERQ!Q94</f>
        <v>-3181</v>
      </c>
      <c r="Z88" s="13">
        <f>HAVERQ!R94</f>
        <v>386</v>
      </c>
      <c r="AA88" s="13">
        <f>HAVERQ!S94</f>
        <v>170862</v>
      </c>
      <c r="AB88" s="13">
        <f>HAVERQ!T94</f>
        <v>171440</v>
      </c>
      <c r="AC88" s="13">
        <f>HAVERQ!W94</f>
        <v>52435</v>
      </c>
      <c r="AD88" s="13">
        <f>HAVERQ!X94</f>
        <v>16951</v>
      </c>
      <c r="AE88" s="13">
        <f>HAVERQ!AD94</f>
        <v>7516</v>
      </c>
      <c r="AF88" s="13">
        <f>HAVERQ!AE94</f>
        <v>14508</v>
      </c>
      <c r="AG88" s="13">
        <f>HAVERQ!AF94</f>
        <v>19329</v>
      </c>
      <c r="AH88" s="13">
        <f>HAVERQ!AG94</f>
        <v>32433</v>
      </c>
      <c r="AI88" s="13">
        <f>HAVERQ!AH94</f>
        <v>21193</v>
      </c>
    </row>
    <row r="89" spans="1:72" x14ac:dyDescent="0.35">
      <c r="A89" t="s">
        <v>254</v>
      </c>
      <c r="B89" t="str">
        <f t="shared" si="48"/>
        <v>2011</v>
      </c>
      <c r="C89" t="str">
        <f t="shared" si="49"/>
        <v>Q1</v>
      </c>
      <c r="D89" s="13">
        <f>HAVERQ!C95</f>
        <v>342009</v>
      </c>
      <c r="E89" s="13">
        <f>HAVERQ!D95</f>
        <v>13232</v>
      </c>
      <c r="F89" s="13">
        <f>HAVERQ!E95</f>
        <v>119224</v>
      </c>
      <c r="G89" s="13">
        <f>HAVERQ!F95</f>
        <v>89358</v>
      </c>
      <c r="H89" s="13">
        <f>HAVERQ!G95</f>
        <v>-67</v>
      </c>
      <c r="I89" s="13">
        <f>HAVERQ!H95</f>
        <v>-2778</v>
      </c>
      <c r="J89" s="13">
        <f>HAVERQ!I95</f>
        <v>175386</v>
      </c>
      <c r="K89" s="13">
        <f>HAVERQ!J95</f>
        <v>167383</v>
      </c>
      <c r="L89" s="13">
        <f>HAVERQ!U95</f>
        <v>47060</v>
      </c>
      <c r="M89" s="13">
        <f>HAVERQ!V95</f>
        <v>18451</v>
      </c>
      <c r="N89" s="13">
        <f>HAVERQ!Y95</f>
        <v>3646</v>
      </c>
      <c r="O89" s="13">
        <f>HAVERQ!Z95</f>
        <v>14224</v>
      </c>
      <c r="P89" s="13">
        <f>HAVERQ!AA95</f>
        <v>18646</v>
      </c>
      <c r="Q89" s="13">
        <f>HAVERQ!AB95</f>
        <v>32149</v>
      </c>
      <c r="R89" s="13">
        <f>HAVERQ!AC95</f>
        <v>21363</v>
      </c>
      <c r="U89" s="13">
        <f>HAVERQ!M95</f>
        <v>332482</v>
      </c>
      <c r="V89" s="13">
        <f>HAVERQ!N95</f>
        <v>13232</v>
      </c>
      <c r="W89" s="13">
        <f>HAVERQ!O95</f>
        <v>120926</v>
      </c>
      <c r="X89" s="13">
        <f>HAVERQ!P95</f>
        <v>93206</v>
      </c>
      <c r="Y89" s="13">
        <f>HAVERQ!Q95</f>
        <v>-1901</v>
      </c>
      <c r="Z89" s="13">
        <f>HAVERQ!R95</f>
        <v>-2920</v>
      </c>
      <c r="AA89" s="13">
        <f>HAVERQ!S95</f>
        <v>171102</v>
      </c>
      <c r="AB89" s="13">
        <f>HAVERQ!T95</f>
        <v>164053</v>
      </c>
      <c r="AC89" s="13">
        <f>HAVERQ!W95</f>
        <v>45750</v>
      </c>
      <c r="AD89" s="13">
        <f>HAVERQ!X95</f>
        <v>24732</v>
      </c>
      <c r="AE89" s="13">
        <f>HAVERQ!AD95</f>
        <v>3162</v>
      </c>
      <c r="AF89" s="13">
        <f>HAVERQ!AE95</f>
        <v>15781</v>
      </c>
      <c r="AG89" s="13">
        <f>HAVERQ!AF95</f>
        <v>18049</v>
      </c>
      <c r="AH89" s="13">
        <f>HAVERQ!AG95</f>
        <v>35164</v>
      </c>
      <c r="AI89" s="13">
        <f>HAVERQ!AH95</f>
        <v>21771</v>
      </c>
    </row>
    <row r="90" spans="1:72" x14ac:dyDescent="0.35">
      <c r="A90" t="s">
        <v>255</v>
      </c>
      <c r="B90" t="str">
        <f t="shared" si="48"/>
        <v>2011</v>
      </c>
      <c r="C90" t="str">
        <f t="shared" si="49"/>
        <v>Q2</v>
      </c>
      <c r="D90" s="13">
        <f>HAVERQ!C96</f>
        <v>340153</v>
      </c>
      <c r="E90" s="13">
        <f>HAVERQ!D96</f>
        <v>13719</v>
      </c>
      <c r="F90" s="13">
        <f>HAVERQ!E96</f>
        <v>117522</v>
      </c>
      <c r="G90" s="13">
        <f>HAVERQ!F96</f>
        <v>88767</v>
      </c>
      <c r="H90" s="13">
        <f>HAVERQ!G96</f>
        <v>5005</v>
      </c>
      <c r="I90" s="13">
        <f>HAVERQ!H96</f>
        <v>453</v>
      </c>
      <c r="J90" s="13">
        <f>HAVERQ!I96</f>
        <v>171893</v>
      </c>
      <c r="K90" s="13">
        <f>HAVERQ!J96</f>
        <v>171710</v>
      </c>
      <c r="L90" s="13">
        <f>HAVERQ!U96</f>
        <v>49334</v>
      </c>
      <c r="M90" s="13">
        <f>HAVERQ!V96</f>
        <v>15951</v>
      </c>
      <c r="N90" s="13">
        <f>HAVERQ!Y96</f>
        <v>4352</v>
      </c>
      <c r="O90" s="13">
        <f>HAVERQ!Z96</f>
        <v>15124</v>
      </c>
      <c r="P90" s="13">
        <f>HAVERQ!AA96</f>
        <v>18288</v>
      </c>
      <c r="Q90" s="13">
        <f>HAVERQ!AB96</f>
        <v>30082</v>
      </c>
      <c r="R90" s="13">
        <f>HAVERQ!AC96</f>
        <v>21121</v>
      </c>
      <c r="U90" s="13">
        <f>HAVERQ!M96</f>
        <v>336629</v>
      </c>
      <c r="V90" s="13">
        <f>HAVERQ!N96</f>
        <v>13719</v>
      </c>
      <c r="W90" s="13">
        <f>HAVERQ!O96</f>
        <v>116723</v>
      </c>
      <c r="X90" s="13">
        <f>HAVERQ!P96</f>
        <v>82492</v>
      </c>
      <c r="Y90" s="13">
        <f>HAVERQ!Q96</f>
        <v>2155</v>
      </c>
      <c r="Z90" s="13">
        <f>HAVERQ!R96</f>
        <v>513</v>
      </c>
      <c r="AA90" s="13">
        <f>HAVERQ!S96</f>
        <v>172904</v>
      </c>
      <c r="AB90" s="13">
        <f>HAVERQ!T96</f>
        <v>170361</v>
      </c>
      <c r="AC90" s="13">
        <f>HAVERQ!W96</f>
        <v>47874</v>
      </c>
      <c r="AD90" s="13">
        <f>HAVERQ!X96</f>
        <v>11561</v>
      </c>
      <c r="AE90" s="13">
        <f>HAVERQ!AD96</f>
        <v>4456</v>
      </c>
      <c r="AF90" s="13">
        <f>HAVERQ!AE96</f>
        <v>13248</v>
      </c>
      <c r="AG90" s="13">
        <f>HAVERQ!AF96</f>
        <v>17815</v>
      </c>
      <c r="AH90" s="13">
        <f>HAVERQ!AG96</f>
        <v>26363</v>
      </c>
      <c r="AI90" s="13">
        <f>HAVERQ!AH96</f>
        <v>20623</v>
      </c>
    </row>
    <row r="91" spans="1:72" x14ac:dyDescent="0.35">
      <c r="A91" t="s">
        <v>256</v>
      </c>
      <c r="B91" t="str">
        <f t="shared" si="48"/>
        <v>2011</v>
      </c>
      <c r="C91" t="str">
        <f t="shared" si="49"/>
        <v>Q3</v>
      </c>
      <c r="D91" s="13">
        <f>HAVERQ!C97</f>
        <v>340755</v>
      </c>
      <c r="E91" s="13">
        <f>HAVERQ!D97</f>
        <v>13673</v>
      </c>
      <c r="F91" s="13">
        <f>HAVERQ!E97</f>
        <v>117292</v>
      </c>
      <c r="G91" s="13">
        <f>HAVERQ!F97</f>
        <v>90687</v>
      </c>
      <c r="H91" s="13">
        <f>HAVERQ!G97</f>
        <v>672</v>
      </c>
      <c r="I91" s="13">
        <f>HAVERQ!H97</f>
        <v>1547</v>
      </c>
      <c r="J91" s="13">
        <f>HAVERQ!I97</f>
        <v>173285</v>
      </c>
      <c r="K91" s="13">
        <f>HAVERQ!J97</f>
        <v>170592</v>
      </c>
      <c r="L91" s="13">
        <f>HAVERQ!U97</f>
        <v>50839</v>
      </c>
      <c r="M91" s="13">
        <f>HAVERQ!V97</f>
        <v>16182</v>
      </c>
      <c r="N91" s="13">
        <f>HAVERQ!Y97</f>
        <v>3532</v>
      </c>
      <c r="O91" s="13">
        <f>HAVERQ!Z97</f>
        <v>15707</v>
      </c>
      <c r="P91" s="13">
        <f>HAVERQ!AA97</f>
        <v>18159</v>
      </c>
      <c r="Q91" s="13">
        <f>HAVERQ!AB97</f>
        <v>31166</v>
      </c>
      <c r="R91" s="13">
        <f>HAVERQ!AC97</f>
        <v>22418</v>
      </c>
      <c r="U91" s="13">
        <f>HAVERQ!M97</f>
        <v>344039</v>
      </c>
      <c r="V91" s="13">
        <f>HAVERQ!N97</f>
        <v>13673</v>
      </c>
      <c r="W91" s="13">
        <f>HAVERQ!O97</f>
        <v>116264</v>
      </c>
      <c r="X91" s="13">
        <f>HAVERQ!P97</f>
        <v>89546</v>
      </c>
      <c r="Y91" s="13">
        <f>HAVERQ!Q97</f>
        <v>3055</v>
      </c>
      <c r="Z91" s="13">
        <f>HAVERQ!R97</f>
        <v>1632</v>
      </c>
      <c r="AA91" s="13">
        <f>HAVERQ!S97</f>
        <v>174122</v>
      </c>
      <c r="AB91" s="13">
        <f>HAVERQ!T97</f>
        <v>175205</v>
      </c>
      <c r="AC91" s="13">
        <f>HAVERQ!W97</f>
        <v>50692</v>
      </c>
      <c r="AD91" s="13">
        <f>HAVERQ!X97</f>
        <v>14920</v>
      </c>
      <c r="AE91" s="13">
        <f>HAVERQ!AD97</f>
        <v>3482</v>
      </c>
      <c r="AF91" s="13">
        <f>HAVERQ!AE97</f>
        <v>15085</v>
      </c>
      <c r="AG91" s="13">
        <f>HAVERQ!AF97</f>
        <v>18263</v>
      </c>
      <c r="AH91" s="13">
        <f>HAVERQ!AG97</f>
        <v>31509</v>
      </c>
      <c r="AI91" s="13">
        <f>HAVERQ!AH97</f>
        <v>21655</v>
      </c>
    </row>
    <row r="92" spans="1:72" x14ac:dyDescent="0.35">
      <c r="A92" t="s">
        <v>257</v>
      </c>
      <c r="B92" t="str">
        <f t="shared" si="48"/>
        <v>2011</v>
      </c>
      <c r="C92" t="str">
        <f t="shared" si="49"/>
        <v>Q4</v>
      </c>
      <c r="D92" s="13">
        <f>HAVERQ!C98</f>
        <v>341255</v>
      </c>
      <c r="E92" s="13">
        <f>HAVERQ!D98</f>
        <v>13391</v>
      </c>
      <c r="F92" s="13">
        <f>HAVERQ!E98</f>
        <v>118072</v>
      </c>
      <c r="G92" s="13">
        <f>HAVERQ!F98</f>
        <v>91791</v>
      </c>
      <c r="H92" s="13">
        <f>HAVERQ!G98</f>
        <v>-5180</v>
      </c>
      <c r="I92" s="13">
        <f>HAVERQ!H98</f>
        <v>3</v>
      </c>
      <c r="J92" s="13">
        <f>HAVERQ!I98</f>
        <v>175425</v>
      </c>
      <c r="K92" s="13">
        <f>HAVERQ!J98</f>
        <v>171577</v>
      </c>
      <c r="L92" s="13">
        <f>HAVERQ!U98</f>
        <v>52186</v>
      </c>
      <c r="M92" s="13">
        <f>HAVERQ!V98</f>
        <v>15922</v>
      </c>
      <c r="N92" s="13">
        <f>HAVERQ!Y98</f>
        <v>5117</v>
      </c>
      <c r="O92" s="13">
        <f>HAVERQ!Z98</f>
        <v>15851</v>
      </c>
      <c r="P92" s="13">
        <f>HAVERQ!AA98</f>
        <v>17832</v>
      </c>
      <c r="Q92" s="13">
        <f>HAVERQ!AB98</f>
        <v>31960</v>
      </c>
      <c r="R92" s="13">
        <f>HAVERQ!AC98</f>
        <v>21006</v>
      </c>
      <c r="U92" s="13">
        <f>HAVERQ!M98</f>
        <v>351022</v>
      </c>
      <c r="V92" s="13">
        <f>HAVERQ!N98</f>
        <v>13391</v>
      </c>
      <c r="W92" s="13">
        <f>HAVERQ!O98</f>
        <v>118197</v>
      </c>
      <c r="X92" s="13">
        <f>HAVERQ!P98</f>
        <v>95359</v>
      </c>
      <c r="Y92" s="13">
        <f>HAVERQ!Q98</f>
        <v>-2879</v>
      </c>
      <c r="Z92" s="13">
        <f>HAVERQ!R98</f>
        <v>0</v>
      </c>
      <c r="AA92" s="13">
        <f>HAVERQ!S98</f>
        <v>177861</v>
      </c>
      <c r="AB92" s="13">
        <f>HAVERQ!T98</f>
        <v>171643</v>
      </c>
      <c r="AC92" s="13">
        <f>HAVERQ!W98</f>
        <v>55103</v>
      </c>
      <c r="AD92" s="13">
        <f>HAVERQ!X98</f>
        <v>15291</v>
      </c>
      <c r="AE92" s="13">
        <f>HAVERQ!AD98</f>
        <v>5548</v>
      </c>
      <c r="AF92" s="13">
        <f>HAVERQ!AE98</f>
        <v>16793</v>
      </c>
      <c r="AG92" s="13">
        <f>HAVERQ!AF98</f>
        <v>18798</v>
      </c>
      <c r="AH92" s="13">
        <f>HAVERQ!AG98</f>
        <v>32320</v>
      </c>
      <c r="AI92" s="13">
        <f>HAVERQ!AH98</f>
        <v>21860</v>
      </c>
    </row>
    <row r="93" spans="1:72" x14ac:dyDescent="0.35">
      <c r="A93" t="s">
        <v>258</v>
      </c>
      <c r="B93" t="str">
        <f t="shared" si="48"/>
        <v>2012</v>
      </c>
      <c r="C93" t="str">
        <f t="shared" si="49"/>
        <v>Q1</v>
      </c>
      <c r="D93" s="13">
        <f>HAVERQ!C99</f>
        <v>341708</v>
      </c>
      <c r="E93" s="13">
        <f>HAVERQ!D99</f>
        <v>13210</v>
      </c>
      <c r="F93" s="13">
        <f>HAVERQ!E99</f>
        <v>121472</v>
      </c>
      <c r="G93" s="13">
        <f>HAVERQ!F99</f>
        <v>93207</v>
      </c>
      <c r="H93" s="13">
        <f>HAVERQ!G99</f>
        <v>-5535</v>
      </c>
      <c r="I93" s="13">
        <f>HAVERQ!H99</f>
        <v>-2133</v>
      </c>
      <c r="J93" s="13">
        <f>HAVERQ!I99</f>
        <v>181052</v>
      </c>
      <c r="K93" s="13">
        <f>HAVERQ!J99</f>
        <v>173512</v>
      </c>
      <c r="L93" s="13">
        <f>HAVERQ!U99</f>
        <v>53782</v>
      </c>
      <c r="M93" s="13">
        <f>HAVERQ!V99</f>
        <v>16542</v>
      </c>
      <c r="N93" s="13">
        <f>HAVERQ!Y99</f>
        <v>8952</v>
      </c>
      <c r="O93" s="13">
        <f>HAVERQ!Z99</f>
        <v>15133</v>
      </c>
      <c r="P93" s="13">
        <f>HAVERQ!AA99</f>
        <v>17072</v>
      </c>
      <c r="Q93" s="13">
        <f>HAVERQ!AB99</f>
        <v>30499</v>
      </c>
      <c r="R93" s="13">
        <f>HAVERQ!AC99</f>
        <v>20690</v>
      </c>
      <c r="U93" s="13">
        <f>HAVERQ!M99</f>
        <v>332098</v>
      </c>
      <c r="V93" s="13">
        <f>HAVERQ!N99</f>
        <v>13210</v>
      </c>
      <c r="W93" s="13">
        <f>HAVERQ!O99</f>
        <v>123362</v>
      </c>
      <c r="X93" s="13">
        <f>HAVERQ!P99</f>
        <v>95226</v>
      </c>
      <c r="Y93" s="13">
        <f>HAVERQ!Q99</f>
        <v>-1701</v>
      </c>
      <c r="Z93" s="13">
        <f>HAVERQ!R99</f>
        <v>-2292</v>
      </c>
      <c r="AA93" s="13">
        <f>HAVERQ!S99</f>
        <v>178158</v>
      </c>
      <c r="AB93" s="13">
        <f>HAVERQ!T99</f>
        <v>171343</v>
      </c>
      <c r="AC93" s="13">
        <f>HAVERQ!W99</f>
        <v>50510</v>
      </c>
      <c r="AD93" s="13">
        <f>HAVERQ!X99</f>
        <v>22655</v>
      </c>
      <c r="AE93" s="13">
        <f>HAVERQ!AD99</f>
        <v>8212</v>
      </c>
      <c r="AF93" s="13">
        <f>HAVERQ!AE99</f>
        <v>15998</v>
      </c>
      <c r="AG93" s="13">
        <f>HAVERQ!AF99</f>
        <v>16853</v>
      </c>
      <c r="AH93" s="13">
        <f>HAVERQ!AG99</f>
        <v>32819</v>
      </c>
      <c r="AI93" s="13">
        <f>HAVERQ!AH99</f>
        <v>20612</v>
      </c>
      <c r="BT93" t="s">
        <v>570</v>
      </c>
    </row>
    <row r="94" spans="1:72" x14ac:dyDescent="0.35">
      <c r="A94" t="s">
        <v>259</v>
      </c>
      <c r="B94" t="str">
        <f t="shared" si="48"/>
        <v>2012</v>
      </c>
      <c r="C94" t="str">
        <f t="shared" si="49"/>
        <v>Q2</v>
      </c>
      <c r="D94" s="13">
        <f>HAVERQ!C100</f>
        <v>345006</v>
      </c>
      <c r="E94" s="13">
        <f>HAVERQ!D100</f>
        <v>13703</v>
      </c>
      <c r="F94" s="13">
        <f>HAVERQ!E100</f>
        <v>118038</v>
      </c>
      <c r="G94" s="13">
        <f>HAVERQ!F100</f>
        <v>90462</v>
      </c>
      <c r="H94" s="13">
        <f>HAVERQ!G100</f>
        <v>8076</v>
      </c>
      <c r="I94" s="13">
        <f>HAVERQ!H100</f>
        <v>672</v>
      </c>
      <c r="J94" s="13">
        <f>HAVERQ!I100</f>
        <v>171424</v>
      </c>
      <c r="K94" s="13">
        <f>HAVERQ!J100</f>
        <v>176340</v>
      </c>
      <c r="L94" s="13">
        <f>HAVERQ!U100</f>
        <v>51078</v>
      </c>
      <c r="M94" s="13">
        <f>HAVERQ!V100</f>
        <v>16224</v>
      </c>
      <c r="N94" s="13">
        <f>HAVERQ!Y100</f>
        <v>3079</v>
      </c>
      <c r="O94" s="13">
        <f>HAVERQ!Z100</f>
        <v>15925</v>
      </c>
      <c r="P94" s="13">
        <f>HAVERQ!AA100</f>
        <v>17419</v>
      </c>
      <c r="Q94" s="13">
        <f>HAVERQ!AB100</f>
        <v>32511</v>
      </c>
      <c r="R94" s="13">
        <f>HAVERQ!AC100</f>
        <v>21930</v>
      </c>
      <c r="U94" s="13">
        <f>HAVERQ!M100</f>
        <v>340433</v>
      </c>
      <c r="V94" s="13">
        <f>HAVERQ!N100</f>
        <v>13703</v>
      </c>
      <c r="W94" s="13">
        <f>HAVERQ!O100</f>
        <v>117192</v>
      </c>
      <c r="X94" s="13">
        <f>HAVERQ!P100</f>
        <v>85375</v>
      </c>
      <c r="Y94" s="13">
        <f>HAVERQ!Q100</f>
        <v>10770</v>
      </c>
      <c r="Z94" s="13">
        <f>HAVERQ!R100</f>
        <v>699</v>
      </c>
      <c r="AA94" s="13">
        <f>HAVERQ!S100</f>
        <v>172198</v>
      </c>
      <c r="AB94" s="13">
        <f>HAVERQ!T100</f>
        <v>174590</v>
      </c>
      <c r="AC94" s="13">
        <f>HAVERQ!W100</f>
        <v>50579</v>
      </c>
      <c r="AD94" s="13">
        <f>HAVERQ!X100</f>
        <v>12071</v>
      </c>
      <c r="AE94" s="13">
        <f>HAVERQ!AD100</f>
        <v>3149</v>
      </c>
      <c r="AF94" s="13">
        <f>HAVERQ!AE100</f>
        <v>14710</v>
      </c>
      <c r="AG94" s="13">
        <f>HAVERQ!AF100</f>
        <v>16949</v>
      </c>
      <c r="AH94" s="13">
        <f>HAVERQ!AG100</f>
        <v>29033</v>
      </c>
      <c r="AI94" s="13">
        <f>HAVERQ!AH100</f>
        <v>21745</v>
      </c>
    </row>
    <row r="95" spans="1:72" x14ac:dyDescent="0.35">
      <c r="A95" t="s">
        <v>260</v>
      </c>
      <c r="B95" t="str">
        <f t="shared" si="48"/>
        <v>2012</v>
      </c>
      <c r="C95" t="str">
        <f t="shared" si="49"/>
        <v>Q3</v>
      </c>
      <c r="D95" s="13">
        <f>HAVERQ!C101</f>
        <v>349895</v>
      </c>
      <c r="E95" s="13">
        <f>HAVERQ!D101</f>
        <v>13871</v>
      </c>
      <c r="F95" s="13">
        <f>HAVERQ!E101</f>
        <v>119084</v>
      </c>
      <c r="G95" s="13">
        <f>HAVERQ!F101</f>
        <v>89954</v>
      </c>
      <c r="H95" s="13">
        <f>HAVERQ!G101</f>
        <v>8158</v>
      </c>
      <c r="I95" s="13">
        <f>HAVERQ!H101</f>
        <v>66</v>
      </c>
      <c r="J95" s="13">
        <f>HAVERQ!I101</f>
        <v>176158</v>
      </c>
      <c r="K95" s="13">
        <f>HAVERQ!J101</f>
        <v>175103</v>
      </c>
      <c r="L95" s="13">
        <f>HAVERQ!U101</f>
        <v>51746</v>
      </c>
      <c r="M95" s="13">
        <f>HAVERQ!V101</f>
        <v>14405</v>
      </c>
      <c r="N95" s="13">
        <f>HAVERQ!Y101</f>
        <v>1122</v>
      </c>
      <c r="O95" s="13">
        <f>HAVERQ!Z101</f>
        <v>16414</v>
      </c>
      <c r="P95" s="13">
        <f>HAVERQ!AA101</f>
        <v>17857</v>
      </c>
      <c r="Q95" s="13">
        <f>HAVERQ!AB101</f>
        <v>32436</v>
      </c>
      <c r="R95" s="13">
        <f>HAVERQ!AC101</f>
        <v>22676</v>
      </c>
      <c r="U95" s="13">
        <f>HAVERQ!M101</f>
        <v>353873</v>
      </c>
      <c r="V95" s="13">
        <f>HAVERQ!N101</f>
        <v>13871</v>
      </c>
      <c r="W95" s="13">
        <f>HAVERQ!O101</f>
        <v>117879</v>
      </c>
      <c r="X95" s="13">
        <f>HAVERQ!P101</f>
        <v>89825</v>
      </c>
      <c r="Y95" s="13">
        <f>HAVERQ!Q101</f>
        <v>2892</v>
      </c>
      <c r="Z95" s="13">
        <f>HAVERQ!R101</f>
        <v>223</v>
      </c>
      <c r="AA95" s="13">
        <f>HAVERQ!S101</f>
        <v>175517</v>
      </c>
      <c r="AB95" s="13">
        <f>HAVERQ!T101</f>
        <v>178407</v>
      </c>
      <c r="AC95" s="13">
        <f>HAVERQ!W101</f>
        <v>52513</v>
      </c>
      <c r="AD95" s="13">
        <f>HAVERQ!X101</f>
        <v>13167</v>
      </c>
      <c r="AE95" s="13">
        <f>HAVERQ!AD101</f>
        <v>1490</v>
      </c>
      <c r="AF95" s="13">
        <f>HAVERQ!AE101</f>
        <v>15998</v>
      </c>
      <c r="AG95" s="13">
        <f>HAVERQ!AF101</f>
        <v>17980</v>
      </c>
      <c r="AH95" s="13">
        <f>HAVERQ!AG101</f>
        <v>32226</v>
      </c>
      <c r="AI95" s="13">
        <f>HAVERQ!AH101</f>
        <v>22771</v>
      </c>
    </row>
    <row r="96" spans="1:72" x14ac:dyDescent="0.35">
      <c r="A96" t="s">
        <v>261</v>
      </c>
      <c r="B96" t="str">
        <f t="shared" si="48"/>
        <v>2012</v>
      </c>
      <c r="C96" t="str">
        <f t="shared" si="49"/>
        <v>Q4</v>
      </c>
      <c r="D96" s="13">
        <f>HAVERQ!C102</f>
        <v>355752</v>
      </c>
      <c r="E96" s="13">
        <f>HAVERQ!D102</f>
        <v>13023</v>
      </c>
      <c r="F96" s="13">
        <f>HAVERQ!E102</f>
        <v>120427</v>
      </c>
      <c r="G96" s="13">
        <f>HAVERQ!F102</f>
        <v>94360</v>
      </c>
      <c r="H96" s="13">
        <f>HAVERQ!G102</f>
        <v>-6154</v>
      </c>
      <c r="I96" s="13">
        <f>HAVERQ!H102</f>
        <v>-214</v>
      </c>
      <c r="J96" s="13">
        <f>HAVERQ!I102</f>
        <v>171077</v>
      </c>
      <c r="K96" s="13">
        <f>HAVERQ!J102</f>
        <v>171694</v>
      </c>
      <c r="L96" s="13">
        <f>HAVERQ!U102</f>
        <v>55124</v>
      </c>
      <c r="M96" s="13">
        <f>HAVERQ!V102</f>
        <v>14758</v>
      </c>
      <c r="N96" s="13">
        <f>HAVERQ!Y102</f>
        <v>3456</v>
      </c>
      <c r="O96" s="13">
        <f>HAVERQ!Z102</f>
        <v>16853</v>
      </c>
      <c r="P96" s="13">
        <f>HAVERQ!AA102</f>
        <v>17842</v>
      </c>
      <c r="Q96" s="13">
        <f>HAVERQ!AB102</f>
        <v>33832</v>
      </c>
      <c r="R96" s="13">
        <f>HAVERQ!AC102</f>
        <v>22843</v>
      </c>
      <c r="U96" s="13">
        <f>HAVERQ!M102</f>
        <v>365957</v>
      </c>
      <c r="V96" s="13">
        <f>HAVERQ!N102</f>
        <v>13023</v>
      </c>
      <c r="W96" s="13">
        <f>HAVERQ!O102</f>
        <v>120588</v>
      </c>
      <c r="X96" s="13">
        <f>HAVERQ!P102</f>
        <v>97557</v>
      </c>
      <c r="Y96" s="13">
        <f>HAVERQ!Q102</f>
        <v>-7416</v>
      </c>
      <c r="Z96" s="13">
        <f>HAVERQ!R102</f>
        <v>-239</v>
      </c>
      <c r="AA96" s="13">
        <f>HAVERQ!S102</f>
        <v>173838</v>
      </c>
      <c r="AB96" s="13">
        <f>HAVERQ!T102</f>
        <v>172309</v>
      </c>
      <c r="AC96" s="13">
        <f>HAVERQ!W102</f>
        <v>58127</v>
      </c>
      <c r="AD96" s="13">
        <f>HAVERQ!X102</f>
        <v>14035</v>
      </c>
      <c r="AE96" s="13">
        <f>HAVERQ!AD102</f>
        <v>3759</v>
      </c>
      <c r="AF96" s="13">
        <f>HAVERQ!AE102</f>
        <v>17618</v>
      </c>
      <c r="AG96" s="13">
        <f>HAVERQ!AF102</f>
        <v>18408</v>
      </c>
      <c r="AH96" s="13">
        <f>HAVERQ!AG102</f>
        <v>35199</v>
      </c>
      <c r="AI96" s="13">
        <f>HAVERQ!AH102</f>
        <v>23010</v>
      </c>
    </row>
    <row r="97" spans="1:35" x14ac:dyDescent="0.35">
      <c r="A97" t="s">
        <v>262</v>
      </c>
      <c r="B97" t="str">
        <f t="shared" si="48"/>
        <v>2013</v>
      </c>
      <c r="C97" t="str">
        <f t="shared" si="49"/>
        <v>Q1</v>
      </c>
      <c r="D97" s="13">
        <f>HAVERQ!C103</f>
        <v>352851</v>
      </c>
      <c r="E97" s="13">
        <f>HAVERQ!D103</f>
        <v>12779</v>
      </c>
      <c r="F97" s="13">
        <f>HAVERQ!E103</f>
        <v>118915</v>
      </c>
      <c r="G97" s="13">
        <f>HAVERQ!F103</f>
        <v>92806</v>
      </c>
      <c r="H97" s="13">
        <f>HAVERQ!G103</f>
        <v>-736</v>
      </c>
      <c r="I97" s="13">
        <f>HAVERQ!H103</f>
        <v>754</v>
      </c>
      <c r="J97" s="13">
        <f>HAVERQ!I103</f>
        <v>175674</v>
      </c>
      <c r="K97" s="13">
        <f>HAVERQ!J103</f>
        <v>173449</v>
      </c>
      <c r="L97" s="13">
        <f>HAVERQ!U103</f>
        <v>53732</v>
      </c>
      <c r="M97" s="13">
        <f>HAVERQ!V103</f>
        <v>14610</v>
      </c>
      <c r="N97" s="13">
        <f>HAVERQ!Y103</f>
        <v>2625</v>
      </c>
      <c r="O97" s="13">
        <f>HAVERQ!Z103</f>
        <v>16112</v>
      </c>
      <c r="P97" s="13">
        <f>HAVERQ!AA103</f>
        <v>17943</v>
      </c>
      <c r="Q97" s="13">
        <f>HAVERQ!AB103</f>
        <v>32976</v>
      </c>
      <c r="R97" s="13">
        <f>HAVERQ!AC103</f>
        <v>23526</v>
      </c>
      <c r="U97" s="13">
        <f>HAVERQ!M103</f>
        <v>343944</v>
      </c>
      <c r="V97" s="13">
        <f>HAVERQ!N103</f>
        <v>12779</v>
      </c>
      <c r="W97" s="13">
        <f>HAVERQ!O103</f>
        <v>120454</v>
      </c>
      <c r="X97" s="13">
        <f>HAVERQ!P103</f>
        <v>94800</v>
      </c>
      <c r="Y97" s="13">
        <f>HAVERQ!Q103</f>
        <v>-5040</v>
      </c>
      <c r="Z97" s="13">
        <f>HAVERQ!R103</f>
        <v>519</v>
      </c>
      <c r="AA97" s="13">
        <f>HAVERQ!S103</f>
        <v>170934</v>
      </c>
      <c r="AB97" s="13">
        <f>HAVERQ!T103</f>
        <v>169692</v>
      </c>
      <c r="AC97" s="13">
        <f>HAVERQ!W103</f>
        <v>51395</v>
      </c>
      <c r="AD97" s="13">
        <f>HAVERQ!X103</f>
        <v>20124</v>
      </c>
      <c r="AE97" s="13">
        <f>HAVERQ!AD103</f>
        <v>2402</v>
      </c>
      <c r="AF97" s="13">
        <f>HAVERQ!AE103</f>
        <v>17569</v>
      </c>
      <c r="AG97" s="13">
        <f>HAVERQ!AF103</f>
        <v>17333</v>
      </c>
      <c r="AH97" s="13">
        <f>HAVERQ!AG103</f>
        <v>33539</v>
      </c>
      <c r="AI97" s="13">
        <f>HAVERQ!AH103</f>
        <v>24281</v>
      </c>
    </row>
    <row r="98" spans="1:35" x14ac:dyDescent="0.35">
      <c r="A98" t="s">
        <v>263</v>
      </c>
      <c r="B98" t="str">
        <f t="shared" si="48"/>
        <v>2013</v>
      </c>
      <c r="C98" t="str">
        <f t="shared" si="49"/>
        <v>Q2</v>
      </c>
      <c r="D98" s="13">
        <f>HAVERQ!C104</f>
        <v>355308</v>
      </c>
      <c r="E98" s="13">
        <f>HAVERQ!D104</f>
        <v>12789</v>
      </c>
      <c r="F98" s="13">
        <f>HAVERQ!E104</f>
        <v>119339</v>
      </c>
      <c r="G98" s="13">
        <f>HAVERQ!F104</f>
        <v>95370</v>
      </c>
      <c r="H98" s="13">
        <f>HAVERQ!G104</f>
        <v>1467</v>
      </c>
      <c r="I98" s="13">
        <f>HAVERQ!H104</f>
        <v>3619</v>
      </c>
      <c r="J98" s="13">
        <f>HAVERQ!I104</f>
        <v>176641</v>
      </c>
      <c r="K98" s="13">
        <f>HAVERQ!J104</f>
        <v>181641</v>
      </c>
      <c r="L98" s="13">
        <f>HAVERQ!U104</f>
        <v>54767</v>
      </c>
      <c r="M98" s="13">
        <f>HAVERQ!V104</f>
        <v>14163</v>
      </c>
      <c r="N98" s="13">
        <f>HAVERQ!Y104</f>
        <v>3250</v>
      </c>
      <c r="O98" s="13">
        <f>HAVERQ!Z104</f>
        <v>15763</v>
      </c>
      <c r="P98" s="13">
        <f>HAVERQ!AA104</f>
        <v>19257</v>
      </c>
      <c r="Q98" s="13">
        <f>HAVERQ!AB104</f>
        <v>33871</v>
      </c>
      <c r="R98" s="13">
        <f>HAVERQ!AC104</f>
        <v>23717</v>
      </c>
      <c r="U98" s="13">
        <f>HAVERQ!M104</f>
        <v>350084</v>
      </c>
      <c r="V98" s="13">
        <f>HAVERQ!N104</f>
        <v>12789</v>
      </c>
      <c r="W98" s="13">
        <f>HAVERQ!O104</f>
        <v>118837</v>
      </c>
      <c r="X98" s="13">
        <f>HAVERQ!P104</f>
        <v>90215</v>
      </c>
      <c r="Y98" s="13">
        <f>HAVERQ!Q104</f>
        <v>1161</v>
      </c>
      <c r="Z98" s="13">
        <f>HAVERQ!R104</f>
        <v>3600</v>
      </c>
      <c r="AA98" s="13">
        <f>HAVERQ!S104</f>
        <v>177965</v>
      </c>
      <c r="AB98" s="13">
        <f>HAVERQ!T104</f>
        <v>180337</v>
      </c>
      <c r="AC98" s="13">
        <f>HAVERQ!W104</f>
        <v>53346</v>
      </c>
      <c r="AD98" s="13">
        <f>HAVERQ!X104</f>
        <v>10713</v>
      </c>
      <c r="AE98" s="13">
        <f>HAVERQ!AD104</f>
        <v>3232</v>
      </c>
      <c r="AF98" s="13">
        <f>HAVERQ!AE104</f>
        <v>14028</v>
      </c>
      <c r="AG98" s="13">
        <f>HAVERQ!AF104</f>
        <v>18973</v>
      </c>
      <c r="AH98" s="13">
        <f>HAVERQ!AG104</f>
        <v>31175</v>
      </c>
      <c r="AI98" s="13">
        <f>HAVERQ!AH104</f>
        <v>23208</v>
      </c>
    </row>
    <row r="99" spans="1:35" x14ac:dyDescent="0.35">
      <c r="A99" t="s">
        <v>264</v>
      </c>
      <c r="B99" t="str">
        <f t="shared" si="48"/>
        <v>2013</v>
      </c>
      <c r="C99" t="str">
        <f t="shared" si="49"/>
        <v>Q3</v>
      </c>
      <c r="D99" s="13">
        <f>HAVERQ!C105</f>
        <v>359151</v>
      </c>
      <c r="E99" s="13">
        <f>HAVERQ!D105</f>
        <v>12746</v>
      </c>
      <c r="F99" s="13">
        <f>HAVERQ!E105</f>
        <v>119283</v>
      </c>
      <c r="G99" s="13">
        <f>HAVERQ!F105</f>
        <v>97806</v>
      </c>
      <c r="H99" s="13">
        <f>HAVERQ!G105</f>
        <v>-836</v>
      </c>
      <c r="I99" s="13">
        <f>HAVERQ!H105</f>
        <v>-1784</v>
      </c>
      <c r="J99" s="13">
        <f>HAVERQ!I105</f>
        <v>177536</v>
      </c>
      <c r="K99" s="13">
        <f>HAVERQ!J105</f>
        <v>180200</v>
      </c>
      <c r="L99" s="13">
        <f>HAVERQ!U105</f>
        <v>56747</v>
      </c>
      <c r="M99" s="13">
        <f>HAVERQ!V105</f>
        <v>14431</v>
      </c>
      <c r="N99" s="13">
        <f>HAVERQ!Y105</f>
        <v>4652</v>
      </c>
      <c r="O99" s="13">
        <f>HAVERQ!Z105</f>
        <v>15985</v>
      </c>
      <c r="P99" s="13">
        <f>HAVERQ!AA105</f>
        <v>19584</v>
      </c>
      <c r="Q99" s="13">
        <f>HAVERQ!AB105</f>
        <v>33981</v>
      </c>
      <c r="R99" s="13">
        <f>HAVERQ!AC105</f>
        <v>23860</v>
      </c>
      <c r="U99" s="13">
        <f>HAVERQ!M105</f>
        <v>363174</v>
      </c>
      <c r="V99" s="13">
        <f>HAVERQ!N105</f>
        <v>12746</v>
      </c>
      <c r="W99" s="13">
        <f>HAVERQ!O105</f>
        <v>118119</v>
      </c>
      <c r="X99" s="13">
        <f>HAVERQ!P105</f>
        <v>97404</v>
      </c>
      <c r="Y99" s="13">
        <f>HAVERQ!Q105</f>
        <v>4183</v>
      </c>
      <c r="Z99" s="13">
        <f>HAVERQ!R105</f>
        <v>-1550</v>
      </c>
      <c r="AA99" s="13">
        <f>HAVERQ!S105</f>
        <v>177503</v>
      </c>
      <c r="AB99" s="13">
        <f>HAVERQ!T105</f>
        <v>184374</v>
      </c>
      <c r="AC99" s="13">
        <f>HAVERQ!W105</f>
        <v>56980</v>
      </c>
      <c r="AD99" s="13">
        <f>HAVERQ!X105</f>
        <v>13224</v>
      </c>
      <c r="AE99" s="13">
        <f>HAVERQ!AD105</f>
        <v>4605</v>
      </c>
      <c r="AF99" s="13">
        <f>HAVERQ!AE105</f>
        <v>15495</v>
      </c>
      <c r="AG99" s="13">
        <f>HAVERQ!AF105</f>
        <v>19909</v>
      </c>
      <c r="AH99" s="13">
        <f>HAVERQ!AG105</f>
        <v>34190</v>
      </c>
      <c r="AI99" s="13">
        <f>HAVERQ!AH105</f>
        <v>23600</v>
      </c>
    </row>
    <row r="100" spans="1:35" x14ac:dyDescent="0.35">
      <c r="A100" t="s">
        <v>265</v>
      </c>
      <c r="B100" t="str">
        <f t="shared" si="48"/>
        <v>2013</v>
      </c>
      <c r="C100" t="str">
        <f t="shared" si="49"/>
        <v>Q4</v>
      </c>
      <c r="D100" s="13">
        <f>HAVERQ!C106</f>
        <v>360080</v>
      </c>
      <c r="E100" s="13">
        <f>HAVERQ!D106</f>
        <v>12290</v>
      </c>
      <c r="F100" s="13">
        <f>HAVERQ!E106</f>
        <v>121652</v>
      </c>
      <c r="G100" s="13">
        <f>HAVERQ!F106</f>
        <v>97433</v>
      </c>
      <c r="H100" s="13">
        <f>HAVERQ!G106</f>
        <v>753</v>
      </c>
      <c r="I100" s="13">
        <f>HAVERQ!H106</f>
        <v>3988</v>
      </c>
      <c r="J100" s="13">
        <f>HAVERQ!I106</f>
        <v>172849</v>
      </c>
      <c r="K100" s="13">
        <f>HAVERQ!J106</f>
        <v>183506</v>
      </c>
      <c r="L100" s="13">
        <f>HAVERQ!U106</f>
        <v>56008</v>
      </c>
      <c r="M100" s="13">
        <f>HAVERQ!V106</f>
        <v>15091</v>
      </c>
      <c r="N100" s="13">
        <f>HAVERQ!Y106</f>
        <v>4504</v>
      </c>
      <c r="O100" s="13">
        <f>HAVERQ!Z106</f>
        <v>16345</v>
      </c>
      <c r="P100" s="13">
        <f>HAVERQ!AA106</f>
        <v>19487</v>
      </c>
      <c r="Q100" s="13">
        <f>HAVERQ!AB106</f>
        <v>33105</v>
      </c>
      <c r="R100" s="13">
        <f>HAVERQ!AC106</f>
        <v>24182</v>
      </c>
      <c r="U100" s="13">
        <f>HAVERQ!M106</f>
        <v>370188</v>
      </c>
      <c r="V100" s="13">
        <f>HAVERQ!N106</f>
        <v>12290</v>
      </c>
      <c r="W100" s="13">
        <f>HAVERQ!O106</f>
        <v>121779</v>
      </c>
      <c r="X100" s="13">
        <f>HAVERQ!P106</f>
        <v>100996</v>
      </c>
      <c r="Y100" s="13">
        <f>HAVERQ!Q106</f>
        <v>344</v>
      </c>
      <c r="Z100" s="13">
        <f>HAVERQ!R106</f>
        <v>4008</v>
      </c>
      <c r="AA100" s="13">
        <f>HAVERQ!S106</f>
        <v>176298</v>
      </c>
      <c r="AB100" s="13">
        <f>HAVERQ!T106</f>
        <v>184393</v>
      </c>
      <c r="AC100" s="13">
        <f>HAVERQ!W106</f>
        <v>59533</v>
      </c>
      <c r="AD100" s="13">
        <f>HAVERQ!X106</f>
        <v>14233</v>
      </c>
      <c r="AE100" s="13">
        <f>HAVERQ!AD106</f>
        <v>4791</v>
      </c>
      <c r="AF100" s="13">
        <f>HAVERQ!AE106</f>
        <v>17113</v>
      </c>
      <c r="AG100" s="13">
        <f>HAVERQ!AF106</f>
        <v>20056</v>
      </c>
      <c r="AH100" s="13">
        <f>HAVERQ!AG106</f>
        <v>35029</v>
      </c>
      <c r="AI100" s="13">
        <f>HAVERQ!AH106</f>
        <v>24196</v>
      </c>
    </row>
    <row r="101" spans="1:35" x14ac:dyDescent="0.35">
      <c r="A101" t="s">
        <v>266</v>
      </c>
      <c r="B101" t="str">
        <f t="shared" si="48"/>
        <v>2014</v>
      </c>
      <c r="C101" t="str">
        <f t="shared" si="49"/>
        <v>Q1</v>
      </c>
      <c r="D101" s="13">
        <f>HAVERQ!C107</f>
        <v>361463</v>
      </c>
      <c r="E101" s="13">
        <f>HAVERQ!D107</f>
        <v>12142</v>
      </c>
      <c r="F101" s="13">
        <f>HAVERQ!E107</f>
        <v>122173</v>
      </c>
      <c r="G101" s="13">
        <f>HAVERQ!F107</f>
        <v>100986</v>
      </c>
      <c r="H101" s="13">
        <f>HAVERQ!G107</f>
        <v>93</v>
      </c>
      <c r="I101" s="13">
        <f>HAVERQ!H107</f>
        <v>1025</v>
      </c>
      <c r="J101" s="13">
        <f>HAVERQ!I107</f>
        <v>175843</v>
      </c>
      <c r="K101" s="13">
        <f>HAVERQ!J107</f>
        <v>183059</v>
      </c>
      <c r="L101" s="13">
        <f>HAVERQ!U107</f>
        <v>56781</v>
      </c>
      <c r="M101" s="13">
        <f>HAVERQ!V107</f>
        <v>17024</v>
      </c>
      <c r="N101" s="13">
        <f>HAVERQ!Y107</f>
        <v>4905</v>
      </c>
      <c r="O101" s="13">
        <f>HAVERQ!Z107</f>
        <v>16804</v>
      </c>
      <c r="P101" s="13">
        <f>HAVERQ!AA107</f>
        <v>19800</v>
      </c>
      <c r="Q101" s="13">
        <f>HAVERQ!AB107</f>
        <v>34776</v>
      </c>
      <c r="R101" s="13">
        <f>HAVERQ!AC107</f>
        <v>24869</v>
      </c>
      <c r="U101" s="13">
        <f>HAVERQ!M107</f>
        <v>350614</v>
      </c>
      <c r="V101" s="13">
        <f>HAVERQ!N107</f>
        <v>12142</v>
      </c>
      <c r="W101" s="13">
        <f>HAVERQ!O107</f>
        <v>124209</v>
      </c>
      <c r="X101" s="13">
        <f>HAVERQ!P107</f>
        <v>103436</v>
      </c>
      <c r="Y101" s="13">
        <f>HAVERQ!Q107</f>
        <v>-4954</v>
      </c>
      <c r="Z101" s="13">
        <f>HAVERQ!R107</f>
        <v>743</v>
      </c>
      <c r="AA101" s="13">
        <f>HAVERQ!S107</f>
        <v>171816</v>
      </c>
      <c r="AB101" s="13">
        <f>HAVERQ!T107</f>
        <v>179605</v>
      </c>
      <c r="AC101" s="13">
        <f>HAVERQ!W107</f>
        <v>54376</v>
      </c>
      <c r="AD101" s="13">
        <f>HAVERQ!X107</f>
        <v>23194</v>
      </c>
      <c r="AE101" s="13">
        <f>HAVERQ!AD107</f>
        <v>4432</v>
      </c>
      <c r="AF101" s="13">
        <f>HAVERQ!AE107</f>
        <v>17987</v>
      </c>
      <c r="AG101" s="13">
        <f>HAVERQ!AF107</f>
        <v>19116</v>
      </c>
      <c r="AH101" s="13">
        <f>HAVERQ!AG107</f>
        <v>36609</v>
      </c>
      <c r="AI101" s="13">
        <f>HAVERQ!AH107</f>
        <v>25531</v>
      </c>
    </row>
    <row r="102" spans="1:35" x14ac:dyDescent="0.35">
      <c r="A102" t="s">
        <v>267</v>
      </c>
      <c r="B102" t="str">
        <f t="shared" si="48"/>
        <v>2014</v>
      </c>
      <c r="C102" t="str">
        <f t="shared" si="49"/>
        <v>Q2</v>
      </c>
      <c r="D102" s="13">
        <f>HAVERQ!C108</f>
        <v>364739</v>
      </c>
      <c r="E102" s="13">
        <f>HAVERQ!D108</f>
        <v>11831</v>
      </c>
      <c r="F102" s="13">
        <f>HAVERQ!E108</f>
        <v>122833</v>
      </c>
      <c r="G102" s="13">
        <f>HAVERQ!F108</f>
        <v>101232</v>
      </c>
      <c r="H102" s="13">
        <f>HAVERQ!G108</f>
        <v>6293</v>
      </c>
      <c r="I102" s="13">
        <f>HAVERQ!H108</f>
        <v>-3384</v>
      </c>
      <c r="J102" s="13">
        <f>HAVERQ!I108</f>
        <v>176756</v>
      </c>
      <c r="K102" s="13">
        <f>HAVERQ!J108</f>
        <v>183399</v>
      </c>
      <c r="L102" s="13">
        <f>HAVERQ!U108</f>
        <v>58520</v>
      </c>
      <c r="M102" s="13">
        <f>HAVERQ!V108</f>
        <v>15597</v>
      </c>
      <c r="N102" s="13">
        <f>HAVERQ!Y108</f>
        <v>5309</v>
      </c>
      <c r="O102" s="13">
        <f>HAVERQ!Z108</f>
        <v>17125</v>
      </c>
      <c r="P102" s="13">
        <f>HAVERQ!AA108</f>
        <v>19133</v>
      </c>
      <c r="Q102" s="13">
        <f>HAVERQ!AB108</f>
        <v>35627</v>
      </c>
      <c r="R102" s="13">
        <f>HAVERQ!AC108</f>
        <v>24195</v>
      </c>
      <c r="U102" s="13">
        <f>HAVERQ!M108</f>
        <v>360865</v>
      </c>
      <c r="V102" s="13">
        <f>HAVERQ!N108</f>
        <v>11831</v>
      </c>
      <c r="W102" s="13">
        <f>HAVERQ!O108</f>
        <v>121883</v>
      </c>
      <c r="X102" s="13">
        <f>HAVERQ!P108</f>
        <v>96298</v>
      </c>
      <c r="Y102" s="13">
        <f>HAVERQ!Q108</f>
        <v>8863</v>
      </c>
      <c r="Z102" s="13">
        <f>HAVERQ!R108</f>
        <v>-3435</v>
      </c>
      <c r="AA102" s="13">
        <f>HAVERQ!S108</f>
        <v>178239</v>
      </c>
      <c r="AB102" s="13">
        <f>HAVERQ!T108</f>
        <v>181456</v>
      </c>
      <c r="AC102" s="13">
        <f>HAVERQ!W108</f>
        <v>57708</v>
      </c>
      <c r="AD102" s="13">
        <f>HAVERQ!X108</f>
        <v>11669</v>
      </c>
      <c r="AE102" s="13">
        <f>HAVERQ!AD108</f>
        <v>5485</v>
      </c>
      <c r="AF102" s="13">
        <f>HAVERQ!AE108</f>
        <v>15529</v>
      </c>
      <c r="AG102" s="13">
        <f>HAVERQ!AF108</f>
        <v>18943</v>
      </c>
      <c r="AH102" s="13">
        <f>HAVERQ!AG108</f>
        <v>32698</v>
      </c>
      <c r="AI102" s="13">
        <f>HAVERQ!AH108</f>
        <v>23651</v>
      </c>
    </row>
    <row r="103" spans="1:35" x14ac:dyDescent="0.35">
      <c r="A103" t="s">
        <v>268</v>
      </c>
      <c r="B103" t="str">
        <f t="shared" si="48"/>
        <v>2014</v>
      </c>
      <c r="C103" t="str">
        <f t="shared" si="49"/>
        <v>Q3</v>
      </c>
      <c r="D103" s="13">
        <f>HAVERQ!C109</f>
        <v>371275</v>
      </c>
      <c r="E103" s="13">
        <f>HAVERQ!D109</f>
        <v>11784</v>
      </c>
      <c r="F103" s="13">
        <f>HAVERQ!E109</f>
        <v>122880</v>
      </c>
      <c r="G103" s="13">
        <f>HAVERQ!F109</f>
        <v>103142</v>
      </c>
      <c r="H103" s="13">
        <f>HAVERQ!G109</f>
        <v>6564</v>
      </c>
      <c r="I103" s="13">
        <f>HAVERQ!H109</f>
        <v>1413</v>
      </c>
      <c r="J103" s="13">
        <f>HAVERQ!I109</f>
        <v>178053</v>
      </c>
      <c r="K103" s="13">
        <f>HAVERQ!J109</f>
        <v>188315</v>
      </c>
      <c r="L103" s="13">
        <f>HAVERQ!U109</f>
        <v>59208</v>
      </c>
      <c r="M103" s="13">
        <f>HAVERQ!V109</f>
        <v>15999</v>
      </c>
      <c r="N103" s="13">
        <f>HAVERQ!Y109</f>
        <v>4908</v>
      </c>
      <c r="O103" s="13">
        <f>HAVERQ!Z109</f>
        <v>17557</v>
      </c>
      <c r="P103" s="13">
        <f>HAVERQ!AA109</f>
        <v>20215</v>
      </c>
      <c r="Q103" s="13">
        <f>HAVERQ!AB109</f>
        <v>35714</v>
      </c>
      <c r="R103" s="13">
        <f>HAVERQ!AC109</f>
        <v>24777</v>
      </c>
      <c r="U103" s="13">
        <f>HAVERQ!M109</f>
        <v>376680</v>
      </c>
      <c r="V103" s="13">
        <f>HAVERQ!N109</f>
        <v>11784</v>
      </c>
      <c r="W103" s="13">
        <f>HAVERQ!O109</f>
        <v>121654</v>
      </c>
      <c r="X103" s="13">
        <f>HAVERQ!P109</f>
        <v>101890</v>
      </c>
      <c r="Y103" s="13">
        <f>HAVERQ!Q109</f>
        <v>5991</v>
      </c>
      <c r="Z103" s="13">
        <f>HAVERQ!R109</f>
        <v>1716</v>
      </c>
      <c r="AA103" s="13">
        <f>HAVERQ!S109</f>
        <v>176842</v>
      </c>
      <c r="AB103" s="13">
        <f>HAVERQ!T109</f>
        <v>193662</v>
      </c>
      <c r="AC103" s="13">
        <f>HAVERQ!W109</f>
        <v>58520</v>
      </c>
      <c r="AD103" s="13">
        <f>HAVERQ!X109</f>
        <v>14847</v>
      </c>
      <c r="AE103" s="13">
        <f>HAVERQ!AD109</f>
        <v>4836</v>
      </c>
      <c r="AF103" s="13">
        <f>HAVERQ!AE109</f>
        <v>17188</v>
      </c>
      <c r="AG103" s="13">
        <f>HAVERQ!AF109</f>
        <v>20516</v>
      </c>
      <c r="AH103" s="13">
        <f>HAVERQ!AG109</f>
        <v>35018</v>
      </c>
      <c r="AI103" s="13">
        <f>HAVERQ!AH109</f>
        <v>24496</v>
      </c>
    </row>
    <row r="104" spans="1:35" x14ac:dyDescent="0.35">
      <c r="A104" t="s">
        <v>269</v>
      </c>
      <c r="B104" t="str">
        <f t="shared" si="48"/>
        <v>2014</v>
      </c>
      <c r="C104" t="str">
        <f t="shared" si="49"/>
        <v>Q4</v>
      </c>
      <c r="D104" s="13">
        <f>HAVERQ!C110</f>
        <v>374107</v>
      </c>
      <c r="E104" s="13">
        <f>HAVERQ!D110</f>
        <v>11572</v>
      </c>
      <c r="F104" s="13">
        <f>HAVERQ!E110</f>
        <v>122448</v>
      </c>
      <c r="G104" s="13">
        <f>HAVERQ!F110</f>
        <v>106147</v>
      </c>
      <c r="H104" s="13">
        <f>HAVERQ!G110</f>
        <v>7975</v>
      </c>
      <c r="I104" s="13">
        <f>HAVERQ!H110</f>
        <v>5889</v>
      </c>
      <c r="J104" s="13">
        <f>HAVERQ!I110</f>
        <v>181532</v>
      </c>
      <c r="K104" s="13">
        <f>HAVERQ!J110</f>
        <v>200432</v>
      </c>
      <c r="L104" s="13">
        <f>HAVERQ!U110</f>
        <v>61217</v>
      </c>
      <c r="M104" s="13">
        <f>HAVERQ!V110</f>
        <v>16810</v>
      </c>
      <c r="N104" s="13">
        <f>HAVERQ!Y110</f>
        <v>5350</v>
      </c>
      <c r="O104" s="13">
        <f>HAVERQ!Z110</f>
        <v>17589</v>
      </c>
      <c r="P104" s="13">
        <f>HAVERQ!AA110</f>
        <v>20306</v>
      </c>
      <c r="Q104" s="13">
        <f>HAVERQ!AB110</f>
        <v>36798</v>
      </c>
      <c r="R104" s="13">
        <f>HAVERQ!AC110</f>
        <v>26237</v>
      </c>
      <c r="U104" s="13">
        <f>HAVERQ!M110</f>
        <v>383425</v>
      </c>
      <c r="V104" s="13">
        <f>HAVERQ!N110</f>
        <v>11572</v>
      </c>
      <c r="W104" s="13">
        <f>HAVERQ!O110</f>
        <v>122588</v>
      </c>
      <c r="X104" s="13">
        <f>HAVERQ!P110</f>
        <v>109883</v>
      </c>
      <c r="Y104" s="13">
        <f>HAVERQ!Q110</f>
        <v>11025</v>
      </c>
      <c r="Z104" s="13">
        <f>HAVERQ!R110</f>
        <v>5919</v>
      </c>
      <c r="AA104" s="13">
        <f>HAVERQ!S110</f>
        <v>185287</v>
      </c>
      <c r="AB104" s="13">
        <f>HAVERQ!T110</f>
        <v>200482</v>
      </c>
      <c r="AC104" s="13">
        <f>HAVERQ!W110</f>
        <v>65122</v>
      </c>
      <c r="AD104" s="13">
        <f>HAVERQ!X110</f>
        <v>15721</v>
      </c>
      <c r="AE104" s="13">
        <f>HAVERQ!AD110</f>
        <v>5719</v>
      </c>
      <c r="AF104" s="13">
        <f>HAVERQ!AE110</f>
        <v>18370</v>
      </c>
      <c r="AG104" s="13">
        <f>HAVERQ!AF110</f>
        <v>20880</v>
      </c>
      <c r="AH104" s="13">
        <f>HAVERQ!AG110</f>
        <v>38590</v>
      </c>
      <c r="AI104" s="13">
        <f>HAVERQ!AH110</f>
        <v>26399</v>
      </c>
    </row>
    <row r="105" spans="1:35" x14ac:dyDescent="0.35">
      <c r="A105" t="s">
        <v>270</v>
      </c>
      <c r="B105" t="str">
        <f t="shared" si="48"/>
        <v>2015</v>
      </c>
      <c r="C105" t="str">
        <f t="shared" si="49"/>
        <v>Q1</v>
      </c>
      <c r="D105" s="13">
        <f>HAVERQ!C111</f>
        <v>375994</v>
      </c>
      <c r="E105" s="13">
        <f>HAVERQ!D111</f>
        <v>11515</v>
      </c>
      <c r="F105" s="13">
        <f>HAVERQ!E111</f>
        <v>122358</v>
      </c>
      <c r="G105" s="13">
        <f>HAVERQ!F111</f>
        <v>110016</v>
      </c>
      <c r="H105" s="13">
        <f>HAVERQ!G111</f>
        <v>5113</v>
      </c>
      <c r="I105" s="13">
        <f>HAVERQ!H111</f>
        <v>2467</v>
      </c>
      <c r="J105" s="13">
        <f>HAVERQ!I111</f>
        <v>181249</v>
      </c>
      <c r="K105" s="13">
        <f>HAVERQ!J111</f>
        <v>199035</v>
      </c>
      <c r="L105" s="13">
        <f>HAVERQ!U111</f>
        <v>64003</v>
      </c>
      <c r="M105" s="13">
        <f>HAVERQ!V111</f>
        <v>17617</v>
      </c>
      <c r="N105" s="13">
        <f>HAVERQ!Y111</f>
        <v>9465</v>
      </c>
      <c r="O105" s="13">
        <f>HAVERQ!Z111</f>
        <v>16646</v>
      </c>
      <c r="P105" s="13">
        <f>HAVERQ!AA111</f>
        <v>20523</v>
      </c>
      <c r="Q105" s="13">
        <f>HAVERQ!AB111</f>
        <v>37904</v>
      </c>
      <c r="R105" s="13">
        <f>HAVERQ!AC111</f>
        <v>25246</v>
      </c>
      <c r="U105" s="13">
        <f>HAVERQ!M111</f>
        <v>365229</v>
      </c>
      <c r="V105" s="13">
        <f>HAVERQ!N111</f>
        <v>11515</v>
      </c>
      <c r="W105" s="13">
        <f>HAVERQ!O111</f>
        <v>124311</v>
      </c>
      <c r="X105" s="13">
        <f>HAVERQ!P111</f>
        <v>111458</v>
      </c>
      <c r="Y105" s="13">
        <f>HAVERQ!Q111</f>
        <v>10413</v>
      </c>
      <c r="Z105" s="13">
        <f>HAVERQ!R111</f>
        <v>2101</v>
      </c>
      <c r="AA105" s="13">
        <f>HAVERQ!S111</f>
        <v>177318</v>
      </c>
      <c r="AB105" s="13">
        <f>HAVERQ!T111</f>
        <v>195235</v>
      </c>
      <c r="AC105" s="13">
        <f>HAVERQ!W111</f>
        <v>60982</v>
      </c>
      <c r="AD105" s="13">
        <f>HAVERQ!X111</f>
        <v>23391</v>
      </c>
      <c r="AE105" s="13">
        <f>HAVERQ!AD111</f>
        <v>8889</v>
      </c>
      <c r="AF105" s="13">
        <f>HAVERQ!AE111</f>
        <v>17665</v>
      </c>
      <c r="AG105" s="13">
        <f>HAVERQ!AF111</f>
        <v>19821</v>
      </c>
      <c r="AH105" s="13">
        <f>HAVERQ!AG111</f>
        <v>39114</v>
      </c>
      <c r="AI105" s="13">
        <f>HAVERQ!AH111</f>
        <v>25831</v>
      </c>
    </row>
    <row r="106" spans="1:35" x14ac:dyDescent="0.35">
      <c r="A106" t="s">
        <v>271</v>
      </c>
      <c r="B106" t="str">
        <f t="shared" si="48"/>
        <v>2015</v>
      </c>
      <c r="C106" t="str">
        <f t="shared" si="49"/>
        <v>Q2</v>
      </c>
      <c r="D106" s="13">
        <f>HAVERQ!C112</f>
        <v>377177</v>
      </c>
      <c r="E106" s="13">
        <f>HAVERQ!D112</f>
        <v>12163</v>
      </c>
      <c r="F106" s="13">
        <f>HAVERQ!E112</f>
        <v>123906</v>
      </c>
      <c r="G106" s="13">
        <f>HAVERQ!F112</f>
        <v>109592</v>
      </c>
      <c r="H106" s="13">
        <f>HAVERQ!G112</f>
        <v>-5258</v>
      </c>
      <c r="I106" s="13">
        <f>HAVERQ!H112</f>
        <v>-38</v>
      </c>
      <c r="J106" s="13">
        <f>HAVERQ!I112</f>
        <v>186951</v>
      </c>
      <c r="K106" s="13">
        <f>HAVERQ!J112</f>
        <v>195935</v>
      </c>
      <c r="L106" s="13">
        <f>HAVERQ!U112</f>
        <v>63366</v>
      </c>
      <c r="M106" s="13">
        <f>HAVERQ!V112</f>
        <v>17075</v>
      </c>
      <c r="N106" s="13">
        <f>HAVERQ!Y112</f>
        <v>5311</v>
      </c>
      <c r="O106" s="13">
        <f>HAVERQ!Z112</f>
        <v>16749</v>
      </c>
      <c r="P106" s="13">
        <f>HAVERQ!AA112</f>
        <v>21504</v>
      </c>
      <c r="Q106" s="13">
        <f>HAVERQ!AB112</f>
        <v>39590</v>
      </c>
      <c r="R106" s="13">
        <f>HAVERQ!AC112</f>
        <v>26723</v>
      </c>
      <c r="U106" s="13">
        <f>HAVERQ!M112</f>
        <v>372844</v>
      </c>
      <c r="V106" s="13">
        <f>HAVERQ!N112</f>
        <v>12163</v>
      </c>
      <c r="W106" s="13">
        <f>HAVERQ!O112</f>
        <v>122970</v>
      </c>
      <c r="X106" s="13">
        <f>HAVERQ!P112</f>
        <v>105079</v>
      </c>
      <c r="Y106" s="13">
        <f>HAVERQ!Q112</f>
        <v>-7729</v>
      </c>
      <c r="Z106" s="13">
        <f>HAVERQ!R112</f>
        <v>-97</v>
      </c>
      <c r="AA106" s="13">
        <f>HAVERQ!S112</f>
        <v>189060</v>
      </c>
      <c r="AB106" s="13">
        <f>HAVERQ!T112</f>
        <v>194450</v>
      </c>
      <c r="AC106" s="13">
        <f>HAVERQ!W112</f>
        <v>62524</v>
      </c>
      <c r="AD106" s="13">
        <f>HAVERQ!X112</f>
        <v>13573</v>
      </c>
      <c r="AE106" s="13">
        <f>HAVERQ!AD112</f>
        <v>5598</v>
      </c>
      <c r="AF106" s="13">
        <f>HAVERQ!AE112</f>
        <v>15282</v>
      </c>
      <c r="AG106" s="13">
        <f>HAVERQ!AF112</f>
        <v>21351</v>
      </c>
      <c r="AH106" s="13">
        <f>HAVERQ!AG112</f>
        <v>36827</v>
      </c>
      <c r="AI106" s="13">
        <f>HAVERQ!AH112</f>
        <v>26179</v>
      </c>
    </row>
    <row r="107" spans="1:35" x14ac:dyDescent="0.35">
      <c r="A107" t="s">
        <v>272</v>
      </c>
      <c r="B107" t="str">
        <f t="shared" si="48"/>
        <v>2015</v>
      </c>
      <c r="C107" t="str">
        <f t="shared" si="49"/>
        <v>Q3</v>
      </c>
      <c r="D107" s="13">
        <f>HAVERQ!C113</f>
        <v>381986</v>
      </c>
      <c r="E107" s="13">
        <f>HAVERQ!D113</f>
        <v>12097</v>
      </c>
      <c r="F107" s="13">
        <f>HAVERQ!E113</f>
        <v>124669</v>
      </c>
      <c r="G107" s="13">
        <f>HAVERQ!F113</f>
        <v>108107</v>
      </c>
      <c r="H107" s="13">
        <f>HAVERQ!G113</f>
        <v>-4656</v>
      </c>
      <c r="I107" s="13">
        <f>HAVERQ!H113</f>
        <v>99</v>
      </c>
      <c r="J107" s="13">
        <f>HAVERQ!I113</f>
        <v>182486</v>
      </c>
      <c r="K107" s="13">
        <f>HAVERQ!J113</f>
        <v>194712</v>
      </c>
      <c r="L107" s="13">
        <f>HAVERQ!U113</f>
        <v>62704</v>
      </c>
      <c r="M107" s="13">
        <f>HAVERQ!V113</f>
        <v>15969</v>
      </c>
      <c r="N107" s="13">
        <f>HAVERQ!Y113</f>
        <v>5099</v>
      </c>
      <c r="O107" s="13">
        <f>HAVERQ!Z113</f>
        <v>16671</v>
      </c>
      <c r="P107" s="13">
        <f>HAVERQ!AA113</f>
        <v>21480</v>
      </c>
      <c r="Q107" s="13">
        <f>HAVERQ!AB113</f>
        <v>39121</v>
      </c>
      <c r="R107" s="13">
        <f>HAVERQ!AC113</f>
        <v>26040</v>
      </c>
      <c r="U107" s="13">
        <f>HAVERQ!M113</f>
        <v>387157</v>
      </c>
      <c r="V107" s="13">
        <f>HAVERQ!N113</f>
        <v>12097</v>
      </c>
      <c r="W107" s="13">
        <f>HAVERQ!O113</f>
        <v>123497</v>
      </c>
      <c r="X107" s="13">
        <f>HAVERQ!P113</f>
        <v>107531</v>
      </c>
      <c r="Y107" s="13">
        <f>HAVERQ!Q113</f>
        <v>-3805</v>
      </c>
      <c r="Z107" s="13">
        <f>HAVERQ!R113</f>
        <v>436</v>
      </c>
      <c r="AA107" s="13">
        <f>HAVERQ!S113</f>
        <v>180154</v>
      </c>
      <c r="AB107" s="13">
        <f>HAVERQ!T113</f>
        <v>199983</v>
      </c>
      <c r="AC107" s="13">
        <f>HAVERQ!W113</f>
        <v>62649</v>
      </c>
      <c r="AD107" s="13">
        <f>HAVERQ!X113</f>
        <v>14864</v>
      </c>
      <c r="AE107" s="13">
        <f>HAVERQ!AD113</f>
        <v>4904</v>
      </c>
      <c r="AF107" s="13">
        <f>HAVERQ!AE113</f>
        <v>16136</v>
      </c>
      <c r="AG107" s="13">
        <f>HAVERQ!AF113</f>
        <v>21755</v>
      </c>
      <c r="AH107" s="13">
        <f>HAVERQ!AG113</f>
        <v>39354</v>
      </c>
      <c r="AI107" s="13">
        <f>HAVERQ!AH113</f>
        <v>25788</v>
      </c>
    </row>
    <row r="108" spans="1:35" x14ac:dyDescent="0.35">
      <c r="A108" t="s">
        <v>273</v>
      </c>
      <c r="B108" t="str">
        <f t="shared" si="48"/>
        <v>2015</v>
      </c>
      <c r="C108" t="str">
        <f t="shared" si="49"/>
        <v>Q4</v>
      </c>
      <c r="D108" s="13">
        <f>HAVERQ!C114</f>
        <v>381066</v>
      </c>
      <c r="E108" s="13">
        <f>HAVERQ!D114</f>
        <v>11943</v>
      </c>
      <c r="F108" s="13">
        <f>HAVERQ!E114</f>
        <v>124256</v>
      </c>
      <c r="G108" s="13">
        <f>HAVERQ!F114</f>
        <v>111664</v>
      </c>
      <c r="H108" s="13">
        <f>HAVERQ!G114</f>
        <v>13740</v>
      </c>
      <c r="I108" s="13">
        <f>HAVERQ!H114</f>
        <v>-3359</v>
      </c>
      <c r="J108" s="13">
        <f>HAVERQ!I114</f>
        <v>187516</v>
      </c>
      <c r="K108" s="13">
        <f>HAVERQ!J114</f>
        <v>202768</v>
      </c>
      <c r="L108" s="13">
        <f>HAVERQ!U114</f>
        <v>66350</v>
      </c>
      <c r="M108" s="13">
        <f>HAVERQ!V114</f>
        <v>15867</v>
      </c>
      <c r="N108" s="13">
        <f>HAVERQ!Y114</f>
        <v>6420</v>
      </c>
      <c r="O108" s="13">
        <f>HAVERQ!Z114</f>
        <v>17982</v>
      </c>
      <c r="P108" s="13">
        <f>HAVERQ!AA114</f>
        <v>21804</v>
      </c>
      <c r="Q108" s="13">
        <f>HAVERQ!AB114</f>
        <v>39158</v>
      </c>
      <c r="R108" s="13">
        <f>HAVERQ!AC114</f>
        <v>26367</v>
      </c>
      <c r="U108" s="13">
        <f>HAVERQ!M114</f>
        <v>390993</v>
      </c>
      <c r="V108" s="13">
        <f>HAVERQ!N114</f>
        <v>11943</v>
      </c>
      <c r="W108" s="13">
        <f>HAVERQ!O114</f>
        <v>124411</v>
      </c>
      <c r="X108" s="13">
        <f>HAVERQ!P114</f>
        <v>115311</v>
      </c>
      <c r="Y108" s="13">
        <f>HAVERQ!Q114</f>
        <v>10060</v>
      </c>
      <c r="Z108" s="13">
        <f>HAVERQ!R114</f>
        <v>-3271</v>
      </c>
      <c r="AA108" s="13">
        <f>HAVERQ!S114</f>
        <v>191670</v>
      </c>
      <c r="AB108" s="13">
        <f>HAVERQ!T114</f>
        <v>202782</v>
      </c>
      <c r="AC108" s="13">
        <f>HAVERQ!W114</f>
        <v>70270</v>
      </c>
      <c r="AD108" s="13">
        <f>HAVERQ!X114</f>
        <v>14699</v>
      </c>
      <c r="AE108" s="13">
        <f>HAVERQ!AD114</f>
        <v>6905</v>
      </c>
      <c r="AF108" s="13">
        <f>HAVERQ!AE114</f>
        <v>18965</v>
      </c>
      <c r="AG108" s="13">
        <f>HAVERQ!AF114</f>
        <v>22385</v>
      </c>
      <c r="AH108" s="13">
        <f>HAVERQ!AG114</f>
        <v>40479</v>
      </c>
      <c r="AI108" s="13">
        <f>HAVERQ!AH114</f>
        <v>26578</v>
      </c>
    </row>
    <row r="109" spans="1:35" x14ac:dyDescent="0.35">
      <c r="A109" t="s">
        <v>274</v>
      </c>
      <c r="B109" t="str">
        <f t="shared" si="48"/>
        <v>2016</v>
      </c>
      <c r="C109" t="str">
        <f t="shared" si="49"/>
        <v>Q1</v>
      </c>
      <c r="D109" s="13">
        <f>HAVERQ!C115</f>
        <v>388934</v>
      </c>
      <c r="E109" s="13">
        <f>HAVERQ!D115</f>
        <v>11736</v>
      </c>
      <c r="F109" s="13">
        <f>HAVERQ!E115</f>
        <v>124722</v>
      </c>
      <c r="G109" s="13">
        <f>HAVERQ!F115</f>
        <v>113398</v>
      </c>
      <c r="H109" s="13">
        <f>HAVERQ!G115</f>
        <v>-5671</v>
      </c>
      <c r="I109" s="13">
        <f>HAVERQ!H115</f>
        <v>424</v>
      </c>
      <c r="J109" s="13">
        <f>HAVERQ!I115</f>
        <v>188170</v>
      </c>
      <c r="K109" s="13">
        <f>HAVERQ!J115</f>
        <v>203807</v>
      </c>
      <c r="L109" s="13">
        <f>HAVERQ!U115</f>
        <v>69139</v>
      </c>
      <c r="M109" s="13">
        <f>HAVERQ!V115</f>
        <v>14242</v>
      </c>
      <c r="N109" s="13">
        <f>HAVERQ!Y115</f>
        <v>8439</v>
      </c>
      <c r="O109" s="13">
        <f>HAVERQ!Z115</f>
        <v>17194</v>
      </c>
      <c r="P109" s="13">
        <f>HAVERQ!AA115</f>
        <v>22414</v>
      </c>
      <c r="Q109" s="13">
        <f>HAVERQ!AB115</f>
        <v>38348</v>
      </c>
      <c r="R109" s="13">
        <f>HAVERQ!AC115</f>
        <v>26906</v>
      </c>
      <c r="U109" s="13">
        <f>HAVERQ!M115</f>
        <v>377951</v>
      </c>
      <c r="V109" s="13">
        <f>HAVERQ!N115</f>
        <v>11736</v>
      </c>
      <c r="W109" s="13">
        <f>HAVERQ!O115</f>
        <v>126322</v>
      </c>
      <c r="X109" s="13">
        <f>HAVERQ!P115</f>
        <v>116758</v>
      </c>
      <c r="Y109" s="13">
        <f>HAVERQ!Q115</f>
        <v>-167</v>
      </c>
      <c r="Z109" s="13">
        <f>HAVERQ!R115</f>
        <v>42</v>
      </c>
      <c r="AA109" s="13">
        <f>HAVERQ!S115</f>
        <v>183901</v>
      </c>
      <c r="AB109" s="13">
        <f>HAVERQ!T115</f>
        <v>200775</v>
      </c>
      <c r="AC109" s="13">
        <f>HAVERQ!W115</f>
        <v>66051</v>
      </c>
      <c r="AD109" s="13">
        <f>HAVERQ!X115</f>
        <v>21956</v>
      </c>
      <c r="AE109" s="13">
        <f>HAVERQ!AD115</f>
        <v>7992</v>
      </c>
      <c r="AF109" s="13">
        <f>HAVERQ!AE115</f>
        <v>18007</v>
      </c>
      <c r="AG109" s="13">
        <f>HAVERQ!AF115</f>
        <v>21703</v>
      </c>
      <c r="AH109" s="13">
        <f>HAVERQ!AG115</f>
        <v>41513</v>
      </c>
      <c r="AI109" s="13">
        <f>HAVERQ!AH115</f>
        <v>27452</v>
      </c>
    </row>
    <row r="110" spans="1:35" x14ac:dyDescent="0.35">
      <c r="A110" t="s">
        <v>275</v>
      </c>
      <c r="B110" t="str">
        <f t="shared" si="48"/>
        <v>2016</v>
      </c>
      <c r="C110" t="str">
        <f t="shared" si="49"/>
        <v>Q2</v>
      </c>
      <c r="D110" s="13">
        <f>HAVERQ!C116</f>
        <v>392507</v>
      </c>
      <c r="E110" s="13">
        <f>HAVERQ!D116</f>
        <v>11731</v>
      </c>
      <c r="F110" s="13">
        <f>HAVERQ!E116</f>
        <v>124943</v>
      </c>
      <c r="G110" s="13">
        <f>HAVERQ!F116</f>
        <v>115410</v>
      </c>
      <c r="H110" s="13">
        <f>HAVERQ!G116</f>
        <v>-4315</v>
      </c>
      <c r="I110" s="13">
        <f>HAVERQ!H116</f>
        <v>-1253</v>
      </c>
      <c r="J110" s="13">
        <f>HAVERQ!I116</f>
        <v>193914</v>
      </c>
      <c r="K110" s="13">
        <f>HAVERQ!J116</f>
        <v>205396</v>
      </c>
      <c r="L110" s="13">
        <f>HAVERQ!U116</f>
        <v>68302</v>
      </c>
      <c r="M110" s="13">
        <f>HAVERQ!V116</f>
        <v>16494</v>
      </c>
      <c r="N110" s="13">
        <f>HAVERQ!Y116</f>
        <v>7792</v>
      </c>
      <c r="O110" s="13">
        <f>HAVERQ!Z116</f>
        <v>18155</v>
      </c>
      <c r="P110" s="13">
        <f>HAVERQ!AA116</f>
        <v>22421</v>
      </c>
      <c r="Q110" s="13">
        <f>HAVERQ!AB116</f>
        <v>39820</v>
      </c>
      <c r="R110" s="13">
        <f>HAVERQ!AC116</f>
        <v>27094</v>
      </c>
      <c r="U110" s="13">
        <f>HAVERQ!M116</f>
        <v>387763</v>
      </c>
      <c r="V110" s="13">
        <f>HAVERQ!N116</f>
        <v>11731</v>
      </c>
      <c r="W110" s="13">
        <f>HAVERQ!O116</f>
        <v>124366</v>
      </c>
      <c r="X110" s="13">
        <f>HAVERQ!P116</f>
        <v>111030</v>
      </c>
      <c r="Y110" s="13">
        <f>HAVERQ!Q116</f>
        <v>-4337</v>
      </c>
      <c r="Z110" s="13">
        <f>HAVERQ!R116</f>
        <v>-1273</v>
      </c>
      <c r="AA110" s="13">
        <f>HAVERQ!S116</f>
        <v>195898</v>
      </c>
      <c r="AB110" s="13">
        <f>HAVERQ!T116</f>
        <v>204608</v>
      </c>
      <c r="AC110" s="13">
        <f>HAVERQ!W116</f>
        <v>67887</v>
      </c>
      <c r="AD110" s="13">
        <f>HAVERQ!X116</f>
        <v>12748</v>
      </c>
      <c r="AE110" s="13">
        <f>HAVERQ!AD116</f>
        <v>8427</v>
      </c>
      <c r="AF110" s="13">
        <f>HAVERQ!AE116</f>
        <v>16835</v>
      </c>
      <c r="AG110" s="13">
        <f>HAVERQ!AF116</f>
        <v>22303</v>
      </c>
      <c r="AH110" s="13">
        <f>HAVERQ!AG116</f>
        <v>36599</v>
      </c>
      <c r="AI110" s="13">
        <f>HAVERQ!AH116</f>
        <v>26595</v>
      </c>
    </row>
    <row r="111" spans="1:35" x14ac:dyDescent="0.35">
      <c r="A111" t="s">
        <v>276</v>
      </c>
      <c r="B111" t="str">
        <f t="shared" si="48"/>
        <v>2016</v>
      </c>
      <c r="C111" t="str">
        <f t="shared" si="49"/>
        <v>Q3</v>
      </c>
      <c r="D111" s="13">
        <f>HAVERQ!C117</f>
        <v>395501</v>
      </c>
      <c r="E111" s="13">
        <f>HAVERQ!D117</f>
        <v>11665</v>
      </c>
      <c r="F111" s="13">
        <f>HAVERQ!E117</f>
        <v>125086</v>
      </c>
      <c r="G111" s="13">
        <f>HAVERQ!F117</f>
        <v>119949</v>
      </c>
      <c r="H111" s="13">
        <f>HAVERQ!G117</f>
        <v>-2044</v>
      </c>
      <c r="I111" s="13">
        <f>HAVERQ!H117</f>
        <v>2961</v>
      </c>
      <c r="J111" s="13">
        <f>HAVERQ!I117</f>
        <v>188489</v>
      </c>
      <c r="K111" s="13">
        <f>HAVERQ!J117</f>
        <v>212377</v>
      </c>
      <c r="L111" s="13">
        <f>HAVERQ!U117</f>
        <v>70982</v>
      </c>
      <c r="M111" s="13">
        <f>HAVERQ!V117</f>
        <v>17408</v>
      </c>
      <c r="N111" s="13">
        <f>HAVERQ!Y117</f>
        <v>8671</v>
      </c>
      <c r="O111" s="13">
        <f>HAVERQ!Z117</f>
        <v>18723</v>
      </c>
      <c r="P111" s="13">
        <f>HAVERQ!AA117</f>
        <v>23240</v>
      </c>
      <c r="Q111" s="13">
        <f>HAVERQ!AB117</f>
        <v>41069</v>
      </c>
      <c r="R111" s="13">
        <f>HAVERQ!AC117</f>
        <v>28013</v>
      </c>
      <c r="U111" s="13">
        <f>HAVERQ!M117</f>
        <v>400238</v>
      </c>
      <c r="V111" s="13">
        <f>HAVERQ!N117</f>
        <v>11665</v>
      </c>
      <c r="W111" s="13">
        <f>HAVERQ!O117</f>
        <v>123897</v>
      </c>
      <c r="X111" s="13">
        <f>HAVERQ!P117</f>
        <v>117763</v>
      </c>
      <c r="Y111" s="13">
        <f>HAVERQ!Q117</f>
        <v>-1048</v>
      </c>
      <c r="Z111" s="13">
        <f>HAVERQ!R117</f>
        <v>3311</v>
      </c>
      <c r="AA111" s="13">
        <f>HAVERQ!S117</f>
        <v>186237</v>
      </c>
      <c r="AB111" s="13">
        <f>HAVERQ!T117</f>
        <v>216203</v>
      </c>
      <c r="AC111" s="13">
        <f>HAVERQ!W117</f>
        <v>70438</v>
      </c>
      <c r="AD111" s="13">
        <f>HAVERQ!X117</f>
        <v>15209</v>
      </c>
      <c r="AE111" s="13">
        <f>HAVERQ!AD117</f>
        <v>7998</v>
      </c>
      <c r="AF111" s="13">
        <f>HAVERQ!AE117</f>
        <v>18187</v>
      </c>
      <c r="AG111" s="13">
        <f>HAVERQ!AF117</f>
        <v>23486</v>
      </c>
      <c r="AH111" s="13">
        <f>HAVERQ!AG117</f>
        <v>40317</v>
      </c>
      <c r="AI111" s="13">
        <f>HAVERQ!AH117</f>
        <v>27742</v>
      </c>
    </row>
    <row r="112" spans="1:35" x14ac:dyDescent="0.35">
      <c r="A112" t="s">
        <v>277</v>
      </c>
      <c r="B112" t="str">
        <f t="shared" si="48"/>
        <v>2016</v>
      </c>
      <c r="C112" t="str">
        <f t="shared" si="49"/>
        <v>Q4</v>
      </c>
      <c r="D112" s="13">
        <f>HAVERQ!C118</f>
        <v>395973</v>
      </c>
      <c r="E112" s="13">
        <f>HAVERQ!D118</f>
        <v>11720</v>
      </c>
      <c r="F112" s="13">
        <f>HAVERQ!E118</f>
        <v>124773</v>
      </c>
      <c r="G112" s="13">
        <f>HAVERQ!F118</f>
        <v>117588</v>
      </c>
      <c r="H112" s="13">
        <f>HAVERQ!G118</f>
        <v>-3777</v>
      </c>
      <c r="I112" s="13">
        <f>HAVERQ!H118</f>
        <v>-2544</v>
      </c>
      <c r="J112" s="13">
        <f>HAVERQ!I118</f>
        <v>195307</v>
      </c>
      <c r="K112" s="13">
        <f>HAVERQ!J118</f>
        <v>206377</v>
      </c>
      <c r="L112" s="13">
        <f>HAVERQ!U118</f>
        <v>67816</v>
      </c>
      <c r="M112" s="13">
        <f>HAVERQ!V118</f>
        <v>16868</v>
      </c>
      <c r="N112" s="13">
        <f>HAVERQ!Y118</f>
        <v>5876</v>
      </c>
      <c r="O112" s="13">
        <f>HAVERQ!Z118</f>
        <v>18151</v>
      </c>
      <c r="P112" s="13">
        <f>HAVERQ!AA118</f>
        <v>24207</v>
      </c>
      <c r="Q112" s="13">
        <f>HAVERQ!AB118</f>
        <v>40721</v>
      </c>
      <c r="R112" s="13">
        <f>HAVERQ!AC118</f>
        <v>28751</v>
      </c>
      <c r="U112" s="13">
        <f>HAVERQ!M118</f>
        <v>406963</v>
      </c>
      <c r="V112" s="13">
        <f>HAVERQ!N118</f>
        <v>11720</v>
      </c>
      <c r="W112" s="13">
        <f>HAVERQ!O118</f>
        <v>124939</v>
      </c>
      <c r="X112" s="13">
        <f>HAVERQ!P118</f>
        <v>120794</v>
      </c>
      <c r="Y112" s="13">
        <f>HAVERQ!Q118</f>
        <v>-10255</v>
      </c>
      <c r="Z112" s="13">
        <f>HAVERQ!R118</f>
        <v>-2492</v>
      </c>
      <c r="AA112" s="13">
        <f>HAVERQ!S118</f>
        <v>199844</v>
      </c>
      <c r="AB112" s="13">
        <f>HAVERQ!T118</f>
        <v>206371</v>
      </c>
      <c r="AC112" s="13">
        <f>HAVERQ!W118</f>
        <v>71864</v>
      </c>
      <c r="AD112" s="13">
        <f>HAVERQ!X118</f>
        <v>15100</v>
      </c>
      <c r="AE112" s="13">
        <f>HAVERQ!AD118</f>
        <v>6360</v>
      </c>
      <c r="AF112" s="13">
        <f>HAVERQ!AE118</f>
        <v>19194</v>
      </c>
      <c r="AG112" s="13">
        <f>HAVERQ!AF118</f>
        <v>24791</v>
      </c>
      <c r="AH112" s="13">
        <f>HAVERQ!AG118</f>
        <v>41529</v>
      </c>
      <c r="AI112" s="13">
        <f>HAVERQ!AH118</f>
        <v>28975</v>
      </c>
    </row>
    <row r="113" spans="1:35" x14ac:dyDescent="0.35">
      <c r="A113" t="s">
        <v>278</v>
      </c>
      <c r="B113" t="str">
        <f t="shared" si="48"/>
        <v>2017</v>
      </c>
      <c r="C113" t="str">
        <f t="shared" si="49"/>
        <v>Q1</v>
      </c>
      <c r="D113" s="13">
        <f>HAVERQ!C119</f>
        <v>399124</v>
      </c>
      <c r="E113" s="13">
        <f>HAVERQ!D119</f>
        <v>11978</v>
      </c>
      <c r="F113" s="13">
        <f>HAVERQ!E119</f>
        <v>125247</v>
      </c>
      <c r="G113" s="13">
        <f>HAVERQ!F119</f>
        <v>118379</v>
      </c>
      <c r="H113" s="13">
        <f>HAVERQ!G119</f>
        <v>-2220</v>
      </c>
      <c r="I113" s="13">
        <f>HAVERQ!H119</f>
        <v>-961</v>
      </c>
      <c r="J113" s="13">
        <f>HAVERQ!I119</f>
        <v>198862</v>
      </c>
      <c r="K113" s="13">
        <f>HAVERQ!J119</f>
        <v>208768</v>
      </c>
      <c r="L113" s="13">
        <f>HAVERQ!U119</f>
        <v>69404</v>
      </c>
      <c r="M113" s="13">
        <f>HAVERQ!V119</f>
        <v>15812</v>
      </c>
      <c r="N113" s="13">
        <f>HAVERQ!Y119</f>
        <v>6881</v>
      </c>
      <c r="O113" s="13">
        <f>HAVERQ!Z119</f>
        <v>18074</v>
      </c>
      <c r="P113" s="13">
        <f>HAVERQ!AA119</f>
        <v>24590</v>
      </c>
      <c r="Q113" s="13">
        <f>HAVERQ!AB119</f>
        <v>40584</v>
      </c>
      <c r="R113" s="13">
        <f>HAVERQ!AC119</f>
        <v>28305</v>
      </c>
      <c r="U113" s="13">
        <f>HAVERQ!M119</f>
        <v>386966</v>
      </c>
      <c r="V113" s="13">
        <f>HAVERQ!N119</f>
        <v>11978</v>
      </c>
      <c r="W113" s="13">
        <f>HAVERQ!O119</f>
        <v>127294</v>
      </c>
      <c r="X113" s="13">
        <f>HAVERQ!P119</f>
        <v>119801</v>
      </c>
      <c r="Y113" s="13">
        <f>HAVERQ!Q119</f>
        <v>863</v>
      </c>
      <c r="Z113" s="13">
        <f>HAVERQ!R119</f>
        <v>-1366</v>
      </c>
      <c r="AA113" s="13">
        <f>HAVERQ!S119</f>
        <v>195713</v>
      </c>
      <c r="AB113" s="13">
        <f>HAVERQ!T119</f>
        <v>207125</v>
      </c>
      <c r="AC113" s="13">
        <f>HAVERQ!W119</f>
        <v>66260</v>
      </c>
      <c r="AD113" s="13">
        <f>HAVERQ!X119</f>
        <v>21674</v>
      </c>
      <c r="AE113" s="13">
        <f>HAVERQ!AD119</f>
        <v>6381</v>
      </c>
      <c r="AF113" s="13">
        <f>HAVERQ!AE119</f>
        <v>18827</v>
      </c>
      <c r="AG113" s="13">
        <f>HAVERQ!AF119</f>
        <v>23906</v>
      </c>
      <c r="AH113" s="13">
        <f>HAVERQ!AG119</f>
        <v>41987</v>
      </c>
      <c r="AI113" s="13">
        <f>HAVERQ!AH119</f>
        <v>28791</v>
      </c>
    </row>
    <row r="114" spans="1:35" x14ac:dyDescent="0.35">
      <c r="A114" t="s">
        <v>279</v>
      </c>
      <c r="B114" t="str">
        <f t="shared" si="48"/>
        <v>2017</v>
      </c>
      <c r="C114" t="str">
        <f t="shared" si="49"/>
        <v>Q2</v>
      </c>
      <c r="D114" s="13">
        <f>HAVERQ!C120</f>
        <v>399139</v>
      </c>
      <c r="E114" s="13">
        <f>HAVERQ!D120</f>
        <v>12256</v>
      </c>
      <c r="F114" s="13">
        <f>HAVERQ!E120</f>
        <v>126105</v>
      </c>
      <c r="G114" s="13">
        <f>HAVERQ!F120</f>
        <v>120665</v>
      </c>
      <c r="H114" s="13">
        <f>HAVERQ!G120</f>
        <v>2641</v>
      </c>
      <c r="I114" s="13">
        <f>HAVERQ!H120</f>
        <v>-207</v>
      </c>
      <c r="J114" s="13">
        <f>HAVERQ!I120</f>
        <v>203044</v>
      </c>
      <c r="K114" s="13">
        <f>HAVERQ!J120</f>
        <v>215283</v>
      </c>
      <c r="L114" s="13">
        <f>HAVERQ!U120</f>
        <v>68843</v>
      </c>
      <c r="M114" s="13">
        <f>HAVERQ!V120</f>
        <v>18884</v>
      </c>
      <c r="N114" s="13">
        <f>HAVERQ!Y120</f>
        <v>8040</v>
      </c>
      <c r="O114" s="13">
        <f>HAVERQ!Z120</f>
        <v>18769</v>
      </c>
      <c r="P114" s="13">
        <f>HAVERQ!AA120</f>
        <v>24856</v>
      </c>
      <c r="Q114" s="13">
        <f>HAVERQ!AB120</f>
        <v>40367</v>
      </c>
      <c r="R114" s="13">
        <f>HAVERQ!AC120</f>
        <v>28584</v>
      </c>
      <c r="U114" s="13">
        <f>HAVERQ!M120</f>
        <v>396056</v>
      </c>
      <c r="V114" s="13">
        <f>HAVERQ!N120</f>
        <v>12256</v>
      </c>
      <c r="W114" s="13">
        <f>HAVERQ!O120</f>
        <v>125042</v>
      </c>
      <c r="X114" s="13">
        <f>HAVERQ!P120</f>
        <v>116006</v>
      </c>
      <c r="Y114" s="13">
        <f>HAVERQ!Q120</f>
        <v>1979</v>
      </c>
      <c r="Z114" s="13">
        <f>HAVERQ!R120</f>
        <v>-190</v>
      </c>
      <c r="AA114" s="13">
        <f>HAVERQ!S120</f>
        <v>204325</v>
      </c>
      <c r="AB114" s="13">
        <f>HAVERQ!T120</f>
        <v>213629</v>
      </c>
      <c r="AC114" s="13">
        <f>HAVERQ!W120</f>
        <v>68166</v>
      </c>
      <c r="AD114" s="13">
        <f>HAVERQ!X120</f>
        <v>15168</v>
      </c>
      <c r="AE114" s="13">
        <f>HAVERQ!AD120</f>
        <v>8581</v>
      </c>
      <c r="AF114" s="13">
        <f>HAVERQ!AE120</f>
        <v>17474</v>
      </c>
      <c r="AG114" s="13">
        <f>HAVERQ!AF120</f>
        <v>24722</v>
      </c>
      <c r="AH114" s="13">
        <f>HAVERQ!AG120</f>
        <v>36885</v>
      </c>
      <c r="AI114" s="13">
        <f>HAVERQ!AH120</f>
        <v>28166</v>
      </c>
    </row>
    <row r="115" spans="1:35" x14ac:dyDescent="0.35">
      <c r="A115" t="s">
        <v>280</v>
      </c>
      <c r="B115" t="str">
        <f t="shared" si="48"/>
        <v>2017</v>
      </c>
      <c r="C115" t="str">
        <f t="shared" si="49"/>
        <v>Q3</v>
      </c>
      <c r="D115" s="13">
        <f>HAVERQ!C121</f>
        <v>401714</v>
      </c>
      <c r="E115" s="13">
        <f>HAVERQ!D121</f>
        <v>12457</v>
      </c>
      <c r="F115" s="13">
        <f>HAVERQ!E121</f>
        <v>126510</v>
      </c>
      <c r="G115" s="13">
        <f>HAVERQ!F121</f>
        <v>121482</v>
      </c>
      <c r="H115" s="13">
        <f>HAVERQ!G121</f>
        <v>-888</v>
      </c>
      <c r="I115" s="13">
        <f>HAVERQ!H121</f>
        <v>-195</v>
      </c>
      <c r="J115" s="13">
        <f>HAVERQ!I121</f>
        <v>208846</v>
      </c>
      <c r="K115" s="13">
        <f>HAVERQ!J121</f>
        <v>216526</v>
      </c>
      <c r="L115" s="13">
        <f>HAVERQ!U121</f>
        <v>69659</v>
      </c>
      <c r="M115" s="13">
        <f>HAVERQ!V121</f>
        <v>18067</v>
      </c>
      <c r="N115" s="13">
        <f>HAVERQ!Y121</f>
        <v>7419</v>
      </c>
      <c r="O115" s="13">
        <f>HAVERQ!Z121</f>
        <v>18712</v>
      </c>
      <c r="P115" s="13">
        <f>HAVERQ!AA121</f>
        <v>25516</v>
      </c>
      <c r="Q115" s="13">
        <f>HAVERQ!AB121</f>
        <v>40611</v>
      </c>
      <c r="R115" s="13">
        <f>HAVERQ!AC121</f>
        <v>29236</v>
      </c>
      <c r="U115" s="13">
        <f>HAVERQ!M121</f>
        <v>406269</v>
      </c>
      <c r="V115" s="13">
        <f>HAVERQ!N121</f>
        <v>12457</v>
      </c>
      <c r="W115" s="13">
        <f>HAVERQ!O121</f>
        <v>125312</v>
      </c>
      <c r="X115" s="13">
        <f>HAVERQ!P121</f>
        <v>120576</v>
      </c>
      <c r="Y115" s="13">
        <f>HAVERQ!Q121</f>
        <v>-1071</v>
      </c>
      <c r="Z115" s="13">
        <f>HAVERQ!R121</f>
        <v>169</v>
      </c>
      <c r="AA115" s="13">
        <f>HAVERQ!S121</f>
        <v>205517</v>
      </c>
      <c r="AB115" s="13">
        <f>HAVERQ!T121</f>
        <v>220262</v>
      </c>
      <c r="AC115" s="13">
        <f>HAVERQ!W121</f>
        <v>69165</v>
      </c>
      <c r="AD115" s="13">
        <f>HAVERQ!X121</f>
        <v>17090</v>
      </c>
      <c r="AE115" s="13">
        <f>HAVERQ!AD121</f>
        <v>6674</v>
      </c>
      <c r="AF115" s="13">
        <f>HAVERQ!AE121</f>
        <v>18122</v>
      </c>
      <c r="AG115" s="13">
        <f>HAVERQ!AF121</f>
        <v>25737</v>
      </c>
      <c r="AH115" s="13">
        <f>HAVERQ!AG121</f>
        <v>41319</v>
      </c>
      <c r="AI115" s="13">
        <f>HAVERQ!AH121</f>
        <v>28932</v>
      </c>
    </row>
    <row r="116" spans="1:35" x14ac:dyDescent="0.35">
      <c r="A116" t="s">
        <v>281</v>
      </c>
      <c r="B116" t="str">
        <f t="shared" si="48"/>
        <v>2017</v>
      </c>
      <c r="C116" t="str">
        <f t="shared" si="49"/>
        <v>Q4</v>
      </c>
      <c r="D116" s="13">
        <f>HAVERQ!C122</f>
        <v>403747</v>
      </c>
      <c r="E116" s="13">
        <f>HAVERQ!D122</f>
        <v>12855</v>
      </c>
      <c r="F116" s="13">
        <f>HAVERQ!E122</f>
        <v>126734</v>
      </c>
      <c r="G116" s="13">
        <f>HAVERQ!F122</f>
        <v>123835</v>
      </c>
      <c r="H116" s="13">
        <f>HAVERQ!G122</f>
        <v>-5762</v>
      </c>
      <c r="I116" s="13">
        <f>HAVERQ!H122</f>
        <v>597</v>
      </c>
      <c r="J116" s="13">
        <f>HAVERQ!I122</f>
        <v>204420</v>
      </c>
      <c r="K116" s="13">
        <f>HAVERQ!J122</f>
        <v>212728</v>
      </c>
      <c r="L116" s="13">
        <f>HAVERQ!U122</f>
        <v>70956</v>
      </c>
      <c r="M116" s="13">
        <f>HAVERQ!V122</f>
        <v>18312</v>
      </c>
      <c r="N116" s="13">
        <f>HAVERQ!Y122</f>
        <v>7967</v>
      </c>
      <c r="O116" s="13">
        <f>HAVERQ!Z122</f>
        <v>18939</v>
      </c>
      <c r="P116" s="13">
        <f>HAVERQ!AA122</f>
        <v>26342</v>
      </c>
      <c r="Q116" s="13">
        <f>HAVERQ!AB122</f>
        <v>40691</v>
      </c>
      <c r="R116" s="13">
        <f>HAVERQ!AC122</f>
        <v>29845</v>
      </c>
      <c r="U116" s="13">
        <f>HAVERQ!M122</f>
        <v>414433</v>
      </c>
      <c r="V116" s="13">
        <f>HAVERQ!N122</f>
        <v>12855</v>
      </c>
      <c r="W116" s="13">
        <f>HAVERQ!O122</f>
        <v>126948</v>
      </c>
      <c r="X116" s="13">
        <f>HAVERQ!P122</f>
        <v>127978</v>
      </c>
      <c r="Y116" s="13">
        <f>HAVERQ!Q122</f>
        <v>-8000</v>
      </c>
      <c r="Z116" s="13">
        <f>HAVERQ!R122</f>
        <v>621</v>
      </c>
      <c r="AA116" s="13">
        <f>HAVERQ!S122</f>
        <v>209617</v>
      </c>
      <c r="AB116" s="13">
        <f>HAVERQ!T122</f>
        <v>212289</v>
      </c>
      <c r="AC116" s="13">
        <f>HAVERQ!W122</f>
        <v>75270</v>
      </c>
      <c r="AD116" s="13">
        <f>HAVERQ!X122</f>
        <v>17144</v>
      </c>
      <c r="AE116" s="13">
        <f>HAVERQ!AD122</f>
        <v>8670</v>
      </c>
      <c r="AF116" s="13">
        <f>HAVERQ!AE122</f>
        <v>20071</v>
      </c>
      <c r="AG116" s="13">
        <f>HAVERQ!AF122</f>
        <v>26939</v>
      </c>
      <c r="AH116" s="13">
        <f>HAVERQ!AG122</f>
        <v>42062</v>
      </c>
      <c r="AI116" s="13">
        <f>HAVERQ!AH122</f>
        <v>30081</v>
      </c>
    </row>
    <row r="117" spans="1:35" x14ac:dyDescent="0.35">
      <c r="A117" t="s">
        <v>282</v>
      </c>
      <c r="B117" t="str">
        <f t="shared" si="48"/>
        <v>2018</v>
      </c>
      <c r="C117" t="str">
        <f t="shared" si="49"/>
        <v>Q1</v>
      </c>
      <c r="D117" s="13">
        <f>HAVERQ!C123</f>
        <v>406073</v>
      </c>
      <c r="E117" s="13">
        <f>HAVERQ!D123</f>
        <v>13232</v>
      </c>
      <c r="F117" s="13">
        <f>HAVERQ!E123</f>
        <v>126485</v>
      </c>
      <c r="G117" s="13">
        <f>HAVERQ!F123</f>
        <v>122841</v>
      </c>
      <c r="H117" s="13">
        <f>HAVERQ!G123</f>
        <v>-2734</v>
      </c>
      <c r="I117" s="13">
        <f>HAVERQ!H123</f>
        <v>67</v>
      </c>
      <c r="J117" s="13">
        <f>HAVERQ!I123</f>
        <v>209357</v>
      </c>
      <c r="K117" s="13">
        <f>HAVERQ!J123</f>
        <v>215664</v>
      </c>
      <c r="L117" s="13">
        <f>HAVERQ!U123</f>
        <v>71088</v>
      </c>
      <c r="M117" s="13">
        <f>HAVERQ!V123</f>
        <v>18074</v>
      </c>
      <c r="N117" s="13">
        <f>HAVERQ!Y123</f>
        <v>5736</v>
      </c>
      <c r="O117" s="13">
        <f>HAVERQ!Z123</f>
        <v>19158</v>
      </c>
      <c r="P117" s="13">
        <f>HAVERQ!AA123</f>
        <v>25774</v>
      </c>
      <c r="Q117" s="13">
        <f>HAVERQ!AB123</f>
        <v>42139</v>
      </c>
      <c r="R117" s="13">
        <f>HAVERQ!AC123</f>
        <v>30025</v>
      </c>
      <c r="U117" s="13">
        <f>HAVERQ!M123</f>
        <v>393339</v>
      </c>
      <c r="V117" s="13">
        <f>HAVERQ!N123</f>
        <v>13232</v>
      </c>
      <c r="W117" s="13">
        <f>HAVERQ!O123</f>
        <v>128180</v>
      </c>
      <c r="X117" s="13">
        <f>HAVERQ!P123</f>
        <v>121919</v>
      </c>
      <c r="Y117" s="13">
        <f>HAVERQ!Q123</f>
        <v>-1126</v>
      </c>
      <c r="Z117" s="13">
        <f>HAVERQ!R123</f>
        <v>-273</v>
      </c>
      <c r="AA117" s="13">
        <f>HAVERQ!S123</f>
        <v>205472</v>
      </c>
      <c r="AB117" s="13">
        <f>HAVERQ!T123</f>
        <v>212745</v>
      </c>
      <c r="AC117" s="13">
        <f>HAVERQ!W123</f>
        <v>66293</v>
      </c>
      <c r="AD117" s="13">
        <f>HAVERQ!X123</f>
        <v>23250</v>
      </c>
      <c r="AE117" s="13">
        <f>HAVERQ!AD123</f>
        <v>5170</v>
      </c>
      <c r="AF117" s="13">
        <f>HAVERQ!AE123</f>
        <v>19698</v>
      </c>
      <c r="AG117" s="13">
        <f>HAVERQ!AF123</f>
        <v>25098</v>
      </c>
      <c r="AH117" s="13">
        <f>HAVERQ!AG123</f>
        <v>41246</v>
      </c>
      <c r="AI117" s="13">
        <f>HAVERQ!AH123</f>
        <v>30697</v>
      </c>
    </row>
    <row r="118" spans="1:35" x14ac:dyDescent="0.35">
      <c r="A118" t="s">
        <v>283</v>
      </c>
      <c r="B118" t="str">
        <f t="shared" si="48"/>
        <v>2018</v>
      </c>
      <c r="C118" t="str">
        <f t="shared" si="49"/>
        <v>Q2</v>
      </c>
      <c r="D118" s="13">
        <f>HAVERQ!C124</f>
        <v>404497</v>
      </c>
      <c r="E118" s="13">
        <f>HAVERQ!D124</f>
        <v>13877</v>
      </c>
      <c r="F118" s="13">
        <f>HAVERQ!E124</f>
        <v>126524</v>
      </c>
      <c r="G118" s="13">
        <f>HAVERQ!F124</f>
        <v>120520</v>
      </c>
      <c r="H118" s="13">
        <f>HAVERQ!G124</f>
        <v>2210</v>
      </c>
      <c r="I118" s="13">
        <f>HAVERQ!H124</f>
        <v>800</v>
      </c>
      <c r="J118" s="13">
        <f>HAVERQ!I124</f>
        <v>212796</v>
      </c>
      <c r="K118" s="13">
        <f>HAVERQ!J124</f>
        <v>219508</v>
      </c>
      <c r="L118" s="13">
        <f>HAVERQ!U124</f>
        <v>69104</v>
      </c>
      <c r="M118" s="13">
        <f>HAVERQ!V124</f>
        <v>16801</v>
      </c>
      <c r="N118" s="13">
        <f>HAVERQ!Y124</f>
        <v>3661</v>
      </c>
      <c r="O118" s="13">
        <f>HAVERQ!Z124</f>
        <v>18797</v>
      </c>
      <c r="P118" s="13">
        <f>HAVERQ!AA124</f>
        <v>26262</v>
      </c>
      <c r="Q118" s="13">
        <f>HAVERQ!AB124</f>
        <v>41967</v>
      </c>
      <c r="R118" s="13">
        <f>HAVERQ!AC124</f>
        <v>29988</v>
      </c>
      <c r="U118" s="13">
        <f>HAVERQ!M124</f>
        <v>401578</v>
      </c>
      <c r="V118" s="13">
        <f>HAVERQ!N124</f>
        <v>13877</v>
      </c>
      <c r="W118" s="13">
        <f>HAVERQ!O124</f>
        <v>125789</v>
      </c>
      <c r="X118" s="13">
        <f>HAVERQ!P124</f>
        <v>115009</v>
      </c>
      <c r="Y118" s="13">
        <f>HAVERQ!Q124</f>
        <v>1597</v>
      </c>
      <c r="Z118" s="13">
        <f>HAVERQ!R124</f>
        <v>850</v>
      </c>
      <c r="AA118" s="13">
        <f>HAVERQ!S124</f>
        <v>213356</v>
      </c>
      <c r="AB118" s="13">
        <f>HAVERQ!T124</f>
        <v>218318</v>
      </c>
      <c r="AC118" s="13">
        <f>HAVERQ!W124</f>
        <v>66786</v>
      </c>
      <c r="AD118" s="13">
        <f>HAVERQ!X124</f>
        <v>13903</v>
      </c>
      <c r="AE118" s="13">
        <f>HAVERQ!AD124</f>
        <v>4045</v>
      </c>
      <c r="AF118" s="13">
        <f>HAVERQ!AE124</f>
        <v>17738</v>
      </c>
      <c r="AG118" s="13">
        <f>HAVERQ!AF124</f>
        <v>26121</v>
      </c>
      <c r="AH118" s="13">
        <f>HAVERQ!AG124</f>
        <v>37654</v>
      </c>
      <c r="AI118" s="13">
        <f>HAVERQ!AH124</f>
        <v>29541</v>
      </c>
    </row>
    <row r="119" spans="1:35" x14ac:dyDescent="0.35">
      <c r="A119" t="s">
        <v>284</v>
      </c>
      <c r="B119" t="str">
        <f t="shared" si="48"/>
        <v>2018</v>
      </c>
      <c r="C119" t="str">
        <f t="shared" si="49"/>
        <v>Q3</v>
      </c>
      <c r="D119" s="13">
        <f>HAVERQ!C125</f>
        <v>408017</v>
      </c>
      <c r="E119" s="13">
        <f>HAVERQ!D125</f>
        <v>14326</v>
      </c>
      <c r="F119" s="13">
        <f>HAVERQ!E125</f>
        <v>126668</v>
      </c>
      <c r="G119" s="13">
        <f>HAVERQ!F125</f>
        <v>119714</v>
      </c>
      <c r="H119" s="13">
        <f>HAVERQ!G125</f>
        <v>-3316</v>
      </c>
      <c r="I119" s="13">
        <f>HAVERQ!H125</f>
        <v>967</v>
      </c>
      <c r="J119" s="13">
        <f>HAVERQ!I125</f>
        <v>213488</v>
      </c>
      <c r="K119" s="13">
        <f>HAVERQ!J125</f>
        <v>219701</v>
      </c>
      <c r="L119" s="13">
        <f>HAVERQ!U125</f>
        <v>67423</v>
      </c>
      <c r="M119" s="13">
        <f>HAVERQ!V125</f>
        <v>17993</v>
      </c>
      <c r="N119" s="13">
        <f>HAVERQ!Y125</f>
        <v>6205</v>
      </c>
      <c r="O119" s="13">
        <f>HAVERQ!Z125</f>
        <v>18333</v>
      </c>
      <c r="P119" s="13">
        <f>HAVERQ!AA125</f>
        <v>26510</v>
      </c>
      <c r="Q119" s="13">
        <f>HAVERQ!AB125</f>
        <v>39208</v>
      </c>
      <c r="R119" s="13">
        <f>HAVERQ!AC125</f>
        <v>29702</v>
      </c>
      <c r="U119" s="13">
        <f>HAVERQ!M125</f>
        <v>412939</v>
      </c>
      <c r="V119" s="13">
        <f>HAVERQ!N125</f>
        <v>14326</v>
      </c>
      <c r="W119" s="13">
        <f>HAVERQ!O125</f>
        <v>125457</v>
      </c>
      <c r="X119" s="13">
        <f>HAVERQ!P125</f>
        <v>120978</v>
      </c>
      <c r="Y119" s="13">
        <f>HAVERQ!Q125</f>
        <v>-178</v>
      </c>
      <c r="Z119" s="13">
        <f>HAVERQ!R125</f>
        <v>1294</v>
      </c>
      <c r="AA119" s="13">
        <f>HAVERQ!S125</f>
        <v>209650</v>
      </c>
      <c r="AB119" s="13">
        <f>HAVERQ!T125</f>
        <v>222672</v>
      </c>
      <c r="AC119" s="13">
        <f>HAVERQ!W125</f>
        <v>69273</v>
      </c>
      <c r="AD119" s="13">
        <f>HAVERQ!X125</f>
        <v>16830</v>
      </c>
      <c r="AE119" s="13">
        <f>HAVERQ!AD125</f>
        <v>5624</v>
      </c>
      <c r="AF119" s="13">
        <f>HAVERQ!AE125</f>
        <v>17756</v>
      </c>
      <c r="AG119" s="13">
        <f>HAVERQ!AF125</f>
        <v>26715</v>
      </c>
      <c r="AH119" s="13">
        <f>HAVERQ!AG125</f>
        <v>41951</v>
      </c>
      <c r="AI119" s="13">
        <f>HAVERQ!AH125</f>
        <v>29345</v>
      </c>
    </row>
    <row r="120" spans="1:35" x14ac:dyDescent="0.35">
      <c r="A120" t="s">
        <v>285</v>
      </c>
      <c r="B120" t="str">
        <f t="shared" si="48"/>
        <v>2018</v>
      </c>
      <c r="C120" t="str">
        <f t="shared" si="49"/>
        <v>Q4</v>
      </c>
      <c r="D120" s="13">
        <f>HAVERQ!C126</f>
        <v>412655</v>
      </c>
      <c r="E120" s="13">
        <f>HAVERQ!D126</f>
        <v>14737</v>
      </c>
      <c r="F120" s="13">
        <f>HAVERQ!E126</f>
        <v>128164</v>
      </c>
      <c r="G120" s="13">
        <f>HAVERQ!F126</f>
        <v>120288</v>
      </c>
      <c r="H120" s="13">
        <f>HAVERQ!G126</f>
        <v>2340</v>
      </c>
      <c r="I120" s="13">
        <f>HAVERQ!H126</f>
        <v>-135</v>
      </c>
      <c r="J120" s="13">
        <f>HAVERQ!I126</f>
        <v>210769</v>
      </c>
      <c r="K120" s="13">
        <f>HAVERQ!J126</f>
        <v>227551</v>
      </c>
      <c r="L120" s="13">
        <f>HAVERQ!U126</f>
        <v>68573</v>
      </c>
      <c r="M120" s="13">
        <f>HAVERQ!V126</f>
        <v>17674</v>
      </c>
      <c r="N120" s="13">
        <f>HAVERQ!Y126</f>
        <v>6403</v>
      </c>
      <c r="O120" s="13">
        <f>HAVERQ!Z126</f>
        <v>18050</v>
      </c>
      <c r="P120" s="13">
        <f>HAVERQ!AA126</f>
        <v>26647</v>
      </c>
      <c r="Q120" s="13">
        <f>HAVERQ!AB126</f>
        <v>39603</v>
      </c>
      <c r="R120" s="13">
        <f>HAVERQ!AC126</f>
        <v>29845</v>
      </c>
      <c r="U120" s="13">
        <f>HAVERQ!M126</f>
        <v>423386</v>
      </c>
      <c r="V120" s="13">
        <f>HAVERQ!N126</f>
        <v>14737</v>
      </c>
      <c r="W120" s="13">
        <f>HAVERQ!O126</f>
        <v>128415</v>
      </c>
      <c r="X120" s="13">
        <f>HAVERQ!P126</f>
        <v>125457</v>
      </c>
      <c r="Y120" s="13">
        <f>HAVERQ!Q126</f>
        <v>-1793</v>
      </c>
      <c r="Z120" s="13">
        <f>HAVERQ!R126</f>
        <v>-172</v>
      </c>
      <c r="AA120" s="13">
        <f>HAVERQ!S126</f>
        <v>217932</v>
      </c>
      <c r="AB120" s="13">
        <f>HAVERQ!T126</f>
        <v>228689</v>
      </c>
      <c r="AC120" s="13">
        <f>HAVERQ!W126</f>
        <v>73835</v>
      </c>
      <c r="AD120" s="13">
        <f>HAVERQ!X126</f>
        <v>16560</v>
      </c>
      <c r="AE120" s="13">
        <f>HAVERQ!AD126</f>
        <v>7164</v>
      </c>
      <c r="AF120" s="13">
        <f>HAVERQ!AE126</f>
        <v>19145</v>
      </c>
      <c r="AG120" s="13">
        <f>HAVERQ!AF126</f>
        <v>27259</v>
      </c>
      <c r="AH120" s="13">
        <f>HAVERQ!AG126</f>
        <v>42066</v>
      </c>
      <c r="AI120" s="13">
        <f>HAVERQ!AH126</f>
        <v>29977</v>
      </c>
    </row>
    <row r="121" spans="1:35" x14ac:dyDescent="0.35">
      <c r="A121" t="s">
        <v>286</v>
      </c>
      <c r="B121" t="str">
        <f t="shared" si="48"/>
        <v>2019</v>
      </c>
      <c r="C121" t="str">
        <f t="shared" si="49"/>
        <v>Q1</v>
      </c>
      <c r="D121" s="13">
        <f>HAVERQ!C127</f>
        <v>412090</v>
      </c>
      <c r="E121" s="13">
        <f>HAVERQ!D127</f>
        <v>14633</v>
      </c>
      <c r="F121" s="13">
        <f>HAVERQ!E127</f>
        <v>128838</v>
      </c>
      <c r="G121" s="13">
        <f>HAVERQ!F127</f>
        <v>124425</v>
      </c>
      <c r="H121" s="13">
        <f>HAVERQ!G127</f>
        <v>8771</v>
      </c>
      <c r="I121" s="13">
        <f>HAVERQ!H127</f>
        <v>12236</v>
      </c>
      <c r="J121" s="13">
        <f>HAVERQ!I127</f>
        <v>210903</v>
      </c>
      <c r="K121" s="13">
        <f>HAVERQ!J127</f>
        <v>245977</v>
      </c>
      <c r="L121" s="13">
        <f>HAVERQ!U127</f>
        <v>69829</v>
      </c>
      <c r="M121" s="13">
        <f>HAVERQ!V127</f>
        <v>19067</v>
      </c>
      <c r="N121" s="13">
        <f>HAVERQ!Y127</f>
        <v>5745</v>
      </c>
      <c r="O121" s="13">
        <f>HAVERQ!Z127</f>
        <v>18869</v>
      </c>
      <c r="P121" s="13">
        <f>HAVERQ!AA127</f>
        <v>27197</v>
      </c>
      <c r="Q121" s="13">
        <f>HAVERQ!AB127</f>
        <v>42374</v>
      </c>
      <c r="R121" s="13">
        <f>HAVERQ!AC127</f>
        <v>30484</v>
      </c>
      <c r="U121" s="13">
        <f>HAVERQ!M127</f>
        <v>398047</v>
      </c>
      <c r="V121" s="13">
        <f>HAVERQ!N127</f>
        <v>14633</v>
      </c>
      <c r="W121" s="13">
        <f>HAVERQ!O127</f>
        <v>131107</v>
      </c>
      <c r="X121" s="13">
        <f>HAVERQ!P127</f>
        <v>126181</v>
      </c>
      <c r="Y121" s="13">
        <f>HAVERQ!Q127</f>
        <v>2105</v>
      </c>
      <c r="Z121" s="13">
        <f>HAVERQ!R127</f>
        <v>12001</v>
      </c>
      <c r="AA121" s="13">
        <f>HAVERQ!S127</f>
        <v>206050</v>
      </c>
      <c r="AB121" s="13">
        <f>HAVERQ!T127</f>
        <v>242048</v>
      </c>
      <c r="AC121" s="13">
        <f>HAVERQ!W127</f>
        <v>67355</v>
      </c>
      <c r="AD121" s="13">
        <f>HAVERQ!X127</f>
        <v>24669</v>
      </c>
      <c r="AE121" s="13">
        <f>HAVERQ!AD127</f>
        <v>5309</v>
      </c>
      <c r="AF121" s="13">
        <f>HAVERQ!AE127</f>
        <v>19866</v>
      </c>
      <c r="AG121" s="13">
        <f>HAVERQ!AF127</f>
        <v>26535</v>
      </c>
      <c r="AH121" s="13">
        <f>HAVERQ!AG127</f>
        <v>43332</v>
      </c>
      <c r="AI121" s="13">
        <f>HAVERQ!AH127</f>
        <v>31354</v>
      </c>
    </row>
    <row r="122" spans="1:35" x14ac:dyDescent="0.35">
      <c r="A122" t="s">
        <v>287</v>
      </c>
      <c r="B122" t="str">
        <f t="shared" si="48"/>
        <v>2019</v>
      </c>
      <c r="C122" t="str">
        <f t="shared" si="49"/>
        <v>Q2</v>
      </c>
      <c r="D122" s="13">
        <f>HAVERQ!C128</f>
        <v>413136</v>
      </c>
      <c r="E122" s="13">
        <f>HAVERQ!D128</f>
        <v>14142</v>
      </c>
      <c r="F122" s="13">
        <f>HAVERQ!E128</f>
        <v>131389</v>
      </c>
      <c r="G122" s="13">
        <f>HAVERQ!F128</f>
        <v>123353</v>
      </c>
      <c r="H122" s="13">
        <f>HAVERQ!G128</f>
        <v>-3946</v>
      </c>
      <c r="I122" s="13">
        <f>HAVERQ!H128</f>
        <v>1940</v>
      </c>
      <c r="J122" s="13">
        <f>HAVERQ!I128</f>
        <v>206068</v>
      </c>
      <c r="K122" s="13">
        <f>HAVERQ!J128</f>
        <v>221486</v>
      </c>
      <c r="L122" s="13">
        <f>HAVERQ!U128</f>
        <v>70786</v>
      </c>
      <c r="M122" s="13">
        <f>HAVERQ!V128</f>
        <v>17837</v>
      </c>
      <c r="N122" s="13">
        <f>HAVERQ!Y128</f>
        <v>6380</v>
      </c>
      <c r="O122" s="13">
        <f>HAVERQ!Z128</f>
        <v>17886</v>
      </c>
      <c r="P122" s="13">
        <f>HAVERQ!AA128</f>
        <v>27321</v>
      </c>
      <c r="Q122" s="13">
        <f>HAVERQ!AB128</f>
        <v>41443</v>
      </c>
      <c r="R122" s="13">
        <f>HAVERQ!AC128</f>
        <v>30603</v>
      </c>
      <c r="U122" s="13">
        <f>HAVERQ!M128</f>
        <v>410754</v>
      </c>
      <c r="V122" s="13">
        <f>HAVERQ!N128</f>
        <v>14142</v>
      </c>
      <c r="W122" s="13">
        <f>HAVERQ!O128</f>
        <v>130081</v>
      </c>
      <c r="X122" s="13">
        <f>HAVERQ!P128</f>
        <v>118446</v>
      </c>
      <c r="Y122" s="13">
        <f>HAVERQ!Q128</f>
        <v>-456</v>
      </c>
      <c r="Z122" s="13">
        <f>HAVERQ!R128</f>
        <v>1981</v>
      </c>
      <c r="AA122" s="13">
        <f>HAVERQ!S128</f>
        <v>205368</v>
      </c>
      <c r="AB122" s="13">
        <f>HAVERQ!T128</f>
        <v>218719</v>
      </c>
      <c r="AC122" s="13">
        <f>HAVERQ!W128</f>
        <v>69641</v>
      </c>
      <c r="AD122" s="13">
        <f>HAVERQ!X128</f>
        <v>14387</v>
      </c>
      <c r="AE122" s="13">
        <f>HAVERQ!AD128</f>
        <v>6732</v>
      </c>
      <c r="AF122" s="13">
        <f>HAVERQ!AE128</f>
        <v>16619</v>
      </c>
      <c r="AG122" s="13">
        <f>HAVERQ!AF128</f>
        <v>27173</v>
      </c>
      <c r="AH122" s="13">
        <f>HAVERQ!AG128</f>
        <v>37961</v>
      </c>
      <c r="AI122" s="13">
        <f>HAVERQ!AH128</f>
        <v>30140</v>
      </c>
    </row>
    <row r="123" spans="1:35" x14ac:dyDescent="0.35">
      <c r="A123" t="s">
        <v>288</v>
      </c>
      <c r="B123" t="str">
        <f t="shared" si="48"/>
        <v>2019</v>
      </c>
      <c r="C123" t="str">
        <f t="shared" si="49"/>
        <v>Q3</v>
      </c>
      <c r="D123" s="13">
        <f>HAVERQ!C129</f>
        <v>412951</v>
      </c>
      <c r="E123" s="13">
        <f>HAVERQ!D129</f>
        <v>13873</v>
      </c>
      <c r="F123" s="13">
        <f>HAVERQ!E129</f>
        <v>130543</v>
      </c>
      <c r="G123" s="13">
        <f>HAVERQ!F129</f>
        <v>123425</v>
      </c>
      <c r="H123" s="13">
        <f>HAVERQ!G129</f>
        <v>-2827</v>
      </c>
      <c r="I123" s="13">
        <f>HAVERQ!H129</f>
        <v>1307</v>
      </c>
      <c r="J123" s="13">
        <f>HAVERQ!I129</f>
        <v>217629</v>
      </c>
      <c r="K123" s="13">
        <f>HAVERQ!J129</f>
        <v>224507</v>
      </c>
      <c r="L123" s="13">
        <f>HAVERQ!U129</f>
        <v>70141</v>
      </c>
      <c r="M123" s="13">
        <f>HAVERQ!V129</f>
        <v>18073</v>
      </c>
      <c r="N123" s="13">
        <f>HAVERQ!Y129</f>
        <v>5913</v>
      </c>
      <c r="O123" s="13">
        <f>HAVERQ!Z129</f>
        <v>17604</v>
      </c>
      <c r="P123" s="13">
        <f>HAVERQ!AA129</f>
        <v>27648</v>
      </c>
      <c r="Q123" s="13">
        <f>HAVERQ!AB129</f>
        <v>41056</v>
      </c>
      <c r="R123" s="13">
        <f>HAVERQ!AC129</f>
        <v>31522</v>
      </c>
      <c r="U123" s="13">
        <f>HAVERQ!M129</f>
        <v>417600</v>
      </c>
      <c r="V123" s="13">
        <f>HAVERQ!N129</f>
        <v>13873</v>
      </c>
      <c r="W123" s="13">
        <f>HAVERQ!O129</f>
        <v>129325</v>
      </c>
      <c r="X123" s="13">
        <f>HAVERQ!P129</f>
        <v>122463</v>
      </c>
      <c r="Y123" s="13">
        <f>HAVERQ!Q129</f>
        <v>-2493</v>
      </c>
      <c r="Z123" s="13">
        <f>HAVERQ!R129</f>
        <v>1585</v>
      </c>
      <c r="AA123" s="13">
        <f>HAVERQ!S129</f>
        <v>215948</v>
      </c>
      <c r="AB123" s="13">
        <f>HAVERQ!T129</f>
        <v>228784</v>
      </c>
      <c r="AC123" s="13">
        <f>HAVERQ!W129</f>
        <v>69713</v>
      </c>
      <c r="AD123" s="13">
        <f>HAVERQ!X129</f>
        <v>16946</v>
      </c>
      <c r="AE123" s="13">
        <f>HAVERQ!AD129</f>
        <v>5172</v>
      </c>
      <c r="AF123" s="13">
        <f>HAVERQ!AE129</f>
        <v>16903</v>
      </c>
      <c r="AG123" s="13">
        <f>HAVERQ!AF129</f>
        <v>27843</v>
      </c>
      <c r="AH123" s="13">
        <f>HAVERQ!AG129</f>
        <v>41968</v>
      </c>
      <c r="AI123" s="13">
        <f>HAVERQ!AH129</f>
        <v>31099</v>
      </c>
    </row>
    <row r="124" spans="1:35" x14ac:dyDescent="0.35">
      <c r="A124" t="s">
        <v>289</v>
      </c>
      <c r="B124" t="str">
        <f t="shared" si="48"/>
        <v>2019</v>
      </c>
      <c r="C124" t="str">
        <f t="shared" si="49"/>
        <v>Q4</v>
      </c>
      <c r="D124" s="13">
        <f>HAVERQ!C130</f>
        <v>412487</v>
      </c>
      <c r="E124" s="13">
        <f>HAVERQ!D130</f>
        <v>13184</v>
      </c>
      <c r="F124" s="13">
        <f>HAVERQ!E130</f>
        <v>132024</v>
      </c>
      <c r="G124" s="13">
        <f>HAVERQ!F130</f>
        <v>121024</v>
      </c>
      <c r="H124" s="13">
        <f>HAVERQ!G130</f>
        <v>-3018</v>
      </c>
      <c r="I124" s="13">
        <f>HAVERQ!H130</f>
        <v>-14047</v>
      </c>
      <c r="J124" s="13">
        <f>HAVERQ!I130</f>
        <v>227921</v>
      </c>
      <c r="K124" s="13">
        <f>HAVERQ!J130</f>
        <v>217655</v>
      </c>
      <c r="L124" s="13">
        <f>HAVERQ!U130</f>
        <v>69468</v>
      </c>
      <c r="M124" s="13">
        <f>HAVERQ!V130</f>
        <v>17913</v>
      </c>
      <c r="N124" s="13">
        <f>HAVERQ!Y130</f>
        <v>4944</v>
      </c>
      <c r="O124" s="13">
        <f>HAVERQ!Z130</f>
        <v>17501</v>
      </c>
      <c r="P124" s="13">
        <f>HAVERQ!AA130</f>
        <v>26088</v>
      </c>
      <c r="Q124" s="13">
        <f>HAVERQ!AB130</f>
        <v>41302</v>
      </c>
      <c r="R124" s="13">
        <f>HAVERQ!AC130</f>
        <v>31526</v>
      </c>
      <c r="U124" s="13">
        <f>HAVERQ!M130</f>
        <v>424263</v>
      </c>
      <c r="V124" s="13">
        <f>HAVERQ!N130</f>
        <v>13184</v>
      </c>
      <c r="W124" s="13">
        <f>HAVERQ!O130</f>
        <v>132281</v>
      </c>
      <c r="X124" s="13">
        <f>HAVERQ!P130</f>
        <v>125137</v>
      </c>
      <c r="Y124" s="13">
        <f>HAVERQ!Q130</f>
        <v>-176</v>
      </c>
      <c r="Z124" s="13">
        <f>HAVERQ!R130</f>
        <v>-14131</v>
      </c>
      <c r="AA124" s="13">
        <f>HAVERQ!S130</f>
        <v>235155</v>
      </c>
      <c r="AB124" s="13">
        <f>HAVERQ!T130</f>
        <v>220074</v>
      </c>
      <c r="AC124" s="13">
        <f>HAVERQ!W130</f>
        <v>73514</v>
      </c>
      <c r="AD124" s="13">
        <f>HAVERQ!X130</f>
        <v>16887</v>
      </c>
      <c r="AE124" s="13">
        <f>HAVERQ!AD130</f>
        <v>5768</v>
      </c>
      <c r="AF124" s="13">
        <f>HAVERQ!AE130</f>
        <v>18474</v>
      </c>
      <c r="AG124" s="13">
        <f>HAVERQ!AF130</f>
        <v>26703</v>
      </c>
      <c r="AH124" s="13">
        <f>HAVERQ!AG130</f>
        <v>42914</v>
      </c>
      <c r="AI124" s="13">
        <f>HAVERQ!AH130</f>
        <v>31543</v>
      </c>
    </row>
    <row r="125" spans="1:35" x14ac:dyDescent="0.35">
      <c r="A125" t="s">
        <v>290</v>
      </c>
      <c r="B125" t="str">
        <f t="shared" si="48"/>
        <v>2020</v>
      </c>
      <c r="C125" t="str">
        <f t="shared" si="49"/>
        <v>Q1</v>
      </c>
      <c r="D125" s="13">
        <f>HAVERQ!C131</f>
        <v>400748</v>
      </c>
      <c r="E125" s="13">
        <f>HAVERQ!D131</f>
        <v>12881</v>
      </c>
      <c r="F125" s="13">
        <f>HAVERQ!E131</f>
        <v>129380</v>
      </c>
      <c r="G125" s="13">
        <f>HAVERQ!F131</f>
        <v>117131</v>
      </c>
      <c r="H125" s="13">
        <f>HAVERQ!G131</f>
        <v>-3349</v>
      </c>
      <c r="I125" s="13">
        <f>HAVERQ!H131</f>
        <v>689</v>
      </c>
      <c r="J125" s="13">
        <f>HAVERQ!I131</f>
        <v>207164</v>
      </c>
      <c r="K125" s="13">
        <f>HAVERQ!J131</f>
        <v>211337</v>
      </c>
      <c r="L125" s="13">
        <f>HAVERQ!U131</f>
        <v>68457</v>
      </c>
      <c r="M125" s="13">
        <f>HAVERQ!V131</f>
        <v>16893</v>
      </c>
      <c r="N125" s="13">
        <f>HAVERQ!Y131</f>
        <v>5622</v>
      </c>
      <c r="O125" s="13">
        <f>HAVERQ!Z131</f>
        <v>16449</v>
      </c>
      <c r="P125" s="13">
        <f>HAVERQ!AA131</f>
        <v>25361</v>
      </c>
      <c r="Q125" s="13">
        <f>HAVERQ!AB131</f>
        <v>38748</v>
      </c>
      <c r="R125" s="13">
        <f>HAVERQ!AC131</f>
        <v>31202</v>
      </c>
      <c r="U125" s="13">
        <f>HAVERQ!M131</f>
        <v>390448</v>
      </c>
      <c r="V125" s="13">
        <f>HAVERQ!N131</f>
        <v>12881</v>
      </c>
      <c r="W125" s="13">
        <f>HAVERQ!O131</f>
        <v>131480</v>
      </c>
      <c r="X125" s="13">
        <f>HAVERQ!P131</f>
        <v>118940</v>
      </c>
      <c r="Y125" s="13">
        <f>HAVERQ!Q131</f>
        <v>1833</v>
      </c>
      <c r="Z125" s="13">
        <f>HAVERQ!R131</f>
        <v>511</v>
      </c>
      <c r="AA125" s="13">
        <f>HAVERQ!S131</f>
        <v>203440</v>
      </c>
      <c r="AB125" s="13">
        <f>HAVERQ!T131</f>
        <v>208313</v>
      </c>
      <c r="AC125" s="13">
        <f>HAVERQ!W131</f>
        <v>65477</v>
      </c>
      <c r="AD125" s="13">
        <f>HAVERQ!X131</f>
        <v>22943</v>
      </c>
      <c r="AE125" s="13">
        <f>HAVERQ!AD131</f>
        <v>5105</v>
      </c>
      <c r="AF125" s="13">
        <f>HAVERQ!AE131</f>
        <v>17253</v>
      </c>
      <c r="AG125" s="13">
        <f>HAVERQ!AF131</f>
        <v>24723</v>
      </c>
      <c r="AH125" s="13">
        <f>HAVERQ!AG131</f>
        <v>39922</v>
      </c>
      <c r="AI125" s="13">
        <f>HAVERQ!AH131</f>
        <v>32190</v>
      </c>
    </row>
    <row r="126" spans="1:35" x14ac:dyDescent="0.35">
      <c r="A126" t="s">
        <v>291</v>
      </c>
      <c r="B126" t="str">
        <f t="shared" si="48"/>
        <v>2020</v>
      </c>
      <c r="C126" t="str">
        <f t="shared" si="49"/>
        <v>Q2</v>
      </c>
      <c r="D126" s="13">
        <f>HAVERQ!C132</f>
        <v>308486</v>
      </c>
      <c r="E126" s="13">
        <f>HAVERQ!D132</f>
        <v>9133</v>
      </c>
      <c r="F126" s="13">
        <f>HAVERQ!E132</f>
        <v>106179</v>
      </c>
      <c r="G126" s="13">
        <f>HAVERQ!F132</f>
        <v>96088</v>
      </c>
      <c r="H126" s="13">
        <f>HAVERQ!G132</f>
        <v>-7096</v>
      </c>
      <c r="I126" s="13">
        <f>HAVERQ!H132</f>
        <v>-9616</v>
      </c>
      <c r="J126" s="13">
        <f>HAVERQ!I132</f>
        <v>179224</v>
      </c>
      <c r="K126" s="13">
        <f>HAVERQ!J132</f>
        <v>158897</v>
      </c>
      <c r="L126" s="13">
        <f>HAVERQ!U132</f>
        <v>55285</v>
      </c>
      <c r="M126" s="13">
        <f>HAVERQ!V132</f>
        <v>19722</v>
      </c>
      <c r="N126" s="13">
        <f>HAVERQ!Y132</f>
        <v>2450</v>
      </c>
      <c r="O126" s="13">
        <f>HAVERQ!Z132</f>
        <v>15354</v>
      </c>
      <c r="P126" s="13">
        <f>HAVERQ!AA132</f>
        <v>15582</v>
      </c>
      <c r="Q126" s="13">
        <f>HAVERQ!AB132</f>
        <v>31840</v>
      </c>
      <c r="R126" s="13">
        <f>HAVERQ!AC132</f>
        <v>31003</v>
      </c>
      <c r="U126" s="13">
        <f>HAVERQ!M132</f>
        <v>306325</v>
      </c>
      <c r="V126" s="13">
        <f>HAVERQ!N132</f>
        <v>9133</v>
      </c>
      <c r="W126" s="13">
        <f>HAVERQ!O132</f>
        <v>104936</v>
      </c>
      <c r="X126" s="13">
        <f>HAVERQ!P132</f>
        <v>92781</v>
      </c>
      <c r="Y126" s="13">
        <f>HAVERQ!Q132</f>
        <v>-6591</v>
      </c>
      <c r="Z126" s="13">
        <f>HAVERQ!R132</f>
        <v>-9590</v>
      </c>
      <c r="AA126" s="13">
        <f>HAVERQ!S132</f>
        <v>178222</v>
      </c>
      <c r="AB126" s="13">
        <f>HAVERQ!T132</f>
        <v>156703</v>
      </c>
      <c r="AC126" s="13">
        <f>HAVERQ!W132</f>
        <v>55865</v>
      </c>
      <c r="AD126" s="13">
        <f>HAVERQ!X132</f>
        <v>16123</v>
      </c>
      <c r="AE126" s="13">
        <f>HAVERQ!AD132</f>
        <v>2484</v>
      </c>
      <c r="AF126" s="13">
        <f>HAVERQ!AE132</f>
        <v>14339</v>
      </c>
      <c r="AG126" s="13">
        <f>HAVERQ!AF132</f>
        <v>15444</v>
      </c>
      <c r="AH126" s="13">
        <f>HAVERQ!AG132</f>
        <v>30153</v>
      </c>
      <c r="AI126" s="13">
        <f>HAVERQ!AH132</f>
        <v>30457</v>
      </c>
    </row>
    <row r="127" spans="1:35" x14ac:dyDescent="0.35">
      <c r="A127" t="s">
        <v>292</v>
      </c>
      <c r="B127" t="str">
        <f t="shared" si="48"/>
        <v>2020</v>
      </c>
      <c r="C127" t="str">
        <f t="shared" si="49"/>
        <v>Q3</v>
      </c>
      <c r="D127" s="13">
        <f>HAVERQ!C133</f>
        <v>369291</v>
      </c>
      <c r="E127" s="13">
        <f>HAVERQ!D133</f>
        <v>11200</v>
      </c>
      <c r="F127" s="13">
        <f>HAVERQ!E133</f>
        <v>125054</v>
      </c>
      <c r="G127" s="13">
        <f>HAVERQ!F133</f>
        <v>111826</v>
      </c>
      <c r="H127" s="13">
        <f>HAVERQ!G133</f>
        <v>-333</v>
      </c>
      <c r="I127" s="13">
        <f>HAVERQ!H133</f>
        <v>1253</v>
      </c>
      <c r="J127" s="13">
        <f>HAVERQ!I133</f>
        <v>181122</v>
      </c>
      <c r="K127" s="13">
        <f>HAVERQ!J133</f>
        <v>186904</v>
      </c>
      <c r="L127" s="13">
        <f>HAVERQ!U133</f>
        <v>63375</v>
      </c>
      <c r="M127" s="13">
        <f>HAVERQ!V133</f>
        <v>19585</v>
      </c>
      <c r="N127" s="13">
        <f>HAVERQ!Y133</f>
        <v>6106</v>
      </c>
      <c r="O127" s="13">
        <f>HAVERQ!Z133</f>
        <v>15974</v>
      </c>
      <c r="P127" s="13">
        <f>HAVERQ!AA133</f>
        <v>24187</v>
      </c>
      <c r="Q127" s="13">
        <f>HAVERQ!AB133</f>
        <v>34542</v>
      </c>
      <c r="R127" s="13">
        <f>HAVERQ!AC133</f>
        <v>30992</v>
      </c>
      <c r="U127" s="13">
        <f>HAVERQ!M133</f>
        <v>367276</v>
      </c>
      <c r="V127" s="13">
        <f>HAVERQ!N133</f>
        <v>11200</v>
      </c>
      <c r="W127" s="13">
        <f>HAVERQ!O133</f>
        <v>123884</v>
      </c>
      <c r="X127" s="13">
        <f>HAVERQ!P133</f>
        <v>110596</v>
      </c>
      <c r="Y127" s="13">
        <f>HAVERQ!Q133</f>
        <v>-3657</v>
      </c>
      <c r="Z127" s="13">
        <f>HAVERQ!R133</f>
        <v>1497</v>
      </c>
      <c r="AA127" s="13">
        <f>HAVERQ!S133</f>
        <v>177557</v>
      </c>
      <c r="AB127" s="13">
        <f>HAVERQ!T133</f>
        <v>186973</v>
      </c>
      <c r="AC127" s="13">
        <f>HAVERQ!W133</f>
        <v>62856</v>
      </c>
      <c r="AD127" s="13">
        <f>HAVERQ!X133</f>
        <v>18330</v>
      </c>
      <c r="AE127" s="13">
        <f>HAVERQ!AD133</f>
        <v>5315</v>
      </c>
      <c r="AF127" s="13">
        <f>HAVERQ!AE133</f>
        <v>15450</v>
      </c>
      <c r="AG127" s="13">
        <f>HAVERQ!AF133</f>
        <v>24371</v>
      </c>
      <c r="AH127" s="13">
        <f>HAVERQ!AG133</f>
        <v>34989</v>
      </c>
      <c r="AI127" s="13">
        <f>HAVERQ!AH133</f>
        <v>30595</v>
      </c>
    </row>
    <row r="128" spans="1:35" x14ac:dyDescent="0.35">
      <c r="A128" t="s">
        <v>293</v>
      </c>
      <c r="B128" t="str">
        <f t="shared" si="48"/>
        <v>2020</v>
      </c>
      <c r="C128" t="str">
        <f t="shared" si="49"/>
        <v>Q4</v>
      </c>
      <c r="D128" s="13">
        <f>HAVERQ!C134</f>
        <v>362708</v>
      </c>
      <c r="E128" s="13">
        <f>HAVERQ!D134</f>
        <v>11853</v>
      </c>
      <c r="F128" s="13">
        <f>HAVERQ!E134</f>
        <v>131064</v>
      </c>
      <c r="G128" s="13">
        <f>HAVERQ!F134</f>
        <v>118476</v>
      </c>
      <c r="H128" s="13">
        <f>HAVERQ!G134</f>
        <v>9008</v>
      </c>
      <c r="I128" s="13">
        <f>HAVERQ!H134</f>
        <v>8306</v>
      </c>
      <c r="J128" s="13">
        <f>HAVERQ!I134</f>
        <v>191379</v>
      </c>
      <c r="K128" s="13">
        <f>HAVERQ!J134</f>
        <v>214374</v>
      </c>
      <c r="L128" s="13">
        <f>HAVERQ!U134</f>
        <v>67292</v>
      </c>
      <c r="M128" s="13">
        <f>HAVERQ!V134</f>
        <v>19953</v>
      </c>
      <c r="N128" s="13">
        <f>HAVERQ!Y134</f>
        <v>6427</v>
      </c>
      <c r="O128" s="13">
        <f>HAVERQ!Z134</f>
        <v>17517</v>
      </c>
      <c r="P128" s="13">
        <f>HAVERQ!AA134</f>
        <v>25146</v>
      </c>
      <c r="Q128" s="13">
        <f>HAVERQ!AB134</f>
        <v>38084</v>
      </c>
      <c r="R128" s="13">
        <f>HAVERQ!AC134</f>
        <v>31284</v>
      </c>
      <c r="U128" s="13">
        <f>HAVERQ!M134</f>
        <v>377184</v>
      </c>
      <c r="V128" s="13">
        <f>HAVERQ!N134</f>
        <v>11853</v>
      </c>
      <c r="W128" s="13">
        <f>HAVERQ!O134</f>
        <v>131377</v>
      </c>
      <c r="X128" s="13">
        <f>HAVERQ!P134</f>
        <v>121204</v>
      </c>
      <c r="Y128" s="13">
        <f>HAVERQ!Q134</f>
        <v>6645</v>
      </c>
      <c r="Z128" s="13">
        <f>HAVERQ!R134</f>
        <v>8214</v>
      </c>
      <c r="AA128" s="13">
        <f>HAVERQ!S134</f>
        <v>199670</v>
      </c>
      <c r="AB128" s="13">
        <f>HAVERQ!T134</f>
        <v>219523</v>
      </c>
      <c r="AC128" s="13">
        <f>HAVERQ!W134</f>
        <v>70211</v>
      </c>
      <c r="AD128" s="13">
        <f>HAVERQ!X134</f>
        <v>18757</v>
      </c>
      <c r="AE128" s="13">
        <f>HAVERQ!AD134</f>
        <v>7701</v>
      </c>
      <c r="AF128" s="13">
        <f>HAVERQ!AE134</f>
        <v>18253</v>
      </c>
      <c r="AG128" s="13">
        <f>HAVERQ!AF134</f>
        <v>25738</v>
      </c>
      <c r="AH128" s="13">
        <f>HAVERQ!AG134</f>
        <v>38151</v>
      </c>
      <c r="AI128" s="13">
        <f>HAVERQ!AH134</f>
        <v>31239</v>
      </c>
    </row>
    <row r="129" spans="1:35" x14ac:dyDescent="0.35">
      <c r="A129" t="s">
        <v>294</v>
      </c>
      <c r="B129" t="str">
        <f t="shared" si="48"/>
        <v>2021</v>
      </c>
      <c r="C129" t="str">
        <f t="shared" si="49"/>
        <v>Q1</v>
      </c>
      <c r="D129" s="13">
        <f>HAVERQ!C135</f>
        <v>349378</v>
      </c>
      <c r="E129" s="13">
        <f>HAVERQ!D135</f>
        <v>11502</v>
      </c>
      <c r="F129" s="13">
        <f>HAVERQ!E135</f>
        <v>130685</v>
      </c>
      <c r="G129" s="13">
        <f>HAVERQ!F135</f>
        <v>115504</v>
      </c>
      <c r="H129" s="13">
        <f>HAVERQ!G135</f>
        <v>5874</v>
      </c>
      <c r="I129" s="13">
        <f>HAVERQ!H135</f>
        <v>9037</v>
      </c>
      <c r="J129" s="13">
        <f>HAVERQ!I135</f>
        <v>186347</v>
      </c>
      <c r="K129" s="13">
        <f>HAVERQ!J135</f>
        <v>197616</v>
      </c>
      <c r="L129" s="13">
        <f>HAVERQ!U135</f>
        <v>65103</v>
      </c>
      <c r="M129" s="13">
        <f>HAVERQ!V135</f>
        <v>18746</v>
      </c>
      <c r="N129" s="13">
        <f>HAVERQ!Y135</f>
        <v>3901</v>
      </c>
      <c r="O129" s="13">
        <f>HAVERQ!Z135</f>
        <v>15448</v>
      </c>
      <c r="P129" s="13">
        <f>HAVERQ!AA135</f>
        <v>25224</v>
      </c>
      <c r="Q129" s="13">
        <f>HAVERQ!AB135</f>
        <v>38586</v>
      </c>
      <c r="R129" s="13">
        <f>HAVERQ!AC135</f>
        <v>32610</v>
      </c>
      <c r="U129" s="13">
        <f>HAVERQ!M135</f>
        <v>344804</v>
      </c>
      <c r="V129" s="13">
        <f>HAVERQ!N135</f>
        <v>11502</v>
      </c>
      <c r="W129" s="13">
        <f>HAVERQ!O135</f>
        <v>132670</v>
      </c>
      <c r="X129" s="13">
        <f>HAVERQ!P135</f>
        <v>117453</v>
      </c>
      <c r="Y129" s="13">
        <f>HAVERQ!Q135</f>
        <v>7639</v>
      </c>
      <c r="Z129" s="13">
        <f>HAVERQ!R135</f>
        <v>8986</v>
      </c>
      <c r="AA129" s="13">
        <f>HAVERQ!S135</f>
        <v>182751</v>
      </c>
      <c r="AB129" s="13">
        <f>HAVERQ!T135</f>
        <v>195866</v>
      </c>
      <c r="AC129" s="13">
        <f>HAVERQ!W135</f>
        <v>60552</v>
      </c>
      <c r="AD129" s="13">
        <f>HAVERQ!X135</f>
        <v>26563</v>
      </c>
      <c r="AE129" s="13">
        <f>HAVERQ!AD135</f>
        <v>2549</v>
      </c>
      <c r="AF129" s="13">
        <f>HAVERQ!AE135</f>
        <v>17001</v>
      </c>
      <c r="AG129" s="13">
        <f>HAVERQ!AF135</f>
        <v>24634</v>
      </c>
      <c r="AH129" s="13">
        <f>HAVERQ!AG135</f>
        <v>39803</v>
      </c>
      <c r="AI129" s="13">
        <f>HAVERQ!AH135</f>
        <v>33737</v>
      </c>
    </row>
    <row r="130" spans="1:35" x14ac:dyDescent="0.35">
      <c r="A130" t="s">
        <v>295</v>
      </c>
      <c r="B130" t="str">
        <f t="shared" si="48"/>
        <v>2021</v>
      </c>
      <c r="C130" t="str">
        <f t="shared" si="49"/>
        <v>Q2</v>
      </c>
      <c r="D130" s="13">
        <f>HAVERQ!C136</f>
        <v>389324</v>
      </c>
      <c r="E130" s="13">
        <f>HAVERQ!D136</f>
        <v>13323</v>
      </c>
      <c r="F130" s="13">
        <f>HAVERQ!E136</f>
        <v>142424</v>
      </c>
      <c r="G130" s="13">
        <f>HAVERQ!F136</f>
        <v>121418</v>
      </c>
      <c r="H130" s="13">
        <f>HAVERQ!G136</f>
        <v>-9169</v>
      </c>
      <c r="I130" s="13">
        <f>HAVERQ!H136</f>
        <v>-753</v>
      </c>
      <c r="J130" s="13">
        <f>HAVERQ!I136</f>
        <v>197591</v>
      </c>
      <c r="K130" s="13">
        <f>HAVERQ!J136</f>
        <v>197409</v>
      </c>
      <c r="L130" s="13">
        <f>HAVERQ!U136</f>
        <v>67598</v>
      </c>
      <c r="M130" s="13">
        <f>HAVERQ!V136</f>
        <v>20691</v>
      </c>
      <c r="N130" s="13">
        <f>HAVERQ!Y136</f>
        <v>3785</v>
      </c>
      <c r="O130" s="13">
        <f>HAVERQ!Z136</f>
        <v>17461</v>
      </c>
      <c r="P130" s="13">
        <f>HAVERQ!AA136</f>
        <v>26066</v>
      </c>
      <c r="Q130" s="13">
        <f>HAVERQ!AB136</f>
        <v>40508</v>
      </c>
      <c r="R130" s="13">
        <f>HAVERQ!AC136</f>
        <v>33729</v>
      </c>
      <c r="U130" s="13">
        <f>HAVERQ!M136</f>
        <v>385172</v>
      </c>
      <c r="V130" s="13">
        <f>HAVERQ!N136</f>
        <v>13323</v>
      </c>
      <c r="W130" s="13">
        <f>HAVERQ!O136</f>
        <v>140909</v>
      </c>
      <c r="X130" s="13">
        <f>HAVERQ!P136</f>
        <v>115489</v>
      </c>
      <c r="Y130" s="13">
        <f>HAVERQ!Q136</f>
        <v>-8180</v>
      </c>
      <c r="Z130" s="13">
        <f>HAVERQ!R136</f>
        <v>-752</v>
      </c>
      <c r="AA130" s="13">
        <f>HAVERQ!S136</f>
        <v>195242</v>
      </c>
      <c r="AB130" s="13">
        <f>HAVERQ!T136</f>
        <v>195203</v>
      </c>
      <c r="AC130" s="13">
        <f>HAVERQ!W136</f>
        <v>65870</v>
      </c>
      <c r="AD130" s="13">
        <f>HAVERQ!X136</f>
        <v>16919</v>
      </c>
      <c r="AE130" s="13">
        <f>HAVERQ!AD136</f>
        <v>4375</v>
      </c>
      <c r="AF130" s="13">
        <f>HAVERQ!AE136</f>
        <v>16034</v>
      </c>
      <c r="AG130" s="13">
        <f>HAVERQ!AF136</f>
        <v>25937</v>
      </c>
      <c r="AH130" s="13">
        <f>HAVERQ!AG136</f>
        <v>36164</v>
      </c>
      <c r="AI130" s="13">
        <f>HAVERQ!AH136</f>
        <v>33089</v>
      </c>
    </row>
    <row r="131" spans="1:35" x14ac:dyDescent="0.35">
      <c r="A131" t="s">
        <v>296</v>
      </c>
      <c r="B131" t="str">
        <f t="shared" si="48"/>
        <v>2021</v>
      </c>
      <c r="C131" t="str">
        <f t="shared" si="49"/>
        <v>Q3</v>
      </c>
      <c r="D131" s="13">
        <f>HAVERQ!C137</f>
        <v>401314</v>
      </c>
      <c r="E131" s="13">
        <f>HAVERQ!D137</f>
        <v>13511</v>
      </c>
      <c r="F131" s="13">
        <f>HAVERQ!E137</f>
        <v>140757</v>
      </c>
      <c r="G131" s="13">
        <f>HAVERQ!F137</f>
        <v>122220</v>
      </c>
      <c r="H131" s="13">
        <f>HAVERQ!G137</f>
        <v>622</v>
      </c>
      <c r="I131" s="13">
        <f>HAVERQ!H137</f>
        <v>3949</v>
      </c>
      <c r="J131" s="13">
        <f>HAVERQ!I137</f>
        <v>189025</v>
      </c>
      <c r="K131" s="13">
        <f>HAVERQ!J137</f>
        <v>206747</v>
      </c>
      <c r="L131" s="13">
        <f>HAVERQ!U137</f>
        <v>67169</v>
      </c>
      <c r="M131" s="13">
        <f>HAVERQ!V137</f>
        <v>21461</v>
      </c>
      <c r="N131" s="13">
        <f>HAVERQ!Y137</f>
        <v>4456</v>
      </c>
      <c r="O131" s="13">
        <f>HAVERQ!Z137</f>
        <v>19417</v>
      </c>
      <c r="P131" s="13">
        <f>HAVERQ!AA137</f>
        <v>26435</v>
      </c>
      <c r="Q131" s="13">
        <f>HAVERQ!AB137</f>
        <v>38508</v>
      </c>
      <c r="R131" s="13">
        <f>HAVERQ!AC137</f>
        <v>33515</v>
      </c>
      <c r="U131" s="13">
        <f>HAVERQ!M137</f>
        <v>399341</v>
      </c>
      <c r="V131" s="13">
        <f>HAVERQ!N137</f>
        <v>13511</v>
      </c>
      <c r="W131" s="13">
        <f>HAVERQ!O137</f>
        <v>139691</v>
      </c>
      <c r="X131" s="13">
        <f>HAVERQ!P137</f>
        <v>121932</v>
      </c>
      <c r="Y131" s="13">
        <f>HAVERQ!Q137</f>
        <v>457</v>
      </c>
      <c r="Z131" s="13">
        <f>HAVERQ!R137</f>
        <v>4147</v>
      </c>
      <c r="AA131" s="13">
        <f>HAVERQ!S137</f>
        <v>186073</v>
      </c>
      <c r="AB131" s="13">
        <f>HAVERQ!T137</f>
        <v>207453</v>
      </c>
      <c r="AC131" s="13">
        <f>HAVERQ!W137</f>
        <v>68601</v>
      </c>
      <c r="AD131" s="13">
        <f>HAVERQ!X137</f>
        <v>19070</v>
      </c>
      <c r="AE131" s="13">
        <f>HAVERQ!AD137</f>
        <v>3876</v>
      </c>
      <c r="AF131" s="13">
        <f>HAVERQ!AE137</f>
        <v>18618</v>
      </c>
      <c r="AG131" s="13">
        <f>HAVERQ!AF137</f>
        <v>26598</v>
      </c>
      <c r="AH131" s="13">
        <f>HAVERQ!AG137</f>
        <v>39974</v>
      </c>
      <c r="AI131" s="13">
        <f>HAVERQ!AH137</f>
        <v>33123</v>
      </c>
    </row>
    <row r="132" spans="1:35" x14ac:dyDescent="0.35">
      <c r="A132" t="s">
        <v>297</v>
      </c>
      <c r="B132" t="str">
        <f t="shared" si="48"/>
        <v>2021</v>
      </c>
      <c r="C132" t="str">
        <f t="shared" si="49"/>
        <v>Q4</v>
      </c>
      <c r="D132" s="13">
        <f>HAVERQ!C138</f>
        <v>402019</v>
      </c>
      <c r="E132" s="13">
        <f>HAVERQ!D138</f>
        <v>13753</v>
      </c>
      <c r="F132" s="13">
        <f>HAVERQ!E138</f>
        <v>141708</v>
      </c>
      <c r="G132" s="13">
        <f>HAVERQ!F138</f>
        <v>125434</v>
      </c>
      <c r="H132" s="13">
        <f>HAVERQ!G138</f>
        <v>1138</v>
      </c>
      <c r="I132" s="13">
        <f>HAVERQ!H138</f>
        <v>-2980</v>
      </c>
      <c r="J132" s="13">
        <f>HAVERQ!I138</f>
        <v>207653</v>
      </c>
      <c r="K132" s="13">
        <f>HAVERQ!J138</f>
        <v>210460</v>
      </c>
      <c r="L132" s="13">
        <f>HAVERQ!U138</f>
        <v>69682</v>
      </c>
      <c r="M132" s="13">
        <f>HAVERQ!V138</f>
        <v>20740</v>
      </c>
      <c r="N132" s="13">
        <f>HAVERQ!Y138</f>
        <v>5273</v>
      </c>
      <c r="O132" s="13">
        <f>HAVERQ!Z138</f>
        <v>19277</v>
      </c>
      <c r="P132" s="13">
        <f>HAVERQ!AA138</f>
        <v>27241</v>
      </c>
      <c r="Q132" s="13">
        <f>HAVERQ!AB138</f>
        <v>39331</v>
      </c>
      <c r="R132" s="13">
        <f>HAVERQ!AC138</f>
        <v>34418</v>
      </c>
      <c r="U132" s="13">
        <f>HAVERQ!M138</f>
        <v>412718</v>
      </c>
      <c r="V132" s="13">
        <f>HAVERQ!N138</f>
        <v>13753</v>
      </c>
      <c r="W132" s="13">
        <f>HAVERQ!O138</f>
        <v>142304</v>
      </c>
      <c r="X132" s="13">
        <f>HAVERQ!P138</f>
        <v>129702</v>
      </c>
      <c r="Y132" s="13">
        <f>HAVERQ!Q138</f>
        <v>-1451</v>
      </c>
      <c r="Z132" s="13">
        <f>HAVERQ!R138</f>
        <v>-3128</v>
      </c>
      <c r="AA132" s="13">
        <f>HAVERQ!S138</f>
        <v>216550</v>
      </c>
      <c r="AB132" s="13">
        <f>HAVERQ!T138</f>
        <v>213710</v>
      </c>
      <c r="AC132" s="13">
        <f>HAVERQ!W138</f>
        <v>74530</v>
      </c>
      <c r="AD132" s="13">
        <f>HAVERQ!X138</f>
        <v>19086</v>
      </c>
      <c r="AE132" s="13">
        <f>HAVERQ!AD138</f>
        <v>6615</v>
      </c>
      <c r="AF132" s="13">
        <f>HAVERQ!AE138</f>
        <v>19949</v>
      </c>
      <c r="AG132" s="13">
        <f>HAVERQ!AF138</f>
        <v>27796</v>
      </c>
      <c r="AH132" s="13">
        <f>HAVERQ!AG138</f>
        <v>40992</v>
      </c>
      <c r="AI132" s="13">
        <f>HAVERQ!AH138</f>
        <v>34324</v>
      </c>
    </row>
    <row r="133" spans="1:35" x14ac:dyDescent="0.35">
      <c r="A133" t="s">
        <v>298</v>
      </c>
      <c r="B133" t="str">
        <f t="shared" si="48"/>
        <v>2022</v>
      </c>
      <c r="C133" t="str">
        <f t="shared" si="49"/>
        <v>Q1</v>
      </c>
      <c r="D133" s="13">
        <f>HAVERQ!C139</f>
        <v>407981</v>
      </c>
      <c r="E133" s="13">
        <f>HAVERQ!D139</f>
        <v>13689</v>
      </c>
      <c r="F133" s="13">
        <f>HAVERQ!E139</f>
        <v>141435</v>
      </c>
      <c r="G133" s="13">
        <f>HAVERQ!F139</f>
        <v>129865</v>
      </c>
      <c r="H133" s="13">
        <f>HAVERQ!G139</f>
        <v>6619</v>
      </c>
      <c r="I133" s="13">
        <f>HAVERQ!H139</f>
        <v>9004</v>
      </c>
      <c r="J133" s="13">
        <f>HAVERQ!I139</f>
        <v>199918</v>
      </c>
      <c r="K133" s="13">
        <f>HAVERQ!J139</f>
        <v>232348</v>
      </c>
      <c r="L133" s="13">
        <f>HAVERQ!U139</f>
        <v>71183</v>
      </c>
      <c r="M133" s="13">
        <f>HAVERQ!V139</f>
        <v>21386</v>
      </c>
      <c r="N133" s="13">
        <f>HAVERQ!Y139</f>
        <v>4299</v>
      </c>
      <c r="O133" s="13">
        <f>HAVERQ!Z139</f>
        <v>22149</v>
      </c>
      <c r="P133" s="13">
        <f>HAVERQ!AA139</f>
        <v>29314</v>
      </c>
      <c r="Q133" s="13">
        <f>HAVERQ!AB139</f>
        <v>38784</v>
      </c>
      <c r="R133" s="13">
        <f>HAVERQ!AC139</f>
        <v>35394</v>
      </c>
      <c r="U133" s="13">
        <f>HAVERQ!M139</f>
        <v>396106</v>
      </c>
      <c r="V133" s="13">
        <f>HAVERQ!N139</f>
        <v>13689</v>
      </c>
      <c r="W133" s="13">
        <f>HAVERQ!O139</f>
        <v>143572</v>
      </c>
      <c r="X133" s="13">
        <f>HAVERQ!P139</f>
        <v>136294</v>
      </c>
      <c r="Y133" s="13">
        <f>HAVERQ!Q139</f>
        <v>7326</v>
      </c>
      <c r="Z133" s="13">
        <f>HAVERQ!R139</f>
        <v>8981</v>
      </c>
      <c r="AA133" s="13">
        <f>HAVERQ!S139</f>
        <v>194132</v>
      </c>
      <c r="AB133" s="13">
        <f>HAVERQ!T139</f>
        <v>228764</v>
      </c>
      <c r="AC133" s="13">
        <f>HAVERQ!W139</f>
        <v>70397</v>
      </c>
      <c r="AD133" s="13">
        <f>HAVERQ!X139</f>
        <v>30108</v>
      </c>
      <c r="AE133" s="13">
        <f>HAVERQ!AD139</f>
        <v>4245</v>
      </c>
      <c r="AF133" s="13">
        <f>HAVERQ!AE139</f>
        <v>23703</v>
      </c>
      <c r="AG133" s="13">
        <f>HAVERQ!AF139</f>
        <v>28788</v>
      </c>
      <c r="AH133" s="13">
        <f>HAVERQ!AG139</f>
        <v>42312</v>
      </c>
      <c r="AI133" s="13">
        <f>HAVERQ!AH139</f>
        <v>37333</v>
      </c>
    </row>
    <row r="134" spans="1:35" x14ac:dyDescent="0.35">
      <c r="A134" t="s">
        <v>299</v>
      </c>
      <c r="B134" t="str">
        <f t="shared" ref="B134:B148" si="50">LEFT(A134,4)</f>
        <v>2022</v>
      </c>
      <c r="C134" t="str">
        <f t="shared" ref="C134:C148" si="51">RIGHT(A134,2)</f>
        <v>Q2</v>
      </c>
      <c r="D134" s="13">
        <f>HAVERQ!C140</f>
        <v>415833</v>
      </c>
      <c r="E134" s="13">
        <f>HAVERQ!D140</f>
        <v>14825</v>
      </c>
      <c r="F134" s="13">
        <f>HAVERQ!E140</f>
        <v>137605</v>
      </c>
      <c r="G134" s="13">
        <f>HAVERQ!F140</f>
        <v>129435</v>
      </c>
      <c r="H134" s="13">
        <f>HAVERQ!G140</f>
        <v>5924</v>
      </c>
      <c r="I134" s="13">
        <f>HAVERQ!H140</f>
        <v>2317</v>
      </c>
      <c r="J134" s="13">
        <f>HAVERQ!I140</f>
        <v>219140</v>
      </c>
      <c r="K134" s="13">
        <f>HAVERQ!J140</f>
        <v>235593</v>
      </c>
      <c r="L134" s="13">
        <f>HAVERQ!U140</f>
        <v>72087</v>
      </c>
      <c r="M134" s="13">
        <f>HAVERQ!V140</f>
        <v>19999</v>
      </c>
      <c r="N134" s="13">
        <f>HAVERQ!Y140</f>
        <v>6737</v>
      </c>
      <c r="O134" s="13">
        <f>HAVERQ!Z140</f>
        <v>18786</v>
      </c>
      <c r="P134" s="13">
        <f>HAVERQ!AA140</f>
        <v>28713</v>
      </c>
      <c r="Q134" s="13">
        <f>HAVERQ!AB140</f>
        <v>41318</v>
      </c>
      <c r="R134" s="13">
        <f>HAVERQ!AC140</f>
        <v>33852</v>
      </c>
      <c r="U134" s="13">
        <f>HAVERQ!M140</f>
        <v>415021</v>
      </c>
      <c r="V134" s="13">
        <f>HAVERQ!N140</f>
        <v>14825</v>
      </c>
      <c r="W134" s="13">
        <f>HAVERQ!O140</f>
        <v>136152</v>
      </c>
      <c r="X134" s="13">
        <f>HAVERQ!P140</f>
        <v>121312</v>
      </c>
      <c r="Y134" s="13">
        <f>HAVERQ!Q140</f>
        <v>2475</v>
      </c>
      <c r="Z134" s="13">
        <f>HAVERQ!R140</f>
        <v>2293</v>
      </c>
      <c r="AA134" s="13">
        <f>HAVERQ!S140</f>
        <v>218333</v>
      </c>
      <c r="AB134" s="13">
        <f>HAVERQ!T140</f>
        <v>233794</v>
      </c>
      <c r="AC134" s="13">
        <f>HAVERQ!W140</f>
        <v>68830</v>
      </c>
      <c r="AD134" s="13">
        <f>HAVERQ!X140</f>
        <v>15667</v>
      </c>
      <c r="AE134" s="13">
        <f>HAVERQ!AD140</f>
        <v>6492</v>
      </c>
      <c r="AF134" s="13">
        <f>HAVERQ!AE140</f>
        <v>17393</v>
      </c>
      <c r="AG134" s="13">
        <f>HAVERQ!AF140</f>
        <v>28573</v>
      </c>
      <c r="AH134" s="13">
        <f>HAVERQ!AG140</f>
        <v>36255</v>
      </c>
      <c r="AI134" s="13">
        <f>HAVERQ!AH140</f>
        <v>32548</v>
      </c>
    </row>
    <row r="135" spans="1:35" x14ac:dyDescent="0.35">
      <c r="A135" t="s">
        <v>300</v>
      </c>
      <c r="B135" t="str">
        <f t="shared" si="50"/>
        <v>2022</v>
      </c>
      <c r="C135" t="str">
        <f t="shared" si="51"/>
        <v>Q3</v>
      </c>
      <c r="D135" s="13">
        <f>HAVERQ!C141</f>
        <v>416076</v>
      </c>
      <c r="E135" s="13">
        <f>HAVERQ!D141</f>
        <v>14707</v>
      </c>
      <c r="F135" s="13">
        <f>HAVERQ!E141</f>
        <v>138735</v>
      </c>
      <c r="G135" s="13">
        <f>HAVERQ!F141</f>
        <v>129817</v>
      </c>
      <c r="H135" s="13">
        <f>HAVERQ!G141</f>
        <v>-6937</v>
      </c>
      <c r="I135" s="13">
        <f>HAVERQ!H141</f>
        <v>-12921</v>
      </c>
      <c r="J135" s="13">
        <f>HAVERQ!I141</f>
        <v>237005</v>
      </c>
      <c r="K135" s="13">
        <f>HAVERQ!J141</f>
        <v>225985</v>
      </c>
      <c r="L135" s="13">
        <f>HAVERQ!U141</f>
        <v>70894</v>
      </c>
      <c r="M135" s="13">
        <f>HAVERQ!V141</f>
        <v>21111</v>
      </c>
      <c r="N135" s="13">
        <f>HAVERQ!Y141</f>
        <v>6741</v>
      </c>
      <c r="O135" s="13">
        <f>HAVERQ!Z141</f>
        <v>19191</v>
      </c>
      <c r="P135" s="13">
        <f>HAVERQ!AA141</f>
        <v>29247</v>
      </c>
      <c r="Q135" s="13">
        <f>HAVERQ!AB141</f>
        <v>40834</v>
      </c>
      <c r="R135" s="13">
        <f>HAVERQ!AC141</f>
        <v>33858</v>
      </c>
      <c r="U135" s="13">
        <f>HAVERQ!M141</f>
        <v>417966</v>
      </c>
      <c r="V135" s="13">
        <f>HAVERQ!N141</f>
        <v>14707</v>
      </c>
      <c r="W135" s="13">
        <f>HAVERQ!O141</f>
        <v>137729</v>
      </c>
      <c r="X135" s="13">
        <f>HAVERQ!P141</f>
        <v>127728</v>
      </c>
      <c r="Y135" s="13">
        <f>HAVERQ!Q141</f>
        <v>-3735</v>
      </c>
      <c r="Z135" s="13">
        <f>HAVERQ!R141</f>
        <v>-12753</v>
      </c>
      <c r="AA135" s="13">
        <f>HAVERQ!S141</f>
        <v>237034</v>
      </c>
      <c r="AB135" s="13">
        <f>HAVERQ!T141</f>
        <v>228032</v>
      </c>
      <c r="AC135" s="13">
        <f>HAVERQ!W141</f>
        <v>70572</v>
      </c>
      <c r="AD135" s="13">
        <f>HAVERQ!X141</f>
        <v>18488</v>
      </c>
      <c r="AE135" s="13">
        <f>HAVERQ!AD141</f>
        <v>5746</v>
      </c>
      <c r="AF135" s="13">
        <f>HAVERQ!AE141</f>
        <v>18390</v>
      </c>
      <c r="AG135" s="13">
        <f>HAVERQ!AF141</f>
        <v>29395</v>
      </c>
      <c r="AH135" s="13">
        <f>HAVERQ!AG141</f>
        <v>40933</v>
      </c>
      <c r="AI135" s="13">
        <f>HAVERQ!AH141</f>
        <v>33421</v>
      </c>
    </row>
    <row r="136" spans="1:35" x14ac:dyDescent="0.35">
      <c r="A136" t="s">
        <v>301</v>
      </c>
      <c r="B136" t="str">
        <f t="shared" si="50"/>
        <v>2022</v>
      </c>
      <c r="C136" t="str">
        <f t="shared" si="51"/>
        <v>Q4</v>
      </c>
      <c r="D136" s="13">
        <f>HAVERQ!C142</f>
        <v>417728</v>
      </c>
      <c r="E136" s="13">
        <f>HAVERQ!D142</f>
        <v>14818</v>
      </c>
      <c r="F136" s="13">
        <f>HAVERQ!E142</f>
        <v>138174</v>
      </c>
      <c r="G136" s="13">
        <f>HAVERQ!F142</f>
        <v>128388</v>
      </c>
      <c r="H136" s="13">
        <f>HAVERQ!G142</f>
        <v>-2293</v>
      </c>
      <c r="I136" s="13">
        <f>HAVERQ!H142</f>
        <v>-18206</v>
      </c>
      <c r="J136" s="13">
        <f>HAVERQ!I142</f>
        <v>243314</v>
      </c>
      <c r="K136" s="13">
        <f>HAVERQ!J142</f>
        <v>231322</v>
      </c>
      <c r="L136" s="13">
        <f>HAVERQ!U142</f>
        <v>70060</v>
      </c>
      <c r="M136" s="13">
        <f>HAVERQ!V142</f>
        <v>21726</v>
      </c>
      <c r="N136" s="13">
        <f>HAVERQ!Y142</f>
        <v>7599</v>
      </c>
      <c r="O136" s="13">
        <f>HAVERQ!Z142</f>
        <v>18030</v>
      </c>
      <c r="P136" s="13">
        <f>HAVERQ!AA142</f>
        <v>28565</v>
      </c>
      <c r="Q136" s="13">
        <f>HAVERQ!AB142</f>
        <v>40260</v>
      </c>
      <c r="R136" s="13">
        <f>HAVERQ!AC142</f>
        <v>33851</v>
      </c>
      <c r="U136" s="13">
        <f>HAVERQ!M142</f>
        <v>428525</v>
      </c>
      <c r="V136" s="13">
        <f>HAVERQ!N142</f>
        <v>14818</v>
      </c>
      <c r="W136" s="13">
        <f>HAVERQ!O142</f>
        <v>138496</v>
      </c>
      <c r="X136" s="13">
        <f>HAVERQ!P142</f>
        <v>132171</v>
      </c>
      <c r="Y136" s="13">
        <f>HAVERQ!Q142</f>
        <v>-2753</v>
      </c>
      <c r="Z136" s="13">
        <f>HAVERQ!R142</f>
        <v>-18327</v>
      </c>
      <c r="AA136" s="13">
        <f>HAVERQ!S142</f>
        <v>249878</v>
      </c>
      <c r="AB136" s="13">
        <f>HAVERQ!T142</f>
        <v>234658</v>
      </c>
      <c r="AC136" s="13">
        <f>HAVERQ!W142</f>
        <v>74426</v>
      </c>
      <c r="AD136" s="13">
        <f>HAVERQ!X142</f>
        <v>19958</v>
      </c>
      <c r="AE136" s="13">
        <f>HAVERQ!AD142</f>
        <v>8893</v>
      </c>
      <c r="AF136" s="13">
        <f>HAVERQ!AE142</f>
        <v>18671</v>
      </c>
      <c r="AG136" s="13">
        <f>HAVERQ!AF142</f>
        <v>29084</v>
      </c>
      <c r="AH136" s="13">
        <f>HAVERQ!AG142</f>
        <v>41696</v>
      </c>
      <c r="AI136" s="13">
        <f>HAVERQ!AH142</f>
        <v>33653</v>
      </c>
    </row>
    <row r="137" spans="1:35" x14ac:dyDescent="0.35">
      <c r="A137" t="s">
        <v>302</v>
      </c>
      <c r="B137" t="str">
        <f t="shared" si="50"/>
        <v>2023</v>
      </c>
      <c r="C137" t="str">
        <f t="shared" si="51"/>
        <v>Q1</v>
      </c>
      <c r="D137" s="13">
        <f>HAVERQ!C143</f>
        <v>415180</v>
      </c>
      <c r="E137" s="13">
        <f>HAVERQ!D143</f>
        <v>14718</v>
      </c>
      <c r="F137" s="13">
        <f>HAVERQ!E143</f>
        <v>138343</v>
      </c>
      <c r="G137" s="13">
        <f>HAVERQ!F143</f>
        <v>132213</v>
      </c>
      <c r="H137" s="13">
        <f>HAVERQ!G143</f>
        <v>-3299</v>
      </c>
      <c r="I137" s="13">
        <f>HAVERQ!H143</f>
        <v>-6068</v>
      </c>
      <c r="J137" s="13">
        <f>HAVERQ!I143</f>
        <v>225852</v>
      </c>
      <c r="K137" s="13">
        <f>HAVERQ!J143</f>
        <v>227177</v>
      </c>
      <c r="L137" s="13">
        <f>HAVERQ!U143</f>
        <v>72990</v>
      </c>
      <c r="M137" s="13">
        <f>HAVERQ!V143</f>
        <v>22727</v>
      </c>
      <c r="N137" s="13">
        <f>HAVERQ!Y143</f>
        <v>7274</v>
      </c>
      <c r="O137" s="13">
        <f>HAVERQ!Z143</f>
        <v>19913</v>
      </c>
      <c r="P137" s="13">
        <f>HAVERQ!AA143</f>
        <v>28293</v>
      </c>
      <c r="Q137" s="13">
        <f>HAVERQ!AB143</f>
        <v>41381</v>
      </c>
      <c r="R137" s="13">
        <f>HAVERQ!AC143</f>
        <v>35324</v>
      </c>
      <c r="U137" s="13">
        <f>HAVERQ!M143</f>
        <v>404418</v>
      </c>
      <c r="V137" s="13">
        <f>HAVERQ!N143</f>
        <v>14718</v>
      </c>
      <c r="W137" s="13">
        <f>HAVERQ!O143</f>
        <v>140290</v>
      </c>
      <c r="X137" s="13">
        <f>HAVERQ!P143</f>
        <v>137252</v>
      </c>
      <c r="Y137" s="13">
        <f>HAVERQ!Q143</f>
        <v>-2806</v>
      </c>
      <c r="Z137" s="13">
        <f>HAVERQ!R143</f>
        <v>-6185</v>
      </c>
      <c r="AA137" s="13">
        <f>HAVERQ!S143</f>
        <v>220299</v>
      </c>
      <c r="AB137" s="13">
        <f>HAVERQ!T143</f>
        <v>224721</v>
      </c>
      <c r="AC137" s="13">
        <f>HAVERQ!W143</f>
        <v>70668</v>
      </c>
      <c r="AD137" s="13">
        <f>HAVERQ!X143</f>
        <v>31649</v>
      </c>
      <c r="AE137" s="13">
        <f>HAVERQ!AD143</f>
        <v>7220</v>
      </c>
      <c r="AF137" s="13">
        <f>HAVERQ!AE143</f>
        <v>21449</v>
      </c>
      <c r="AG137" s="13">
        <f>HAVERQ!AF143</f>
        <v>27819</v>
      </c>
      <c r="AH137" s="13">
        <f>HAVERQ!AG143</f>
        <v>43699</v>
      </c>
      <c r="AI137" s="13">
        <f>HAVERQ!AH143</f>
        <v>36979</v>
      </c>
    </row>
    <row r="138" spans="1:35" x14ac:dyDescent="0.35">
      <c r="A138" t="s">
        <v>303</v>
      </c>
      <c r="B138" t="str">
        <f t="shared" si="50"/>
        <v>2023</v>
      </c>
      <c r="C138" t="str">
        <f t="shared" si="51"/>
        <v>Q2</v>
      </c>
      <c r="D138" s="13">
        <f>HAVERQ!C144</f>
        <v>416034</v>
      </c>
      <c r="E138" s="13">
        <f>HAVERQ!D144</f>
        <v>14171</v>
      </c>
      <c r="F138" s="13">
        <f>HAVERQ!E144</f>
        <v>141823</v>
      </c>
      <c r="G138" s="13">
        <f>HAVERQ!F144</f>
        <v>129892</v>
      </c>
      <c r="H138" s="13">
        <f>HAVERQ!G144</f>
        <v>781</v>
      </c>
      <c r="I138" s="13">
        <f>HAVERQ!H144</f>
        <v>-3828</v>
      </c>
      <c r="J138" s="13">
        <f>HAVERQ!I144</f>
        <v>221718</v>
      </c>
      <c r="K138" s="13">
        <f>HAVERQ!J144</f>
        <v>230165</v>
      </c>
      <c r="L138" s="13">
        <f>HAVERQ!U144</f>
        <v>73232</v>
      </c>
      <c r="M138" s="13">
        <f>HAVERQ!V144</f>
        <v>20929</v>
      </c>
      <c r="N138" s="13">
        <f>HAVERQ!Y144</f>
        <v>7687</v>
      </c>
      <c r="O138" s="13">
        <f>HAVERQ!Z144</f>
        <v>18953</v>
      </c>
      <c r="P138" s="13">
        <f>HAVERQ!AA144</f>
        <v>27645</v>
      </c>
      <c r="Q138" s="13">
        <f>HAVERQ!AB144</f>
        <v>39490</v>
      </c>
      <c r="R138" s="13">
        <f>HAVERQ!AC144</f>
        <v>36093</v>
      </c>
      <c r="U138" s="13">
        <f>HAVERQ!M144</f>
        <v>415427</v>
      </c>
      <c r="V138" s="13">
        <f>HAVERQ!N144</f>
        <v>14171</v>
      </c>
      <c r="W138" s="13">
        <f>HAVERQ!O144</f>
        <v>140400</v>
      </c>
      <c r="X138" s="13">
        <f>HAVERQ!P144</f>
        <v>123522</v>
      </c>
      <c r="Y138" s="13">
        <f>HAVERQ!Q144</f>
        <v>1046</v>
      </c>
      <c r="Z138" s="13">
        <f>HAVERQ!R144</f>
        <v>-3851</v>
      </c>
      <c r="AA138" s="13">
        <f>HAVERQ!S144</f>
        <v>221235</v>
      </c>
      <c r="AB138" s="13">
        <f>HAVERQ!T144</f>
        <v>230172</v>
      </c>
      <c r="AC138" s="13">
        <f>HAVERQ!W144</f>
        <v>72073</v>
      </c>
      <c r="AD138" s="13">
        <f>HAVERQ!X144</f>
        <v>16308</v>
      </c>
      <c r="AE138" s="13">
        <f>HAVERQ!AD144</f>
        <v>7817</v>
      </c>
      <c r="AF138" s="13">
        <f>HAVERQ!AE144</f>
        <v>17333</v>
      </c>
      <c r="AG138" s="13">
        <f>HAVERQ!AF144</f>
        <v>27490</v>
      </c>
      <c r="AH138" s="13">
        <f>HAVERQ!AG144</f>
        <v>35665</v>
      </c>
      <c r="AI138" s="13">
        <f>HAVERQ!AH144</f>
        <v>35181</v>
      </c>
    </row>
    <row r="139" spans="1:35" x14ac:dyDescent="0.35">
      <c r="A139" t="s">
        <v>304</v>
      </c>
      <c r="B139" t="str">
        <f t="shared" si="50"/>
        <v>2023</v>
      </c>
      <c r="C139" t="str">
        <f t="shared" si="51"/>
        <v>Q3</v>
      </c>
      <c r="D139" s="13">
        <f>HAVERQ!C145</f>
        <v>410873</v>
      </c>
      <c r="E139" s="13">
        <f>HAVERQ!D145</f>
        <v>14030</v>
      </c>
      <c r="F139" s="13">
        <f>HAVERQ!E145</f>
        <v>143463</v>
      </c>
      <c r="G139" s="13">
        <f>HAVERQ!F145</f>
        <v>128215</v>
      </c>
      <c r="H139" s="13">
        <f>HAVERQ!G145</f>
        <v>-180</v>
      </c>
      <c r="I139" s="13">
        <f>HAVERQ!H145</f>
        <v>-1369</v>
      </c>
      <c r="J139" s="13">
        <f>HAVERQ!I145</f>
        <v>217808</v>
      </c>
      <c r="K139" s="13">
        <f>HAVERQ!J145</f>
        <v>225279</v>
      </c>
      <c r="L139" s="13">
        <f>HAVERQ!U145</f>
        <v>71430</v>
      </c>
      <c r="M139" s="13">
        <f>HAVERQ!V145</f>
        <v>22000</v>
      </c>
      <c r="N139" s="13">
        <f>HAVERQ!Y145</f>
        <v>7711</v>
      </c>
      <c r="O139" s="13">
        <f>HAVERQ!Z145</f>
        <v>18605</v>
      </c>
      <c r="P139" s="13">
        <f>HAVERQ!AA145</f>
        <v>26877</v>
      </c>
      <c r="Q139" s="13">
        <f>HAVERQ!AB145</f>
        <v>39510</v>
      </c>
      <c r="R139" s="13">
        <f>HAVERQ!AC145</f>
        <v>35544</v>
      </c>
      <c r="U139" s="13">
        <f>HAVERQ!M145</f>
        <v>412620</v>
      </c>
      <c r="V139" s="13">
        <f>HAVERQ!N145</f>
        <v>14030</v>
      </c>
      <c r="W139" s="13">
        <f>HAVERQ!O145</f>
        <v>142575</v>
      </c>
      <c r="X139" s="13">
        <f>HAVERQ!P145</f>
        <v>126097</v>
      </c>
      <c r="Y139" s="13">
        <f>HAVERQ!Q145</f>
        <v>2912</v>
      </c>
      <c r="Z139" s="13">
        <f>HAVERQ!R145</f>
        <v>-1152</v>
      </c>
      <c r="AA139" s="13">
        <f>HAVERQ!S145</f>
        <v>216713</v>
      </c>
      <c r="AB139" s="13">
        <f>HAVERQ!T145</f>
        <v>226743</v>
      </c>
      <c r="AC139" s="13">
        <f>HAVERQ!W145</f>
        <v>70899</v>
      </c>
      <c r="AD139" s="13">
        <f>HAVERQ!X145</f>
        <v>19437</v>
      </c>
      <c r="AE139" s="13">
        <f>HAVERQ!AD145</f>
        <v>6460</v>
      </c>
      <c r="AF139" s="13">
        <f>HAVERQ!AE145</f>
        <v>17940</v>
      </c>
      <c r="AG139" s="13">
        <f>HAVERQ!AF145</f>
        <v>27022</v>
      </c>
      <c r="AH139" s="13">
        <f>HAVERQ!AG145</f>
        <v>39686</v>
      </c>
      <c r="AI139" s="13">
        <f>HAVERQ!AH145</f>
        <v>35024</v>
      </c>
    </row>
    <row r="140" spans="1:35" x14ac:dyDescent="0.35">
      <c r="A140" t="s">
        <v>305</v>
      </c>
      <c r="B140" t="str">
        <f t="shared" si="50"/>
        <v>2023</v>
      </c>
      <c r="C140" t="str">
        <f t="shared" si="51"/>
        <v>Q4</v>
      </c>
      <c r="D140" s="13">
        <f>HAVERQ!C146</f>
        <v>410194</v>
      </c>
      <c r="E140" s="13">
        <f>HAVERQ!D146</f>
        <v>13703</v>
      </c>
      <c r="F140" s="13">
        <f>HAVERQ!E146</f>
        <v>143740</v>
      </c>
      <c r="G140" s="13">
        <f>HAVERQ!F146</f>
        <v>129771</v>
      </c>
      <c r="H140" s="13">
        <f>HAVERQ!G146</f>
        <v>3982</v>
      </c>
      <c r="I140" s="13">
        <f>HAVERQ!H146</f>
        <v>-2077</v>
      </c>
      <c r="J140" s="13">
        <f>HAVERQ!I146</f>
        <v>212900</v>
      </c>
      <c r="K140" s="13">
        <f>HAVERQ!J146</f>
        <v>227798</v>
      </c>
      <c r="L140" s="13">
        <f>HAVERQ!U146</f>
        <v>72935</v>
      </c>
      <c r="M140" s="13">
        <f>HAVERQ!V146</f>
        <v>22577</v>
      </c>
      <c r="N140" s="13">
        <f>HAVERQ!Y146</f>
        <v>8110</v>
      </c>
      <c r="O140" s="13">
        <f>HAVERQ!Z146</f>
        <v>19460</v>
      </c>
      <c r="P140" s="13">
        <f>HAVERQ!AA146</f>
        <v>26673</v>
      </c>
      <c r="Q140" s="13">
        <f>HAVERQ!AB146</f>
        <v>39993</v>
      </c>
      <c r="R140" s="13">
        <f>HAVERQ!AC146</f>
        <v>35556</v>
      </c>
      <c r="U140" s="13">
        <f>HAVERQ!M146</f>
        <v>419816</v>
      </c>
      <c r="V140" s="13">
        <f>HAVERQ!N146</f>
        <v>13703</v>
      </c>
      <c r="W140" s="13">
        <f>HAVERQ!O146</f>
        <v>144104</v>
      </c>
      <c r="X140" s="13">
        <f>HAVERQ!P146</f>
        <v>133220</v>
      </c>
      <c r="Y140" s="13">
        <f>HAVERQ!Q146</f>
        <v>132</v>
      </c>
      <c r="Z140" s="13">
        <f>HAVERQ!R146</f>
        <v>-2154</v>
      </c>
      <c r="AA140" s="13">
        <f>HAVERQ!S146</f>
        <v>220031</v>
      </c>
      <c r="AB140" s="13">
        <f>HAVERQ!T146</f>
        <v>228783</v>
      </c>
      <c r="AC140" s="13">
        <f>HAVERQ!W146</f>
        <v>76946</v>
      </c>
      <c r="AD140" s="13">
        <f>HAVERQ!X146</f>
        <v>20839</v>
      </c>
      <c r="AE140" s="13">
        <f>HAVERQ!AD146</f>
        <v>9284</v>
      </c>
      <c r="AF140" s="13">
        <f>HAVERQ!AE146</f>
        <v>20208</v>
      </c>
      <c r="AG140" s="13">
        <f>HAVERQ!AF146</f>
        <v>27157</v>
      </c>
      <c r="AH140" s="13">
        <f>HAVERQ!AG146</f>
        <v>41324</v>
      </c>
      <c r="AI140" s="13">
        <f>HAVERQ!AH146</f>
        <v>35333</v>
      </c>
    </row>
    <row r="141" spans="1:35" x14ac:dyDescent="0.35">
      <c r="A141" t="s">
        <v>306</v>
      </c>
      <c r="B141" t="str">
        <f t="shared" si="50"/>
        <v>2024</v>
      </c>
      <c r="C141" t="str">
        <f t="shared" si="51"/>
        <v>Q1</v>
      </c>
      <c r="D141" s="13">
        <f>HAVERQ!C147</f>
        <v>411441</v>
      </c>
      <c r="E141" s="13">
        <f>HAVERQ!D147</f>
        <v>13244</v>
      </c>
      <c r="F141" s="13">
        <f>HAVERQ!E147</f>
        <v>144170</v>
      </c>
      <c r="G141" s="13">
        <f>HAVERQ!F147</f>
        <v>131654</v>
      </c>
      <c r="H141" s="13">
        <f>HAVERQ!G147</f>
        <v>-244</v>
      </c>
      <c r="I141" s="13">
        <f>HAVERQ!H147</f>
        <v>-2268</v>
      </c>
      <c r="J141" s="13">
        <f>HAVERQ!I147</f>
        <v>219031</v>
      </c>
      <c r="K141" s="13">
        <f>HAVERQ!J147</f>
        <v>225503</v>
      </c>
      <c r="L141" s="13">
        <f>HAVERQ!U147</f>
        <v>72967</v>
      </c>
      <c r="M141" s="13">
        <f>HAVERQ!V147</f>
        <v>23401</v>
      </c>
      <c r="N141" s="13">
        <f>HAVERQ!Y147</f>
        <v>7517</v>
      </c>
      <c r="O141" s="13">
        <f>HAVERQ!Z147</f>
        <v>18986</v>
      </c>
      <c r="P141" s="13">
        <f>HAVERQ!AA147</f>
        <v>27542</v>
      </c>
      <c r="Q141" s="13">
        <f>HAVERQ!AB147</f>
        <v>43087</v>
      </c>
      <c r="R141" s="13">
        <f>HAVERQ!AC147</f>
        <v>34522</v>
      </c>
      <c r="U141" s="13">
        <f>HAVERQ!M147</f>
        <v>400732</v>
      </c>
      <c r="V141" s="13">
        <f>HAVERQ!N147</f>
        <v>13244</v>
      </c>
      <c r="W141" s="13">
        <f>HAVERQ!O147</f>
        <v>145103</v>
      </c>
      <c r="X141" s="13">
        <f>HAVERQ!P147</f>
        <v>138333</v>
      </c>
      <c r="Y141" s="13">
        <f>HAVERQ!Q147</f>
        <v>3422</v>
      </c>
      <c r="Z141" s="13">
        <f>HAVERQ!R147</f>
        <v>-2587</v>
      </c>
      <c r="AA141" s="13">
        <f>HAVERQ!S147</f>
        <v>213722</v>
      </c>
      <c r="AB141" s="13">
        <f>HAVERQ!T147</f>
        <v>219420</v>
      </c>
      <c r="AC141" s="13">
        <f>HAVERQ!W147</f>
        <v>71973</v>
      </c>
      <c r="AD141" s="13">
        <f>HAVERQ!X147</f>
        <v>32342</v>
      </c>
      <c r="AE141" s="13">
        <f>HAVERQ!AD147</f>
        <v>6941</v>
      </c>
      <c r="AF141" s="13">
        <f>HAVERQ!AE147</f>
        <v>20958</v>
      </c>
      <c r="AG141" s="13">
        <f>HAVERQ!AF147</f>
        <v>26998</v>
      </c>
      <c r="AH141" s="13">
        <f>HAVERQ!AG147</f>
        <v>47356</v>
      </c>
      <c r="AI141" s="13">
        <f>HAVERQ!AH147</f>
        <v>36079</v>
      </c>
    </row>
    <row r="142" spans="1:35" x14ac:dyDescent="0.35">
      <c r="A142" t="s">
        <v>307</v>
      </c>
      <c r="B142" t="str">
        <f t="shared" si="50"/>
        <v>2024</v>
      </c>
      <c r="C142" t="str">
        <f t="shared" si="51"/>
        <v>Q2</v>
      </c>
      <c r="D142" s="13">
        <f>HAVERQ!C148</f>
        <v>411111</v>
      </c>
      <c r="E142" s="13">
        <f>HAVERQ!D148</f>
        <v>13301</v>
      </c>
      <c r="F142" s="13">
        <f>HAVERQ!E148</f>
        <v>145729</v>
      </c>
      <c r="G142" s="13">
        <f>HAVERQ!F148</f>
        <v>130980</v>
      </c>
      <c r="H142" s="13">
        <f>HAVERQ!G148</f>
        <v>3650</v>
      </c>
      <c r="I142" s="13">
        <f>HAVERQ!H148</f>
        <v>6138</v>
      </c>
      <c r="J142" s="13">
        <f>HAVERQ!I148</f>
        <v>222214</v>
      </c>
      <c r="K142" s="13">
        <f>HAVERQ!J148</f>
        <v>237307</v>
      </c>
      <c r="L142" s="13">
        <f>HAVERQ!U148</f>
        <v>74272</v>
      </c>
      <c r="M142" s="13">
        <f>HAVERQ!V148</f>
        <v>21785</v>
      </c>
      <c r="N142" s="13">
        <f>HAVERQ!Y148</f>
        <v>8738</v>
      </c>
      <c r="O142" s="13">
        <f>HAVERQ!Z148</f>
        <v>18722</v>
      </c>
      <c r="P142" s="13">
        <f>HAVERQ!AA148</f>
        <v>27195</v>
      </c>
      <c r="Q142" s="13">
        <f>HAVERQ!AB148</f>
        <v>40622</v>
      </c>
      <c r="R142" s="13">
        <f>HAVERQ!AC148</f>
        <v>35704</v>
      </c>
      <c r="U142" s="13">
        <f>HAVERQ!M148</f>
        <v>409583</v>
      </c>
      <c r="V142" s="13">
        <f>HAVERQ!N148</f>
        <v>13301</v>
      </c>
      <c r="W142" s="13">
        <f>HAVERQ!O148</f>
        <v>144956</v>
      </c>
      <c r="X142" s="13">
        <f>HAVERQ!P148</f>
        <v>126522</v>
      </c>
      <c r="Y142" s="13">
        <f>HAVERQ!Q148</f>
        <v>-1714</v>
      </c>
      <c r="Z142" s="13">
        <f>HAVERQ!R148</f>
        <v>6158</v>
      </c>
      <c r="AA142" s="13">
        <f>HAVERQ!S148</f>
        <v>221360</v>
      </c>
      <c r="AB142" s="13">
        <f>HAVERQ!T148</f>
        <v>237651</v>
      </c>
      <c r="AC142" s="13">
        <f>HAVERQ!W148</f>
        <v>74260</v>
      </c>
      <c r="AD142" s="13">
        <f>HAVERQ!X148</f>
        <v>17546</v>
      </c>
      <c r="AE142" s="13">
        <f>HAVERQ!AD148</f>
        <v>8681</v>
      </c>
      <c r="AF142" s="13">
        <f>HAVERQ!AE148</f>
        <v>16955</v>
      </c>
      <c r="AG142" s="13">
        <f>HAVERQ!AF148</f>
        <v>27248</v>
      </c>
      <c r="AH142" s="13">
        <f>HAVERQ!AG148</f>
        <v>38744</v>
      </c>
      <c r="AI142" s="13">
        <f>HAVERQ!AH148</f>
        <v>34894</v>
      </c>
    </row>
    <row r="143" spans="1:35" x14ac:dyDescent="0.35">
      <c r="A143" t="s">
        <v>308</v>
      </c>
      <c r="B143" t="str">
        <f t="shared" si="50"/>
        <v>2024</v>
      </c>
      <c r="C143" t="str">
        <f t="shared" si="51"/>
        <v>Q3</v>
      </c>
      <c r="D143" s="13">
        <f>HAVERQ!C149</f>
        <v>413697</v>
      </c>
      <c r="E143" s="13">
        <f>HAVERQ!D149</f>
        <v>13808</v>
      </c>
      <c r="F143" s="13">
        <f>HAVERQ!E149</f>
        <v>146451</v>
      </c>
      <c r="G143" s="13">
        <f>HAVERQ!F149</f>
        <v>133371</v>
      </c>
      <c r="H143" s="13">
        <f>HAVERQ!G149</f>
        <v>-1372</v>
      </c>
      <c r="I143" s="13">
        <f>HAVERQ!H149</f>
        <v>-741</v>
      </c>
      <c r="J143" s="13">
        <f>HAVERQ!I149</f>
        <v>224204</v>
      </c>
      <c r="K143" s="13">
        <f>HAVERQ!J149</f>
        <v>231822</v>
      </c>
      <c r="L143" s="13">
        <f>HAVERQ!U149</f>
        <v>75944</v>
      </c>
      <c r="M143" s="13">
        <f>HAVERQ!V149</f>
        <v>23515</v>
      </c>
      <c r="N143" s="13">
        <f>HAVERQ!Y149</f>
        <v>7553</v>
      </c>
      <c r="O143" s="13">
        <f>HAVERQ!Z149</f>
        <v>19173</v>
      </c>
      <c r="P143" s="13">
        <f>HAVERQ!AA149</f>
        <v>26775</v>
      </c>
      <c r="Q143" s="13">
        <f>HAVERQ!AB149</f>
        <v>43771</v>
      </c>
      <c r="R143" s="13">
        <f>HAVERQ!AC149</f>
        <v>36098</v>
      </c>
      <c r="U143" s="13">
        <f>HAVERQ!M149</f>
        <v>416683</v>
      </c>
      <c r="V143" s="13">
        <f>HAVERQ!N149</f>
        <v>13808</v>
      </c>
      <c r="W143" s="13">
        <f>HAVERQ!O149</f>
        <v>145716</v>
      </c>
      <c r="X143" s="13">
        <f>HAVERQ!P149</f>
        <v>129413</v>
      </c>
      <c r="Y143" s="13">
        <f>HAVERQ!Q149</f>
        <v>4625</v>
      </c>
      <c r="Z143" s="13">
        <f>HAVERQ!R149</f>
        <v>-462</v>
      </c>
      <c r="AA143" s="13">
        <f>HAVERQ!S149</f>
        <v>222876</v>
      </c>
      <c r="AB143" s="13">
        <f>HAVERQ!T149</f>
        <v>234051</v>
      </c>
      <c r="AC143" s="13">
        <f>HAVERQ!W149</f>
        <v>74201</v>
      </c>
      <c r="AD143" s="13">
        <f>HAVERQ!X149</f>
        <v>20581</v>
      </c>
      <c r="AE143" s="13">
        <f>HAVERQ!AD149</f>
        <v>6760</v>
      </c>
      <c r="AF143" s="13">
        <f>HAVERQ!AE149</f>
        <v>18449</v>
      </c>
      <c r="AG143" s="13">
        <f>HAVERQ!AF149</f>
        <v>26999</v>
      </c>
      <c r="AH143" s="13">
        <f>HAVERQ!AG149</f>
        <v>41657</v>
      </c>
      <c r="AI143" s="13">
        <f>HAVERQ!AH149</f>
        <v>35548</v>
      </c>
    </row>
    <row r="144" spans="1:35" x14ac:dyDescent="0.35">
      <c r="A144" t="s">
        <v>309</v>
      </c>
      <c r="B144" t="str">
        <f t="shared" si="50"/>
        <v>2024</v>
      </c>
      <c r="C144" t="str">
        <f t="shared" si="51"/>
        <v>Q4</v>
      </c>
      <c r="D144" s="13">
        <f>HAVERQ!C150</f>
        <v>414478</v>
      </c>
      <c r="E144" s="13">
        <f>HAVERQ!D150</f>
        <v>14273</v>
      </c>
      <c r="F144" s="13">
        <f>HAVERQ!E150</f>
        <v>147634</v>
      </c>
      <c r="G144" s="13">
        <f>HAVERQ!F150</f>
        <v>133272</v>
      </c>
      <c r="H144" s="13">
        <f>HAVERQ!G150</f>
        <v>3347</v>
      </c>
      <c r="I144" s="13">
        <f>HAVERQ!H150</f>
        <v>2693</v>
      </c>
      <c r="J144" s="13">
        <f>HAVERQ!I150</f>
        <v>224505</v>
      </c>
      <c r="K144" s="13">
        <f>HAVERQ!J150</f>
        <v>240214</v>
      </c>
      <c r="L144" s="13">
        <f>HAVERQ!U150</f>
        <v>75108</v>
      </c>
      <c r="M144" s="13">
        <f>HAVERQ!V150</f>
        <v>23225</v>
      </c>
      <c r="N144" s="13">
        <f>HAVERQ!Y150</f>
        <v>7346</v>
      </c>
      <c r="O144" s="13">
        <f>HAVERQ!Z150</f>
        <v>18840</v>
      </c>
      <c r="P144" s="13">
        <f>HAVERQ!AA150</f>
        <v>27159</v>
      </c>
      <c r="Q144" s="13">
        <f>HAVERQ!AB150</f>
        <v>43839</v>
      </c>
      <c r="R144" s="13">
        <f>HAVERQ!AC150</f>
        <v>36088</v>
      </c>
      <c r="U144" s="13">
        <f>HAVERQ!M150</f>
        <v>423729</v>
      </c>
      <c r="V144" s="13">
        <f>HAVERQ!N150</f>
        <v>14273</v>
      </c>
      <c r="W144" s="13">
        <f>HAVERQ!O150</f>
        <v>148209</v>
      </c>
      <c r="X144" s="13">
        <f>HAVERQ!P150</f>
        <v>135009</v>
      </c>
      <c r="Y144" s="13">
        <f>HAVERQ!Q150</f>
        <v>-952</v>
      </c>
      <c r="Z144" s="13">
        <f>HAVERQ!R150</f>
        <v>2713</v>
      </c>
      <c r="AA144" s="13">
        <f>HAVERQ!S150</f>
        <v>231996</v>
      </c>
      <c r="AB144" s="13">
        <f>HAVERQ!T150</f>
        <v>243724</v>
      </c>
      <c r="AC144" s="13">
        <f>HAVERQ!W150</f>
        <v>77859</v>
      </c>
      <c r="AD144" s="13">
        <f>HAVERQ!X150</f>
        <v>21456</v>
      </c>
      <c r="AE144" s="13">
        <f>HAVERQ!AD150</f>
        <v>8772</v>
      </c>
      <c r="AF144" s="13">
        <f>HAVERQ!AE150</f>
        <v>19357</v>
      </c>
      <c r="AG144" s="13">
        <f>HAVERQ!AF150</f>
        <v>27426</v>
      </c>
      <c r="AH144" s="13">
        <f>HAVERQ!AG150</f>
        <v>43562</v>
      </c>
      <c r="AI144" s="13">
        <f>HAVERQ!AH150</f>
        <v>35892</v>
      </c>
    </row>
    <row r="145" spans="1:35" x14ac:dyDescent="0.35">
      <c r="A145" t="s">
        <v>310</v>
      </c>
      <c r="B145" t="str">
        <f t="shared" si="50"/>
        <v>2025</v>
      </c>
      <c r="C145" t="str">
        <f t="shared" si="51"/>
        <v>Q1</v>
      </c>
      <c r="D145" s="13">
        <f>HAVERQ!C151</f>
        <v>415543</v>
      </c>
      <c r="E145" s="13">
        <f>HAVERQ!D151</f>
        <v>14449</v>
      </c>
      <c r="F145" s="13">
        <f>HAVERQ!E151</f>
        <v>147128</v>
      </c>
      <c r="G145" s="13">
        <f>HAVERQ!F151</f>
        <v>137360</v>
      </c>
      <c r="H145" s="13">
        <f>HAVERQ!G151</f>
        <v>231</v>
      </c>
      <c r="I145" s="13">
        <f>HAVERQ!H151</f>
        <v>4353</v>
      </c>
      <c r="J145" s="13">
        <f>HAVERQ!I151</f>
        <v>228223</v>
      </c>
      <c r="K145" s="13">
        <f>HAVERQ!J151</f>
        <v>242960</v>
      </c>
      <c r="L145" s="13">
        <f>HAVERQ!U151</f>
        <v>78377</v>
      </c>
      <c r="M145" s="13">
        <f>HAVERQ!V151</f>
        <v>23664</v>
      </c>
      <c r="N145" s="13">
        <f>HAVERQ!Y151</f>
        <v>7423</v>
      </c>
      <c r="O145" s="13">
        <f>HAVERQ!Z151</f>
        <v>20347</v>
      </c>
      <c r="P145" s="13">
        <f>HAVERQ!AA151</f>
        <v>27234</v>
      </c>
      <c r="Q145" s="13">
        <f>HAVERQ!AB151</f>
        <v>45940</v>
      </c>
      <c r="R145" s="13">
        <f>HAVERQ!AC151</f>
        <v>36416</v>
      </c>
      <c r="U145" s="13">
        <f>HAVERQ!M151</f>
        <v>404405</v>
      </c>
      <c r="V145" s="13">
        <f>HAVERQ!N151</f>
        <v>14449</v>
      </c>
      <c r="W145" s="13">
        <f>HAVERQ!O151</f>
        <v>148423</v>
      </c>
      <c r="X145" s="13">
        <f>HAVERQ!P151</f>
        <v>144673</v>
      </c>
      <c r="Y145" s="13">
        <f>HAVERQ!Q151</f>
        <v>6488</v>
      </c>
      <c r="Z145" s="13">
        <f>HAVERQ!R151</f>
        <v>4012</v>
      </c>
      <c r="AA145" s="13">
        <f>HAVERQ!S151</f>
        <v>222484</v>
      </c>
      <c r="AB145" s="13">
        <f>HAVERQ!T151</f>
        <v>236224</v>
      </c>
      <c r="AC145" s="13">
        <f>HAVERQ!W151</f>
        <v>77492</v>
      </c>
      <c r="AD145" s="13">
        <f>HAVERQ!X151</f>
        <v>33139</v>
      </c>
      <c r="AE145" s="13">
        <f>HAVERQ!AD151</f>
        <v>6686</v>
      </c>
      <c r="AF145" s="13">
        <f>HAVERQ!AE151</f>
        <v>22542</v>
      </c>
      <c r="AG145" s="13">
        <f>HAVERQ!AF151</f>
        <v>26719</v>
      </c>
      <c r="AH145" s="13">
        <f>HAVERQ!AG151</f>
        <v>50685</v>
      </c>
      <c r="AI145" s="13">
        <f>HAVERQ!AH151</f>
        <v>38041</v>
      </c>
    </row>
    <row r="146" spans="1:35" x14ac:dyDescent="0.35">
      <c r="A146" t="s">
        <v>311</v>
      </c>
      <c r="B146" t="str">
        <f t="shared" si="50"/>
        <v>2025</v>
      </c>
      <c r="C146" t="str">
        <f t="shared" si="51"/>
        <v>Q2</v>
      </c>
      <c r="D146" s="13">
        <f>HAVERQ!C152</f>
        <v>415740</v>
      </c>
      <c r="E146" s="13">
        <f>HAVERQ!D152</f>
        <v>14795</v>
      </c>
      <c r="F146" s="13">
        <f>HAVERQ!E152</f>
        <v>148559</v>
      </c>
      <c r="G146" s="13">
        <f>HAVERQ!F152</f>
        <v>137038</v>
      </c>
      <c r="H146" s="13">
        <f>HAVERQ!G152</f>
        <v>3169</v>
      </c>
      <c r="I146" s="13">
        <f>HAVERQ!H152</f>
        <v>4152</v>
      </c>
      <c r="J146" s="13">
        <f>HAVERQ!I152</f>
        <v>224282</v>
      </c>
      <c r="K146" s="13">
        <f>HAVERQ!J152</f>
        <v>242011</v>
      </c>
      <c r="L146" s="13">
        <f>HAVERQ!U152</f>
        <v>77684</v>
      </c>
      <c r="M146" s="13">
        <f>HAVERQ!V152</f>
        <v>23696</v>
      </c>
      <c r="N146" s="13">
        <f>HAVERQ!Y152</f>
        <v>6512</v>
      </c>
      <c r="O146" s="13">
        <f>HAVERQ!Z152</f>
        <v>19401</v>
      </c>
      <c r="P146" s="13">
        <f>HAVERQ!AA152</f>
        <v>27854</v>
      </c>
      <c r="Q146" s="13">
        <f>HAVERQ!AB152</f>
        <v>46684</v>
      </c>
      <c r="R146" s="13">
        <f>HAVERQ!AC152</f>
        <v>36589</v>
      </c>
      <c r="U146" s="13">
        <f>HAVERQ!M152</f>
        <v>414567</v>
      </c>
      <c r="V146" s="13">
        <f>HAVERQ!N152</f>
        <v>14795</v>
      </c>
      <c r="W146" s="13">
        <f>HAVERQ!O152</f>
        <v>147364</v>
      </c>
      <c r="X146" s="13">
        <f>HAVERQ!P152</f>
        <v>130534</v>
      </c>
      <c r="Y146" s="13">
        <f>HAVERQ!Q152</f>
        <v>-2166</v>
      </c>
      <c r="Z146" s="13">
        <f>HAVERQ!R152</f>
        <v>4188</v>
      </c>
      <c r="AA146" s="13">
        <f>HAVERQ!S152</f>
        <v>223628</v>
      </c>
      <c r="AB146" s="13">
        <f>HAVERQ!T152</f>
        <v>241816</v>
      </c>
      <c r="AC146" s="13">
        <f>HAVERQ!W152</f>
        <v>76370</v>
      </c>
      <c r="AD146" s="13">
        <f>HAVERQ!X152</f>
        <v>18765</v>
      </c>
      <c r="AE146" s="13">
        <f>HAVERQ!AD152</f>
        <v>6577</v>
      </c>
      <c r="AF146" s="13">
        <f>HAVERQ!AE152</f>
        <v>17536</v>
      </c>
      <c r="AG146" s="13">
        <f>HAVERQ!AF152</f>
        <v>27932</v>
      </c>
      <c r="AH146" s="13">
        <f>HAVERQ!AG152</f>
        <v>42612</v>
      </c>
      <c r="AI146" s="13">
        <f>HAVERQ!AH152</f>
        <v>35877</v>
      </c>
    </row>
    <row r="147" spans="1:35" x14ac:dyDescent="0.35">
      <c r="A147" t="s">
        <v>312</v>
      </c>
      <c r="B147" t="str">
        <f t="shared" si="50"/>
        <v>2025</v>
      </c>
      <c r="C147" t="str">
        <f t="shared" si="51"/>
        <v>Q3</v>
      </c>
      <c r="D147" s="13">
        <f>HAVERQ!C153</f>
        <v>416050</v>
      </c>
      <c r="E147" s="13">
        <f>HAVERQ!D153</f>
        <v>14893</v>
      </c>
      <c r="F147" s="13">
        <f>HAVERQ!E153</f>
        <v>149041</v>
      </c>
      <c r="G147" s="13">
        <f>HAVERQ!F153</f>
        <v>138632</v>
      </c>
      <c r="H147" s="13">
        <f>HAVERQ!G153</f>
        <v>355</v>
      </c>
      <c r="I147" s="13">
        <f>HAVERQ!H153</f>
        <v>1672</v>
      </c>
      <c r="J147" s="13">
        <f>HAVERQ!I153</f>
        <v>228749</v>
      </c>
      <c r="K147" s="13">
        <f>HAVERQ!J153</f>
        <v>243103</v>
      </c>
      <c r="L147" s="13">
        <f>HAVERQ!U153</f>
        <v>78575</v>
      </c>
      <c r="M147" s="13">
        <f>HAVERQ!V153</f>
        <v>23247</v>
      </c>
      <c r="N147" s="13">
        <f>HAVERQ!Y153</f>
        <v>5951</v>
      </c>
      <c r="O147" s="13">
        <f>HAVERQ!Z153</f>
        <v>20951</v>
      </c>
      <c r="P147" s="13">
        <f>HAVERQ!AA153</f>
        <v>28160</v>
      </c>
      <c r="Q147" s="13">
        <f>HAVERQ!AB153</f>
        <v>46900</v>
      </c>
      <c r="R147" s="13">
        <f>HAVERQ!AC153</f>
        <v>36671</v>
      </c>
      <c r="U147" s="13">
        <f>HAVERQ!M153</f>
        <v>419029</v>
      </c>
      <c r="V147" s="13">
        <f>HAVERQ!N153</f>
        <v>14893</v>
      </c>
      <c r="W147" s="13">
        <f>HAVERQ!O153</f>
        <v>148314</v>
      </c>
      <c r="X147" s="13">
        <f>HAVERQ!P153</f>
        <v>135958</v>
      </c>
      <c r="Y147" s="13">
        <f>HAVERQ!Q153</f>
        <v>4458</v>
      </c>
      <c r="Z147" s="13">
        <f>HAVERQ!R153</f>
        <v>1957</v>
      </c>
      <c r="AA147" s="13">
        <f>HAVERQ!S153</f>
        <v>228019</v>
      </c>
      <c r="AB147" s="13">
        <f>HAVERQ!T153</f>
        <v>246633</v>
      </c>
      <c r="AC147" s="13">
        <f>HAVERQ!W153</f>
        <v>78049</v>
      </c>
      <c r="AD147" s="13">
        <f>HAVERQ!X153</f>
        <v>20353</v>
      </c>
      <c r="AE147" s="13">
        <f>HAVERQ!AD153</f>
        <v>5428</v>
      </c>
      <c r="AF147" s="13">
        <f>HAVERQ!AE153</f>
        <v>20115</v>
      </c>
      <c r="AG147" s="13">
        <f>HAVERQ!AF153</f>
        <v>28370</v>
      </c>
      <c r="AH147" s="13">
        <f>HAVERQ!AG153</f>
        <v>45890</v>
      </c>
      <c r="AI147" s="13">
        <f>HAVERQ!AH153</f>
        <v>36155</v>
      </c>
    </row>
    <row r="148" spans="1:35" x14ac:dyDescent="0.35">
      <c r="A148" t="s">
        <v>313</v>
      </c>
      <c r="B148" t="str">
        <f t="shared" si="50"/>
        <v>2025</v>
      </c>
      <c r="C148" t="str">
        <f t="shared" si="51"/>
        <v>Q4</v>
      </c>
      <c r="D148" s="13">
        <f>HAVERQ!C154</f>
        <v>416308</v>
      </c>
      <c r="E148" s="13">
        <f>HAVERQ!D154</f>
        <v>14870</v>
      </c>
      <c r="F148" s="13">
        <f>HAVERQ!E154</f>
        <v>149250</v>
      </c>
      <c r="G148" s="13">
        <f>HAVERQ!F154</f>
        <v>138849</v>
      </c>
      <c r="H148" s="13">
        <f>HAVERQ!G154</f>
        <v>-992</v>
      </c>
      <c r="I148" s="13">
        <f>HAVERQ!H154</f>
        <v>5891</v>
      </c>
      <c r="J148" s="13">
        <f>HAVERQ!I154</f>
        <v>227206</v>
      </c>
      <c r="K148" s="13">
        <f>HAVERQ!J154</f>
        <v>244706</v>
      </c>
      <c r="L148" s="13">
        <f>HAVERQ!U154</f>
        <v>76573</v>
      </c>
      <c r="M148" s="13">
        <f>HAVERQ!V154</f>
        <v>25855</v>
      </c>
      <c r="N148" s="13">
        <f>HAVERQ!Y154</f>
        <v>4867</v>
      </c>
      <c r="O148" s="13">
        <f>HAVERQ!Z154</f>
        <v>20288</v>
      </c>
      <c r="P148" s="13">
        <f>HAVERQ!AA154</f>
        <v>27560</v>
      </c>
      <c r="Q148" s="13">
        <f>HAVERQ!AB154</f>
        <v>47128</v>
      </c>
      <c r="R148" s="13">
        <f>HAVERQ!AC154</f>
        <v>39005</v>
      </c>
      <c r="U148" s="13">
        <f>HAVERQ!M154</f>
        <v>425640</v>
      </c>
      <c r="V148" s="13">
        <f>HAVERQ!N154</f>
        <v>14870</v>
      </c>
      <c r="W148" s="13">
        <f>HAVERQ!O154</f>
        <v>149877</v>
      </c>
      <c r="X148" s="13">
        <f>HAVERQ!P154</f>
        <v>140714</v>
      </c>
      <c r="Y148" s="13">
        <f>HAVERQ!Q154</f>
        <v>-6017</v>
      </c>
      <c r="Z148" s="13">
        <f>HAVERQ!R154</f>
        <v>5911</v>
      </c>
      <c r="AA148" s="13">
        <f>HAVERQ!S154</f>
        <v>234329</v>
      </c>
      <c r="AB148" s="13">
        <f>HAVERQ!T154</f>
        <v>248107</v>
      </c>
      <c r="AC148" s="13">
        <f>HAVERQ!W154</f>
        <v>79298</v>
      </c>
      <c r="AD148" s="13">
        <f>HAVERQ!X154</f>
        <v>24206</v>
      </c>
      <c r="AE148" s="13">
        <f>HAVERQ!AD154</f>
        <v>6063</v>
      </c>
      <c r="AF148" s="13">
        <f>HAVERQ!AE154</f>
        <v>20794</v>
      </c>
      <c r="AG148" s="13">
        <f>HAVERQ!AF154</f>
        <v>27785</v>
      </c>
      <c r="AH148" s="13">
        <f>HAVERQ!AG154</f>
        <v>47464</v>
      </c>
      <c r="AI148" s="13">
        <f>HAVERQ!AH154</f>
        <v>38607</v>
      </c>
    </row>
  </sheetData>
  <pageMargins left="0.7" right="0.7" top="0.75" bottom="0.75" header="0.3" footer="0.3"/>
  <ignoredErrors>
    <ignoredError sqref="AC5:AD32" evalError="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2C7B0-53AE-463A-830E-7B1FC513C5FA}">
  <sheetPr>
    <tabColor rgb="FFC00000"/>
  </sheetPr>
  <dimension ref="A1"/>
  <sheetViews>
    <sheetView workbookViewId="0"/>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1728C-BF3F-4B5E-8BAD-7D82683B1484}">
  <dimension ref="A1:Y148"/>
  <sheetViews>
    <sheetView zoomScale="85" zoomScaleNormal="85" workbookViewId="0">
      <pane xSplit="3" ySplit="4" topLeftCell="D41" activePane="bottomRight" state="frozen"/>
      <selection pane="topRight" activeCell="D1" sqref="D1"/>
      <selection pane="bottomLeft" activeCell="A5" sqref="A5"/>
      <selection pane="bottomRight" activeCell="W31" sqref="W31"/>
    </sheetView>
  </sheetViews>
  <sheetFormatPr defaultRowHeight="14.5" x14ac:dyDescent="0.35"/>
  <cols>
    <col min="7" max="7" width="3.08984375" customWidth="1"/>
    <col min="14" max="15" width="3.08984375" customWidth="1"/>
  </cols>
  <sheetData>
    <row r="1" spans="1:23" x14ac:dyDescent="0.35">
      <c r="D1" s="7" t="s">
        <v>341</v>
      </c>
      <c r="H1" s="7" t="s">
        <v>347</v>
      </c>
      <c r="P1" s="7"/>
      <c r="S1" s="7"/>
    </row>
    <row r="4" spans="1:23" x14ac:dyDescent="0.35">
      <c r="A4" t="s">
        <v>336</v>
      </c>
      <c r="B4" t="s">
        <v>339</v>
      </c>
      <c r="C4" t="s">
        <v>340</v>
      </c>
      <c r="D4" t="s">
        <v>337</v>
      </c>
      <c r="E4" t="s">
        <v>338</v>
      </c>
      <c r="F4" t="s">
        <v>342</v>
      </c>
      <c r="H4" t="s">
        <v>339</v>
      </c>
      <c r="I4" t="s">
        <v>343</v>
      </c>
      <c r="J4" t="s">
        <v>344</v>
      </c>
      <c r="K4" t="s">
        <v>345</v>
      </c>
      <c r="L4" t="s">
        <v>346</v>
      </c>
      <c r="M4" t="s">
        <v>348</v>
      </c>
      <c r="P4" t="s">
        <v>343</v>
      </c>
      <c r="Q4" t="s">
        <v>344</v>
      </c>
      <c r="R4" t="s">
        <v>345</v>
      </c>
      <c r="S4" t="s">
        <v>346</v>
      </c>
      <c r="T4" t="s">
        <v>348</v>
      </c>
    </row>
    <row r="5" spans="1:23" x14ac:dyDescent="0.35">
      <c r="A5" t="s">
        <v>170</v>
      </c>
      <c r="B5" t="str">
        <f>LEFT(A5,4)</f>
        <v>1990</v>
      </c>
      <c r="C5" t="str">
        <f>RIGHT(A5,2)</f>
        <v>Q1</v>
      </c>
      <c r="D5" s="13">
        <f>HAVERQ!AK11</f>
        <v>163591</v>
      </c>
      <c r="E5" s="13">
        <f>HAVERQ!AT11</f>
        <v>161953</v>
      </c>
      <c r="F5" s="8">
        <f>D5/E5</f>
        <v>1.0101140454329343</v>
      </c>
      <c r="H5">
        <v>1990</v>
      </c>
      <c r="I5" s="8">
        <f>INDEX($F5:$F$148,MATCH(I$4,$C5:$C$148,0))</f>
        <v>1.0101140454329343</v>
      </c>
      <c r="J5" s="8">
        <f>INDEX($F5:$F$148,MATCH(J$4,$C5:$C$148,0))</f>
        <v>1.0305156798718502</v>
      </c>
      <c r="K5" s="8">
        <f>INDEX($F5:$F$148,MATCH(K$4,$C5:$C$148,0))</f>
        <v>0.99825645346251957</v>
      </c>
      <c r="L5" s="8">
        <f>INDEX($F5:$F$148,MATCH(L$4,$C5:$C$148,0))</f>
        <v>0.96460590107875233</v>
      </c>
      <c r="M5" s="8">
        <v>1</v>
      </c>
      <c r="Q5" s="9"/>
      <c r="R5" s="8"/>
      <c r="S5" s="8">
        <f>E8/AVERAGE(E5:E11)</f>
        <v>1.0412183546289395</v>
      </c>
      <c r="T5" s="8">
        <v>1</v>
      </c>
      <c r="U5" s="8"/>
      <c r="V5" s="8"/>
      <c r="W5" s="8"/>
    </row>
    <row r="6" spans="1:23" x14ac:dyDescent="0.35">
      <c r="A6" t="s">
        <v>171</v>
      </c>
      <c r="B6" t="str">
        <f t="shared" ref="B6:B69" si="0">LEFT(A6,4)</f>
        <v>1990</v>
      </c>
      <c r="C6" t="str">
        <f t="shared" ref="C6:C69" si="1">RIGHT(A6,2)</f>
        <v>Q2</v>
      </c>
      <c r="D6" s="13">
        <f>HAVERQ!AK12</f>
        <v>167263</v>
      </c>
      <c r="E6" s="13">
        <f>HAVERQ!AT12</f>
        <v>162310</v>
      </c>
      <c r="F6" s="8">
        <f t="shared" ref="F6:F69" si="2">D6/E6</f>
        <v>1.0305156798718502</v>
      </c>
      <c r="H6">
        <v>1991</v>
      </c>
      <c r="I6" s="8">
        <f>F9</f>
        <v>1.0193909880309786</v>
      </c>
      <c r="J6" s="8">
        <f>F10</f>
        <v>1.0247998233564597</v>
      </c>
      <c r="K6" s="8">
        <f>F11</f>
        <v>0.98896563998175768</v>
      </c>
      <c r="L6" s="8">
        <f>F12</f>
        <v>0.96990825490491672</v>
      </c>
      <c r="M6" s="8">
        <v>1</v>
      </c>
      <c r="P6" s="8">
        <f>E9/AVERAGE(E6:E12)</f>
        <v>0.97865959694724625</v>
      </c>
      <c r="Q6" s="8">
        <f>E10/AVERAGE(E7:E13)</f>
        <v>0.9748716961038667</v>
      </c>
      <c r="R6" s="8">
        <f>E11/AVERAGE(E8:E14)</f>
        <v>1.0127636085075702</v>
      </c>
      <c r="S6" s="8">
        <f>E12/AVERAGE(E9:E15)</f>
        <v>1.0401408056322252</v>
      </c>
      <c r="T6" s="8">
        <v>1</v>
      </c>
      <c r="U6" s="8"/>
      <c r="V6" s="8"/>
      <c r="W6" s="8"/>
    </row>
    <row r="7" spans="1:23" x14ac:dyDescent="0.35">
      <c r="A7" t="s">
        <v>172</v>
      </c>
      <c r="B7" t="str">
        <f t="shared" si="0"/>
        <v>1990</v>
      </c>
      <c r="C7" t="str">
        <f t="shared" si="1"/>
        <v>Q3</v>
      </c>
      <c r="D7" s="13">
        <f>HAVERQ!AK13</f>
        <v>170618</v>
      </c>
      <c r="E7" s="13">
        <f>HAVERQ!AT13</f>
        <v>170916</v>
      </c>
      <c r="F7" s="8">
        <f t="shared" si="2"/>
        <v>0.99825645346251957</v>
      </c>
      <c r="H7">
        <v>1992</v>
      </c>
      <c r="I7" s="8">
        <f>INDEX($F13:$F$148,MATCH(I$4,$C13:$C$148,0))</f>
        <v>1.0171666145111538</v>
      </c>
      <c r="J7" s="8">
        <f>INDEX($F13:$F$148,MATCH(J$4,$C13:$C$148,0))</f>
        <v>1.0255268925982128</v>
      </c>
      <c r="K7" s="8">
        <f>INDEX($F13:$F$148,MATCH(K$4,$C13:$C$148,0))</f>
        <v>0.98996194512313784</v>
      </c>
      <c r="L7" s="8">
        <f>INDEX($F13:$F$148,MATCH(L$4,$C13:$C$148,0))</f>
        <v>0.96991266991737346</v>
      </c>
      <c r="M7" s="8">
        <v>1</v>
      </c>
      <c r="P7" s="8">
        <f>E13/AVERAGE(E10:E16)</f>
        <v>0.98568756575308081</v>
      </c>
      <c r="Q7" s="8">
        <f>E14/AVERAGE(E11:E17)</f>
        <v>0.96874679161105459</v>
      </c>
      <c r="R7" s="8">
        <f>E15/AVERAGE(E12:E18)</f>
        <v>1.0028917984136154</v>
      </c>
      <c r="S7" s="8">
        <f>E16/AVERAGE(E13:E19)</f>
        <v>1.0292720637450445</v>
      </c>
      <c r="T7" s="8">
        <v>1</v>
      </c>
      <c r="U7" s="8"/>
      <c r="V7" s="8"/>
      <c r="W7" s="8"/>
    </row>
    <row r="8" spans="1:23" x14ac:dyDescent="0.35">
      <c r="A8" t="s">
        <v>173</v>
      </c>
      <c r="B8" t="str">
        <f t="shared" si="0"/>
        <v>1990</v>
      </c>
      <c r="C8" t="str">
        <f t="shared" si="1"/>
        <v>Q4</v>
      </c>
      <c r="D8" s="13">
        <f>HAVERQ!AK14</f>
        <v>171505</v>
      </c>
      <c r="E8" s="13">
        <f>HAVERQ!AT14</f>
        <v>177798</v>
      </c>
      <c r="F8" s="8">
        <f t="shared" si="2"/>
        <v>0.96460590107875233</v>
      </c>
      <c r="H8">
        <v>1993</v>
      </c>
      <c r="I8" s="8">
        <f>INDEX($F17:$F$148,MATCH(I$4,$C17:$C$148,0))</f>
        <v>1.0175460181772469</v>
      </c>
      <c r="J8" s="8">
        <f>INDEX($F17:$F$148,MATCH(J$4,$C17:$C$148,0))</f>
        <v>1.0274348792541597</v>
      </c>
      <c r="K8" s="8">
        <f>INDEX($F17:$F$148,MATCH(K$4,$C17:$C$148,0))</f>
        <v>0.99171616369514259</v>
      </c>
      <c r="L8" s="8">
        <f>INDEX($F17:$F$148,MATCH(L$4,$C17:$C$148,0))</f>
        <v>0.96699493886501353</v>
      </c>
      <c r="M8" s="8">
        <v>1</v>
      </c>
      <c r="P8" s="8">
        <f>E17/AVERAGE(E14:E20)</f>
        <v>0.98635670507643636</v>
      </c>
      <c r="Q8" s="8">
        <f>E18/AVERAGE(E15:E21)</f>
        <v>0.96356468938637774</v>
      </c>
      <c r="R8" s="8">
        <f>E19/AVERAGE(E16:E22)</f>
        <v>1.0091578233566463</v>
      </c>
      <c r="S8" s="8">
        <f>E20/AVERAGE(E17:E23)</f>
        <v>1.0418096612494454</v>
      </c>
      <c r="T8" s="8">
        <v>1</v>
      </c>
      <c r="U8" s="8"/>
      <c r="V8" s="8"/>
      <c r="W8" s="8"/>
    </row>
    <row r="9" spans="1:23" x14ac:dyDescent="0.35">
      <c r="A9" t="s">
        <v>174</v>
      </c>
      <c r="B9" t="str">
        <f t="shared" si="0"/>
        <v>1991</v>
      </c>
      <c r="C9" t="str">
        <f t="shared" si="1"/>
        <v>Q1</v>
      </c>
      <c r="D9" s="13">
        <f>HAVERQ!AK15</f>
        <v>173745</v>
      </c>
      <c r="E9" s="13">
        <f>HAVERQ!AT15</f>
        <v>170440</v>
      </c>
      <c r="F9" s="8">
        <f t="shared" si="2"/>
        <v>1.0193909880309786</v>
      </c>
      <c r="H9">
        <v>1994</v>
      </c>
      <c r="I9" s="8">
        <f>INDEX($F21:$F$148,MATCH(I$4,$C21:$C$148,0))</f>
        <v>1.0136726551952551</v>
      </c>
      <c r="J9" s="8">
        <f>INDEX($F21:$F$148,MATCH(J$4,$C21:$C$148,0))</f>
        <v>1.023804802651983</v>
      </c>
      <c r="K9" s="8">
        <f>INDEX($F21:$F$148,MATCH(K$4,$C21:$C$148,0))</f>
        <v>0.99075679640180492</v>
      </c>
      <c r="L9" s="8">
        <f>INDEX($F21:$F$148,MATCH(L$4,$C21:$C$148,0))</f>
        <v>0.97428188146119066</v>
      </c>
      <c r="M9" s="8">
        <v>1</v>
      </c>
      <c r="P9" s="8">
        <f>E21/AVERAGE(E18:E24)</f>
        <v>0.98955596220103215</v>
      </c>
      <c r="Q9" s="8">
        <f>E22/AVERAGE(E19:E25)</f>
        <v>0.96851236192810342</v>
      </c>
      <c r="R9" s="8">
        <f>E23/AVERAGE(E20:E26)</f>
        <v>1.0064957195715241</v>
      </c>
      <c r="S9" s="8">
        <f>E24/AVERAGE(E21:E27)</f>
        <v>1.0344456628575469</v>
      </c>
      <c r="T9" s="8">
        <v>1</v>
      </c>
      <c r="U9" s="8"/>
      <c r="V9" s="8"/>
      <c r="W9" s="8"/>
    </row>
    <row r="10" spans="1:23" x14ac:dyDescent="0.35">
      <c r="A10" t="s">
        <v>175</v>
      </c>
      <c r="B10" t="str">
        <f t="shared" si="0"/>
        <v>1991</v>
      </c>
      <c r="C10" t="str">
        <f t="shared" si="1"/>
        <v>Q2</v>
      </c>
      <c r="D10" s="13">
        <f>HAVERQ!AK16</f>
        <v>176366</v>
      </c>
      <c r="E10" s="13">
        <f>HAVERQ!AT16</f>
        <v>172098</v>
      </c>
      <c r="F10" s="8">
        <f t="shared" si="2"/>
        <v>1.0247998233564597</v>
      </c>
      <c r="H10">
        <v>1995</v>
      </c>
      <c r="I10" s="8">
        <f>INDEX($F25:$F$148,MATCH(I$4,$C25:$C$148,0))</f>
        <v>1.007099225626473</v>
      </c>
      <c r="J10" s="8">
        <f>INDEX($F25:$F$148,MATCH(J$4,$C25:$C$148,0))</f>
        <v>1.0260858596884446</v>
      </c>
      <c r="K10" s="8">
        <f>INDEX($F25:$F$148,MATCH(K$4,$C25:$C$148,0))</f>
        <v>1.0013109328077205</v>
      </c>
      <c r="L10" s="8">
        <f>INDEX($F25:$F$148,MATCH(L$4,$C25:$C$148,0))</f>
        <v>0.96839704123665682</v>
      </c>
      <c r="M10" s="8">
        <v>1</v>
      </c>
      <c r="P10" s="8">
        <f>E25/AVERAGE(E22:E28)</f>
        <v>0.9895891767147329</v>
      </c>
      <c r="Q10" s="8">
        <f>E26/AVERAGE(E23:E29)</f>
        <v>0.96625999817849662</v>
      </c>
      <c r="R10" s="8">
        <f>E27/AVERAGE(E24:E30)</f>
        <v>0.99790782362628438</v>
      </c>
      <c r="S10" s="8">
        <f>E28/AVERAGE(E25:E31)</f>
        <v>1.0355689112435031</v>
      </c>
      <c r="T10" s="8">
        <v>1</v>
      </c>
      <c r="U10" s="8"/>
      <c r="V10" s="8"/>
      <c r="W10" s="8"/>
    </row>
    <row r="11" spans="1:23" x14ac:dyDescent="0.35">
      <c r="A11" t="s">
        <v>176</v>
      </c>
      <c r="B11" t="str">
        <f t="shared" si="0"/>
        <v>1991</v>
      </c>
      <c r="C11" t="str">
        <f t="shared" si="1"/>
        <v>Q3</v>
      </c>
      <c r="D11" s="13">
        <f>HAVERQ!AK17</f>
        <v>177818</v>
      </c>
      <c r="E11" s="13">
        <f>HAVERQ!AT17</f>
        <v>179802</v>
      </c>
      <c r="F11" s="8">
        <f t="shared" si="2"/>
        <v>0.98896563998175768</v>
      </c>
      <c r="H11">
        <v>1996</v>
      </c>
      <c r="I11" s="8">
        <f>INDEX($F29:$F$148,MATCH(I$4,$C29:$C$148,0))</f>
        <v>1.0138183277543165</v>
      </c>
      <c r="J11" s="8">
        <f>INDEX($F29:$F$148,MATCH(J$4,$C29:$C$148,0))</f>
        <v>1.025004062031738</v>
      </c>
      <c r="K11" s="8">
        <f>INDEX($F29:$F$148,MATCH(K$4,$C29:$C$148,0))</f>
        <v>1.0021011595448646</v>
      </c>
      <c r="L11" s="8">
        <f>INDEX($F29:$F$148,MATCH(L$4,$C29:$C$148,0))</f>
        <v>0.96265190453011695</v>
      </c>
      <c r="M11" s="8">
        <v>1</v>
      </c>
      <c r="P11" s="8">
        <f>E29/AVERAGE(E26:E32)</f>
        <v>0.98353090438415502</v>
      </c>
      <c r="Q11" s="8">
        <f>E30/AVERAGE(E27:E33)</f>
        <v>0.97746030785675031</v>
      </c>
      <c r="R11" s="8">
        <f>E31/AVERAGE(E28:E34)</f>
        <v>1.0034145303293929</v>
      </c>
      <c r="S11" s="8">
        <f>E32/AVERAGE(E29:E35)</f>
        <v>1.0439851414186032</v>
      </c>
      <c r="T11" s="8">
        <v>1</v>
      </c>
      <c r="U11" s="8"/>
      <c r="V11" s="8"/>
      <c r="W11" s="8"/>
    </row>
    <row r="12" spans="1:23" x14ac:dyDescent="0.35">
      <c r="A12" t="s">
        <v>177</v>
      </c>
      <c r="B12" t="str">
        <f t="shared" si="0"/>
        <v>1991</v>
      </c>
      <c r="C12" t="str">
        <f t="shared" si="1"/>
        <v>Q4</v>
      </c>
      <c r="D12" s="13">
        <f>HAVERQ!AK18</f>
        <v>180143</v>
      </c>
      <c r="E12" s="13">
        <f>HAVERQ!AT18</f>
        <v>185732</v>
      </c>
      <c r="F12" s="8">
        <f t="shared" si="2"/>
        <v>0.96990825490491672</v>
      </c>
      <c r="H12">
        <v>1997</v>
      </c>
      <c r="I12" s="8">
        <f>INDEX($F33:$F$148,MATCH(I$4,$C33:$C$148,0))</f>
        <v>1.00484456482889</v>
      </c>
      <c r="J12" s="8">
        <f>INDEX($F33:$F$148,MATCH(J$4,$C33:$C$148,0))</f>
        <v>1.0080388174610593</v>
      </c>
      <c r="K12" s="8">
        <f>INDEX($F33:$F$148,MATCH(K$4,$C33:$C$148,0))</f>
        <v>1.0044253946420383</v>
      </c>
      <c r="L12" s="8">
        <f>INDEX($F33:$F$148,MATCH(L$4,$C33:$C$148,0))</f>
        <v>0.98338805788641614</v>
      </c>
      <c r="M12" s="8">
        <v>1</v>
      </c>
      <c r="P12" s="8">
        <f>E33/AVERAGE(E30:E36)</f>
        <v>0.98345850923905875</v>
      </c>
      <c r="Q12" s="8">
        <f>E34/AVERAGE(E31:E37)</f>
        <v>0.9833637543288738</v>
      </c>
      <c r="R12" s="8">
        <f>E35/AVERAGE(E32:E38)</f>
        <v>1.0110046047636954</v>
      </c>
      <c r="S12" s="8">
        <f>E36/AVERAGE(E33:E39)</f>
        <v>1.0156037261681623</v>
      </c>
      <c r="T12" s="8">
        <v>1</v>
      </c>
      <c r="U12" s="8"/>
      <c r="V12" s="8"/>
      <c r="W12" s="8"/>
    </row>
    <row r="13" spans="1:23" x14ac:dyDescent="0.35">
      <c r="A13" t="s">
        <v>178</v>
      </c>
      <c r="B13" t="str">
        <f t="shared" si="0"/>
        <v>1992</v>
      </c>
      <c r="C13" t="str">
        <f t="shared" si="1"/>
        <v>Q1</v>
      </c>
      <c r="D13" s="13">
        <f>HAVERQ!AK19</f>
        <v>182024</v>
      </c>
      <c r="E13" s="13">
        <f>HAVERQ!AT19</f>
        <v>178952</v>
      </c>
      <c r="F13" s="8">
        <f t="shared" si="2"/>
        <v>1.0171666145111538</v>
      </c>
      <c r="H13">
        <v>1998</v>
      </c>
      <c r="I13" s="8">
        <f>INDEX($F37:$F$148,MATCH(I$4,$C37:$C$148,0))</f>
        <v>1.0127300588360622</v>
      </c>
      <c r="J13" s="8">
        <f>INDEX($F37:$F$148,MATCH(J$4,$C37:$C$148,0))</f>
        <v>1.0120643377202423</v>
      </c>
      <c r="K13" s="8">
        <f>INDEX($F37:$F$148,MATCH(K$4,$C37:$C$148,0))</f>
        <v>1.000250567754714</v>
      </c>
      <c r="L13" s="8">
        <f>INDEX($F37:$F$148,MATCH(L$4,$C37:$C$148,0))</f>
        <v>0.97647523022938665</v>
      </c>
      <c r="M13" s="8">
        <v>1</v>
      </c>
      <c r="P13" s="8">
        <f>E37/AVERAGE(E34:E40)</f>
        <v>0.98805869330366125</v>
      </c>
      <c r="Q13" s="8">
        <f>E38/AVERAGE(E35:E41)</f>
        <v>0.98554308203859287</v>
      </c>
      <c r="R13" s="8">
        <f>E39/AVERAGE(E36:E42)</f>
        <v>0.99967510614429944</v>
      </c>
      <c r="S13" s="8">
        <f>E40/AVERAGE(E37:E43)</f>
        <v>1.0280954127779667</v>
      </c>
      <c r="T13" s="8">
        <v>1</v>
      </c>
      <c r="U13" s="8"/>
      <c r="V13" s="8"/>
      <c r="W13" s="8"/>
    </row>
    <row r="14" spans="1:23" x14ac:dyDescent="0.35">
      <c r="A14" t="s">
        <v>179</v>
      </c>
      <c r="B14" t="str">
        <f t="shared" si="0"/>
        <v>1992</v>
      </c>
      <c r="C14" t="str">
        <f t="shared" si="1"/>
        <v>Q2</v>
      </c>
      <c r="D14" s="13">
        <f>HAVERQ!AK20</f>
        <v>182472</v>
      </c>
      <c r="E14" s="13">
        <f>HAVERQ!AT20</f>
        <v>177930</v>
      </c>
      <c r="F14" s="8">
        <f t="shared" si="2"/>
        <v>1.0255268925982128</v>
      </c>
      <c r="H14">
        <v>1999</v>
      </c>
      <c r="I14" s="8">
        <f>INDEX($F41:$F$148,MATCH(I$4,$C41:$C$148,0))</f>
        <v>1.006864764530353</v>
      </c>
      <c r="J14" s="8">
        <f>INDEX($F41:$F$148,MATCH(J$4,$C41:$C$148,0))</f>
        <v>1.0121891607584887</v>
      </c>
      <c r="K14" s="8">
        <f>INDEX($F41:$F$148,MATCH(K$4,$C41:$C$148,0))</f>
        <v>0.99560130101295319</v>
      </c>
      <c r="L14" s="8">
        <f>INDEX($F41:$F$148,MATCH(L$4,$C41:$C$148,0))</f>
        <v>0.98636458834725294</v>
      </c>
      <c r="M14" s="8">
        <v>1</v>
      </c>
      <c r="P14" s="8">
        <f>E41/AVERAGE(E38:E44)</f>
        <v>0.99006958325925265</v>
      </c>
      <c r="Q14" s="8">
        <f>E42/AVERAGE(E39:E45)</f>
        <v>0.97879766492710008</v>
      </c>
      <c r="R14" s="8">
        <f>E43/AVERAGE(E40:E46)</f>
        <v>0.99710773133148689</v>
      </c>
      <c r="S14" s="8">
        <f>E44/AVERAGE(E41:E47)</f>
        <v>1.0205971612474654</v>
      </c>
      <c r="T14" s="8">
        <v>1</v>
      </c>
      <c r="U14" s="8"/>
      <c r="V14" s="8"/>
      <c r="W14" s="8"/>
    </row>
    <row r="15" spans="1:23" x14ac:dyDescent="0.35">
      <c r="A15" t="s">
        <v>180</v>
      </c>
      <c r="B15" t="str">
        <f t="shared" si="0"/>
        <v>1992</v>
      </c>
      <c r="C15" t="str">
        <f t="shared" si="1"/>
        <v>Q3</v>
      </c>
      <c r="D15" s="13">
        <f>HAVERQ!AK21</f>
        <v>183139</v>
      </c>
      <c r="E15" s="13">
        <f>HAVERQ!AT21</f>
        <v>184996</v>
      </c>
      <c r="F15" s="8">
        <f t="shared" si="2"/>
        <v>0.98996194512313784</v>
      </c>
      <c r="H15">
        <v>2000</v>
      </c>
      <c r="I15" s="8">
        <f>INDEX($F45:$F$148,MATCH(I$4,$C45:$C$148,0))</f>
        <v>1.0146249369454912</v>
      </c>
      <c r="J15" s="8">
        <f>INDEX($F45:$F$148,MATCH(J$4,$C45:$C$148,0))</f>
        <v>1.0099970629267934</v>
      </c>
      <c r="K15" s="8">
        <f>INDEX($F45:$F$148,MATCH(K$4,$C45:$C$148,0))</f>
        <v>0.99685554955927325</v>
      </c>
      <c r="L15" s="8">
        <f>INDEX($F45:$F$148,MATCH(L$4,$C45:$C$148,0))</f>
        <v>0.97966442081166771</v>
      </c>
      <c r="M15" s="8">
        <v>1</v>
      </c>
      <c r="P15" s="8">
        <f>E45/AVERAGE(E42:E48)</f>
        <v>0.99532309068394254</v>
      </c>
      <c r="Q15" s="8">
        <f>E46/AVERAGE(E43:E49)</f>
        <v>0.9915611265768608</v>
      </c>
      <c r="R15" s="8">
        <f>E47/AVERAGE(E44:E50)</f>
        <v>1.0017990315916949</v>
      </c>
      <c r="S15" s="8">
        <f>E48/AVERAGE(E45:E51)</f>
        <v>1.0164627705133329</v>
      </c>
      <c r="T15" s="8">
        <v>1</v>
      </c>
      <c r="U15" s="8"/>
      <c r="V15" s="8"/>
      <c r="W15" s="8"/>
    </row>
    <row r="16" spans="1:23" x14ac:dyDescent="0.35">
      <c r="A16" t="s">
        <v>181</v>
      </c>
      <c r="B16" t="str">
        <f t="shared" si="0"/>
        <v>1992</v>
      </c>
      <c r="C16" t="str">
        <f t="shared" si="1"/>
        <v>Q4</v>
      </c>
      <c r="D16" s="13">
        <f>HAVERQ!AK22</f>
        <v>185586</v>
      </c>
      <c r="E16" s="13">
        <f>HAVERQ!AT22</f>
        <v>191343</v>
      </c>
      <c r="F16" s="8">
        <f t="shared" si="2"/>
        <v>0.96991266991737346</v>
      </c>
      <c r="H16">
        <v>2001</v>
      </c>
      <c r="I16" s="8">
        <f>INDEX($F49:$F$148,MATCH(I$4,$C49:$C$148,0))</f>
        <v>1.0043967403232772</v>
      </c>
      <c r="J16" s="8">
        <f>INDEX($F49:$F$148,MATCH(J$4,$C49:$C$148,0))</f>
        <v>1.0171419881452559</v>
      </c>
      <c r="K16" s="8">
        <f>INDEX($F49:$F$148,MATCH(K$4,$C49:$C$148,0))</f>
        <v>0.99270566357532275</v>
      </c>
      <c r="L16" s="8">
        <f>INDEX($F49:$F$148,MATCH(L$4,$C49:$C$148,0))</f>
        <v>0.98651329782708574</v>
      </c>
      <c r="M16" s="8">
        <v>1</v>
      </c>
      <c r="P16" s="8">
        <f>E49/AVERAGE(E46:E52)</f>
        <v>0.99581053063086789</v>
      </c>
      <c r="Q16" s="8">
        <f>E50/AVERAGE(E47:E53)</f>
        <v>0.98725782332537593</v>
      </c>
      <c r="R16" s="8">
        <f>E51/AVERAGE(E48:E54)</f>
        <v>1.0097465009007582</v>
      </c>
      <c r="S16" s="8">
        <f>E52/AVERAGE(E49:E55)</f>
        <v>1.0091202335250757</v>
      </c>
      <c r="T16" s="8">
        <v>1</v>
      </c>
      <c r="U16" s="8"/>
      <c r="V16" s="8"/>
      <c r="W16" s="8"/>
    </row>
    <row r="17" spans="1:23" x14ac:dyDescent="0.35">
      <c r="A17" t="s">
        <v>182</v>
      </c>
      <c r="B17" t="str">
        <f t="shared" si="0"/>
        <v>1993</v>
      </c>
      <c r="C17" t="str">
        <f t="shared" si="1"/>
        <v>Q1</v>
      </c>
      <c r="D17" s="13">
        <f>HAVERQ!AK23</f>
        <v>190217</v>
      </c>
      <c r="E17" s="13">
        <f>HAVERQ!AT23</f>
        <v>186937</v>
      </c>
      <c r="F17" s="8">
        <f t="shared" si="2"/>
        <v>1.0175460181772469</v>
      </c>
      <c r="H17">
        <v>2002</v>
      </c>
      <c r="I17" s="8">
        <f>INDEX($F53:$F$148,MATCH(I$4,$C53:$C$148,0))</f>
        <v>1.0080713489409141</v>
      </c>
      <c r="J17" s="8">
        <f>INDEX($F53:$F$148,MATCH(J$4,$C53:$C$148,0))</f>
        <v>1.0114735451176984</v>
      </c>
      <c r="K17" s="8">
        <f>INDEX($F53:$F$148,MATCH(K$4,$C53:$C$148,0))</f>
        <v>0.99086991864545682</v>
      </c>
      <c r="L17" s="8">
        <f>INDEX($F53:$F$148,MATCH(L$4,$C53:$C$148,0))</f>
        <v>0.99035726040610961</v>
      </c>
      <c r="M17" s="8">
        <v>1</v>
      </c>
      <c r="P17" s="8">
        <f>E53/AVERAGE(E50:E56)</f>
        <v>0.98931936979870128</v>
      </c>
      <c r="Q17" s="8">
        <f>E54/AVERAGE(E51:E57)</f>
        <v>0.98488194635776649</v>
      </c>
      <c r="R17" s="8">
        <f>E55/AVERAGE(E52:E58)</f>
        <v>1.007013118758108</v>
      </c>
      <c r="S17" s="8">
        <f>E56/AVERAGE(E53:E59)</f>
        <v>1.0086683718534302</v>
      </c>
      <c r="T17" s="8">
        <v>1</v>
      </c>
      <c r="U17" s="8"/>
      <c r="V17" s="8"/>
      <c r="W17" s="8"/>
    </row>
    <row r="18" spans="1:23" x14ac:dyDescent="0.35">
      <c r="A18" t="s">
        <v>183</v>
      </c>
      <c r="B18" t="str">
        <f t="shared" si="0"/>
        <v>1993</v>
      </c>
      <c r="C18" t="str">
        <f t="shared" si="1"/>
        <v>Q2</v>
      </c>
      <c r="D18" s="13">
        <f>HAVERQ!AK24</f>
        <v>190433</v>
      </c>
      <c r="E18" s="13">
        <f>HAVERQ!AT24</f>
        <v>185348</v>
      </c>
      <c r="F18" s="8">
        <f t="shared" si="2"/>
        <v>1.0274348792541597</v>
      </c>
      <c r="H18">
        <v>2003</v>
      </c>
      <c r="I18" s="8">
        <f>INDEX($F57:$F$148,MATCH(I$4,$C57:$C$148,0))</f>
        <v>1.0017946421301196</v>
      </c>
      <c r="J18" s="8">
        <f>INDEX($F57:$F$148,MATCH(J$4,$C57:$C$148,0))</f>
        <v>1.017883049400707</v>
      </c>
      <c r="K18" s="8">
        <f>INDEX($F57:$F$148,MATCH(K$4,$C57:$C$148,0))</f>
        <v>0.99711692104678906</v>
      </c>
      <c r="L18" s="8">
        <f>INDEX($F57:$F$148,MATCH(L$4,$C57:$C$148,0))</f>
        <v>0.98431160648050631</v>
      </c>
      <c r="M18" s="8">
        <v>1</v>
      </c>
      <c r="P18" s="8">
        <f>E57/AVERAGE(E54:E60)</f>
        <v>0.99240495691078279</v>
      </c>
      <c r="Q18" s="8">
        <f>E58/AVERAGE(E55:E61)</f>
        <v>0.9829921772310205</v>
      </c>
      <c r="R18" s="8">
        <f>E59/AVERAGE(E56:E62)</f>
        <v>1.0097926355627529</v>
      </c>
      <c r="S18" s="8">
        <f>E60/AVERAGE(E57:E63)</f>
        <v>1.0205442382755996</v>
      </c>
      <c r="T18" s="8">
        <v>1</v>
      </c>
      <c r="U18" s="8"/>
      <c r="V18" s="8"/>
      <c r="W18" s="8"/>
    </row>
    <row r="19" spans="1:23" x14ac:dyDescent="0.35">
      <c r="A19" t="s">
        <v>184</v>
      </c>
      <c r="B19" t="str">
        <f t="shared" si="0"/>
        <v>1993</v>
      </c>
      <c r="C19" t="str">
        <f t="shared" si="1"/>
        <v>Q3</v>
      </c>
      <c r="D19" s="13">
        <f>HAVERQ!AK25</f>
        <v>194181</v>
      </c>
      <c r="E19" s="13">
        <f>HAVERQ!AT25</f>
        <v>195803</v>
      </c>
      <c r="F19" s="8">
        <f t="shared" si="2"/>
        <v>0.99171616369514259</v>
      </c>
      <c r="H19">
        <v>2004</v>
      </c>
      <c r="I19" s="8">
        <f>INDEX($F61:$F$148,MATCH(I$4,$C61:$C$148,0))</f>
        <v>1.0067770406405125</v>
      </c>
      <c r="J19" s="8">
        <f>INDEX($F61:$F$148,MATCH(J$4,$C61:$C$148,0))</f>
        <v>1.0174530099450503</v>
      </c>
      <c r="K19" s="8">
        <f>INDEX($F61:$F$148,MATCH(K$4,$C61:$C$148,0))</f>
        <v>0.98727742923905071</v>
      </c>
      <c r="L19" s="8">
        <f>INDEX($F61:$F$148,MATCH(L$4,$C61:$C$148,0))</f>
        <v>0.98956640949728003</v>
      </c>
      <c r="M19" s="8">
        <v>1</v>
      </c>
      <c r="P19" s="8">
        <f>E61/AVERAGE(E58:E64)</f>
        <v>0.98782057460286865</v>
      </c>
      <c r="Q19" s="8">
        <f>E62/AVERAGE(E59:E65)</f>
        <v>0.98351309081833482</v>
      </c>
      <c r="R19" s="8">
        <f>E63/AVERAGE(E60:E66)</f>
        <v>1.0074106580500266</v>
      </c>
      <c r="S19" s="8">
        <f>E64/AVERAGE(E61:E67)</f>
        <v>1.0142147146702956</v>
      </c>
      <c r="T19" s="8">
        <v>1</v>
      </c>
      <c r="U19" s="8"/>
      <c r="V19" s="8"/>
      <c r="W19" s="8"/>
    </row>
    <row r="20" spans="1:23" x14ac:dyDescent="0.35">
      <c r="A20" t="s">
        <v>185</v>
      </c>
      <c r="B20" t="str">
        <f t="shared" si="0"/>
        <v>1993</v>
      </c>
      <c r="C20" t="str">
        <f t="shared" si="1"/>
        <v>Q4</v>
      </c>
      <c r="D20" s="13">
        <f>HAVERQ!AK26</f>
        <v>197559</v>
      </c>
      <c r="E20" s="13">
        <f>HAVERQ!AT26</f>
        <v>204302</v>
      </c>
      <c r="F20" s="8">
        <f t="shared" si="2"/>
        <v>0.96699493886501353</v>
      </c>
      <c r="H20">
        <v>2005</v>
      </c>
      <c r="I20" s="8">
        <f>INDEX($F65:$F$148,MATCH(I$4,$C65:$C$148,0))</f>
        <v>1.001312278296733</v>
      </c>
      <c r="J20" s="8">
        <f>INDEX($F65:$F$148,MATCH(J$4,$C65:$C$148,0))</f>
        <v>1.015762238615596</v>
      </c>
      <c r="K20" s="8">
        <f>INDEX($F65:$F$148,MATCH(K$4,$C65:$C$148,0))</f>
        <v>0.9997878353262668</v>
      </c>
      <c r="L20" s="8">
        <f>INDEX($F65:$F$148,MATCH(L$4,$C65:$C$148,0))</f>
        <v>0.98407938887699009</v>
      </c>
      <c r="M20" s="8">
        <v>1</v>
      </c>
      <c r="P20" s="8">
        <f>E65/AVERAGE(E62:E68)</f>
        <v>0.99230237410594713</v>
      </c>
      <c r="Q20" s="8">
        <f>E66/AVERAGE(E63:E69)</f>
        <v>0.98554070096122615</v>
      </c>
      <c r="R20" s="8">
        <f>E67/AVERAGE(E64:E70)</f>
        <v>1.0019293622617551</v>
      </c>
      <c r="S20" s="8">
        <f>E68/AVERAGE(E65:E71)</f>
        <v>1.0195888806765279</v>
      </c>
      <c r="T20" s="8">
        <v>1</v>
      </c>
      <c r="U20" s="8"/>
      <c r="V20" s="8"/>
      <c r="W20" s="8"/>
    </row>
    <row r="21" spans="1:23" x14ac:dyDescent="0.35">
      <c r="A21" t="s">
        <v>186</v>
      </c>
      <c r="B21" t="str">
        <f t="shared" si="0"/>
        <v>1994</v>
      </c>
      <c r="C21" t="str">
        <f t="shared" si="1"/>
        <v>Q1</v>
      </c>
      <c r="D21" s="13">
        <f>HAVERQ!AK27</f>
        <v>200471</v>
      </c>
      <c r="E21" s="13">
        <f>HAVERQ!AT27</f>
        <v>197767</v>
      </c>
      <c r="F21" s="8">
        <f t="shared" si="2"/>
        <v>1.0136726551952551</v>
      </c>
      <c r="H21">
        <v>2006</v>
      </c>
      <c r="I21" s="8">
        <f>INDEX($F69:$F$148,MATCH(I$4,$C69:$C$148,0))</f>
        <v>1.002477197891064</v>
      </c>
      <c r="J21" s="8">
        <f>INDEX($F69:$F$148,MATCH(J$4,$C69:$C$148,0))</f>
        <v>1.0181712691154734</v>
      </c>
      <c r="K21" s="8">
        <f>INDEX($F69:$F$148,MATCH(K$4,$C69:$C$148,0))</f>
        <v>0.99780130314968007</v>
      </c>
      <c r="L21" s="8">
        <f>INDEX($F69:$F$148,MATCH(L$4,$C69:$C$148,0))</f>
        <v>0.98254219450808722</v>
      </c>
      <c r="M21" s="8">
        <v>1</v>
      </c>
      <c r="P21" s="8">
        <f>E69/AVERAGE(E66:E72)</f>
        <v>0.99683259985086248</v>
      </c>
      <c r="Q21" s="8">
        <f>E70/AVERAGE(E67:E73)</f>
        <v>0.98475879460267068</v>
      </c>
      <c r="R21" s="8">
        <f>E71/AVERAGE(E68:E74)</f>
        <v>1.0061411919855789</v>
      </c>
      <c r="S21" s="8">
        <f>E72/AVERAGE(E69:E75)</f>
        <v>1.0144571393797399</v>
      </c>
      <c r="T21" s="8">
        <v>1</v>
      </c>
      <c r="U21" s="8"/>
      <c r="V21" s="8"/>
      <c r="W21" s="8"/>
    </row>
    <row r="22" spans="1:23" x14ac:dyDescent="0.35">
      <c r="A22" t="s">
        <v>187</v>
      </c>
      <c r="B22" t="str">
        <f t="shared" si="0"/>
        <v>1994</v>
      </c>
      <c r="C22" t="str">
        <f t="shared" si="1"/>
        <v>Q2</v>
      </c>
      <c r="D22" s="13">
        <f>HAVERQ!AK28</f>
        <v>201365</v>
      </c>
      <c r="E22" s="13">
        <f>HAVERQ!AT28</f>
        <v>196683</v>
      </c>
      <c r="F22" s="8">
        <f t="shared" si="2"/>
        <v>1.023804802651983</v>
      </c>
      <c r="H22">
        <v>2007</v>
      </c>
      <c r="I22" s="8">
        <f>INDEX($F73:$F$148,MATCH(I$4,$C73:$C$148,0))</f>
        <v>1.0042565379627493</v>
      </c>
      <c r="J22" s="8">
        <f>INDEX($F73:$F$148,MATCH(J$4,$C73:$C$148,0))</f>
        <v>1.0248614405951317</v>
      </c>
      <c r="K22" s="8">
        <f>INDEX($F73:$F$148,MATCH(K$4,$C73:$C$148,0))</f>
        <v>0.98826652508627555</v>
      </c>
      <c r="L22" s="8">
        <f>INDEX($F73:$F$148,MATCH(L$4,$C73:$C$148,0))</f>
        <v>0.98408593346297579</v>
      </c>
      <c r="M22" s="8">
        <v>1</v>
      </c>
      <c r="P22" s="8">
        <f>E73/AVERAGE(E70:E76)</f>
        <v>0.98926543508326126</v>
      </c>
      <c r="Q22" s="8">
        <f>E74/AVERAGE(E71:E77)</f>
        <v>0.98014966172602946</v>
      </c>
      <c r="R22" s="8">
        <f>E75/AVERAGE(E72:E78)</f>
        <v>1.0152559091209106</v>
      </c>
      <c r="S22" s="8">
        <f>E76/AVERAGE(E73:E79)</f>
        <v>1.0195431745233008</v>
      </c>
      <c r="T22" s="8">
        <v>1</v>
      </c>
      <c r="U22" s="8"/>
      <c r="V22" s="8"/>
      <c r="W22" s="8"/>
    </row>
    <row r="23" spans="1:23" x14ac:dyDescent="0.35">
      <c r="A23" t="s">
        <v>188</v>
      </c>
      <c r="B23" t="str">
        <f t="shared" si="0"/>
        <v>1994</v>
      </c>
      <c r="C23" t="str">
        <f t="shared" si="1"/>
        <v>Q3</v>
      </c>
      <c r="D23" s="13">
        <f>HAVERQ!AK29</f>
        <v>203978</v>
      </c>
      <c r="E23" s="13">
        <f>HAVERQ!AT29</f>
        <v>205881</v>
      </c>
      <c r="F23" s="8">
        <f t="shared" si="2"/>
        <v>0.99075679640180492</v>
      </c>
      <c r="H23">
        <v>2008</v>
      </c>
      <c r="I23" s="8">
        <f>INDEX($F77:$F$148,MATCH(I$4,$C77:$C$148,0))</f>
        <v>1.0061696852227102</v>
      </c>
      <c r="J23" s="8">
        <f>INDEX($F77:$F$148,MATCH(J$4,$C77:$C$148,0))</f>
        <v>1.0140363070461054</v>
      </c>
      <c r="K23" s="8">
        <f>INDEX($F77:$F$148,MATCH(K$4,$C77:$C$148,0))</f>
        <v>0.99473612605592865</v>
      </c>
      <c r="L23" s="8">
        <f>INDEX($F77:$F$148,MATCH(L$4,$C77:$C$148,0))</f>
        <v>0.98538805770441107</v>
      </c>
      <c r="M23" s="8">
        <v>1</v>
      </c>
      <c r="P23" s="8">
        <f>E77/AVERAGE(E74:E80)</f>
        <v>1.0014318232807407</v>
      </c>
      <c r="Q23" s="8">
        <f>E78/AVERAGE(E75:E81)</f>
        <v>0.99753647382382327</v>
      </c>
      <c r="R23" s="8">
        <f>E79/AVERAGE(E76:E82)</f>
        <v>1.0210657008261315</v>
      </c>
      <c r="S23" s="8">
        <f>E80/AVERAGE(E77:E83)</f>
        <v>1.0215537426055348</v>
      </c>
      <c r="T23" s="8">
        <v>1</v>
      </c>
      <c r="U23" s="8"/>
      <c r="V23" s="8"/>
      <c r="W23" s="8"/>
    </row>
    <row r="24" spans="1:23" x14ac:dyDescent="0.35">
      <c r="A24" t="s">
        <v>189</v>
      </c>
      <c r="B24" t="str">
        <f t="shared" si="0"/>
        <v>1994</v>
      </c>
      <c r="C24" t="str">
        <f t="shared" si="1"/>
        <v>Q4</v>
      </c>
      <c r="D24" s="13">
        <f>HAVERQ!AK30</f>
        <v>207713</v>
      </c>
      <c r="E24" s="13">
        <f>HAVERQ!AT30</f>
        <v>213196</v>
      </c>
      <c r="F24" s="8">
        <f t="shared" si="2"/>
        <v>0.97428188146119066</v>
      </c>
      <c r="H24">
        <v>2009</v>
      </c>
      <c r="I24" s="8">
        <f>INDEX($F81:$F$148,MATCH(I$4,$C81:$C$148,0))</f>
        <v>1.0037598341552605</v>
      </c>
      <c r="J24" s="8">
        <f>INDEX($F81:$F$148,MATCH(J$4,$C81:$C$148,0))</f>
        <v>1.0231365238950338</v>
      </c>
      <c r="K24" s="8">
        <f>INDEX($F81:$F$148,MATCH(K$4,$C81:$C$148,0))</f>
        <v>0.9915063493270474</v>
      </c>
      <c r="L24" s="8">
        <f>INDEX($F81:$F$148,MATCH(L$4,$C81:$C$148,0))</f>
        <v>0.9825622335686468</v>
      </c>
      <c r="M24" s="8">
        <v>1</v>
      </c>
      <c r="P24" s="8">
        <f>E81/AVERAGE(E78:E84)</f>
        <v>0.98330461658895729</v>
      </c>
      <c r="Q24" s="8">
        <f>E82/AVERAGE(E79:E85)</f>
        <v>0.96353281529112367</v>
      </c>
      <c r="R24" s="8">
        <f>E83/AVERAGE(E80:E86)</f>
        <v>1.0028155860151724</v>
      </c>
      <c r="S24" s="8">
        <f>E84/AVERAGE(E81:E87)</f>
        <v>1.0049966046714214</v>
      </c>
      <c r="T24" s="8">
        <v>1</v>
      </c>
      <c r="U24" s="8"/>
      <c r="V24" s="8"/>
      <c r="W24" s="8"/>
    </row>
    <row r="25" spans="1:23" x14ac:dyDescent="0.35">
      <c r="A25" t="s">
        <v>190</v>
      </c>
      <c r="B25" t="str">
        <f t="shared" si="0"/>
        <v>1995</v>
      </c>
      <c r="C25" t="str">
        <f t="shared" si="1"/>
        <v>Q1</v>
      </c>
      <c r="D25" s="13">
        <f>HAVERQ!AK31</f>
        <v>209386</v>
      </c>
      <c r="E25" s="13">
        <f>HAVERQ!AT31</f>
        <v>207910</v>
      </c>
      <c r="F25" s="8">
        <f t="shared" si="2"/>
        <v>1.007099225626473</v>
      </c>
      <c r="H25">
        <v>2010</v>
      </c>
      <c r="I25" s="8">
        <f>INDEX($F85:$F$148,MATCH(I$4,$C85:$C$148,0))</f>
        <v>1.0054194656295772</v>
      </c>
      <c r="J25" s="8">
        <f>INDEX($F85:$F$148,MATCH(J$4,$C85:$C$148,0))</f>
        <v>1.020101418491786</v>
      </c>
      <c r="K25" s="8">
        <f>INDEX($F85:$F$148,MATCH(K$4,$C85:$C$148,0))</f>
        <v>0.99238929663907427</v>
      </c>
      <c r="L25" s="8">
        <f>INDEX($F85:$F$148,MATCH(L$4,$C85:$C$148,0))</f>
        <v>0.98322544938277545</v>
      </c>
      <c r="M25" s="8">
        <v>1</v>
      </c>
      <c r="P25" s="8">
        <f>E85/AVERAGE(E82:E88)</f>
        <v>0.99459297312561612</v>
      </c>
      <c r="Q25" s="8">
        <f>E86/AVERAGE(E83:E89)</f>
        <v>0.98061245298610289</v>
      </c>
      <c r="R25" s="8">
        <f>E87/AVERAGE(E84:E90)</f>
        <v>1.0116177125362049</v>
      </c>
      <c r="S25" s="8">
        <f>E88/AVERAGE(E85:E91)</f>
        <v>1.0188696427289268</v>
      </c>
      <c r="T25" s="8">
        <v>1</v>
      </c>
      <c r="U25" s="8"/>
      <c r="V25" s="8"/>
      <c r="W25" s="8"/>
    </row>
    <row r="26" spans="1:23" x14ac:dyDescent="0.35">
      <c r="A26" t="s">
        <v>191</v>
      </c>
      <c r="B26" t="str">
        <f t="shared" si="0"/>
        <v>1995</v>
      </c>
      <c r="C26" t="str">
        <f t="shared" si="1"/>
        <v>Q2</v>
      </c>
      <c r="D26" s="13">
        <f>HAVERQ!AK32</f>
        <v>211504</v>
      </c>
      <c r="E26" s="13">
        <f>HAVERQ!AT32</f>
        <v>206127</v>
      </c>
      <c r="F26" s="8">
        <f t="shared" si="2"/>
        <v>1.0260858596884446</v>
      </c>
      <c r="H26">
        <v>2011</v>
      </c>
      <c r="I26" s="8">
        <f>INDEX($F89:$F$148,MATCH(I$4,$C89:$C$148,0))</f>
        <v>1.0083618396047129</v>
      </c>
      <c r="J26" s="8">
        <f>INDEX($F89:$F$148,MATCH(J$4,$C89:$C$148,0))</f>
        <v>1.0172323143976061</v>
      </c>
      <c r="K26" s="8">
        <f>INDEX($F89:$F$148,MATCH(K$4,$C89:$C$148,0))</f>
        <v>0.99746172912546549</v>
      </c>
      <c r="L26" s="8">
        <f>INDEX($F89:$F$148,MATCH(L$4,$C89:$C$148,0))</f>
        <v>0.97816420499269741</v>
      </c>
      <c r="M26" s="8">
        <v>1</v>
      </c>
      <c r="P26" s="8">
        <f>E89/AVERAGE(E86:E92)</f>
        <v>1.0005761636429322</v>
      </c>
      <c r="Q26" s="8">
        <f>E90/AVERAGE(E87:E93)</f>
        <v>0.97612634495725392</v>
      </c>
      <c r="R26" s="8">
        <f>E91/AVERAGE(E88:E94)</f>
        <v>1.0016231294755535</v>
      </c>
      <c r="S26" s="8">
        <f>E92/AVERAGE(E89:E95)</f>
        <v>1.0232358356880413</v>
      </c>
      <c r="T26" s="8">
        <v>1</v>
      </c>
      <c r="U26" s="8"/>
      <c r="V26" s="8"/>
      <c r="W26" s="8"/>
    </row>
    <row r="27" spans="1:23" x14ac:dyDescent="0.35">
      <c r="A27" t="s">
        <v>192</v>
      </c>
      <c r="B27" t="str">
        <f t="shared" si="0"/>
        <v>1995</v>
      </c>
      <c r="C27" t="str">
        <f t="shared" si="1"/>
        <v>Q3</v>
      </c>
      <c r="D27" s="13">
        <f>HAVERQ!AK33</f>
        <v>215396</v>
      </c>
      <c r="E27" s="13">
        <f>HAVERQ!AT33</f>
        <v>215114</v>
      </c>
      <c r="F27" s="8">
        <f t="shared" si="2"/>
        <v>1.0013109328077205</v>
      </c>
      <c r="H27">
        <v>2012</v>
      </c>
      <c r="I27" s="8">
        <f>INDEX($F93:$F$148,MATCH(I$4,$C93:$C$148,0))</f>
        <v>1.006117073331777</v>
      </c>
      <c r="J27" s="8">
        <f>INDEX($F93:$F$148,MATCH(J$4,$C93:$C$148,0))</f>
        <v>1.0160637406179753</v>
      </c>
      <c r="K27" s="8">
        <f>INDEX($F93:$F$148,MATCH(K$4,$C93:$C$148,0))</f>
        <v>1.0023550150484999</v>
      </c>
      <c r="L27" s="8">
        <f>INDEX($F93:$F$148,MATCH(L$4,$C93:$C$148,0))</f>
        <v>0.97674596118789114</v>
      </c>
      <c r="M27" s="8">
        <v>1</v>
      </c>
      <c r="P27" s="8">
        <f>E93/AVERAGE(E90:E96)</f>
        <v>0.99658462102487555</v>
      </c>
      <c r="Q27" s="8">
        <f>E94/AVERAGE(E91:E97)</f>
        <v>0.97746941484453631</v>
      </c>
      <c r="R27" s="8">
        <f>E95/AVERAGE(E92:E98)</f>
        <v>0.99987575419023955</v>
      </c>
      <c r="S27" s="8">
        <f>E96/AVERAGE(E93:E99)</f>
        <v>1.0233960183345012</v>
      </c>
      <c r="T27" s="8">
        <v>1</v>
      </c>
      <c r="U27" s="8"/>
      <c r="V27" s="8"/>
      <c r="W27" s="8"/>
    </row>
    <row r="28" spans="1:23" x14ac:dyDescent="0.35">
      <c r="A28" t="s">
        <v>193</v>
      </c>
      <c r="B28" t="str">
        <f t="shared" si="0"/>
        <v>1995</v>
      </c>
      <c r="C28" t="str">
        <f t="shared" si="1"/>
        <v>Q4</v>
      </c>
      <c r="D28" s="13">
        <f>HAVERQ!AK34</f>
        <v>218635</v>
      </c>
      <c r="E28" s="13">
        <f>HAVERQ!AT34</f>
        <v>225770</v>
      </c>
      <c r="F28" s="8">
        <f t="shared" si="2"/>
        <v>0.96839704123665682</v>
      </c>
      <c r="H28">
        <v>2013</v>
      </c>
      <c r="I28" s="8">
        <f>INDEX($F97:$F$148,MATCH(I$4,$C97:$C$148,0))</f>
        <v>1.0095786978936041</v>
      </c>
      <c r="J28" s="8">
        <f>INDEX($F97:$F$148,MATCH(J$4,$C97:$C$148,0))</f>
        <v>1.0128008145765366</v>
      </c>
      <c r="K28" s="8">
        <f>INDEX($F97:$F$148,MATCH(K$4,$C97:$C$148,0))</f>
        <v>0.99911332779163198</v>
      </c>
      <c r="L28" s="8">
        <f>INDEX($F97:$F$148,MATCH(L$4,$C97:$C$148,0))</f>
        <v>0.97978300453600253</v>
      </c>
      <c r="M28" s="8">
        <v>1</v>
      </c>
      <c r="P28" s="8">
        <f>E97/AVERAGE(E94:E100)</f>
        <v>0.98844080822335423</v>
      </c>
      <c r="Q28" s="8">
        <f>E98/AVERAGE(E95:E101)</f>
        <v>0.98089073555936168</v>
      </c>
      <c r="R28" s="8">
        <f>E99/AVERAGE(E96:E102)</f>
        <v>1.0012282811578057</v>
      </c>
      <c r="S28" s="8">
        <f>E100/AVERAGE(E97:E103)</f>
        <v>1.0215212685969919</v>
      </c>
      <c r="T28" s="8">
        <v>1</v>
      </c>
      <c r="U28" s="8"/>
      <c r="V28" s="8"/>
      <c r="W28" s="8"/>
    </row>
    <row r="29" spans="1:23" x14ac:dyDescent="0.35">
      <c r="A29" t="s">
        <v>194</v>
      </c>
      <c r="B29" t="str">
        <f t="shared" si="0"/>
        <v>1996</v>
      </c>
      <c r="C29" t="str">
        <f t="shared" si="1"/>
        <v>Q1</v>
      </c>
      <c r="D29" s="13">
        <f>HAVERQ!AK35</f>
        <v>222304</v>
      </c>
      <c r="E29" s="13">
        <f>HAVERQ!AT35</f>
        <v>219274</v>
      </c>
      <c r="F29" s="8">
        <f t="shared" si="2"/>
        <v>1.0138183277543165</v>
      </c>
      <c r="H29">
        <v>2014</v>
      </c>
      <c r="I29" s="8">
        <f>INDEX($F101:$F$148,MATCH(I$4,$C101:$C$148,0))</f>
        <v>1.0034524294430154</v>
      </c>
      <c r="J29" s="8">
        <f>INDEX($F101:$F$148,MATCH(J$4,$C101:$C$148,0))</f>
        <v>1.0092592592592593</v>
      </c>
      <c r="K29" s="8">
        <f>INDEX($F101:$F$148,MATCH(K$4,$C101:$C$148,0))</f>
        <v>1.0056655721570325</v>
      </c>
      <c r="L29" s="8">
        <f>INDEX($F101:$F$148,MATCH(L$4,$C101:$C$148,0))</f>
        <v>0.98240315954069335</v>
      </c>
      <c r="M29" s="8">
        <v>1</v>
      </c>
      <c r="P29" s="8">
        <f>E101/AVERAGE(E98:E104)</f>
        <v>0.99547869992488247</v>
      </c>
      <c r="Q29" s="8">
        <f>E102/AVERAGE(E99:E105)</f>
        <v>0.9878699767441218</v>
      </c>
      <c r="R29" s="8">
        <f>E103/AVERAGE(E100:E106)</f>
        <v>1.0043113981657006</v>
      </c>
      <c r="S29" s="8">
        <f>E104/AVERAGE(E101:E107)</f>
        <v>1.0251643997480686</v>
      </c>
      <c r="T29" s="8">
        <v>1</v>
      </c>
      <c r="U29" s="8"/>
      <c r="V29" s="8"/>
      <c r="W29" s="8"/>
    </row>
    <row r="30" spans="1:23" x14ac:dyDescent="0.35">
      <c r="A30" t="s">
        <v>195</v>
      </c>
      <c r="B30" t="str">
        <f t="shared" si="0"/>
        <v>1996</v>
      </c>
      <c r="C30" t="str">
        <f t="shared" si="1"/>
        <v>Q2</v>
      </c>
      <c r="D30" s="13">
        <f>HAVERQ!AK36</f>
        <v>227104</v>
      </c>
      <c r="E30" s="13">
        <f>HAVERQ!AT36</f>
        <v>221564</v>
      </c>
      <c r="F30" s="8">
        <f t="shared" si="2"/>
        <v>1.025004062031738</v>
      </c>
      <c r="H30">
        <v>2015</v>
      </c>
      <c r="I30" s="8">
        <f>INDEX($F105:$F$148,MATCH(I$4,$C105:$C$148,0))</f>
        <v>1.0124347393279607</v>
      </c>
      <c r="J30" s="8">
        <f>INDEX($F105:$F$148,MATCH(J$4,$C105:$C$148,0))</f>
        <v>1.0099375348930297</v>
      </c>
      <c r="K30" s="8">
        <f>INDEX($F105:$F$148,MATCH(K$4,$C105:$C$148,0))</f>
        <v>0.99773453551777025</v>
      </c>
      <c r="L30" s="8">
        <f>INDEX($F105:$F$148,MATCH(L$4,$C105:$C$148,0))</f>
        <v>0.98091753447790597</v>
      </c>
      <c r="M30" s="8">
        <v>1</v>
      </c>
      <c r="P30" s="8">
        <f>E105/AVERAGE(E102:E108)</f>
        <v>0.98834623959138579</v>
      </c>
      <c r="Q30" s="8">
        <f>E106/AVERAGE(E103:E109)</f>
        <v>0.9854986449840385</v>
      </c>
      <c r="R30" s="8">
        <f>E107/AVERAGE(E104:E110)</f>
        <v>0.99815430722561316</v>
      </c>
      <c r="S30" s="8">
        <f>E108/AVERAGE(E105:E111)</f>
        <v>1.0211449866108047</v>
      </c>
      <c r="T30" s="8">
        <v>1</v>
      </c>
      <c r="U30" s="8"/>
      <c r="V30" s="8"/>
      <c r="W30" s="8"/>
    </row>
    <row r="31" spans="1:23" x14ac:dyDescent="0.35">
      <c r="A31" t="s">
        <v>196</v>
      </c>
      <c r="B31" t="str">
        <f t="shared" si="0"/>
        <v>1996</v>
      </c>
      <c r="C31" t="str">
        <f t="shared" si="1"/>
        <v>Q3</v>
      </c>
      <c r="D31" s="13">
        <f>HAVERQ!AK37</f>
        <v>230833</v>
      </c>
      <c r="E31" s="13">
        <f>HAVERQ!AT37</f>
        <v>230349</v>
      </c>
      <c r="F31" s="8">
        <f t="shared" si="2"/>
        <v>1.0021011595448646</v>
      </c>
      <c r="H31">
        <v>2016</v>
      </c>
      <c r="I31" s="8">
        <f>INDEX($F109:$F$148,MATCH(I$4,$C109:$C$148,0))</f>
        <v>1.0095867335019244</v>
      </c>
      <c r="J31" s="8">
        <f>INDEX($F109:$F$148,MATCH(J$4,$C109:$C$148,0))</f>
        <v>1.0089209415805189</v>
      </c>
      <c r="K31" s="8">
        <f>INDEX($F109:$F$148,MATCH(K$4,$C109:$C$148,0))</f>
        <v>1.0063388375006983</v>
      </c>
      <c r="L31" s="8">
        <f>INDEX($F109:$F$148,MATCH(L$4,$C109:$C$148,0))</f>
        <v>0.97657439208157082</v>
      </c>
      <c r="M31" s="8">
        <v>1</v>
      </c>
      <c r="P31" s="8">
        <f>E109/AVERAGE(E106:E112)</f>
        <v>0.98703587154462813</v>
      </c>
      <c r="Q31" s="8">
        <f>E110/AVERAGE(E107:E113)</f>
        <v>0.98636754960257877</v>
      </c>
      <c r="R31" s="8">
        <f>E111/AVERAGE(E108:E114)</f>
        <v>0.99460142909184202</v>
      </c>
      <c r="S31" s="8">
        <f>E112/AVERAGE(E109:E115)</f>
        <v>1.0297524925023089</v>
      </c>
      <c r="T31" s="8">
        <v>1</v>
      </c>
      <c r="U31" s="8"/>
      <c r="V31" s="8"/>
      <c r="W31" s="8"/>
    </row>
    <row r="32" spans="1:23" x14ac:dyDescent="0.35">
      <c r="A32" t="s">
        <v>197</v>
      </c>
      <c r="B32" t="str">
        <f t="shared" si="0"/>
        <v>1996</v>
      </c>
      <c r="C32" t="str">
        <f t="shared" si="1"/>
        <v>Q4</v>
      </c>
      <c r="D32" s="13">
        <f>HAVERQ!AK38</f>
        <v>233368</v>
      </c>
      <c r="E32" s="13">
        <f>HAVERQ!AT38</f>
        <v>242422</v>
      </c>
      <c r="F32" s="8">
        <f>D32/E32</f>
        <v>0.96265190453011695</v>
      </c>
      <c r="H32">
        <v>2017</v>
      </c>
      <c r="I32" s="8">
        <f>INDEX($F113:$F$148,MATCH(I$4,$C113:$C$148,0))</f>
        <v>1.0136715726521519</v>
      </c>
      <c r="J32" s="8">
        <f>INDEX($F113:$F$148,MATCH(J$4,$C113:$C$148,0))</f>
        <v>1.0130216678222062</v>
      </c>
      <c r="K32" s="8">
        <f>INDEX($F113:$F$148,MATCH(K$4,$C113:$C$148,0))</f>
        <v>1.0007527164488552</v>
      </c>
      <c r="L32" s="8">
        <f>INDEX($F113:$F$148,MATCH(L$4,$C113:$C$148,0))</f>
        <v>0.9742752404900441</v>
      </c>
      <c r="M32" s="8">
        <v>1</v>
      </c>
      <c r="P32" s="8">
        <f>E113/AVERAGE(E110:E116)</f>
        <v>0.98845935997427781</v>
      </c>
      <c r="Q32" s="8">
        <f>E114/AVERAGE(E111:E117)</f>
        <v>0.98775113905610024</v>
      </c>
      <c r="R32" s="8">
        <f>E115/AVERAGE(E112:E118)</f>
        <v>0.99751528304592085</v>
      </c>
      <c r="S32" s="8">
        <f>E116/AVERAGE(E113:E119)</f>
        <v>1.0341571827600153</v>
      </c>
      <c r="T32" s="8">
        <v>1</v>
      </c>
      <c r="U32" s="8"/>
      <c r="V32" s="8"/>
      <c r="W32" s="8"/>
    </row>
    <row r="33" spans="1:23" x14ac:dyDescent="0.35">
      <c r="A33" t="s">
        <v>198</v>
      </c>
      <c r="B33" t="str">
        <f t="shared" si="0"/>
        <v>1997</v>
      </c>
      <c r="C33" t="str">
        <f t="shared" si="1"/>
        <v>Q1</v>
      </c>
      <c r="D33" s="13">
        <f>HAVERQ!AK39</f>
        <v>233344</v>
      </c>
      <c r="E33" s="13">
        <f>HAVERQ!AT39</f>
        <v>232219</v>
      </c>
      <c r="F33" s="8">
        <f t="shared" si="2"/>
        <v>1.00484456482889</v>
      </c>
      <c r="H33">
        <v>2018</v>
      </c>
      <c r="I33" s="8">
        <f>INDEX($F117:$F$148,MATCH(I$4,$C117:$C$148,0))</f>
        <v>1.0140963837157302</v>
      </c>
      <c r="J33" s="8">
        <f>INDEX($F117:$F$148,MATCH(J$4,$C117:$C$148,0))</f>
        <v>1.0113816180789101</v>
      </c>
      <c r="K33" s="8">
        <f>INDEX($F117:$F$148,MATCH(K$4,$C117:$C$148,0))</f>
        <v>1.0013702807054925</v>
      </c>
      <c r="L33" s="8">
        <f>INDEX($F117:$F$148,MATCH(L$4,$C117:$C$148,0))</f>
        <v>0.97473383771227029</v>
      </c>
      <c r="M33" s="8">
        <v>1</v>
      </c>
      <c r="P33" s="8">
        <f>E117/AVERAGE(E114:E120)</f>
        <v>0.98286954309912689</v>
      </c>
      <c r="Q33" s="8">
        <f>E118/AVERAGE(E115:E121)</f>
        <v>0.98756922005148362</v>
      </c>
      <c r="R33" s="8">
        <f>E119/AVERAGE(E116:E122)</f>
        <v>0.99732800015074152</v>
      </c>
      <c r="S33" s="8">
        <f>E120/AVERAGE(E117:E123)</f>
        <v>1.0304465171195523</v>
      </c>
      <c r="T33" s="8">
        <v>1</v>
      </c>
      <c r="U33" s="8"/>
      <c r="V33" s="8"/>
      <c r="W33" s="8"/>
    </row>
    <row r="34" spans="1:23" x14ac:dyDescent="0.35">
      <c r="A34" t="s">
        <v>199</v>
      </c>
      <c r="B34" t="str">
        <f t="shared" si="0"/>
        <v>1997</v>
      </c>
      <c r="C34" t="str">
        <f t="shared" si="1"/>
        <v>Q2</v>
      </c>
      <c r="D34" s="13">
        <f>HAVERQ!AK40</f>
        <v>237250</v>
      </c>
      <c r="E34" s="13">
        <f>HAVERQ!AT40</f>
        <v>235358</v>
      </c>
      <c r="F34" s="8">
        <f t="shared" si="2"/>
        <v>1.0080388174610593</v>
      </c>
      <c r="H34">
        <v>2019</v>
      </c>
      <c r="I34" s="8">
        <f>INDEX($F121:$F$148,MATCH(I$4,$C121:$C$148,0))</f>
        <v>1.0146152775437542</v>
      </c>
      <c r="J34" s="8">
        <f>INDEX($F121:$F$148,MATCH(J$4,$C121:$C$148,0))</f>
        <v>1.0083871234467374</v>
      </c>
      <c r="K34" s="8">
        <f>INDEX($F121:$F$148,MATCH(K$4,$C121:$C$148,0))</f>
        <v>1.0082586624449408</v>
      </c>
      <c r="L34" s="8">
        <f>INDEX($F121:$F$148,MATCH(L$4,$C121:$C$148,0))</f>
        <v>0.97057967932633016</v>
      </c>
      <c r="M34" s="8">
        <v>1</v>
      </c>
      <c r="P34" s="8">
        <f>E121/AVERAGE(E118:E124)</f>
        <v>0.98081295505333099</v>
      </c>
      <c r="Q34" s="8">
        <f>E122/AVERAGE(E119:E125)</f>
        <v>0.99380920858212773</v>
      </c>
      <c r="R34" s="8">
        <f>E123/AVERAGE(E120:E126)</f>
        <v>1.0236783469901871</v>
      </c>
      <c r="S34" s="8">
        <f>E124/AVERAGE(E121:E127)</f>
        <v>1.0788559673436169</v>
      </c>
      <c r="T34" s="8">
        <v>1</v>
      </c>
      <c r="U34" s="8"/>
      <c r="V34" s="8"/>
      <c r="W34" s="8"/>
    </row>
    <row r="35" spans="1:23" x14ac:dyDescent="0.35">
      <c r="A35" t="s">
        <v>200</v>
      </c>
      <c r="B35" t="str">
        <f t="shared" si="0"/>
        <v>1997</v>
      </c>
      <c r="C35" t="str">
        <f t="shared" si="1"/>
        <v>Q3</v>
      </c>
      <c r="D35" s="13">
        <f>HAVERQ!AK41</f>
        <v>245353</v>
      </c>
      <c r="E35" s="13">
        <f>HAVERQ!AT41</f>
        <v>244272</v>
      </c>
      <c r="F35" s="8">
        <f t="shared" si="2"/>
        <v>1.0044253946420383</v>
      </c>
      <c r="H35">
        <v>2020</v>
      </c>
      <c r="I35" s="8">
        <f>INDEX($F125:$F$148,MATCH(I$4,$C125:$C$148,0))</f>
        <v>1.0053289000718908</v>
      </c>
      <c r="J35" s="8">
        <f>INDEX($F125:$F$148,MATCH(J$4,$C125:$C$148,0))</f>
        <v>1.014504149915568</v>
      </c>
      <c r="K35" s="8">
        <f>INDEX($F125:$F$148,MATCH(K$4,$C125:$C$148,0))</f>
        <v>1.0188757875125634</v>
      </c>
      <c r="L35" s="8">
        <f>INDEX($F125:$F$148,MATCH(L$4,$C125:$C$148,0))</f>
        <v>0.96477511425246243</v>
      </c>
      <c r="M35" s="8">
        <v>1</v>
      </c>
      <c r="P35" s="8">
        <f>E125/AVERAGE(E122:E128)</f>
        <v>1.0164739877604507</v>
      </c>
      <c r="Q35" s="8">
        <f>E126/AVERAGE(E123:E129)</f>
        <v>0.86989995347160509</v>
      </c>
      <c r="R35" s="8">
        <f>E127/AVERAGE(E124:E130)</f>
        <v>0.97078134005876737</v>
      </c>
      <c r="S35" s="8">
        <f>E128/AVERAGE(E125:E131)</f>
        <v>1.0327515626145132</v>
      </c>
      <c r="T35" s="8">
        <v>1</v>
      </c>
      <c r="U35" s="8"/>
      <c r="V35" s="8"/>
      <c r="W35" s="8"/>
    </row>
    <row r="36" spans="1:23" x14ac:dyDescent="0.35">
      <c r="A36" t="s">
        <v>201</v>
      </c>
      <c r="B36" t="str">
        <f t="shared" si="0"/>
        <v>1997</v>
      </c>
      <c r="C36" t="str">
        <f t="shared" si="1"/>
        <v>Q4</v>
      </c>
      <c r="D36" s="13">
        <f>HAVERQ!AK42</f>
        <v>242592</v>
      </c>
      <c r="E36" s="13">
        <f>HAVERQ!AT42</f>
        <v>246690</v>
      </c>
      <c r="F36" s="8">
        <f t="shared" si="2"/>
        <v>0.98338805788641614</v>
      </c>
      <c r="H36">
        <v>2021</v>
      </c>
      <c r="I36" s="8">
        <f>INDEX($F129:$F$148,MATCH(I$4,$C129:$C$148,0))</f>
        <v>1.0063506598040157</v>
      </c>
      <c r="J36" s="8">
        <f>INDEX($F129:$F$148,MATCH(J$4,$C129:$C$148,0))</f>
        <v>1.012031505904285</v>
      </c>
      <c r="K36" s="8">
        <f>INDEX($F129:$F$148,MATCH(K$4,$C129:$C$148,0))</f>
        <v>1.0141226069504305</v>
      </c>
      <c r="L36" s="8">
        <f>INDEX($F129:$F$148,MATCH(L$4,$C129:$C$148,0))</f>
        <v>0.97041087848487362</v>
      </c>
      <c r="M36" s="8">
        <v>1</v>
      </c>
      <c r="P36" s="8">
        <f>E129/AVERAGE(E126:E132)</f>
        <v>0.97449480489707974</v>
      </c>
      <c r="Q36" s="8">
        <f>E130/AVERAGE(E127:E133)</f>
        <v>0.98802045664978633</v>
      </c>
      <c r="R36" s="8">
        <f>E131/AVERAGE(E128:E134)</f>
        <v>0.98961970777565245</v>
      </c>
      <c r="S36" s="8">
        <f>E132/AVERAGE(E129:E135)</f>
        <v>1.039768386611237</v>
      </c>
      <c r="T36" s="8">
        <v>1</v>
      </c>
      <c r="U36" s="8"/>
      <c r="V36" s="8"/>
      <c r="W36" s="8"/>
    </row>
    <row r="37" spans="1:23" x14ac:dyDescent="0.35">
      <c r="A37" t="s">
        <v>202</v>
      </c>
      <c r="B37" t="str">
        <f t="shared" si="0"/>
        <v>1998</v>
      </c>
      <c r="C37" t="str">
        <f t="shared" si="1"/>
        <v>Q1</v>
      </c>
      <c r="D37" s="13">
        <f>HAVERQ!AK43</f>
        <v>247175</v>
      </c>
      <c r="E37" s="13">
        <f>HAVERQ!AT43</f>
        <v>244068</v>
      </c>
      <c r="F37" s="8">
        <f t="shared" si="2"/>
        <v>1.0127300588360622</v>
      </c>
      <c r="H37">
        <v>2022</v>
      </c>
      <c r="I37" s="8">
        <f>INDEX($F133:$F$148,MATCH(I$4,$C133:$C$148,0))</f>
        <v>1.0057989545092036</v>
      </c>
      <c r="J37" s="8">
        <f>INDEX($F133:$F$148,MATCH(J$4,$C133:$C$148,0))</f>
        <v>1.0174219299557887</v>
      </c>
      <c r="K37" s="8">
        <f>INDEX($F133:$F$148,MATCH(K$4,$C133:$C$148,0))</f>
        <v>1.0007957322891847</v>
      </c>
      <c r="L37" s="8">
        <f>INDEX($F133:$F$148,MATCH(L$4,$C133:$C$148,0))</f>
        <v>0.97797107386625504</v>
      </c>
      <c r="M37" s="8">
        <v>1</v>
      </c>
      <c r="P37" s="8">
        <f>E133/AVERAGE(E130:E136)</f>
        <v>0.99404597740676426</v>
      </c>
      <c r="Q37" s="8">
        <f>E134/AVERAGE(E131:E137)</f>
        <v>0.98507501461905467</v>
      </c>
      <c r="R37" s="8">
        <f>E135/AVERAGE(E132:E138)</f>
        <v>0.99730544043155067</v>
      </c>
      <c r="S37" s="8">
        <f>E136/AVERAGE(E133:E139)</f>
        <v>1.0336977442218425</v>
      </c>
      <c r="T37" s="8">
        <v>1</v>
      </c>
      <c r="U37" s="8"/>
      <c r="V37" s="8"/>
      <c r="W37" s="8"/>
    </row>
    <row r="38" spans="1:23" x14ac:dyDescent="0.35">
      <c r="A38" t="s">
        <v>203</v>
      </c>
      <c r="B38" t="str">
        <f t="shared" si="0"/>
        <v>1998</v>
      </c>
      <c r="C38" t="str">
        <f t="shared" si="1"/>
        <v>Q2</v>
      </c>
      <c r="D38" s="13">
        <f>HAVERQ!AK44</f>
        <v>249234</v>
      </c>
      <c r="E38" s="13">
        <f>HAVERQ!AT44</f>
        <v>246263</v>
      </c>
      <c r="F38" s="8">
        <f t="shared" si="2"/>
        <v>1.0120643377202423</v>
      </c>
      <c r="H38">
        <v>2023</v>
      </c>
      <c r="I38" s="8">
        <f>INDEX($F137:$F$148,MATCH(I$4,$C137:$C$148,0))</f>
        <v>1.0094900633017692</v>
      </c>
      <c r="J38" s="8">
        <f>INDEX($F137:$F$148,MATCH(J$4,$C137:$C$148,0))</f>
        <v>1.0146066589180363</v>
      </c>
      <c r="K38" s="8">
        <f>INDEX($F137:$F$148,MATCH(K$4,$C137:$C$148,0))</f>
        <v>0.99732026181416256</v>
      </c>
      <c r="L38" s="8">
        <f>INDEX($F137:$F$148,MATCH(L$4,$C137:$C$148,0))</f>
        <v>0.97949692191350712</v>
      </c>
      <c r="M38" s="8">
        <v>1</v>
      </c>
      <c r="P38" s="8">
        <f>E137/AVERAGE(E134:E140)</f>
        <v>0.99914546795706383</v>
      </c>
      <c r="Q38" s="8">
        <f>E138/AVERAGE(E135:E141)</f>
        <v>0.99200943088983384</v>
      </c>
      <c r="R38" s="8">
        <f>E139/AVERAGE(E136:E142)</f>
        <v>1.0016361327300063</v>
      </c>
      <c r="S38" s="8">
        <f>E140/AVERAGE(E137:E143)</f>
        <v>1.0067342836108151</v>
      </c>
      <c r="T38" s="8">
        <v>1</v>
      </c>
      <c r="U38" s="8"/>
      <c r="V38" s="8"/>
      <c r="W38" s="8"/>
    </row>
    <row r="39" spans="1:23" x14ac:dyDescent="0.35">
      <c r="A39" t="s">
        <v>204</v>
      </c>
      <c r="B39" t="str">
        <f t="shared" si="0"/>
        <v>1998</v>
      </c>
      <c r="C39" t="str">
        <f t="shared" si="1"/>
        <v>Q3</v>
      </c>
      <c r="D39" s="13">
        <f>HAVERQ!AK45</f>
        <v>251492</v>
      </c>
      <c r="E39" s="13">
        <f>HAVERQ!AT45</f>
        <v>251429</v>
      </c>
      <c r="F39" s="8">
        <f t="shared" si="2"/>
        <v>1.000250567754714</v>
      </c>
      <c r="H39">
        <v>2024</v>
      </c>
      <c r="I39" s="8">
        <f>INDEX($F141:$F$148,MATCH(I$4,$C141:$C$148,0))</f>
        <v>0.99263374549281169</v>
      </c>
      <c r="J39" s="8">
        <f>INDEX($F141:$F$148,MATCH(J$4,$C141:$C$148,0))</f>
        <v>1.0117543426940558</v>
      </c>
      <c r="K39" s="8">
        <f>INDEX($F141:$F$148,MATCH(K$4,$C141:$C$148,0))</f>
        <v>1.0022396278180725</v>
      </c>
      <c r="L39" s="8">
        <f>INDEX($F141:$F$148,MATCH(L$4,$C141:$C$148,0))</f>
        <v>0.99362602037519654</v>
      </c>
      <c r="M39" s="8">
        <v>1</v>
      </c>
      <c r="P39" s="8">
        <f>E141/AVERAGE(E138:E144)</f>
        <v>1.0009785147216776</v>
      </c>
      <c r="Q39" s="8">
        <f>E142/AVERAGE(E139:E145)</f>
        <v>0.9843155200268896</v>
      </c>
      <c r="R39" s="8">
        <f>E143/AVERAGE(E140:E146)</f>
        <v>0.99964878999229922</v>
      </c>
      <c r="S39" s="8">
        <f>E144/AVERAGE(E141:E147)</f>
        <v>1.0084116267235923</v>
      </c>
      <c r="T39" s="8">
        <v>1</v>
      </c>
      <c r="U39" s="8"/>
      <c r="V39" s="8"/>
      <c r="W39" s="8"/>
    </row>
    <row r="40" spans="1:23" x14ac:dyDescent="0.35">
      <c r="A40" t="s">
        <v>205</v>
      </c>
      <c r="B40" t="str">
        <f t="shared" si="0"/>
        <v>1998</v>
      </c>
      <c r="C40" t="str">
        <f t="shared" si="1"/>
        <v>Q4</v>
      </c>
      <c r="D40" s="13">
        <f>HAVERQ!AK46</f>
        <v>254903</v>
      </c>
      <c r="E40" s="13">
        <f>HAVERQ!AT46</f>
        <v>261044</v>
      </c>
      <c r="F40" s="8">
        <f t="shared" si="2"/>
        <v>0.97647523022938665</v>
      </c>
      <c r="H40">
        <v>2025</v>
      </c>
      <c r="I40" s="8">
        <f>INDEX($F145:$F$148,MATCH(I$4,$C145:$C$148,0))</f>
        <v>0.99111310747084636</v>
      </c>
      <c r="J40" s="8">
        <f>INDEX($F145:$F$148,MATCH(J$4,$C145:$C$148,0))</f>
        <v>1.0125390593167241</v>
      </c>
      <c r="K40" s="8">
        <f>INDEX($F145:$F$148,MATCH(K$4,$C145:$C$148,0))</f>
        <v>1.0035342134964171</v>
      </c>
      <c r="L40" s="8">
        <f>INDEX($F145:$F$148,MATCH(L$4,$C145:$C$148,0))</f>
        <v>0.9930651030875266</v>
      </c>
      <c r="M40" s="8">
        <v>1</v>
      </c>
      <c r="P40" s="8">
        <f>E145/AVERAGE(E142:E148)</f>
        <v>1.0119630395272787</v>
      </c>
      <c r="Q40" s="9"/>
      <c r="R40" s="8"/>
      <c r="T40" s="8">
        <v>1</v>
      </c>
      <c r="U40" s="8"/>
      <c r="V40" s="8"/>
      <c r="W40" s="8"/>
    </row>
    <row r="41" spans="1:23" x14ac:dyDescent="0.35">
      <c r="A41" t="s">
        <v>206</v>
      </c>
      <c r="B41" t="str">
        <f t="shared" si="0"/>
        <v>1999</v>
      </c>
      <c r="C41" t="str">
        <f t="shared" si="1"/>
        <v>Q1</v>
      </c>
      <c r="D41" s="13">
        <f>HAVERQ!AK47</f>
        <v>257115</v>
      </c>
      <c r="E41" s="13">
        <f>HAVERQ!AT47</f>
        <v>255362</v>
      </c>
      <c r="F41" s="8">
        <f t="shared" si="2"/>
        <v>1.006864764530353</v>
      </c>
      <c r="P41" s="8"/>
      <c r="Q41" s="9"/>
      <c r="R41" s="8"/>
    </row>
    <row r="42" spans="1:23" x14ac:dyDescent="0.35">
      <c r="A42" t="s">
        <v>207</v>
      </c>
      <c r="B42" t="str">
        <f t="shared" si="0"/>
        <v>1999</v>
      </c>
      <c r="C42" t="str">
        <f t="shared" si="1"/>
        <v>Q2</v>
      </c>
      <c r="D42" s="13">
        <f>HAVERQ!AK48</f>
        <v>258836</v>
      </c>
      <c r="E42" s="13">
        <f>HAVERQ!AT48</f>
        <v>255719</v>
      </c>
      <c r="F42" s="8">
        <f t="shared" si="2"/>
        <v>1.0121891607584887</v>
      </c>
      <c r="P42" s="8"/>
      <c r="R42" s="8"/>
    </row>
    <row r="43" spans="1:23" x14ac:dyDescent="0.35">
      <c r="A43" t="s">
        <v>208</v>
      </c>
      <c r="B43" t="str">
        <f t="shared" si="0"/>
        <v>1999</v>
      </c>
      <c r="C43" t="str">
        <f t="shared" si="1"/>
        <v>Q3</v>
      </c>
      <c r="D43" s="13">
        <f>HAVERQ!AK49</f>
        <v>262328</v>
      </c>
      <c r="E43" s="13">
        <f>HAVERQ!AT49</f>
        <v>263487</v>
      </c>
      <c r="F43" s="8">
        <f t="shared" si="2"/>
        <v>0.99560130101295319</v>
      </c>
      <c r="P43" s="8"/>
    </row>
    <row r="44" spans="1:23" x14ac:dyDescent="0.35">
      <c r="A44" t="s">
        <v>209</v>
      </c>
      <c r="B44" t="str">
        <f t="shared" si="0"/>
        <v>1999</v>
      </c>
      <c r="C44" t="str">
        <f t="shared" si="1"/>
        <v>Q4</v>
      </c>
      <c r="D44" s="13">
        <f>HAVERQ!AK50</f>
        <v>268448</v>
      </c>
      <c r="E44" s="13">
        <f>HAVERQ!AT50</f>
        <v>272159</v>
      </c>
      <c r="F44" s="8">
        <f t="shared" si="2"/>
        <v>0.98636458834725294</v>
      </c>
      <c r="T44" s="8"/>
      <c r="U44" s="8"/>
      <c r="V44" s="8"/>
      <c r="W44" s="8"/>
    </row>
    <row r="45" spans="1:23" x14ac:dyDescent="0.35">
      <c r="A45" t="s">
        <v>210</v>
      </c>
      <c r="B45" t="str">
        <f t="shared" si="0"/>
        <v>2000</v>
      </c>
      <c r="C45" t="str">
        <f t="shared" si="1"/>
        <v>Q1</v>
      </c>
      <c r="D45" s="13">
        <f>HAVERQ!AK51</f>
        <v>273551</v>
      </c>
      <c r="E45" s="13">
        <f>HAVERQ!AT51</f>
        <v>269608</v>
      </c>
      <c r="F45" s="8">
        <f t="shared" si="2"/>
        <v>1.0146249369454912</v>
      </c>
    </row>
    <row r="46" spans="1:23" x14ac:dyDescent="0.35">
      <c r="A46" t="s">
        <v>211</v>
      </c>
      <c r="B46" t="str">
        <f t="shared" si="0"/>
        <v>2000</v>
      </c>
      <c r="C46" t="str">
        <f t="shared" si="1"/>
        <v>Q2</v>
      </c>
      <c r="D46" s="13">
        <f>HAVERQ!AK52</f>
        <v>275103</v>
      </c>
      <c r="E46" s="13">
        <f>HAVERQ!AT52</f>
        <v>272380</v>
      </c>
      <c r="F46" s="8">
        <f t="shared" si="2"/>
        <v>1.0099970629267934</v>
      </c>
    </row>
    <row r="47" spans="1:23" x14ac:dyDescent="0.35">
      <c r="A47" t="s">
        <v>212</v>
      </c>
      <c r="B47" t="str">
        <f t="shared" si="0"/>
        <v>2000</v>
      </c>
      <c r="C47" t="str">
        <f t="shared" si="1"/>
        <v>Q3</v>
      </c>
      <c r="D47" s="13">
        <f>HAVERQ!AK53</f>
        <v>277076</v>
      </c>
      <c r="E47" s="13">
        <f>HAVERQ!AT53</f>
        <v>277950</v>
      </c>
      <c r="F47" s="8">
        <f t="shared" si="2"/>
        <v>0.99685554955927325</v>
      </c>
    </row>
    <row r="48" spans="1:23" x14ac:dyDescent="0.35">
      <c r="A48" t="s">
        <v>213</v>
      </c>
      <c r="B48" t="str">
        <f t="shared" si="0"/>
        <v>2000</v>
      </c>
      <c r="C48" t="str">
        <f t="shared" si="1"/>
        <v>Q4</v>
      </c>
      <c r="D48" s="13">
        <f>HAVERQ!AK54</f>
        <v>279029</v>
      </c>
      <c r="E48" s="13">
        <f>HAVERQ!AT54</f>
        <v>284821</v>
      </c>
      <c r="F48" s="8">
        <f t="shared" si="2"/>
        <v>0.97966442081166771</v>
      </c>
    </row>
    <row r="49" spans="1:25" x14ac:dyDescent="0.35">
      <c r="A49" t="s">
        <v>214</v>
      </c>
      <c r="B49" t="str">
        <f t="shared" si="0"/>
        <v>2001</v>
      </c>
      <c r="C49" t="str">
        <f t="shared" si="1"/>
        <v>Q1</v>
      </c>
      <c r="D49" s="13">
        <f>HAVERQ!AK55</f>
        <v>283724</v>
      </c>
      <c r="E49" s="13">
        <f>HAVERQ!AT55</f>
        <v>282482</v>
      </c>
      <c r="F49" s="8">
        <f t="shared" si="2"/>
        <v>1.0043967403232772</v>
      </c>
    </row>
    <row r="50" spans="1:25" x14ac:dyDescent="0.35">
      <c r="A50" t="s">
        <v>215</v>
      </c>
      <c r="B50" t="str">
        <f t="shared" si="0"/>
        <v>2001</v>
      </c>
      <c r="C50" t="str">
        <f t="shared" si="1"/>
        <v>Q2</v>
      </c>
      <c r="D50" s="13">
        <f>HAVERQ!AK56</f>
        <v>287603</v>
      </c>
      <c r="E50" s="13">
        <f>HAVERQ!AT56</f>
        <v>282756</v>
      </c>
      <c r="F50" s="8">
        <f t="shared" si="2"/>
        <v>1.0171419881452559</v>
      </c>
    </row>
    <row r="51" spans="1:25" x14ac:dyDescent="0.35">
      <c r="A51" t="s">
        <v>216</v>
      </c>
      <c r="B51" t="str">
        <f t="shared" si="0"/>
        <v>2001</v>
      </c>
      <c r="C51" t="str">
        <f t="shared" si="1"/>
        <v>Q3</v>
      </c>
      <c r="D51" s="13">
        <f>HAVERQ!AK57</f>
        <v>289333</v>
      </c>
      <c r="E51" s="13">
        <f>HAVERQ!AT57</f>
        <v>291459</v>
      </c>
      <c r="F51" s="8">
        <f t="shared" si="2"/>
        <v>0.99270566357532275</v>
      </c>
    </row>
    <row r="52" spans="1:25" x14ac:dyDescent="0.35">
      <c r="A52" t="s">
        <v>217</v>
      </c>
      <c r="B52" t="str">
        <f t="shared" si="0"/>
        <v>2001</v>
      </c>
      <c r="C52" t="str">
        <f t="shared" si="1"/>
        <v>Q4</v>
      </c>
      <c r="D52" s="13">
        <f>HAVERQ!AK58</f>
        <v>289882</v>
      </c>
      <c r="E52" s="13">
        <f>HAVERQ!AT58</f>
        <v>293845</v>
      </c>
      <c r="F52" s="8">
        <f t="shared" si="2"/>
        <v>0.98651329782708574</v>
      </c>
    </row>
    <row r="53" spans="1:25" x14ac:dyDescent="0.35">
      <c r="A53" t="s">
        <v>218</v>
      </c>
      <c r="B53" t="str">
        <f t="shared" si="0"/>
        <v>2002</v>
      </c>
      <c r="C53" t="str">
        <f t="shared" si="1"/>
        <v>Q1</v>
      </c>
      <c r="D53" s="13">
        <f>HAVERQ!AK59</f>
        <v>293878</v>
      </c>
      <c r="E53" s="13">
        <f>HAVERQ!AT59</f>
        <v>291525</v>
      </c>
      <c r="F53" s="8">
        <f t="shared" si="2"/>
        <v>1.0080713489409141</v>
      </c>
    </row>
    <row r="54" spans="1:25" x14ac:dyDescent="0.35">
      <c r="A54" t="s">
        <v>219</v>
      </c>
      <c r="B54" t="str">
        <f t="shared" si="0"/>
        <v>2002</v>
      </c>
      <c r="C54" t="str">
        <f t="shared" si="1"/>
        <v>Q2</v>
      </c>
      <c r="D54" s="13">
        <f>HAVERQ!AK60</f>
        <v>297001</v>
      </c>
      <c r="E54" s="13">
        <f>HAVERQ!AT60</f>
        <v>293632</v>
      </c>
      <c r="F54" s="8">
        <f t="shared" si="2"/>
        <v>1.0114735451176984</v>
      </c>
    </row>
    <row r="55" spans="1:25" x14ac:dyDescent="0.35">
      <c r="A55" t="s">
        <v>220</v>
      </c>
      <c r="B55" t="str">
        <f t="shared" si="0"/>
        <v>2002</v>
      </c>
      <c r="C55" t="str">
        <f t="shared" si="1"/>
        <v>Q3</v>
      </c>
      <c r="D55" s="13">
        <f>HAVERQ!AK61</f>
        <v>299863</v>
      </c>
      <c r="E55" s="13">
        <f>HAVERQ!AT61</f>
        <v>302626</v>
      </c>
      <c r="F55" s="8">
        <f t="shared" si="2"/>
        <v>0.99086991864545682</v>
      </c>
    </row>
    <row r="56" spans="1:25" x14ac:dyDescent="0.35">
      <c r="A56" t="s">
        <v>221</v>
      </c>
      <c r="B56" t="str">
        <f t="shared" si="0"/>
        <v>2002</v>
      </c>
      <c r="C56" t="str">
        <f t="shared" si="1"/>
        <v>Q4</v>
      </c>
      <c r="D56" s="13">
        <f>HAVERQ!AK62</f>
        <v>303904</v>
      </c>
      <c r="E56" s="13">
        <f>HAVERQ!AT62</f>
        <v>306863</v>
      </c>
      <c r="F56" s="8">
        <f t="shared" si="2"/>
        <v>0.99035726040610961</v>
      </c>
      <c r="I56" s="8"/>
      <c r="Y56" t="s">
        <v>349</v>
      </c>
    </row>
    <row r="57" spans="1:25" x14ac:dyDescent="0.35">
      <c r="A57" t="s">
        <v>222</v>
      </c>
      <c r="B57" t="str">
        <f t="shared" si="0"/>
        <v>2003</v>
      </c>
      <c r="C57" t="str">
        <f t="shared" si="1"/>
        <v>Q1</v>
      </c>
      <c r="D57" s="13">
        <f>HAVERQ!AK63</f>
        <v>307576</v>
      </c>
      <c r="E57" s="13">
        <f>HAVERQ!AT63</f>
        <v>307025</v>
      </c>
      <c r="F57" s="8">
        <f t="shared" si="2"/>
        <v>1.0017946421301196</v>
      </c>
    </row>
    <row r="58" spans="1:25" x14ac:dyDescent="0.35">
      <c r="A58" t="s">
        <v>223</v>
      </c>
      <c r="B58" t="str">
        <f t="shared" si="0"/>
        <v>2003</v>
      </c>
      <c r="C58" t="str">
        <f t="shared" si="1"/>
        <v>Q2</v>
      </c>
      <c r="D58" s="13">
        <f>HAVERQ!AK64</f>
        <v>313623</v>
      </c>
      <c r="E58" s="13">
        <f>HAVERQ!AT64</f>
        <v>308113</v>
      </c>
      <c r="F58" s="8">
        <f t="shared" si="2"/>
        <v>1.017883049400707</v>
      </c>
    </row>
    <row r="59" spans="1:25" x14ac:dyDescent="0.35">
      <c r="A59" t="s">
        <v>224</v>
      </c>
      <c r="B59" t="str">
        <f t="shared" si="0"/>
        <v>2003</v>
      </c>
      <c r="C59" t="str">
        <f t="shared" si="1"/>
        <v>Q3</v>
      </c>
      <c r="D59" s="13">
        <f>HAVERQ!AK65</f>
        <v>318875</v>
      </c>
      <c r="E59" s="13">
        <f>HAVERQ!AT65</f>
        <v>319797</v>
      </c>
      <c r="F59" s="8">
        <f t="shared" si="2"/>
        <v>0.99711692104678906</v>
      </c>
    </row>
    <row r="60" spans="1:25" x14ac:dyDescent="0.35">
      <c r="A60" t="s">
        <v>225</v>
      </c>
      <c r="B60" t="str">
        <f t="shared" si="0"/>
        <v>2003</v>
      </c>
      <c r="C60" t="str">
        <f t="shared" si="1"/>
        <v>Q4</v>
      </c>
      <c r="D60" s="13">
        <f>HAVERQ!AK66</f>
        <v>322428</v>
      </c>
      <c r="E60" s="13">
        <f>HAVERQ!AT66</f>
        <v>327567</v>
      </c>
      <c r="F60" s="8">
        <f t="shared" si="2"/>
        <v>0.98431160648050631</v>
      </c>
    </row>
    <row r="61" spans="1:25" x14ac:dyDescent="0.35">
      <c r="A61" t="s">
        <v>226</v>
      </c>
      <c r="B61" t="str">
        <f t="shared" si="0"/>
        <v>2004</v>
      </c>
      <c r="C61" t="str">
        <f t="shared" si="1"/>
        <v>Q1</v>
      </c>
      <c r="D61" s="13">
        <f>HAVERQ!AK67</f>
        <v>324300</v>
      </c>
      <c r="E61" s="13">
        <f>HAVERQ!AT67</f>
        <v>322117</v>
      </c>
      <c r="F61" s="8">
        <f t="shared" si="2"/>
        <v>1.0067770406405125</v>
      </c>
    </row>
    <row r="62" spans="1:25" x14ac:dyDescent="0.35">
      <c r="A62" t="s">
        <v>227</v>
      </c>
      <c r="B62" t="str">
        <f t="shared" si="0"/>
        <v>2004</v>
      </c>
      <c r="C62" t="str">
        <f t="shared" si="1"/>
        <v>Q2</v>
      </c>
      <c r="D62" s="13">
        <f>HAVERQ!AK68</f>
        <v>331067</v>
      </c>
      <c r="E62" s="13">
        <f>HAVERQ!AT68</f>
        <v>325388</v>
      </c>
      <c r="F62" s="8">
        <f t="shared" si="2"/>
        <v>1.0174530099450503</v>
      </c>
    </row>
    <row r="63" spans="1:25" x14ac:dyDescent="0.35">
      <c r="A63" t="s">
        <v>228</v>
      </c>
      <c r="B63" t="str">
        <f t="shared" si="0"/>
        <v>2004</v>
      </c>
      <c r="C63" t="str">
        <f t="shared" si="1"/>
        <v>Q3</v>
      </c>
      <c r="D63" s="13">
        <f>HAVERQ!AK69</f>
        <v>332518</v>
      </c>
      <c r="E63" s="13">
        <f>HAVERQ!AT69</f>
        <v>336803</v>
      </c>
      <c r="F63" s="8">
        <f t="shared" si="2"/>
        <v>0.98727742923905071</v>
      </c>
    </row>
    <row r="64" spans="1:25" x14ac:dyDescent="0.35">
      <c r="A64" t="s">
        <v>229</v>
      </c>
      <c r="B64" t="str">
        <f t="shared" si="0"/>
        <v>2004</v>
      </c>
      <c r="C64" t="str">
        <f t="shared" si="1"/>
        <v>Q4</v>
      </c>
      <c r="D64" s="13">
        <f>HAVERQ!AK70</f>
        <v>339258</v>
      </c>
      <c r="E64" s="13">
        <f>HAVERQ!AT70</f>
        <v>342835</v>
      </c>
      <c r="F64" s="8">
        <f t="shared" si="2"/>
        <v>0.98956640949728003</v>
      </c>
    </row>
    <row r="65" spans="1:10" x14ac:dyDescent="0.35">
      <c r="A65" t="s">
        <v>230</v>
      </c>
      <c r="B65" t="str">
        <f t="shared" si="0"/>
        <v>2005</v>
      </c>
      <c r="C65" t="str">
        <f t="shared" si="1"/>
        <v>Q1</v>
      </c>
      <c r="D65" s="13">
        <f>HAVERQ!AK71</f>
        <v>341839</v>
      </c>
      <c r="E65" s="13">
        <f>HAVERQ!AT71</f>
        <v>341391</v>
      </c>
      <c r="F65" s="8">
        <f t="shared" si="2"/>
        <v>1.001312278296733</v>
      </c>
    </row>
    <row r="66" spans="1:10" x14ac:dyDescent="0.35">
      <c r="A66" t="s">
        <v>231</v>
      </c>
      <c r="B66" t="str">
        <f t="shared" si="0"/>
        <v>2005</v>
      </c>
      <c r="C66" t="str">
        <f t="shared" si="1"/>
        <v>Q2</v>
      </c>
      <c r="D66" s="13">
        <f>HAVERQ!AK72</f>
        <v>349602</v>
      </c>
      <c r="E66" s="13">
        <f>HAVERQ!AT72</f>
        <v>344177</v>
      </c>
      <c r="F66" s="8">
        <f t="shared" si="2"/>
        <v>1.015762238615596</v>
      </c>
    </row>
    <row r="67" spans="1:10" x14ac:dyDescent="0.35">
      <c r="A67" t="s">
        <v>232</v>
      </c>
      <c r="B67" t="str">
        <f t="shared" si="0"/>
        <v>2005</v>
      </c>
      <c r="C67" t="str">
        <f t="shared" si="1"/>
        <v>Q3</v>
      </c>
      <c r="D67" s="13">
        <f>HAVERQ!AK73</f>
        <v>353424</v>
      </c>
      <c r="E67" s="13">
        <f>HAVERQ!AT73</f>
        <v>353499</v>
      </c>
      <c r="F67" s="8">
        <f t="shared" si="2"/>
        <v>0.9997878353262668</v>
      </c>
    </row>
    <row r="68" spans="1:10" x14ac:dyDescent="0.35">
      <c r="A68" t="s">
        <v>233</v>
      </c>
      <c r="B68" t="str">
        <f t="shared" si="0"/>
        <v>2005</v>
      </c>
      <c r="C68" t="str">
        <f t="shared" si="1"/>
        <v>Q4</v>
      </c>
      <c r="D68" s="13">
        <f>HAVERQ!AK74</f>
        <v>358384</v>
      </c>
      <c r="E68" s="13">
        <f>HAVERQ!AT74</f>
        <v>364182</v>
      </c>
      <c r="F68" s="8">
        <f t="shared" si="2"/>
        <v>0.98407938887699009</v>
      </c>
    </row>
    <row r="69" spans="1:10" x14ac:dyDescent="0.35">
      <c r="A69" t="s">
        <v>234</v>
      </c>
      <c r="B69" t="str">
        <f t="shared" si="0"/>
        <v>2006</v>
      </c>
      <c r="C69" t="str">
        <f t="shared" si="1"/>
        <v>Q1</v>
      </c>
      <c r="D69" s="13">
        <f>HAVERQ!AK75</f>
        <v>362595</v>
      </c>
      <c r="E69" s="13">
        <f>HAVERQ!AT75</f>
        <v>361699</v>
      </c>
      <c r="F69" s="8">
        <f t="shared" si="2"/>
        <v>1.002477197891064</v>
      </c>
    </row>
    <row r="70" spans="1:10" x14ac:dyDescent="0.35">
      <c r="A70" t="s">
        <v>235</v>
      </c>
      <c r="B70" t="str">
        <f t="shared" ref="B70:B133" si="3">LEFT(A70,4)</f>
        <v>2006</v>
      </c>
      <c r="C70" t="str">
        <f t="shared" ref="C70:C133" si="4">RIGHT(A70,2)</f>
        <v>Q2</v>
      </c>
      <c r="D70" s="13">
        <f>HAVERQ!AK76</f>
        <v>368522</v>
      </c>
      <c r="E70" s="13">
        <f>HAVERQ!AT76</f>
        <v>361945</v>
      </c>
      <c r="F70" s="8">
        <f t="shared" ref="F70:F133" si="5">D70/E70</f>
        <v>1.0181712691154734</v>
      </c>
      <c r="I70" s="12" t="s">
        <v>675</v>
      </c>
      <c r="J70" t="s">
        <v>677</v>
      </c>
    </row>
    <row r="71" spans="1:10" x14ac:dyDescent="0.35">
      <c r="A71" t="s">
        <v>236</v>
      </c>
      <c r="B71" t="str">
        <f t="shared" si="3"/>
        <v>2006</v>
      </c>
      <c r="C71" t="str">
        <f t="shared" si="4"/>
        <v>Q3</v>
      </c>
      <c r="D71" s="13">
        <f>HAVERQ!AK77</f>
        <v>372582</v>
      </c>
      <c r="E71" s="13">
        <f>HAVERQ!AT77</f>
        <v>373403</v>
      </c>
      <c r="F71" s="8">
        <f t="shared" si="5"/>
        <v>0.99780130314968007</v>
      </c>
    </row>
    <row r="72" spans="1:10" x14ac:dyDescent="0.35">
      <c r="A72" t="s">
        <v>237</v>
      </c>
      <c r="B72" t="str">
        <f t="shared" si="3"/>
        <v>2006</v>
      </c>
      <c r="C72" t="str">
        <f t="shared" si="4"/>
        <v>Q4</v>
      </c>
      <c r="D72" s="13">
        <f>HAVERQ!AK78</f>
        <v>374381</v>
      </c>
      <c r="E72" s="13">
        <f>HAVERQ!AT78</f>
        <v>381033</v>
      </c>
      <c r="F72" s="8">
        <f t="shared" si="5"/>
        <v>0.98254219450808722</v>
      </c>
      <c r="I72" s="12" t="s">
        <v>676</v>
      </c>
      <c r="J72" t="s">
        <v>678</v>
      </c>
    </row>
    <row r="73" spans="1:10" x14ac:dyDescent="0.35">
      <c r="A73" t="s">
        <v>238</v>
      </c>
      <c r="B73" t="str">
        <f t="shared" si="3"/>
        <v>2007</v>
      </c>
      <c r="C73" t="str">
        <f t="shared" si="4"/>
        <v>Q1</v>
      </c>
      <c r="D73" s="13">
        <f>HAVERQ!AK79</f>
        <v>378672</v>
      </c>
      <c r="E73" s="13">
        <f>HAVERQ!AT79</f>
        <v>377067</v>
      </c>
      <c r="F73" s="8">
        <f t="shared" si="5"/>
        <v>1.0042565379627493</v>
      </c>
    </row>
    <row r="74" spans="1:10" x14ac:dyDescent="0.35">
      <c r="A74" t="s">
        <v>239</v>
      </c>
      <c r="B74" t="str">
        <f t="shared" si="3"/>
        <v>2007</v>
      </c>
      <c r="C74" t="str">
        <f t="shared" si="4"/>
        <v>Q2</v>
      </c>
      <c r="D74" s="13">
        <f>HAVERQ!AK80</f>
        <v>387949</v>
      </c>
      <c r="E74" s="13">
        <f>HAVERQ!AT80</f>
        <v>378538</v>
      </c>
      <c r="F74" s="8">
        <f t="shared" si="5"/>
        <v>1.0248614405951317</v>
      </c>
    </row>
    <row r="75" spans="1:10" x14ac:dyDescent="0.35">
      <c r="A75" t="s">
        <v>240</v>
      </c>
      <c r="B75" t="str">
        <f t="shared" si="3"/>
        <v>2007</v>
      </c>
      <c r="C75" t="str">
        <f t="shared" si="4"/>
        <v>Q3</v>
      </c>
      <c r="D75" s="13">
        <f>HAVERQ!AK81</f>
        <v>390894</v>
      </c>
      <c r="E75" s="13">
        <f>HAVERQ!AT81</f>
        <v>395535</v>
      </c>
      <c r="F75" s="8">
        <f t="shared" si="5"/>
        <v>0.98826652508627555</v>
      </c>
    </row>
    <row r="76" spans="1:10" x14ac:dyDescent="0.35">
      <c r="A76" t="s">
        <v>241</v>
      </c>
      <c r="B76" t="str">
        <f t="shared" si="3"/>
        <v>2007</v>
      </c>
      <c r="C76" t="str">
        <f t="shared" si="4"/>
        <v>Q4</v>
      </c>
      <c r="D76" s="13">
        <f>HAVERQ!AK82</f>
        <v>394214</v>
      </c>
      <c r="E76" s="13">
        <f>HAVERQ!AT82</f>
        <v>400589</v>
      </c>
      <c r="F76" s="8">
        <f t="shared" si="5"/>
        <v>0.98408593346297579</v>
      </c>
    </row>
    <row r="77" spans="1:10" x14ac:dyDescent="0.35">
      <c r="A77" t="s">
        <v>242</v>
      </c>
      <c r="B77" t="str">
        <f t="shared" si="3"/>
        <v>2008</v>
      </c>
      <c r="C77" t="str">
        <f t="shared" si="4"/>
        <v>Q1</v>
      </c>
      <c r="D77" s="13">
        <f>HAVERQ!AK83</f>
        <v>399716</v>
      </c>
      <c r="E77" s="13">
        <f>HAVERQ!AT83</f>
        <v>397265</v>
      </c>
      <c r="F77" s="8">
        <f t="shared" si="5"/>
        <v>1.0061696852227102</v>
      </c>
    </row>
    <row r="78" spans="1:10" x14ac:dyDescent="0.35">
      <c r="A78" t="s">
        <v>243</v>
      </c>
      <c r="B78" t="str">
        <f t="shared" si="3"/>
        <v>2008</v>
      </c>
      <c r="C78" t="str">
        <f t="shared" si="4"/>
        <v>Q2</v>
      </c>
      <c r="D78" s="13">
        <f>HAVERQ!AK84</f>
        <v>402687</v>
      </c>
      <c r="E78" s="13">
        <f>HAVERQ!AT84</f>
        <v>397113</v>
      </c>
      <c r="F78" s="8">
        <f t="shared" si="5"/>
        <v>1.0140363070461054</v>
      </c>
    </row>
    <row r="79" spans="1:10" x14ac:dyDescent="0.35">
      <c r="A79" t="s">
        <v>244</v>
      </c>
      <c r="B79" t="str">
        <f t="shared" si="3"/>
        <v>2008</v>
      </c>
      <c r="C79" t="str">
        <f t="shared" si="4"/>
        <v>Q3</v>
      </c>
      <c r="D79" s="13">
        <f>HAVERQ!AK85</f>
        <v>402137</v>
      </c>
      <c r="E79" s="13">
        <f>HAVERQ!AT85</f>
        <v>404265</v>
      </c>
      <c r="F79" s="8">
        <f t="shared" si="5"/>
        <v>0.99473612605592865</v>
      </c>
    </row>
    <row r="80" spans="1:10" x14ac:dyDescent="0.35">
      <c r="A80" t="s">
        <v>245</v>
      </c>
      <c r="B80" t="str">
        <f t="shared" si="3"/>
        <v>2008</v>
      </c>
      <c r="C80" t="str">
        <f t="shared" si="4"/>
        <v>Q4</v>
      </c>
      <c r="D80" s="13">
        <f>HAVERQ!AK86</f>
        <v>397677</v>
      </c>
      <c r="E80" s="13">
        <f>HAVERQ!AT86</f>
        <v>403574</v>
      </c>
      <c r="F80" s="8">
        <f t="shared" si="5"/>
        <v>0.98538805770441107</v>
      </c>
    </row>
    <row r="81" spans="1:6" x14ac:dyDescent="0.35">
      <c r="A81" t="s">
        <v>246</v>
      </c>
      <c r="B81" t="str">
        <f t="shared" si="3"/>
        <v>2009</v>
      </c>
      <c r="C81" t="str">
        <f t="shared" si="4"/>
        <v>Q1</v>
      </c>
      <c r="D81" s="13">
        <f>HAVERQ!AK87</f>
        <v>389775</v>
      </c>
      <c r="E81" s="13">
        <f>HAVERQ!AT87</f>
        <v>388315</v>
      </c>
      <c r="F81" s="8">
        <f t="shared" si="5"/>
        <v>1.0037598341552605</v>
      </c>
    </row>
    <row r="82" spans="1:6" x14ac:dyDescent="0.35">
      <c r="A82" t="s">
        <v>247</v>
      </c>
      <c r="B82" t="str">
        <f t="shared" si="3"/>
        <v>2009</v>
      </c>
      <c r="C82" t="str">
        <f t="shared" si="4"/>
        <v>Q2</v>
      </c>
      <c r="D82" s="13">
        <f>HAVERQ!AK88</f>
        <v>389151</v>
      </c>
      <c r="E82" s="13">
        <f>HAVERQ!AT88</f>
        <v>380351</v>
      </c>
      <c r="F82" s="8">
        <f t="shared" si="5"/>
        <v>1.0231365238950338</v>
      </c>
    </row>
    <row r="83" spans="1:6" x14ac:dyDescent="0.35">
      <c r="A83" t="s">
        <v>248</v>
      </c>
      <c r="B83" t="str">
        <f t="shared" si="3"/>
        <v>2009</v>
      </c>
      <c r="C83" t="str">
        <f t="shared" si="4"/>
        <v>Q3</v>
      </c>
      <c r="D83" s="13">
        <f>HAVERQ!AK89</f>
        <v>391179</v>
      </c>
      <c r="E83" s="13">
        <f>HAVERQ!AT89</f>
        <v>394530</v>
      </c>
      <c r="F83" s="8">
        <f t="shared" si="5"/>
        <v>0.9915063493270474</v>
      </c>
    </row>
    <row r="84" spans="1:6" x14ac:dyDescent="0.35">
      <c r="A84" t="s">
        <v>249</v>
      </c>
      <c r="B84" t="str">
        <f t="shared" si="3"/>
        <v>2009</v>
      </c>
      <c r="C84" t="str">
        <f t="shared" si="4"/>
        <v>Q4</v>
      </c>
      <c r="D84" s="13">
        <f>HAVERQ!AK90</f>
        <v>389300</v>
      </c>
      <c r="E84" s="13">
        <f>HAVERQ!AT90</f>
        <v>396209</v>
      </c>
      <c r="F84" s="8">
        <f t="shared" si="5"/>
        <v>0.9825622335686468</v>
      </c>
    </row>
    <row r="85" spans="1:6" x14ac:dyDescent="0.35">
      <c r="A85" t="s">
        <v>250</v>
      </c>
      <c r="B85" t="str">
        <f t="shared" si="3"/>
        <v>2010</v>
      </c>
      <c r="C85" t="str">
        <f t="shared" si="4"/>
        <v>Q1</v>
      </c>
      <c r="D85" s="13">
        <f>HAVERQ!AK91</f>
        <v>398126</v>
      </c>
      <c r="E85" s="13">
        <f>HAVERQ!AT91</f>
        <v>395980</v>
      </c>
      <c r="F85" s="8">
        <f t="shared" si="5"/>
        <v>1.0054194656295772</v>
      </c>
    </row>
    <row r="86" spans="1:6" x14ac:dyDescent="0.35">
      <c r="A86" t="s">
        <v>251</v>
      </c>
      <c r="B86" t="str">
        <f t="shared" si="3"/>
        <v>2010</v>
      </c>
      <c r="C86" t="str">
        <f t="shared" si="4"/>
        <v>Q2</v>
      </c>
      <c r="D86" s="13">
        <f>HAVERQ!AK92</f>
        <v>402937</v>
      </c>
      <c r="E86" s="13">
        <f>HAVERQ!AT92</f>
        <v>394997</v>
      </c>
      <c r="F86" s="8">
        <f t="shared" si="5"/>
        <v>1.020101418491786</v>
      </c>
    </row>
    <row r="87" spans="1:6" x14ac:dyDescent="0.35">
      <c r="A87" t="s">
        <v>252</v>
      </c>
      <c r="B87" t="str">
        <f t="shared" si="3"/>
        <v>2010</v>
      </c>
      <c r="C87" t="str">
        <f t="shared" si="4"/>
        <v>Q3</v>
      </c>
      <c r="D87" s="13">
        <f>HAVERQ!AK93</f>
        <v>406177</v>
      </c>
      <c r="E87" s="13">
        <f>HAVERQ!AT93</f>
        <v>409292</v>
      </c>
      <c r="F87" s="8">
        <f t="shared" si="5"/>
        <v>0.99238929663907427</v>
      </c>
    </row>
    <row r="88" spans="1:6" x14ac:dyDescent="0.35">
      <c r="A88" t="s">
        <v>253</v>
      </c>
      <c r="B88" t="str">
        <f t="shared" si="3"/>
        <v>2010</v>
      </c>
      <c r="C88" t="str">
        <f t="shared" si="4"/>
        <v>Q4</v>
      </c>
      <c r="D88" s="13">
        <f>HAVERQ!AK94</f>
        <v>408599</v>
      </c>
      <c r="E88" s="13">
        <f>HAVERQ!AT94</f>
        <v>415570</v>
      </c>
      <c r="F88" s="8">
        <f t="shared" si="5"/>
        <v>0.98322544938277545</v>
      </c>
    </row>
    <row r="89" spans="1:6" x14ac:dyDescent="0.35">
      <c r="A89" t="s">
        <v>254</v>
      </c>
      <c r="B89" t="str">
        <f t="shared" si="3"/>
        <v>2011</v>
      </c>
      <c r="C89" t="str">
        <f t="shared" si="4"/>
        <v>Q1</v>
      </c>
      <c r="D89" s="13">
        <f>HAVERQ!AK95</f>
        <v>416521</v>
      </c>
      <c r="E89" s="13">
        <f>HAVERQ!AT95</f>
        <v>413067</v>
      </c>
      <c r="F89" s="8">
        <f t="shared" si="5"/>
        <v>1.0083618396047129</v>
      </c>
    </row>
    <row r="90" spans="1:6" x14ac:dyDescent="0.35">
      <c r="A90" t="s">
        <v>255</v>
      </c>
      <c r="B90" t="str">
        <f t="shared" si="3"/>
        <v>2011</v>
      </c>
      <c r="C90" t="str">
        <f t="shared" si="4"/>
        <v>Q2</v>
      </c>
      <c r="D90" s="13">
        <f>HAVERQ!AK96</f>
        <v>414040</v>
      </c>
      <c r="E90" s="13">
        <f>HAVERQ!AT96</f>
        <v>407026</v>
      </c>
      <c r="F90" s="8">
        <f t="shared" si="5"/>
        <v>1.0172323143976061</v>
      </c>
    </row>
    <row r="91" spans="1:6" x14ac:dyDescent="0.35">
      <c r="A91" t="s">
        <v>256</v>
      </c>
      <c r="B91" t="str">
        <f t="shared" si="3"/>
        <v>2011</v>
      </c>
      <c r="C91" t="str">
        <f t="shared" si="4"/>
        <v>Q3</v>
      </c>
      <c r="D91" s="13">
        <f>HAVERQ!AK97</f>
        <v>418119</v>
      </c>
      <c r="E91" s="13">
        <f>HAVERQ!AT97</f>
        <v>419183</v>
      </c>
      <c r="F91" s="8">
        <f t="shared" si="5"/>
        <v>0.99746172912546549</v>
      </c>
    </row>
    <row r="92" spans="1:6" x14ac:dyDescent="0.35">
      <c r="A92" t="s">
        <v>257</v>
      </c>
      <c r="B92" t="str">
        <f t="shared" si="3"/>
        <v>2011</v>
      </c>
      <c r="C92" t="str">
        <f t="shared" si="4"/>
        <v>Q4</v>
      </c>
      <c r="D92" s="13">
        <f>HAVERQ!AK98</f>
        <v>421265</v>
      </c>
      <c r="E92" s="13">
        <f>HAVERQ!AT98</f>
        <v>430669</v>
      </c>
      <c r="F92" s="8">
        <f t="shared" si="5"/>
        <v>0.97816420499269741</v>
      </c>
    </row>
    <row r="93" spans="1:6" x14ac:dyDescent="0.35">
      <c r="A93" t="s">
        <v>258</v>
      </c>
      <c r="B93" t="str">
        <f t="shared" si="3"/>
        <v>2012</v>
      </c>
      <c r="C93" t="str">
        <f t="shared" si="4"/>
        <v>Q1</v>
      </c>
      <c r="D93" s="13">
        <f>HAVERQ!AK99</f>
        <v>426653</v>
      </c>
      <c r="E93" s="13">
        <f>HAVERQ!AT99</f>
        <v>424059</v>
      </c>
      <c r="F93" s="8">
        <f t="shared" si="5"/>
        <v>1.006117073331777</v>
      </c>
    </row>
    <row r="94" spans="1:6" x14ac:dyDescent="0.35">
      <c r="A94" t="s">
        <v>259</v>
      </c>
      <c r="B94" t="str">
        <f t="shared" si="3"/>
        <v>2012</v>
      </c>
      <c r="C94" t="str">
        <f t="shared" si="4"/>
        <v>Q2</v>
      </c>
      <c r="D94" s="13">
        <f>HAVERQ!AK100</f>
        <v>426698</v>
      </c>
      <c r="E94" s="13">
        <f>HAVERQ!AT100</f>
        <v>419952</v>
      </c>
      <c r="F94" s="8">
        <f t="shared" si="5"/>
        <v>1.0160637406179753</v>
      </c>
    </row>
    <row r="95" spans="1:6" x14ac:dyDescent="0.35">
      <c r="A95" t="s">
        <v>260</v>
      </c>
      <c r="B95" t="str">
        <f t="shared" si="3"/>
        <v>2012</v>
      </c>
      <c r="C95" t="str">
        <f t="shared" si="4"/>
        <v>Q3</v>
      </c>
      <c r="D95" s="13">
        <f>HAVERQ!AK101</f>
        <v>433287</v>
      </c>
      <c r="E95" s="13">
        <f>HAVERQ!AT101</f>
        <v>432269</v>
      </c>
      <c r="F95" s="8">
        <f t="shared" si="5"/>
        <v>1.0023550150484999</v>
      </c>
    </row>
    <row r="96" spans="1:6" x14ac:dyDescent="0.35">
      <c r="A96" t="s">
        <v>261</v>
      </c>
      <c r="B96" t="str">
        <f t="shared" si="3"/>
        <v>2012</v>
      </c>
      <c r="C96" t="str">
        <f t="shared" si="4"/>
        <v>Q4</v>
      </c>
      <c r="D96" s="13">
        <f>HAVERQ!AK102</f>
        <v>435070</v>
      </c>
      <c r="E96" s="13">
        <f>HAVERQ!AT102</f>
        <v>445428</v>
      </c>
      <c r="F96" s="8">
        <f t="shared" si="5"/>
        <v>0.97674596118789114</v>
      </c>
    </row>
    <row r="97" spans="1:6" x14ac:dyDescent="0.35">
      <c r="A97" t="s">
        <v>262</v>
      </c>
      <c r="B97" t="str">
        <f t="shared" si="3"/>
        <v>2013</v>
      </c>
      <c r="C97" t="str">
        <f t="shared" si="4"/>
        <v>Q1</v>
      </c>
      <c r="D97" s="13">
        <f>HAVERQ!AK103</f>
        <v>440038</v>
      </c>
      <c r="E97" s="13">
        <f>HAVERQ!AT103</f>
        <v>435863</v>
      </c>
      <c r="F97" s="8">
        <f t="shared" si="5"/>
        <v>1.0095786978936041</v>
      </c>
    </row>
    <row r="98" spans="1:6" x14ac:dyDescent="0.35">
      <c r="A98" t="s">
        <v>263</v>
      </c>
      <c r="B98" t="str">
        <f t="shared" si="3"/>
        <v>2013</v>
      </c>
      <c r="C98" t="str">
        <f t="shared" si="4"/>
        <v>Q2</v>
      </c>
      <c r="D98" s="13">
        <f>HAVERQ!AK104</f>
        <v>443626</v>
      </c>
      <c r="E98" s="13">
        <f>HAVERQ!AT104</f>
        <v>438019</v>
      </c>
      <c r="F98" s="8">
        <f t="shared" si="5"/>
        <v>1.0128008145765366</v>
      </c>
    </row>
    <row r="99" spans="1:6" x14ac:dyDescent="0.35">
      <c r="A99" t="s">
        <v>264</v>
      </c>
      <c r="B99" t="str">
        <f t="shared" si="3"/>
        <v>2013</v>
      </c>
      <c r="C99" t="str">
        <f t="shared" si="4"/>
        <v>Q3</v>
      </c>
      <c r="D99" s="13">
        <f>HAVERQ!AK105</f>
        <v>450725</v>
      </c>
      <c r="E99" s="13">
        <f>HAVERQ!AT105</f>
        <v>451125</v>
      </c>
      <c r="F99" s="8">
        <f t="shared" si="5"/>
        <v>0.99911332779163198</v>
      </c>
    </row>
    <row r="100" spans="1:6" x14ac:dyDescent="0.35">
      <c r="A100" t="s">
        <v>265</v>
      </c>
      <c r="B100" t="str">
        <f t="shared" si="3"/>
        <v>2013</v>
      </c>
      <c r="C100" t="str">
        <f t="shared" si="4"/>
        <v>Q4</v>
      </c>
      <c r="D100" s="13">
        <f>HAVERQ!AK106</f>
        <v>454683</v>
      </c>
      <c r="E100" s="13">
        <f>HAVERQ!AT106</f>
        <v>464065</v>
      </c>
      <c r="F100" s="8">
        <f t="shared" si="5"/>
        <v>0.97978300453600253</v>
      </c>
    </row>
    <row r="101" spans="1:6" x14ac:dyDescent="0.35">
      <c r="A101" t="s">
        <v>266</v>
      </c>
      <c r="B101" t="str">
        <f t="shared" si="3"/>
        <v>2014</v>
      </c>
      <c r="C101" t="str">
        <f t="shared" si="4"/>
        <v>Q1</v>
      </c>
      <c r="D101" s="13">
        <f>HAVERQ!AK107</f>
        <v>460682</v>
      </c>
      <c r="E101" s="13">
        <f>HAVERQ!AT107</f>
        <v>459097</v>
      </c>
      <c r="F101" s="8">
        <f t="shared" si="5"/>
        <v>1.0034524294430154</v>
      </c>
    </row>
    <row r="102" spans="1:6" x14ac:dyDescent="0.35">
      <c r="A102" t="s">
        <v>267</v>
      </c>
      <c r="B102" t="str">
        <f t="shared" si="3"/>
        <v>2014</v>
      </c>
      <c r="C102" t="str">
        <f t="shared" si="4"/>
        <v>Q2</v>
      </c>
      <c r="D102" s="13">
        <f>HAVERQ!AK108</f>
        <v>464667</v>
      </c>
      <c r="E102" s="13">
        <f>HAVERQ!AT108</f>
        <v>460404</v>
      </c>
      <c r="F102" s="8">
        <f t="shared" si="5"/>
        <v>1.0092592592592593</v>
      </c>
    </row>
    <row r="103" spans="1:6" x14ac:dyDescent="0.35">
      <c r="A103" t="s">
        <v>268</v>
      </c>
      <c r="B103" t="str">
        <f t="shared" si="3"/>
        <v>2014</v>
      </c>
      <c r="C103" t="str">
        <f t="shared" si="4"/>
        <v>Q3</v>
      </c>
      <c r="D103" s="13">
        <f>HAVERQ!AK109</f>
        <v>474115</v>
      </c>
      <c r="E103" s="13">
        <f>HAVERQ!AT109</f>
        <v>471444</v>
      </c>
      <c r="F103" s="8">
        <f t="shared" si="5"/>
        <v>1.0056655721570325</v>
      </c>
    </row>
    <row r="104" spans="1:6" x14ac:dyDescent="0.35">
      <c r="A104" t="s">
        <v>269</v>
      </c>
      <c r="B104" t="str">
        <f t="shared" si="3"/>
        <v>2014</v>
      </c>
      <c r="C104" t="str">
        <f t="shared" si="4"/>
        <v>Q4</v>
      </c>
      <c r="D104" s="13">
        <f>HAVERQ!AK110</f>
        <v>475602</v>
      </c>
      <c r="E104" s="13">
        <f>HAVERQ!AT110</f>
        <v>484121</v>
      </c>
      <c r="F104" s="8">
        <f t="shared" si="5"/>
        <v>0.98240315954069335</v>
      </c>
    </row>
    <row r="105" spans="1:6" x14ac:dyDescent="0.35">
      <c r="A105" t="s">
        <v>270</v>
      </c>
      <c r="B105" t="str">
        <f t="shared" si="3"/>
        <v>2015</v>
      </c>
      <c r="C105" t="str">
        <f t="shared" si="4"/>
        <v>Q1</v>
      </c>
      <c r="D105" s="13">
        <f>HAVERQ!AK111</f>
        <v>478016</v>
      </c>
      <c r="E105" s="13">
        <f>HAVERQ!AT111</f>
        <v>472145</v>
      </c>
      <c r="F105" s="8">
        <f t="shared" si="5"/>
        <v>1.0124347393279607</v>
      </c>
    </row>
    <row r="106" spans="1:6" x14ac:dyDescent="0.35">
      <c r="A106" t="s">
        <v>271</v>
      </c>
      <c r="B106" t="str">
        <f t="shared" si="3"/>
        <v>2015</v>
      </c>
      <c r="C106" t="str">
        <f t="shared" si="4"/>
        <v>Q2</v>
      </c>
      <c r="D106" s="13">
        <f>HAVERQ!AK112</f>
        <v>479382</v>
      </c>
      <c r="E106" s="13">
        <f>HAVERQ!AT112</f>
        <v>474665</v>
      </c>
      <c r="F106" s="8">
        <f t="shared" si="5"/>
        <v>1.0099375348930297</v>
      </c>
    </row>
    <row r="107" spans="1:6" x14ac:dyDescent="0.35">
      <c r="A107" t="s">
        <v>272</v>
      </c>
      <c r="B107" t="str">
        <f t="shared" si="3"/>
        <v>2015</v>
      </c>
      <c r="C107" t="str">
        <f t="shared" si="4"/>
        <v>Q3</v>
      </c>
      <c r="D107" s="13">
        <f>HAVERQ!AK113</f>
        <v>482690</v>
      </c>
      <c r="E107" s="13">
        <f>HAVERQ!AT113</f>
        <v>483786</v>
      </c>
      <c r="F107" s="8">
        <f t="shared" si="5"/>
        <v>0.99773453551777025</v>
      </c>
    </row>
    <row r="108" spans="1:6" x14ac:dyDescent="0.35">
      <c r="A108" t="s">
        <v>273</v>
      </c>
      <c r="B108" t="str">
        <f t="shared" si="3"/>
        <v>2015</v>
      </c>
      <c r="C108" t="str">
        <f t="shared" si="4"/>
        <v>Q4</v>
      </c>
      <c r="D108" s="13">
        <f>HAVERQ!AK114</f>
        <v>487928</v>
      </c>
      <c r="E108" s="13">
        <f>HAVERQ!AT114</f>
        <v>497420</v>
      </c>
      <c r="F108" s="8">
        <f t="shared" si="5"/>
        <v>0.98091753447790597</v>
      </c>
    </row>
    <row r="109" spans="1:6" x14ac:dyDescent="0.35">
      <c r="A109" t="s">
        <v>274</v>
      </c>
      <c r="B109" t="str">
        <f t="shared" si="3"/>
        <v>2016</v>
      </c>
      <c r="C109" t="str">
        <f t="shared" si="4"/>
        <v>Q1</v>
      </c>
      <c r="D109" s="13">
        <f>HAVERQ!AK115</f>
        <v>492644</v>
      </c>
      <c r="E109" s="13">
        <f>HAVERQ!AT115</f>
        <v>487966</v>
      </c>
      <c r="F109" s="8">
        <f t="shared" si="5"/>
        <v>1.0095867335019244</v>
      </c>
    </row>
    <row r="110" spans="1:6" x14ac:dyDescent="0.35">
      <c r="A110" t="s">
        <v>275</v>
      </c>
      <c r="B110" t="str">
        <f t="shared" si="3"/>
        <v>2016</v>
      </c>
      <c r="C110" t="str">
        <f t="shared" si="4"/>
        <v>Q2</v>
      </c>
      <c r="D110" s="13">
        <f>HAVERQ!AK116</f>
        <v>497056</v>
      </c>
      <c r="E110" s="13">
        <f>HAVERQ!AT116</f>
        <v>492661</v>
      </c>
      <c r="F110" s="8">
        <f t="shared" si="5"/>
        <v>1.0089209415805189</v>
      </c>
    </row>
    <row r="111" spans="1:6" x14ac:dyDescent="0.35">
      <c r="A111" t="s">
        <v>276</v>
      </c>
      <c r="B111" t="str">
        <f t="shared" si="3"/>
        <v>2016</v>
      </c>
      <c r="C111" t="str">
        <f t="shared" si="4"/>
        <v>Q3</v>
      </c>
      <c r="D111" s="13">
        <f>HAVERQ!AK117</f>
        <v>504373</v>
      </c>
      <c r="E111" s="13">
        <f>HAVERQ!AT117</f>
        <v>501196</v>
      </c>
      <c r="F111" s="8">
        <f t="shared" si="5"/>
        <v>1.0063388375006983</v>
      </c>
    </row>
    <row r="112" spans="1:6" x14ac:dyDescent="0.35">
      <c r="A112" t="s">
        <v>277</v>
      </c>
      <c r="B112" t="str">
        <f t="shared" si="3"/>
        <v>2016</v>
      </c>
      <c r="C112" t="str">
        <f t="shared" si="4"/>
        <v>Q4</v>
      </c>
      <c r="D112" s="13">
        <f>HAVERQ!AK118</f>
        <v>510682</v>
      </c>
      <c r="E112" s="13">
        <f>HAVERQ!AT118</f>
        <v>522932</v>
      </c>
      <c r="F112" s="8">
        <f t="shared" si="5"/>
        <v>0.97657439208157082</v>
      </c>
    </row>
    <row r="113" spans="1:6" x14ac:dyDescent="0.35">
      <c r="A113" t="s">
        <v>278</v>
      </c>
      <c r="B113" t="str">
        <f t="shared" si="3"/>
        <v>2017</v>
      </c>
      <c r="C113" t="str">
        <f t="shared" si="4"/>
        <v>Q1</v>
      </c>
      <c r="D113" s="13">
        <f>HAVERQ!AK119</f>
        <v>517306</v>
      </c>
      <c r="E113" s="13">
        <f>HAVERQ!AT119</f>
        <v>510329</v>
      </c>
      <c r="F113" s="8">
        <f t="shared" si="5"/>
        <v>1.0136715726521519</v>
      </c>
    </row>
    <row r="114" spans="1:6" x14ac:dyDescent="0.35">
      <c r="A114" t="s">
        <v>279</v>
      </c>
      <c r="B114" t="str">
        <f t="shared" si="3"/>
        <v>2017</v>
      </c>
      <c r="C114" t="str">
        <f t="shared" si="4"/>
        <v>Q2</v>
      </c>
      <c r="D114" s="13">
        <f>HAVERQ!AK120</f>
        <v>521616</v>
      </c>
      <c r="E114" s="13">
        <f>HAVERQ!AT120</f>
        <v>514911</v>
      </c>
      <c r="F114" s="8">
        <f t="shared" si="5"/>
        <v>1.0130216678222062</v>
      </c>
    </row>
    <row r="115" spans="1:6" x14ac:dyDescent="0.35">
      <c r="A115" t="s">
        <v>280</v>
      </c>
      <c r="B115" t="str">
        <f t="shared" si="3"/>
        <v>2017</v>
      </c>
      <c r="C115" t="str">
        <f t="shared" si="4"/>
        <v>Q3</v>
      </c>
      <c r="D115" s="13">
        <f>HAVERQ!AK121</f>
        <v>525161</v>
      </c>
      <c r="E115" s="13">
        <f>HAVERQ!AT121</f>
        <v>524766</v>
      </c>
      <c r="F115" s="8">
        <f t="shared" si="5"/>
        <v>1.0007527164488552</v>
      </c>
    </row>
    <row r="116" spans="1:6" x14ac:dyDescent="0.35">
      <c r="A116" t="s">
        <v>281</v>
      </c>
      <c r="B116" t="str">
        <f t="shared" si="3"/>
        <v>2017</v>
      </c>
      <c r="C116" t="str">
        <f t="shared" si="4"/>
        <v>Q4</v>
      </c>
      <c r="D116" s="13">
        <f>HAVERQ!AK122</f>
        <v>533139</v>
      </c>
      <c r="E116" s="13">
        <f>HAVERQ!AT122</f>
        <v>547216</v>
      </c>
      <c r="F116" s="8">
        <f t="shared" si="5"/>
        <v>0.9742752404900441</v>
      </c>
    </row>
    <row r="117" spans="1:6" x14ac:dyDescent="0.35">
      <c r="A117" t="s">
        <v>282</v>
      </c>
      <c r="B117" t="str">
        <f t="shared" si="3"/>
        <v>2018</v>
      </c>
      <c r="C117" t="str">
        <f t="shared" si="4"/>
        <v>Q1</v>
      </c>
      <c r="D117" s="13">
        <f>HAVERQ!AK123</f>
        <v>535163</v>
      </c>
      <c r="E117" s="13">
        <f>HAVERQ!AT123</f>
        <v>527724</v>
      </c>
      <c r="F117" s="8">
        <f t="shared" si="5"/>
        <v>1.0140963837157302</v>
      </c>
    </row>
    <row r="118" spans="1:6" x14ac:dyDescent="0.35">
      <c r="A118" t="s">
        <v>283</v>
      </c>
      <c r="B118" t="str">
        <f t="shared" si="3"/>
        <v>2018</v>
      </c>
      <c r="C118" t="str">
        <f t="shared" si="4"/>
        <v>Q2</v>
      </c>
      <c r="D118" s="13">
        <f>HAVERQ!AK124</f>
        <v>540719</v>
      </c>
      <c r="E118" s="13">
        <f>HAVERQ!AT124</f>
        <v>534634</v>
      </c>
      <c r="F118" s="8">
        <f t="shared" si="5"/>
        <v>1.0113816180789101</v>
      </c>
    </row>
    <row r="119" spans="1:6" x14ac:dyDescent="0.35">
      <c r="A119" t="s">
        <v>284</v>
      </c>
      <c r="B119" t="str">
        <f t="shared" si="3"/>
        <v>2018</v>
      </c>
      <c r="C119" t="str">
        <f t="shared" si="4"/>
        <v>Q3</v>
      </c>
      <c r="D119" s="13">
        <f>HAVERQ!AK125</f>
        <v>545160</v>
      </c>
      <c r="E119" s="13">
        <f>HAVERQ!AT125</f>
        <v>544414</v>
      </c>
      <c r="F119" s="8">
        <f t="shared" si="5"/>
        <v>1.0013702807054925</v>
      </c>
    </row>
    <row r="120" spans="1:6" x14ac:dyDescent="0.35">
      <c r="A120" t="s">
        <v>285</v>
      </c>
      <c r="B120" t="str">
        <f t="shared" si="3"/>
        <v>2018</v>
      </c>
      <c r="C120" t="str">
        <f t="shared" si="4"/>
        <v>Q4</v>
      </c>
      <c r="D120" s="13">
        <f>HAVERQ!AK126</f>
        <v>550517</v>
      </c>
      <c r="E120" s="13">
        <f>HAVERQ!AT126</f>
        <v>564787</v>
      </c>
      <c r="F120" s="8">
        <f t="shared" si="5"/>
        <v>0.97473383771227029</v>
      </c>
    </row>
    <row r="121" spans="1:6" x14ac:dyDescent="0.35">
      <c r="A121" t="s">
        <v>286</v>
      </c>
      <c r="B121" t="str">
        <f t="shared" si="3"/>
        <v>2019</v>
      </c>
      <c r="C121" t="str">
        <f t="shared" si="4"/>
        <v>Q1</v>
      </c>
      <c r="D121" s="13">
        <f>HAVERQ!AK127</f>
        <v>553984</v>
      </c>
      <c r="E121" s="13">
        <f>HAVERQ!AT127</f>
        <v>546004</v>
      </c>
      <c r="F121" s="8">
        <f t="shared" si="5"/>
        <v>1.0146152775437542</v>
      </c>
    </row>
    <row r="122" spans="1:6" x14ac:dyDescent="0.35">
      <c r="A122" t="s">
        <v>287</v>
      </c>
      <c r="B122" t="str">
        <f t="shared" si="3"/>
        <v>2019</v>
      </c>
      <c r="C122" t="str">
        <f t="shared" si="4"/>
        <v>Q2</v>
      </c>
      <c r="D122" s="13">
        <f>HAVERQ!AK128</f>
        <v>560995</v>
      </c>
      <c r="E122" s="13">
        <f>HAVERQ!AT128</f>
        <v>556329</v>
      </c>
      <c r="F122" s="8">
        <f t="shared" si="5"/>
        <v>1.0083871234467374</v>
      </c>
    </row>
    <row r="123" spans="1:6" x14ac:dyDescent="0.35">
      <c r="A123" t="s">
        <v>288</v>
      </c>
      <c r="B123" t="str">
        <f t="shared" si="3"/>
        <v>2019</v>
      </c>
      <c r="C123" t="str">
        <f t="shared" si="4"/>
        <v>Q3</v>
      </c>
      <c r="D123" s="13">
        <f>HAVERQ!AK129</f>
        <v>567451</v>
      </c>
      <c r="E123" s="13">
        <f>HAVERQ!AT129</f>
        <v>562803</v>
      </c>
      <c r="F123" s="8">
        <f t="shared" si="5"/>
        <v>1.0082586624449408</v>
      </c>
    </row>
    <row r="124" spans="1:6" x14ac:dyDescent="0.35">
      <c r="A124" t="s">
        <v>289</v>
      </c>
      <c r="B124" t="str">
        <f t="shared" si="3"/>
        <v>2019</v>
      </c>
      <c r="C124" t="str">
        <f t="shared" si="4"/>
        <v>Q4</v>
      </c>
      <c r="D124" s="13">
        <f>HAVERQ!AK130</f>
        <v>570531</v>
      </c>
      <c r="E124" s="13">
        <f>HAVERQ!AT130</f>
        <v>587825</v>
      </c>
      <c r="F124" s="8">
        <f t="shared" si="5"/>
        <v>0.97057967932633016</v>
      </c>
    </row>
    <row r="125" spans="1:6" x14ac:dyDescent="0.35">
      <c r="A125" t="s">
        <v>290</v>
      </c>
      <c r="B125" t="str">
        <f t="shared" si="3"/>
        <v>2020</v>
      </c>
      <c r="C125" t="str">
        <f t="shared" si="4"/>
        <v>Q1</v>
      </c>
      <c r="D125" s="13">
        <f>HAVERQ!AK131</f>
        <v>559365</v>
      </c>
      <c r="E125" s="13">
        <f>HAVERQ!AT131</f>
        <v>556400</v>
      </c>
      <c r="F125" s="8">
        <f t="shared" si="5"/>
        <v>1.0053289000718908</v>
      </c>
    </row>
    <row r="126" spans="1:6" x14ac:dyDescent="0.35">
      <c r="A126" t="s">
        <v>291</v>
      </c>
      <c r="B126" t="str">
        <f t="shared" si="3"/>
        <v>2020</v>
      </c>
      <c r="C126" t="str">
        <f t="shared" si="4"/>
        <v>Q2</v>
      </c>
      <c r="D126" s="13">
        <f>HAVERQ!AK132</f>
        <v>481227</v>
      </c>
      <c r="E126" s="13">
        <f>HAVERQ!AT132</f>
        <v>474347</v>
      </c>
      <c r="F126" s="8">
        <f t="shared" si="5"/>
        <v>1.014504149915568</v>
      </c>
    </row>
    <row r="127" spans="1:6" x14ac:dyDescent="0.35">
      <c r="A127" t="s">
        <v>292</v>
      </c>
      <c r="B127" t="str">
        <f t="shared" si="3"/>
        <v>2020</v>
      </c>
      <c r="C127" t="str">
        <f t="shared" si="4"/>
        <v>Q3</v>
      </c>
      <c r="D127" s="13">
        <f>HAVERQ!AK133</f>
        <v>540319</v>
      </c>
      <c r="E127" s="13">
        <f>HAVERQ!AT133</f>
        <v>530309</v>
      </c>
      <c r="F127" s="8">
        <f t="shared" si="5"/>
        <v>1.0188757875125634</v>
      </c>
    </row>
    <row r="128" spans="1:6" x14ac:dyDescent="0.35">
      <c r="A128" t="s">
        <v>293</v>
      </c>
      <c r="B128" t="str">
        <f t="shared" si="3"/>
        <v>2020</v>
      </c>
      <c r="C128" t="str">
        <f t="shared" si="4"/>
        <v>Q4</v>
      </c>
      <c r="D128" s="13">
        <f>HAVERQ!AK134</f>
        <v>543809</v>
      </c>
      <c r="E128" s="13">
        <f>HAVERQ!AT134</f>
        <v>563664</v>
      </c>
      <c r="F128" s="8">
        <f t="shared" si="5"/>
        <v>0.96477511425246243</v>
      </c>
    </row>
    <row r="129" spans="1:6" x14ac:dyDescent="0.35">
      <c r="A129" t="s">
        <v>294</v>
      </c>
      <c r="B129" t="str">
        <f t="shared" si="3"/>
        <v>2021</v>
      </c>
      <c r="C129" t="str">
        <f t="shared" si="4"/>
        <v>Q1</v>
      </c>
      <c r="D129" s="13">
        <f>HAVERQ!AK135</f>
        <v>545116</v>
      </c>
      <c r="E129" s="13">
        <f>HAVERQ!AT135</f>
        <v>541676</v>
      </c>
      <c r="F129" s="8">
        <f t="shared" si="5"/>
        <v>1.0063506598040157</v>
      </c>
    </row>
    <row r="130" spans="1:6" x14ac:dyDescent="0.35">
      <c r="A130" t="s">
        <v>295</v>
      </c>
      <c r="B130" t="str">
        <f t="shared" si="3"/>
        <v>2021</v>
      </c>
      <c r="C130" t="str">
        <f t="shared" si="4"/>
        <v>Q2</v>
      </c>
      <c r="D130" s="13">
        <f>HAVERQ!AK136</f>
        <v>576525</v>
      </c>
      <c r="E130" s="13">
        <f>HAVERQ!AT136</f>
        <v>569671</v>
      </c>
      <c r="F130" s="8">
        <f t="shared" si="5"/>
        <v>1.012031505904285</v>
      </c>
    </row>
    <row r="131" spans="1:6" x14ac:dyDescent="0.35">
      <c r="A131" t="s">
        <v>296</v>
      </c>
      <c r="B131" t="str">
        <f t="shared" si="3"/>
        <v>2021</v>
      </c>
      <c r="C131" t="str">
        <f t="shared" si="4"/>
        <v>Q3</v>
      </c>
      <c r="D131" s="13">
        <f>HAVERQ!AK137</f>
        <v>592707</v>
      </c>
      <c r="E131" s="13">
        <f>HAVERQ!AT137</f>
        <v>584453</v>
      </c>
      <c r="F131" s="8">
        <f t="shared" si="5"/>
        <v>1.0141226069504305</v>
      </c>
    </row>
    <row r="132" spans="1:6" x14ac:dyDescent="0.35">
      <c r="A132" t="s">
        <v>297</v>
      </c>
      <c r="B132" t="str">
        <f t="shared" si="3"/>
        <v>2021</v>
      </c>
      <c r="C132" t="str">
        <f t="shared" si="4"/>
        <v>Q4</v>
      </c>
      <c r="D132" s="13">
        <f>HAVERQ!AK138</f>
        <v>608304</v>
      </c>
      <c r="E132" s="13">
        <f>HAVERQ!AT138</f>
        <v>626852</v>
      </c>
      <c r="F132" s="8">
        <f t="shared" si="5"/>
        <v>0.97041087848487362</v>
      </c>
    </row>
    <row r="133" spans="1:6" x14ac:dyDescent="0.35">
      <c r="A133" t="s">
        <v>298</v>
      </c>
      <c r="B133" t="str">
        <f t="shared" si="3"/>
        <v>2022</v>
      </c>
      <c r="C133" t="str">
        <f t="shared" si="4"/>
        <v>Q1</v>
      </c>
      <c r="D133" s="13">
        <f>HAVERQ!AK139</f>
        <v>623014</v>
      </c>
      <c r="E133" s="13">
        <f>HAVERQ!AT139</f>
        <v>619422</v>
      </c>
      <c r="F133" s="8">
        <f t="shared" si="5"/>
        <v>1.0057989545092036</v>
      </c>
    </row>
    <row r="134" spans="1:6" x14ac:dyDescent="0.35">
      <c r="A134" t="s">
        <v>299</v>
      </c>
      <c r="B134" t="str">
        <f t="shared" ref="B134:B148" si="6">LEFT(A134,4)</f>
        <v>2022</v>
      </c>
      <c r="C134" t="str">
        <f t="shared" ref="C134:C148" si="7">RIGHT(A134,2)</f>
        <v>Q2</v>
      </c>
      <c r="D134" s="13">
        <f>HAVERQ!AK140</f>
        <v>639293</v>
      </c>
      <c r="E134" s="13">
        <f>HAVERQ!AT140</f>
        <v>628346</v>
      </c>
      <c r="F134" s="8">
        <f t="shared" ref="F134:F148" si="8">D134/E134</f>
        <v>1.0174219299557887</v>
      </c>
    </row>
    <row r="135" spans="1:6" x14ac:dyDescent="0.35">
      <c r="A135" t="s">
        <v>300</v>
      </c>
      <c r="B135" t="str">
        <f t="shared" si="6"/>
        <v>2022</v>
      </c>
      <c r="C135" t="str">
        <f t="shared" si="7"/>
        <v>Q3</v>
      </c>
      <c r="D135" s="13">
        <f>HAVERQ!AK141</f>
        <v>650233</v>
      </c>
      <c r="E135" s="13">
        <f>HAVERQ!AT141</f>
        <v>649716</v>
      </c>
      <c r="F135" s="8">
        <f t="shared" si="8"/>
        <v>1.0007957322891847</v>
      </c>
    </row>
    <row r="136" spans="1:6" x14ac:dyDescent="0.35">
      <c r="A136" t="s">
        <v>301</v>
      </c>
      <c r="B136" t="str">
        <f t="shared" si="6"/>
        <v>2022</v>
      </c>
      <c r="C136" t="str">
        <f t="shared" si="7"/>
        <v>Q4</v>
      </c>
      <c r="D136" s="13">
        <f>HAVERQ!AK142</f>
        <v>668409</v>
      </c>
      <c r="E136" s="13">
        <f>HAVERQ!AT142</f>
        <v>683465</v>
      </c>
      <c r="F136" s="8">
        <f t="shared" si="8"/>
        <v>0.97797107386625504</v>
      </c>
    </row>
    <row r="137" spans="1:6" x14ac:dyDescent="0.35">
      <c r="A137" t="s">
        <v>302</v>
      </c>
      <c r="B137" t="str">
        <f t="shared" si="6"/>
        <v>2023</v>
      </c>
      <c r="C137" t="str">
        <f t="shared" si="7"/>
        <v>Q1</v>
      </c>
      <c r="D137" s="13">
        <f>HAVERQ!AK143</f>
        <v>679194</v>
      </c>
      <c r="E137" s="13">
        <f>HAVERQ!AT143</f>
        <v>672809</v>
      </c>
      <c r="F137" s="8">
        <f t="shared" si="8"/>
        <v>1.0094900633017692</v>
      </c>
    </row>
    <row r="138" spans="1:6" x14ac:dyDescent="0.35">
      <c r="A138" t="s">
        <v>303</v>
      </c>
      <c r="B138" t="str">
        <f t="shared" si="6"/>
        <v>2023</v>
      </c>
      <c r="C138" t="str">
        <f t="shared" si="7"/>
        <v>Q2</v>
      </c>
      <c r="D138" s="13">
        <f>HAVERQ!AK144</f>
        <v>689618</v>
      </c>
      <c r="E138" s="13">
        <f>HAVERQ!AT144</f>
        <v>679690</v>
      </c>
      <c r="F138" s="8">
        <f t="shared" si="8"/>
        <v>1.0146066589180363</v>
      </c>
    </row>
    <row r="139" spans="1:6" x14ac:dyDescent="0.35">
      <c r="A139" t="s">
        <v>304</v>
      </c>
      <c r="B139" t="str">
        <f t="shared" si="6"/>
        <v>2023</v>
      </c>
      <c r="C139" t="str">
        <f t="shared" si="7"/>
        <v>Q3</v>
      </c>
      <c r="D139" s="13">
        <f>HAVERQ!AK145</f>
        <v>692982</v>
      </c>
      <c r="E139" s="13">
        <f>HAVERQ!AT145</f>
        <v>694844</v>
      </c>
      <c r="F139" s="8">
        <f t="shared" si="8"/>
        <v>0.99732026181416256</v>
      </c>
    </row>
    <row r="140" spans="1:6" x14ac:dyDescent="0.35">
      <c r="A140" t="s">
        <v>305</v>
      </c>
      <c r="B140" t="str">
        <f t="shared" si="6"/>
        <v>2023</v>
      </c>
      <c r="C140" t="str">
        <f t="shared" si="7"/>
        <v>Q4</v>
      </c>
      <c r="D140" s="13">
        <f>HAVERQ!AK146</f>
        <v>690370</v>
      </c>
      <c r="E140" s="13">
        <f>HAVERQ!AT146</f>
        <v>704821</v>
      </c>
      <c r="F140" s="8">
        <f t="shared" si="8"/>
        <v>0.97949692191350712</v>
      </c>
    </row>
    <row r="141" spans="1:6" x14ac:dyDescent="0.35">
      <c r="A141" t="s">
        <v>306</v>
      </c>
      <c r="B141" t="str">
        <f t="shared" si="6"/>
        <v>2024</v>
      </c>
      <c r="C141" t="str">
        <f t="shared" si="7"/>
        <v>Q1</v>
      </c>
      <c r="D141" s="13">
        <f>HAVERQ!AK147</f>
        <v>705573</v>
      </c>
      <c r="E141" s="13">
        <f>HAVERQ!AT147</f>
        <v>710809</v>
      </c>
      <c r="F141" s="8">
        <f t="shared" si="8"/>
        <v>0.99263374549281169</v>
      </c>
    </row>
    <row r="142" spans="1:6" x14ac:dyDescent="0.35">
      <c r="A142" t="s">
        <v>307</v>
      </c>
      <c r="B142" t="str">
        <f t="shared" si="6"/>
        <v>2024</v>
      </c>
      <c r="C142" t="str">
        <f t="shared" si="7"/>
        <v>Q2</v>
      </c>
      <c r="D142" s="13">
        <f>HAVERQ!AK148</f>
        <v>717865</v>
      </c>
      <c r="E142" s="13">
        <f>HAVERQ!AT148</f>
        <v>709525</v>
      </c>
      <c r="F142" s="8">
        <f t="shared" si="8"/>
        <v>1.0117543426940558</v>
      </c>
    </row>
    <row r="143" spans="1:6" x14ac:dyDescent="0.35">
      <c r="A143" t="s">
        <v>308</v>
      </c>
      <c r="B143" t="str">
        <f t="shared" si="6"/>
        <v>2024</v>
      </c>
      <c r="C143" t="str">
        <f t="shared" si="7"/>
        <v>Q3</v>
      </c>
      <c r="D143" s="13">
        <f>HAVERQ!AK149</f>
        <v>729877</v>
      </c>
      <c r="E143" s="13">
        <f>HAVERQ!AT149</f>
        <v>728246</v>
      </c>
      <c r="F143" s="8">
        <f t="shared" si="8"/>
        <v>1.0022396278180725</v>
      </c>
    </row>
    <row r="144" spans="1:6" x14ac:dyDescent="0.35">
      <c r="A144" t="s">
        <v>309</v>
      </c>
      <c r="B144" t="str">
        <f t="shared" si="6"/>
        <v>2024</v>
      </c>
      <c r="C144" t="str">
        <f t="shared" si="7"/>
        <v>Q4</v>
      </c>
      <c r="D144" s="13">
        <f>HAVERQ!AK150</f>
        <v>738129</v>
      </c>
      <c r="E144" s="13">
        <f>HAVERQ!AT150</f>
        <v>742864</v>
      </c>
      <c r="F144" s="8">
        <f t="shared" si="8"/>
        <v>0.99362602037519654</v>
      </c>
    </row>
    <row r="145" spans="1:6" x14ac:dyDescent="0.35">
      <c r="A145" t="s">
        <v>310</v>
      </c>
      <c r="B145" t="str">
        <f t="shared" si="6"/>
        <v>2025</v>
      </c>
      <c r="C145" t="str">
        <f t="shared" si="7"/>
        <v>Q1</v>
      </c>
      <c r="D145" s="13">
        <f>HAVERQ!AK151</f>
        <v>748000</v>
      </c>
      <c r="E145" s="13">
        <f>HAVERQ!AT151</f>
        <v>754707</v>
      </c>
      <c r="F145" s="8">
        <f t="shared" si="8"/>
        <v>0.99111310747084636</v>
      </c>
    </row>
    <row r="146" spans="1:6" x14ac:dyDescent="0.35">
      <c r="A146" t="s">
        <v>311</v>
      </c>
      <c r="B146" t="str">
        <f t="shared" si="6"/>
        <v>2025</v>
      </c>
      <c r="C146" t="str">
        <f t="shared" si="7"/>
        <v>Q2</v>
      </c>
      <c r="D146" s="13">
        <f>HAVERQ!AK152</f>
        <v>757927</v>
      </c>
      <c r="E146" s="13">
        <f>HAVERQ!AT152</f>
        <v>748541</v>
      </c>
      <c r="F146" s="8">
        <f t="shared" si="8"/>
        <v>1.0125390593167241</v>
      </c>
    </row>
    <row r="147" spans="1:6" x14ac:dyDescent="0.35">
      <c r="A147" t="s">
        <v>312</v>
      </c>
      <c r="B147" t="str">
        <f t="shared" si="6"/>
        <v>2025</v>
      </c>
      <c r="C147" t="str">
        <f t="shared" si="7"/>
        <v>Q3</v>
      </c>
      <c r="D147" s="13">
        <f>HAVERQ!AK153</f>
        <v>764673</v>
      </c>
      <c r="E147" s="13">
        <f>HAVERQ!AT153</f>
        <v>761980</v>
      </c>
      <c r="F147" s="8">
        <f t="shared" si="8"/>
        <v>1.0035342134964171</v>
      </c>
    </row>
    <row r="148" spans="1:6" x14ac:dyDescent="0.35">
      <c r="A148" t="s">
        <v>313</v>
      </c>
      <c r="B148" t="str">
        <f t="shared" si="6"/>
        <v>2025</v>
      </c>
      <c r="C148" t="str">
        <f t="shared" si="7"/>
        <v>Q4</v>
      </c>
      <c r="D148" s="13">
        <f>HAVERQ!AK154</f>
        <v>769261</v>
      </c>
      <c r="E148" s="13">
        <f>HAVERQ!AT154</f>
        <v>774633</v>
      </c>
      <c r="F148" s="8">
        <f t="shared" si="8"/>
        <v>0.9930651030875266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BD476-AA5A-4CEE-A55A-688A18C4FDBA}">
  <dimension ref="A1:FI148"/>
  <sheetViews>
    <sheetView zoomScale="85" zoomScaleNormal="85" workbookViewId="0">
      <pane xSplit="3" ySplit="4" topLeftCell="BG52" activePane="bottomRight" state="frozen"/>
      <selection pane="topRight" activeCell="D1" sqref="D1"/>
      <selection pane="bottomLeft" activeCell="A5" sqref="A5"/>
      <selection pane="bottomRight" activeCell="CL72" sqref="CL72"/>
    </sheetView>
  </sheetViews>
  <sheetFormatPr defaultRowHeight="14.5" x14ac:dyDescent="0.35"/>
  <cols>
    <col min="19" max="20" width="3.26953125" customWidth="1"/>
    <col min="36" max="37" width="3.26953125" customWidth="1"/>
    <col min="39" max="39" width="9.36328125" bestFit="1" customWidth="1"/>
    <col min="40" max="40" width="9.453125" bestFit="1" customWidth="1"/>
    <col min="41" max="42" width="9.36328125" bestFit="1" customWidth="1"/>
    <col min="43" max="44" width="10.36328125" bestFit="1" customWidth="1"/>
    <col min="45" max="46" width="9.36328125" bestFit="1" customWidth="1"/>
    <col min="47" max="53" width="9.36328125" customWidth="1"/>
    <col min="54" max="55" width="3.26953125" customWidth="1"/>
    <col min="62" max="63" width="3.453125" customWidth="1"/>
    <col min="70" max="71" width="3.453125" customWidth="1"/>
    <col min="78" max="79" width="3.453125" customWidth="1"/>
    <col min="86" max="87" width="3.453125" customWidth="1"/>
    <col min="94" max="95" width="3.453125" customWidth="1"/>
    <col min="102" max="103" width="3.453125" customWidth="1"/>
    <col min="110" max="111" width="3.453125" customWidth="1"/>
    <col min="118" max="119" width="3.453125" customWidth="1"/>
    <col min="126" max="127" width="3.453125" customWidth="1"/>
    <col min="134" max="135" width="3.453125" customWidth="1"/>
    <col min="142" max="143" width="3.453125" customWidth="1"/>
    <col min="150" max="151" width="3.453125" customWidth="1"/>
    <col min="158" max="159" width="3.453125" customWidth="1"/>
  </cols>
  <sheetData>
    <row r="1" spans="1:165" x14ac:dyDescent="0.35">
      <c r="D1" t="s">
        <v>521</v>
      </c>
      <c r="U1" s="7" t="s">
        <v>565</v>
      </c>
      <c r="AL1" s="7" t="s">
        <v>566</v>
      </c>
      <c r="BD1" s="7" t="s">
        <v>574</v>
      </c>
      <c r="BL1" s="7" t="s">
        <v>567</v>
      </c>
      <c r="BT1" s="7" t="s">
        <v>568</v>
      </c>
      <c r="CB1" s="7" t="s">
        <v>569</v>
      </c>
      <c r="CJ1" s="7" t="s">
        <v>571</v>
      </c>
      <c r="CR1" s="7" t="s">
        <v>572</v>
      </c>
      <c r="CZ1" s="7" t="s">
        <v>573</v>
      </c>
      <c r="DH1" s="7" t="s">
        <v>594</v>
      </c>
      <c r="DP1" s="7" t="s">
        <v>595</v>
      </c>
      <c r="DX1" s="7" t="s">
        <v>627</v>
      </c>
      <c r="EF1" s="7" t="s">
        <v>628</v>
      </c>
      <c r="EN1" s="7" t="s">
        <v>629</v>
      </c>
      <c r="EV1" s="7" t="s">
        <v>630</v>
      </c>
      <c r="FD1" s="7" t="s">
        <v>631</v>
      </c>
    </row>
    <row r="3" spans="1:165" x14ac:dyDescent="0.35">
      <c r="AM3" s="8">
        <f ca="1">AVERAGE(AM25:AM34)</f>
        <v>1.0332061229577372</v>
      </c>
      <c r="AN3" s="8">
        <f t="shared" ref="AN3:BA3" ca="1" si="0">AVERAGE(AN25:AN34)</f>
        <v>1</v>
      </c>
      <c r="AO3" s="8">
        <f t="shared" ca="1" si="0"/>
        <v>0.98482342725030725</v>
      </c>
      <c r="AP3" s="8">
        <f t="shared" ca="1" si="0"/>
        <v>0.97645534905722042</v>
      </c>
      <c r="AQ3" s="8">
        <f ca="1">AVERAGE(AQ25:AQ34)</f>
        <v>0.42693797002819495</v>
      </c>
      <c r="AR3" s="8">
        <f t="shared" ca="1" si="0"/>
        <v>1.2015709044652318</v>
      </c>
      <c r="AS3" s="8">
        <f t="shared" ca="1" si="0"/>
        <v>1.0226785713615394</v>
      </c>
      <c r="AT3" s="8">
        <f t="shared" ca="1" si="0"/>
        <v>1.0237582351756362</v>
      </c>
      <c r="AU3" s="8">
        <f t="shared" ca="1" si="0"/>
        <v>1.0463411472173605</v>
      </c>
      <c r="AV3" s="8">
        <f t="shared" ca="1" si="0"/>
        <v>0.73824665326457384</v>
      </c>
      <c r="AW3" s="8">
        <f t="shared" ca="1" si="0"/>
        <v>1.0961254426019129</v>
      </c>
      <c r="AX3" s="8">
        <f t="shared" ca="1" si="0"/>
        <v>0.93531524441744496</v>
      </c>
      <c r="AY3" s="8">
        <f t="shared" ca="1" si="0"/>
        <v>1.0273581212886778</v>
      </c>
      <c r="AZ3" s="8">
        <f t="shared" ca="1" si="0"/>
        <v>0.95863096361102773</v>
      </c>
      <c r="BA3" s="8">
        <f t="shared" ca="1" si="0"/>
        <v>0.97859794529785771</v>
      </c>
      <c r="BE3" s="8">
        <f>AVERAGE(BE25:BE34)</f>
        <v>0.96130458256505447</v>
      </c>
      <c r="BF3" s="8">
        <f t="shared" ref="BF3:BH3" si="1">AVERAGE(BF25:BF34)</f>
        <v>0.98923965134145375</v>
      </c>
      <c r="BG3" s="8">
        <f t="shared" si="1"/>
        <v>1.0240723442026904</v>
      </c>
      <c r="BH3" s="8">
        <f t="shared" si="1"/>
        <v>1.0386992334860685</v>
      </c>
      <c r="BM3" s="8">
        <f>AVERAGE(BM25:BM34)</f>
        <v>0.99384448910715706</v>
      </c>
      <c r="BN3" s="8">
        <f t="shared" ref="BN3:BP3" si="2">AVERAGE(BN25:BN34)</f>
        <v>1.002426840337806</v>
      </c>
      <c r="BO3" s="8">
        <f t="shared" si="2"/>
        <v>1.0071827306751953</v>
      </c>
      <c r="BP3" s="8">
        <f t="shared" si="2"/>
        <v>1.0029480871361924</v>
      </c>
      <c r="BU3" s="8">
        <f>AVERAGE(BU25:BU34)</f>
        <v>1.0272852685482097</v>
      </c>
      <c r="BV3" s="8">
        <f t="shared" ref="BV3:BX3" si="3">AVERAGE(BV25:BV34)</f>
        <v>0.98689607163099535</v>
      </c>
      <c r="BW3" s="8">
        <f t="shared" si="3"/>
        <v>0.98641577697363192</v>
      </c>
      <c r="BX3" s="8">
        <f t="shared" si="3"/>
        <v>0.9949900628364301</v>
      </c>
      <c r="CC3" s="8">
        <f>AVERAGE(CC25:CC34)</f>
        <v>1.0306857133177043</v>
      </c>
      <c r="CD3" s="8">
        <f t="shared" ref="CD3:CF3" si="4">AVERAGE(CD25:CD34)</f>
        <v>0.94237278159422844</v>
      </c>
      <c r="CE3" s="8">
        <f t="shared" si="4"/>
        <v>0.99510882846694015</v>
      </c>
      <c r="CF3" s="8">
        <f t="shared" si="4"/>
        <v>1.0429488092384023</v>
      </c>
      <c r="CK3" s="8">
        <f>AVERAGE(CK25:CK34)</f>
        <v>3.6175725661449265</v>
      </c>
      <c r="CL3" s="8">
        <f t="shared" ref="CL3:CN3" si="5">AVERAGE(CL25:CL34)</f>
        <v>1.0870499815932235</v>
      </c>
      <c r="CM3" s="8">
        <f t="shared" si="5"/>
        <v>1.1689385695374497</v>
      </c>
      <c r="CN3" s="8">
        <f t="shared" si="5"/>
        <v>-1.3676521594516646</v>
      </c>
      <c r="CS3" s="8">
        <f>AVERAGE(CS25:CS34)</f>
        <v>0.97920879126095994</v>
      </c>
      <c r="CT3" s="8">
        <f t="shared" ref="CT3:CV3" si="6">AVERAGE(CT25:CT34)</f>
        <v>1.0110421204244373</v>
      </c>
      <c r="CU3" s="8">
        <f t="shared" si="6"/>
        <v>0.99442756953334421</v>
      </c>
      <c r="CV3" s="8">
        <f t="shared" si="6"/>
        <v>1.0323332962835647</v>
      </c>
      <c r="CZ3" t="s">
        <v>575</v>
      </c>
      <c r="DA3" s="8">
        <f>AVERAGE(DA25:DA34)</f>
        <v>0.97785524536296742</v>
      </c>
      <c r="DB3" s="8">
        <f t="shared" ref="DB3:DD3" si="7">AVERAGE(DB25:DB34)</f>
        <v>0.99256745527851786</v>
      </c>
      <c r="DC3" s="8">
        <f t="shared" si="7"/>
        <v>1.0428245560223792</v>
      </c>
      <c r="DD3" s="8">
        <f t="shared" si="7"/>
        <v>1.0067452058245583</v>
      </c>
      <c r="DH3" t="s">
        <v>575</v>
      </c>
      <c r="DI3" s="8">
        <f>AVERAGE(DI25:DI34)</f>
        <v>0.95654500042925883</v>
      </c>
      <c r="DJ3" s="8">
        <f t="shared" ref="DJ3:DL3" si="8">AVERAGE(DJ25:DJ34)</f>
        <v>0.97271383068221284</v>
      </c>
      <c r="DK3" s="8">
        <f t="shared" si="8"/>
        <v>1.0012045034594013</v>
      </c>
      <c r="DL3" s="8">
        <f t="shared" si="8"/>
        <v>1.0809660008152653</v>
      </c>
      <c r="DP3" t="s">
        <v>575</v>
      </c>
      <c r="DQ3" s="8">
        <f>AVERAGE(DQ25:DQ34)</f>
        <v>1.4559705170038677</v>
      </c>
      <c r="DR3" s="8">
        <f t="shared" ref="DR3:DT3" si="9">AVERAGE(DR25:DR34)</f>
        <v>0.74676709118088336</v>
      </c>
      <c r="DS3" s="8">
        <f t="shared" si="9"/>
        <v>0.905371413904976</v>
      </c>
      <c r="DT3" s="8">
        <f t="shared" si="9"/>
        <v>0.92459676642491151</v>
      </c>
      <c r="DX3" t="s">
        <v>575</v>
      </c>
      <c r="DY3" s="8">
        <f>AVERAGE(DY25:DY34)</f>
        <v>1.0250894010615061</v>
      </c>
      <c r="DZ3" s="8">
        <f t="shared" ref="DZ3:EB3" si="10">AVERAGE(DZ25:DZ34)</f>
        <v>0.95940065212122361</v>
      </c>
      <c r="EA3" s="8">
        <f t="shared" si="10"/>
        <v>0.87301823297436676</v>
      </c>
      <c r="EB3" s="8">
        <f t="shared" si="10"/>
        <v>1.1630328477630225</v>
      </c>
      <c r="EF3" t="s">
        <v>575</v>
      </c>
      <c r="EG3" s="8">
        <f>AVERAGE(EG25:EG34)</f>
        <v>1.0794565162722818</v>
      </c>
      <c r="EH3" s="8">
        <f t="shared" ref="EH3:EJ3" si="11">AVERAGE(EH25:EH34)</f>
        <v>0.89774564720301042</v>
      </c>
      <c r="EI3" s="8">
        <f t="shared" si="11"/>
        <v>0.96574793183298002</v>
      </c>
      <c r="EJ3" s="8">
        <f t="shared" si="11"/>
        <v>1.0710460879806623</v>
      </c>
      <c r="EN3" t="s">
        <v>575</v>
      </c>
      <c r="EO3" s="8">
        <f>AVERAGE(EO25:EO34)</f>
        <v>0.96129050956121742</v>
      </c>
      <c r="EP3" s="8">
        <f t="shared" ref="EP3:ER3" si="12">AVERAGE(EP25:EP34)</f>
        <v>0.98468934661454077</v>
      </c>
      <c r="EQ3" s="8">
        <f t="shared" si="12"/>
        <v>1.0300790485507894</v>
      </c>
      <c r="ER3" s="8">
        <f t="shared" si="12"/>
        <v>1.0417622454296436</v>
      </c>
      <c r="EV3" t="s">
        <v>575</v>
      </c>
      <c r="EW3" s="8">
        <f>AVERAGE(EW25:EW34)</f>
        <v>1.0553609341843355</v>
      </c>
      <c r="EX3" s="8">
        <f t="shared" ref="EX3:EZ3" si="13">AVERAGE(EX25:EX34)</f>
        <v>0.89887368454539995</v>
      </c>
      <c r="EY3" s="8">
        <f t="shared" si="13"/>
        <v>1.0141664415999347</v>
      </c>
      <c r="EZ3" s="8">
        <f t="shared" si="13"/>
        <v>1.047306092327535</v>
      </c>
      <c r="FD3" t="s">
        <v>575</v>
      </c>
      <c r="FE3" s="8">
        <f>AVERAGE(FE25:FE34)</f>
        <v>1.0209403410065678</v>
      </c>
      <c r="FF3" s="8">
        <f t="shared" ref="FF3:FH3" si="14">AVERAGE(FF25:FF34)</f>
        <v>0.97790073801080291</v>
      </c>
      <c r="FG3" s="8">
        <f t="shared" si="14"/>
        <v>0.99332700641133564</v>
      </c>
      <c r="FH3" s="8">
        <f t="shared" si="14"/>
        <v>1.0122268139483963</v>
      </c>
    </row>
    <row r="4" spans="1:165" x14ac:dyDescent="0.35">
      <c r="A4" t="s">
        <v>336</v>
      </c>
      <c r="B4" t="s">
        <v>339</v>
      </c>
      <c r="C4" t="s">
        <v>340</v>
      </c>
      <c r="D4" t="s">
        <v>536</v>
      </c>
      <c r="E4" t="s">
        <v>544</v>
      </c>
      <c r="F4" t="s">
        <v>537</v>
      </c>
      <c r="G4" t="s">
        <v>538</v>
      </c>
      <c r="H4" t="s">
        <v>539</v>
      </c>
      <c r="I4" t="s">
        <v>540</v>
      </c>
      <c r="J4" t="s">
        <v>541</v>
      </c>
      <c r="K4" t="s">
        <v>542</v>
      </c>
      <c r="L4" s="16" t="s">
        <v>592</v>
      </c>
      <c r="M4" s="16" t="s">
        <v>593</v>
      </c>
      <c r="N4" s="16" t="s">
        <v>597</v>
      </c>
      <c r="O4" s="16" t="s">
        <v>598</v>
      </c>
      <c r="P4" s="16" t="s">
        <v>599</v>
      </c>
      <c r="Q4" s="16" t="s">
        <v>600</v>
      </c>
      <c r="R4" s="16" t="s">
        <v>601</v>
      </c>
      <c r="U4" t="s">
        <v>536</v>
      </c>
      <c r="V4" t="s">
        <v>544</v>
      </c>
      <c r="W4" t="s">
        <v>537</v>
      </c>
      <c r="X4" t="s">
        <v>538</v>
      </c>
      <c r="Y4" t="s">
        <v>539</v>
      </c>
      <c r="Z4" t="s">
        <v>540</v>
      </c>
      <c r="AA4" t="s">
        <v>541</v>
      </c>
      <c r="AB4" t="s">
        <v>542</v>
      </c>
      <c r="AC4" s="16" t="s">
        <v>592</v>
      </c>
      <c r="AD4" s="16" t="s">
        <v>593</v>
      </c>
      <c r="AE4" s="16" t="s">
        <v>597</v>
      </c>
      <c r="AF4" s="16" t="s">
        <v>598</v>
      </c>
      <c r="AG4" s="16" t="s">
        <v>599</v>
      </c>
      <c r="AH4" s="16" t="s">
        <v>600</v>
      </c>
      <c r="AI4" s="16" t="s">
        <v>601</v>
      </c>
      <c r="AL4" t="s">
        <v>339</v>
      </c>
      <c r="AM4" t="s">
        <v>536</v>
      </c>
      <c r="AN4" t="s">
        <v>544</v>
      </c>
      <c r="AO4" t="s">
        <v>537</v>
      </c>
      <c r="AP4" t="s">
        <v>538</v>
      </c>
      <c r="AQ4" t="s">
        <v>539</v>
      </c>
      <c r="AR4" t="s">
        <v>540</v>
      </c>
      <c r="AS4" t="s">
        <v>541</v>
      </c>
      <c r="AT4" t="s">
        <v>542</v>
      </c>
      <c r="AU4" s="16" t="s">
        <v>592</v>
      </c>
      <c r="AV4" s="16" t="s">
        <v>593</v>
      </c>
      <c r="AW4" s="16" t="s">
        <v>597</v>
      </c>
      <c r="AX4" s="16" t="s">
        <v>598</v>
      </c>
      <c r="AY4" s="16" t="s">
        <v>599</v>
      </c>
      <c r="AZ4" s="16" t="s">
        <v>600</v>
      </c>
      <c r="BA4" s="16" t="s">
        <v>601</v>
      </c>
      <c r="BD4" t="s">
        <v>339</v>
      </c>
      <c r="BE4" t="s">
        <v>343</v>
      </c>
      <c r="BF4" t="s">
        <v>344</v>
      </c>
      <c r="BG4" t="s">
        <v>345</v>
      </c>
      <c r="BH4" t="s">
        <v>346</v>
      </c>
      <c r="BI4" t="s">
        <v>348</v>
      </c>
      <c r="BL4" t="s">
        <v>339</v>
      </c>
      <c r="BM4" t="s">
        <v>343</v>
      </c>
      <c r="BN4" t="s">
        <v>344</v>
      </c>
      <c r="BO4" t="s">
        <v>345</v>
      </c>
      <c r="BP4" t="s">
        <v>346</v>
      </c>
      <c r="BQ4" t="s">
        <v>348</v>
      </c>
      <c r="BT4" t="s">
        <v>339</v>
      </c>
      <c r="BU4" t="s">
        <v>343</v>
      </c>
      <c r="BV4" t="s">
        <v>344</v>
      </c>
      <c r="BW4" t="s">
        <v>345</v>
      </c>
      <c r="BX4" t="s">
        <v>346</v>
      </c>
      <c r="BY4" t="s">
        <v>348</v>
      </c>
      <c r="CB4" t="s">
        <v>339</v>
      </c>
      <c r="CC4" t="s">
        <v>343</v>
      </c>
      <c r="CD4" t="s">
        <v>344</v>
      </c>
      <c r="CE4" t="s">
        <v>345</v>
      </c>
      <c r="CF4" t="s">
        <v>346</v>
      </c>
      <c r="CG4" t="s">
        <v>348</v>
      </c>
      <c r="CJ4" t="s">
        <v>339</v>
      </c>
      <c r="CK4" t="s">
        <v>343</v>
      </c>
      <c r="CL4" t="s">
        <v>344</v>
      </c>
      <c r="CM4" t="s">
        <v>345</v>
      </c>
      <c r="CN4" t="s">
        <v>346</v>
      </c>
      <c r="CO4" t="s">
        <v>348</v>
      </c>
      <c r="CR4" t="s">
        <v>339</v>
      </c>
      <c r="CS4" t="s">
        <v>343</v>
      </c>
      <c r="CT4" t="s">
        <v>344</v>
      </c>
      <c r="CU4" t="s">
        <v>345</v>
      </c>
      <c r="CV4" t="s">
        <v>346</v>
      </c>
      <c r="CW4" t="s">
        <v>348</v>
      </c>
      <c r="CZ4" t="s">
        <v>339</v>
      </c>
      <c r="DA4" t="s">
        <v>343</v>
      </c>
      <c r="DB4" t="s">
        <v>344</v>
      </c>
      <c r="DC4" t="s">
        <v>345</v>
      </c>
      <c r="DD4" t="s">
        <v>346</v>
      </c>
      <c r="DE4" t="s">
        <v>348</v>
      </c>
      <c r="DH4" t="s">
        <v>339</v>
      </c>
      <c r="DI4" t="s">
        <v>343</v>
      </c>
      <c r="DJ4" t="s">
        <v>344</v>
      </c>
      <c r="DK4" t="s">
        <v>345</v>
      </c>
      <c r="DL4" t="s">
        <v>346</v>
      </c>
      <c r="DM4" t="s">
        <v>348</v>
      </c>
      <c r="DP4" t="s">
        <v>339</v>
      </c>
      <c r="DQ4" t="s">
        <v>343</v>
      </c>
      <c r="DR4" t="s">
        <v>344</v>
      </c>
      <c r="DS4" t="s">
        <v>345</v>
      </c>
      <c r="DT4" t="s">
        <v>346</v>
      </c>
      <c r="DU4" t="s">
        <v>348</v>
      </c>
      <c r="DX4" t="s">
        <v>339</v>
      </c>
      <c r="DY4" t="s">
        <v>343</v>
      </c>
      <c r="DZ4" t="s">
        <v>344</v>
      </c>
      <c r="EA4" t="s">
        <v>345</v>
      </c>
      <c r="EB4" t="s">
        <v>346</v>
      </c>
      <c r="EC4" t="s">
        <v>348</v>
      </c>
      <c r="EF4" t="s">
        <v>339</v>
      </c>
      <c r="EG4" t="s">
        <v>343</v>
      </c>
      <c r="EH4" t="s">
        <v>344</v>
      </c>
      <c r="EI4" t="s">
        <v>345</v>
      </c>
      <c r="EJ4" t="s">
        <v>346</v>
      </c>
      <c r="EK4" t="s">
        <v>348</v>
      </c>
      <c r="EN4" t="s">
        <v>339</v>
      </c>
      <c r="EO4" t="s">
        <v>343</v>
      </c>
      <c r="EP4" t="s">
        <v>344</v>
      </c>
      <c r="EQ4" t="s">
        <v>345</v>
      </c>
      <c r="ER4" t="s">
        <v>346</v>
      </c>
      <c r="ES4" t="s">
        <v>348</v>
      </c>
      <c r="EV4" t="s">
        <v>339</v>
      </c>
      <c r="EW4" t="s">
        <v>343</v>
      </c>
      <c r="EX4" t="s">
        <v>344</v>
      </c>
      <c r="EY4" t="s">
        <v>345</v>
      </c>
      <c r="EZ4" t="s">
        <v>346</v>
      </c>
      <c r="FA4" t="s">
        <v>348</v>
      </c>
      <c r="FD4" t="s">
        <v>339</v>
      </c>
      <c r="FE4" t="s">
        <v>343</v>
      </c>
      <c r="FF4" t="s">
        <v>344</v>
      </c>
      <c r="FG4" t="s">
        <v>345</v>
      </c>
      <c r="FH4" t="s">
        <v>346</v>
      </c>
      <c r="FI4" t="s">
        <v>348</v>
      </c>
    </row>
    <row r="5" spans="1:165" x14ac:dyDescent="0.35">
      <c r="A5" t="s">
        <v>170</v>
      </c>
      <c r="B5" t="str">
        <f>LEFT(A5,4)</f>
        <v>1990</v>
      </c>
      <c r="C5" t="str">
        <f>RIGHT(A5,2)</f>
        <v>Q1</v>
      </c>
      <c r="D5" s="13">
        <f>HAVERQ!AL11</f>
        <v>98144</v>
      </c>
      <c r="E5" s="13">
        <f>HAVERQ!AM11</f>
        <v>2139</v>
      </c>
      <c r="F5" s="13">
        <f>HAVERQ!AN11</f>
        <v>26492</v>
      </c>
      <c r="G5" s="13">
        <f>HAVERQ!AO11</f>
        <v>39711</v>
      </c>
      <c r="H5" s="13">
        <f>HAVERQ!AP11</f>
        <v>413</v>
      </c>
      <c r="I5" s="13">
        <f>HAVERQ!AQ11</f>
        <v>146</v>
      </c>
      <c r="J5" s="13">
        <f>HAVERQ!AR11</f>
        <v>35672</v>
      </c>
      <c r="K5" s="13">
        <f>HAVERQ!AS11</f>
        <v>39126</v>
      </c>
      <c r="L5" s="13" t="e">
        <f>HAVERQ!U11</f>
        <v>#N/A</v>
      </c>
      <c r="M5" s="13" t="e">
        <f>HAVERQ!V11</f>
        <v>#N/A</v>
      </c>
      <c r="N5" s="13" t="e">
        <f>HAVERQ!Y11</f>
        <v>#N/A</v>
      </c>
      <c r="O5" s="13" t="e">
        <f>HAVERQ!Z11</f>
        <v>#N/A</v>
      </c>
      <c r="P5" s="13" t="e">
        <f>HAVERQ!AA11</f>
        <v>#N/A</v>
      </c>
      <c r="Q5" s="13" t="e">
        <f>HAVERQ!AB11</f>
        <v>#N/A</v>
      </c>
      <c r="R5" s="13" t="e">
        <f>HAVERQ!AC11</f>
        <v>#N/A</v>
      </c>
      <c r="U5" s="13">
        <f>HAVERQ!AU11</f>
        <v>94443</v>
      </c>
      <c r="V5" s="13">
        <f>HAVERQ!AV11</f>
        <v>2123</v>
      </c>
      <c r="W5" s="13">
        <f>HAVERQ!AW11</f>
        <v>26821</v>
      </c>
      <c r="X5" s="13">
        <f>HAVERQ!AX11</f>
        <v>41923</v>
      </c>
      <c r="Y5" s="13">
        <f>HAVERQ!AY11</f>
        <v>148</v>
      </c>
      <c r="Z5" s="13">
        <f>HAVERQ!AZ11</f>
        <v>138</v>
      </c>
      <c r="AA5" s="13">
        <f>HAVERQ!BA11</f>
        <v>34459</v>
      </c>
      <c r="AB5" s="13">
        <f>HAVERQ!BB11</f>
        <v>38102</v>
      </c>
      <c r="AC5" s="13" t="e">
        <f>HAVERQ!W11</f>
        <v>#N/A</v>
      </c>
      <c r="AD5" s="13" t="e">
        <f>HAVERQ!X11</f>
        <v>#N/A</v>
      </c>
      <c r="AE5" s="13" t="e">
        <f>HAVERQ!AD11</f>
        <v>#N/A</v>
      </c>
      <c r="AF5" s="13" t="e">
        <f>HAVERQ!AE11</f>
        <v>#N/A</v>
      </c>
      <c r="AG5" s="13" t="e">
        <f>HAVERQ!AF11</f>
        <v>#N/A</v>
      </c>
      <c r="AH5" s="13" t="e">
        <f>HAVERQ!AG11</f>
        <v>#N/A</v>
      </c>
      <c r="AI5" s="13" t="e">
        <f>HAVERQ!AH11</f>
        <v>#N/A</v>
      </c>
      <c r="AL5">
        <v>1990</v>
      </c>
      <c r="AM5" s="15">
        <f t="shared" ref="AM5:BA5" si="15">D5/U5</f>
        <v>1.0391876581641837</v>
      </c>
      <c r="AN5" s="15">
        <f t="shared" si="15"/>
        <v>1.0075365049458314</v>
      </c>
      <c r="AO5" s="15">
        <f t="shared" si="15"/>
        <v>0.98773349241266173</v>
      </c>
      <c r="AP5" s="15">
        <f t="shared" si="15"/>
        <v>0.94723660043412927</v>
      </c>
      <c r="AQ5" s="15">
        <f t="shared" si="15"/>
        <v>2.7905405405405403</v>
      </c>
      <c r="AR5" s="15">
        <f t="shared" si="15"/>
        <v>1.0579710144927537</v>
      </c>
      <c r="AS5" s="15">
        <f t="shared" si="15"/>
        <v>1.0352012536637742</v>
      </c>
      <c r="AT5" s="15">
        <f t="shared" si="15"/>
        <v>1.0268752296467376</v>
      </c>
      <c r="AU5" s="15" t="e">
        <f t="shared" si="15"/>
        <v>#N/A</v>
      </c>
      <c r="AV5" s="15" t="e">
        <f t="shared" si="15"/>
        <v>#N/A</v>
      </c>
      <c r="AW5" s="15" t="e">
        <f t="shared" si="15"/>
        <v>#N/A</v>
      </c>
      <c r="AX5" s="15" t="e">
        <f t="shared" si="15"/>
        <v>#N/A</v>
      </c>
      <c r="AY5" s="15" t="e">
        <f t="shared" si="15"/>
        <v>#N/A</v>
      </c>
      <c r="AZ5" s="15" t="e">
        <f t="shared" si="15"/>
        <v>#N/A</v>
      </c>
      <c r="BA5" s="15" t="e">
        <f t="shared" si="15"/>
        <v>#N/A</v>
      </c>
      <c r="BD5">
        <v>1990</v>
      </c>
      <c r="BL5">
        <v>1990</v>
      </c>
      <c r="BT5">
        <v>1990</v>
      </c>
      <c r="CB5">
        <v>1990</v>
      </c>
      <c r="CJ5">
        <v>1990</v>
      </c>
      <c r="CR5">
        <v>1990</v>
      </c>
      <c r="CZ5">
        <v>1990</v>
      </c>
      <c r="DH5">
        <v>1990</v>
      </c>
      <c r="DP5">
        <v>1990</v>
      </c>
      <c r="DX5">
        <v>1990</v>
      </c>
      <c r="EF5">
        <v>1990</v>
      </c>
      <c r="EN5">
        <v>1990</v>
      </c>
      <c r="EV5">
        <v>1990</v>
      </c>
      <c r="FD5">
        <v>1990</v>
      </c>
    </row>
    <row r="6" spans="1:165" x14ac:dyDescent="0.35">
      <c r="A6" t="s">
        <v>171</v>
      </c>
      <c r="B6" t="str">
        <f t="shared" ref="B6:B69" si="16">LEFT(A6,4)</f>
        <v>1990</v>
      </c>
      <c r="C6" t="str">
        <f t="shared" ref="C6:C69" si="17">RIGHT(A6,2)</f>
        <v>Q2</v>
      </c>
      <c r="D6" s="13">
        <f>HAVERQ!AL12</f>
        <v>100606</v>
      </c>
      <c r="E6" s="13">
        <f>HAVERQ!AM12</f>
        <v>2042</v>
      </c>
      <c r="F6" s="13">
        <f>HAVERQ!AN12</f>
        <v>27463</v>
      </c>
      <c r="G6" s="13">
        <f>HAVERQ!AO12</f>
        <v>39742</v>
      </c>
      <c r="H6" s="13">
        <f>HAVERQ!AP12</f>
        <v>467</v>
      </c>
      <c r="I6" s="13">
        <f>HAVERQ!AQ12</f>
        <v>128</v>
      </c>
      <c r="J6" s="13">
        <f>HAVERQ!AR12</f>
        <v>36108</v>
      </c>
      <c r="K6" s="13">
        <f>HAVERQ!AS12</f>
        <v>39293</v>
      </c>
      <c r="L6" s="13" t="e">
        <f>HAVERQ!U12</f>
        <v>#N/A</v>
      </c>
      <c r="M6" s="13" t="e">
        <f>HAVERQ!V12</f>
        <v>#N/A</v>
      </c>
      <c r="N6" s="13" t="e">
        <f>HAVERQ!Y12</f>
        <v>#N/A</v>
      </c>
      <c r="O6" s="13" t="e">
        <f>HAVERQ!Z12</f>
        <v>#N/A</v>
      </c>
      <c r="P6" s="13" t="e">
        <f>HAVERQ!AA12</f>
        <v>#N/A</v>
      </c>
      <c r="Q6" s="13" t="e">
        <f>HAVERQ!AB12</f>
        <v>#N/A</v>
      </c>
      <c r="R6" s="13" t="e">
        <f>HAVERQ!AC12</f>
        <v>#N/A</v>
      </c>
      <c r="U6" s="13">
        <f>HAVERQ!AU12</f>
        <v>98783</v>
      </c>
      <c r="V6" s="13">
        <f>HAVERQ!AV12</f>
        <v>2068</v>
      </c>
      <c r="W6" s="13">
        <f>HAVERQ!AW12</f>
        <v>27283</v>
      </c>
      <c r="X6" s="13">
        <f>HAVERQ!AX12</f>
        <v>37043</v>
      </c>
      <c r="Y6" s="13">
        <f>HAVERQ!AY12</f>
        <v>732</v>
      </c>
      <c r="Z6" s="13">
        <f>HAVERQ!AZ12</f>
        <v>136</v>
      </c>
      <c r="AA6" s="13">
        <f>HAVERQ!BA12</f>
        <v>35966</v>
      </c>
      <c r="AB6" s="13">
        <f>HAVERQ!BB12</f>
        <v>39701</v>
      </c>
      <c r="AC6" s="13" t="e">
        <f>HAVERQ!W12</f>
        <v>#N/A</v>
      </c>
      <c r="AD6" s="13" t="e">
        <f>HAVERQ!X12</f>
        <v>#N/A</v>
      </c>
      <c r="AE6" s="13" t="e">
        <f>HAVERQ!AD12</f>
        <v>#N/A</v>
      </c>
      <c r="AF6" s="13" t="e">
        <f>HAVERQ!AE12</f>
        <v>#N/A</v>
      </c>
      <c r="AG6" s="13" t="e">
        <f>HAVERQ!AF12</f>
        <v>#N/A</v>
      </c>
      <c r="AH6" s="13" t="e">
        <f>HAVERQ!AG12</f>
        <v>#N/A</v>
      </c>
      <c r="AI6" s="13" t="e">
        <f>HAVERQ!AH12</f>
        <v>#N/A</v>
      </c>
      <c r="AL6">
        <v>1991</v>
      </c>
      <c r="AM6" s="15">
        <f t="shared" ref="AM6:BA6" si="18">D9/U9</f>
        <v>1.0413351866639065</v>
      </c>
      <c r="AN6" s="15">
        <f t="shared" si="18"/>
        <v>0.99946495452113426</v>
      </c>
      <c r="AO6" s="15">
        <f t="shared" si="18"/>
        <v>0.99508641138597087</v>
      </c>
      <c r="AP6" s="15">
        <f t="shared" si="18"/>
        <v>0.95346073868699877</v>
      </c>
      <c r="AQ6" s="15">
        <f t="shared" si="18"/>
        <v>0.58476321207961568</v>
      </c>
      <c r="AR6" s="15">
        <f t="shared" si="18"/>
        <v>0.82</v>
      </c>
      <c r="AS6" s="15">
        <f t="shared" si="18"/>
        <v>1.0562693170110902</v>
      </c>
      <c r="AT6" s="15">
        <f t="shared" si="18"/>
        <v>1.0376280135774174</v>
      </c>
      <c r="AU6" s="15" t="e">
        <f t="shared" si="18"/>
        <v>#N/A</v>
      </c>
      <c r="AV6" s="15" t="e">
        <f t="shared" si="18"/>
        <v>#N/A</v>
      </c>
      <c r="AW6" s="15" t="e">
        <f t="shared" si="18"/>
        <v>#N/A</v>
      </c>
      <c r="AX6" s="15" t="e">
        <f t="shared" si="18"/>
        <v>#N/A</v>
      </c>
      <c r="AY6" s="15" t="e">
        <f t="shared" si="18"/>
        <v>#N/A</v>
      </c>
      <c r="AZ6" s="15" t="e">
        <f t="shared" si="18"/>
        <v>#N/A</v>
      </c>
      <c r="BA6" s="15" t="e">
        <f t="shared" si="18"/>
        <v>#N/A</v>
      </c>
      <c r="BD6">
        <v>1991</v>
      </c>
      <c r="BE6" s="8">
        <f>U9/AVERAGE(U6:U12)</f>
        <v>0.95692398087965969</v>
      </c>
      <c r="BF6" s="8">
        <f>U10/AVERAGE(U7:U13)</f>
        <v>0.98316713713385528</v>
      </c>
      <c r="BG6" s="8">
        <f>U11/AVERAGE(U8:U14)</f>
        <v>1.0240773771409484</v>
      </c>
      <c r="BH6" s="8">
        <f>U12/AVERAGE(U9:U15)</f>
        <v>1.0436689768908001</v>
      </c>
      <c r="BI6">
        <v>1</v>
      </c>
      <c r="BL6">
        <v>1991</v>
      </c>
      <c r="BM6" s="8">
        <f>V9/AVERAGE(V6:V12)</f>
        <v>0.93084311632870864</v>
      </c>
      <c r="BN6" s="8">
        <f>V10/AVERAGE(V7:V13)</f>
        <v>0.98100719424460425</v>
      </c>
      <c r="BO6" s="8">
        <f>V11/AVERAGE(V8:V14)</f>
        <v>0.9995608577911147</v>
      </c>
      <c r="BP6" s="8">
        <f>V12/AVERAGE(V9:V15)</f>
        <v>1.0520110439519439</v>
      </c>
      <c r="BQ6">
        <v>1</v>
      </c>
      <c r="BT6">
        <v>1991</v>
      </c>
      <c r="BU6" s="8">
        <f>W9/AVERAGE(W6:W12)</f>
        <v>0.99758054000801666</v>
      </c>
      <c r="BV6" s="8">
        <f>W10/AVERAGE(W7:W13)</f>
        <v>1.0113425740332873</v>
      </c>
      <c r="BW6" s="8">
        <f>W11/AVERAGE(W8:W14)</f>
        <v>1.0059496863480566</v>
      </c>
      <c r="BX6" s="8">
        <f>W12/AVERAGE(W9:W15)</f>
        <v>0.99596335268505076</v>
      </c>
      <c r="BY6">
        <v>1</v>
      </c>
      <c r="CB6">
        <v>1991</v>
      </c>
      <c r="CC6" s="8">
        <f>X9/AVERAGE(X6:X12)</f>
        <v>1.0529663225940986</v>
      </c>
      <c r="CD6" s="8">
        <f>X10/AVERAGE(X7:X13)</f>
        <v>0.91453617399023523</v>
      </c>
      <c r="CE6" s="8">
        <f>X11/AVERAGE(X8:X14)</f>
        <v>0.97703423491583119</v>
      </c>
      <c r="CF6" s="8">
        <f>X12/AVERAGE(X9:X15)</f>
        <v>1.036165821099944</v>
      </c>
      <c r="CG6">
        <v>1</v>
      </c>
      <c r="CJ6">
        <v>1991</v>
      </c>
      <c r="CK6" s="8">
        <f>Y9/AVERAGE(Y6:Y12)</f>
        <v>1.4834909090909092</v>
      </c>
      <c r="CL6" s="8">
        <f>Y10/AVERAGE(Y7:Y13)</f>
        <v>0.66705979478712119</v>
      </c>
      <c r="CM6" s="8">
        <f>Y11/AVERAGE(Y8:Y14)</f>
        <v>0.2777387640449438</v>
      </c>
      <c r="CN6" s="8">
        <f>Y12/AVERAGE(Y9:Y15)</f>
        <v>2.8898169539719212</v>
      </c>
      <c r="CO6">
        <v>1</v>
      </c>
      <c r="CR6">
        <v>1991</v>
      </c>
      <c r="CS6" s="8">
        <f>AA9/AVERAGE(AA6:AA12)</f>
        <v>0.90467071589970127</v>
      </c>
      <c r="CT6" s="8">
        <f>AA10/AVERAGE(AA7:AA13)</f>
        <v>1.0061029009304872</v>
      </c>
      <c r="CU6" s="8">
        <f>AA11/AVERAGE(AA8:AA14)</f>
        <v>1.0208051460071284</v>
      </c>
      <c r="CV6" s="8">
        <f>AA12/AVERAGE(AA9:AA15)</f>
        <v>1.0505900822867043</v>
      </c>
      <c r="CW6">
        <v>1</v>
      </c>
      <c r="CZ6">
        <v>1991</v>
      </c>
      <c r="DA6" s="8">
        <f>AB9/AVERAGE(AB6:AB12)</f>
        <v>0.92037946871328513</v>
      </c>
      <c r="DB6" s="8">
        <f>AB10/AVERAGE(AB7:AB13)</f>
        <v>1.007116161207086</v>
      </c>
      <c r="DC6" s="8">
        <f>AB11/AVERAGE(AB8:AB14)</f>
        <v>1.0351436963658354</v>
      </c>
      <c r="DD6" s="8">
        <f>AB12/AVERAGE(AB9:AB15)</f>
        <v>0.98088766192397536</v>
      </c>
      <c r="DE6">
        <v>1</v>
      </c>
      <c r="DH6">
        <v>1991</v>
      </c>
      <c r="DI6" s="8" t="e">
        <f>AC9/AVERAGE(AC6:AC12)</f>
        <v>#N/A</v>
      </c>
      <c r="DJ6" s="8" t="e">
        <f>AC10/AVERAGE(AC7:AC13)</f>
        <v>#N/A</v>
      </c>
      <c r="DK6" s="8" t="e">
        <f>AC11/AVERAGE(AC8:AC14)</f>
        <v>#N/A</v>
      </c>
      <c r="DL6" s="8" t="e">
        <f>AC12/AVERAGE(AC9:AC15)</f>
        <v>#N/A</v>
      </c>
      <c r="DM6">
        <v>1</v>
      </c>
      <c r="DP6">
        <v>1991</v>
      </c>
      <c r="DQ6" s="8" t="e">
        <f>AD9/AVERAGE(AD6:AD12)</f>
        <v>#N/A</v>
      </c>
      <c r="DR6" s="8" t="e">
        <f>AD10/AVERAGE(AD7:AD13)</f>
        <v>#N/A</v>
      </c>
      <c r="DS6" s="8" t="e">
        <f>AD11/AVERAGE(AD8:AD14)</f>
        <v>#N/A</v>
      </c>
      <c r="DT6" s="8" t="e">
        <f>AD12/AVERAGE(AD9:AD15)</f>
        <v>#N/A</v>
      </c>
      <c r="DU6">
        <v>1</v>
      </c>
      <c r="DX6">
        <v>1991</v>
      </c>
      <c r="DY6" s="8" t="e">
        <f>AE9/AVERAGE(AE6:AE12)</f>
        <v>#N/A</v>
      </c>
      <c r="DZ6" s="8" t="e">
        <f>AE10/AVERAGE(AE7:AE13)</f>
        <v>#N/A</v>
      </c>
      <c r="EA6" s="8" t="e">
        <f>AE11/AVERAGE(AE8:AE14)</f>
        <v>#N/A</v>
      </c>
      <c r="EB6" s="8" t="e">
        <f>AE12/AVERAGE(AE9:AE15)</f>
        <v>#N/A</v>
      </c>
      <c r="EC6">
        <v>1</v>
      </c>
      <c r="EF6">
        <v>1991</v>
      </c>
      <c r="EG6" s="8" t="e">
        <f>AF9/AVERAGE(AF6:AF12)</f>
        <v>#N/A</v>
      </c>
      <c r="EH6" s="8" t="e">
        <f>AF10/AVERAGE(AF7:AF13)</f>
        <v>#N/A</v>
      </c>
      <c r="EI6" s="8" t="e">
        <f>AF11/AVERAGE(AF8:AF14)</f>
        <v>#N/A</v>
      </c>
      <c r="EJ6" s="8" t="e">
        <f>AF12/AVERAGE(AF9:AF15)</f>
        <v>#N/A</v>
      </c>
      <c r="EK6">
        <v>1</v>
      </c>
      <c r="EN6">
        <v>1991</v>
      </c>
      <c r="EO6" s="8" t="e">
        <f>AG9/AVERAGE(AG6:AG12)</f>
        <v>#N/A</v>
      </c>
      <c r="EP6" s="8" t="e">
        <f>AG10/AVERAGE(AG7:AG13)</f>
        <v>#N/A</v>
      </c>
      <c r="EQ6" s="8" t="e">
        <f>AG11/AVERAGE(AG8:AG14)</f>
        <v>#N/A</v>
      </c>
      <c r="ER6" s="8" t="e">
        <f>AG12/AVERAGE(AG9:AG15)</f>
        <v>#N/A</v>
      </c>
      <c r="ES6">
        <v>1</v>
      </c>
      <c r="EV6">
        <v>1991</v>
      </c>
      <c r="EW6" s="8" t="e">
        <f>AH9/AVERAGE(AH6:AH12)</f>
        <v>#N/A</v>
      </c>
      <c r="EX6" s="8" t="e">
        <f>AH10/AVERAGE(AH7:AH13)</f>
        <v>#N/A</v>
      </c>
      <c r="EY6" s="8" t="e">
        <f>AH11/AVERAGE(AH8:AH14)</f>
        <v>#N/A</v>
      </c>
      <c r="EZ6" s="8" t="e">
        <f>AH12/AVERAGE(AH9:AH15)</f>
        <v>#N/A</v>
      </c>
      <c r="FA6">
        <v>1</v>
      </c>
      <c r="FD6">
        <v>1991</v>
      </c>
      <c r="FE6" s="8" t="e">
        <f>AI9/AVERAGE(AI6:AI12)</f>
        <v>#N/A</v>
      </c>
      <c r="FF6" s="8" t="e">
        <f>AI10/AVERAGE(AI7:AI13)</f>
        <v>#N/A</v>
      </c>
      <c r="FG6" s="8" t="e">
        <f>AI11/AVERAGE(AI8:AI14)</f>
        <v>#N/A</v>
      </c>
      <c r="FH6" s="8" t="e">
        <f>AI12/AVERAGE(AI9:AI15)</f>
        <v>#N/A</v>
      </c>
      <c r="FI6">
        <v>1</v>
      </c>
    </row>
    <row r="7" spans="1:165" x14ac:dyDescent="0.35">
      <c r="A7" t="s">
        <v>172</v>
      </c>
      <c r="B7" t="str">
        <f t="shared" si="16"/>
        <v>1990</v>
      </c>
      <c r="C7" t="str">
        <f t="shared" si="17"/>
        <v>Q3</v>
      </c>
      <c r="D7" s="13">
        <f>HAVERQ!AL13</f>
        <v>102143</v>
      </c>
      <c r="E7" s="13">
        <f>HAVERQ!AM13</f>
        <v>2093</v>
      </c>
      <c r="F7" s="13">
        <f>HAVERQ!AN13</f>
        <v>28389</v>
      </c>
      <c r="G7" s="13">
        <f>HAVERQ!AO13</f>
        <v>39970</v>
      </c>
      <c r="H7" s="13">
        <f>HAVERQ!AP13</f>
        <v>-382</v>
      </c>
      <c r="I7" s="13">
        <f>HAVERQ!AQ13</f>
        <v>141</v>
      </c>
      <c r="J7" s="13">
        <f>HAVERQ!AR13</f>
        <v>35662</v>
      </c>
      <c r="K7" s="13">
        <f>HAVERQ!AS13</f>
        <v>37398</v>
      </c>
      <c r="L7" s="13" t="e">
        <f>HAVERQ!U13</f>
        <v>#N/A</v>
      </c>
      <c r="M7" s="13" t="e">
        <f>HAVERQ!V13</f>
        <v>#N/A</v>
      </c>
      <c r="N7" s="13" t="e">
        <f>HAVERQ!Y13</f>
        <v>#N/A</v>
      </c>
      <c r="O7" s="13" t="e">
        <f>HAVERQ!Z13</f>
        <v>#N/A</v>
      </c>
      <c r="P7" s="13" t="e">
        <f>HAVERQ!AA13</f>
        <v>#N/A</v>
      </c>
      <c r="Q7" s="13" t="e">
        <f>HAVERQ!AB13</f>
        <v>#N/A</v>
      </c>
      <c r="R7" s="13" t="e">
        <f>HAVERQ!AC13</f>
        <v>#N/A</v>
      </c>
      <c r="U7" s="13">
        <f>HAVERQ!AU13</f>
        <v>103826</v>
      </c>
      <c r="V7" s="13">
        <f>HAVERQ!AV13</f>
        <v>2107</v>
      </c>
      <c r="W7" s="13">
        <f>HAVERQ!AW13</f>
        <v>28183</v>
      </c>
      <c r="X7" s="13">
        <f>HAVERQ!AX13</f>
        <v>39644</v>
      </c>
      <c r="Y7" s="13">
        <f>HAVERQ!AY13</f>
        <v>-41</v>
      </c>
      <c r="Z7" s="13">
        <f>HAVERQ!AZ13</f>
        <v>141</v>
      </c>
      <c r="AA7" s="13">
        <f>HAVERQ!BA13</f>
        <v>35580</v>
      </c>
      <c r="AB7" s="13">
        <f>HAVERQ!BB13</f>
        <v>38524</v>
      </c>
      <c r="AC7" s="13" t="e">
        <f>HAVERQ!W13</f>
        <v>#N/A</v>
      </c>
      <c r="AD7" s="13" t="e">
        <f>HAVERQ!X13</f>
        <v>#N/A</v>
      </c>
      <c r="AE7" s="13" t="e">
        <f>HAVERQ!AD13</f>
        <v>#N/A</v>
      </c>
      <c r="AF7" s="13" t="e">
        <f>HAVERQ!AE13</f>
        <v>#N/A</v>
      </c>
      <c r="AG7" s="13" t="e">
        <f>HAVERQ!AF13</f>
        <v>#N/A</v>
      </c>
      <c r="AH7" s="13" t="e">
        <f>HAVERQ!AG13</f>
        <v>#N/A</v>
      </c>
      <c r="AI7" s="13" t="e">
        <f>HAVERQ!AH13</f>
        <v>#N/A</v>
      </c>
      <c r="AL7">
        <v>1992</v>
      </c>
      <c r="AM7" s="15">
        <f t="shared" ref="AM7:BA7" si="19">D13/U13</f>
        <v>1.037510274228499</v>
      </c>
      <c r="AN7" s="15">
        <f t="shared" si="19"/>
        <v>1.0104547830632515</v>
      </c>
      <c r="AO7" s="15">
        <f t="shared" si="19"/>
        <v>1.0000620251201737</v>
      </c>
      <c r="AP7" s="15">
        <f t="shared" si="19"/>
        <v>0.95488354137176679</v>
      </c>
      <c r="AQ7" s="15">
        <f t="shared" si="19"/>
        <v>0.80045871559633031</v>
      </c>
      <c r="AR7" s="15">
        <f t="shared" si="19"/>
        <v>1.0348837209302326</v>
      </c>
      <c r="AS7" s="15">
        <f t="shared" si="19"/>
        <v>1.0416609414933085</v>
      </c>
      <c r="AT7" s="15">
        <f t="shared" si="19"/>
        <v>1.0246916933775194</v>
      </c>
      <c r="AU7" s="15" t="e">
        <f t="shared" si="19"/>
        <v>#N/A</v>
      </c>
      <c r="AV7" s="15" t="e">
        <f t="shared" si="19"/>
        <v>#N/A</v>
      </c>
      <c r="AW7" s="15" t="e">
        <f t="shared" si="19"/>
        <v>#N/A</v>
      </c>
      <c r="AX7" s="15" t="e">
        <f t="shared" si="19"/>
        <v>#N/A</v>
      </c>
      <c r="AY7" s="15" t="e">
        <f t="shared" si="19"/>
        <v>#N/A</v>
      </c>
      <c r="AZ7" s="15" t="e">
        <f t="shared" si="19"/>
        <v>#N/A</v>
      </c>
      <c r="BA7" s="15" t="e">
        <f t="shared" si="19"/>
        <v>#N/A</v>
      </c>
      <c r="BD7">
        <v>1992</v>
      </c>
      <c r="BE7" s="8">
        <f>U13/AVERAGE(U10:U16)</f>
        <v>0.95523529479242753</v>
      </c>
      <c r="BF7" s="8">
        <f>U14/AVERAGE(U11:U17)</f>
        <v>0.97965349507263633</v>
      </c>
      <c r="BG7" s="8">
        <f>U15/AVERAGE(U12:U18)</f>
        <v>1.0214942141557526</v>
      </c>
      <c r="BH7" s="8">
        <f>U16/AVERAGE(U13:U19)</f>
        <v>1.0353231085919001</v>
      </c>
      <c r="BI7">
        <v>1</v>
      </c>
      <c r="BL7">
        <v>1992</v>
      </c>
      <c r="BM7" s="8">
        <f>V13/AVERAGE(V10:V16)</f>
        <v>1.0000746825989544</v>
      </c>
      <c r="BN7" s="8">
        <f>V14/AVERAGE(V11:V17)</f>
        <v>0.95054825357635619</v>
      </c>
      <c r="BO7" s="8">
        <f>V15/AVERAGE(V12:V18)</f>
        <v>0.89585947302383939</v>
      </c>
      <c r="BP7" s="8">
        <f>V16/AVERAGE(V13:V19)</f>
        <v>0.87973484848484851</v>
      </c>
      <c r="BQ7">
        <v>1</v>
      </c>
      <c r="BT7">
        <v>1992</v>
      </c>
      <c r="BU7" s="8">
        <f>W13/AVERAGE(W10:W16)</f>
        <v>1.0054254622556202</v>
      </c>
      <c r="BV7" s="8">
        <f>W14/AVERAGE(W11:W17)</f>
        <v>1.0028537058663411</v>
      </c>
      <c r="BW7" s="8">
        <f>W15/AVERAGE(W12:W18)</f>
        <v>1.0043943039379055</v>
      </c>
      <c r="BX7" s="8">
        <f>W16/AVERAGE(W13:W19)</f>
        <v>1.0126293352663507</v>
      </c>
      <c r="BY7">
        <v>1</v>
      </c>
      <c r="CB7">
        <v>1992</v>
      </c>
      <c r="CC7" s="8">
        <f>X13/AVERAGE(X10:X16)</f>
        <v>1.065692601256176</v>
      </c>
      <c r="CD7" s="8">
        <f>X14/AVERAGE(X11:X17)</f>
        <v>0.91214027801453623</v>
      </c>
      <c r="CE7" s="8">
        <f>X15/AVERAGE(X12:X18)</f>
        <v>0.98149790801547987</v>
      </c>
      <c r="CF7" s="8">
        <f>X16/AVERAGE(X13:X19)</f>
        <v>1.0089800570702612</v>
      </c>
      <c r="CG7">
        <v>1</v>
      </c>
      <c r="CJ7">
        <v>1992</v>
      </c>
      <c r="CK7" s="8">
        <f>Y13/AVERAGE(Y10:Y16)</f>
        <v>1.1289069724431293</v>
      </c>
      <c r="CL7" s="8">
        <f>Y14/AVERAGE(Y11:Y17)</f>
        <v>0.12236147757255936</v>
      </c>
      <c r="CM7" s="8">
        <f>Y15/AVERAGE(Y12:Y18)</f>
        <v>-0.42414995640802089</v>
      </c>
      <c r="CN7" s="8">
        <f>Y16/AVERAGE(Y13:Y19)</f>
        <v>4.8185865331107403</v>
      </c>
      <c r="CO7">
        <v>1</v>
      </c>
      <c r="CR7">
        <v>1992</v>
      </c>
      <c r="CS7" s="8">
        <f>AA13/AVERAGE(AA10:AA16)</f>
        <v>0.95257381126007379</v>
      </c>
      <c r="CT7" s="8">
        <f>AA14/AVERAGE(AA11:AA17)</f>
        <v>0.98652780676795537</v>
      </c>
      <c r="CU7" s="8">
        <f>AA15/AVERAGE(AA12:AA18)</f>
        <v>0.94291081434139068</v>
      </c>
      <c r="CV7" s="8">
        <f>AA16/AVERAGE(AA13:AA19)</f>
        <v>1.0308341641975614</v>
      </c>
      <c r="CW7">
        <v>1</v>
      </c>
      <c r="CZ7">
        <v>1992</v>
      </c>
      <c r="DA7" s="8">
        <f>AB13/AVERAGE(AB10:AB16)</f>
        <v>0.95452541902027965</v>
      </c>
      <c r="DB7" s="8">
        <f>AB14/AVERAGE(AB11:AB17)</f>
        <v>1.0111079982681273</v>
      </c>
      <c r="DC7" s="8">
        <f>AB15/AVERAGE(AB12:AB18)</f>
        <v>0.99620640031916108</v>
      </c>
      <c r="DD7" s="8">
        <f>AB16/AVERAGE(AB13:AB19)</f>
        <v>0.9853704381958025</v>
      </c>
      <c r="DE7">
        <v>1</v>
      </c>
      <c r="DH7">
        <v>1992</v>
      </c>
      <c r="DI7" s="8" t="e">
        <f>AC13/AVERAGE(AC10:AC16)</f>
        <v>#N/A</v>
      </c>
      <c r="DJ7" s="8" t="e">
        <f>AC14/AVERAGE(AC11:AC17)</f>
        <v>#N/A</v>
      </c>
      <c r="DK7" s="8" t="e">
        <f>AC15/AVERAGE(AC12:AC18)</f>
        <v>#N/A</v>
      </c>
      <c r="DL7" s="8" t="e">
        <f>AC16/AVERAGE(AC13:AC19)</f>
        <v>#N/A</v>
      </c>
      <c r="DM7">
        <v>1</v>
      </c>
      <c r="DP7">
        <v>1992</v>
      </c>
      <c r="DQ7" s="8" t="e">
        <f>AD13/AVERAGE(AD10:AD16)</f>
        <v>#N/A</v>
      </c>
      <c r="DR7" s="8" t="e">
        <f>AD14/AVERAGE(AD11:AD17)</f>
        <v>#N/A</v>
      </c>
      <c r="DS7" s="8" t="e">
        <f>AD15/AVERAGE(AD12:AD18)</f>
        <v>#N/A</v>
      </c>
      <c r="DT7" s="8" t="e">
        <f>AD16/AVERAGE(AD13:AD19)</f>
        <v>#N/A</v>
      </c>
      <c r="DU7">
        <v>1</v>
      </c>
      <c r="DX7">
        <v>1992</v>
      </c>
      <c r="DY7" s="8" t="e">
        <f>AE13/AVERAGE(AE10:AE16)</f>
        <v>#N/A</v>
      </c>
      <c r="DZ7" s="8" t="e">
        <f>AE14/AVERAGE(AE11:AE17)</f>
        <v>#N/A</v>
      </c>
      <c r="EA7" s="8" t="e">
        <f>AE15/AVERAGE(AE12:AE18)</f>
        <v>#N/A</v>
      </c>
      <c r="EB7" s="8" t="e">
        <f>AE16/AVERAGE(AE13:AE19)</f>
        <v>#N/A</v>
      </c>
      <c r="EC7">
        <v>1</v>
      </c>
      <c r="EF7">
        <v>1992</v>
      </c>
      <c r="EG7" s="8" t="e">
        <f>AF13/AVERAGE(AF10:AF16)</f>
        <v>#N/A</v>
      </c>
      <c r="EH7" s="8" t="e">
        <f>AF14/AVERAGE(AF11:AF17)</f>
        <v>#N/A</v>
      </c>
      <c r="EI7" s="8" t="e">
        <f>AF15/AVERAGE(AF12:AF18)</f>
        <v>#N/A</v>
      </c>
      <c r="EJ7" s="8" t="e">
        <f>AF16/AVERAGE(AF13:AF19)</f>
        <v>#N/A</v>
      </c>
      <c r="EK7">
        <v>1</v>
      </c>
      <c r="EN7">
        <v>1992</v>
      </c>
      <c r="EO7" s="8" t="e">
        <f>AG13/AVERAGE(AG10:AG16)</f>
        <v>#N/A</v>
      </c>
      <c r="EP7" s="8" t="e">
        <f>AG14/AVERAGE(AG11:AG17)</f>
        <v>#N/A</v>
      </c>
      <c r="EQ7" s="8" t="e">
        <f>AG15/AVERAGE(AG12:AG18)</f>
        <v>#N/A</v>
      </c>
      <c r="ER7" s="8" t="e">
        <f>AG16/AVERAGE(AG13:AG19)</f>
        <v>#N/A</v>
      </c>
      <c r="ES7">
        <v>1</v>
      </c>
      <c r="EV7">
        <v>1992</v>
      </c>
      <c r="EW7" s="8" t="e">
        <f>AH13/AVERAGE(AH10:AH16)</f>
        <v>#N/A</v>
      </c>
      <c r="EX7" s="8" t="e">
        <f>AH14/AVERAGE(AH11:AH17)</f>
        <v>#N/A</v>
      </c>
      <c r="EY7" s="8" t="e">
        <f>AH15/AVERAGE(AH12:AH18)</f>
        <v>#N/A</v>
      </c>
      <c r="EZ7" s="8" t="e">
        <f>AH16/AVERAGE(AH13:AH19)</f>
        <v>#N/A</v>
      </c>
      <c r="FA7">
        <v>1</v>
      </c>
      <c r="FD7">
        <v>1992</v>
      </c>
      <c r="FE7" s="8" t="e">
        <f>AI13/AVERAGE(AI10:AI16)</f>
        <v>#N/A</v>
      </c>
      <c r="FF7" s="8" t="e">
        <f>AI14/AVERAGE(AI11:AI17)</f>
        <v>#N/A</v>
      </c>
      <c r="FG7" s="8" t="e">
        <f>AI15/AVERAGE(AI12:AI18)</f>
        <v>#N/A</v>
      </c>
      <c r="FH7" s="8" t="e">
        <f>AI16/AVERAGE(AI13:AI19)</f>
        <v>#N/A</v>
      </c>
      <c r="FI7">
        <v>1</v>
      </c>
    </row>
    <row r="8" spans="1:165" x14ac:dyDescent="0.35">
      <c r="A8" t="s">
        <v>173</v>
      </c>
      <c r="B8" t="str">
        <f t="shared" si="16"/>
        <v>1990</v>
      </c>
      <c r="C8" t="str">
        <f t="shared" si="17"/>
        <v>Q4</v>
      </c>
      <c r="D8" s="13">
        <f>HAVERQ!AL14</f>
        <v>103680</v>
      </c>
      <c r="E8" s="13">
        <f>HAVERQ!AM14</f>
        <v>2122</v>
      </c>
      <c r="F8" s="13">
        <f>HAVERQ!AN14</f>
        <v>28924</v>
      </c>
      <c r="G8" s="13">
        <f>HAVERQ!AO14</f>
        <v>40066</v>
      </c>
      <c r="H8" s="13">
        <f>HAVERQ!AP14</f>
        <v>-2298</v>
      </c>
      <c r="I8" s="13">
        <f>HAVERQ!AQ14</f>
        <v>143</v>
      </c>
      <c r="J8" s="13">
        <f>HAVERQ!AR14</f>
        <v>36072</v>
      </c>
      <c r="K8" s="13">
        <f>HAVERQ!AS14</f>
        <v>37204</v>
      </c>
      <c r="L8" s="13" t="e">
        <f>HAVERQ!U14</f>
        <v>#N/A</v>
      </c>
      <c r="M8" s="13" t="e">
        <f>HAVERQ!V14</f>
        <v>#N/A</v>
      </c>
      <c r="N8" s="13" t="e">
        <f>HAVERQ!Y14</f>
        <v>#N/A</v>
      </c>
      <c r="O8" s="13" t="e">
        <f>HAVERQ!Z14</f>
        <v>#N/A</v>
      </c>
      <c r="P8" s="13" t="e">
        <f>HAVERQ!AA14</f>
        <v>#N/A</v>
      </c>
      <c r="Q8" s="13" t="e">
        <f>HAVERQ!AB14</f>
        <v>#N/A</v>
      </c>
      <c r="R8" s="13" t="e">
        <f>HAVERQ!AC14</f>
        <v>#N/A</v>
      </c>
      <c r="U8" s="13">
        <f>HAVERQ!AU14</f>
        <v>107521</v>
      </c>
      <c r="V8" s="13">
        <f>HAVERQ!AV14</f>
        <v>2098</v>
      </c>
      <c r="W8" s="13">
        <f>HAVERQ!AW14</f>
        <v>28981</v>
      </c>
      <c r="X8" s="13">
        <f>HAVERQ!AX14</f>
        <v>40879</v>
      </c>
      <c r="Y8" s="13">
        <f>HAVERQ!AY14</f>
        <v>-2639</v>
      </c>
      <c r="Z8" s="13">
        <f>HAVERQ!AZ14</f>
        <v>143</v>
      </c>
      <c r="AA8" s="13">
        <f>HAVERQ!BA14</f>
        <v>37509</v>
      </c>
      <c r="AB8" s="13">
        <f>HAVERQ!BB14</f>
        <v>36694</v>
      </c>
      <c r="AC8" s="13" t="e">
        <f>HAVERQ!W14</f>
        <v>#N/A</v>
      </c>
      <c r="AD8" s="13" t="e">
        <f>HAVERQ!X14</f>
        <v>#N/A</v>
      </c>
      <c r="AE8" s="13" t="e">
        <f>HAVERQ!AD14</f>
        <v>#N/A</v>
      </c>
      <c r="AF8" s="13" t="e">
        <f>HAVERQ!AE14</f>
        <v>#N/A</v>
      </c>
      <c r="AG8" s="13" t="e">
        <f>HAVERQ!AF14</f>
        <v>#N/A</v>
      </c>
      <c r="AH8" s="13" t="e">
        <f>HAVERQ!AG14</f>
        <v>#N/A</v>
      </c>
      <c r="AI8" s="13" t="e">
        <f>HAVERQ!AH14</f>
        <v>#N/A</v>
      </c>
      <c r="AL8">
        <v>1993</v>
      </c>
      <c r="AM8" s="15">
        <f t="shared" ref="AM8:BA8" si="20">D17/U17</f>
        <v>1.0378486933084357</v>
      </c>
      <c r="AN8" s="15">
        <f t="shared" si="20"/>
        <v>1.0291970802919708</v>
      </c>
      <c r="AO8" s="15">
        <f t="shared" si="20"/>
        <v>0.99619592462622752</v>
      </c>
      <c r="AP8" s="15">
        <f t="shared" si="20"/>
        <v>0.95491771108610901</v>
      </c>
      <c r="AQ8" s="15">
        <f t="shared" si="20"/>
        <v>0.2197952218430034</v>
      </c>
      <c r="AR8" s="15">
        <f t="shared" si="20"/>
        <v>1.0204081632653061</v>
      </c>
      <c r="AS8" s="15">
        <f t="shared" si="20"/>
        <v>1.0256839228068522</v>
      </c>
      <c r="AT8" s="15">
        <f t="shared" si="20"/>
        <v>1.034831886944563</v>
      </c>
      <c r="AU8" s="15" t="e">
        <f t="shared" si="20"/>
        <v>#N/A</v>
      </c>
      <c r="AV8" s="15" t="e">
        <f t="shared" si="20"/>
        <v>#N/A</v>
      </c>
      <c r="AW8" s="15" t="e">
        <f t="shared" si="20"/>
        <v>#N/A</v>
      </c>
      <c r="AX8" s="15" t="e">
        <f t="shared" si="20"/>
        <v>#N/A</v>
      </c>
      <c r="AY8" s="15" t="e">
        <f t="shared" si="20"/>
        <v>#N/A</v>
      </c>
      <c r="AZ8" s="15" t="e">
        <f t="shared" si="20"/>
        <v>#N/A</v>
      </c>
      <c r="BA8" s="15" t="e">
        <f t="shared" si="20"/>
        <v>#N/A</v>
      </c>
      <c r="BD8">
        <v>1993</v>
      </c>
      <c r="BE8" s="8">
        <f>U17/AVERAGE(U14:U20)</f>
        <v>0.9588882587869062</v>
      </c>
      <c r="BF8" s="8">
        <f>U18/AVERAGE(U15:U21)</f>
        <v>0.9746343780130402</v>
      </c>
      <c r="BG8" s="8">
        <f>U19/AVERAGE(U16:U22)</f>
        <v>1.0282372081788085</v>
      </c>
      <c r="BH8" s="8">
        <f>U20/AVERAGE(U17:U23)</f>
        <v>1.044120434394985</v>
      </c>
      <c r="BI8">
        <v>1</v>
      </c>
      <c r="BL8">
        <v>1993</v>
      </c>
      <c r="BM8" s="8">
        <f>V17/AVERAGE(V14:V20)</f>
        <v>1.068488661685673</v>
      </c>
      <c r="BN8" s="8">
        <f>V18/AVERAGE(V15:V21)</f>
        <v>1.1155835962145111</v>
      </c>
      <c r="BO8" s="8">
        <f>V19/AVERAGE(V16:V22)</f>
        <v>1.0350982993607527</v>
      </c>
      <c r="BP8" s="8">
        <f>V20/AVERAGE(V17:V23)</f>
        <v>0.96567069294342034</v>
      </c>
      <c r="BQ8">
        <v>1</v>
      </c>
      <c r="BT8">
        <v>1993</v>
      </c>
      <c r="BU8" s="8">
        <f>W17/AVERAGE(W14:W20)</f>
        <v>1.0166735193846259</v>
      </c>
      <c r="BV8" s="8">
        <f>W18/AVERAGE(W15:W21)</f>
        <v>0.98713447806868404</v>
      </c>
      <c r="BW8" s="8">
        <f>W19/AVERAGE(W16:W22)</f>
        <v>0.98244423176649642</v>
      </c>
      <c r="BX8" s="8">
        <f>W20/AVERAGE(W17:W23)</f>
        <v>0.99635015085484413</v>
      </c>
      <c r="BY8">
        <v>1</v>
      </c>
      <c r="CB8">
        <v>1993</v>
      </c>
      <c r="CC8" s="8">
        <f>X17/AVERAGE(X14:X20)</f>
        <v>1.061251447884106</v>
      </c>
      <c r="CD8" s="8">
        <f>X18/AVERAGE(X15:X21)</f>
        <v>0.90937276228445352</v>
      </c>
      <c r="CE8" s="8">
        <f>X19/AVERAGE(X16:X22)</f>
        <v>0.98629711096775208</v>
      </c>
      <c r="CF8" s="8">
        <f>X20/AVERAGE(X17:X23)</f>
        <v>1.0383472137716683</v>
      </c>
      <c r="CG8">
        <v>1</v>
      </c>
      <c r="CJ8">
        <v>1993</v>
      </c>
      <c r="CK8" s="8">
        <f>Y17/AVERAGE(Y14:Y20)</f>
        <v>13.933423913043478</v>
      </c>
      <c r="CL8" s="8">
        <f>Y18/AVERAGE(Y15:Y21)</f>
        <v>-8.3515215110178378</v>
      </c>
      <c r="CM8" s="8">
        <f>Y19/AVERAGE(Y16:Y22)</f>
        <v>2.1355932203389831</v>
      </c>
      <c r="CN8" s="8">
        <f>Y20/AVERAGE(Y17:Y23)</f>
        <v>0.38225946258306848</v>
      </c>
      <c r="CO8">
        <v>1</v>
      </c>
      <c r="CR8">
        <v>1993</v>
      </c>
      <c r="CS8" s="8">
        <f>AA17/AVERAGE(AA14:AA20)</f>
        <v>1.0118772693520808</v>
      </c>
      <c r="CT8" s="8">
        <f>AA18/AVERAGE(AA15:AA21)</f>
        <v>0.98860179342411147</v>
      </c>
      <c r="CU8" s="8">
        <f>AA19/AVERAGE(AA16:AA22)</f>
        <v>1.0086605303810505</v>
      </c>
      <c r="CV8" s="8">
        <f>AA20/AVERAGE(AA17:AA23)</f>
        <v>1.0128655484324229</v>
      </c>
      <c r="CW8">
        <v>1</v>
      </c>
      <c r="CZ8">
        <v>1993</v>
      </c>
      <c r="DA8" s="8">
        <f>AB17/AVERAGE(AB14:AB20)</f>
        <v>0.99435823680585256</v>
      </c>
      <c r="DB8" s="8">
        <f>AB18/AVERAGE(AB15:AB21)</f>
        <v>1.0284151631357266</v>
      </c>
      <c r="DC8" s="8">
        <f>AB19/AVERAGE(AB16:AB22)</f>
        <v>1.0278118333027637</v>
      </c>
      <c r="DD8" s="8">
        <f>AB20/AVERAGE(AB17:AB23)</f>
        <v>0.97081763842052027</v>
      </c>
      <c r="DE8">
        <v>1</v>
      </c>
      <c r="DH8">
        <v>1993</v>
      </c>
      <c r="DI8" s="8" t="e">
        <f>AC17/AVERAGE(AC14:AC20)</f>
        <v>#N/A</v>
      </c>
      <c r="DJ8" s="8" t="e">
        <f>AC18/AVERAGE(AC15:AC21)</f>
        <v>#N/A</v>
      </c>
      <c r="DK8" s="8" t="e">
        <f>AC19/AVERAGE(AC16:AC22)</f>
        <v>#N/A</v>
      </c>
      <c r="DL8" s="8" t="e">
        <f>AC20/AVERAGE(AC17:AC23)</f>
        <v>#N/A</v>
      </c>
      <c r="DM8">
        <v>1</v>
      </c>
      <c r="DP8">
        <v>1993</v>
      </c>
      <c r="DQ8" s="8" t="e">
        <f>AD17/AVERAGE(AD14:AD20)</f>
        <v>#N/A</v>
      </c>
      <c r="DR8" s="8" t="e">
        <f>AD18/AVERAGE(AD15:AD21)</f>
        <v>#N/A</v>
      </c>
      <c r="DS8" s="8" t="e">
        <f>AD19/AVERAGE(AD16:AD22)</f>
        <v>#N/A</v>
      </c>
      <c r="DT8" s="8" t="e">
        <f>AD20/AVERAGE(AD17:AD23)</f>
        <v>#N/A</v>
      </c>
      <c r="DU8">
        <v>1</v>
      </c>
      <c r="DX8">
        <v>1993</v>
      </c>
      <c r="DY8" s="8" t="e">
        <f>AE17/AVERAGE(AE14:AE20)</f>
        <v>#N/A</v>
      </c>
      <c r="DZ8" s="8" t="e">
        <f>AE18/AVERAGE(AE15:AE21)</f>
        <v>#N/A</v>
      </c>
      <c r="EA8" s="8" t="e">
        <f>AE19/AVERAGE(AE16:AE22)</f>
        <v>#N/A</v>
      </c>
      <c r="EB8" s="8" t="e">
        <f>AE20/AVERAGE(AE17:AE23)</f>
        <v>#N/A</v>
      </c>
      <c r="EC8">
        <v>1</v>
      </c>
      <c r="EF8">
        <v>1993</v>
      </c>
      <c r="EG8" s="8" t="e">
        <f>AF17/AVERAGE(AF14:AF20)</f>
        <v>#N/A</v>
      </c>
      <c r="EH8" s="8" t="e">
        <f>AF18/AVERAGE(AF15:AF21)</f>
        <v>#N/A</v>
      </c>
      <c r="EI8" s="8" t="e">
        <f>AF19/AVERAGE(AF16:AF22)</f>
        <v>#N/A</v>
      </c>
      <c r="EJ8" s="8" t="e">
        <f>AF20/AVERAGE(AF17:AF23)</f>
        <v>#N/A</v>
      </c>
      <c r="EK8">
        <v>1</v>
      </c>
      <c r="EN8">
        <v>1993</v>
      </c>
      <c r="EO8" s="8" t="e">
        <f>AG17/AVERAGE(AG14:AG20)</f>
        <v>#N/A</v>
      </c>
      <c r="EP8" s="8" t="e">
        <f>AG18/AVERAGE(AG15:AG21)</f>
        <v>#N/A</v>
      </c>
      <c r="EQ8" s="8" t="e">
        <f>AG19/AVERAGE(AG16:AG22)</f>
        <v>#N/A</v>
      </c>
      <c r="ER8" s="8" t="e">
        <f>AG20/AVERAGE(AG17:AG23)</f>
        <v>#N/A</v>
      </c>
      <c r="ES8">
        <v>1</v>
      </c>
      <c r="EV8">
        <v>1993</v>
      </c>
      <c r="EW8" s="8" t="e">
        <f>AH17/AVERAGE(AH14:AH20)</f>
        <v>#N/A</v>
      </c>
      <c r="EX8" s="8" t="e">
        <f>AH18/AVERAGE(AH15:AH21)</f>
        <v>#N/A</v>
      </c>
      <c r="EY8" s="8" t="e">
        <f>AH19/AVERAGE(AH16:AH22)</f>
        <v>#N/A</v>
      </c>
      <c r="EZ8" s="8" t="e">
        <f>AH20/AVERAGE(AH17:AH23)</f>
        <v>#N/A</v>
      </c>
      <c r="FA8">
        <v>1</v>
      </c>
      <c r="FD8">
        <v>1993</v>
      </c>
      <c r="FE8" s="8" t="e">
        <f>AI17/AVERAGE(AI14:AI20)</f>
        <v>#N/A</v>
      </c>
      <c r="FF8" s="8" t="e">
        <f>AI18/AVERAGE(AI15:AI21)</f>
        <v>#N/A</v>
      </c>
      <c r="FG8" s="8" t="e">
        <f>AI19/AVERAGE(AI16:AI22)</f>
        <v>#N/A</v>
      </c>
      <c r="FH8" s="8" t="e">
        <f>AI20/AVERAGE(AI17:AI23)</f>
        <v>#N/A</v>
      </c>
      <c r="FI8">
        <v>1</v>
      </c>
    </row>
    <row r="9" spans="1:165" x14ac:dyDescent="0.35">
      <c r="A9" t="s">
        <v>174</v>
      </c>
      <c r="B9" t="str">
        <f t="shared" si="16"/>
        <v>1991</v>
      </c>
      <c r="C9" t="str">
        <f t="shared" si="17"/>
        <v>Q1</v>
      </c>
      <c r="D9" s="13">
        <f>HAVERQ!AL15</f>
        <v>105632</v>
      </c>
      <c r="E9" s="13">
        <f>HAVERQ!AM15</f>
        <v>1868</v>
      </c>
      <c r="F9" s="13">
        <f>HAVERQ!AN15</f>
        <v>29365</v>
      </c>
      <c r="G9" s="13">
        <f>HAVERQ!AO15</f>
        <v>38516</v>
      </c>
      <c r="H9" s="13">
        <f>HAVERQ!AP15</f>
        <v>-852</v>
      </c>
      <c r="I9" s="13">
        <f>HAVERQ!AQ15</f>
        <v>123</v>
      </c>
      <c r="J9" s="13">
        <f>HAVERQ!AR15</f>
        <v>34859</v>
      </c>
      <c r="K9" s="13">
        <f>HAVERQ!AS15</f>
        <v>35766</v>
      </c>
      <c r="L9" s="13" t="e">
        <f>HAVERQ!U15</f>
        <v>#N/A</v>
      </c>
      <c r="M9" s="13" t="e">
        <f>HAVERQ!V15</f>
        <v>#N/A</v>
      </c>
      <c r="N9" s="13" t="e">
        <f>HAVERQ!Y15</f>
        <v>#N/A</v>
      </c>
      <c r="O9" s="13" t="e">
        <f>HAVERQ!Z15</f>
        <v>#N/A</v>
      </c>
      <c r="P9" s="13" t="e">
        <f>HAVERQ!AA15</f>
        <v>#N/A</v>
      </c>
      <c r="Q9" s="13" t="e">
        <f>HAVERQ!AB15</f>
        <v>#N/A</v>
      </c>
      <c r="R9" s="13" t="e">
        <f>HAVERQ!AC15</f>
        <v>#N/A</v>
      </c>
      <c r="U9" s="13">
        <f>HAVERQ!AU15</f>
        <v>101439</v>
      </c>
      <c r="V9" s="13">
        <f>HAVERQ!AV15</f>
        <v>1869</v>
      </c>
      <c r="W9" s="13">
        <f>HAVERQ!AW15</f>
        <v>29510</v>
      </c>
      <c r="X9" s="13">
        <f>HAVERQ!AX15</f>
        <v>40396</v>
      </c>
      <c r="Y9" s="13">
        <f>HAVERQ!AY15</f>
        <v>-1457</v>
      </c>
      <c r="Z9" s="13">
        <f>HAVERQ!AZ15</f>
        <v>150</v>
      </c>
      <c r="AA9" s="13">
        <f>HAVERQ!BA15</f>
        <v>33002</v>
      </c>
      <c r="AB9" s="13">
        <f>HAVERQ!BB15</f>
        <v>34469</v>
      </c>
      <c r="AC9" s="13" t="e">
        <f>HAVERQ!W15</f>
        <v>#N/A</v>
      </c>
      <c r="AD9" s="13" t="e">
        <f>HAVERQ!X15</f>
        <v>#N/A</v>
      </c>
      <c r="AE9" s="13" t="e">
        <f>HAVERQ!AD15</f>
        <v>#N/A</v>
      </c>
      <c r="AF9" s="13" t="e">
        <f>HAVERQ!AE15</f>
        <v>#N/A</v>
      </c>
      <c r="AG9" s="13" t="e">
        <f>HAVERQ!AF15</f>
        <v>#N/A</v>
      </c>
      <c r="AH9" s="13" t="e">
        <f>HAVERQ!AG15</f>
        <v>#N/A</v>
      </c>
      <c r="AI9" s="13" t="e">
        <f>HAVERQ!AH15</f>
        <v>#N/A</v>
      </c>
      <c r="AL9">
        <v>1994</v>
      </c>
      <c r="AM9" s="15">
        <f ca="1">OFFSET($D$5, (ROW(D5)-1)*4,0)/OFFSET($U$5, (ROW(U5)-1)*4,0)</f>
        <v>1.0374287497399626</v>
      </c>
      <c r="AN9" s="15">
        <f t="shared" ref="AN9:BA24" ca="1" si="21">OFFSET(E$5, (ROW(E5)-1)*4,0)/OFFSET(V$5, (ROW(V5)-1)*4,0)</f>
        <v>1</v>
      </c>
      <c r="AO9" s="15">
        <f t="shared" ca="1" si="21"/>
        <v>1.0051702102939468</v>
      </c>
      <c r="AP9" s="15">
        <f t="shared" ca="1" si="21"/>
        <v>0.94159961901897382</v>
      </c>
      <c r="AQ9" s="15">
        <f t="shared" ca="1" si="21"/>
        <v>-1.3095975232198143</v>
      </c>
      <c r="AR9" s="15">
        <f t="shared" ca="1" si="21"/>
        <v>1.0119047619047619</v>
      </c>
      <c r="AS9" s="15">
        <f t="shared" ca="1" si="21"/>
        <v>1.0202826086956522</v>
      </c>
      <c r="AT9" s="15">
        <f t="shared" ca="1" si="21"/>
        <v>1.0293738898756661</v>
      </c>
      <c r="AU9" s="15" t="e">
        <f t="shared" ca="1" si="21"/>
        <v>#N/A</v>
      </c>
      <c r="AV9" s="15" t="e">
        <f t="shared" ca="1" si="21"/>
        <v>#N/A</v>
      </c>
      <c r="AW9" s="15" t="e">
        <f t="shared" ca="1" si="21"/>
        <v>#N/A</v>
      </c>
      <c r="AX9" s="15" t="e">
        <f t="shared" ca="1" si="21"/>
        <v>#N/A</v>
      </c>
      <c r="AY9" s="15" t="e">
        <f t="shared" ca="1" si="21"/>
        <v>#N/A</v>
      </c>
      <c r="AZ9" s="15" t="e">
        <f t="shared" ca="1" si="21"/>
        <v>#N/A</v>
      </c>
      <c r="BA9" s="15" t="e">
        <f t="shared" ca="1" si="21"/>
        <v>#N/A</v>
      </c>
      <c r="BD9">
        <v>1994</v>
      </c>
      <c r="BE9" s="8">
        <f>U21/AVERAGE(U18:U24)</f>
        <v>0.96231172161968304</v>
      </c>
      <c r="BF9" s="8">
        <f>U22/AVERAGE(U19:U25)</f>
        <v>0.97567971723762914</v>
      </c>
      <c r="BG9" s="8">
        <f>U23/AVERAGE(U20:U26)</f>
        <v>1.0227271703535539</v>
      </c>
      <c r="BH9" s="8">
        <f>U24/AVERAGE(U21:U27)</f>
        <v>1.0373559664247582</v>
      </c>
      <c r="BI9">
        <v>1</v>
      </c>
      <c r="BL9">
        <v>1994</v>
      </c>
      <c r="BM9" s="8">
        <f>V21/AVERAGE(V18:V24)</f>
        <v>0.98015128248876759</v>
      </c>
      <c r="BN9" s="8">
        <f>V22/AVERAGE(V19:V25)</f>
        <v>1.0161673261729791</v>
      </c>
      <c r="BO9" s="8">
        <f>V23/AVERAGE(V20:V26)</f>
        <v>0.99630242825607074</v>
      </c>
      <c r="BP9" s="8">
        <f>V24/AVERAGE(V21:V27)</f>
        <v>0.97788605697151421</v>
      </c>
      <c r="BQ9">
        <v>1</v>
      </c>
      <c r="BT9">
        <v>1994</v>
      </c>
      <c r="BU9" s="8">
        <f>W21/AVERAGE(W18:W24)</f>
        <v>1.0031886109145403</v>
      </c>
      <c r="BV9" s="8">
        <f>W22/AVERAGE(W19:W25)</f>
        <v>1.002895312878598</v>
      </c>
      <c r="BW9" s="8">
        <f>W23/AVERAGE(W20:W26)</f>
        <v>0.995228301779429</v>
      </c>
      <c r="BX9" s="8">
        <f>W24/AVERAGE(W21:W27)</f>
        <v>1.0023636561646652</v>
      </c>
      <c r="BY9">
        <v>1</v>
      </c>
      <c r="CB9">
        <v>1994</v>
      </c>
      <c r="CC9" s="8">
        <f>X21/AVERAGE(X18:X24)</f>
        <v>1.0779185691513793</v>
      </c>
      <c r="CD9" s="8">
        <f>X22/AVERAGE(X19:X25)</f>
        <v>0.91422837542217483</v>
      </c>
      <c r="CE9" s="8">
        <f>X23/AVERAGE(X20:X26)</f>
        <v>0.97886928855168787</v>
      </c>
      <c r="CF9" s="8">
        <f>X24/AVERAGE(X21:X27)</f>
        <v>1.0328360339781568</v>
      </c>
      <c r="CG9">
        <v>1</v>
      </c>
      <c r="CJ9">
        <v>1994</v>
      </c>
      <c r="CK9" s="8">
        <f>Y21/AVERAGE(Y18:Y24)</f>
        <v>-0.41094147582697199</v>
      </c>
      <c r="CL9" s="8">
        <f>Y22/AVERAGE(Y19:Y25)</f>
        <v>6.525623735670937</v>
      </c>
      <c r="CM9" s="8">
        <f>Y23/AVERAGE(Y20:Y26)</f>
        <v>0.84529226461323059</v>
      </c>
      <c r="CN9" s="8">
        <f>Y24/AVERAGE(Y21:Y27)</f>
        <v>0.57847919655667146</v>
      </c>
      <c r="CO9">
        <v>1</v>
      </c>
      <c r="CR9">
        <v>1994</v>
      </c>
      <c r="CS9" s="8">
        <f>AA21/AVERAGE(AA18:AA24)</f>
        <v>0.98150084281050631</v>
      </c>
      <c r="CT9" s="8">
        <f>AA22/AVERAGE(AA19:AA25)</f>
        <v>0.97008085062515648</v>
      </c>
      <c r="CU9" s="8">
        <f>AA23/AVERAGE(AA20:AA26)</f>
        <v>1.0048429631802509</v>
      </c>
      <c r="CV9" s="8">
        <f>AA24/AVERAGE(AA21:AA27)</f>
        <v>1.013525668507637</v>
      </c>
      <c r="CW9">
        <v>1</v>
      </c>
      <c r="CZ9">
        <v>1994</v>
      </c>
      <c r="DA9" s="8">
        <f>AB21/AVERAGE(AB18:AB24)</f>
        <v>0.96474317782632912</v>
      </c>
      <c r="DB9" s="8">
        <f>AB22/AVERAGE(AB19:AB25)</f>
        <v>1.0235710645279001</v>
      </c>
      <c r="DC9" s="8">
        <f>AB23/AVERAGE(AB20:AB26)</f>
        <v>1.0144528278612692</v>
      </c>
      <c r="DD9" s="8">
        <f>AB24/AVERAGE(AB21:AB27)</f>
        <v>0.98496323779699091</v>
      </c>
      <c r="DE9">
        <v>1</v>
      </c>
      <c r="DH9">
        <v>1994</v>
      </c>
      <c r="DI9" s="8" t="e">
        <f>AC21/AVERAGE(AC18:AC24)</f>
        <v>#N/A</v>
      </c>
      <c r="DJ9" s="8" t="e">
        <f>AC22/AVERAGE(AC19:AC25)</f>
        <v>#N/A</v>
      </c>
      <c r="DK9" s="8" t="e">
        <f>AC23/AVERAGE(AC20:AC26)</f>
        <v>#N/A</v>
      </c>
      <c r="DL9" s="8" t="e">
        <f>AC24/AVERAGE(AC21:AC27)</f>
        <v>#N/A</v>
      </c>
      <c r="DM9">
        <v>1</v>
      </c>
      <c r="DP9">
        <v>1994</v>
      </c>
      <c r="DQ9" s="8" t="e">
        <f>AD21/AVERAGE(AD18:AD24)</f>
        <v>#N/A</v>
      </c>
      <c r="DR9" s="8" t="e">
        <f>AD22/AVERAGE(AD19:AD25)</f>
        <v>#N/A</v>
      </c>
      <c r="DS9" s="8" t="e">
        <f>AD23/AVERAGE(AD20:AD26)</f>
        <v>#N/A</v>
      </c>
      <c r="DT9" s="8" t="e">
        <f>AD24/AVERAGE(AD21:AD27)</f>
        <v>#N/A</v>
      </c>
      <c r="DU9">
        <v>1</v>
      </c>
      <c r="DX9">
        <v>1994</v>
      </c>
      <c r="DY9" s="8" t="e">
        <f>AE21/AVERAGE(AE18:AE24)</f>
        <v>#N/A</v>
      </c>
      <c r="DZ9" s="8" t="e">
        <f>AE22/AVERAGE(AE19:AE25)</f>
        <v>#N/A</v>
      </c>
      <c r="EA9" s="8" t="e">
        <f>AE23/AVERAGE(AE20:AE26)</f>
        <v>#N/A</v>
      </c>
      <c r="EB9" s="8" t="e">
        <f>AE24/AVERAGE(AE21:AE27)</f>
        <v>#N/A</v>
      </c>
      <c r="EC9">
        <v>1</v>
      </c>
      <c r="EF9">
        <v>1994</v>
      </c>
      <c r="EG9" s="8" t="e">
        <f>AF21/AVERAGE(AF18:AF24)</f>
        <v>#N/A</v>
      </c>
      <c r="EH9" s="8" t="e">
        <f>AF22/AVERAGE(AF19:AF25)</f>
        <v>#N/A</v>
      </c>
      <c r="EI9" s="8" t="e">
        <f>AF23/AVERAGE(AF20:AF26)</f>
        <v>#N/A</v>
      </c>
      <c r="EJ9" s="8" t="e">
        <f>AF24/AVERAGE(AF21:AF27)</f>
        <v>#N/A</v>
      </c>
      <c r="EK9">
        <v>1</v>
      </c>
      <c r="EN9">
        <v>1994</v>
      </c>
      <c r="EO9" s="8" t="e">
        <f>AG21/AVERAGE(AG18:AG24)</f>
        <v>#N/A</v>
      </c>
      <c r="EP9" s="8" t="e">
        <f>AG22/AVERAGE(AG19:AG25)</f>
        <v>#N/A</v>
      </c>
      <c r="EQ9" s="8" t="e">
        <f>AG23/AVERAGE(AG20:AG26)</f>
        <v>#N/A</v>
      </c>
      <c r="ER9" s="8" t="e">
        <f>AG24/AVERAGE(AG21:AG27)</f>
        <v>#N/A</v>
      </c>
      <c r="ES9">
        <v>1</v>
      </c>
      <c r="EV9">
        <v>1994</v>
      </c>
      <c r="EW9" s="8" t="e">
        <f>AH21/AVERAGE(AH18:AH24)</f>
        <v>#N/A</v>
      </c>
      <c r="EX9" s="8" t="e">
        <f>AH22/AVERAGE(AH19:AH25)</f>
        <v>#N/A</v>
      </c>
      <c r="EY9" s="8" t="e">
        <f>AH23/AVERAGE(AH20:AH26)</f>
        <v>#N/A</v>
      </c>
      <c r="EZ9" s="8" t="e">
        <f>AH24/AVERAGE(AH21:AH27)</f>
        <v>#N/A</v>
      </c>
      <c r="FA9">
        <v>1</v>
      </c>
      <c r="FD9">
        <v>1994</v>
      </c>
      <c r="FE9" s="8" t="e">
        <f>AI21/AVERAGE(AI18:AI24)</f>
        <v>#N/A</v>
      </c>
      <c r="FF9" s="8" t="e">
        <f>AI22/AVERAGE(AI19:AI25)</f>
        <v>#N/A</v>
      </c>
      <c r="FG9" s="8" t="e">
        <f>AI23/AVERAGE(AI20:AI26)</f>
        <v>#N/A</v>
      </c>
      <c r="FH9" s="8" t="e">
        <f>AI24/AVERAGE(AI21:AI27)</f>
        <v>#N/A</v>
      </c>
      <c r="FI9">
        <v>1</v>
      </c>
    </row>
    <row r="10" spans="1:165" x14ac:dyDescent="0.35">
      <c r="A10" t="s">
        <v>175</v>
      </c>
      <c r="B10" t="str">
        <f t="shared" si="16"/>
        <v>1991</v>
      </c>
      <c r="C10" t="str">
        <f t="shared" si="17"/>
        <v>Q2</v>
      </c>
      <c r="D10" s="13">
        <f>HAVERQ!AL16</f>
        <v>107349</v>
      </c>
      <c r="E10" s="13">
        <f>HAVERQ!AM16</f>
        <v>1946</v>
      </c>
      <c r="F10" s="13">
        <f>HAVERQ!AN16</f>
        <v>30346</v>
      </c>
      <c r="G10" s="13">
        <f>HAVERQ!AO16</f>
        <v>38045</v>
      </c>
      <c r="H10" s="13">
        <f>HAVERQ!AP16</f>
        <v>-1569</v>
      </c>
      <c r="I10" s="13">
        <f>HAVERQ!AQ16</f>
        <v>184</v>
      </c>
      <c r="J10" s="13">
        <f>HAVERQ!AR16</f>
        <v>36588</v>
      </c>
      <c r="K10" s="13">
        <f>HAVERQ!AS16</f>
        <v>36523</v>
      </c>
      <c r="L10" s="13" t="e">
        <f>HAVERQ!U16</f>
        <v>#N/A</v>
      </c>
      <c r="M10" s="13" t="e">
        <f>HAVERQ!V16</f>
        <v>#N/A</v>
      </c>
      <c r="N10" s="13" t="e">
        <f>HAVERQ!Y16</f>
        <v>#N/A</v>
      </c>
      <c r="O10" s="13" t="e">
        <f>HAVERQ!Z16</f>
        <v>#N/A</v>
      </c>
      <c r="P10" s="13" t="e">
        <f>HAVERQ!AA16</f>
        <v>#N/A</v>
      </c>
      <c r="Q10" s="13" t="e">
        <f>HAVERQ!AB16</f>
        <v>#N/A</v>
      </c>
      <c r="R10" s="13" t="e">
        <f>HAVERQ!AC16</f>
        <v>#N/A</v>
      </c>
      <c r="U10" s="13">
        <f>HAVERQ!AU16</f>
        <v>105384</v>
      </c>
      <c r="V10" s="13">
        <f>HAVERQ!AV16</f>
        <v>1948</v>
      </c>
      <c r="W10" s="13">
        <f>HAVERQ!AW16</f>
        <v>30634</v>
      </c>
      <c r="X10" s="13">
        <f>HAVERQ!AX16</f>
        <v>35322</v>
      </c>
      <c r="Y10" s="13">
        <f>HAVERQ!AY16</f>
        <v>-808</v>
      </c>
      <c r="Z10" s="13">
        <f>HAVERQ!AZ16</f>
        <v>157</v>
      </c>
      <c r="AA10" s="13">
        <f>HAVERQ!BA16</f>
        <v>36763</v>
      </c>
      <c r="AB10" s="13">
        <f>HAVERQ!BB16</f>
        <v>37302</v>
      </c>
      <c r="AC10" s="13" t="e">
        <f>HAVERQ!W16</f>
        <v>#N/A</v>
      </c>
      <c r="AD10" s="13" t="e">
        <f>HAVERQ!X16</f>
        <v>#N/A</v>
      </c>
      <c r="AE10" s="13" t="e">
        <f>HAVERQ!AD16</f>
        <v>#N/A</v>
      </c>
      <c r="AF10" s="13" t="e">
        <f>HAVERQ!AE16</f>
        <v>#N/A</v>
      </c>
      <c r="AG10" s="13" t="e">
        <f>HAVERQ!AF16</f>
        <v>#N/A</v>
      </c>
      <c r="AH10" s="13" t="e">
        <f>HAVERQ!AG16</f>
        <v>#N/A</v>
      </c>
      <c r="AI10" s="13" t="e">
        <f>HAVERQ!AH16</f>
        <v>#N/A</v>
      </c>
      <c r="AL10">
        <v>1995</v>
      </c>
      <c r="AM10" s="15">
        <f t="shared" ref="AM10:AM40" ca="1" si="22">OFFSET($D$5, (ROW(D6)-1)*4,0)/OFFSET($U$5, (ROW(U6)-1)*4,0)</f>
        <v>1.0344645851632994</v>
      </c>
      <c r="AN10" s="15">
        <f t="shared" ref="AN10:AN40" ca="1" si="23">OFFSET($E$5, (ROW(E6)-1)*4,0)/OFFSET($V$5, (ROW(V6)-1)*4,0)</f>
        <v>1.139384732244588</v>
      </c>
      <c r="AO10" s="15">
        <f t="shared" ca="1" si="21"/>
        <v>0.98260440103166324</v>
      </c>
      <c r="AP10" s="15">
        <f t="shared" ca="1" si="21"/>
        <v>0.94465939442350411</v>
      </c>
      <c r="AQ10" s="15">
        <f t="shared" ca="1" si="21"/>
        <v>0.54610436025732667</v>
      </c>
      <c r="AR10" s="15">
        <f t="shared" ca="1" si="21"/>
        <v>1.0429447852760736</v>
      </c>
      <c r="AS10" s="15">
        <f t="shared" ca="1" si="21"/>
        <v>1.0073188808597369</v>
      </c>
      <c r="AT10" s="15">
        <f t="shared" ca="1" si="21"/>
        <v>1.0283164613570761</v>
      </c>
      <c r="AU10" s="15" t="e">
        <f t="shared" ca="1" si="21"/>
        <v>#N/A</v>
      </c>
      <c r="AV10" s="15" t="e">
        <f t="shared" ca="1" si="21"/>
        <v>#N/A</v>
      </c>
      <c r="AW10" s="15" t="e">
        <f t="shared" ca="1" si="21"/>
        <v>#N/A</v>
      </c>
      <c r="AX10" s="15" t="e">
        <f t="shared" ca="1" si="21"/>
        <v>#N/A</v>
      </c>
      <c r="AY10" s="15" t="e">
        <f t="shared" ca="1" si="21"/>
        <v>#N/A</v>
      </c>
      <c r="AZ10" s="15" t="e">
        <f t="shared" ca="1" si="21"/>
        <v>#N/A</v>
      </c>
      <c r="BA10" s="15" t="e">
        <f t="shared" ca="1" si="21"/>
        <v>#N/A</v>
      </c>
      <c r="BD10">
        <v>1995</v>
      </c>
      <c r="BE10" s="8">
        <f>U25/AVERAGE(U22:U28)</f>
        <v>0.95527810742451635</v>
      </c>
      <c r="BF10" s="8">
        <f>U26/AVERAGE(U23:U29)</f>
        <v>0.97499975770785174</v>
      </c>
      <c r="BG10" s="8">
        <f>U27/AVERAGE(U24:U30)</f>
        <v>1.0219158423125558</v>
      </c>
      <c r="BH10" s="8">
        <f>U28/AVERAGE(U25:U31)</f>
        <v>1.0327294778648801</v>
      </c>
      <c r="BI10">
        <v>1</v>
      </c>
      <c r="BL10">
        <v>1995</v>
      </c>
      <c r="BM10" s="8">
        <f>V25/AVERAGE(V22:V28)</f>
        <v>0.96431748024904507</v>
      </c>
      <c r="BN10" s="8">
        <f>V26/AVERAGE(V23:V29)</f>
        <v>1.0199191102123357</v>
      </c>
      <c r="BO10" s="8">
        <f>V27/AVERAGE(V24:V30)</f>
        <v>1.0088144557073602</v>
      </c>
      <c r="BP10" s="8">
        <f>V28/AVERAGE(V25:V31)</f>
        <v>0.96477132262051923</v>
      </c>
      <c r="BQ10">
        <v>1</v>
      </c>
      <c r="BT10">
        <v>1995</v>
      </c>
      <c r="BU10" s="8">
        <f>W25/AVERAGE(W22:W28)</f>
        <v>1.018516152728318</v>
      </c>
      <c r="BV10" s="8">
        <f>W26/AVERAGE(W23:W29)</f>
        <v>0.98727240517292281</v>
      </c>
      <c r="BW10" s="8">
        <f>W27/AVERAGE(W24:W30)</f>
        <v>0.979304047884752</v>
      </c>
      <c r="BX10" s="8">
        <f>W28/AVERAGE(W25:W31)</f>
        <v>1.0034528727436194</v>
      </c>
      <c r="BY10">
        <v>1</v>
      </c>
      <c r="CB10">
        <v>1995</v>
      </c>
      <c r="CC10" s="8">
        <f>X25/AVERAGE(X22:X28)</f>
        <v>1.0473229358072274</v>
      </c>
      <c r="CD10" s="8">
        <f>X26/AVERAGE(X23:X29)</f>
        <v>0.91387537408302388</v>
      </c>
      <c r="CE10" s="8">
        <f>X27/AVERAGE(X24:X30)</f>
        <v>0.96328296795713919</v>
      </c>
      <c r="CF10" s="8">
        <f>X28/AVERAGE(X25:X31)</f>
        <v>1.0165768680047194</v>
      </c>
      <c r="CG10">
        <v>1</v>
      </c>
      <c r="CJ10">
        <v>1995</v>
      </c>
      <c r="CK10" s="8">
        <f>Y25/AVERAGE(Y22:Y28)</f>
        <v>-1.1463186234343907</v>
      </c>
      <c r="CL10" s="8">
        <f>Y26/AVERAGE(Y23:Y29)</f>
        <v>5.9055613850996851</v>
      </c>
      <c r="CM10" s="8">
        <f>Y27/AVERAGE(Y24:Y30)</f>
        <v>2.4755261869799319</v>
      </c>
      <c r="CN10" s="8">
        <f>Y28/AVERAGE(Y25:Y31)</f>
        <v>2.5682418550044028</v>
      </c>
      <c r="CO10">
        <v>1</v>
      </c>
      <c r="CR10">
        <v>1995</v>
      </c>
      <c r="CS10" s="8">
        <f>AA25/AVERAGE(AA22:AA28)</f>
        <v>1.0256974139686419</v>
      </c>
      <c r="CT10" s="8">
        <f>AA26/AVERAGE(AA23:AA29)</f>
        <v>0.97885520925714764</v>
      </c>
      <c r="CU10" s="8">
        <f>AA27/AVERAGE(AA24:AA30)</f>
        <v>0.99675756974830598</v>
      </c>
      <c r="CV10" s="8">
        <f>AA28/AVERAGE(AA25:AA31)</f>
        <v>1.0124550277072124</v>
      </c>
      <c r="CW10">
        <v>1</v>
      </c>
      <c r="CZ10">
        <v>1995</v>
      </c>
      <c r="DA10" s="8">
        <f>AB25/AVERAGE(AB22:AB28)</f>
        <v>0.95046176436492913</v>
      </c>
      <c r="DB10" s="8">
        <f>AB26/AVERAGE(AB23:AB29)</f>
        <v>1.0299178856984033</v>
      </c>
      <c r="DC10" s="8">
        <f>AB27/AVERAGE(AB24:AB30)</f>
        <v>1.0338957280372458</v>
      </c>
      <c r="DD10" s="8">
        <f>AB28/AVERAGE(AB25:AB31)</f>
        <v>0.9794421057737227</v>
      </c>
      <c r="DE10">
        <v>1</v>
      </c>
      <c r="DH10">
        <v>1995</v>
      </c>
      <c r="DI10" s="8" t="e">
        <f>AC25/AVERAGE(AC22:AC28)</f>
        <v>#N/A</v>
      </c>
      <c r="DJ10" s="8" t="e">
        <f>AC26/AVERAGE(AC23:AC29)</f>
        <v>#N/A</v>
      </c>
      <c r="DK10" s="8" t="e">
        <f>AC27/AVERAGE(AC24:AC30)</f>
        <v>#N/A</v>
      </c>
      <c r="DL10" s="8" t="e">
        <f>AC28/AVERAGE(AC25:AC31)</f>
        <v>#N/A</v>
      </c>
      <c r="DM10">
        <v>1</v>
      </c>
      <c r="DP10">
        <v>1995</v>
      </c>
      <c r="DQ10" s="8" t="e">
        <f>AD25/AVERAGE(AD22:AD28)</f>
        <v>#N/A</v>
      </c>
      <c r="DR10" s="8" t="e">
        <f>AD26/AVERAGE(AD23:AD29)</f>
        <v>#N/A</v>
      </c>
      <c r="DS10" s="8" t="e">
        <f>AD27/AVERAGE(AD24:AD30)</f>
        <v>#N/A</v>
      </c>
      <c r="DT10" s="8" t="e">
        <f>AD28/AVERAGE(AD25:AD31)</f>
        <v>#N/A</v>
      </c>
      <c r="DU10">
        <v>1</v>
      </c>
      <c r="DX10">
        <v>1995</v>
      </c>
      <c r="DY10" s="8" t="e">
        <f>AE25/AVERAGE(AE22:AE28)</f>
        <v>#N/A</v>
      </c>
      <c r="DZ10" s="8" t="e">
        <f>AE26/AVERAGE(AE23:AE29)</f>
        <v>#N/A</v>
      </c>
      <c r="EA10" s="8" t="e">
        <f>AE27/AVERAGE(AE24:AE30)</f>
        <v>#N/A</v>
      </c>
      <c r="EB10" s="8" t="e">
        <f>AE28/AVERAGE(AE25:AE31)</f>
        <v>#N/A</v>
      </c>
      <c r="EC10">
        <v>1</v>
      </c>
      <c r="EF10">
        <v>1995</v>
      </c>
      <c r="EG10" s="8" t="e">
        <f>AF25/AVERAGE(AF22:AF28)</f>
        <v>#N/A</v>
      </c>
      <c r="EH10" s="8" t="e">
        <f>AF26/AVERAGE(AF23:AF29)</f>
        <v>#N/A</v>
      </c>
      <c r="EI10" s="8" t="e">
        <f>AF27/AVERAGE(AF24:AF30)</f>
        <v>#N/A</v>
      </c>
      <c r="EJ10" s="8" t="e">
        <f>AF28/AVERAGE(AF25:AF31)</f>
        <v>#N/A</v>
      </c>
      <c r="EK10">
        <v>1</v>
      </c>
      <c r="EN10">
        <v>1995</v>
      </c>
      <c r="EO10" s="8" t="e">
        <f>AG25/AVERAGE(AG22:AG28)</f>
        <v>#N/A</v>
      </c>
      <c r="EP10" s="8" t="e">
        <f>AG26/AVERAGE(AG23:AG29)</f>
        <v>#N/A</v>
      </c>
      <c r="EQ10" s="8" t="e">
        <f>AG27/AVERAGE(AG24:AG30)</f>
        <v>#N/A</v>
      </c>
      <c r="ER10" s="8" t="e">
        <f>AG28/AVERAGE(AG25:AG31)</f>
        <v>#N/A</v>
      </c>
      <c r="ES10">
        <v>1</v>
      </c>
      <c r="EV10">
        <v>1995</v>
      </c>
      <c r="EW10" s="8" t="e">
        <f>AH25/AVERAGE(AH22:AH28)</f>
        <v>#N/A</v>
      </c>
      <c r="EX10" s="8" t="e">
        <f>AH26/AVERAGE(AH23:AH29)</f>
        <v>#N/A</v>
      </c>
      <c r="EY10" s="8" t="e">
        <f>AH27/AVERAGE(AH24:AH30)</f>
        <v>#N/A</v>
      </c>
      <c r="EZ10" s="8" t="e">
        <f>AH28/AVERAGE(AH25:AH31)</f>
        <v>#N/A</v>
      </c>
      <c r="FA10">
        <v>1</v>
      </c>
      <c r="FD10">
        <v>1995</v>
      </c>
      <c r="FE10" s="8" t="e">
        <f>AI25/AVERAGE(AI22:AI28)</f>
        <v>#N/A</v>
      </c>
      <c r="FF10" s="8" t="e">
        <f>AI26/AVERAGE(AI23:AI29)</f>
        <v>#N/A</v>
      </c>
      <c r="FG10" s="8" t="e">
        <f>AI27/AVERAGE(AI24:AI30)</f>
        <v>#N/A</v>
      </c>
      <c r="FH10" s="8" t="e">
        <f>AI28/AVERAGE(AI25:AI31)</f>
        <v>#N/A</v>
      </c>
      <c r="FI10">
        <v>1</v>
      </c>
    </row>
    <row r="11" spans="1:165" x14ac:dyDescent="0.35">
      <c r="A11" t="s">
        <v>176</v>
      </c>
      <c r="B11" t="str">
        <f t="shared" si="16"/>
        <v>1991</v>
      </c>
      <c r="C11" t="str">
        <f t="shared" si="17"/>
        <v>Q3</v>
      </c>
      <c r="D11" s="13">
        <f>HAVERQ!AL17</f>
        <v>108833</v>
      </c>
      <c r="E11" s="13">
        <f>HAVERQ!AM17</f>
        <v>1924</v>
      </c>
      <c r="F11" s="13">
        <f>HAVERQ!AN17</f>
        <v>31240</v>
      </c>
      <c r="G11" s="13">
        <f>HAVERQ!AO17</f>
        <v>37007</v>
      </c>
      <c r="H11" s="13">
        <f>HAVERQ!AP17</f>
        <v>-1401</v>
      </c>
      <c r="I11" s="13">
        <f>HAVERQ!AQ17</f>
        <v>163</v>
      </c>
      <c r="J11" s="13">
        <f>HAVERQ!AR17</f>
        <v>37516</v>
      </c>
      <c r="K11" s="13">
        <f>HAVERQ!AS17</f>
        <v>37464</v>
      </c>
      <c r="L11" s="13" t="e">
        <f>HAVERQ!U17</f>
        <v>#N/A</v>
      </c>
      <c r="M11" s="13" t="e">
        <f>HAVERQ!V17</f>
        <v>#N/A</v>
      </c>
      <c r="N11" s="13" t="e">
        <f>HAVERQ!Y17</f>
        <v>#N/A</v>
      </c>
      <c r="O11" s="13" t="e">
        <f>HAVERQ!Z17</f>
        <v>#N/A</v>
      </c>
      <c r="P11" s="13" t="e">
        <f>HAVERQ!AA17</f>
        <v>#N/A</v>
      </c>
      <c r="Q11" s="13" t="e">
        <f>HAVERQ!AB17</f>
        <v>#N/A</v>
      </c>
      <c r="R11" s="13" t="e">
        <f>HAVERQ!AC17</f>
        <v>#N/A</v>
      </c>
      <c r="U11" s="13">
        <f>HAVERQ!AU17</f>
        <v>110810</v>
      </c>
      <c r="V11" s="13">
        <f>HAVERQ!AV17</f>
        <v>1951</v>
      </c>
      <c r="W11" s="13">
        <f>HAVERQ!AW17</f>
        <v>31110</v>
      </c>
      <c r="X11" s="13">
        <f>HAVERQ!AX17</f>
        <v>36897</v>
      </c>
      <c r="Y11" s="13">
        <f>HAVERQ!AY17</f>
        <v>-339</v>
      </c>
      <c r="Z11" s="13">
        <f>HAVERQ!AZ17</f>
        <v>163</v>
      </c>
      <c r="AA11" s="13">
        <f>HAVERQ!BA17</f>
        <v>37724</v>
      </c>
      <c r="AB11" s="13">
        <f>HAVERQ!BB17</f>
        <v>38514</v>
      </c>
      <c r="AC11" s="13" t="e">
        <f>HAVERQ!W17</f>
        <v>#N/A</v>
      </c>
      <c r="AD11" s="13" t="e">
        <f>HAVERQ!X17</f>
        <v>#N/A</v>
      </c>
      <c r="AE11" s="13" t="e">
        <f>HAVERQ!AD17</f>
        <v>#N/A</v>
      </c>
      <c r="AF11" s="13" t="e">
        <f>HAVERQ!AE17</f>
        <v>#N/A</v>
      </c>
      <c r="AG11" s="13" t="e">
        <f>HAVERQ!AF17</f>
        <v>#N/A</v>
      </c>
      <c r="AH11" s="13" t="e">
        <f>HAVERQ!AG17</f>
        <v>#N/A</v>
      </c>
      <c r="AI11" s="13" t="e">
        <f>HAVERQ!AH17</f>
        <v>#N/A</v>
      </c>
      <c r="AL11">
        <v>1996</v>
      </c>
      <c r="AM11" s="15">
        <f t="shared" ca="1" si="22"/>
        <v>1.0355176170365175</v>
      </c>
      <c r="AN11" s="15">
        <f t="shared" ca="1" si="23"/>
        <v>0.99536321483771251</v>
      </c>
      <c r="AO11" s="15">
        <f t="shared" ca="1" si="21"/>
        <v>0.99003045526719946</v>
      </c>
      <c r="AP11" s="15">
        <f t="shared" ca="1" si="21"/>
        <v>0.94481058058731227</v>
      </c>
      <c r="AQ11" s="15">
        <f t="shared" ca="1" si="21"/>
        <v>7.019328585961343E-2</v>
      </c>
      <c r="AR11" s="15">
        <f t="shared" ca="1" si="21"/>
        <v>1.0227272727272727</v>
      </c>
      <c r="AS11" s="15">
        <f t="shared" ca="1" si="21"/>
        <v>1.0139086646987323</v>
      </c>
      <c r="AT11" s="15">
        <f t="shared" ca="1" si="21"/>
        <v>1.0264613649977097</v>
      </c>
      <c r="AU11" s="15" t="e">
        <f t="shared" ca="1" si="21"/>
        <v>#N/A</v>
      </c>
      <c r="AV11" s="15" t="e">
        <f t="shared" ca="1" si="21"/>
        <v>#N/A</v>
      </c>
      <c r="AW11" s="15" t="e">
        <f t="shared" ca="1" si="21"/>
        <v>#N/A</v>
      </c>
      <c r="AX11" s="15" t="e">
        <f t="shared" ca="1" si="21"/>
        <v>#N/A</v>
      </c>
      <c r="AY11" s="15" t="e">
        <f t="shared" ca="1" si="21"/>
        <v>#N/A</v>
      </c>
      <c r="AZ11" s="15" t="e">
        <f t="shared" ca="1" si="21"/>
        <v>#N/A</v>
      </c>
      <c r="BA11" s="15" t="e">
        <f t="shared" ca="1" si="21"/>
        <v>#N/A</v>
      </c>
      <c r="BD11">
        <v>1996</v>
      </c>
      <c r="BE11" s="8">
        <f>U29/AVERAGE(U26:U32)</f>
        <v>0.9600752401400825</v>
      </c>
      <c r="BF11" s="8">
        <f>U30/AVERAGE(U27:U33)</f>
        <v>0.98083028772207093</v>
      </c>
      <c r="BG11" s="8">
        <f>U31/AVERAGE(U28:U34)</f>
        <v>1.0203004296539799</v>
      </c>
      <c r="BH11" s="8">
        <f>U32/AVERAGE(U29:U35)</f>
        <v>1.0337747028415427</v>
      </c>
      <c r="BI11">
        <v>1</v>
      </c>
      <c r="BL11">
        <v>1996</v>
      </c>
      <c r="BM11" s="8">
        <f>V29/AVERAGE(V26:V32)</f>
        <v>1.0415325177076626</v>
      </c>
      <c r="BN11" s="8">
        <f>V30/AVERAGE(V27:V33)</f>
        <v>0.9977424638130229</v>
      </c>
      <c r="BO11" s="8">
        <f>V31/AVERAGE(V28:V34)</f>
        <v>0.96220136518771338</v>
      </c>
      <c r="BP11" s="8">
        <f>V32/AVERAGE(V29:V35)</f>
        <v>0.95805169800499779</v>
      </c>
      <c r="BQ11">
        <v>1</v>
      </c>
      <c r="BT11">
        <v>1996</v>
      </c>
      <c r="BU11" s="8">
        <f>W29/AVERAGE(W26:W32)</f>
        <v>1.0355704284471006</v>
      </c>
      <c r="BV11" s="8">
        <f>W30/AVERAGE(W27:W33)</f>
        <v>0.99591289500723834</v>
      </c>
      <c r="BW11" s="8">
        <f>W31/AVERAGE(W28:W34)</f>
        <v>0.98891496290455272</v>
      </c>
      <c r="BX11" s="8">
        <f>W32/AVERAGE(W29:W35)</f>
        <v>1.0069769989460842</v>
      </c>
      <c r="BY11">
        <v>1</v>
      </c>
      <c r="CB11">
        <v>1996</v>
      </c>
      <c r="CC11" s="8">
        <f>X29/AVERAGE(X26:X32)</f>
        <v>1.0807733307491036</v>
      </c>
      <c r="CD11" s="8">
        <f>X30/AVERAGE(X27:X33)</f>
        <v>0.99320781575691841</v>
      </c>
      <c r="CE11" s="8">
        <f>X31/AVERAGE(X28:X34)</f>
        <v>1.0069234595640861</v>
      </c>
      <c r="CF11" s="8">
        <f>X32/AVERAGE(X29:X35)</f>
        <v>1.0253778292850217</v>
      </c>
      <c r="CG11">
        <v>1</v>
      </c>
      <c r="CJ11">
        <v>1996</v>
      </c>
      <c r="CK11" s="8">
        <f>Y29/AVERAGE(Y26:Y32)</f>
        <v>-1.7914605571465765</v>
      </c>
      <c r="CL11" s="8">
        <f>Y30/AVERAGE(Y27:Y33)</f>
        <v>1.2313868613138685</v>
      </c>
      <c r="CM11" s="8">
        <f>Y31/AVERAGE(Y28:Y34)</f>
        <v>-9.1683621566632761E-2</v>
      </c>
      <c r="CN11" s="8">
        <f>Y32/AVERAGE(Y29:Y35)</f>
        <v>1.957604045118631</v>
      </c>
      <c r="CO11">
        <v>1</v>
      </c>
      <c r="CR11">
        <v>1996</v>
      </c>
      <c r="CS11" s="8">
        <f>AA29/AVERAGE(AA26:AA32)</f>
        <v>0.99367506704527531</v>
      </c>
      <c r="CT11" s="8">
        <f>AA30/AVERAGE(AA27:AA33)</f>
        <v>1.0080839900108969</v>
      </c>
      <c r="CU11" s="8">
        <f>AA31/AVERAGE(AA28:AA34)</f>
        <v>1.0147982030582474</v>
      </c>
      <c r="CV11" s="8">
        <f>AA32/AVERAGE(AA29:AA35)</f>
        <v>1.0357077731545181</v>
      </c>
      <c r="CW11">
        <v>1</v>
      </c>
      <c r="CZ11">
        <v>1996</v>
      </c>
      <c r="DA11" s="8">
        <f>AB29/AVERAGE(AB26:AB32)</f>
        <v>0.99011711936207325</v>
      </c>
      <c r="DB11" s="8">
        <f>AB30/AVERAGE(AB27:AB33)</f>
        <v>1.0447473806290455</v>
      </c>
      <c r="DC11" s="8">
        <f>AB31/AVERAGE(AB28:AB34)</f>
        <v>1.0256932427040932</v>
      </c>
      <c r="DD11" s="8">
        <f>AB32/AVERAGE(AB29:AB35)</f>
        <v>0.99059958921360658</v>
      </c>
      <c r="DE11">
        <v>1</v>
      </c>
      <c r="DH11">
        <v>1996</v>
      </c>
      <c r="DI11" s="8" t="e">
        <f>AC29/AVERAGE(AC26:AC32)</f>
        <v>#N/A</v>
      </c>
      <c r="DJ11" s="8" t="e">
        <f>AC30/AVERAGE(AC27:AC33)</f>
        <v>#N/A</v>
      </c>
      <c r="DK11" s="8" t="e">
        <f>AC31/AVERAGE(AC28:AC34)</f>
        <v>#N/A</v>
      </c>
      <c r="DL11" s="8" t="e">
        <f>AC32/AVERAGE(AC29:AC35)</f>
        <v>#N/A</v>
      </c>
      <c r="DM11">
        <v>1</v>
      </c>
      <c r="DP11">
        <v>1996</v>
      </c>
      <c r="DQ11" s="8" t="e">
        <f>AD29/AVERAGE(AD26:AD32)</f>
        <v>#N/A</v>
      </c>
      <c r="DR11" s="8" t="e">
        <f>AD30/AVERAGE(AD27:AD33)</f>
        <v>#N/A</v>
      </c>
      <c r="DS11" s="8" t="e">
        <f>AD31/AVERAGE(AD28:AD34)</f>
        <v>#N/A</v>
      </c>
      <c r="DT11" s="8" t="e">
        <f>AD32/AVERAGE(AD29:AD35)</f>
        <v>#N/A</v>
      </c>
      <c r="DU11">
        <v>1</v>
      </c>
      <c r="DX11">
        <v>1996</v>
      </c>
      <c r="DY11" s="8" t="e">
        <f>AE29/AVERAGE(AE26:AE32)</f>
        <v>#N/A</v>
      </c>
      <c r="DZ11" s="8" t="e">
        <f>AE30/AVERAGE(AE27:AE33)</f>
        <v>#N/A</v>
      </c>
      <c r="EA11" s="8" t="e">
        <f>AE31/AVERAGE(AE28:AE34)</f>
        <v>#N/A</v>
      </c>
      <c r="EB11" s="8" t="e">
        <f>AE32/AVERAGE(AE29:AE35)</f>
        <v>#N/A</v>
      </c>
      <c r="EC11">
        <v>1</v>
      </c>
      <c r="EF11">
        <v>1996</v>
      </c>
      <c r="EG11" s="8" t="e">
        <f>AF29/AVERAGE(AF26:AF32)</f>
        <v>#N/A</v>
      </c>
      <c r="EH11" s="8" t="e">
        <f>AF30/AVERAGE(AF27:AF33)</f>
        <v>#N/A</v>
      </c>
      <c r="EI11" s="8" t="e">
        <f>AF31/AVERAGE(AF28:AF34)</f>
        <v>#N/A</v>
      </c>
      <c r="EJ11" s="8" t="e">
        <f>AF32/AVERAGE(AF29:AF35)</f>
        <v>#N/A</v>
      </c>
      <c r="EK11">
        <v>1</v>
      </c>
      <c r="EN11">
        <v>1996</v>
      </c>
      <c r="EO11" s="8" t="e">
        <f>AG29/AVERAGE(AG26:AG32)</f>
        <v>#N/A</v>
      </c>
      <c r="EP11" s="8" t="e">
        <f>AG30/AVERAGE(AG27:AG33)</f>
        <v>#N/A</v>
      </c>
      <c r="EQ11" s="8" t="e">
        <f>AG31/AVERAGE(AG28:AG34)</f>
        <v>#N/A</v>
      </c>
      <c r="ER11" s="8" t="e">
        <f>AG32/AVERAGE(AG29:AG35)</f>
        <v>#N/A</v>
      </c>
      <c r="ES11">
        <v>1</v>
      </c>
      <c r="EV11">
        <v>1996</v>
      </c>
      <c r="EW11" s="8" t="e">
        <f>AH29/AVERAGE(AH26:AH32)</f>
        <v>#N/A</v>
      </c>
      <c r="EX11" s="8" t="e">
        <f>AH30/AVERAGE(AH27:AH33)</f>
        <v>#N/A</v>
      </c>
      <c r="EY11" s="8" t="e">
        <f>AH31/AVERAGE(AH28:AH34)</f>
        <v>#N/A</v>
      </c>
      <c r="EZ11" s="8" t="e">
        <f>AH32/AVERAGE(AH29:AH35)</f>
        <v>#N/A</v>
      </c>
      <c r="FA11">
        <v>1</v>
      </c>
      <c r="FD11">
        <v>1996</v>
      </c>
      <c r="FE11" s="8" t="e">
        <f>AI29/AVERAGE(AI26:AI32)</f>
        <v>#N/A</v>
      </c>
      <c r="FF11" s="8" t="e">
        <f>AI30/AVERAGE(AI27:AI33)</f>
        <v>#N/A</v>
      </c>
      <c r="FG11" s="8" t="e">
        <f>AI31/AVERAGE(AI28:AI34)</f>
        <v>#N/A</v>
      </c>
      <c r="FH11" s="8" t="e">
        <f>AI32/AVERAGE(AI29:AI35)</f>
        <v>#N/A</v>
      </c>
      <c r="FI11">
        <v>1</v>
      </c>
    </row>
    <row r="12" spans="1:165" x14ac:dyDescent="0.35">
      <c r="A12" t="s">
        <v>177</v>
      </c>
      <c r="B12" t="str">
        <f t="shared" si="16"/>
        <v>1991</v>
      </c>
      <c r="C12" t="str">
        <f t="shared" si="17"/>
        <v>Q4</v>
      </c>
      <c r="D12" s="13">
        <f>HAVERQ!AL18</f>
        <v>110093</v>
      </c>
      <c r="E12" s="13">
        <f>HAVERQ!AM18</f>
        <v>2044</v>
      </c>
      <c r="F12" s="13">
        <f>HAVERQ!AN18</f>
        <v>31673</v>
      </c>
      <c r="G12" s="13">
        <f>HAVERQ!AO18</f>
        <v>37414</v>
      </c>
      <c r="H12" s="13">
        <f>HAVERQ!AP18</f>
        <v>-1105</v>
      </c>
      <c r="I12" s="13">
        <f>HAVERQ!AQ18</f>
        <v>169</v>
      </c>
      <c r="J12" s="13">
        <f>HAVERQ!AR18</f>
        <v>37339</v>
      </c>
      <c r="K12" s="13">
        <f>HAVERQ!AS18</f>
        <v>37484</v>
      </c>
      <c r="L12" s="13" t="e">
        <f>HAVERQ!U18</f>
        <v>#N/A</v>
      </c>
      <c r="M12" s="13" t="e">
        <f>HAVERQ!V18</f>
        <v>#N/A</v>
      </c>
      <c r="N12" s="13" t="e">
        <f>HAVERQ!Y18</f>
        <v>#N/A</v>
      </c>
      <c r="O12" s="13" t="e">
        <f>HAVERQ!Z18</f>
        <v>#N/A</v>
      </c>
      <c r="P12" s="13" t="e">
        <f>HAVERQ!AA18</f>
        <v>#N/A</v>
      </c>
      <c r="Q12" s="13" t="e">
        <f>HAVERQ!AB18</f>
        <v>#N/A</v>
      </c>
      <c r="R12" s="13" t="e">
        <f>HAVERQ!AC18</f>
        <v>#N/A</v>
      </c>
      <c r="U12" s="13">
        <f>HAVERQ!AU18</f>
        <v>114274</v>
      </c>
      <c r="V12" s="13">
        <f>HAVERQ!AV18</f>
        <v>2014</v>
      </c>
      <c r="W12" s="13">
        <f>HAVERQ!AW18</f>
        <v>31370</v>
      </c>
      <c r="X12" s="13">
        <f>HAVERQ!AX18</f>
        <v>38367</v>
      </c>
      <c r="Y12" s="13">
        <f>HAVERQ!AY18</f>
        <v>-2323</v>
      </c>
      <c r="Z12" s="13">
        <f>HAVERQ!AZ18</f>
        <v>169</v>
      </c>
      <c r="AA12" s="13">
        <f>HAVERQ!BA18</f>
        <v>38813</v>
      </c>
      <c r="AB12" s="13">
        <f>HAVERQ!BB18</f>
        <v>36952</v>
      </c>
      <c r="AC12" s="13" t="e">
        <f>HAVERQ!W18</f>
        <v>#N/A</v>
      </c>
      <c r="AD12" s="13" t="e">
        <f>HAVERQ!X18</f>
        <v>#N/A</v>
      </c>
      <c r="AE12" s="13" t="e">
        <f>HAVERQ!AD18</f>
        <v>#N/A</v>
      </c>
      <c r="AF12" s="13" t="e">
        <f>HAVERQ!AE18</f>
        <v>#N/A</v>
      </c>
      <c r="AG12" s="13" t="e">
        <f>HAVERQ!AF18</f>
        <v>#N/A</v>
      </c>
      <c r="AH12" s="13" t="e">
        <f>HAVERQ!AG18</f>
        <v>#N/A</v>
      </c>
      <c r="AI12" s="13" t="e">
        <f>HAVERQ!AH18</f>
        <v>#N/A</v>
      </c>
      <c r="AL12">
        <v>1997</v>
      </c>
      <c r="AM12" s="15">
        <f t="shared" ca="1" si="22"/>
        <v>1.0268246215663861</v>
      </c>
      <c r="AN12" s="15">
        <f t="shared" ca="1" si="23"/>
        <v>1</v>
      </c>
      <c r="AO12" s="15">
        <f t="shared" ca="1" si="21"/>
        <v>1.0125714888121655</v>
      </c>
      <c r="AP12" s="15">
        <f t="shared" ca="1" si="21"/>
        <v>0.94851882450135727</v>
      </c>
      <c r="AQ12" s="15">
        <f t="shared" ca="1" si="21"/>
        <v>0.36094674556213019</v>
      </c>
      <c r="AR12" s="15">
        <f t="shared" ca="1" si="21"/>
        <v>1.1673469387755102</v>
      </c>
      <c r="AS12" s="15">
        <f t="shared" ca="1" si="21"/>
        <v>1.0294444818984696</v>
      </c>
      <c r="AT12" s="15">
        <f t="shared" ca="1" si="21"/>
        <v>1.0384628937909648</v>
      </c>
      <c r="AU12" s="15">
        <f t="shared" ca="1" si="21"/>
        <v>1.0171018311866411</v>
      </c>
      <c r="AV12" s="15">
        <f t="shared" ca="1" si="21"/>
        <v>0.67218651269201435</v>
      </c>
      <c r="AW12" s="15">
        <f t="shared" ca="1" si="21"/>
        <v>0.91182519280205654</v>
      </c>
      <c r="AX12" s="15">
        <f t="shared" ca="1" si="21"/>
        <v>0.93898024614748166</v>
      </c>
      <c r="AY12" s="15">
        <f t="shared" ca="1" si="21"/>
        <v>0.98638794360719495</v>
      </c>
      <c r="AZ12" s="15">
        <f t="shared" ca="1" si="21"/>
        <v>0.95648926971150072</v>
      </c>
      <c r="BA12" s="15">
        <f t="shared" ca="1" si="21"/>
        <v>1.0027084701247537</v>
      </c>
      <c r="BD12">
        <v>1997</v>
      </c>
      <c r="BE12" s="8">
        <f>U33/AVERAGE(U30:U36)</f>
        <v>0.9655894413635786</v>
      </c>
      <c r="BF12" s="8">
        <f>U34/AVERAGE(U31:U37)</f>
        <v>0.99362890293368555</v>
      </c>
      <c r="BG12" s="8">
        <f>U35/AVERAGE(U32:U38)</f>
        <v>1.0205597345277222</v>
      </c>
      <c r="BH12" s="8">
        <f>U36/AVERAGE(U33:U39)</f>
        <v>1.0236728771834855</v>
      </c>
      <c r="BI12">
        <v>1</v>
      </c>
      <c r="BL12">
        <v>1997</v>
      </c>
      <c r="BM12" s="8">
        <f>V33/AVERAGE(V30:V36)</f>
        <v>1.0406837743066624</v>
      </c>
      <c r="BN12" s="8">
        <f>V34/AVERAGE(V31:V37)</f>
        <v>1.0278412391093901</v>
      </c>
      <c r="BO12" s="8">
        <f>V35/AVERAGE(V32:V38)</f>
        <v>1.0201852828199141</v>
      </c>
      <c r="BP12" s="8">
        <f>V36/AVERAGE(V33:V39)</f>
        <v>1.0088977130671373</v>
      </c>
      <c r="BQ12">
        <v>1</v>
      </c>
      <c r="BT12">
        <v>1997</v>
      </c>
      <c r="BU12" s="8">
        <f>W33/AVERAGE(W30:W36)</f>
        <v>1.000874254340183</v>
      </c>
      <c r="BV12" s="8">
        <f>W34/AVERAGE(W31:W37)</f>
        <v>0.99143104216346534</v>
      </c>
      <c r="BW12" s="8">
        <f>W35/AVERAGE(W32:W38)</f>
        <v>0.98478544623919073</v>
      </c>
      <c r="BX12" s="8">
        <f>W36/AVERAGE(W33:W39)</f>
        <v>1.0060048347750579</v>
      </c>
      <c r="BY12">
        <v>1</v>
      </c>
      <c r="CB12">
        <v>1997</v>
      </c>
      <c r="CC12" s="8">
        <f>X33/AVERAGE(X30:X36)</f>
        <v>1.0021593965855176</v>
      </c>
      <c r="CD12" s="8">
        <f>X34/AVERAGE(X31:X37)</f>
        <v>0.91515159572700133</v>
      </c>
      <c r="CE12" s="8">
        <f>X35/AVERAGE(X32:X38)</f>
        <v>0.97372000291926253</v>
      </c>
      <c r="CF12" s="8">
        <f>X36/AVERAGE(X33:X39)</f>
        <v>1.0335911404485445</v>
      </c>
      <c r="CG12">
        <v>1</v>
      </c>
      <c r="CJ12">
        <v>1997</v>
      </c>
      <c r="CK12" s="8">
        <f>Y33/AVERAGE(Y30:Y36)</f>
        <v>0.72957138452050574</v>
      </c>
      <c r="CL12" s="8">
        <f>Y34/AVERAGE(Y31:Y37)</f>
        <v>2.7224987303199595</v>
      </c>
      <c r="CM12" s="8">
        <f>Y35/AVERAGE(Y32:Y38)</f>
        <v>2.0591535748637386</v>
      </c>
      <c r="CN12" s="8">
        <f>Y36/AVERAGE(Y33:Y39)</f>
        <v>-1.6701684648873747</v>
      </c>
      <c r="CO12">
        <v>1</v>
      </c>
      <c r="CR12">
        <v>1997</v>
      </c>
      <c r="CS12" s="8">
        <f>AA33/AVERAGE(AA30:AA36)</f>
        <v>0.97048067913365132</v>
      </c>
      <c r="CT12" s="8">
        <f>AA34/AVERAGE(AA31:AA37)</f>
        <v>0.99724926682111836</v>
      </c>
      <c r="CU12" s="8">
        <f>AA35/AVERAGE(AA32:AA38)</f>
        <v>1.0100276278516722</v>
      </c>
      <c r="CV12" s="8">
        <f>AA36/AVERAGE(AA33:AA39)</f>
        <v>1.0363904764801251</v>
      </c>
      <c r="CW12">
        <v>1</v>
      </c>
      <c r="CZ12">
        <v>1997</v>
      </c>
      <c r="DA12" s="8">
        <f>AB33/AVERAGE(AB30:AB36)</f>
        <v>0.94747410670208931</v>
      </c>
      <c r="DB12" s="8">
        <f>AB34/AVERAGE(AB31:AB37)</f>
        <v>1.0251754861222162</v>
      </c>
      <c r="DC12" s="8">
        <f>AB35/AVERAGE(AB32:AB38)</f>
        <v>1.0213092724131312</v>
      </c>
      <c r="DD12" s="8">
        <f>AB36/AVERAGE(AB33:AB39)</f>
        <v>0.99580794734538436</v>
      </c>
      <c r="DE12">
        <v>1</v>
      </c>
      <c r="DH12">
        <v>1997</v>
      </c>
      <c r="DI12" s="8" t="e">
        <f>AC33/AVERAGE(AC30:AC36)</f>
        <v>#N/A</v>
      </c>
      <c r="DJ12" s="8" t="e">
        <f>AC34/AVERAGE(AC31:AC37)</f>
        <v>#N/A</v>
      </c>
      <c r="DK12" s="8" t="e">
        <f>AC35/AVERAGE(AC32:AC38)</f>
        <v>#N/A</v>
      </c>
      <c r="DL12" s="8">
        <f>AC36/AVERAGE(AC33:AC39)</f>
        <v>1.0644382734127726</v>
      </c>
      <c r="DM12">
        <v>1</v>
      </c>
      <c r="DP12">
        <v>1997</v>
      </c>
      <c r="DQ12" s="8" t="e">
        <f>AD33/AVERAGE(AD30:AD36)</f>
        <v>#N/A</v>
      </c>
      <c r="DR12" s="8" t="e">
        <f>AD34/AVERAGE(AD31:AD37)</f>
        <v>#N/A</v>
      </c>
      <c r="DS12" s="8" t="e">
        <f>AD35/AVERAGE(AD32:AD38)</f>
        <v>#N/A</v>
      </c>
      <c r="DT12" s="8">
        <f>AD36/AVERAGE(AD33:AD39)</f>
        <v>0.92802879605948663</v>
      </c>
      <c r="DU12">
        <v>1</v>
      </c>
      <c r="DX12">
        <v>1997</v>
      </c>
      <c r="DY12" s="8" t="e">
        <f>AE33/AVERAGE(AE30:AE36)</f>
        <v>#N/A</v>
      </c>
      <c r="DZ12" s="8" t="e">
        <f>AE34/AVERAGE(AE31:AE37)</f>
        <v>#N/A</v>
      </c>
      <c r="EA12" s="8" t="e">
        <f>AE35/AVERAGE(AE32:AE38)</f>
        <v>#N/A</v>
      </c>
      <c r="EB12" s="8">
        <f>AE36/AVERAGE(AE33:AE39)</f>
        <v>0.82560005706337602</v>
      </c>
      <c r="EC12">
        <v>1</v>
      </c>
      <c r="EF12">
        <v>1997</v>
      </c>
      <c r="EG12" s="8" t="e">
        <f>AF33/AVERAGE(AF30:AF36)</f>
        <v>#N/A</v>
      </c>
      <c r="EH12" s="8" t="e">
        <f>AF34/AVERAGE(AF31:AF37)</f>
        <v>#N/A</v>
      </c>
      <c r="EI12" s="8" t="e">
        <f>AF35/AVERAGE(AF32:AF38)</f>
        <v>#N/A</v>
      </c>
      <c r="EJ12" s="8">
        <f>AF36/AVERAGE(AF33:AF39)</f>
        <v>1.1390529553626874</v>
      </c>
      <c r="EK12">
        <v>1</v>
      </c>
      <c r="EN12">
        <v>1997</v>
      </c>
      <c r="EO12" s="8" t="e">
        <f>AG33/AVERAGE(AG30:AG36)</f>
        <v>#N/A</v>
      </c>
      <c r="EP12" s="8" t="e">
        <f>AG34/AVERAGE(AG31:AG37)</f>
        <v>#N/A</v>
      </c>
      <c r="EQ12" s="8" t="e">
        <f>AG35/AVERAGE(AG32:AG38)</f>
        <v>#N/A</v>
      </c>
      <c r="ER12" s="8">
        <f>AG36/AVERAGE(AG33:AG39)</f>
        <v>1.0425490030653279</v>
      </c>
      <c r="ES12">
        <v>1</v>
      </c>
      <c r="EV12">
        <v>1997</v>
      </c>
      <c r="EW12" s="8" t="e">
        <f>AH33/AVERAGE(AH30:AH36)</f>
        <v>#N/A</v>
      </c>
      <c r="EX12" s="8" t="e">
        <f>AH34/AVERAGE(AH31:AH37)</f>
        <v>#N/A</v>
      </c>
      <c r="EY12" s="8" t="e">
        <f>AH35/AVERAGE(AH32:AH38)</f>
        <v>#N/A</v>
      </c>
      <c r="EZ12" s="8">
        <f>AH36/AVERAGE(AH33:AH39)</f>
        <v>1.0503883903080189</v>
      </c>
      <c r="FA12">
        <v>1</v>
      </c>
      <c r="FD12">
        <v>1997</v>
      </c>
      <c r="FE12" s="8" t="e">
        <f>AI33/AVERAGE(AI30:AI36)</f>
        <v>#N/A</v>
      </c>
      <c r="FF12" s="8" t="e">
        <f>AI34/AVERAGE(AI31:AI37)</f>
        <v>#N/A</v>
      </c>
      <c r="FG12" s="8" t="e">
        <f>AI35/AVERAGE(AI32:AI38)</f>
        <v>#N/A</v>
      </c>
      <c r="FH12" s="8">
        <f>AI36/AVERAGE(AI33:AI39)</f>
        <v>1.0082148840728531</v>
      </c>
      <c r="FI12">
        <v>1</v>
      </c>
    </row>
    <row r="13" spans="1:165" x14ac:dyDescent="0.35">
      <c r="A13" t="s">
        <v>178</v>
      </c>
      <c r="B13" t="str">
        <f t="shared" si="16"/>
        <v>1992</v>
      </c>
      <c r="C13" t="str">
        <f t="shared" si="17"/>
        <v>Q1</v>
      </c>
      <c r="D13" s="13">
        <f>HAVERQ!AL19</f>
        <v>111080</v>
      </c>
      <c r="E13" s="13">
        <f>HAVERQ!AM19</f>
        <v>1933</v>
      </c>
      <c r="F13" s="13">
        <f>HAVERQ!AN19</f>
        <v>32247</v>
      </c>
      <c r="G13" s="13">
        <f>HAVERQ!AO19</f>
        <v>37102</v>
      </c>
      <c r="H13" s="13">
        <f>HAVERQ!AP19</f>
        <v>-698</v>
      </c>
      <c r="I13" s="13">
        <f>HAVERQ!AQ19</f>
        <v>178</v>
      </c>
      <c r="J13" s="13">
        <f>HAVERQ!AR19</f>
        <v>37905</v>
      </c>
      <c r="K13" s="13">
        <f>HAVERQ!AS19</f>
        <v>37723</v>
      </c>
      <c r="L13" s="13" t="e">
        <f>HAVERQ!U19</f>
        <v>#N/A</v>
      </c>
      <c r="M13" s="13" t="e">
        <f>HAVERQ!V19</f>
        <v>#N/A</v>
      </c>
      <c r="N13" s="13" t="e">
        <f>HAVERQ!Y19</f>
        <v>#N/A</v>
      </c>
      <c r="O13" s="13" t="e">
        <f>HAVERQ!Z19</f>
        <v>#N/A</v>
      </c>
      <c r="P13" s="13" t="e">
        <f>HAVERQ!AA19</f>
        <v>#N/A</v>
      </c>
      <c r="Q13" s="13" t="e">
        <f>HAVERQ!AB19</f>
        <v>#N/A</v>
      </c>
      <c r="R13" s="13" t="e">
        <f>HAVERQ!AC19</f>
        <v>#N/A</v>
      </c>
      <c r="U13" s="13">
        <f>HAVERQ!AU19</f>
        <v>107064</v>
      </c>
      <c r="V13" s="13">
        <f>HAVERQ!AV19</f>
        <v>1913</v>
      </c>
      <c r="W13" s="13">
        <f>HAVERQ!AW19</f>
        <v>32245</v>
      </c>
      <c r="X13" s="13">
        <f>HAVERQ!AX19</f>
        <v>38855</v>
      </c>
      <c r="Y13" s="13">
        <f>HAVERQ!AY19</f>
        <v>-872</v>
      </c>
      <c r="Z13" s="13">
        <f>HAVERQ!AZ19</f>
        <v>172</v>
      </c>
      <c r="AA13" s="13">
        <f>HAVERQ!BA19</f>
        <v>36389</v>
      </c>
      <c r="AB13" s="13">
        <f>HAVERQ!BB19</f>
        <v>36814</v>
      </c>
      <c r="AC13" s="13" t="e">
        <f>HAVERQ!W19</f>
        <v>#N/A</v>
      </c>
      <c r="AD13" s="13" t="e">
        <f>HAVERQ!X19</f>
        <v>#N/A</v>
      </c>
      <c r="AE13" s="13" t="e">
        <f>HAVERQ!AD19</f>
        <v>#N/A</v>
      </c>
      <c r="AF13" s="13" t="e">
        <f>HAVERQ!AE19</f>
        <v>#N/A</v>
      </c>
      <c r="AG13" s="13" t="e">
        <f>HAVERQ!AF19</f>
        <v>#N/A</v>
      </c>
      <c r="AH13" s="13" t="e">
        <f>HAVERQ!AG19</f>
        <v>#N/A</v>
      </c>
      <c r="AI13" s="13" t="e">
        <f>HAVERQ!AH19</f>
        <v>#N/A</v>
      </c>
      <c r="AL13">
        <v>1998</v>
      </c>
      <c r="AM13" s="15">
        <f t="shared" ca="1" si="22"/>
        <v>1.0293986666142743</v>
      </c>
      <c r="AN13" s="15">
        <f t="shared" ca="1" si="23"/>
        <v>1</v>
      </c>
      <c r="AO13" s="15">
        <f t="shared" ca="1" si="21"/>
        <v>1.011998461735675</v>
      </c>
      <c r="AP13" s="15">
        <f t="shared" ca="1" si="21"/>
        <v>0.95590968320765601</v>
      </c>
      <c r="AQ13" s="15">
        <f t="shared" ca="1" si="21"/>
        <v>1.5351851851851852</v>
      </c>
      <c r="AR13" s="15">
        <f t="shared" ca="1" si="21"/>
        <v>1.0976190476190477</v>
      </c>
      <c r="AS13" s="15">
        <f t="shared" ca="1" si="21"/>
        <v>1.0241682778851924</v>
      </c>
      <c r="AT13" s="15">
        <f t="shared" ca="1" si="21"/>
        <v>1.0309739685084072</v>
      </c>
      <c r="AU13" s="15">
        <f t="shared" ca="1" si="21"/>
        <v>0.9784876140808344</v>
      </c>
      <c r="AV13" s="15">
        <f t="shared" ca="1" si="21"/>
        <v>0.71477982115741523</v>
      </c>
      <c r="AW13" s="15">
        <f t="shared" ca="1" si="21"/>
        <v>0.93637880684188568</v>
      </c>
      <c r="AX13" s="15">
        <f t="shared" ca="1" si="21"/>
        <v>0.94756175957388189</v>
      </c>
      <c r="AY13" s="15">
        <f t="shared" ca="1" si="21"/>
        <v>0.98593281196202842</v>
      </c>
      <c r="AZ13" s="15">
        <f t="shared" ca="1" si="21"/>
        <v>0.90242953063673814</v>
      </c>
      <c r="BA13" s="15">
        <f t="shared" ca="1" si="21"/>
        <v>0.99236696714161088</v>
      </c>
      <c r="BD13">
        <v>1998</v>
      </c>
      <c r="BE13" s="8">
        <f>U37/AVERAGE(U34:U40)</f>
        <v>0.9634793707797108</v>
      </c>
      <c r="BF13" s="8">
        <f>U38/AVERAGE(U35:U41)</f>
        <v>0.98983485432576679</v>
      </c>
      <c r="BG13" s="8">
        <f>U39/AVERAGE(U36:U42)</f>
        <v>1.0222991174242189</v>
      </c>
      <c r="BH13" s="8">
        <f>U40/AVERAGE(U37:U43)</f>
        <v>1.0248881118881119</v>
      </c>
      <c r="BI13">
        <v>1</v>
      </c>
      <c r="BL13">
        <v>1998</v>
      </c>
      <c r="BM13" s="8">
        <f>V37/AVERAGE(V34:V40)</f>
        <v>1.0058583800305654</v>
      </c>
      <c r="BN13" s="8">
        <f>V38/AVERAGE(V35:V41)</f>
        <v>0.99754733994589717</v>
      </c>
      <c r="BO13" s="8">
        <f>V39/AVERAGE(V36:V42)</f>
        <v>0.99689085840897718</v>
      </c>
      <c r="BP13" s="8">
        <f>V40/AVERAGE(V37:V43)</f>
        <v>0.9942689355078359</v>
      </c>
      <c r="BQ13">
        <v>1</v>
      </c>
      <c r="BT13">
        <v>1998</v>
      </c>
      <c r="BU13" s="8">
        <f>W37/AVERAGE(W34:W40)</f>
        <v>0.99485510863664028</v>
      </c>
      <c r="BV13" s="8">
        <f>W38/AVERAGE(W35:W41)</f>
        <v>1.0026839166474786</v>
      </c>
      <c r="BW13" s="8">
        <f>W39/AVERAGE(W36:W42)</f>
        <v>0.99433392715756141</v>
      </c>
      <c r="BX13" s="8">
        <f>W40/AVERAGE(W37:W43)</f>
        <v>0.98989086451738728</v>
      </c>
      <c r="BY13">
        <v>1</v>
      </c>
      <c r="CB13">
        <v>1998</v>
      </c>
      <c r="CC13" s="8">
        <f>X37/AVERAGE(X34:X40)</f>
        <v>1.0714038162248409</v>
      </c>
      <c r="CD13" s="8">
        <f>X38/AVERAGE(X35:X41)</f>
        <v>0.95765494030988052</v>
      </c>
      <c r="CE13" s="8">
        <f>X39/AVERAGE(X36:X42)</f>
        <v>0.9633575809891658</v>
      </c>
      <c r="CF13" s="8">
        <f>X40/AVERAGE(X37:X43)</f>
        <v>1.0180570648344456</v>
      </c>
      <c r="CG13">
        <v>1</v>
      </c>
      <c r="CJ13">
        <v>1998</v>
      </c>
      <c r="CK13" s="8">
        <f>Y37/AVERAGE(Y34:Y40)</f>
        <v>0.64875997597185275</v>
      </c>
      <c r="CL13" s="8">
        <f>Y38/AVERAGE(Y35:Y41)</f>
        <v>1.5622848062152379</v>
      </c>
      <c r="CM13" s="8">
        <f>Y39/AVERAGE(Y36:Y42)</f>
        <v>0.9172544763971785</v>
      </c>
      <c r="CN13" s="8">
        <f>Y40/AVERAGE(Y37:Y43)</f>
        <v>1.3034653904103519</v>
      </c>
      <c r="CO13">
        <v>1</v>
      </c>
      <c r="CR13">
        <v>1998</v>
      </c>
      <c r="CS13" s="8">
        <f>AA37/AVERAGE(AA34:AA40)</f>
        <v>0.97637934401532556</v>
      </c>
      <c r="CT13" s="8">
        <f>AA38/AVERAGE(AA35:AA41)</f>
        <v>0.99611948253533378</v>
      </c>
      <c r="CU13" s="8">
        <f>AA39/AVERAGE(AA36:AA42)</f>
        <v>0.99830290166413826</v>
      </c>
      <c r="CV13" s="8">
        <f>AA40/AVERAGE(AA37:AA43)</f>
        <v>1.0107567188747819</v>
      </c>
      <c r="CW13">
        <v>1</v>
      </c>
      <c r="CZ13">
        <v>1998</v>
      </c>
      <c r="DA13" s="8">
        <f>AB37/AVERAGE(AB34:AB40)</f>
        <v>0.96910007166138845</v>
      </c>
      <c r="DB13" s="8">
        <f>AB38/AVERAGE(AB35:AB41)</f>
        <v>1.0142578030388658</v>
      </c>
      <c r="DC13" s="8">
        <f>AB39/AVERAGE(AB36:AB42)</f>
        <v>1.0267143072957916</v>
      </c>
      <c r="DD13" s="8">
        <f>AB40/AVERAGE(AB37:AB43)</f>
        <v>0.97690110843221889</v>
      </c>
      <c r="DE13">
        <v>1</v>
      </c>
      <c r="DH13">
        <v>1998</v>
      </c>
      <c r="DI13" s="8">
        <f>AC37/AVERAGE(AC34:AC40)</f>
        <v>1.035932950884628</v>
      </c>
      <c r="DJ13" s="8">
        <f>AC38/AVERAGE(AC35:AC41)</f>
        <v>0.97276400442012911</v>
      </c>
      <c r="DK13" s="8">
        <f>AC39/AVERAGE(AC36:AC42)</f>
        <v>0.97012887834614003</v>
      </c>
      <c r="DL13" s="8">
        <f>AC40/AVERAGE(AC37:AC43)</f>
        <v>1.0409140811052748</v>
      </c>
      <c r="DM13">
        <v>1</v>
      </c>
      <c r="DP13">
        <v>1998</v>
      </c>
      <c r="DQ13" s="8">
        <f>AD37/AVERAGE(AD34:AD40)</f>
        <v>1.6181041711355082</v>
      </c>
      <c r="DR13" s="8">
        <f>AD38/AVERAGE(AD35:AD41)</f>
        <v>0.71737778330638136</v>
      </c>
      <c r="DS13" s="8">
        <f>AD39/AVERAGE(AD36:AD42)</f>
        <v>0.88440927890667143</v>
      </c>
      <c r="DT13" s="8">
        <f>AD40/AVERAGE(AD37:AD43)</f>
        <v>0.97143115450682582</v>
      </c>
      <c r="DU13">
        <v>1</v>
      </c>
      <c r="DX13">
        <v>1998</v>
      </c>
      <c r="DY13" s="8">
        <f>AE37/AVERAGE(AE34:AE40)</f>
        <v>1.2004292613128242</v>
      </c>
      <c r="DZ13" s="8">
        <f>AE38/AVERAGE(AE35:AE41)</f>
        <v>1.0581934898649827</v>
      </c>
      <c r="EA13" s="8">
        <f>AE39/AVERAGE(AE36:AE42)</f>
        <v>0.92163310042471569</v>
      </c>
      <c r="EB13" s="8">
        <f>AE40/AVERAGE(AE37:AE43)</f>
        <v>0.88594040968342647</v>
      </c>
      <c r="EC13">
        <v>1</v>
      </c>
      <c r="EF13">
        <v>1998</v>
      </c>
      <c r="EG13" s="8">
        <f>AF37/AVERAGE(AF34:AF40)</f>
        <v>1.0747440850511829</v>
      </c>
      <c r="EH13" s="8">
        <f>AF38/AVERAGE(AF35:AF41)</f>
        <v>0.90650223910054861</v>
      </c>
      <c r="EI13" s="8">
        <f>AF39/AVERAGE(AF36:AF42)</f>
        <v>0.91474945919103146</v>
      </c>
      <c r="EJ13" s="8">
        <f>AF40/AVERAGE(AF37:AF43)</f>
        <v>1.0894074714299433</v>
      </c>
      <c r="EK13">
        <v>1</v>
      </c>
      <c r="EN13">
        <v>1998</v>
      </c>
      <c r="EO13" s="8">
        <f>AG37/AVERAGE(AG34:AG40)</f>
        <v>1.0045669513658502</v>
      </c>
      <c r="EP13" s="8">
        <f>AG38/AVERAGE(AG35:AG41)</f>
        <v>0.99548078809450402</v>
      </c>
      <c r="EQ13" s="8">
        <f>AG39/AVERAGE(AG36:AG42)</f>
        <v>0.98738515334944721</v>
      </c>
      <c r="ER13" s="8">
        <f>AG40/AVERAGE(AG37:AG43)</f>
        <v>0.97124981792707366</v>
      </c>
      <c r="ES13">
        <v>1</v>
      </c>
      <c r="EV13">
        <v>1998</v>
      </c>
      <c r="EW13" s="8">
        <f>AH37/AVERAGE(AH34:AH40)</f>
        <v>1.1427883011454201</v>
      </c>
      <c r="EX13" s="8">
        <f>AH38/AVERAGE(AH35:AH41)</f>
        <v>0.88809587795096545</v>
      </c>
      <c r="EY13" s="8">
        <f>AH39/AVERAGE(AH36:AH42)</f>
        <v>0.98780094135288232</v>
      </c>
      <c r="EZ13" s="8">
        <f>AH40/AVERAGE(AH37:AH43)</f>
        <v>1.0470791598341394</v>
      </c>
      <c r="FA13">
        <v>1</v>
      </c>
      <c r="FD13">
        <v>1998</v>
      </c>
      <c r="FE13" s="8">
        <f>AI37/AVERAGE(AI34:AI40)</f>
        <v>1.0199343289905731</v>
      </c>
      <c r="FF13" s="8">
        <f>AI38/AVERAGE(AI35:AI41)</f>
        <v>1.0165938773595722</v>
      </c>
      <c r="FG13" s="8">
        <f>AI39/AVERAGE(AI36:AI42)</f>
        <v>1.0074093948650211</v>
      </c>
      <c r="FH13" s="8">
        <f>AI40/AVERAGE(AI37:AI43)</f>
        <v>1.0099713055954089</v>
      </c>
      <c r="FI13">
        <v>1</v>
      </c>
    </row>
    <row r="14" spans="1:165" x14ac:dyDescent="0.35">
      <c r="A14" t="s">
        <v>179</v>
      </c>
      <c r="B14" t="str">
        <f t="shared" si="16"/>
        <v>1992</v>
      </c>
      <c r="C14" t="str">
        <f t="shared" si="17"/>
        <v>Q2</v>
      </c>
      <c r="D14" s="13">
        <f>HAVERQ!AL20</f>
        <v>113093</v>
      </c>
      <c r="E14" s="13">
        <f>HAVERQ!AM20</f>
        <v>1856</v>
      </c>
      <c r="F14" s="13">
        <f>HAVERQ!AN20</f>
        <v>32598</v>
      </c>
      <c r="G14" s="13">
        <f>HAVERQ!AO20</f>
        <v>36307</v>
      </c>
      <c r="H14" s="13">
        <f>HAVERQ!AP20</f>
        <v>-971</v>
      </c>
      <c r="I14" s="13">
        <f>HAVERQ!AQ20</f>
        <v>167</v>
      </c>
      <c r="J14" s="13">
        <f>HAVERQ!AR20</f>
        <v>38579</v>
      </c>
      <c r="K14" s="13">
        <f>HAVERQ!AS20</f>
        <v>39157</v>
      </c>
      <c r="L14" s="13" t="e">
        <f>HAVERQ!U20</f>
        <v>#N/A</v>
      </c>
      <c r="M14" s="13" t="e">
        <f>HAVERQ!V20</f>
        <v>#N/A</v>
      </c>
      <c r="N14" s="13" t="e">
        <f>HAVERQ!Y20</f>
        <v>#N/A</v>
      </c>
      <c r="O14" s="13" t="e">
        <f>HAVERQ!Z20</f>
        <v>#N/A</v>
      </c>
      <c r="P14" s="13" t="e">
        <f>HAVERQ!AA20</f>
        <v>#N/A</v>
      </c>
      <c r="Q14" s="13" t="e">
        <f>HAVERQ!AB20</f>
        <v>#N/A</v>
      </c>
      <c r="R14" s="13" t="e">
        <f>HAVERQ!AC20</f>
        <v>#N/A</v>
      </c>
      <c r="U14" s="13">
        <f>HAVERQ!AU20</f>
        <v>110941</v>
      </c>
      <c r="V14" s="13">
        <f>HAVERQ!AV20</f>
        <v>1870</v>
      </c>
      <c r="W14" s="13">
        <f>HAVERQ!AW20</f>
        <v>32632</v>
      </c>
      <c r="X14" s="13">
        <f>HAVERQ!AX20</f>
        <v>33634</v>
      </c>
      <c r="Y14" s="13">
        <f>HAVERQ!AY20</f>
        <v>-106</v>
      </c>
      <c r="Z14" s="13">
        <f>HAVERQ!AZ20</f>
        <v>173</v>
      </c>
      <c r="AA14" s="13">
        <f>HAVERQ!BA20</f>
        <v>38486</v>
      </c>
      <c r="AB14" s="13">
        <f>HAVERQ!BB20</f>
        <v>39700</v>
      </c>
      <c r="AC14" s="13" t="e">
        <f>HAVERQ!W20</f>
        <v>#N/A</v>
      </c>
      <c r="AD14" s="13" t="e">
        <f>HAVERQ!X20</f>
        <v>#N/A</v>
      </c>
      <c r="AE14" s="13" t="e">
        <f>HAVERQ!AD20</f>
        <v>#N/A</v>
      </c>
      <c r="AF14" s="13" t="e">
        <f>HAVERQ!AE20</f>
        <v>#N/A</v>
      </c>
      <c r="AG14" s="13" t="e">
        <f>HAVERQ!AF20</f>
        <v>#N/A</v>
      </c>
      <c r="AH14" s="13" t="e">
        <f>HAVERQ!AG20</f>
        <v>#N/A</v>
      </c>
      <c r="AI14" s="13" t="e">
        <f>HAVERQ!AH20</f>
        <v>#N/A</v>
      </c>
      <c r="AL14">
        <v>1999</v>
      </c>
      <c r="AM14" s="15">
        <f t="shared" ca="1" si="22"/>
        <v>1.0289937781858107</v>
      </c>
      <c r="AN14" s="15">
        <f t="shared" ca="1" si="23"/>
        <v>1</v>
      </c>
      <c r="AO14" s="15">
        <f t="shared" ca="1" si="21"/>
        <v>1.011103316480805</v>
      </c>
      <c r="AP14" s="15">
        <f t="shared" ca="1" si="21"/>
        <v>0.96123198877007554</v>
      </c>
      <c r="AQ14" s="15">
        <f t="shared" ca="1" si="21"/>
        <v>0.70282614901512985</v>
      </c>
      <c r="AR14" s="15">
        <f t="shared" ca="1" si="21"/>
        <v>1.0985576923076923</v>
      </c>
      <c r="AS14" s="15">
        <f t="shared" ca="1" si="21"/>
        <v>1.0242215711657696</v>
      </c>
      <c r="AT14" s="15">
        <f t="shared" ca="1" si="21"/>
        <v>1.0308887747238633</v>
      </c>
      <c r="AU14" s="15">
        <f t="shared" ca="1" si="21"/>
        <v>1.0152184585174275</v>
      </c>
      <c r="AV14" s="15">
        <f t="shared" ca="1" si="21"/>
        <v>0.72534661198984574</v>
      </c>
      <c r="AW14" s="15">
        <f t="shared" ca="1" si="21"/>
        <v>0.95228966986155483</v>
      </c>
      <c r="AX14" s="15">
        <f t="shared" ca="1" si="21"/>
        <v>0.94778936017253779</v>
      </c>
      <c r="AY14" s="15">
        <f t="shared" ca="1" si="21"/>
        <v>0.98547393133131178</v>
      </c>
      <c r="AZ14" s="15">
        <f t="shared" ca="1" si="21"/>
        <v>0.97431031453171679</v>
      </c>
      <c r="BA14" s="15">
        <f t="shared" ca="1" si="21"/>
        <v>0.99443453442739926</v>
      </c>
      <c r="BD14">
        <v>1999</v>
      </c>
      <c r="BE14" s="8">
        <f>U41/AVERAGE(U38:U44)</f>
        <v>0.96705273396492408</v>
      </c>
      <c r="BF14" s="8">
        <f>U42/AVERAGE(U39:U45)</f>
        <v>0.99413319207492812</v>
      </c>
      <c r="BG14" s="8">
        <f>U43/AVERAGE(U40:U46)</f>
        <v>1.0125933020480331</v>
      </c>
      <c r="BH14" s="8">
        <f>U44/AVERAGE(U41:U47)</f>
        <v>1.0241676033793317</v>
      </c>
      <c r="BI14">
        <v>1</v>
      </c>
      <c r="BL14">
        <v>1999</v>
      </c>
      <c r="BM14" s="8">
        <f>V41/AVERAGE(V38:V44)</f>
        <v>0.98603595740967009</v>
      </c>
      <c r="BN14" s="8">
        <f>V42/AVERAGE(V39:V45)</f>
        <v>0.99394460691553421</v>
      </c>
      <c r="BO14" s="8">
        <f>V43/AVERAGE(V40:V46)</f>
        <v>0.99529992561033331</v>
      </c>
      <c r="BP14" s="8">
        <f>V44/AVERAGE(V41:V47)</f>
        <v>1.0036781761548148</v>
      </c>
      <c r="BQ14">
        <v>1</v>
      </c>
      <c r="BT14">
        <v>1999</v>
      </c>
      <c r="BU14" s="8">
        <f>W41/AVERAGE(W38:W44)</f>
        <v>0.99189681116896389</v>
      </c>
      <c r="BV14" s="8">
        <f>W42/AVERAGE(W39:W45)</f>
        <v>1.0165674223677128</v>
      </c>
      <c r="BW14" s="8">
        <f>W43/AVERAGE(W40:W46)</f>
        <v>1.0073794730371799</v>
      </c>
      <c r="BX14" s="8">
        <f>W44/AVERAGE(W41:W47)</f>
        <v>0.9938291314518809</v>
      </c>
      <c r="BY14">
        <v>1</v>
      </c>
      <c r="CB14">
        <v>1999</v>
      </c>
      <c r="CC14" s="8">
        <f>X41/AVERAGE(X38:X44)</f>
        <v>1.0574580018648512</v>
      </c>
      <c r="CD14" s="8">
        <f>X42/AVERAGE(X39:X45)</f>
        <v>0.94627261099945181</v>
      </c>
      <c r="CE14" s="8">
        <f>X43/AVERAGE(X40:X46)</f>
        <v>0.96966037870859834</v>
      </c>
      <c r="CF14" s="8">
        <f>X44/AVERAGE(X41:X47)</f>
        <v>1.0013633609371844</v>
      </c>
      <c r="CG14">
        <v>1</v>
      </c>
      <c r="CJ14">
        <v>1999</v>
      </c>
      <c r="CK14" s="8">
        <f>Y41/AVERAGE(Y38:Y44)</f>
        <v>2.3453849832615972</v>
      </c>
      <c r="CL14" s="8">
        <f>Y42/AVERAGE(Y39:Y45)</f>
        <v>-0.18199233716475097</v>
      </c>
      <c r="CM14" s="8">
        <f>Y43/AVERAGE(Y40:Y46)</f>
        <v>1.0756135308423613</v>
      </c>
      <c r="CN14" s="8">
        <f>Y44/AVERAGE(Y41:Y47)</f>
        <v>0.15853329738473981</v>
      </c>
      <c r="CO14">
        <v>1</v>
      </c>
      <c r="CR14">
        <v>1999</v>
      </c>
      <c r="CS14" s="8">
        <f>AA41/AVERAGE(AA38:AA44)</f>
        <v>0.939718923071998</v>
      </c>
      <c r="CT14" s="8">
        <f>AA42/AVERAGE(AA39:AA45)</f>
        <v>0.97778344443491638</v>
      </c>
      <c r="CU14" s="8">
        <f>AA43/AVERAGE(AA40:AA46)</f>
        <v>1.005414101413854</v>
      </c>
      <c r="CV14" s="8">
        <f>AA44/AVERAGE(AA41:AA47)</f>
        <v>1.0279227387886793</v>
      </c>
      <c r="CW14">
        <v>1</v>
      </c>
      <c r="CZ14">
        <v>1999</v>
      </c>
      <c r="DA14" s="8">
        <f>AB41/AVERAGE(AB38:AB44)</f>
        <v>0.96169463786688081</v>
      </c>
      <c r="DB14" s="8">
        <f>AB42/AVERAGE(AB39:AB45)</f>
        <v>0.98999494628246798</v>
      </c>
      <c r="DC14" s="8">
        <f>AB43/AVERAGE(AB40:AB46)</f>
        <v>1.0319348899471601</v>
      </c>
      <c r="DD14" s="8">
        <f>AB44/AVERAGE(AB41:AB47)</f>
        <v>0.98935661151632037</v>
      </c>
      <c r="DE14">
        <v>1</v>
      </c>
      <c r="DH14">
        <v>1999</v>
      </c>
      <c r="DI14" s="8">
        <f>AC41/AVERAGE(AC38:AC44)</f>
        <v>1.0054294175715697</v>
      </c>
      <c r="DJ14" s="8">
        <f>AC42/AVERAGE(AC39:AC45)</f>
        <v>0.95383309065218758</v>
      </c>
      <c r="DK14" s="8">
        <f>AC43/AVERAGE(AC40:AC46)</f>
        <v>0.98401973611409455</v>
      </c>
      <c r="DL14" s="8">
        <f>AC44/AVERAGE(AC41:AC47)</f>
        <v>1.0226992182142367</v>
      </c>
      <c r="DM14">
        <v>1</v>
      </c>
      <c r="DP14">
        <v>1999</v>
      </c>
      <c r="DQ14" s="8">
        <f>AD41/AVERAGE(AD38:AD44)</f>
        <v>1.4173536563667637</v>
      </c>
      <c r="DR14" s="8">
        <f>AD42/AVERAGE(AD39:AD45)</f>
        <v>0.77282269399974446</v>
      </c>
      <c r="DS14" s="8">
        <f>AD43/AVERAGE(AD40:AD46)</f>
        <v>0.87135470912066659</v>
      </c>
      <c r="DT14" s="8">
        <f>AD44/AVERAGE(AD41:AD47)</f>
        <v>0.94182010262601878</v>
      </c>
      <c r="DU14">
        <v>1</v>
      </c>
      <c r="DX14">
        <v>1999</v>
      </c>
      <c r="DY14" s="8">
        <f>AE41/AVERAGE(AE38:AE44)</f>
        <v>1.125321006676939</v>
      </c>
      <c r="DZ14" s="8">
        <f>AE42/AVERAGE(AE39:AE45)</f>
        <v>1.0732037486983688</v>
      </c>
      <c r="EA14" s="8">
        <f>AE43/AVERAGE(AE40:AE46)</f>
        <v>0.99935153583617753</v>
      </c>
      <c r="EB14" s="8">
        <f>AE44/AVERAGE(AE41:AE47)</f>
        <v>0.94626506024096391</v>
      </c>
      <c r="EC14">
        <v>1</v>
      </c>
      <c r="EF14">
        <v>1999</v>
      </c>
      <c r="EG14" s="8">
        <f>AF41/AVERAGE(AF38:AF44)</f>
        <v>1.0628752319615762</v>
      </c>
      <c r="EH14" s="8">
        <f>AF42/AVERAGE(AF39:AF45)</f>
        <v>0.89774744565860587</v>
      </c>
      <c r="EI14" s="8">
        <f>AF43/AVERAGE(AF40:AF46)</f>
        <v>0.93327495621716283</v>
      </c>
      <c r="EJ14" s="8">
        <f>AF44/AVERAGE(AF41:AF47)</f>
        <v>0.99098104639931761</v>
      </c>
      <c r="EK14">
        <v>1</v>
      </c>
      <c r="EN14">
        <v>1999</v>
      </c>
      <c r="EO14" s="8">
        <f>AG41/AVERAGE(AG38:AG44)</f>
        <v>0.98444120398393209</v>
      </c>
      <c r="EP14" s="8">
        <f>AG42/AVERAGE(AG39:AG45)</f>
        <v>0.99373448796805863</v>
      </c>
      <c r="EQ14" s="8">
        <f>AG43/AVERAGE(AG40:AG46)</f>
        <v>1.0103838308918969</v>
      </c>
      <c r="ER14" s="8">
        <f>AG44/AVERAGE(AG41:AG47)</f>
        <v>0.97928992161472372</v>
      </c>
      <c r="ES14">
        <v>1</v>
      </c>
      <c r="EV14">
        <v>1999</v>
      </c>
      <c r="EW14" s="8">
        <f>AH41/AVERAGE(AH38:AH44)</f>
        <v>1.0507865666445098</v>
      </c>
      <c r="EX14" s="8">
        <f>AH42/AVERAGE(AH39:AH45)</f>
        <v>0.88720724985976807</v>
      </c>
      <c r="EY14" s="8">
        <f>AH43/AVERAGE(AH40:AH46)</f>
        <v>0.99484203067689225</v>
      </c>
      <c r="EZ14" s="8">
        <f>AH44/AVERAGE(AH41:AH47)</f>
        <v>1.0674253936093876</v>
      </c>
      <c r="FA14">
        <v>1</v>
      </c>
      <c r="FD14">
        <v>1999</v>
      </c>
      <c r="FE14" s="8">
        <f>AI41/AVERAGE(AI38:AI44)</f>
        <v>0.99958225500784548</v>
      </c>
      <c r="FF14" s="8">
        <f>AI42/AVERAGE(AI39:AI45)</f>
        <v>0.97952049466037561</v>
      </c>
      <c r="FG14" s="8">
        <f>AI43/AVERAGE(AI40:AI46)</f>
        <v>0.97869004703368245</v>
      </c>
      <c r="FH14" s="8">
        <f>AI44/AVERAGE(AI41:AI47)</f>
        <v>0.99313501144164762</v>
      </c>
      <c r="FI14">
        <v>1</v>
      </c>
    </row>
    <row r="15" spans="1:165" x14ac:dyDescent="0.35">
      <c r="A15" t="s">
        <v>180</v>
      </c>
      <c r="B15" t="str">
        <f t="shared" si="16"/>
        <v>1992</v>
      </c>
      <c r="C15" t="str">
        <f t="shared" si="17"/>
        <v>Q3</v>
      </c>
      <c r="D15" s="13">
        <f>HAVERQ!AL21</f>
        <v>114392</v>
      </c>
      <c r="E15" s="13">
        <f>HAVERQ!AM21</f>
        <v>1791</v>
      </c>
      <c r="F15" s="13">
        <f>HAVERQ!AN21</f>
        <v>33110</v>
      </c>
      <c r="G15" s="13">
        <f>HAVERQ!AO21</f>
        <v>35600</v>
      </c>
      <c r="H15" s="13">
        <f>HAVERQ!AP21</f>
        <v>-260</v>
      </c>
      <c r="I15" s="13">
        <f>HAVERQ!AQ21</f>
        <v>165</v>
      </c>
      <c r="J15" s="13">
        <f>HAVERQ!AR21</f>
        <v>37103</v>
      </c>
      <c r="K15" s="13">
        <f>HAVERQ!AS21</f>
        <v>38762</v>
      </c>
      <c r="L15" s="13" t="e">
        <f>HAVERQ!U21</f>
        <v>#N/A</v>
      </c>
      <c r="M15" s="13" t="e">
        <f>HAVERQ!V21</f>
        <v>#N/A</v>
      </c>
      <c r="N15" s="13" t="e">
        <f>HAVERQ!Y21</f>
        <v>#N/A</v>
      </c>
      <c r="O15" s="13" t="e">
        <f>HAVERQ!Z21</f>
        <v>#N/A</v>
      </c>
      <c r="P15" s="13" t="e">
        <f>HAVERQ!AA21</f>
        <v>#N/A</v>
      </c>
      <c r="Q15" s="13" t="e">
        <f>HAVERQ!AB21</f>
        <v>#N/A</v>
      </c>
      <c r="R15" s="13" t="e">
        <f>HAVERQ!AC21</f>
        <v>#N/A</v>
      </c>
      <c r="U15" s="13">
        <f>HAVERQ!AU21</f>
        <v>116536</v>
      </c>
      <c r="V15" s="13">
        <f>HAVERQ!AV21</f>
        <v>1836</v>
      </c>
      <c r="W15" s="13">
        <f>HAVERQ!AW21</f>
        <v>32979</v>
      </c>
      <c r="X15" s="13">
        <f>HAVERQ!AX21</f>
        <v>35724</v>
      </c>
      <c r="Y15" s="13">
        <f>HAVERQ!AY21</f>
        <v>278</v>
      </c>
      <c r="Z15" s="13">
        <f>HAVERQ!AZ21</f>
        <v>165</v>
      </c>
      <c r="AA15" s="13">
        <f>HAVERQ!BA21</f>
        <v>37431</v>
      </c>
      <c r="AB15" s="13">
        <f>HAVERQ!BB21</f>
        <v>39953</v>
      </c>
      <c r="AC15" s="13" t="e">
        <f>HAVERQ!W21</f>
        <v>#N/A</v>
      </c>
      <c r="AD15" s="13" t="e">
        <f>HAVERQ!X21</f>
        <v>#N/A</v>
      </c>
      <c r="AE15" s="13" t="e">
        <f>HAVERQ!AD21</f>
        <v>#N/A</v>
      </c>
      <c r="AF15" s="13" t="e">
        <f>HAVERQ!AE21</f>
        <v>#N/A</v>
      </c>
      <c r="AG15" s="13" t="e">
        <f>HAVERQ!AF21</f>
        <v>#N/A</v>
      </c>
      <c r="AH15" s="13" t="e">
        <f>HAVERQ!AG21</f>
        <v>#N/A</v>
      </c>
      <c r="AI15" s="13" t="e">
        <f>HAVERQ!AH21</f>
        <v>#N/A</v>
      </c>
      <c r="AL15">
        <v>2000</v>
      </c>
      <c r="AM15" s="15">
        <f t="shared" ca="1" si="22"/>
        <v>1.0298508343364252</v>
      </c>
      <c r="AN15" s="15">
        <f t="shared" ca="1" si="23"/>
        <v>1</v>
      </c>
      <c r="AO15" s="15">
        <f t="shared" ca="1" si="21"/>
        <v>1.0086714509154475</v>
      </c>
      <c r="AP15" s="15">
        <f t="shared" ca="1" si="21"/>
        <v>0.96879921259842516</v>
      </c>
      <c r="AQ15" s="15">
        <f t="shared" ca="1" si="21"/>
        <v>1.1314662273476113</v>
      </c>
      <c r="AR15" s="15">
        <f t="shared" ca="1" si="21"/>
        <v>1.1450980392156862</v>
      </c>
      <c r="AS15" s="15">
        <f t="shared" ca="1" si="21"/>
        <v>1.0169880349056886</v>
      </c>
      <c r="AT15" s="15">
        <f t="shared" ca="1" si="21"/>
        <v>1.0215623585745777</v>
      </c>
      <c r="AU15" s="15">
        <f t="shared" ca="1" si="21"/>
        <v>0.9983433330348348</v>
      </c>
      <c r="AV15" s="15">
        <f t="shared" ca="1" si="21"/>
        <v>0.73667837431008532</v>
      </c>
      <c r="AW15" s="15">
        <f t="shared" ca="1" si="21"/>
        <v>0.98120873539867959</v>
      </c>
      <c r="AX15" s="15">
        <f t="shared" ca="1" si="21"/>
        <v>0.95371954697303019</v>
      </c>
      <c r="AY15" s="15">
        <f t="shared" ca="1" si="21"/>
        <v>0.98430019409100711</v>
      </c>
      <c r="AZ15" s="15">
        <f t="shared" ca="1" si="21"/>
        <v>0.95302265283842791</v>
      </c>
      <c r="BA15" s="15">
        <f t="shared" ca="1" si="21"/>
        <v>0.99552966675697641</v>
      </c>
      <c r="BD15">
        <v>2000</v>
      </c>
      <c r="BE15" s="8">
        <f>U45/AVERAGE(U42:U48)</f>
        <v>0.97020600067224794</v>
      </c>
      <c r="BF15" s="8">
        <f>U46/AVERAGE(U43:U49)</f>
        <v>0.99080262874817837</v>
      </c>
      <c r="BG15" s="8">
        <f>U47/AVERAGE(U44:U50)</f>
        <v>1.0173565505617344</v>
      </c>
      <c r="BH15" s="8">
        <f>U48/AVERAGE(U45:U51)</f>
        <v>1.0256795054896011</v>
      </c>
      <c r="BI15">
        <v>1</v>
      </c>
      <c r="BL15">
        <v>2000</v>
      </c>
      <c r="BM15" s="8">
        <f>V45/AVERAGE(V42:V48)</f>
        <v>0.99154190161384392</v>
      </c>
      <c r="BN15" s="8">
        <f>V46/AVERAGE(V43:V49)</f>
        <v>0.99774810491928068</v>
      </c>
      <c r="BO15" s="8">
        <f>V47/AVERAGE(V44:V50)</f>
        <v>1.0026980090553868</v>
      </c>
      <c r="BP15" s="8">
        <f>V48/AVERAGE(V45:V51)</f>
        <v>1.0012134081601698</v>
      </c>
      <c r="BQ15">
        <v>1</v>
      </c>
      <c r="BT15">
        <v>2000</v>
      </c>
      <c r="BU15" s="8">
        <f>W45/AVERAGE(W42:W48)</f>
        <v>0.97412424459694757</v>
      </c>
      <c r="BV15" s="8">
        <f>W46/AVERAGE(W43:W49)</f>
        <v>1.0097951128471401</v>
      </c>
      <c r="BW15" s="8">
        <f>W47/AVERAGE(W44:W50)</f>
        <v>1.0106317010101511</v>
      </c>
      <c r="BX15" s="8">
        <f>W48/AVERAGE(W45:W51)</f>
        <v>0.99705266871874731</v>
      </c>
      <c r="BY15">
        <v>1</v>
      </c>
      <c r="CB15">
        <v>2000</v>
      </c>
      <c r="CC15" s="8">
        <f>X45/AVERAGE(X42:X48)</f>
        <v>1.044727007779632</v>
      </c>
      <c r="CD15" s="8">
        <f>X46/AVERAGE(X43:X49)</f>
        <v>1.017139107310699</v>
      </c>
      <c r="CE15" s="8">
        <f>X47/AVERAGE(X44:X50)</f>
        <v>0.94243914003014073</v>
      </c>
      <c r="CF15" s="8">
        <f>X48/AVERAGE(X45:X51)</f>
        <v>1.0204338346285011</v>
      </c>
      <c r="CG15">
        <v>1</v>
      </c>
      <c r="CJ15">
        <v>2000</v>
      </c>
      <c r="CK15" s="8">
        <f>Y45/AVERAGE(Y42:Y48)</f>
        <v>2.5723453202566895</v>
      </c>
      <c r="CL15" s="8">
        <f>Y46/AVERAGE(Y43:Y49)</f>
        <v>-0.57481199757973889</v>
      </c>
      <c r="CM15" s="8">
        <f>Y47/AVERAGE(Y44:Y50)</f>
        <v>2.6874139355549436</v>
      </c>
      <c r="CN15" s="8">
        <f>Y48/AVERAGE(Y45:Y51)</f>
        <v>0.31422310193694331</v>
      </c>
      <c r="CO15">
        <v>1</v>
      </c>
      <c r="CR15">
        <v>2000</v>
      </c>
      <c r="CS15" s="8">
        <f>AA45/AVERAGE(AA42:AA48)</f>
        <v>0.9786435689639994</v>
      </c>
      <c r="CT15" s="8">
        <f>AA46/AVERAGE(AA43:AA49)</f>
        <v>1.0044008055573674</v>
      </c>
      <c r="CU15" s="8">
        <f>AA47/AVERAGE(AA44:AA50)</f>
        <v>0.99852961770060211</v>
      </c>
      <c r="CV15" s="8">
        <f>AA48/AVERAGE(AA45:AA51)</f>
        <v>1.0278340955259326</v>
      </c>
      <c r="CW15">
        <v>1</v>
      </c>
      <c r="CZ15">
        <v>2000</v>
      </c>
      <c r="DA15" s="8">
        <f>AB45/AVERAGE(AB42:AB48)</f>
        <v>0.96290308976918104</v>
      </c>
      <c r="DB15" s="8">
        <f>AB46/AVERAGE(AB43:AB49)</f>
        <v>0.995256118706627</v>
      </c>
      <c r="DC15" s="8">
        <f>AB47/AVERAGE(AB44:AB50)</f>
        <v>1.0350951447088204</v>
      </c>
      <c r="DD15" s="8">
        <f>AB48/AVERAGE(AB45:AB51)</f>
        <v>1.0176716950910498</v>
      </c>
      <c r="DE15">
        <v>1</v>
      </c>
      <c r="DH15">
        <v>2000</v>
      </c>
      <c r="DI15" s="8">
        <f>AC45/AVERAGE(AC42:AC48)</f>
        <v>1.0052791656217648</v>
      </c>
      <c r="DJ15" s="8">
        <f>AC46/AVERAGE(AC43:AC49)</f>
        <v>1.035915753639191</v>
      </c>
      <c r="DK15" s="8">
        <f>AC47/AVERAGE(AC44:AC50)</f>
        <v>0.94363105560067606</v>
      </c>
      <c r="DL15" s="8">
        <f>AC48/AVERAGE(AC45:AC51)</f>
        <v>1.0432392990016159</v>
      </c>
      <c r="DM15">
        <v>1</v>
      </c>
      <c r="DP15">
        <v>2000</v>
      </c>
      <c r="DQ15" s="8">
        <f>AD45/AVERAGE(AD42:AD48)</f>
        <v>1.3868068947692798</v>
      </c>
      <c r="DR15" s="8">
        <f>AD46/AVERAGE(AD43:AD49)</f>
        <v>0.74542202387277301</v>
      </c>
      <c r="DS15" s="8">
        <f>AD47/AVERAGE(AD44:AD50)</f>
        <v>0.84529547359597657</v>
      </c>
      <c r="DT15" s="8">
        <f>AD48/AVERAGE(AD45:AD51)</f>
        <v>0.89635887672536885</v>
      </c>
      <c r="DU15">
        <v>1</v>
      </c>
      <c r="DX15">
        <v>2000</v>
      </c>
      <c r="DY15" s="8">
        <f>AE45/AVERAGE(AE42:AE48)</f>
        <v>0.97967161845191553</v>
      </c>
      <c r="DZ15" s="8">
        <f>AE46/AVERAGE(AE43:AE49)</f>
        <v>1.1024383153457611</v>
      </c>
      <c r="EA15" s="8">
        <f>AE47/AVERAGE(AE44:AE50)</f>
        <v>0.84810902896081763</v>
      </c>
      <c r="EB15" s="8">
        <f>AE48/AVERAGE(AE45:AE51)</f>
        <v>0.88003057392575856</v>
      </c>
      <c r="EC15">
        <v>1</v>
      </c>
      <c r="EF15">
        <v>2000</v>
      </c>
      <c r="EG15" s="8">
        <f>AF45/AVERAGE(AF42:AF48)</f>
        <v>1.0519800161633972</v>
      </c>
      <c r="EH15" s="8">
        <f>AF46/AVERAGE(AF43:AF49)</f>
        <v>1.110541719067712</v>
      </c>
      <c r="EI15" s="8">
        <f>AF47/AVERAGE(AF44:AF50)</f>
        <v>0.90731678900151469</v>
      </c>
      <c r="EJ15" s="8">
        <f>AF48/AVERAGE(AF45:AF51)</f>
        <v>1.0539949091830507</v>
      </c>
      <c r="EK15">
        <v>1</v>
      </c>
      <c r="EN15">
        <v>2000</v>
      </c>
      <c r="EO15" s="8">
        <f>AG45/AVERAGE(AG42:AG48)</f>
        <v>1.0408329485403518</v>
      </c>
      <c r="EP15" s="8">
        <f>AG46/AVERAGE(AG43:AG49)</f>
        <v>1.0189379544475692</v>
      </c>
      <c r="EQ15" s="8">
        <f>AG47/AVERAGE(AG44:AG50)</f>
        <v>1.0191953171028374</v>
      </c>
      <c r="ER15" s="8">
        <f>AG48/AVERAGE(AG45:AG51)</f>
        <v>0.98425686368089216</v>
      </c>
      <c r="ES15">
        <v>1</v>
      </c>
      <c r="EV15">
        <v>2000</v>
      </c>
      <c r="EW15" s="8">
        <f>AH45/AVERAGE(AH42:AH48)</f>
        <v>1.0798816879466964</v>
      </c>
      <c r="EX15" s="8">
        <f>AH46/AVERAGE(AH43:AH49)</f>
        <v>0.88217809162056748</v>
      </c>
      <c r="EY15" s="8">
        <f>AH47/AVERAGE(AH44:AH50)</f>
        <v>0.9363527900146843</v>
      </c>
      <c r="EZ15" s="8">
        <f>AH48/AVERAGE(AH45:AH51)</f>
        <v>1.0376307726988616</v>
      </c>
      <c r="FA15">
        <v>1</v>
      </c>
      <c r="FD15">
        <v>2000</v>
      </c>
      <c r="FE15" s="8">
        <f>AI45/AVERAGE(AI42:AI48)</f>
        <v>1.0109460133621575</v>
      </c>
      <c r="FF15" s="8">
        <f>AI46/AVERAGE(AI43:AI49)</f>
        <v>1.0257976917854719</v>
      </c>
      <c r="FG15" s="8">
        <f>AI47/AVERAGE(AI44:AI50)</f>
        <v>1.0031289111389237</v>
      </c>
      <c r="FH15" s="8">
        <f>AI48/AVERAGE(AI45:AI51)</f>
        <v>1.0245715761977208</v>
      </c>
      <c r="FI15">
        <v>1</v>
      </c>
    </row>
    <row r="16" spans="1:165" x14ac:dyDescent="0.35">
      <c r="A16" t="s">
        <v>181</v>
      </c>
      <c r="B16" t="str">
        <f t="shared" si="16"/>
        <v>1992</v>
      </c>
      <c r="C16" t="str">
        <f t="shared" si="17"/>
        <v>Q4</v>
      </c>
      <c r="D16" s="13">
        <f>HAVERQ!AL22</f>
        <v>115536</v>
      </c>
      <c r="E16" s="13">
        <f>HAVERQ!AM22</f>
        <v>1897</v>
      </c>
      <c r="F16" s="13">
        <f>HAVERQ!AN22</f>
        <v>33428</v>
      </c>
      <c r="G16" s="13">
        <f>HAVERQ!AO22</f>
        <v>35624</v>
      </c>
      <c r="H16" s="13">
        <f>HAVERQ!AP22</f>
        <v>-8</v>
      </c>
      <c r="I16" s="13">
        <f>HAVERQ!AQ22</f>
        <v>156</v>
      </c>
      <c r="J16" s="13">
        <f>HAVERQ!AR22</f>
        <v>40518</v>
      </c>
      <c r="K16" s="13">
        <f>HAVERQ!AS22</f>
        <v>41565</v>
      </c>
      <c r="L16" s="13" t="e">
        <f>HAVERQ!U22</f>
        <v>#N/A</v>
      </c>
      <c r="M16" s="13" t="e">
        <f>HAVERQ!V22</f>
        <v>#N/A</v>
      </c>
      <c r="N16" s="13" t="e">
        <f>HAVERQ!Y22</f>
        <v>#N/A</v>
      </c>
      <c r="O16" s="13" t="e">
        <f>HAVERQ!Z22</f>
        <v>#N/A</v>
      </c>
      <c r="P16" s="13" t="e">
        <f>HAVERQ!AA22</f>
        <v>#N/A</v>
      </c>
      <c r="Q16" s="13" t="e">
        <f>HAVERQ!AB22</f>
        <v>#N/A</v>
      </c>
      <c r="R16" s="13" t="e">
        <f>HAVERQ!AC22</f>
        <v>#N/A</v>
      </c>
      <c r="U16" s="13">
        <f>HAVERQ!AU22</f>
        <v>119560</v>
      </c>
      <c r="V16" s="13">
        <f>HAVERQ!AV22</f>
        <v>1858</v>
      </c>
      <c r="W16" s="13">
        <f>HAVERQ!AW22</f>
        <v>33527</v>
      </c>
      <c r="X16" s="13">
        <f>HAVERQ!AX22</f>
        <v>36420</v>
      </c>
      <c r="Y16" s="13">
        <f>HAVERQ!AY22</f>
        <v>-1237</v>
      </c>
      <c r="Z16" s="13">
        <f>HAVERQ!AZ22</f>
        <v>156</v>
      </c>
      <c r="AA16" s="13">
        <f>HAVERQ!BA22</f>
        <v>41799</v>
      </c>
      <c r="AB16" s="13">
        <f>HAVERQ!BB22</f>
        <v>40740</v>
      </c>
      <c r="AC16" s="13" t="e">
        <f>HAVERQ!W22</f>
        <v>#N/A</v>
      </c>
      <c r="AD16" s="13" t="e">
        <f>HAVERQ!X22</f>
        <v>#N/A</v>
      </c>
      <c r="AE16" s="13" t="e">
        <f>HAVERQ!AD22</f>
        <v>#N/A</v>
      </c>
      <c r="AF16" s="13" t="e">
        <f>HAVERQ!AE22</f>
        <v>#N/A</v>
      </c>
      <c r="AG16" s="13" t="e">
        <f>HAVERQ!AF22</f>
        <v>#N/A</v>
      </c>
      <c r="AH16" s="13" t="e">
        <f>HAVERQ!AG22</f>
        <v>#N/A</v>
      </c>
      <c r="AI16" s="13" t="e">
        <f>HAVERQ!AH22</f>
        <v>#N/A</v>
      </c>
      <c r="AL16">
        <v>2001</v>
      </c>
      <c r="AM16" s="15">
        <f t="shared" ca="1" si="22"/>
        <v>1.0324450646065184</v>
      </c>
      <c r="AN16" s="15">
        <f t="shared" ca="1" si="23"/>
        <v>1</v>
      </c>
      <c r="AO16" s="15">
        <f t="shared" ca="1" si="21"/>
        <v>1.0069208506354599</v>
      </c>
      <c r="AP16" s="15">
        <f t="shared" ca="1" si="21"/>
        <v>0.98044655833003036</v>
      </c>
      <c r="AQ16" s="15">
        <f t="shared" ca="1" si="21"/>
        <v>-0.16793388429752065</v>
      </c>
      <c r="AR16" s="15">
        <f t="shared" ca="1" si="21"/>
        <v>1.1847826086956521</v>
      </c>
      <c r="AS16" s="15">
        <f t="shared" ca="1" si="21"/>
        <v>1.0194313738484988</v>
      </c>
      <c r="AT16" s="15">
        <f t="shared" ca="1" si="21"/>
        <v>1.0223140389822027</v>
      </c>
      <c r="AU16" s="15">
        <f t="shared" ca="1" si="21"/>
        <v>0.93475856984887573</v>
      </c>
      <c r="AV16" s="15">
        <f t="shared" ca="1" si="21"/>
        <v>0.83503888661481784</v>
      </c>
      <c r="AW16" s="15">
        <f t="shared" ca="1" si="21"/>
        <v>1.0242232754081095</v>
      </c>
      <c r="AX16" s="15">
        <f t="shared" ca="1" si="21"/>
        <v>0.95116950182260029</v>
      </c>
      <c r="AY16" s="15">
        <f t="shared" ca="1" si="21"/>
        <v>0.97926537709193651</v>
      </c>
      <c r="AZ16" s="15">
        <f t="shared" ca="1" si="21"/>
        <v>0.8813316860654139</v>
      </c>
      <c r="BA16" s="15">
        <f t="shared" ca="1" si="21"/>
        <v>0.99436562351503632</v>
      </c>
      <c r="BD16">
        <v>2001</v>
      </c>
      <c r="BE16" s="8">
        <f>U49/AVERAGE(U46:U52)</f>
        <v>0.96740981139175009</v>
      </c>
      <c r="BF16" s="8">
        <f>U50/AVERAGE(U47:U53)</f>
        <v>0.99148090822512036</v>
      </c>
      <c r="BG16" s="8">
        <f>U51/AVERAGE(U48:U54)</f>
        <v>1.0230345592025456</v>
      </c>
      <c r="BH16" s="8">
        <f>U52/AVERAGE(U49:U55)</f>
        <v>1.0251597966294641</v>
      </c>
      <c r="BI16">
        <v>1</v>
      </c>
      <c r="BL16">
        <v>2001</v>
      </c>
      <c r="BM16" s="8">
        <f>V49/AVERAGE(V46:V52)</f>
        <v>0.99531768610715987</v>
      </c>
      <c r="BN16" s="8">
        <f>V50/AVERAGE(V47:V53)</f>
        <v>0.99913003131887246</v>
      </c>
      <c r="BO16" s="8">
        <f>V51/AVERAGE(V48:V54)</f>
        <v>1.0019004396539497</v>
      </c>
      <c r="BP16" s="8">
        <f>V52/AVERAGE(V49:V55)</f>
        <v>0.99947323186115511</v>
      </c>
      <c r="BQ16">
        <v>1</v>
      </c>
      <c r="BT16">
        <v>2001</v>
      </c>
      <c r="BU16" s="8">
        <f>W49/AVERAGE(W46:W52)</f>
        <v>0.99189011687860129</v>
      </c>
      <c r="BV16" s="8">
        <f>W50/AVERAGE(W47:W53)</f>
        <v>0.99377141622934262</v>
      </c>
      <c r="BW16" s="8">
        <f>W51/AVERAGE(W48:W54)</f>
        <v>0.99525706588740237</v>
      </c>
      <c r="BX16" s="8">
        <f>W52/AVERAGE(W49:W55)</f>
        <v>1.0006476521214793</v>
      </c>
      <c r="BY16">
        <v>1</v>
      </c>
      <c r="CB16">
        <v>2001</v>
      </c>
      <c r="CC16" s="8">
        <f>X49/AVERAGE(X46:X52)</f>
        <v>1.033414231141105</v>
      </c>
      <c r="CD16" s="8">
        <f>X50/AVERAGE(X47:X53)</f>
        <v>1.0054343006628683</v>
      </c>
      <c r="CE16" s="8">
        <f>X51/AVERAGE(X48:X54)</f>
        <v>0.9908448539019864</v>
      </c>
      <c r="CF16" s="8">
        <f>X52/AVERAGE(X49:X55)</f>
        <v>0.9935248201566611</v>
      </c>
      <c r="CG16">
        <v>1</v>
      </c>
      <c r="CJ16">
        <v>2001</v>
      </c>
      <c r="CK16" s="8">
        <f>Y49/AVERAGE(Y46:Y52)</f>
        <v>2.1760353509402939</v>
      </c>
      <c r="CL16" s="8">
        <f>Y50/AVERAGE(Y47:Y53)</f>
        <v>0.31761565836298933</v>
      </c>
      <c r="CM16" s="8">
        <f>Y51/AVERAGE(Y48:Y54)</f>
        <v>1.8338440840122581</v>
      </c>
      <c r="CN16" s="8">
        <f>Y52/AVERAGE(Y49:Y55)</f>
        <v>-0.64507512520868115</v>
      </c>
      <c r="CO16">
        <v>1</v>
      </c>
      <c r="CR16">
        <v>2001</v>
      </c>
      <c r="CS16" s="8">
        <f>AA49/AVERAGE(AA46:AA52)</f>
        <v>1.0386824978808018</v>
      </c>
      <c r="CT16" s="8">
        <f>AA50/AVERAGE(AA47:AA53)</f>
        <v>1.023845579735688</v>
      </c>
      <c r="CU16" s="8">
        <f>AA51/AVERAGE(AA48:AA54)</f>
        <v>0.97848609314486024</v>
      </c>
      <c r="CV16" s="8">
        <f>AA52/AVERAGE(AA49:AA55)</f>
        <v>0.9774609240064871</v>
      </c>
      <c r="CW16">
        <v>1</v>
      </c>
      <c r="CZ16">
        <v>2001</v>
      </c>
      <c r="DA16" s="8">
        <f>AB49/AVERAGE(AB46:AB52)</f>
        <v>1.0099657871546317</v>
      </c>
      <c r="DB16" s="8">
        <f>AB50/AVERAGE(AB47:AB53)</f>
        <v>1.0329775379203006</v>
      </c>
      <c r="DC16" s="8">
        <f>AB51/AVERAGE(AB48:AB54)</f>
        <v>1.01165536874625</v>
      </c>
      <c r="DD16" s="8">
        <f>AB52/AVERAGE(AB49:AB55)</f>
        <v>0.95454085577805547</v>
      </c>
      <c r="DE16">
        <v>1</v>
      </c>
      <c r="DH16">
        <v>2001</v>
      </c>
      <c r="DI16" s="8">
        <f>AC49/AVERAGE(AC46:AC52)</f>
        <v>1.0076782141597507</v>
      </c>
      <c r="DJ16" s="8">
        <f>AC50/AVERAGE(AC47:AC53)</f>
        <v>1.015747385946546</v>
      </c>
      <c r="DK16" s="8">
        <f>AC51/AVERAGE(AC48:AC54)</f>
        <v>0.99278243663431631</v>
      </c>
      <c r="DL16" s="8">
        <f>AC52/AVERAGE(AC49:AC55)</f>
        <v>1.0169775242354555</v>
      </c>
      <c r="DM16">
        <v>1</v>
      </c>
      <c r="DP16">
        <v>2001</v>
      </c>
      <c r="DQ16" s="8">
        <f>AD49/AVERAGE(AD46:AD52)</f>
        <v>1.4753433639312583</v>
      </c>
      <c r="DR16" s="8">
        <f>AD50/AVERAGE(AD47:AD53)</f>
        <v>0.82723859405565725</v>
      </c>
      <c r="DS16" s="8">
        <f>AD51/AVERAGE(AD48:AD54)</f>
        <v>0.93926675719047037</v>
      </c>
      <c r="DT16" s="8">
        <f>AD52/AVERAGE(AD49:AD55)</f>
        <v>0.95642439632762843</v>
      </c>
      <c r="DU16">
        <v>1</v>
      </c>
      <c r="DX16">
        <v>2001</v>
      </c>
      <c r="DY16" s="8">
        <f>AE49/AVERAGE(AE46:AE52)</f>
        <v>0.89038480860042202</v>
      </c>
      <c r="DZ16" s="8">
        <f>AE50/AVERAGE(AE47:AE53)</f>
        <v>1.4187786465354542</v>
      </c>
      <c r="EA16" s="8">
        <f>AE51/AVERAGE(AE48:AE54)</f>
        <v>1.0244544770504138</v>
      </c>
      <c r="EB16" s="8">
        <f>AE52/AVERAGE(AE49:AE55)</f>
        <v>0.78702748619622587</v>
      </c>
      <c r="EC16">
        <v>1</v>
      </c>
      <c r="EF16">
        <v>2001</v>
      </c>
      <c r="EG16" s="8">
        <f>AF49/AVERAGE(AF46:AF52)</f>
        <v>1.0414778826055024</v>
      </c>
      <c r="EH16" s="8">
        <f>AF50/AVERAGE(AF47:AF53)</f>
        <v>0.90195303233968527</v>
      </c>
      <c r="EI16" s="8">
        <f>AF51/AVERAGE(AF48:AF54)</f>
        <v>0.95745889586953614</v>
      </c>
      <c r="EJ16" s="8">
        <f>AF52/AVERAGE(AF49:AF55)</f>
        <v>1.093786740418099</v>
      </c>
      <c r="EK16">
        <v>1</v>
      </c>
      <c r="EN16">
        <v>2001</v>
      </c>
      <c r="EO16" s="8">
        <f>AG49/AVERAGE(AG46:AG52)</f>
        <v>1.0168276820104818</v>
      </c>
      <c r="EP16" s="8">
        <f>AG50/AVERAGE(AG47:AG53)</f>
        <v>0.95521180808106143</v>
      </c>
      <c r="EQ16" s="8">
        <f>AG51/AVERAGE(AG48:AG54)</f>
        <v>1.0031053184044787</v>
      </c>
      <c r="ER16" s="8">
        <f>AG52/AVERAGE(AG49:AG55)</f>
        <v>0.96223799489852502</v>
      </c>
      <c r="ES16">
        <v>1</v>
      </c>
      <c r="EV16">
        <v>2001</v>
      </c>
      <c r="EW16" s="8">
        <f>AH49/AVERAGE(AH46:AH52)</f>
        <v>1.1182926385880716</v>
      </c>
      <c r="EX16" s="8">
        <f>AH50/AVERAGE(AH47:AH53)</f>
        <v>0.98204612448363315</v>
      </c>
      <c r="EY16" s="8">
        <f>AH51/AVERAGE(AH48:AH54)</f>
        <v>1.0184791998418001</v>
      </c>
      <c r="EZ16" s="8">
        <f>AH52/AVERAGE(AH49:AH55)</f>
        <v>0.98477444005826342</v>
      </c>
      <c r="FA16">
        <v>1</v>
      </c>
      <c r="FD16">
        <v>2001</v>
      </c>
      <c r="FE16" s="8">
        <f>AI49/AVERAGE(AI46:AI52)</f>
        <v>0.98119760592998584</v>
      </c>
      <c r="FF16" s="8">
        <f>AI50/AVERAGE(AI47:AI53)</f>
        <v>0.98204645681265201</v>
      </c>
      <c r="FG16" s="8">
        <f>AI51/AVERAGE(AI48:AI54)</f>
        <v>0.99574099953417183</v>
      </c>
      <c r="FH16" s="8">
        <f>AI52/AVERAGE(AI49:AI55)</f>
        <v>1.0210731429114586</v>
      </c>
      <c r="FI16">
        <v>1</v>
      </c>
    </row>
    <row r="17" spans="1:165" x14ac:dyDescent="0.35">
      <c r="A17" t="s">
        <v>182</v>
      </c>
      <c r="B17" t="str">
        <f t="shared" si="16"/>
        <v>1993</v>
      </c>
      <c r="C17" t="str">
        <f t="shared" si="17"/>
        <v>Q1</v>
      </c>
      <c r="D17" s="13">
        <f>HAVERQ!AL23</f>
        <v>117828</v>
      </c>
      <c r="E17" s="13">
        <f>HAVERQ!AM23</f>
        <v>2397</v>
      </c>
      <c r="F17" s="13">
        <f>HAVERQ!AN23</f>
        <v>33782</v>
      </c>
      <c r="G17" s="13">
        <f>HAVERQ!AO23</f>
        <v>36496</v>
      </c>
      <c r="H17" s="13">
        <f>HAVERQ!AP23</f>
        <v>-322</v>
      </c>
      <c r="I17" s="13">
        <f>HAVERQ!AQ23</f>
        <v>150</v>
      </c>
      <c r="J17" s="13">
        <f>HAVERQ!AR23</f>
        <v>43529</v>
      </c>
      <c r="K17" s="13">
        <f>HAVERQ!AS23</f>
        <v>43643</v>
      </c>
      <c r="L17" s="13" t="e">
        <f>HAVERQ!U23</f>
        <v>#N/A</v>
      </c>
      <c r="M17" s="13" t="e">
        <f>HAVERQ!V23</f>
        <v>#N/A</v>
      </c>
      <c r="N17" s="13" t="e">
        <f>HAVERQ!Y23</f>
        <v>#N/A</v>
      </c>
      <c r="O17" s="13" t="e">
        <f>HAVERQ!Z23</f>
        <v>#N/A</v>
      </c>
      <c r="P17" s="13" t="e">
        <f>HAVERQ!AA23</f>
        <v>#N/A</v>
      </c>
      <c r="Q17" s="13" t="e">
        <f>HAVERQ!AB23</f>
        <v>#N/A</v>
      </c>
      <c r="R17" s="13" t="e">
        <f>HAVERQ!AC23</f>
        <v>#N/A</v>
      </c>
      <c r="U17" s="13">
        <f>HAVERQ!AU23</f>
        <v>113531</v>
      </c>
      <c r="V17" s="13">
        <f>HAVERQ!AV23</f>
        <v>2329</v>
      </c>
      <c r="W17" s="13">
        <f>HAVERQ!AW23</f>
        <v>33911</v>
      </c>
      <c r="X17" s="13">
        <f>HAVERQ!AX23</f>
        <v>38219</v>
      </c>
      <c r="Y17" s="13">
        <f>HAVERQ!AY23</f>
        <v>-1465</v>
      </c>
      <c r="Z17" s="13">
        <f>HAVERQ!AZ23</f>
        <v>147</v>
      </c>
      <c r="AA17" s="13">
        <f>HAVERQ!BA23</f>
        <v>42439</v>
      </c>
      <c r="AB17" s="13">
        <f>HAVERQ!BB23</f>
        <v>42174</v>
      </c>
      <c r="AC17" s="13" t="e">
        <f>HAVERQ!W23</f>
        <v>#N/A</v>
      </c>
      <c r="AD17" s="13" t="e">
        <f>HAVERQ!X23</f>
        <v>#N/A</v>
      </c>
      <c r="AE17" s="13" t="e">
        <f>HAVERQ!AD23</f>
        <v>#N/A</v>
      </c>
      <c r="AF17" s="13" t="e">
        <f>HAVERQ!AE23</f>
        <v>#N/A</v>
      </c>
      <c r="AG17" s="13" t="e">
        <f>HAVERQ!AF23</f>
        <v>#N/A</v>
      </c>
      <c r="AH17" s="13" t="e">
        <f>HAVERQ!AG23</f>
        <v>#N/A</v>
      </c>
      <c r="AI17" s="13" t="e">
        <f>HAVERQ!AH23</f>
        <v>#N/A</v>
      </c>
      <c r="AL17">
        <v>2002</v>
      </c>
      <c r="AM17" s="15">
        <f t="shared" ca="1" si="22"/>
        <v>1.0331452207297889</v>
      </c>
      <c r="AN17" s="15">
        <f t="shared" ca="1" si="23"/>
        <v>1</v>
      </c>
      <c r="AO17" s="15">
        <f t="shared" ca="1" si="21"/>
        <v>1.0032582081782953</v>
      </c>
      <c r="AP17" s="15">
        <f t="shared" ca="1" si="21"/>
        <v>0.97034590120362985</v>
      </c>
      <c r="AQ17" s="15">
        <f t="shared" ca="1" si="21"/>
        <v>0.66587537091988136</v>
      </c>
      <c r="AR17" s="15">
        <f t="shared" ca="1" si="21"/>
        <v>1.0746812386156648</v>
      </c>
      <c r="AS17" s="15">
        <f t="shared" ca="1" si="21"/>
        <v>1.0332879363486489</v>
      </c>
      <c r="AT17" s="15">
        <f t="shared" ca="1" si="21"/>
        <v>1.0391688876513252</v>
      </c>
      <c r="AU17" s="15">
        <f t="shared" ca="1" si="21"/>
        <v>1.0046415441176471</v>
      </c>
      <c r="AV17" s="15">
        <f t="shared" ca="1" si="21"/>
        <v>0.81039755351681952</v>
      </c>
      <c r="AW17" s="15">
        <f t="shared" ca="1" si="21"/>
        <v>1.048951048951049</v>
      </c>
      <c r="AX17" s="15">
        <f t="shared" ca="1" si="21"/>
        <v>0.95252181629936405</v>
      </c>
      <c r="AY17" s="15">
        <f t="shared" ca="1" si="21"/>
        <v>0.97754814077025232</v>
      </c>
      <c r="AZ17" s="15">
        <f t="shared" ca="1" si="21"/>
        <v>0.9691804018965906</v>
      </c>
      <c r="BA17" s="15">
        <f t="shared" ca="1" si="21"/>
        <v>0.99159719031051008</v>
      </c>
      <c r="BD17">
        <v>2002</v>
      </c>
      <c r="BE17" s="8">
        <f>U53/AVERAGE(U50:U56)</f>
        <v>0.96208485662188281</v>
      </c>
      <c r="BF17" s="8">
        <f>U54/AVERAGE(U51:U57)</f>
        <v>0.9866236301081478</v>
      </c>
      <c r="BG17" s="8">
        <f>U55/AVERAGE(U52:U58)</f>
        <v>1.0139540375390736</v>
      </c>
      <c r="BH17" s="8">
        <f>U56/AVERAGE(U53:U59)</f>
        <v>1.0306022798565324</v>
      </c>
      <c r="BI17">
        <v>1</v>
      </c>
      <c r="BL17">
        <v>2002</v>
      </c>
      <c r="BM17" s="8">
        <f>V53/AVERAGE(V50:V56)</f>
        <v>0.99155615696887689</v>
      </c>
      <c r="BN17" s="8">
        <f>V54/AVERAGE(V51:V57)</f>
        <v>0.99777860051832656</v>
      </c>
      <c r="BO17" s="8">
        <f>V55/AVERAGE(V52:V58)</f>
        <v>0.99950932286555449</v>
      </c>
      <c r="BP17" s="8">
        <f>V56/AVERAGE(V53:V59)</f>
        <v>1.0027747647756224</v>
      </c>
      <c r="BQ17">
        <v>1</v>
      </c>
      <c r="BT17">
        <v>2002</v>
      </c>
      <c r="BU17" s="8">
        <f>W53/AVERAGE(W50:W56)</f>
        <v>0.99383307421113709</v>
      </c>
      <c r="BV17" s="8">
        <f>W54/AVERAGE(W51:W57)</f>
        <v>1.0204563736794123</v>
      </c>
      <c r="BW17" s="8">
        <f>W55/AVERAGE(W52:W58)</f>
        <v>0.99937801843992391</v>
      </c>
      <c r="BX17" s="8">
        <f>W56/AVERAGE(W53:W59)</f>
        <v>0.98071583791384376</v>
      </c>
      <c r="BY17">
        <v>1</v>
      </c>
      <c r="CB17">
        <v>2002</v>
      </c>
      <c r="CC17" s="8">
        <f>X53/AVERAGE(X50:X56)</f>
        <v>0.99148925871846794</v>
      </c>
      <c r="CD17" s="8">
        <f>X54/AVERAGE(X51:X57)</f>
        <v>0.94255870547707099</v>
      </c>
      <c r="CE17" s="8">
        <f>X55/AVERAGE(X52:X58)</f>
        <v>0.98941622687832464</v>
      </c>
      <c r="CF17" s="8">
        <f>X56/AVERAGE(X53:X59)</f>
        <v>1.0714961948803845</v>
      </c>
      <c r="CG17">
        <v>1</v>
      </c>
      <c r="CJ17">
        <v>2002</v>
      </c>
      <c r="CK17" s="8">
        <f>Y53/AVERAGE(Y50:Y56)</f>
        <v>5.0673063153372473</v>
      </c>
      <c r="CL17" s="8">
        <f>Y54/AVERAGE(Y51:Y57)</f>
        <v>1.7147651006711411</v>
      </c>
      <c r="CM17" s="8">
        <f>Y55/AVERAGE(Y52:Y58)</f>
        <v>6.846558526961859</v>
      </c>
      <c r="CN17" s="8">
        <f>Y56/AVERAGE(Y53:Y59)</f>
        <v>-4.6290773532152842</v>
      </c>
      <c r="CO17">
        <v>1</v>
      </c>
      <c r="CR17">
        <v>2002</v>
      </c>
      <c r="CS17" s="8">
        <f>AA53/AVERAGE(AA50:AA56)</f>
        <v>0.95886927321642479</v>
      </c>
      <c r="CT17" s="8">
        <f>AA54/AVERAGE(AA51:AA57)</f>
        <v>1.035159251188317</v>
      </c>
      <c r="CU17" s="8">
        <f>AA55/AVERAGE(AA52:AA58)</f>
        <v>1.018389122971286</v>
      </c>
      <c r="CV17" s="8">
        <f>AA56/AVERAGE(AA53:AA59)</f>
        <v>0.9787508995658869</v>
      </c>
      <c r="CW17">
        <v>1</v>
      </c>
      <c r="CZ17">
        <v>2002</v>
      </c>
      <c r="DA17" s="8">
        <f>AB53/AVERAGE(AB50:AB56)</f>
        <v>0.95109915649062615</v>
      </c>
      <c r="DB17" s="8">
        <f>AB54/AVERAGE(AB51:AB57)</f>
        <v>1.0436523474504553</v>
      </c>
      <c r="DC17" s="8">
        <f>AB55/AVERAGE(AB52:AB58)</f>
        <v>1.0401799914101544</v>
      </c>
      <c r="DD17" s="8">
        <f>AB56/AVERAGE(AB53:AB59)</f>
        <v>0.9825270526077865</v>
      </c>
      <c r="DE17">
        <v>1</v>
      </c>
      <c r="DH17">
        <v>2002</v>
      </c>
      <c r="DI17" s="8">
        <f>AC53/AVERAGE(AC50:AC56)</f>
        <v>0.96160705548874226</v>
      </c>
      <c r="DJ17" s="8">
        <f>AC54/AVERAGE(AC51:AC57)</f>
        <v>0.97522646624495823</v>
      </c>
      <c r="DK17" s="8">
        <f>AC55/AVERAGE(AC52:AC58)</f>
        <v>0.97450142765444125</v>
      </c>
      <c r="DL17" s="8">
        <f>AC56/AVERAGE(AC53:AC59)</f>
        <v>1.0737083811710677</v>
      </c>
      <c r="DM17">
        <v>1</v>
      </c>
      <c r="DP17">
        <v>2002</v>
      </c>
      <c r="DQ17" s="8">
        <f>AD53/AVERAGE(AD50:AD56)</f>
        <v>1.2463053420864316</v>
      </c>
      <c r="DR17" s="8">
        <f>AD54/AVERAGE(AD51:AD57)</f>
        <v>0.82275714245424025</v>
      </c>
      <c r="DS17" s="8">
        <f>AD55/AVERAGE(AD52:AD58)</f>
        <v>0.90680818378604855</v>
      </c>
      <c r="DT17" s="8">
        <f>AD56/AVERAGE(AD53:AD59)</f>
        <v>0.96084682372100094</v>
      </c>
      <c r="DU17">
        <v>1</v>
      </c>
      <c r="DX17">
        <v>2002</v>
      </c>
      <c r="DY17" s="8">
        <f>AE53/AVERAGE(AE50:AE56)</f>
        <v>0.86270022883295194</v>
      </c>
      <c r="DZ17" s="8">
        <f>AE54/AVERAGE(AE51:AE57)</f>
        <v>1.2607503427645519</v>
      </c>
      <c r="EA17" s="8">
        <f>AE55/AVERAGE(AE52:AE58)</f>
        <v>1.0550806627086506</v>
      </c>
      <c r="EB17" s="8">
        <f>AE56/AVERAGE(AE53:AE59)</f>
        <v>0.94677322074788905</v>
      </c>
      <c r="EC17">
        <v>1</v>
      </c>
      <c r="EF17">
        <v>2002</v>
      </c>
      <c r="EG17" s="8">
        <f>AF53/AVERAGE(AF50:AF56)</f>
        <v>1.0456579136333004</v>
      </c>
      <c r="EH17" s="8">
        <f>AF54/AVERAGE(AF51:AF57)</f>
        <v>0.92689820564429792</v>
      </c>
      <c r="EI17" s="8">
        <f>AF55/AVERAGE(AF52:AF58)</f>
        <v>0.95636911275556091</v>
      </c>
      <c r="EJ17" s="8">
        <f>AF56/AVERAGE(AF53:AF59)</f>
        <v>1.1187552097804945</v>
      </c>
      <c r="EK17">
        <v>1</v>
      </c>
      <c r="EN17">
        <v>2002</v>
      </c>
      <c r="EO17" s="8">
        <f>AG53/AVERAGE(AG50:AG56)</f>
        <v>1.0153746132267423</v>
      </c>
      <c r="EP17" s="8">
        <f>AG54/AVERAGE(AG51:AG57)</f>
        <v>0.96677302427064882</v>
      </c>
      <c r="EQ17" s="8">
        <f>AG55/AVERAGE(AG52:AG58)</f>
        <v>0.99874392220421393</v>
      </c>
      <c r="ER17" s="8">
        <f>AG56/AVERAGE(AG53:AG59)</f>
        <v>1.0611288544699131</v>
      </c>
      <c r="ES17">
        <v>1</v>
      </c>
      <c r="EV17">
        <v>2002</v>
      </c>
      <c r="EW17" s="8">
        <f>AH53/AVERAGE(AH50:AH56)</f>
        <v>0.98862132558102467</v>
      </c>
      <c r="EX17" s="8">
        <f>AH54/AVERAGE(AH51:AH57)</f>
        <v>0.87438090481541597</v>
      </c>
      <c r="EY17" s="8">
        <f>AH55/AVERAGE(AH52:AH58)</f>
        <v>0.96757465358210848</v>
      </c>
      <c r="EZ17" s="8">
        <f>AH56/AVERAGE(AH53:AH59)</f>
        <v>1.0896268325188805</v>
      </c>
      <c r="FA17">
        <v>1</v>
      </c>
      <c r="FD17">
        <v>2002</v>
      </c>
      <c r="FE17" s="8">
        <f>AI53/AVERAGE(AI50:AI56)</f>
        <v>1.0056492379658972</v>
      </c>
      <c r="FF17" s="8">
        <f>AI54/AVERAGE(AI51:AI57)</f>
        <v>0.96816413158825609</v>
      </c>
      <c r="FG17" s="8">
        <f>AI55/AVERAGE(AI52:AI58)</f>
        <v>0.98414403496208158</v>
      </c>
      <c r="FH17" s="8">
        <f>AI56/AVERAGE(AI53:AI59)</f>
        <v>0.99076609565051266</v>
      </c>
      <c r="FI17">
        <v>1</v>
      </c>
    </row>
    <row r="18" spans="1:165" x14ac:dyDescent="0.35">
      <c r="A18" t="s">
        <v>183</v>
      </c>
      <c r="B18" t="str">
        <f t="shared" si="16"/>
        <v>1993</v>
      </c>
      <c r="C18" t="str">
        <f t="shared" si="17"/>
        <v>Q2</v>
      </c>
      <c r="D18" s="13">
        <f>HAVERQ!AL24</f>
        <v>118893</v>
      </c>
      <c r="E18" s="13">
        <f>HAVERQ!AM24</f>
        <v>2522</v>
      </c>
      <c r="F18" s="13">
        <f>HAVERQ!AN24</f>
        <v>33051</v>
      </c>
      <c r="G18" s="13">
        <f>HAVERQ!AO24</f>
        <v>36199</v>
      </c>
      <c r="H18" s="13">
        <f>HAVERQ!AP24</f>
        <v>454</v>
      </c>
      <c r="I18" s="13">
        <f>HAVERQ!AQ24</f>
        <v>138</v>
      </c>
      <c r="J18" s="13">
        <f>HAVERQ!AR24</f>
        <v>42648</v>
      </c>
      <c r="K18" s="13">
        <f>HAVERQ!AS24</f>
        <v>43472</v>
      </c>
      <c r="L18" s="13" t="e">
        <f>HAVERQ!U24</f>
        <v>#N/A</v>
      </c>
      <c r="M18" s="13" t="e">
        <f>HAVERQ!V24</f>
        <v>#N/A</v>
      </c>
      <c r="N18" s="13" t="e">
        <f>HAVERQ!Y24</f>
        <v>#N/A</v>
      </c>
      <c r="O18" s="13" t="e">
        <f>HAVERQ!Z24</f>
        <v>#N/A</v>
      </c>
      <c r="P18" s="13" t="e">
        <f>HAVERQ!AA24</f>
        <v>#N/A</v>
      </c>
      <c r="Q18" s="13" t="e">
        <f>HAVERQ!AB24</f>
        <v>#N/A</v>
      </c>
      <c r="R18" s="13" t="e">
        <f>HAVERQ!AC24</f>
        <v>#N/A</v>
      </c>
      <c r="U18" s="13">
        <f>HAVERQ!AU24</f>
        <v>116681</v>
      </c>
      <c r="V18" s="13">
        <f>HAVERQ!AV24</f>
        <v>2526</v>
      </c>
      <c r="W18" s="13">
        <f>HAVERQ!AW24</f>
        <v>33179</v>
      </c>
      <c r="X18" s="13">
        <f>HAVERQ!AX24</f>
        <v>33563</v>
      </c>
      <c r="Y18" s="13">
        <f>HAVERQ!AY24</f>
        <v>1137</v>
      </c>
      <c r="Z18" s="13">
        <f>HAVERQ!AZ24</f>
        <v>141</v>
      </c>
      <c r="AA18" s="13">
        <f>HAVERQ!BA24</f>
        <v>42524</v>
      </c>
      <c r="AB18" s="13">
        <f>HAVERQ!BB24</f>
        <v>44403</v>
      </c>
      <c r="AC18" s="13" t="e">
        <f>HAVERQ!W24</f>
        <v>#N/A</v>
      </c>
      <c r="AD18" s="13" t="e">
        <f>HAVERQ!X24</f>
        <v>#N/A</v>
      </c>
      <c r="AE18" s="13" t="e">
        <f>HAVERQ!AD24</f>
        <v>#N/A</v>
      </c>
      <c r="AF18" s="13" t="e">
        <f>HAVERQ!AE24</f>
        <v>#N/A</v>
      </c>
      <c r="AG18" s="13" t="e">
        <f>HAVERQ!AF24</f>
        <v>#N/A</v>
      </c>
      <c r="AH18" s="13" t="e">
        <f>HAVERQ!AG24</f>
        <v>#N/A</v>
      </c>
      <c r="AI18" s="13" t="e">
        <f>HAVERQ!AH24</f>
        <v>#N/A</v>
      </c>
      <c r="AL18">
        <v>2003</v>
      </c>
      <c r="AM18" s="15">
        <f t="shared" ca="1" si="22"/>
        <v>1.0362319224032555</v>
      </c>
      <c r="AN18" s="15">
        <f t="shared" ca="1" si="23"/>
        <v>1</v>
      </c>
      <c r="AO18" s="15">
        <f t="shared" ca="1" si="21"/>
        <v>0.9995910674916435</v>
      </c>
      <c r="AP18" s="15">
        <f t="shared" ca="1" si="21"/>
        <v>0.97352448021462101</v>
      </c>
      <c r="AQ18" s="15">
        <f t="shared" ca="1" si="21"/>
        <v>-2.5292125317527518</v>
      </c>
      <c r="AR18" s="15">
        <f t="shared" ca="1" si="21"/>
        <v>1.0853658536585367</v>
      </c>
      <c r="AS18" s="15">
        <f t="shared" ca="1" si="21"/>
        <v>1.0305853401300755</v>
      </c>
      <c r="AT18" s="15">
        <f t="shared" ca="1" si="21"/>
        <v>1.0357088780093877</v>
      </c>
      <c r="AU18" s="15">
        <f t="shared" ca="1" si="21"/>
        <v>1.0127745022643766</v>
      </c>
      <c r="AV18" s="15">
        <f t="shared" ca="1" si="21"/>
        <v>0.81675281455781346</v>
      </c>
      <c r="AW18" s="15">
        <f t="shared" ca="1" si="21"/>
        <v>1.0668611173435045</v>
      </c>
      <c r="AX18" s="15">
        <f t="shared" ca="1" si="21"/>
        <v>0.95192442267319799</v>
      </c>
      <c r="AY18" s="15">
        <f t="shared" ca="1" si="21"/>
        <v>0.97945598530930789</v>
      </c>
      <c r="AZ18" s="15">
        <f t="shared" ca="1" si="21"/>
        <v>0.9740168539325843</v>
      </c>
      <c r="BA18" s="15">
        <f t="shared" ca="1" si="21"/>
        <v>0.98941504178272976</v>
      </c>
      <c r="BD18">
        <v>2003</v>
      </c>
      <c r="BE18" s="8">
        <f>U57/AVERAGE(U54:U60)</f>
        <v>0.95980238579464694</v>
      </c>
      <c r="BF18" s="8">
        <f>U58/AVERAGE(U55:U61)</f>
        <v>0.99139260011304686</v>
      </c>
      <c r="BG18" s="8">
        <f>U59/AVERAGE(U56:U62)</f>
        <v>1.0185512285532197</v>
      </c>
      <c r="BH18" s="8">
        <f>U60/AVERAGE(U57:U63)</f>
        <v>1.0308553942700456</v>
      </c>
      <c r="BI18">
        <v>1</v>
      </c>
      <c r="BL18">
        <v>2003</v>
      </c>
      <c r="BM18" s="8">
        <f>V57/AVERAGE(V54:V60)</f>
        <v>0.99697230769230771</v>
      </c>
      <c r="BN18" s="8">
        <f>V58/AVERAGE(V55:V61)</f>
        <v>1.003902110029868</v>
      </c>
      <c r="BO18" s="8">
        <f>V59/AVERAGE(V56:V62)</f>
        <v>1.0027843979329385</v>
      </c>
      <c r="BP18" s="8">
        <f>V60/AVERAGE(V57:V63)</f>
        <v>1.0067794257155418</v>
      </c>
      <c r="BQ18">
        <v>1</v>
      </c>
      <c r="BT18">
        <v>2003</v>
      </c>
      <c r="BU18" s="8">
        <f>W57/AVERAGE(W54:W60)</f>
        <v>0.98447674011542419</v>
      </c>
      <c r="BV18" s="8">
        <f>W58/AVERAGE(W55:W61)</f>
        <v>1.024161974444491</v>
      </c>
      <c r="BW18" s="8">
        <f>W59/AVERAGE(W56:W62)</f>
        <v>1.0037728870871678</v>
      </c>
      <c r="BX18" s="8">
        <f>W60/AVERAGE(W57:W63)</f>
        <v>0.99528205657311286</v>
      </c>
      <c r="BY18">
        <v>1</v>
      </c>
      <c r="CB18">
        <v>2003</v>
      </c>
      <c r="CC18" s="8">
        <f>X57/AVERAGE(X54:X60)</f>
        <v>1.0720613839113755</v>
      </c>
      <c r="CD18" s="8">
        <f>X58/AVERAGE(X55:X61)</f>
        <v>0.93152926084973975</v>
      </c>
      <c r="CE18" s="8">
        <f>X59/AVERAGE(X56:X62)</f>
        <v>0.96315272458911749</v>
      </c>
      <c r="CF18" s="8">
        <f>X60/AVERAGE(X57:X63)</f>
        <v>1.0062153955172302</v>
      </c>
      <c r="CG18">
        <v>1</v>
      </c>
      <c r="CJ18">
        <v>2003</v>
      </c>
      <c r="CK18" s="8">
        <f>Y57/AVERAGE(Y54:Y60)</f>
        <v>3.966890595009597</v>
      </c>
      <c r="CL18" s="8">
        <f>Y58/AVERAGE(Y55:Y61)</f>
        <v>-4.512979465323518</v>
      </c>
      <c r="CM18" s="8">
        <f>Y59/AVERAGE(Y56:Y62)</f>
        <v>35.18276762402089</v>
      </c>
      <c r="CN18" s="8">
        <f>Y60/AVERAGE(Y57:Y63)</f>
        <v>-0.2625794090954926</v>
      </c>
      <c r="CO18">
        <v>1</v>
      </c>
      <c r="CR18">
        <v>2003</v>
      </c>
      <c r="CS18" s="8">
        <f>AA57/AVERAGE(AA54:AA60)</f>
        <v>0.98661953041622197</v>
      </c>
      <c r="CT18" s="8">
        <f>AA58/AVERAGE(AA55:AA61)</f>
        <v>1.0058978295070948</v>
      </c>
      <c r="CU18" s="8">
        <f>AA59/AVERAGE(AA56:AA62)</f>
        <v>1.0060501525806023</v>
      </c>
      <c r="CV18" s="8">
        <f>AA60/AVERAGE(AA57:AA63)</f>
        <v>1.0130939585292669</v>
      </c>
      <c r="CW18">
        <v>1</v>
      </c>
      <c r="CZ18">
        <v>2003</v>
      </c>
      <c r="DA18" s="8">
        <f>AB57/AVERAGE(AB54:AB60)</f>
        <v>0.96596611586077208</v>
      </c>
      <c r="DB18" s="8">
        <f>AB58/AVERAGE(AB55:AB61)</f>
        <v>0.99558942578790166</v>
      </c>
      <c r="DC18" s="8">
        <f>AB59/AVERAGE(AB56:AB62)</f>
        <v>1.0358610449555334</v>
      </c>
      <c r="DD18" s="8">
        <f>AB60/AVERAGE(AB57:AB63)</f>
        <v>0.99298571977567907</v>
      </c>
      <c r="DE18">
        <v>1</v>
      </c>
      <c r="DH18">
        <v>2003</v>
      </c>
      <c r="DI18" s="8">
        <f>AC57/AVERAGE(AC54:AC60)</f>
        <v>1.0392373268381794</v>
      </c>
      <c r="DJ18" s="8">
        <f>AC58/AVERAGE(AC55:AC61)</f>
        <v>0.97287729115514188</v>
      </c>
      <c r="DK18" s="8">
        <f>AC59/AVERAGE(AC56:AC62)</f>
        <v>0.96955753693091318</v>
      </c>
      <c r="DL18" s="8">
        <f>AC60/AVERAGE(AC57:AC63)</f>
        <v>1.0413067265133917</v>
      </c>
      <c r="DM18">
        <v>1</v>
      </c>
      <c r="DP18">
        <v>2003</v>
      </c>
      <c r="DQ18" s="8">
        <f>AD57/AVERAGE(AD54:AD60)</f>
        <v>1.3848405894548104</v>
      </c>
      <c r="DR18" s="8">
        <f>AD58/AVERAGE(AD55:AD61)</f>
        <v>0.83559901827384053</v>
      </c>
      <c r="DS18" s="8">
        <f>AD59/AVERAGE(AD56:AD62)</f>
        <v>0.85590834777691727</v>
      </c>
      <c r="DT18" s="8">
        <f>AD60/AVERAGE(AD57:AD63)</f>
        <v>0.861740379024315</v>
      </c>
      <c r="DU18">
        <v>1</v>
      </c>
      <c r="DX18">
        <v>2003</v>
      </c>
      <c r="DY18" s="8">
        <f>AE57/AVERAGE(AE54:AE60)</f>
        <v>0.94559616900042431</v>
      </c>
      <c r="DZ18" s="8">
        <f>AE58/AVERAGE(AE55:AE61)</f>
        <v>1.0632599513631127</v>
      </c>
      <c r="EA18" s="8">
        <f>AE59/AVERAGE(AE56:AE62)</f>
        <v>1.0501006486244688</v>
      </c>
      <c r="EB18" s="8">
        <f>AE60/AVERAGE(AE57:AE63)</f>
        <v>0.89650624115300481</v>
      </c>
      <c r="EC18">
        <v>1</v>
      </c>
      <c r="EF18">
        <v>2003</v>
      </c>
      <c r="EG18" s="8">
        <f>AF57/AVERAGE(AF54:AF60)</f>
        <v>1.1256906854525608</v>
      </c>
      <c r="EH18" s="8">
        <f>AF58/AVERAGE(AF55:AF61)</f>
        <v>0.87044209963937491</v>
      </c>
      <c r="EI18" s="8">
        <f>AF59/AVERAGE(AF56:AF62)</f>
        <v>0.91814276533131889</v>
      </c>
      <c r="EJ18" s="8">
        <f>AF60/AVERAGE(AF57:AF63)</f>
        <v>1.0046731134039699</v>
      </c>
      <c r="EK18">
        <v>1</v>
      </c>
      <c r="EN18">
        <v>2003</v>
      </c>
      <c r="EO18" s="8">
        <f>AG57/AVERAGE(AG54:AG60)</f>
        <v>1.0156308109038228</v>
      </c>
      <c r="EP18" s="8">
        <f>AG58/AVERAGE(AG55:AG61)</f>
        <v>0.95652433238443813</v>
      </c>
      <c r="EQ18" s="8">
        <f>AG59/AVERAGE(AG56:AG62)</f>
        <v>0.99613791619600889</v>
      </c>
      <c r="ER18" s="8">
        <f>AG60/AVERAGE(AG57:AG63)</f>
        <v>1.0264279624893435</v>
      </c>
      <c r="ES18">
        <v>1</v>
      </c>
      <c r="EV18">
        <v>2003</v>
      </c>
      <c r="EW18" s="8">
        <f>AH57/AVERAGE(AH54:AH60)</f>
        <v>1.147804058474696</v>
      </c>
      <c r="EX18" s="8">
        <f>AH58/AVERAGE(AH55:AH61)</f>
        <v>0.90802078546431475</v>
      </c>
      <c r="EY18" s="8">
        <f>AH59/AVERAGE(AH56:AH62)</f>
        <v>0.9114995558068163</v>
      </c>
      <c r="EZ18" s="8">
        <f>AH60/AVERAGE(AH57:AH63)</f>
        <v>1.0125870936684487</v>
      </c>
      <c r="FA18">
        <v>1</v>
      </c>
      <c r="FD18">
        <v>2003</v>
      </c>
      <c r="FE18" s="8">
        <f>AI57/AVERAGE(AI54:AI60)</f>
        <v>1.016293407146452</v>
      </c>
      <c r="FF18" s="8">
        <f>AI58/AVERAGE(AI55:AI61)</f>
        <v>1.0197784880169276</v>
      </c>
      <c r="FG18" s="8">
        <f>AI59/AVERAGE(AI56:AI62)</f>
        <v>1.003982840449517</v>
      </c>
      <c r="FH18" s="8">
        <f>AI60/AVERAGE(AI57:AI63)</f>
        <v>1.0062496207754383</v>
      </c>
      <c r="FI18">
        <v>1</v>
      </c>
    </row>
    <row r="19" spans="1:165" x14ac:dyDescent="0.35">
      <c r="A19" t="s">
        <v>184</v>
      </c>
      <c r="B19" t="str">
        <f t="shared" si="16"/>
        <v>1993</v>
      </c>
      <c r="C19" t="str">
        <f t="shared" si="17"/>
        <v>Q3</v>
      </c>
      <c r="D19" s="13">
        <f>HAVERQ!AL25</f>
        <v>121614</v>
      </c>
      <c r="E19" s="13">
        <f>HAVERQ!AM25</f>
        <v>2322</v>
      </c>
      <c r="F19" s="13">
        <f>HAVERQ!AN25</f>
        <v>33580</v>
      </c>
      <c r="G19" s="13">
        <f>HAVERQ!AO25</f>
        <v>36329</v>
      </c>
      <c r="H19" s="13">
        <f>HAVERQ!AP25</f>
        <v>330</v>
      </c>
      <c r="I19" s="13">
        <f>HAVERQ!AQ25</f>
        <v>142</v>
      </c>
      <c r="J19" s="13">
        <f>HAVERQ!AR25</f>
        <v>44114</v>
      </c>
      <c r="K19" s="13">
        <f>HAVERQ!AS25</f>
        <v>44250</v>
      </c>
      <c r="L19" s="13" t="e">
        <f>HAVERQ!U25</f>
        <v>#N/A</v>
      </c>
      <c r="M19" s="13" t="e">
        <f>HAVERQ!V25</f>
        <v>#N/A</v>
      </c>
      <c r="N19" s="13" t="e">
        <f>HAVERQ!Y25</f>
        <v>#N/A</v>
      </c>
      <c r="O19" s="13" t="e">
        <f>HAVERQ!Z25</f>
        <v>#N/A</v>
      </c>
      <c r="P19" s="13" t="e">
        <f>HAVERQ!AA25</f>
        <v>#N/A</v>
      </c>
      <c r="Q19" s="13" t="e">
        <f>HAVERQ!AB25</f>
        <v>#N/A</v>
      </c>
      <c r="R19" s="13" t="e">
        <f>HAVERQ!AC25</f>
        <v>#N/A</v>
      </c>
      <c r="U19" s="13">
        <f>HAVERQ!AU25</f>
        <v>124053</v>
      </c>
      <c r="V19" s="13">
        <f>HAVERQ!AV25</f>
        <v>2452</v>
      </c>
      <c r="W19" s="13">
        <f>HAVERQ!AW25</f>
        <v>33289</v>
      </c>
      <c r="X19" s="13">
        <f>HAVERQ!AX25</f>
        <v>36256</v>
      </c>
      <c r="Y19" s="13">
        <f>HAVERQ!AY25</f>
        <v>468</v>
      </c>
      <c r="Z19" s="13">
        <f>HAVERQ!AZ25</f>
        <v>142</v>
      </c>
      <c r="AA19" s="13">
        <f>HAVERQ!BA25</f>
        <v>44773</v>
      </c>
      <c r="AB19" s="13">
        <f>HAVERQ!BB25</f>
        <v>45630</v>
      </c>
      <c r="AC19" s="13" t="e">
        <f>HAVERQ!W25</f>
        <v>#N/A</v>
      </c>
      <c r="AD19" s="13" t="e">
        <f>HAVERQ!X25</f>
        <v>#N/A</v>
      </c>
      <c r="AE19" s="13" t="e">
        <f>HAVERQ!AD25</f>
        <v>#N/A</v>
      </c>
      <c r="AF19" s="13" t="e">
        <f>HAVERQ!AE25</f>
        <v>#N/A</v>
      </c>
      <c r="AG19" s="13" t="e">
        <f>HAVERQ!AF25</f>
        <v>#N/A</v>
      </c>
      <c r="AH19" s="13" t="e">
        <f>HAVERQ!AG25</f>
        <v>#N/A</v>
      </c>
      <c r="AI19" s="13" t="e">
        <f>HAVERQ!AH25</f>
        <v>#N/A</v>
      </c>
      <c r="AL19">
        <v>2004</v>
      </c>
      <c r="AM19" s="15">
        <f t="shared" ca="1" si="22"/>
        <v>1.0352527685618629</v>
      </c>
      <c r="AN19" s="15">
        <f t="shared" ca="1" si="23"/>
        <v>1</v>
      </c>
      <c r="AO19" s="15">
        <f t="shared" ca="1" si="21"/>
        <v>0.9957932496331322</v>
      </c>
      <c r="AP19" s="15">
        <f t="shared" ca="1" si="21"/>
        <v>0.96502416094145493</v>
      </c>
      <c r="AQ19" s="15">
        <f t="shared" ca="1" si="21"/>
        <v>4.0051679586563305E-2</v>
      </c>
      <c r="AR19" s="15">
        <f t="shared" ca="1" si="21"/>
        <v>1.0921568627450979</v>
      </c>
      <c r="AS19" s="15">
        <f t="shared" ca="1" si="21"/>
        <v>1.026948445282003</v>
      </c>
      <c r="AT19" s="15">
        <f t="shared" ca="1" si="21"/>
        <v>1.0273915444560349</v>
      </c>
      <c r="AU19" s="15">
        <f t="shared" ca="1" si="21"/>
        <v>0.9971246802055741</v>
      </c>
      <c r="AV19" s="15">
        <f t="shared" ca="1" si="21"/>
        <v>0.81686344969199176</v>
      </c>
      <c r="AW19" s="15">
        <f t="shared" ca="1" si="21"/>
        <v>1.0690936106983655</v>
      </c>
      <c r="AX19" s="15">
        <f t="shared" ca="1" si="21"/>
        <v>0.94195191371432851</v>
      </c>
      <c r="AY19" s="15">
        <f t="shared" ca="1" si="21"/>
        <v>0.98231170231889264</v>
      </c>
      <c r="AZ19" s="15">
        <f t="shared" ca="1" si="21"/>
        <v>0.95067148760330578</v>
      </c>
      <c r="BA19" s="15">
        <f t="shared" ca="1" si="21"/>
        <v>0.9867569692205358</v>
      </c>
      <c r="BD19">
        <v>2004</v>
      </c>
      <c r="BE19" s="8">
        <f>U61/AVERAGE(U58:U64)</f>
        <v>0.95945903855378156</v>
      </c>
      <c r="BF19" s="8">
        <f>U62/AVERAGE(U59:U65)</f>
        <v>0.99076917164124811</v>
      </c>
      <c r="BG19" s="8">
        <f>U63/AVERAGE(U60:U66)</f>
        <v>1.0147102094861338</v>
      </c>
      <c r="BH19" s="8">
        <f>U64/AVERAGE(U61:U67)</f>
        <v>1.0332148294515888</v>
      </c>
      <c r="BI19">
        <v>1</v>
      </c>
      <c r="BL19">
        <v>2004</v>
      </c>
      <c r="BM19" s="8">
        <f>V61/AVERAGE(V58:V64)</f>
        <v>0.99748173692091291</v>
      </c>
      <c r="BN19" s="8">
        <f>V62/AVERAGE(V59:V65)</f>
        <v>0.99750312109862671</v>
      </c>
      <c r="BO19" s="8">
        <f>V63/AVERAGE(V60:V66)</f>
        <v>0.99849021924642245</v>
      </c>
      <c r="BP19" s="8">
        <f>V64/AVERAGE(V61:V67)</f>
        <v>1.0027810115120941</v>
      </c>
      <c r="BQ19">
        <v>1</v>
      </c>
      <c r="BT19">
        <v>2004</v>
      </c>
      <c r="BU19" s="8">
        <f>W61/AVERAGE(W58:W64)</f>
        <v>0.98478696707360147</v>
      </c>
      <c r="BV19" s="8">
        <f>W62/AVERAGE(W59:W65)</f>
        <v>1.0142858110992892</v>
      </c>
      <c r="BW19" s="8">
        <f>W63/AVERAGE(W60:W66)</f>
        <v>1.0054673123808384</v>
      </c>
      <c r="BX19" s="8">
        <f>W64/AVERAGE(W61:W67)</f>
        <v>1.0003674440245773</v>
      </c>
      <c r="BY19">
        <v>1</v>
      </c>
      <c r="CB19">
        <v>2004</v>
      </c>
      <c r="CC19" s="8">
        <f>X61/AVERAGE(X58:X64)</f>
        <v>1.059103218634909</v>
      </c>
      <c r="CD19" s="8">
        <f>X62/AVERAGE(X59:X65)</f>
        <v>0.94687948141544909</v>
      </c>
      <c r="CE19" s="8">
        <f>X63/AVERAGE(X60:X66)</f>
        <v>0.9787277742617293</v>
      </c>
      <c r="CF19" s="8">
        <f>X64/AVERAGE(X61:X67)</f>
        <v>1.0062982623207399</v>
      </c>
      <c r="CG19">
        <v>1</v>
      </c>
      <c r="CJ19">
        <v>2004</v>
      </c>
      <c r="CK19" s="8">
        <f>Y61/AVERAGE(Y58:Y64)</f>
        <v>3.4132717345653085</v>
      </c>
      <c r="CL19" s="8">
        <f>Y62/AVERAGE(Y59:Y65)</f>
        <v>0.32144828347499727</v>
      </c>
      <c r="CM19" s="8">
        <f>Y63/AVERAGE(Y60:Y66)</f>
        <v>8.9868057686406875</v>
      </c>
      <c r="CN19" s="8">
        <f>Y64/AVERAGE(Y61:Y67)</f>
        <v>-4.1254634435711104</v>
      </c>
      <c r="CO19">
        <v>1</v>
      </c>
      <c r="CR19">
        <v>2004</v>
      </c>
      <c r="CS19" s="8">
        <f>AA61/AVERAGE(AA58:AA64)</f>
        <v>0.95076943891384513</v>
      </c>
      <c r="CT19" s="8">
        <f>AA62/AVERAGE(AA59:AA65)</f>
        <v>0.99511987310219796</v>
      </c>
      <c r="CU19" s="8">
        <f>AA63/AVERAGE(AA60:AA66)</f>
        <v>0.99842644562564276</v>
      </c>
      <c r="CV19" s="8">
        <f>AA64/AVERAGE(AA61:AA67)</f>
        <v>1.0306711279216372</v>
      </c>
      <c r="CW19">
        <v>1</v>
      </c>
      <c r="CZ19">
        <v>2004</v>
      </c>
      <c r="DA19" s="8">
        <f>AB61/AVERAGE(AB58:AB64)</f>
        <v>0.95169568162630602</v>
      </c>
      <c r="DB19" s="8">
        <f>AB62/AVERAGE(AB59:AB65)</f>
        <v>0.99488164844623828</v>
      </c>
      <c r="DC19" s="8">
        <f>AB63/AVERAGE(AB60:AB66)</f>
        <v>1.0366466434887811</v>
      </c>
      <c r="DD19" s="8">
        <f>AB64/AVERAGE(AB61:AB67)</f>
        <v>1.001805699178739</v>
      </c>
      <c r="DE19">
        <v>1</v>
      </c>
      <c r="DH19">
        <v>2004</v>
      </c>
      <c r="DI19" s="8">
        <f>AC61/AVERAGE(AC58:AC64)</f>
        <v>1.0209720240925662</v>
      </c>
      <c r="DJ19" s="8">
        <f>AC62/AVERAGE(AC59:AC65)</f>
        <v>0.91683269239679377</v>
      </c>
      <c r="DK19" s="8">
        <f>AC63/AVERAGE(AC60:AC66)</f>
        <v>0.89363619643185577</v>
      </c>
      <c r="DL19" s="8">
        <f>AC64/AVERAGE(AC61:AC67)</f>
        <v>0.96268563849322086</v>
      </c>
      <c r="DM19">
        <v>1</v>
      </c>
      <c r="DP19">
        <v>2004</v>
      </c>
      <c r="DQ19" s="8">
        <f>AD61/AVERAGE(AD58:AD64)</f>
        <v>1.3057550512304894</v>
      </c>
      <c r="DR19" s="8">
        <f>AD62/AVERAGE(AD59:AD65)</f>
        <v>0.8966209792002735</v>
      </c>
      <c r="DS19" s="8">
        <f>AD63/AVERAGE(AD60:AD66)</f>
        <v>1.2477379484266098</v>
      </c>
      <c r="DT19" s="8">
        <f>AD64/AVERAGE(AD61:AD67)</f>
        <v>1.2544440431764377</v>
      </c>
      <c r="DU19">
        <v>1</v>
      </c>
      <c r="DX19">
        <v>2004</v>
      </c>
      <c r="DY19" s="8">
        <f>AE61/AVERAGE(AE58:AE64)</f>
        <v>0.93179495632108134</v>
      </c>
      <c r="DZ19" s="8">
        <f>AE62/AVERAGE(AE59:AE65)</f>
        <v>1.1710135019654759</v>
      </c>
      <c r="EA19" s="8">
        <f>AE63/AVERAGE(AE60:AE66)</f>
        <v>1.0123565455838044</v>
      </c>
      <c r="EB19" s="8">
        <f>AE64/AVERAGE(AE61:AE67)</f>
        <v>0.87223603736810273</v>
      </c>
      <c r="EC19">
        <v>1</v>
      </c>
      <c r="EF19">
        <v>2004</v>
      </c>
      <c r="EG19" s="8">
        <f>AF61/AVERAGE(AF58:AF64)</f>
        <v>1.0924637918337288</v>
      </c>
      <c r="EH19" s="8">
        <f>AF62/AVERAGE(AF59:AF65)</f>
        <v>0.91224378369770465</v>
      </c>
      <c r="EI19" s="8">
        <f>AF63/AVERAGE(AF60:AF66)</f>
        <v>0.96003388873199669</v>
      </c>
      <c r="EJ19" s="8">
        <f>AF64/AVERAGE(AF61:AF67)</f>
        <v>1.0320537533733547</v>
      </c>
      <c r="EK19">
        <v>1</v>
      </c>
      <c r="EN19">
        <v>2004</v>
      </c>
      <c r="EO19" s="8">
        <f>AG61/AVERAGE(AG58:AG64)</f>
        <v>1.0351418166352109</v>
      </c>
      <c r="EP19" s="8">
        <f>AG62/AVERAGE(AG59:AG65)</f>
        <v>0.95716916766078564</v>
      </c>
      <c r="EQ19" s="8">
        <f>AG63/AVERAGE(AG60:AG66)</f>
        <v>0.99930219963339439</v>
      </c>
      <c r="ER19" s="8">
        <f>AG64/AVERAGE(AG61:AG67)</f>
        <v>1.0068789134844343</v>
      </c>
      <c r="ES19">
        <v>1</v>
      </c>
      <c r="EV19">
        <v>2004</v>
      </c>
      <c r="EW19" s="8">
        <f>AH61/AVERAGE(AH58:AH64)</f>
        <v>1.1003349233735917</v>
      </c>
      <c r="EX19" s="8">
        <f>AH62/AVERAGE(AH59:AH65)</f>
        <v>0.90183440026212702</v>
      </c>
      <c r="EY19" s="8">
        <f>AH63/AVERAGE(AH60:AH66)</f>
        <v>0.9705256437539902</v>
      </c>
      <c r="EZ19" s="8">
        <f>AH64/AVERAGE(AH61:AH67)</f>
        <v>1.0350870507538048</v>
      </c>
      <c r="FA19">
        <v>1</v>
      </c>
      <c r="FD19">
        <v>2004</v>
      </c>
      <c r="FE19" s="8">
        <f>AI61/AVERAGE(AI58:AI64)</f>
        <v>0.99218314748309355</v>
      </c>
      <c r="FF19" s="8">
        <f>AI62/AVERAGE(AI59:AI65)</f>
        <v>0.96869393005856663</v>
      </c>
      <c r="FG19" s="8">
        <f>AI63/AVERAGE(AI60:AI66)</f>
        <v>0.99347193939546308</v>
      </c>
      <c r="FH19" s="8">
        <f>AI64/AVERAGE(AI61:AI67)</f>
        <v>1.0117891529857852</v>
      </c>
      <c r="FI19">
        <v>1</v>
      </c>
    </row>
    <row r="20" spans="1:165" x14ac:dyDescent="0.35">
      <c r="A20" t="s">
        <v>185</v>
      </c>
      <c r="B20" t="str">
        <f t="shared" si="16"/>
        <v>1993</v>
      </c>
      <c r="C20" t="str">
        <f t="shared" si="17"/>
        <v>Q4</v>
      </c>
      <c r="D20" s="13">
        <f>HAVERQ!AL26</f>
        <v>123418</v>
      </c>
      <c r="E20" s="13">
        <f>HAVERQ!AM26</f>
        <v>2453</v>
      </c>
      <c r="F20" s="13">
        <f>HAVERQ!AN26</f>
        <v>33933</v>
      </c>
      <c r="G20" s="13">
        <f>HAVERQ!AO26</f>
        <v>37290</v>
      </c>
      <c r="H20" s="13">
        <f>HAVERQ!AP26</f>
        <v>-133</v>
      </c>
      <c r="I20" s="13">
        <f>HAVERQ!AQ26</f>
        <v>154</v>
      </c>
      <c r="J20" s="13">
        <f>HAVERQ!AR26</f>
        <v>45579</v>
      </c>
      <c r="K20" s="13">
        <f>HAVERQ!AS26</f>
        <v>45135</v>
      </c>
      <c r="L20" s="13" t="e">
        <f>HAVERQ!U26</f>
        <v>#N/A</v>
      </c>
      <c r="M20" s="13" t="e">
        <f>HAVERQ!V26</f>
        <v>#N/A</v>
      </c>
      <c r="N20" s="13" t="e">
        <f>HAVERQ!Y26</f>
        <v>#N/A</v>
      </c>
      <c r="O20" s="13" t="e">
        <f>HAVERQ!Z26</f>
        <v>#N/A</v>
      </c>
      <c r="P20" s="13" t="e">
        <f>HAVERQ!AA26</f>
        <v>#N/A</v>
      </c>
      <c r="Q20" s="13" t="e">
        <f>HAVERQ!AB26</f>
        <v>#N/A</v>
      </c>
      <c r="R20" s="13" t="e">
        <f>HAVERQ!AC26</f>
        <v>#N/A</v>
      </c>
      <c r="U20" s="13">
        <f>HAVERQ!AU26</f>
        <v>127488</v>
      </c>
      <c r="V20" s="13">
        <f>HAVERQ!AV26</f>
        <v>2387</v>
      </c>
      <c r="W20" s="13">
        <f>HAVERQ!AW26</f>
        <v>33967</v>
      </c>
      <c r="X20" s="13">
        <f>HAVERQ!AX26</f>
        <v>38276</v>
      </c>
      <c r="Y20" s="13">
        <f>HAVERQ!AY26</f>
        <v>189</v>
      </c>
      <c r="Z20" s="13">
        <f>HAVERQ!AZ26</f>
        <v>154</v>
      </c>
      <c r="AA20" s="13">
        <f>HAVERQ!BA26</f>
        <v>46134</v>
      </c>
      <c r="AB20" s="13">
        <f>HAVERQ!BB26</f>
        <v>44293</v>
      </c>
      <c r="AC20" s="13" t="e">
        <f>HAVERQ!W26</f>
        <v>#N/A</v>
      </c>
      <c r="AD20" s="13" t="e">
        <f>HAVERQ!X26</f>
        <v>#N/A</v>
      </c>
      <c r="AE20" s="13" t="e">
        <f>HAVERQ!AD26</f>
        <v>#N/A</v>
      </c>
      <c r="AF20" s="13" t="e">
        <f>HAVERQ!AE26</f>
        <v>#N/A</v>
      </c>
      <c r="AG20" s="13" t="e">
        <f>HAVERQ!AF26</f>
        <v>#N/A</v>
      </c>
      <c r="AH20" s="13" t="e">
        <f>HAVERQ!AG26</f>
        <v>#N/A</v>
      </c>
      <c r="AI20" s="13" t="e">
        <f>HAVERQ!AH26</f>
        <v>#N/A</v>
      </c>
      <c r="AL20">
        <v>2005</v>
      </c>
      <c r="AM20" s="15">
        <f t="shared" ca="1" si="22"/>
        <v>1.0335109996842196</v>
      </c>
      <c r="AN20" s="15">
        <f t="shared" ca="1" si="23"/>
        <v>1</v>
      </c>
      <c r="AO20" s="15">
        <f t="shared" ca="1" si="21"/>
        <v>0.99444654040594582</v>
      </c>
      <c r="AP20" s="15">
        <f t="shared" ca="1" si="21"/>
        <v>0.9637170083380352</v>
      </c>
      <c r="AQ20" s="15">
        <f t="shared" ca="1" si="21"/>
        <v>-0.1139384732244588</v>
      </c>
      <c r="AR20" s="15">
        <f t="shared" ca="1" si="21"/>
        <v>1.1156316916488223</v>
      </c>
      <c r="AS20" s="15">
        <f t="shared" ca="1" si="21"/>
        <v>1.0314646382504911</v>
      </c>
      <c r="AT20" s="15">
        <f t="shared" ca="1" si="21"/>
        <v>1.0401271627385731</v>
      </c>
      <c r="AU20" s="15">
        <f t="shared" ca="1" si="21"/>
        <v>1.0515043345232025</v>
      </c>
      <c r="AV20" s="15">
        <f t="shared" ca="1" si="21"/>
        <v>0.74622107969151674</v>
      </c>
      <c r="AW20" s="15">
        <f t="shared" ca="1" si="21"/>
        <v>1.0599945459503681</v>
      </c>
      <c r="AX20" s="15">
        <f t="shared" ca="1" si="21"/>
        <v>0.94268409779156515</v>
      </c>
      <c r="AY20" s="15">
        <f t="shared" ca="1" si="21"/>
        <v>0.98235919234856539</v>
      </c>
      <c r="AZ20" s="15">
        <f t="shared" ca="1" si="21"/>
        <v>0.9716684789174822</v>
      </c>
      <c r="BA20" s="15">
        <f t="shared" ca="1" si="21"/>
        <v>0.98361204013377923</v>
      </c>
      <c r="BD20">
        <v>2005</v>
      </c>
      <c r="BE20" s="8">
        <f>U65/AVERAGE(U62:U68)</f>
        <v>0.96798336413191988</v>
      </c>
      <c r="BF20" s="8">
        <f>U66/AVERAGE(U63:U69)</f>
        <v>0.98960042455835995</v>
      </c>
      <c r="BG20" s="8">
        <f>U67/AVERAGE(U64:U70)</f>
        <v>1.0144499106100253</v>
      </c>
      <c r="BH20" s="8">
        <f>U68/AVERAGE(U65:U71)</f>
        <v>1.0319633520398186</v>
      </c>
      <c r="BI20">
        <v>1</v>
      </c>
      <c r="BL20">
        <v>2005</v>
      </c>
      <c r="BM20" s="8">
        <f>V65/AVERAGE(V62:V68)</f>
        <v>0.99663726920880658</v>
      </c>
      <c r="BN20" s="8">
        <f>V66/AVERAGE(V63:V69)</f>
        <v>1.0063600274354123</v>
      </c>
      <c r="BO20" s="8">
        <f>V67/AVERAGE(V64:V70)</f>
        <v>0.98793209245244418</v>
      </c>
      <c r="BP20" s="8">
        <f>V68/AVERAGE(V65:V71)</f>
        <v>1.0134737181814515</v>
      </c>
      <c r="BQ20">
        <v>1</v>
      </c>
      <c r="BT20">
        <v>2005</v>
      </c>
      <c r="BU20" s="8">
        <f>W65/AVERAGE(W62:W68)</f>
        <v>0.99091237297296142</v>
      </c>
      <c r="BV20" s="8">
        <f>W66/AVERAGE(W63:W69)</f>
        <v>1.0089982797406378</v>
      </c>
      <c r="BW20" s="8">
        <f>W67/AVERAGE(W64:W70)</f>
        <v>0.99888078150827631</v>
      </c>
      <c r="BX20" s="8">
        <f>W68/AVERAGE(W65:W71)</f>
        <v>0.99179711308935314</v>
      </c>
      <c r="BY20">
        <v>1</v>
      </c>
      <c r="CB20">
        <v>2005</v>
      </c>
      <c r="CC20" s="8">
        <f>X65/AVERAGE(X62:X68)</f>
        <v>1.0391941980022477</v>
      </c>
      <c r="CD20" s="8">
        <f>X66/AVERAGE(X63:X69)</f>
        <v>0.96785671441796461</v>
      </c>
      <c r="CE20" s="8">
        <f>X67/AVERAGE(X64:X70)</f>
        <v>0.9891433763629528</v>
      </c>
      <c r="CF20" s="8">
        <f>X68/AVERAGE(X65:X71)</f>
        <v>1.0217064831407559</v>
      </c>
      <c r="CG20">
        <v>1</v>
      </c>
      <c r="CJ20">
        <v>2005</v>
      </c>
      <c r="CK20" s="8">
        <f>Y65/AVERAGE(Y62:Y68)</f>
        <v>6.1151293961512945</v>
      </c>
      <c r="CL20" s="8">
        <f>Y66/AVERAGE(Y63:Y69)</f>
        <v>-1.516329704510109</v>
      </c>
      <c r="CM20" s="8">
        <f>Y67/AVERAGE(Y64:Y70)</f>
        <v>4.1763803680981599</v>
      </c>
      <c r="CN20" s="8">
        <f>Y68/AVERAGE(Y65:Y71)</f>
        <v>-0.90958625785001845</v>
      </c>
      <c r="CO20">
        <v>1</v>
      </c>
      <c r="CR20">
        <v>2005</v>
      </c>
      <c r="CS20" s="8">
        <f>AA65/AVERAGE(AA62:AA68)</f>
        <v>0.93606040124737344</v>
      </c>
      <c r="CT20" s="8">
        <f>AA66/AVERAGE(AA63:AA69)</f>
        <v>1.004351156339107</v>
      </c>
      <c r="CU20" s="8">
        <f>AA67/AVERAGE(AA64:AA70)</f>
        <v>0.96879064918770808</v>
      </c>
      <c r="CV20" s="8">
        <f>AA68/AVERAGE(AA65:AA71)</f>
        <v>1.0006920394311374</v>
      </c>
      <c r="CW20">
        <v>1</v>
      </c>
      <c r="CZ20">
        <v>2005</v>
      </c>
      <c r="DA20" s="8">
        <f>AB65/AVERAGE(AB62:AB68)</f>
        <v>0.9399769969150068</v>
      </c>
      <c r="DB20" s="8">
        <f>AB66/AVERAGE(AB63:AB69)</f>
        <v>0.98419239103406619</v>
      </c>
      <c r="DC20" s="8">
        <f>AB67/AVERAGE(AB64:AB70)</f>
        <v>1.0079824995754749</v>
      </c>
      <c r="DD20" s="8">
        <f>AB68/AVERAGE(AB65:AB71)</f>
        <v>0.98056118692305649</v>
      </c>
      <c r="DE20">
        <v>1</v>
      </c>
      <c r="DH20">
        <v>2005</v>
      </c>
      <c r="DI20" s="8">
        <f>AC65/AVERAGE(AC62:AC68)</f>
        <v>0.89841732611411906</v>
      </c>
      <c r="DJ20" s="8">
        <f>AC66/AVERAGE(AC63:AC69)</f>
        <v>1.3566896089604916</v>
      </c>
      <c r="DK20" s="8">
        <f>AC67/AVERAGE(AC64:AC70)</f>
        <v>0.96111249448223557</v>
      </c>
      <c r="DL20" s="8">
        <f>AC68/AVERAGE(AC65:AC71)</f>
        <v>0.98910738357630246</v>
      </c>
      <c r="DM20">
        <v>1</v>
      </c>
      <c r="DP20">
        <v>2005</v>
      </c>
      <c r="DQ20" s="8">
        <f>AD65/AVERAGE(AD62:AD68)</f>
        <v>1.8902108872815115</v>
      </c>
      <c r="DR20" s="8">
        <f>AD66/AVERAGE(AD63:AD69)</f>
        <v>-1.0469886888724016</v>
      </c>
      <c r="DS20" s="8">
        <f>AD67/AVERAGE(AD64:AD70)</f>
        <v>1.2301104410867945</v>
      </c>
      <c r="DT20" s="8">
        <f>AD68/AVERAGE(AD65:AD71)</f>
        <v>1.2398516864464018</v>
      </c>
      <c r="DU20">
        <v>1</v>
      </c>
      <c r="DX20">
        <v>2005</v>
      </c>
      <c r="DY20" s="8">
        <f>AE65/AVERAGE(AE62:AE68)</f>
        <v>0.86241768579492006</v>
      </c>
      <c r="DZ20" s="8">
        <f>AE66/AVERAGE(AE63:AE69)</f>
        <v>1.1860409718913769</v>
      </c>
      <c r="EA20" s="8">
        <f>AE67/AVERAGE(AE64:AE70)</f>
        <v>0.97518906726814381</v>
      </c>
      <c r="EB20" s="8">
        <f>AE68/AVERAGE(AE65:AE71)</f>
        <v>0.8914782389620205</v>
      </c>
      <c r="EC20">
        <v>1</v>
      </c>
      <c r="EF20">
        <v>2005</v>
      </c>
      <c r="EG20" s="8">
        <f>AF65/AVERAGE(AF62:AF68)</f>
        <v>1.0150479821780483</v>
      </c>
      <c r="EH20" s="8">
        <f>AF66/AVERAGE(AF63:AF69)</f>
        <v>0.87768811698685134</v>
      </c>
      <c r="EI20" s="8">
        <f>AF67/AVERAGE(AF64:AF70)</f>
        <v>1.0337689535047623</v>
      </c>
      <c r="EJ20" s="8">
        <f>AF68/AVERAGE(AF65:AF71)</f>
        <v>1.1012074599899295</v>
      </c>
      <c r="EK20">
        <v>1</v>
      </c>
      <c r="EN20">
        <v>2005</v>
      </c>
      <c r="EO20" s="8">
        <f>AG65/AVERAGE(AG62:AG68)</f>
        <v>1.0258420200174427</v>
      </c>
      <c r="EP20" s="8">
        <f>AG66/AVERAGE(AG63:AG69)</f>
        <v>0.98274597123815477</v>
      </c>
      <c r="EQ20" s="8">
        <f>AG67/AVERAGE(AG64:AG70)</f>
        <v>1.015284564604275</v>
      </c>
      <c r="ER20" s="8">
        <f>AG68/AVERAGE(AG65:AG71)</f>
        <v>1.008682073703935</v>
      </c>
      <c r="ES20">
        <v>1</v>
      </c>
      <c r="EV20">
        <v>2005</v>
      </c>
      <c r="EW20" s="8">
        <f>AH65/AVERAGE(AH62:AH68)</f>
        <v>1.0881891686309126</v>
      </c>
      <c r="EX20" s="8">
        <f>AH66/AVERAGE(AH63:AH69)</f>
        <v>0.89369153034168791</v>
      </c>
      <c r="EY20" s="8">
        <f>AH67/AVERAGE(AH64:AH70)</f>
        <v>1.0032253984315709</v>
      </c>
      <c r="EZ20" s="8">
        <f>AH68/AVERAGE(AH65:AH71)</f>
        <v>1.0602424123681962</v>
      </c>
      <c r="FA20">
        <v>1</v>
      </c>
      <c r="FD20">
        <v>2005</v>
      </c>
      <c r="FE20" s="8">
        <f>AI65/AVERAGE(AI62:AI68)</f>
        <v>1.0261480634090538</v>
      </c>
      <c r="FF20" s="8">
        <f>AI66/AVERAGE(AI63:AI69)</f>
        <v>0.98242073312350342</v>
      </c>
      <c r="FG20" s="8">
        <f>AI67/AVERAGE(AI64:AI70)</f>
        <v>1.0042302126238449</v>
      </c>
      <c r="FH20" s="8">
        <f>AI68/AVERAGE(AI65:AI71)</f>
        <v>1.0063044702262471</v>
      </c>
      <c r="FI20">
        <v>1</v>
      </c>
    </row>
    <row r="21" spans="1:165" x14ac:dyDescent="0.35">
      <c r="A21" t="s">
        <v>186</v>
      </c>
      <c r="B21" t="str">
        <f t="shared" si="16"/>
        <v>1994</v>
      </c>
      <c r="C21" t="str">
        <f t="shared" si="17"/>
        <v>Q1</v>
      </c>
      <c r="D21" s="13">
        <f>HAVERQ!AL27</f>
        <v>124673</v>
      </c>
      <c r="E21" s="13">
        <f>HAVERQ!AM27</f>
        <v>2462</v>
      </c>
      <c r="F21" s="13">
        <f>HAVERQ!AN27</f>
        <v>34606</v>
      </c>
      <c r="G21" s="13">
        <f>HAVERQ!AO27</f>
        <v>37567</v>
      </c>
      <c r="H21" s="13">
        <f>HAVERQ!AP27</f>
        <v>423</v>
      </c>
      <c r="I21" s="13">
        <f>HAVERQ!AQ27</f>
        <v>170</v>
      </c>
      <c r="J21" s="13">
        <f>HAVERQ!AR27</f>
        <v>46933</v>
      </c>
      <c r="K21" s="13">
        <f>HAVERQ!AS27</f>
        <v>46363</v>
      </c>
      <c r="L21" s="13" t="e">
        <f>HAVERQ!U27</f>
        <v>#N/A</v>
      </c>
      <c r="M21" s="13" t="e">
        <f>HAVERQ!V27</f>
        <v>#N/A</v>
      </c>
      <c r="N21" s="13" t="e">
        <f>HAVERQ!Y27</f>
        <v>#N/A</v>
      </c>
      <c r="O21" s="13" t="e">
        <f>HAVERQ!Z27</f>
        <v>#N/A</v>
      </c>
      <c r="P21" s="13" t="e">
        <f>HAVERQ!AA27</f>
        <v>#N/A</v>
      </c>
      <c r="Q21" s="13" t="e">
        <f>HAVERQ!AB27</f>
        <v>#N/A</v>
      </c>
      <c r="R21" s="13" t="e">
        <f>HAVERQ!AC27</f>
        <v>#N/A</v>
      </c>
      <c r="U21" s="13">
        <f>HAVERQ!AU27</f>
        <v>120175</v>
      </c>
      <c r="V21" s="13">
        <f>HAVERQ!AV27</f>
        <v>2462</v>
      </c>
      <c r="W21" s="13">
        <f>HAVERQ!AW27</f>
        <v>34428</v>
      </c>
      <c r="X21" s="13">
        <f>HAVERQ!AX27</f>
        <v>39897</v>
      </c>
      <c r="Y21" s="13">
        <f>HAVERQ!AY27</f>
        <v>-323</v>
      </c>
      <c r="Z21" s="13">
        <f>HAVERQ!AZ27</f>
        <v>168</v>
      </c>
      <c r="AA21" s="13">
        <f>HAVERQ!BA27</f>
        <v>46000</v>
      </c>
      <c r="AB21" s="13">
        <f>HAVERQ!BB27</f>
        <v>45040</v>
      </c>
      <c r="AC21" s="13" t="e">
        <f>HAVERQ!W27</f>
        <v>#N/A</v>
      </c>
      <c r="AD21" s="13" t="e">
        <f>HAVERQ!X27</f>
        <v>#N/A</v>
      </c>
      <c r="AE21" s="13" t="e">
        <f>HAVERQ!AD27</f>
        <v>#N/A</v>
      </c>
      <c r="AF21" s="13" t="e">
        <f>HAVERQ!AE27</f>
        <v>#N/A</v>
      </c>
      <c r="AG21" s="13" t="e">
        <f>HAVERQ!AF27</f>
        <v>#N/A</v>
      </c>
      <c r="AH21" s="13" t="e">
        <f>HAVERQ!AG27</f>
        <v>#N/A</v>
      </c>
      <c r="AI21" s="13" t="e">
        <f>HAVERQ!AH27</f>
        <v>#N/A</v>
      </c>
      <c r="AL21">
        <v>2006</v>
      </c>
      <c r="AM21" s="15">
        <f t="shared" ca="1" si="22"/>
        <v>1.0333599457848661</v>
      </c>
      <c r="AN21" s="15">
        <f t="shared" ca="1" si="23"/>
        <v>1</v>
      </c>
      <c r="AO21" s="15">
        <f t="shared" ca="1" si="21"/>
        <v>0.99270710571923748</v>
      </c>
      <c r="AP21" s="15">
        <f t="shared" ca="1" si="21"/>
        <v>0.97743917714150985</v>
      </c>
      <c r="AQ21" s="15">
        <f t="shared" ca="1" si="21"/>
        <v>0.49453466583385386</v>
      </c>
      <c r="AR21" s="15">
        <f t="shared" ca="1" si="21"/>
        <v>1.0597484276729561</v>
      </c>
      <c r="AS21" s="15">
        <f t="shared" ca="1" si="21"/>
        <v>1.0159801032048332</v>
      </c>
      <c r="AT21" s="15">
        <f t="shared" ca="1" si="21"/>
        <v>1.0243226600985222</v>
      </c>
      <c r="AU21" s="15">
        <f t="shared" ca="1" si="21"/>
        <v>1.0437916524050175</v>
      </c>
      <c r="AV21" s="15">
        <f t="shared" ca="1" si="21"/>
        <v>0.74702168215391951</v>
      </c>
      <c r="AW21" s="15">
        <f t="shared" ca="1" si="21"/>
        <v>1.0976527900797166</v>
      </c>
      <c r="AX21" s="15">
        <f t="shared" ca="1" si="21"/>
        <v>0.92490947207928342</v>
      </c>
      <c r="AY21" s="15">
        <f t="shared" ca="1" si="21"/>
        <v>0.9830007390983001</v>
      </c>
      <c r="AZ21" s="15">
        <f t="shared" ca="1" si="21"/>
        <v>0.99467653162501124</v>
      </c>
      <c r="BA21" s="15">
        <f t="shared" ca="1" si="21"/>
        <v>0.97562918126791975</v>
      </c>
      <c r="BD21">
        <v>2006</v>
      </c>
      <c r="BE21" s="8">
        <f>U69/AVERAGE(U66:U72)</f>
        <v>0.95975261358856034</v>
      </c>
      <c r="BF21" s="8">
        <f>U70/AVERAGE(U67:U73)</f>
        <v>0.9937160152978245</v>
      </c>
      <c r="BG21" s="8">
        <f>U71/AVERAGE(U68:U74)</f>
        <v>1.0146371445953251</v>
      </c>
      <c r="BH21" s="8">
        <f>U72/AVERAGE(U69:U75)</f>
        <v>1.0268404545872505</v>
      </c>
      <c r="BI21">
        <v>1</v>
      </c>
      <c r="BL21">
        <v>2006</v>
      </c>
      <c r="BM21" s="8">
        <f>V69/AVERAGE(V66:V72)</f>
        <v>1.0064102564102564</v>
      </c>
      <c r="BN21" s="8">
        <f>V70/AVERAGE(V67:V73)</f>
        <v>1.0091485704123773</v>
      </c>
      <c r="BO21" s="8">
        <f>V71/AVERAGE(V68:V74)</f>
        <v>1.004717165785868</v>
      </c>
      <c r="BP21" s="8">
        <f>V72/AVERAGE(V69:V75)</f>
        <v>1.0062670299727521</v>
      </c>
      <c r="BQ21">
        <v>1</v>
      </c>
      <c r="BT21">
        <v>2006</v>
      </c>
      <c r="BU21" s="8">
        <f>W69/AVERAGE(W66:W72)</f>
        <v>1.0146813513676469</v>
      </c>
      <c r="BV21" s="8">
        <f>W70/AVERAGE(W67:W73)</f>
        <v>1.0026444102091705</v>
      </c>
      <c r="BW21" s="8">
        <f>W71/AVERAGE(W68:W74)</f>
        <v>1.0002645658180962</v>
      </c>
      <c r="BX21" s="8">
        <f>W72/AVERAGE(W69:W75)</f>
        <v>0.99134535474768548</v>
      </c>
      <c r="BY21">
        <v>1</v>
      </c>
      <c r="CB21">
        <v>2006</v>
      </c>
      <c r="CC21" s="8">
        <f>X69/AVERAGE(X66:X72)</f>
        <v>1.0284106654196543</v>
      </c>
      <c r="CD21" s="8">
        <f>X70/AVERAGE(X67:X73)</f>
        <v>0.93707682490475608</v>
      </c>
      <c r="CE21" s="8">
        <f>X71/AVERAGE(X68:X74)</f>
        <v>1.0050490539009926</v>
      </c>
      <c r="CF21" s="8">
        <f>X72/AVERAGE(X69:X75)</f>
        <v>1.0220262593860729</v>
      </c>
      <c r="CG21">
        <v>1</v>
      </c>
      <c r="CJ21">
        <v>2006</v>
      </c>
      <c r="CK21" s="8">
        <f>Y69/AVERAGE(Y66:Y72)</f>
        <v>8.2739018087855296</v>
      </c>
      <c r="CL21" s="8">
        <f>Y70/AVERAGE(Y67:Y73)</f>
        <v>0.21684308841843089</v>
      </c>
      <c r="CM21" s="8">
        <f>Y71/AVERAGE(Y68:Y74)</f>
        <v>1.8793640386821833</v>
      </c>
      <c r="CN21" s="8">
        <f>Y72/AVERAGE(Y69:Y75)</f>
        <v>-1.452188854026595</v>
      </c>
      <c r="CO21">
        <v>1</v>
      </c>
      <c r="CR21">
        <v>2006</v>
      </c>
      <c r="CS21" s="8">
        <f>AA69/AVERAGE(AA66:AA72)</f>
        <v>1.0529021900820359</v>
      </c>
      <c r="CT21" s="8">
        <f>AA70/AVERAGE(AA67:AA73)</f>
        <v>1.1238781595512932</v>
      </c>
      <c r="CU21" s="8">
        <f>AA71/AVERAGE(AA68:AA74)</f>
        <v>0.9761872745280904</v>
      </c>
      <c r="CV21" s="8">
        <f>AA72/AVERAGE(AA69:AA75)</f>
        <v>0.97673786915662208</v>
      </c>
      <c r="CW21">
        <v>1</v>
      </c>
      <c r="CZ21">
        <v>2006</v>
      </c>
      <c r="DA21" s="8">
        <f>AB69/AVERAGE(AB66:AB72)</f>
        <v>1.0602135996631561</v>
      </c>
      <c r="DB21" s="8">
        <f>AB70/AVERAGE(AB67:AB73)</f>
        <v>1.1072049709727201</v>
      </c>
      <c r="DC21" s="8">
        <f>AB71/AVERAGE(AB68:AB74)</f>
        <v>1.0003116514273636</v>
      </c>
      <c r="DD21" s="8">
        <f>AB72/AVERAGE(AB69:AB75)</f>
        <v>0.94367206478274068</v>
      </c>
      <c r="DE21">
        <v>1</v>
      </c>
      <c r="DH21">
        <v>2006</v>
      </c>
      <c r="DI21" s="8">
        <f>AC69/AVERAGE(AC66:AC72)</f>
        <v>0.94185038495505691</v>
      </c>
      <c r="DJ21" s="8">
        <f>AC70/AVERAGE(AC67:AC73)</f>
        <v>0.96484050752994188</v>
      </c>
      <c r="DK21" s="8">
        <f>AC71/AVERAGE(AC68:AC74)</f>
        <v>1.0089534426558626</v>
      </c>
      <c r="DL21" s="8">
        <f>AC72/AVERAGE(AC69:AC75)</f>
        <v>1.0123151691476084</v>
      </c>
      <c r="DM21">
        <v>1</v>
      </c>
      <c r="DP21">
        <v>2006</v>
      </c>
      <c r="DQ21" s="8">
        <f>AD69/AVERAGE(AD66:AD72)</f>
        <v>1.7766422254138636</v>
      </c>
      <c r="DR21" s="8">
        <f>AD70/AVERAGE(AD67:AD73)</f>
        <v>0.72197803350572243</v>
      </c>
      <c r="DS21" s="8">
        <f>AD71/AVERAGE(AD68:AD74)</f>
        <v>0.91928285044254487</v>
      </c>
      <c r="DT21" s="8">
        <f>AD72/AVERAGE(AD69:AD75)</f>
        <v>0.99970443026196232</v>
      </c>
      <c r="DU21">
        <v>1</v>
      </c>
      <c r="DX21">
        <v>2006</v>
      </c>
      <c r="DY21" s="8">
        <f>AE69/AVERAGE(AE66:AE72)</f>
        <v>0.95490107234556709</v>
      </c>
      <c r="DZ21" s="8">
        <f>AE70/AVERAGE(AE67:AE73)</f>
        <v>1.0687249787698652</v>
      </c>
      <c r="EA21" s="8">
        <f>AE71/AVERAGE(AE68:AE74)</f>
        <v>1.0686316757160506</v>
      </c>
      <c r="EB21" s="8">
        <f>AE72/AVERAGE(AE69:AE75)</f>
        <v>0.98273787874548868</v>
      </c>
      <c r="EC21">
        <v>1</v>
      </c>
      <c r="EF21">
        <v>2006</v>
      </c>
      <c r="EG21" s="8">
        <f>AF69/AVERAGE(AF66:AF72)</f>
        <v>1.0526180036110395</v>
      </c>
      <c r="EH21" s="8">
        <f>AF70/AVERAGE(AF67:AF73)</f>
        <v>0.87110522427060244</v>
      </c>
      <c r="EI21" s="8">
        <f>AF71/AVERAGE(AF68:AF74)</f>
        <v>0.96239968472341642</v>
      </c>
      <c r="EJ21" s="8">
        <f>AF72/AVERAGE(AF69:AF75)</f>
        <v>1.0562259375445602</v>
      </c>
      <c r="EK21">
        <v>1</v>
      </c>
      <c r="EN21">
        <v>2006</v>
      </c>
      <c r="EO21" s="8">
        <f>AG69/AVERAGE(AG66:AG72)</f>
        <v>1.0462055579226435</v>
      </c>
      <c r="EP21" s="8">
        <f>AG70/AVERAGE(AG67:AG73)</f>
        <v>0.96372048365654472</v>
      </c>
      <c r="EQ21" s="8">
        <f>AG71/AVERAGE(AG68:AG74)</f>
        <v>0.98311640372979836</v>
      </c>
      <c r="ER21" s="8">
        <f>AG72/AVERAGE(AG69:AG75)</f>
        <v>0.99565429687499996</v>
      </c>
      <c r="ES21">
        <v>1</v>
      </c>
      <c r="EV21">
        <v>2006</v>
      </c>
      <c r="EW21" s="8">
        <f>AH69/AVERAGE(AH66:AH72)</f>
        <v>1.0295948295311277</v>
      </c>
      <c r="EX21" s="8">
        <f>AH70/AVERAGE(AH67:AH73)</f>
        <v>0.90375657207446347</v>
      </c>
      <c r="EY21" s="8">
        <f>AH71/AVERAGE(AH68:AH74)</f>
        <v>1.0269461077844311</v>
      </c>
      <c r="EZ21" s="8">
        <f>AH72/AVERAGE(AH69:AH75)</f>
        <v>1.026426469715342</v>
      </c>
      <c r="FA21">
        <v>1</v>
      </c>
      <c r="FD21">
        <v>2006</v>
      </c>
      <c r="FE21" s="8">
        <f>AI69/AVERAGE(AI66:AI72)</f>
        <v>1.0445013111922739</v>
      </c>
      <c r="FF21" s="8">
        <f>AI70/AVERAGE(AI67:AI73)</f>
        <v>0.98018356114910232</v>
      </c>
      <c r="FG21" s="8">
        <f>AI71/AVERAGE(AI68:AI74)</f>
        <v>0.97408151617266481</v>
      </c>
      <c r="FH21" s="8">
        <f>AI72/AVERAGE(AI69:AI75)</f>
        <v>0.98561571745994625</v>
      </c>
      <c r="FI21">
        <v>1</v>
      </c>
    </row>
    <row r="22" spans="1:165" x14ac:dyDescent="0.35">
      <c r="A22" t="s">
        <v>187</v>
      </c>
      <c r="B22" t="str">
        <f t="shared" si="16"/>
        <v>1994</v>
      </c>
      <c r="C22" t="str">
        <f t="shared" si="17"/>
        <v>Q2</v>
      </c>
      <c r="D22" s="13">
        <f>HAVERQ!AL28</f>
        <v>125473</v>
      </c>
      <c r="E22" s="13">
        <f>HAVERQ!AM28</f>
        <v>2670</v>
      </c>
      <c r="F22" s="13">
        <f>HAVERQ!AN28</f>
        <v>34372</v>
      </c>
      <c r="G22" s="13">
        <f>HAVERQ!AO28</f>
        <v>37317</v>
      </c>
      <c r="H22" s="13">
        <f>HAVERQ!AP28</f>
        <v>1494</v>
      </c>
      <c r="I22" s="13">
        <f>HAVERQ!AQ28</f>
        <v>181</v>
      </c>
      <c r="J22" s="13">
        <f>HAVERQ!AR28</f>
        <v>47264</v>
      </c>
      <c r="K22" s="13">
        <f>HAVERQ!AS28</f>
        <v>47406</v>
      </c>
      <c r="L22" s="13" t="e">
        <f>HAVERQ!U28</f>
        <v>#N/A</v>
      </c>
      <c r="M22" s="13" t="e">
        <f>HAVERQ!V28</f>
        <v>#N/A</v>
      </c>
      <c r="N22" s="13" t="e">
        <f>HAVERQ!Y28</f>
        <v>#N/A</v>
      </c>
      <c r="O22" s="13" t="e">
        <f>HAVERQ!Z28</f>
        <v>#N/A</v>
      </c>
      <c r="P22" s="13" t="e">
        <f>HAVERQ!AA28</f>
        <v>#N/A</v>
      </c>
      <c r="Q22" s="13" t="e">
        <f>HAVERQ!AB28</f>
        <v>#N/A</v>
      </c>
      <c r="R22" s="13" t="e">
        <f>HAVERQ!AC28</f>
        <v>#N/A</v>
      </c>
      <c r="U22" s="13">
        <f>HAVERQ!AU28</f>
        <v>123036</v>
      </c>
      <c r="V22" s="13">
        <f>HAVERQ!AV28</f>
        <v>2568</v>
      </c>
      <c r="W22" s="13">
        <f>HAVERQ!AW28</f>
        <v>34886</v>
      </c>
      <c r="X22" s="13">
        <f>HAVERQ!AX28</f>
        <v>34687</v>
      </c>
      <c r="Y22" s="13">
        <f>HAVERQ!AY28</f>
        <v>2765</v>
      </c>
      <c r="Z22" s="13">
        <f>HAVERQ!AZ28</f>
        <v>177</v>
      </c>
      <c r="AA22" s="13">
        <f>HAVERQ!BA28</f>
        <v>47051</v>
      </c>
      <c r="AB22" s="13">
        <f>HAVERQ!BB28</f>
        <v>48487</v>
      </c>
      <c r="AC22" s="13" t="e">
        <f>HAVERQ!W28</f>
        <v>#N/A</v>
      </c>
      <c r="AD22" s="13" t="e">
        <f>HAVERQ!X28</f>
        <v>#N/A</v>
      </c>
      <c r="AE22" s="13" t="e">
        <f>HAVERQ!AD28</f>
        <v>#N/A</v>
      </c>
      <c r="AF22" s="13" t="e">
        <f>HAVERQ!AE28</f>
        <v>#N/A</v>
      </c>
      <c r="AG22" s="13" t="e">
        <f>HAVERQ!AF28</f>
        <v>#N/A</v>
      </c>
      <c r="AH22" s="13" t="e">
        <f>HAVERQ!AG28</f>
        <v>#N/A</v>
      </c>
      <c r="AI22" s="13" t="e">
        <f>HAVERQ!AH28</f>
        <v>#N/A</v>
      </c>
      <c r="AL22">
        <v>2007</v>
      </c>
      <c r="AM22" s="15">
        <f t="shared" ca="1" si="22"/>
        <v>1.0332334403934795</v>
      </c>
      <c r="AN22" s="15">
        <f t="shared" ca="1" si="23"/>
        <v>1</v>
      </c>
      <c r="AO22" s="15">
        <f t="shared" ca="1" si="21"/>
        <v>0.99085059992776792</v>
      </c>
      <c r="AP22" s="15">
        <f t="shared" ca="1" si="21"/>
        <v>0.95399581165979874</v>
      </c>
      <c r="AQ22" s="15">
        <f t="shared" ca="1" si="21"/>
        <v>0.72299270072992705</v>
      </c>
      <c r="AR22" s="15">
        <f t="shared" ca="1" si="21"/>
        <v>1.1100775193798449</v>
      </c>
      <c r="AS22" s="15">
        <f t="shared" ca="1" si="21"/>
        <v>1.0192457652818092</v>
      </c>
      <c r="AT22" s="15">
        <f t="shared" ca="1" si="21"/>
        <v>1.020407757927247</v>
      </c>
      <c r="AU22" s="15">
        <f t="shared" ca="1" si="21"/>
        <v>0.99601196410767701</v>
      </c>
      <c r="AV22" s="15">
        <f t="shared" ca="1" si="21"/>
        <v>0.7494206093493867</v>
      </c>
      <c r="AW22" s="15">
        <f t="shared" ca="1" si="21"/>
        <v>1.1114321089558399</v>
      </c>
      <c r="AX22" s="15">
        <f t="shared" ca="1" si="21"/>
        <v>0.92327600150967815</v>
      </c>
      <c r="AY22" s="15">
        <f t="shared" ca="1" si="21"/>
        <v>0.98414947972998168</v>
      </c>
      <c r="AZ22" s="15">
        <f t="shared" ca="1" si="21"/>
        <v>0.92513278812916278</v>
      </c>
      <c r="BA22" s="15">
        <f t="shared" ca="1" si="21"/>
        <v>0.97466795201371037</v>
      </c>
      <c r="BD22">
        <v>2007</v>
      </c>
      <c r="BE22" s="8">
        <f>U73/AVERAGE(U70:U76)</f>
        <v>0.95116165827708143</v>
      </c>
      <c r="BF22" s="8">
        <f>U74/AVERAGE(U71:U77)</f>
        <v>0.99308063645601219</v>
      </c>
      <c r="BG22" s="8">
        <f>U75/AVERAGE(U72:U78)</f>
        <v>1.0221783938708286</v>
      </c>
      <c r="BH22" s="8">
        <f>U76/AVERAGE(U73:U79)</f>
        <v>1.0325401935360707</v>
      </c>
      <c r="BI22">
        <v>1</v>
      </c>
      <c r="BL22">
        <v>2007</v>
      </c>
      <c r="BM22" s="8">
        <f>V73/AVERAGE(V70:V76)</f>
        <v>0.98596118567152646</v>
      </c>
      <c r="BN22" s="8">
        <f>V74/AVERAGE(V71:V77)</f>
        <v>0.98886103083312604</v>
      </c>
      <c r="BO22" s="8">
        <f>V75/AVERAGE(V72:V78)</f>
        <v>0.98770003967729136</v>
      </c>
      <c r="BP22" s="8">
        <f>V76/AVERAGE(V73:V79)</f>
        <v>0.99136554387789211</v>
      </c>
      <c r="BQ22">
        <v>1</v>
      </c>
      <c r="BT22">
        <v>2007</v>
      </c>
      <c r="BU22" s="8">
        <f>W73/AVERAGE(W70:W76)</f>
        <v>1.0043219507888712</v>
      </c>
      <c r="BV22" s="8">
        <f>W74/AVERAGE(W71:W77)</f>
        <v>0.99872702410721714</v>
      </c>
      <c r="BW22" s="8">
        <f>W75/AVERAGE(W72:W78)</f>
        <v>1.0009944363803263</v>
      </c>
      <c r="BX22" s="8">
        <f>W76/AVERAGE(W73:W79)</f>
        <v>0.97667644388960384</v>
      </c>
      <c r="BY22">
        <v>1</v>
      </c>
      <c r="CB22">
        <v>2007</v>
      </c>
      <c r="CC22" s="8">
        <f>X73/AVERAGE(X70:X76)</f>
        <v>1.0456860065917344</v>
      </c>
      <c r="CD22" s="8">
        <f>X74/AVERAGE(X71:X77)</f>
        <v>0.94411127409149354</v>
      </c>
      <c r="CE22" s="8">
        <f>X75/AVERAGE(X72:X78)</f>
        <v>0.98156999787083177</v>
      </c>
      <c r="CF22" s="8">
        <f>X76/AVERAGE(X73:X79)</f>
        <v>1.05744489586252</v>
      </c>
      <c r="CG22">
        <v>1</v>
      </c>
      <c r="CJ22">
        <v>2007</v>
      </c>
      <c r="CK22" s="8">
        <f>Y73/AVERAGE(Y70:Y76)</f>
        <v>10.264918383730265</v>
      </c>
      <c r="CL22" s="8">
        <f>Y74/AVERAGE(Y71:Y77)</f>
        <v>-4.9970542026708564</v>
      </c>
      <c r="CM22" s="8">
        <f>Y75/AVERAGE(Y72:Y78)</f>
        <v>26.274584929757342</v>
      </c>
      <c r="CN22" s="8">
        <f>Y76/AVERAGE(Y73:Y79)</f>
        <v>-2.739387361312108</v>
      </c>
      <c r="CO22">
        <v>1</v>
      </c>
      <c r="CR22">
        <v>2007</v>
      </c>
      <c r="CS22" s="8">
        <f>AA73/AVERAGE(AA70:AA76)</f>
        <v>0.92686858257328053</v>
      </c>
      <c r="CT22" s="8">
        <f>AA74/AVERAGE(AA71:AA77)</f>
        <v>1.0090010592038439</v>
      </c>
      <c r="CU22" s="8">
        <f>AA75/AVERAGE(AA72:AA78)</f>
        <v>0.9797824556532776</v>
      </c>
      <c r="CV22" s="8">
        <f>AA76/AVERAGE(AA73:AA79)</f>
        <v>1.0051082117933605</v>
      </c>
      <c r="CW22">
        <v>1</v>
      </c>
      <c r="CZ22">
        <v>2007</v>
      </c>
      <c r="DA22" s="8">
        <f>AB73/AVERAGE(AB70:AB76)</f>
        <v>0.94387846650330087</v>
      </c>
      <c r="DB22" s="8">
        <f>AB74/AVERAGE(AB71:AB77)</f>
        <v>0.98172957343404521</v>
      </c>
      <c r="DC22" s="8">
        <f>AB75/AVERAGE(AB72:AB78)</f>
        <v>1.0206637751666978</v>
      </c>
      <c r="DD22" s="8">
        <f>AB76/AVERAGE(AB73:AB79)</f>
        <v>0.98312761381211278</v>
      </c>
      <c r="DE22">
        <v>1</v>
      </c>
      <c r="DH22">
        <v>2007</v>
      </c>
      <c r="DI22" s="8">
        <f>AC73/AVERAGE(AC70:AC76)</f>
        <v>0.98105298232131188</v>
      </c>
      <c r="DJ22" s="8">
        <f>AC74/AVERAGE(AC71:AC77)</f>
        <v>0.98450452172712455</v>
      </c>
      <c r="DK22" s="8">
        <f>AC75/AVERAGE(AC72:AC78)</f>
        <v>1.0145721738993372</v>
      </c>
      <c r="DL22" s="8">
        <f>AC76/AVERAGE(AC73:AC79)</f>
        <v>1.0763672757965594</v>
      </c>
      <c r="DM22">
        <v>1</v>
      </c>
      <c r="DP22">
        <v>2007</v>
      </c>
      <c r="DQ22" s="8">
        <f>AD73/AVERAGE(AD70:AD76)</f>
        <v>1.3768539725600943</v>
      </c>
      <c r="DR22" s="8">
        <f>AD74/AVERAGE(AD71:AD77)</f>
        <v>0.70261737749232944</v>
      </c>
      <c r="DS22" s="8">
        <f>AD75/AVERAGE(AD72:AD78)</f>
        <v>0.80540871074640996</v>
      </c>
      <c r="DT22" s="8">
        <f>AD76/AVERAGE(AD73:AD79)</f>
        <v>1.0441955193482688</v>
      </c>
      <c r="DU22">
        <v>1</v>
      </c>
      <c r="DX22">
        <v>2007</v>
      </c>
      <c r="DY22" s="8">
        <f>AE73/AVERAGE(AE70:AE76)</f>
        <v>0.9443501016118705</v>
      </c>
      <c r="DZ22" s="8">
        <f>AE74/AVERAGE(AE71:AE77)</f>
        <v>1.2155266639820514</v>
      </c>
      <c r="EA22" s="8">
        <f>AE75/AVERAGE(AE72:AE78)</f>
        <v>0.97164208236901539</v>
      </c>
      <c r="EB22" s="8">
        <f>AE76/AVERAGE(AE73:AE79)</f>
        <v>0.92748468682078644</v>
      </c>
      <c r="EC22">
        <v>1</v>
      </c>
      <c r="EF22">
        <v>2007</v>
      </c>
      <c r="EG22" s="8">
        <f>AF73/AVERAGE(AF70:AF76)</f>
        <v>1.1039223855722873</v>
      </c>
      <c r="EH22" s="8">
        <f>AF74/AVERAGE(AF71:AF77)</f>
        <v>0.85855976195999062</v>
      </c>
      <c r="EI22" s="8">
        <f>AF75/AVERAGE(AF72:AF78)</f>
        <v>0.91217064981236418</v>
      </c>
      <c r="EJ22" s="8">
        <f>AF76/AVERAGE(AF73:AF79)</f>
        <v>1.1652519016646457</v>
      </c>
      <c r="EK22">
        <v>1</v>
      </c>
      <c r="EN22">
        <v>2007</v>
      </c>
      <c r="EO22" s="8">
        <f>AG73/AVERAGE(AG70:AG76)</f>
        <v>1.032312887754653</v>
      </c>
      <c r="EP22" s="8">
        <f>AG74/AVERAGE(AG71:AG77)</f>
        <v>0.98444450584367138</v>
      </c>
      <c r="EQ22" s="8">
        <f>AG75/AVERAGE(AG72:AG78)</f>
        <v>0.98541571936206396</v>
      </c>
      <c r="ER22" s="8">
        <f>AG76/AVERAGE(AG73:AG79)</f>
        <v>1.0418011787277552</v>
      </c>
      <c r="ES22">
        <v>1</v>
      </c>
      <c r="EV22">
        <v>2007</v>
      </c>
      <c r="EW22" s="8">
        <f>AH73/AVERAGE(AH70:AH76)</f>
        <v>1.0354645603824568</v>
      </c>
      <c r="EX22" s="8">
        <f>AH74/AVERAGE(AH71:AH77)</f>
        <v>0.89136719033086664</v>
      </c>
      <c r="EY22" s="8">
        <f>AH75/AVERAGE(AH72:AH78)</f>
        <v>1.0323044459115192</v>
      </c>
      <c r="EZ22" s="8">
        <f>AH76/AVERAGE(AH73:AH79)</f>
        <v>1.0782239040492423</v>
      </c>
      <c r="FA22">
        <v>1</v>
      </c>
      <c r="FD22">
        <v>2007</v>
      </c>
      <c r="FE22" s="8">
        <f>AI73/AVERAGE(AI70:AI76)</f>
        <v>1.0118209898046866</v>
      </c>
      <c r="FF22" s="8">
        <f>AI74/AVERAGE(AI71:AI77)</f>
        <v>0.9920040285047228</v>
      </c>
      <c r="FG22" s="8">
        <f>AI75/AVERAGE(AI72:AI78)</f>
        <v>0.97671470610427835</v>
      </c>
      <c r="FH22" s="8">
        <f>AI76/AVERAGE(AI73:AI79)</f>
        <v>1.0310611824732578</v>
      </c>
      <c r="FI22">
        <v>1</v>
      </c>
    </row>
    <row r="23" spans="1:165" x14ac:dyDescent="0.35">
      <c r="A23" t="s">
        <v>188</v>
      </c>
      <c r="B23" t="str">
        <f t="shared" si="16"/>
        <v>1994</v>
      </c>
      <c r="C23" t="str">
        <f t="shared" si="17"/>
        <v>Q3</v>
      </c>
      <c r="D23" s="13">
        <f>HAVERQ!AL29</f>
        <v>127034</v>
      </c>
      <c r="E23" s="13">
        <f>HAVERQ!AM29</f>
        <v>2471</v>
      </c>
      <c r="F23" s="13">
        <f>HAVERQ!AN29</f>
        <v>35229</v>
      </c>
      <c r="G23" s="13">
        <f>HAVERQ!AO29</f>
        <v>37706</v>
      </c>
      <c r="H23" s="13">
        <f>HAVERQ!AP29</f>
        <v>501</v>
      </c>
      <c r="I23" s="13">
        <f>HAVERQ!AQ29</f>
        <v>167</v>
      </c>
      <c r="J23" s="13">
        <f>HAVERQ!AR29</f>
        <v>49173</v>
      </c>
      <c r="K23" s="13">
        <f>HAVERQ!AS29</f>
        <v>48303</v>
      </c>
      <c r="L23" s="13" t="e">
        <f>HAVERQ!U29</f>
        <v>#N/A</v>
      </c>
      <c r="M23" s="13" t="e">
        <f>HAVERQ!V29</f>
        <v>#N/A</v>
      </c>
      <c r="N23" s="13" t="e">
        <f>HAVERQ!Y29</f>
        <v>#N/A</v>
      </c>
      <c r="O23" s="13" t="e">
        <f>HAVERQ!Z29</f>
        <v>#N/A</v>
      </c>
      <c r="P23" s="13" t="e">
        <f>HAVERQ!AA29</f>
        <v>#N/A</v>
      </c>
      <c r="Q23" s="13" t="e">
        <f>HAVERQ!AB29</f>
        <v>#N/A</v>
      </c>
      <c r="R23" s="13" t="e">
        <f>HAVERQ!AC29</f>
        <v>#N/A</v>
      </c>
      <c r="U23" s="13">
        <f>HAVERQ!AU29</f>
        <v>129742</v>
      </c>
      <c r="V23" s="13">
        <f>HAVERQ!AV29</f>
        <v>2579</v>
      </c>
      <c r="W23" s="13">
        <f>HAVERQ!AW29</f>
        <v>34980</v>
      </c>
      <c r="X23" s="13">
        <f>HAVERQ!AX29</f>
        <v>37139</v>
      </c>
      <c r="Y23" s="13">
        <f>HAVERQ!AY29</f>
        <v>690</v>
      </c>
      <c r="Z23" s="13">
        <f>HAVERQ!AZ29</f>
        <v>180</v>
      </c>
      <c r="AA23" s="13">
        <f>HAVERQ!BA29</f>
        <v>49915</v>
      </c>
      <c r="AB23" s="13">
        <f>HAVERQ!BB29</f>
        <v>49344</v>
      </c>
      <c r="AC23" s="13" t="e">
        <f>HAVERQ!W29</f>
        <v>#N/A</v>
      </c>
      <c r="AD23" s="13" t="e">
        <f>HAVERQ!X29</f>
        <v>#N/A</v>
      </c>
      <c r="AE23" s="13" t="e">
        <f>HAVERQ!AD29</f>
        <v>#N/A</v>
      </c>
      <c r="AF23" s="13" t="e">
        <f>HAVERQ!AE29</f>
        <v>#N/A</v>
      </c>
      <c r="AG23" s="13" t="e">
        <f>HAVERQ!AF29</f>
        <v>#N/A</v>
      </c>
      <c r="AH23" s="13" t="e">
        <f>HAVERQ!AG29</f>
        <v>#N/A</v>
      </c>
      <c r="AI23" s="13" t="e">
        <f>HAVERQ!AH29</f>
        <v>#N/A</v>
      </c>
      <c r="AL23">
        <v>2008</v>
      </c>
      <c r="AM23" s="15">
        <f t="shared" ca="1" si="22"/>
        <v>1.0317610719205244</v>
      </c>
      <c r="AN23" s="15">
        <f t="shared" ca="1" si="23"/>
        <v>1</v>
      </c>
      <c r="AO23" s="15">
        <f t="shared" ca="1" si="21"/>
        <v>0.98768543231332628</v>
      </c>
      <c r="AP23" s="15">
        <f t="shared" ca="1" si="21"/>
        <v>0.9686872375387986</v>
      </c>
      <c r="AQ23" s="15">
        <f t="shared" ca="1" si="21"/>
        <v>0.1026811180832858</v>
      </c>
      <c r="AR23" s="15">
        <f t="shared" ca="1" si="21"/>
        <v>1.3652173913043477</v>
      </c>
      <c r="AS23" s="15">
        <f t="shared" ca="1" si="21"/>
        <v>1.0267927809968633</v>
      </c>
      <c r="AT23" s="15">
        <f t="shared" ca="1" si="21"/>
        <v>1.0270376807439394</v>
      </c>
      <c r="AU23" s="15">
        <f t="shared" ca="1" si="21"/>
        <v>0.97743049041311769</v>
      </c>
      <c r="AV23" s="15">
        <f t="shared" ca="1" si="21"/>
        <v>0.78937461766505101</v>
      </c>
      <c r="AW23" s="15">
        <f t="shared" ca="1" si="21"/>
        <v>1.1368909512761021</v>
      </c>
      <c r="AX23" s="15">
        <f t="shared" ca="1" si="21"/>
        <v>0.91769140164899887</v>
      </c>
      <c r="AY23" s="15">
        <f t="shared" ca="1" si="21"/>
        <v>0.98831498059098466</v>
      </c>
      <c r="AZ23" s="15">
        <f t="shared" ca="1" si="21"/>
        <v>0.91082852855224705</v>
      </c>
      <c r="BA23" s="15">
        <f t="shared" ca="1" si="21"/>
        <v>0.97591766375988642</v>
      </c>
      <c r="BD23">
        <v>2008</v>
      </c>
      <c r="BE23" s="8">
        <f>U77/AVERAGE(U74:U80)</f>
        <v>0.98140010405126954</v>
      </c>
      <c r="BF23" s="8">
        <f>U78/AVERAGE(U75:U81)</f>
        <v>1.0111085114629823</v>
      </c>
      <c r="BG23" s="8">
        <f>U79/AVERAGE(U76:U82)</f>
        <v>1.027384912316671</v>
      </c>
      <c r="BH23" s="8">
        <f>U80/AVERAGE(U77:U83)</f>
        <v>1.0165282651152905</v>
      </c>
      <c r="BI23">
        <v>1</v>
      </c>
      <c r="BL23">
        <v>2008</v>
      </c>
      <c r="BM23" s="8">
        <f>V77/AVERAGE(V74:V80)</f>
        <v>0.9833454018826937</v>
      </c>
      <c r="BN23" s="8">
        <f>V78/AVERAGE(V75:V81)</f>
        <v>0.98826286942882824</v>
      </c>
      <c r="BO23" s="8">
        <f>V79/AVERAGE(V76:V82)</f>
        <v>0.99485399712781231</v>
      </c>
      <c r="BP23" s="8">
        <f>V80/AVERAGE(V77:V83)</f>
        <v>1.0063101409430431</v>
      </c>
      <c r="BQ23">
        <v>1</v>
      </c>
      <c r="BT23">
        <v>2008</v>
      </c>
      <c r="BU23" s="8">
        <f>W77/AVERAGE(W74:W80)</f>
        <v>1.0234683413345917</v>
      </c>
      <c r="BV23" s="8">
        <f>W78/AVERAGE(W75:W81)</f>
        <v>0.9919803460494061</v>
      </c>
      <c r="BW23" s="8">
        <f>W79/AVERAGE(W76:W82)</f>
        <v>0.9926427268654241</v>
      </c>
      <c r="BX23" s="8">
        <f>W80/AVERAGE(W77:W83)</f>
        <v>1.0033589592778238</v>
      </c>
      <c r="BY23">
        <v>1</v>
      </c>
      <c r="CB23">
        <v>2008</v>
      </c>
      <c r="CC23" s="8">
        <f>X77/AVERAGE(X74:X80)</f>
        <v>1.0462334341077564</v>
      </c>
      <c r="CD23" s="8">
        <f>X78/AVERAGE(X75:X81)</f>
        <v>0.98083660150981999</v>
      </c>
      <c r="CE23" s="8">
        <f>X79/AVERAGE(X76:X82)</f>
        <v>1.0089391968560595</v>
      </c>
      <c r="CF23" s="8">
        <f>X80/AVERAGE(X77:X83)</f>
        <v>1.0356592096688673</v>
      </c>
      <c r="CG23">
        <v>1</v>
      </c>
      <c r="CJ23">
        <v>2008</v>
      </c>
      <c r="CK23" s="8">
        <f>Y77/AVERAGE(Y74:Y80)</f>
        <v>-4.4315637414228961</v>
      </c>
      <c r="CL23" s="8">
        <f>Y78/AVERAGE(Y75:Y81)</f>
        <v>2.6639790364845801</v>
      </c>
      <c r="CM23" s="8">
        <f>Y79/AVERAGE(Y76:Y82)</f>
        <v>-1.5633412509897071</v>
      </c>
      <c r="CN23" s="8">
        <f>Y80/AVERAGE(Y77:Y83)</f>
        <v>3.1818700114025087</v>
      </c>
      <c r="CO23">
        <v>1</v>
      </c>
      <c r="CR23">
        <v>2008</v>
      </c>
      <c r="CS23" s="8">
        <f>AA77/AVERAGE(AA74:AA80)</f>
        <v>0.96729448332385914</v>
      </c>
      <c r="CT23" s="8">
        <f>AA78/AVERAGE(AA75:AA81)</f>
        <v>1.0592207050096765</v>
      </c>
      <c r="CU23" s="8">
        <f>AA79/AVERAGE(AA76:AA82)</f>
        <v>1.059492990375424</v>
      </c>
      <c r="CV23" s="8">
        <f>AA80/AVERAGE(AA77:AA83)</f>
        <v>1.0444008681261601</v>
      </c>
      <c r="CW23">
        <v>1</v>
      </c>
      <c r="CZ23">
        <v>2008</v>
      </c>
      <c r="DA23" s="8">
        <f>AB77/AVERAGE(AB74:AB80)</f>
        <v>0.9901523839695866</v>
      </c>
      <c r="DB23" s="8">
        <f>AB78/AVERAGE(AB75:AB81)</f>
        <v>1.0564527148416742</v>
      </c>
      <c r="DC23" s="8">
        <f>AB79/AVERAGE(AB76:AB82)</f>
        <v>1.0916988650161277</v>
      </c>
      <c r="DD23" s="8">
        <f>AB80/AVERAGE(AB77:AB83)</f>
        <v>0.99282499056419771</v>
      </c>
      <c r="DE23">
        <v>1</v>
      </c>
      <c r="DH23">
        <v>2008</v>
      </c>
      <c r="DI23" s="8">
        <f>AC77/AVERAGE(AC74:AC80)</f>
        <v>0.97274538021941348</v>
      </c>
      <c r="DJ23" s="8">
        <f>AC78/AVERAGE(AC75:AC81)</f>
        <v>1.0315990193407791</v>
      </c>
      <c r="DK23" s="8">
        <f>AC79/AVERAGE(AC76:AC82)</f>
        <v>1.034765441740767</v>
      </c>
      <c r="DL23" s="8">
        <f>AC80/AVERAGE(AC77:AC83)</f>
        <v>1.042827574779754</v>
      </c>
      <c r="DM23">
        <v>1</v>
      </c>
      <c r="DP23">
        <v>2008</v>
      </c>
      <c r="DQ23" s="8">
        <f>AD77/AVERAGE(AD74:AD80)</f>
        <v>1.4509480706956421</v>
      </c>
      <c r="DR23" s="8">
        <f>AD78/AVERAGE(AD75:AD81)</f>
        <v>0.73769300635785651</v>
      </c>
      <c r="DS23" s="8">
        <f>AD79/AVERAGE(AD76:AD82)</f>
        <v>0.88786178812896799</v>
      </c>
      <c r="DT23" s="8">
        <f>AD80/AVERAGE(AD77:AD83)</f>
        <v>1.0154779068781274</v>
      </c>
      <c r="DU23">
        <v>1</v>
      </c>
      <c r="DX23">
        <v>2008</v>
      </c>
      <c r="DY23" s="8">
        <f>AE77/AVERAGE(AE74:AE80)</f>
        <v>0.76922859004504385</v>
      </c>
      <c r="DZ23" s="8">
        <f>AE78/AVERAGE(AE75:AE81)</f>
        <v>1.3537964946152221</v>
      </c>
      <c r="EA23" s="8">
        <f>AE79/AVERAGE(AE76:AE82)</f>
        <v>0.95555025919084791</v>
      </c>
      <c r="EB23" s="8">
        <f>AE80/AVERAGE(AE77:AE83)</f>
        <v>0.9932034163358594</v>
      </c>
      <c r="EC23">
        <v>1</v>
      </c>
      <c r="EF23">
        <v>2008</v>
      </c>
      <c r="EG23" s="8">
        <f>AF77/AVERAGE(AF74:AF80)</f>
        <v>1.1724761085551496</v>
      </c>
      <c r="EH23" s="8">
        <f>AF78/AVERAGE(AF75:AF81)</f>
        <v>0.90648485080629726</v>
      </c>
      <c r="EI23" s="8">
        <f>AF79/AVERAGE(AF76:AF82)</f>
        <v>0.9615765262899536</v>
      </c>
      <c r="EJ23" s="8">
        <f>AF80/AVERAGE(AF77:AF83)</f>
        <v>1.0731191636812123</v>
      </c>
      <c r="EK23">
        <v>1</v>
      </c>
      <c r="EN23">
        <v>2008</v>
      </c>
      <c r="EO23" s="8">
        <f>AG77/AVERAGE(AG74:AG80)</f>
        <v>1.046001775673276</v>
      </c>
      <c r="EP23" s="8">
        <f>AG78/AVERAGE(AG75:AG81)</f>
        <v>1.003654102755573</v>
      </c>
      <c r="EQ23" s="8">
        <f>AG79/AVERAGE(AG76:AG82)</f>
        <v>0.99454532635100923</v>
      </c>
      <c r="ER23" s="8">
        <f>AG80/AVERAGE(AG77:AG83)</f>
        <v>1.0201627000134463</v>
      </c>
      <c r="ES23">
        <v>1</v>
      </c>
      <c r="EV23">
        <v>2008</v>
      </c>
      <c r="EW23" s="8">
        <f>AH77/AVERAGE(AH74:AH80)</f>
        <v>1.0916492513107707</v>
      </c>
      <c r="EX23" s="8">
        <f>AH78/AVERAGE(AH75:AH81)</f>
        <v>0.93907925059660013</v>
      </c>
      <c r="EY23" s="8">
        <f>AH79/AVERAGE(AH76:AH82)</f>
        <v>1.0119086113002043</v>
      </c>
      <c r="EZ23" s="8">
        <f>AH80/AVERAGE(AH77:AH83)</f>
        <v>1.0071525557356227</v>
      </c>
      <c r="FA23">
        <v>1</v>
      </c>
      <c r="FD23">
        <v>2008</v>
      </c>
      <c r="FE23" s="8">
        <f>AI77/AVERAGE(AI74:AI80)</f>
        <v>1.0203149594661505</v>
      </c>
      <c r="FF23" s="8">
        <f>AI78/AVERAGE(AI75:AI81)</f>
        <v>0.98337150108668692</v>
      </c>
      <c r="FG23" s="8">
        <f>AI79/AVERAGE(AI76:AI82)</f>
        <v>0.99401197604790414</v>
      </c>
      <c r="FH23" s="8">
        <f>AI80/AVERAGE(AI77:AI83)</f>
        <v>1.0108158622987873</v>
      </c>
      <c r="FI23">
        <v>1</v>
      </c>
    </row>
    <row r="24" spans="1:165" x14ac:dyDescent="0.35">
      <c r="A24" t="s">
        <v>189</v>
      </c>
      <c r="B24" t="str">
        <f t="shared" si="16"/>
        <v>1994</v>
      </c>
      <c r="C24" t="str">
        <f t="shared" si="17"/>
        <v>Q4</v>
      </c>
      <c r="D24" s="13">
        <f>HAVERQ!AL30</f>
        <v>128769</v>
      </c>
      <c r="E24" s="13">
        <f>HAVERQ!AM30</f>
        <v>2615</v>
      </c>
      <c r="F24" s="13">
        <f>HAVERQ!AN30</f>
        <v>35588</v>
      </c>
      <c r="G24" s="13">
        <f>HAVERQ!AO30</f>
        <v>38406</v>
      </c>
      <c r="H24" s="13">
        <f>HAVERQ!AP30</f>
        <v>1290</v>
      </c>
      <c r="I24" s="13">
        <f>HAVERQ!AQ30</f>
        <v>181</v>
      </c>
      <c r="J24" s="13">
        <f>HAVERQ!AR30</f>
        <v>51268</v>
      </c>
      <c r="K24" s="13">
        <f>HAVERQ!AS30</f>
        <v>50404</v>
      </c>
      <c r="L24" s="13" t="e">
        <f>HAVERQ!U30</f>
        <v>#N/A</v>
      </c>
      <c r="M24" s="13" t="e">
        <f>HAVERQ!V30</f>
        <v>#N/A</v>
      </c>
      <c r="N24" s="13" t="e">
        <f>HAVERQ!Y30</f>
        <v>#N/A</v>
      </c>
      <c r="O24" s="13" t="e">
        <f>HAVERQ!Z30</f>
        <v>#N/A</v>
      </c>
      <c r="P24" s="13" t="e">
        <f>HAVERQ!AA30</f>
        <v>#N/A</v>
      </c>
      <c r="Q24" s="13" t="e">
        <f>HAVERQ!AB30</f>
        <v>#N/A</v>
      </c>
      <c r="R24" s="13" t="e">
        <f>HAVERQ!AC30</f>
        <v>#N/A</v>
      </c>
      <c r="U24" s="13">
        <f>HAVERQ!AU30</f>
        <v>132996</v>
      </c>
      <c r="V24" s="13">
        <f>HAVERQ!AV30</f>
        <v>2609</v>
      </c>
      <c r="W24" s="13">
        <f>HAVERQ!AW30</f>
        <v>35501</v>
      </c>
      <c r="X24" s="13">
        <f>HAVERQ!AX30</f>
        <v>39273</v>
      </c>
      <c r="Y24" s="13">
        <f>HAVERQ!AY30</f>
        <v>576</v>
      </c>
      <c r="Z24" s="13">
        <f>HAVERQ!AZ30</f>
        <v>174</v>
      </c>
      <c r="AA24" s="13">
        <f>HAVERQ!BA30</f>
        <v>51672</v>
      </c>
      <c r="AB24" s="13">
        <f>HAVERQ!BB30</f>
        <v>49605</v>
      </c>
      <c r="AC24" s="13" t="e">
        <f>HAVERQ!W30</f>
        <v>#N/A</v>
      </c>
      <c r="AD24" s="13" t="e">
        <f>HAVERQ!X30</f>
        <v>#N/A</v>
      </c>
      <c r="AE24" s="13" t="e">
        <f>HAVERQ!AD30</f>
        <v>#N/A</v>
      </c>
      <c r="AF24" s="13" t="e">
        <f>HAVERQ!AE30</f>
        <v>#N/A</v>
      </c>
      <c r="AG24" s="13" t="e">
        <f>HAVERQ!AF30</f>
        <v>#N/A</v>
      </c>
      <c r="AH24" s="13" t="e">
        <f>HAVERQ!AG30</f>
        <v>#N/A</v>
      </c>
      <c r="AI24" s="13" t="e">
        <f>HAVERQ!AH30</f>
        <v>#N/A</v>
      </c>
      <c r="AL24">
        <v>2009</v>
      </c>
      <c r="AM24" s="15">
        <f t="shared" ca="1" si="22"/>
        <v>1.0271438368868051</v>
      </c>
      <c r="AN24" s="15">
        <f t="shared" ca="1" si="23"/>
        <v>1</v>
      </c>
      <c r="AO24" s="15">
        <f t="shared" ca="1" si="21"/>
        <v>0.98328730093435979</v>
      </c>
      <c r="AP24" s="15">
        <f t="shared" ca="1" si="21"/>
        <v>0.95570441699811592</v>
      </c>
      <c r="AQ24" s="15">
        <f t="shared" ca="1" si="21"/>
        <v>0.99639608718036721</v>
      </c>
      <c r="AR24" s="15">
        <f t="shared" ca="1" si="21"/>
        <v>1.0721030042918456</v>
      </c>
      <c r="AS24" s="15">
        <f t="shared" ca="1" si="21"/>
        <v>1.0287784761187224</v>
      </c>
      <c r="AT24" s="15">
        <f t="shared" ca="1" si="21"/>
        <v>1.0307991647684132</v>
      </c>
      <c r="AU24" s="15">
        <f t="shared" ca="1" si="21"/>
        <v>1.019804272335052</v>
      </c>
      <c r="AV24" s="15">
        <f t="shared" ca="1" si="21"/>
        <v>0.75342937002795096</v>
      </c>
      <c r="AW24" s="15">
        <f t="shared" ca="1" si="21"/>
        <v>1.1240030872137896</v>
      </c>
      <c r="AX24" s="15">
        <f t="shared" ca="1" si="21"/>
        <v>0.90067885117493474</v>
      </c>
      <c r="AY24" s="15">
        <f t="shared" ca="1" si="21"/>
        <v>0.99441593721702382</v>
      </c>
      <c r="AZ24" s="15">
        <f t="shared" ca="1" si="21"/>
        <v>0.92131603336422618</v>
      </c>
      <c r="BA24" s="15">
        <f t="shared" ca="1" si="21"/>
        <v>0.97776032205802932</v>
      </c>
      <c r="BD24">
        <v>2009</v>
      </c>
      <c r="BE24" s="8">
        <f>U81/AVERAGE(U78:U84)</f>
        <v>0.95779471607692468</v>
      </c>
      <c r="BF24" s="8">
        <f>U82/AVERAGE(U79:U85)</f>
        <v>0.98481605972167341</v>
      </c>
      <c r="BG24" s="8">
        <f>U83/AVERAGE(U80:U86)</f>
        <v>1.0046610424772837</v>
      </c>
      <c r="BH24" s="8">
        <f>U84/AVERAGE(U81:U87)</f>
        <v>1.0178101752743638</v>
      </c>
      <c r="BI24">
        <v>1</v>
      </c>
      <c r="BL24">
        <v>2009</v>
      </c>
      <c r="BM24" s="8">
        <f>V81/AVERAGE(V78:V84)</f>
        <v>0.99869919221442438</v>
      </c>
      <c r="BN24" s="8">
        <f>V82/AVERAGE(V79:V85)</f>
        <v>1.0096554098463271</v>
      </c>
      <c r="BO24" s="8">
        <f>V83/AVERAGE(V80:V86)</f>
        <v>1.0203149895820565</v>
      </c>
      <c r="BP24" s="8">
        <f>V84/AVERAGE(V81:V87)</f>
        <v>1.0183775308679199</v>
      </c>
      <c r="BQ24">
        <v>1</v>
      </c>
      <c r="BT24">
        <v>2009</v>
      </c>
      <c r="BU24" s="8">
        <f>W81/AVERAGE(W78:W84)</f>
        <v>1.0251840045166309</v>
      </c>
      <c r="BV24" s="8">
        <f>W82/AVERAGE(W79:W85)</f>
        <v>0.98655263153429962</v>
      </c>
      <c r="BW24" s="8">
        <f>W83/AVERAGE(W80:W86)</f>
        <v>1.0035967652664852</v>
      </c>
      <c r="BX24" s="8">
        <f>W84/AVERAGE(W81:W87)</f>
        <v>0.99805094991075227</v>
      </c>
      <c r="BY24">
        <v>1</v>
      </c>
      <c r="CB24">
        <v>2009</v>
      </c>
      <c r="CC24" s="8">
        <f>X81/AVERAGE(X78:X84)</f>
        <v>1.0379259896907855</v>
      </c>
      <c r="CD24" s="8">
        <f>X82/AVERAGE(X79:X85)</f>
        <v>0.89620218414446717</v>
      </c>
      <c r="CE24" s="8">
        <f>X83/AVERAGE(X80:X86)</f>
        <v>0.98358345167577155</v>
      </c>
      <c r="CF24" s="8">
        <f>X84/AVERAGE(X81:X87)</f>
        <v>0.99510537695725509</v>
      </c>
      <c r="CG24">
        <v>1</v>
      </c>
      <c r="CJ24">
        <v>2009</v>
      </c>
      <c r="CK24" s="8">
        <f>Y81/AVERAGE(Y78:Y84)</f>
        <v>1.8991060620169475</v>
      </c>
      <c r="CL24" s="8">
        <f>Y82/AVERAGE(Y79:Y85)</f>
        <v>2.6821770535864271</v>
      </c>
      <c r="CM24" s="8">
        <f>Y83/AVERAGE(Y80:Y86)</f>
        <v>-0.62152492186214836</v>
      </c>
      <c r="CN24" s="8">
        <f>Y84/AVERAGE(Y81:Y87)</f>
        <v>3.9177062979107169</v>
      </c>
      <c r="CO24">
        <v>1</v>
      </c>
      <c r="CR24">
        <v>2009</v>
      </c>
      <c r="CS24" s="8">
        <f>AA81/AVERAGE(AA78:AA84)</f>
        <v>0.93797264393680768</v>
      </c>
      <c r="CT24" s="8">
        <f>AA82/AVERAGE(AA79:AA85)</f>
        <v>0.96074909970402145</v>
      </c>
      <c r="CU24" s="8">
        <f>AA83/AVERAGE(AA80:AA86)</f>
        <v>0.9558448045443797</v>
      </c>
      <c r="CV24" s="8">
        <f>AA84/AVERAGE(AA81:AA87)</f>
        <v>1.0166699645151502</v>
      </c>
      <c r="CW24">
        <v>1</v>
      </c>
      <c r="CZ24">
        <v>2009</v>
      </c>
      <c r="DA24" s="8">
        <f>AB81/AVERAGE(AB78:AB84)</f>
        <v>0.93388524982494081</v>
      </c>
      <c r="DB24" s="8">
        <f>AB82/AVERAGE(AB79:AB85)</f>
        <v>0.95048776938375867</v>
      </c>
      <c r="DC24" s="8">
        <f>AB83/AVERAGE(AB80:AB86)</f>
        <v>1.005442918448346</v>
      </c>
      <c r="DD24" s="8">
        <f>AB84/AVERAGE(AB81:AB87)</f>
        <v>0.98163071030177762</v>
      </c>
      <c r="DE24">
        <v>1</v>
      </c>
      <c r="DH24">
        <v>2009</v>
      </c>
      <c r="DI24" s="8">
        <f>AC81/AVERAGE(AC78:AC84)</f>
        <v>0.95170308225841516</v>
      </c>
      <c r="DJ24" s="8">
        <f>AC82/AVERAGE(AC79:AC85)</f>
        <v>0.9442203628355581</v>
      </c>
      <c r="DK24" s="8">
        <f>AC83/AVERAGE(AC80:AC86)</f>
        <v>0.97935551130870668</v>
      </c>
      <c r="DL24" s="8">
        <f>AC84/AVERAGE(AC81:AC87)</f>
        <v>1.0064738368334534</v>
      </c>
      <c r="DM24">
        <v>1</v>
      </c>
      <c r="DP24">
        <v>2009</v>
      </c>
      <c r="DQ24" s="8">
        <f>AD81/AVERAGE(AD78:AD84)</f>
        <v>1.4262871061577822</v>
      </c>
      <c r="DR24" s="8">
        <f>AD82/AVERAGE(AD79:AD85)</f>
        <v>0.69027893175074184</v>
      </c>
      <c r="DS24" s="8">
        <f>AD83/AVERAGE(AD80:AD86)</f>
        <v>0.94621091467855389</v>
      </c>
      <c r="DT24" s="8">
        <f>AD84/AVERAGE(AD81:AD87)</f>
        <v>0.98158982384334492</v>
      </c>
      <c r="DU24">
        <v>1</v>
      </c>
      <c r="DX24">
        <v>2009</v>
      </c>
      <c r="DY24" s="8">
        <f>AE81/AVERAGE(AE78:AE84)</f>
        <v>0.81635163516351628</v>
      </c>
      <c r="DZ24" s="8">
        <f>AE82/AVERAGE(AE79:AE85)</f>
        <v>1.218422326181642</v>
      </c>
      <c r="EA24" s="8">
        <f>AE83/AVERAGE(AE80:AE86)</f>
        <v>0.99432463110102154</v>
      </c>
      <c r="EB24" s="8">
        <f>AE84/AVERAGE(AE81:AE87)</f>
        <v>0.8982391283198754</v>
      </c>
      <c r="EC24">
        <v>1</v>
      </c>
      <c r="EF24">
        <v>2009</v>
      </c>
      <c r="EG24" s="8">
        <f>AF81/AVERAGE(AF78:AF84)</f>
        <v>1.18416635748485</v>
      </c>
      <c r="EH24" s="8">
        <f>AF82/AVERAGE(AF79:AF85)</f>
        <v>0.75422656497135421</v>
      </c>
      <c r="EI24" s="8">
        <f>AF83/AVERAGE(AF80:AF86)</f>
        <v>0.90526199323234091</v>
      </c>
      <c r="EJ24" s="8">
        <f>AF84/AVERAGE(AF81:AF87)</f>
        <v>1.032414801049198</v>
      </c>
      <c r="EK24">
        <v>1</v>
      </c>
      <c r="EN24">
        <v>2009</v>
      </c>
      <c r="EO24" s="8">
        <f>AG81/AVERAGE(AG78:AG84)</f>
        <v>0.98431697120179962</v>
      </c>
      <c r="EP24" s="8">
        <f>AG82/AVERAGE(AG79:AG85)</f>
        <v>0.91509211147850722</v>
      </c>
      <c r="EQ24" s="8">
        <f>AG83/AVERAGE(AG80:AG86)</f>
        <v>0.99253612106548572</v>
      </c>
      <c r="ER24" s="8">
        <f>AG84/AVERAGE(AG81:AG87)</f>
        <v>0.96861448395490024</v>
      </c>
      <c r="ES24">
        <v>1</v>
      </c>
      <c r="EV24">
        <v>2009</v>
      </c>
      <c r="EW24" s="8">
        <f>AH81/AVERAGE(AH78:AH84)</f>
        <v>1.0219554216541435</v>
      </c>
      <c r="EX24" s="8">
        <f>AH82/AVERAGE(AH79:AH85)</f>
        <v>0.85477197085544665</v>
      </c>
      <c r="EY24" s="8">
        <f>AH83/AVERAGE(AH80:AH86)</f>
        <v>1.0145318595578674</v>
      </c>
      <c r="EZ24" s="8">
        <f>AH84/AVERAGE(AH81:AH87)</f>
        <v>1.0217968448509138</v>
      </c>
      <c r="FA24">
        <v>1</v>
      </c>
      <c r="FD24">
        <v>2009</v>
      </c>
      <c r="FE24" s="8">
        <f>AI81/AVERAGE(AI78:AI84)</f>
        <v>1.0300007223867658</v>
      </c>
      <c r="FF24" s="8">
        <f>AI82/AVERAGE(AI79:AI85)</f>
        <v>0.96124185282849894</v>
      </c>
      <c r="FG24" s="8">
        <f>AI83/AVERAGE(AI80:AI86)</f>
        <v>0.97787884761609745</v>
      </c>
      <c r="FH24" s="8">
        <f>AI84/AVERAGE(AI81:AI87)</f>
        <v>0.98256239925755873</v>
      </c>
      <c r="FI24">
        <v>1</v>
      </c>
    </row>
    <row r="25" spans="1:165" x14ac:dyDescent="0.35">
      <c r="A25" t="s">
        <v>190</v>
      </c>
      <c r="B25" t="str">
        <f t="shared" si="16"/>
        <v>1995</v>
      </c>
      <c r="C25" t="str">
        <f t="shared" si="17"/>
        <v>Q1</v>
      </c>
      <c r="D25" s="13">
        <f>HAVERQ!AL31</f>
        <v>129546</v>
      </c>
      <c r="E25" s="13">
        <f>HAVERQ!AM31</f>
        <v>3000</v>
      </c>
      <c r="F25" s="13">
        <f>HAVERQ!AN31</f>
        <v>35812</v>
      </c>
      <c r="G25" s="13">
        <f>HAVERQ!AO31</f>
        <v>37844</v>
      </c>
      <c r="H25" s="13">
        <f>HAVERQ!AP31</f>
        <v>-764</v>
      </c>
      <c r="I25" s="13">
        <f>HAVERQ!AQ31</f>
        <v>170</v>
      </c>
      <c r="J25" s="13">
        <f>HAVERQ!AR31</f>
        <v>54365</v>
      </c>
      <c r="K25" s="13">
        <f>HAVERQ!AS31</f>
        <v>50587</v>
      </c>
      <c r="L25" s="13" t="e">
        <f>HAVERQ!U31</f>
        <v>#N/A</v>
      </c>
      <c r="M25" s="13" t="e">
        <f>HAVERQ!V31</f>
        <v>#N/A</v>
      </c>
      <c r="N25" s="13" t="e">
        <f>HAVERQ!Y31</f>
        <v>#N/A</v>
      </c>
      <c r="O25" s="13" t="e">
        <f>HAVERQ!Z31</f>
        <v>#N/A</v>
      </c>
      <c r="P25" s="13" t="e">
        <f>HAVERQ!AA31</f>
        <v>#N/A</v>
      </c>
      <c r="Q25" s="13" t="e">
        <f>HAVERQ!AB31</f>
        <v>#N/A</v>
      </c>
      <c r="R25" s="13" t="e">
        <f>HAVERQ!AC31</f>
        <v>#N/A</v>
      </c>
      <c r="U25" s="13">
        <f>HAVERQ!AU31</f>
        <v>125230</v>
      </c>
      <c r="V25" s="13">
        <f>HAVERQ!AV31</f>
        <v>2633</v>
      </c>
      <c r="W25" s="13">
        <f>HAVERQ!AW31</f>
        <v>36446</v>
      </c>
      <c r="X25" s="13">
        <f>HAVERQ!AX31</f>
        <v>40061</v>
      </c>
      <c r="Y25" s="13">
        <f>HAVERQ!AY31</f>
        <v>-1399</v>
      </c>
      <c r="Z25" s="13">
        <f>HAVERQ!AZ31</f>
        <v>163</v>
      </c>
      <c r="AA25" s="13">
        <f>HAVERQ!BA31</f>
        <v>53970</v>
      </c>
      <c r="AB25" s="13">
        <f>HAVERQ!BB31</f>
        <v>49194</v>
      </c>
      <c r="AC25" s="13" t="e">
        <f>HAVERQ!W31</f>
        <v>#N/A</v>
      </c>
      <c r="AD25" s="13" t="e">
        <f>HAVERQ!X31</f>
        <v>#N/A</v>
      </c>
      <c r="AE25" s="13" t="e">
        <f>HAVERQ!AD31</f>
        <v>#N/A</v>
      </c>
      <c r="AF25" s="13" t="e">
        <f>HAVERQ!AE31</f>
        <v>#N/A</v>
      </c>
      <c r="AG25" s="13" t="e">
        <f>HAVERQ!AF31</f>
        <v>#N/A</v>
      </c>
      <c r="AH25" s="13" t="e">
        <f>HAVERQ!AG31</f>
        <v>#N/A</v>
      </c>
      <c r="AI25" s="13" t="e">
        <f>HAVERQ!AH31</f>
        <v>#N/A</v>
      </c>
      <c r="AL25">
        <v>2010</v>
      </c>
      <c r="AM25" s="15">
        <f t="shared" ca="1" si="22"/>
        <v>1.0286732796032239</v>
      </c>
      <c r="AN25" s="15">
        <f t="shared" ca="1" si="23"/>
        <v>1</v>
      </c>
      <c r="AO25" s="15">
        <f t="shared" ref="AO25:BA40" ca="1" si="24">OFFSET(F$5, (ROW(F21)-1)*4,0)/OFFSET(W$5, (ROW(W21)-1)*4,0)</f>
        <v>0.98277078544279306</v>
      </c>
      <c r="AP25" s="15">
        <f t="shared" ca="1" si="24"/>
        <v>0.95386772744183379</v>
      </c>
      <c r="AQ25" s="15">
        <f t="shared" ca="1" si="24"/>
        <v>1.2114384748700173</v>
      </c>
      <c r="AR25" s="15">
        <f t="shared" ca="1" si="24"/>
        <v>0.75882352941176467</v>
      </c>
      <c r="AS25" s="15">
        <f t="shared" ca="1" si="24"/>
        <v>1.0259667995919504</v>
      </c>
      <c r="AT25" s="15">
        <f t="shared" ca="1" si="24"/>
        <v>1.0267807327506044</v>
      </c>
      <c r="AU25" s="15">
        <f t="shared" ca="1" si="24"/>
        <v>1.0274963505239993</v>
      </c>
      <c r="AV25" s="15">
        <f t="shared" ca="1" si="24"/>
        <v>0.76463604356014081</v>
      </c>
      <c r="AW25" s="15">
        <f t="shared" ca="1" si="24"/>
        <v>1.1278213935230619</v>
      </c>
      <c r="AX25" s="15">
        <f t="shared" ca="1" si="24"/>
        <v>0.87501428081800525</v>
      </c>
      <c r="AY25" s="15">
        <f t="shared" ca="1" si="24"/>
        <v>1.0078632478632479</v>
      </c>
      <c r="AZ25" s="15">
        <f t="shared" ca="1" si="24"/>
        <v>0.95064686152371825</v>
      </c>
      <c r="BA25" s="15">
        <f t="shared" ca="1" si="24"/>
        <v>0.96701509872241576</v>
      </c>
      <c r="BD25">
        <v>2010</v>
      </c>
      <c r="BE25" s="8">
        <f>U85/AVERAGE(U82:U88)</f>
        <v>0.95079269565644531</v>
      </c>
      <c r="BF25" s="8">
        <f>U86/AVERAGE(U83:U89)</f>
        <v>0.99802335579537549</v>
      </c>
      <c r="BG25" s="8">
        <f>U87/AVERAGE(U84:U90)</f>
        <v>1.020617234524509</v>
      </c>
      <c r="BH25" s="8">
        <f>U88/AVERAGE(U85:U91)</f>
        <v>1.036745438421194</v>
      </c>
      <c r="BI25">
        <v>1</v>
      </c>
      <c r="BL25">
        <v>2010</v>
      </c>
      <c r="BM25" s="8">
        <f>V85/AVERAGE(V82:V88)</f>
        <v>1.0054661086370473</v>
      </c>
      <c r="BN25" s="8">
        <f>V86/AVERAGE(V83:V89)</f>
        <v>1.0029000517866391</v>
      </c>
      <c r="BO25" s="8">
        <f>V87/AVERAGE(V84:V90)</f>
        <v>1.0037840862241594</v>
      </c>
      <c r="BP25" s="8">
        <f>V88/AVERAGE(V85:V91)</f>
        <v>0.99464989812819726</v>
      </c>
      <c r="BQ25">
        <v>1</v>
      </c>
      <c r="BT25">
        <v>2010</v>
      </c>
      <c r="BU25" s="8">
        <f>W85/AVERAGE(W82:W88)</f>
        <v>1.0270299150650579</v>
      </c>
      <c r="BV25" s="8">
        <f>W86/AVERAGE(W83:W89)</f>
        <v>0.98601094121857524</v>
      </c>
      <c r="BW25" s="8">
        <f>W87/AVERAGE(W84:W90)</f>
        <v>0.98650865155820455</v>
      </c>
      <c r="BX25" s="8">
        <f>W88/AVERAGE(W85:W91)</f>
        <v>1.0023425385199116</v>
      </c>
      <c r="BY25">
        <v>1</v>
      </c>
      <c r="CB25">
        <v>2010</v>
      </c>
      <c r="CC25" s="8">
        <f>X85/AVERAGE(X82:X88)</f>
        <v>1.0602948093015998</v>
      </c>
      <c r="CD25" s="8">
        <f>X86/AVERAGE(X83:X89)</f>
        <v>0.91120083738202984</v>
      </c>
      <c r="CE25" s="8">
        <f>X87/AVERAGE(X84:X90)</f>
        <v>1.0098795486461318</v>
      </c>
      <c r="CF25" s="8">
        <f>X88/AVERAGE(X85:X91)</f>
        <v>1.0512097439512802</v>
      </c>
      <c r="CG25">
        <v>1</v>
      </c>
      <c r="CJ25">
        <v>2010</v>
      </c>
      <c r="CK25" s="8">
        <f>Y85/AVERAGE(Y82:Y88)</f>
        <v>-0.99983496988200349</v>
      </c>
      <c r="CL25" s="8">
        <f>Y86/AVERAGE(Y83:Y89)</f>
        <v>2.548410509507911</v>
      </c>
      <c r="CM25" s="8">
        <f>Y87/AVERAGE(Y84:Y90)</f>
        <v>-5.2592028784943263</v>
      </c>
      <c r="CN25" s="8">
        <f>Y88/AVERAGE(Y85:Y91)</f>
        <v>-5.6506610995128739</v>
      </c>
      <c r="CO25">
        <v>1</v>
      </c>
      <c r="CR25">
        <v>2010</v>
      </c>
      <c r="CS25" s="8">
        <f>AA85/AVERAGE(AA82:AA88)</f>
        <v>0.96758480035175121</v>
      </c>
      <c r="CT25" s="8">
        <f>AA86/AVERAGE(AA83:AA89)</f>
        <v>1.0214936166136015</v>
      </c>
      <c r="CU25" s="8">
        <f>AA87/AVERAGE(AA84:AA90)</f>
        <v>0.97988542008429447</v>
      </c>
      <c r="CV25" s="8">
        <f>AA88/AVERAGE(AA85:AA91)</f>
        <v>1.0089364561673861</v>
      </c>
      <c r="CW25">
        <v>1</v>
      </c>
      <c r="CZ25">
        <v>2010</v>
      </c>
      <c r="DA25" s="8">
        <f>AB85/AVERAGE(AB82:AB88)</f>
        <v>0.96379161921391421</v>
      </c>
      <c r="DB25" s="8">
        <f>AB86/AVERAGE(AB83:AB89)</f>
        <v>1.0078811912797048</v>
      </c>
      <c r="DC25" s="8">
        <f>AB87/AVERAGE(AB84:AB90)</f>
        <v>1.0373649170764307</v>
      </c>
      <c r="DD25" s="8">
        <f>AB88/AVERAGE(AB85:AB91)</f>
        <v>1.0082625030484276</v>
      </c>
      <c r="DE25">
        <v>1</v>
      </c>
      <c r="DH25">
        <v>2010</v>
      </c>
      <c r="DI25" s="8">
        <f>AC85/AVERAGE(AC82:AC88)</f>
        <v>0.97426356871235964</v>
      </c>
      <c r="DJ25" s="8">
        <f>AC86/AVERAGE(AC83:AC89)</f>
        <v>0.9515923566878981</v>
      </c>
      <c r="DK25" s="8">
        <f>AC87/AVERAGE(AC84:AC90)</f>
        <v>1.012289949880661</v>
      </c>
      <c r="DL25" s="8">
        <f>AC88/AVERAGE(AC85:AC91)</f>
        <v>1.0943696070889759</v>
      </c>
      <c r="DM25">
        <v>1</v>
      </c>
      <c r="DP25">
        <v>2010</v>
      </c>
      <c r="DQ25" s="8">
        <f>AD85/AVERAGE(AD82:AD88)</f>
        <v>1.4453132264308839</v>
      </c>
      <c r="DR25" s="8">
        <f>AD86/AVERAGE(AD83:AD89)</f>
        <v>0.71516646115906291</v>
      </c>
      <c r="DS25" s="8">
        <f>AD87/AVERAGE(AD84:AD90)</f>
        <v>0.93669056706216758</v>
      </c>
      <c r="DT25" s="8">
        <f>AD88/AVERAGE(AD85:AD91)</f>
        <v>0.96713641809779194</v>
      </c>
      <c r="DU25">
        <v>1</v>
      </c>
      <c r="DX25">
        <v>2010</v>
      </c>
      <c r="DY25" s="8">
        <f>AE85/AVERAGE(AE82:AE88)</f>
        <v>0.82783032553821168</v>
      </c>
      <c r="DZ25" s="8">
        <f>AE86/AVERAGE(AE83:AE89)</f>
        <v>0.96032016877113524</v>
      </c>
      <c r="EA25" s="8">
        <f>AE87/AVERAGE(AE84:AE90)</f>
        <v>1.0226252746912625</v>
      </c>
      <c r="EB25" s="8">
        <f>AE88/AVERAGE(AE85:AE91)</f>
        <v>1.6526983728089466</v>
      </c>
      <c r="EC25">
        <v>1</v>
      </c>
      <c r="EF25">
        <v>2010</v>
      </c>
      <c r="EG25" s="8">
        <f>AF85/AVERAGE(AF82:AF88)</f>
        <v>1.2418748416518877</v>
      </c>
      <c r="EH25" s="8">
        <f>AF86/AVERAGE(AF83:AF89)</f>
        <v>0.82217155606004266</v>
      </c>
      <c r="EI25" s="8">
        <f>AF87/AVERAGE(AF84:AF90)</f>
        <v>0.90640530093870786</v>
      </c>
      <c r="EJ25" s="8">
        <f>AF88/AVERAGE(AF85:AF91)</f>
        <v>1.0028934556550764</v>
      </c>
      <c r="EK25">
        <v>1</v>
      </c>
      <c r="EN25">
        <v>2010</v>
      </c>
      <c r="EO25" s="8">
        <f>AG85/AVERAGE(AG82:AG88)</f>
        <v>0.95538429234681588</v>
      </c>
      <c r="EP25" s="8">
        <f>AG86/AVERAGE(AG83:AG89)</f>
        <v>0.98334677794669723</v>
      </c>
      <c r="EQ25" s="8">
        <f>AG87/AVERAGE(AG84:AG90)</f>
        <v>1.0589915927027469</v>
      </c>
      <c r="ER25" s="8">
        <f>AG88/AVERAGE(AG85:AG91)</f>
        <v>1.0529662171101271</v>
      </c>
      <c r="ES25">
        <v>1</v>
      </c>
      <c r="EV25">
        <v>2010</v>
      </c>
      <c r="EW25" s="8">
        <f>AH85/AVERAGE(AH82:AH88)</f>
        <v>1.0864739239564936</v>
      </c>
      <c r="EX25" s="8">
        <f>AH86/AVERAGE(AH83:AH89)</f>
        <v>0.84559989962088955</v>
      </c>
      <c r="EY25" s="8">
        <f>AH87/AVERAGE(AH84:AH90)</f>
        <v>1.0454949383903622</v>
      </c>
      <c r="EZ25" s="8">
        <f>AH88/AVERAGE(AH85:AH91)</f>
        <v>1.0394050104384134</v>
      </c>
      <c r="FA25">
        <v>1</v>
      </c>
      <c r="FD25">
        <v>2010</v>
      </c>
      <c r="FE25" s="8">
        <f>AI85/AVERAGE(AI82:AI88)</f>
        <v>1.0453741284212716</v>
      </c>
      <c r="FF25" s="8">
        <f>AI86/AVERAGE(AI83:AI89)</f>
        <v>0.99952928656215467</v>
      </c>
      <c r="FG25" s="8">
        <f>AI87/AVERAGE(AI84:AI90)</f>
        <v>1.0073897141151003</v>
      </c>
      <c r="FH25" s="8">
        <f>AI88/AVERAGE(AI85:AI91)</f>
        <v>0.99627281640766663</v>
      </c>
      <c r="FI25">
        <v>1</v>
      </c>
    </row>
    <row r="26" spans="1:165" x14ac:dyDescent="0.35">
      <c r="A26" t="s">
        <v>191</v>
      </c>
      <c r="B26" t="str">
        <f t="shared" si="16"/>
        <v>1995</v>
      </c>
      <c r="C26" t="str">
        <f t="shared" si="17"/>
        <v>Q2</v>
      </c>
      <c r="D26" s="13">
        <f>HAVERQ!AL32</f>
        <v>131775</v>
      </c>
      <c r="E26" s="13">
        <f>HAVERQ!AM32</f>
        <v>2895</v>
      </c>
      <c r="F26" s="13">
        <f>HAVERQ!AN32</f>
        <v>36196</v>
      </c>
      <c r="G26" s="13">
        <f>HAVERQ!AO32</f>
        <v>38644</v>
      </c>
      <c r="H26" s="13">
        <f>HAVERQ!AP32</f>
        <v>1805</v>
      </c>
      <c r="I26" s="13">
        <f>HAVERQ!AQ32</f>
        <v>148</v>
      </c>
      <c r="J26" s="13">
        <f>HAVERQ!AR32</f>
        <v>53322</v>
      </c>
      <c r="K26" s="13">
        <f>HAVERQ!AS32</f>
        <v>53281</v>
      </c>
      <c r="L26" s="13" t="e">
        <f>HAVERQ!U32</f>
        <v>#N/A</v>
      </c>
      <c r="M26" s="13" t="e">
        <f>HAVERQ!V32</f>
        <v>#N/A</v>
      </c>
      <c r="N26" s="13" t="e">
        <f>HAVERQ!Y32</f>
        <v>#N/A</v>
      </c>
      <c r="O26" s="13" t="e">
        <f>HAVERQ!Z32</f>
        <v>#N/A</v>
      </c>
      <c r="P26" s="13" t="e">
        <f>HAVERQ!AA32</f>
        <v>#N/A</v>
      </c>
      <c r="Q26" s="13" t="e">
        <f>HAVERQ!AB32</f>
        <v>#N/A</v>
      </c>
      <c r="R26" s="13" t="e">
        <f>HAVERQ!AC32</f>
        <v>#N/A</v>
      </c>
      <c r="U26" s="13">
        <f>HAVERQ!AU32</f>
        <v>129345</v>
      </c>
      <c r="V26" s="13">
        <f>HAVERQ!AV32</f>
        <v>2882</v>
      </c>
      <c r="W26" s="13">
        <f>HAVERQ!AW32</f>
        <v>35826</v>
      </c>
      <c r="X26" s="13">
        <f>HAVERQ!AX32</f>
        <v>36252</v>
      </c>
      <c r="Y26" s="13">
        <f>HAVERQ!AY32</f>
        <v>3216</v>
      </c>
      <c r="Z26" s="13">
        <f>HAVERQ!AZ32</f>
        <v>151</v>
      </c>
      <c r="AA26" s="13">
        <f>HAVERQ!BA32</f>
        <v>52979</v>
      </c>
      <c r="AB26" s="13">
        <f>HAVERQ!BB32</f>
        <v>54524</v>
      </c>
      <c r="AC26" s="13" t="e">
        <f>HAVERQ!W32</f>
        <v>#N/A</v>
      </c>
      <c r="AD26" s="13" t="e">
        <f>HAVERQ!X32</f>
        <v>#N/A</v>
      </c>
      <c r="AE26" s="13" t="e">
        <f>HAVERQ!AD32</f>
        <v>#N/A</v>
      </c>
      <c r="AF26" s="13" t="e">
        <f>HAVERQ!AE32</f>
        <v>#N/A</v>
      </c>
      <c r="AG26" s="13" t="e">
        <f>HAVERQ!AF32</f>
        <v>#N/A</v>
      </c>
      <c r="AH26" s="13" t="e">
        <f>HAVERQ!AG32</f>
        <v>#N/A</v>
      </c>
      <c r="AI26" s="13" t="e">
        <f>HAVERQ!AH32</f>
        <v>#N/A</v>
      </c>
      <c r="AL26">
        <v>2011</v>
      </c>
      <c r="AM26" s="15">
        <f t="shared" ca="1" si="22"/>
        <v>1.0298817552487847</v>
      </c>
      <c r="AN26" s="15">
        <f t="shared" ca="1" si="23"/>
        <v>1</v>
      </c>
      <c r="AO26" s="15">
        <f t="shared" ca="1" si="24"/>
        <v>0.9835527406572272</v>
      </c>
      <c r="AP26" s="15">
        <f t="shared" ca="1" si="24"/>
        <v>0.95944150856218779</v>
      </c>
      <c r="AQ26" s="15">
        <f t="shared" ca="1" si="24"/>
        <v>0.66274023558586481</v>
      </c>
      <c r="AR26" s="15">
        <f t="shared" ca="1" si="24"/>
        <v>0.9576271186440678</v>
      </c>
      <c r="AS26" s="15">
        <f t="shared" ca="1" si="24"/>
        <v>1.0206897097583563</v>
      </c>
      <c r="AT26" s="15">
        <f t="shared" ca="1" si="24"/>
        <v>1.0226374273192227</v>
      </c>
      <c r="AU26" s="15">
        <f t="shared" ca="1" si="24"/>
        <v>1.0286338797814207</v>
      </c>
      <c r="AV26" s="15">
        <f t="shared" ca="1" si="24"/>
        <v>0.74603752223839559</v>
      </c>
      <c r="AW26" s="15">
        <f t="shared" ca="1" si="24"/>
        <v>1.153067678684377</v>
      </c>
      <c r="AX26" s="15">
        <f t="shared" ca="1" si="24"/>
        <v>0.90133705088397442</v>
      </c>
      <c r="AY26" s="15">
        <f t="shared" ca="1" si="24"/>
        <v>1.0330766247437531</v>
      </c>
      <c r="AZ26" s="15">
        <f t="shared" ca="1" si="24"/>
        <v>0.91425890114890229</v>
      </c>
      <c r="BA26" s="15">
        <f t="shared" ca="1" si="24"/>
        <v>0.98125947361168531</v>
      </c>
      <c r="BD26">
        <v>2011</v>
      </c>
      <c r="BE26" s="8">
        <f>U89/AVERAGE(U86:U92)</f>
        <v>0.97082296187034689</v>
      </c>
      <c r="BF26" s="8">
        <f>U90/AVERAGE(U87:U93)</f>
        <v>0.9872225147522028</v>
      </c>
      <c r="BG26" s="8">
        <f>U91/AVERAGE(U88:U94)</f>
        <v>1.0092746560113284</v>
      </c>
      <c r="BH26" s="8">
        <f>U92/AVERAGE(U89:U95)</f>
        <v>1.0290641474444571</v>
      </c>
      <c r="BI26">
        <v>1</v>
      </c>
      <c r="BL26">
        <v>2011</v>
      </c>
      <c r="BM26" s="8">
        <f>V89/AVERAGE(V86:V92)</f>
        <v>0.98737078782923549</v>
      </c>
      <c r="BN26" s="8">
        <f>V90/AVERAGE(V87:V93)</f>
        <v>1.0025895805752361</v>
      </c>
      <c r="BO26" s="8">
        <f>V91/AVERAGE(V88:V94)</f>
        <v>1.0082017010935602</v>
      </c>
      <c r="BP26" s="8">
        <f>V92/AVERAGE(V89:V95)</f>
        <v>0.99709740922219181</v>
      </c>
      <c r="BQ26">
        <v>1</v>
      </c>
      <c r="BT26">
        <v>2011</v>
      </c>
      <c r="BU26" s="8">
        <f>W89/AVERAGE(W86:W92)</f>
        <v>1.0465781541268393</v>
      </c>
      <c r="BV26" s="8">
        <f>W90/AVERAGE(W87:W93)</f>
        <v>0.97142931857592785</v>
      </c>
      <c r="BW26" s="8">
        <f>W91/AVERAGE(W88:W94)</f>
        <v>0.97428643679286064</v>
      </c>
      <c r="BX26" s="8">
        <f>W92/AVERAGE(W89:W95)</f>
        <v>0.99103465935130541</v>
      </c>
      <c r="BY26">
        <v>1</v>
      </c>
      <c r="CB26">
        <v>2011</v>
      </c>
      <c r="CC26" s="8">
        <f>X89/AVERAGE(X86:X92)</f>
        <v>1.0349306105545393</v>
      </c>
      <c r="CD26" s="8">
        <f>X90/AVERAGE(X87:X93)</f>
        <v>0.9002094918314828</v>
      </c>
      <c r="CE26" s="8">
        <f>X91/AVERAGE(X88:X94)</f>
        <v>0.98709209602460801</v>
      </c>
      <c r="CF26" s="8">
        <f>X92/AVERAGE(X89:X95)</f>
        <v>1.0526227433830735</v>
      </c>
      <c r="CG26">
        <v>1</v>
      </c>
      <c r="CJ26">
        <v>2011</v>
      </c>
      <c r="CK26" s="8">
        <f>Y89/AVERAGE(Y86:Y92)</f>
        <v>-4.6695616211745241</v>
      </c>
      <c r="CL26" s="8">
        <f>Y90/AVERAGE(Y87:Y93)</f>
        <v>4.1115409413281752</v>
      </c>
      <c r="CM26" s="8">
        <f>Y91/AVERAGE(Y88:Y94)</f>
        <v>44.623990772779699</v>
      </c>
      <c r="CN26" s="8">
        <f>Y92/AVERAGE(Y89:Y95)</f>
        <v>-0.96875540938203208</v>
      </c>
      <c r="CO26">
        <v>1</v>
      </c>
      <c r="CR26">
        <v>2011</v>
      </c>
      <c r="CS26" s="8">
        <f>AA89/AVERAGE(AA86:AA92)</f>
        <v>1.0064055295343957</v>
      </c>
      <c r="CT26" s="8">
        <f>AA90/AVERAGE(AA87:AA93)</f>
        <v>1.0251391407666812</v>
      </c>
      <c r="CU26" s="8">
        <f>AA91/AVERAGE(AA88:AA94)</f>
        <v>1.0059271459104782</v>
      </c>
      <c r="CV26" s="8">
        <f>AA92/AVERAGE(AA89:AA95)</f>
        <v>1.022321029338952</v>
      </c>
      <c r="CW26">
        <v>1</v>
      </c>
      <c r="CZ26">
        <v>2011</v>
      </c>
      <c r="DA26" s="8">
        <f>AB89/AVERAGE(AB86:AB92)</f>
        <v>0.96482628572681528</v>
      </c>
      <c r="DB26" s="8">
        <f>AB90/AVERAGE(AB87:AB93)</f>
        <v>1.0189941899743278</v>
      </c>
      <c r="DC26" s="8">
        <f>AB91/AVERAGE(AB88:AB94)</f>
        <v>1.0476877002964815</v>
      </c>
      <c r="DD26" s="8">
        <f>AB92/AVERAGE(AB89:AB95)</f>
        <v>1.0031141094907756</v>
      </c>
      <c r="DE26">
        <v>1</v>
      </c>
      <c r="DH26">
        <v>2011</v>
      </c>
      <c r="DI26" s="8">
        <f>AC89/AVERAGE(AC86:AC92)</f>
        <v>0.92933836331979103</v>
      </c>
      <c r="DJ26" s="8">
        <f>AC90/AVERAGE(AC87:AC93)</f>
        <v>0.95668731622370029</v>
      </c>
      <c r="DK26" s="8">
        <f>AC91/AVERAGE(AC88:AC94)</f>
        <v>1.0053861388382825</v>
      </c>
      <c r="DL26" s="8">
        <f>AC92/AVERAGE(AC89:AC95)</f>
        <v>1.0926290503964353</v>
      </c>
      <c r="DM26">
        <v>1</v>
      </c>
      <c r="DP26">
        <v>2011</v>
      </c>
      <c r="DQ26" s="8">
        <f>AD89/AVERAGE(AD86:AD92)</f>
        <v>1.52459622734558</v>
      </c>
      <c r="DR26" s="8">
        <f>AD90/AVERAGE(AD87:AD93)</f>
        <v>0.65864457267496279</v>
      </c>
      <c r="DS26" s="8">
        <f>AD91/AVERAGE(AD88:AD94)</f>
        <v>0.88372919504827341</v>
      </c>
      <c r="DT26" s="8">
        <f>AD92/AVERAGE(AD89:AD95)</f>
        <v>0.93566264849602698</v>
      </c>
      <c r="DU26">
        <v>1</v>
      </c>
      <c r="DX26">
        <v>2011</v>
      </c>
      <c r="DY26" s="8">
        <f>AE89/AVERAGE(AE86:AE92)</f>
        <v>0.66456494325346782</v>
      </c>
      <c r="DZ26" s="8">
        <f>AE90/AVERAGE(AE87:AE93)</f>
        <v>0.84084537416433036</v>
      </c>
      <c r="EA26" s="8">
        <f>AE91/AVERAGE(AE88:AE94)</f>
        <v>0.68610837438423644</v>
      </c>
      <c r="EB26" s="8">
        <f>AE92/AVERAGE(AE89:AE95)</f>
        <v>1.3165192040408151</v>
      </c>
      <c r="EC26">
        <v>1</v>
      </c>
      <c r="EF26">
        <v>2011</v>
      </c>
      <c r="EG26" s="8">
        <f>AF89/AVERAGE(AF86:AF92)</f>
        <v>1.0986275484833417</v>
      </c>
      <c r="EH26" s="8">
        <f>AF90/AVERAGE(AF87:AF93)</f>
        <v>0.88704385671242048</v>
      </c>
      <c r="EI26" s="8">
        <f>AF91/AVERAGE(AF88:AF94)</f>
        <v>0.9950246412182091</v>
      </c>
      <c r="EJ26" s="8">
        <f>AF92/AVERAGE(AF89:AF95)</f>
        <v>1.0923494373356379</v>
      </c>
      <c r="EK26">
        <v>1</v>
      </c>
      <c r="EN26">
        <v>2011</v>
      </c>
      <c r="EO26" s="8">
        <f>AG89/AVERAGE(AG86:AG92)</f>
        <v>0.97377933639061232</v>
      </c>
      <c r="EP26" s="8">
        <f>AG90/AVERAGE(AG87:AG93)</f>
        <v>0.97056511553698044</v>
      </c>
      <c r="EQ26" s="8">
        <f>AG91/AVERAGE(AG88:AG94)</f>
        <v>1.0141603731674811</v>
      </c>
      <c r="ER26" s="8">
        <f>AG92/AVERAGE(AG89:AG95)</f>
        <v>1.0551612980827059</v>
      </c>
      <c r="ES26">
        <v>1</v>
      </c>
      <c r="EV26">
        <v>2011</v>
      </c>
      <c r="EW26" s="8">
        <f>AH89/AVERAGE(AH86:AH92)</f>
        <v>1.1324855533880527</v>
      </c>
      <c r="EX26" s="8">
        <f>AH90/AVERAGE(AH87:AH93)</f>
        <v>0.82674473823326489</v>
      </c>
      <c r="EY26" s="8">
        <f>AH91/AVERAGE(AH88:AH94)</f>
        <v>1.0041977590704831</v>
      </c>
      <c r="EZ26" s="8">
        <f>AH92/AVERAGE(AH89:AH95)</f>
        <v>1.0310161597564644</v>
      </c>
      <c r="FA26">
        <v>1</v>
      </c>
      <c r="FD26">
        <v>2011</v>
      </c>
      <c r="FE26" s="8">
        <f>AI89/AVERAGE(AI86:AI92)</f>
        <v>1.0211470038394275</v>
      </c>
      <c r="FF26" s="8">
        <f>AI90/AVERAGE(AI87:AI93)</f>
        <v>0.96937322893863909</v>
      </c>
      <c r="FG26" s="8">
        <f>AI91/AVERAGE(AI88:AI94)</f>
        <v>1.0142246368569308</v>
      </c>
      <c r="FH26" s="8">
        <f>AI92/AVERAGE(AI89:AI95)</f>
        <v>1.0131292332342405</v>
      </c>
      <c r="FI26">
        <v>1</v>
      </c>
    </row>
    <row r="27" spans="1:165" x14ac:dyDescent="0.35">
      <c r="A27" t="s">
        <v>192</v>
      </c>
      <c r="B27" t="str">
        <f t="shared" si="16"/>
        <v>1995</v>
      </c>
      <c r="C27" t="str">
        <f t="shared" si="17"/>
        <v>Q3</v>
      </c>
      <c r="D27" s="13">
        <f>HAVERQ!AL33</f>
        <v>134456</v>
      </c>
      <c r="E27" s="13">
        <f>HAVERQ!AM33</f>
        <v>2471</v>
      </c>
      <c r="F27" s="13">
        <f>HAVERQ!AN33</f>
        <v>36296</v>
      </c>
      <c r="G27" s="13">
        <f>HAVERQ!AO33</f>
        <v>39570</v>
      </c>
      <c r="H27" s="13">
        <f>HAVERQ!AP33</f>
        <v>2829</v>
      </c>
      <c r="I27" s="13">
        <f>HAVERQ!AQ33</f>
        <v>119</v>
      </c>
      <c r="J27" s="13">
        <f>HAVERQ!AR33</f>
        <v>54949</v>
      </c>
      <c r="K27" s="13">
        <f>HAVERQ!AS33</f>
        <v>55294</v>
      </c>
      <c r="L27" s="13" t="e">
        <f>HAVERQ!U33</f>
        <v>#N/A</v>
      </c>
      <c r="M27" s="13" t="e">
        <f>HAVERQ!V33</f>
        <v>#N/A</v>
      </c>
      <c r="N27" s="13" t="e">
        <f>HAVERQ!Y33</f>
        <v>#N/A</v>
      </c>
      <c r="O27" s="13" t="e">
        <f>HAVERQ!Z33</f>
        <v>#N/A</v>
      </c>
      <c r="P27" s="13" t="e">
        <f>HAVERQ!AA33</f>
        <v>#N/A</v>
      </c>
      <c r="Q27" s="13" t="e">
        <f>HAVERQ!AB33</f>
        <v>#N/A</v>
      </c>
      <c r="R27" s="13" t="e">
        <f>HAVERQ!AC33</f>
        <v>#N/A</v>
      </c>
      <c r="U27" s="13">
        <f>HAVERQ!AU33</f>
        <v>136923</v>
      </c>
      <c r="V27" s="13">
        <f>HAVERQ!AV33</f>
        <v>2943</v>
      </c>
      <c r="W27" s="13">
        <f>HAVERQ!AW33</f>
        <v>35854</v>
      </c>
      <c r="X27" s="13">
        <f>HAVERQ!AX33</f>
        <v>38862</v>
      </c>
      <c r="Y27" s="13">
        <f>HAVERQ!AY33</f>
        <v>1445</v>
      </c>
      <c r="Z27" s="13">
        <f>HAVERQ!AZ33</f>
        <v>139</v>
      </c>
      <c r="AA27" s="13">
        <f>HAVERQ!BA33</f>
        <v>55290</v>
      </c>
      <c r="AB27" s="13">
        <f>HAVERQ!BB33</f>
        <v>56342</v>
      </c>
      <c r="AC27" s="13" t="e">
        <f>HAVERQ!W33</f>
        <v>#N/A</v>
      </c>
      <c r="AD27" s="13" t="e">
        <f>HAVERQ!X33</f>
        <v>#N/A</v>
      </c>
      <c r="AE27" s="13" t="e">
        <f>HAVERQ!AD33</f>
        <v>#N/A</v>
      </c>
      <c r="AF27" s="13" t="e">
        <f>HAVERQ!AE33</f>
        <v>#N/A</v>
      </c>
      <c r="AG27" s="13" t="e">
        <f>HAVERQ!AF33</f>
        <v>#N/A</v>
      </c>
      <c r="AH27" s="13" t="e">
        <f>HAVERQ!AG33</f>
        <v>#N/A</v>
      </c>
      <c r="AI27" s="13" t="e">
        <f>HAVERQ!AH33</f>
        <v>#N/A</v>
      </c>
      <c r="AL27">
        <v>2012</v>
      </c>
      <c r="AM27" s="15">
        <f t="shared" ca="1" si="22"/>
        <v>1.0295402248602075</v>
      </c>
      <c r="AN27" s="15">
        <f t="shared" ca="1" si="23"/>
        <v>1</v>
      </c>
      <c r="AO27" s="15">
        <f t="shared" ca="1" si="24"/>
        <v>0.9833850628350661</v>
      </c>
      <c r="AP27" s="15">
        <f t="shared" ca="1" si="24"/>
        <v>0.96349498669940659</v>
      </c>
      <c r="AQ27" s="15">
        <f t="shared" ca="1" si="24"/>
        <v>1.3097587719298245</v>
      </c>
      <c r="AR27" s="15">
        <f t="shared" ca="1" si="24"/>
        <v>0.93833992094861662</v>
      </c>
      <c r="AS27" s="15">
        <f t="shared" ca="1" si="24"/>
        <v>1.0158421013357213</v>
      </c>
      <c r="AT27" s="15">
        <f t="shared" ca="1" si="24"/>
        <v>1.0169425685770632</v>
      </c>
      <c r="AU27" s="15">
        <f t="shared" ca="1" si="24"/>
        <v>1.0647792516333399</v>
      </c>
      <c r="AV27" s="15">
        <f t="shared" ca="1" si="24"/>
        <v>0.73016994041050542</v>
      </c>
      <c r="AW27" s="15">
        <f t="shared" ca="1" si="24"/>
        <v>1.0901120311738919</v>
      </c>
      <c r="AX27" s="15">
        <f t="shared" ca="1" si="24"/>
        <v>0.94593074134266786</v>
      </c>
      <c r="AY27" s="15">
        <f t="shared" ca="1" si="24"/>
        <v>1.0129947190411204</v>
      </c>
      <c r="AZ27" s="15">
        <f t="shared" ca="1" si="24"/>
        <v>0.92930924159785488</v>
      </c>
      <c r="BA27" s="15">
        <f t="shared" ca="1" si="24"/>
        <v>1.0037842033766737</v>
      </c>
      <c r="BD27">
        <v>2012</v>
      </c>
      <c r="BE27" s="8">
        <f>U93/AVERAGE(U90:U96)</f>
        <v>0.96071424091040236</v>
      </c>
      <c r="BF27" s="8">
        <f>U94/AVERAGE(U91:U97)</f>
        <v>0.9853085921131135</v>
      </c>
      <c r="BG27" s="8">
        <f>U95/AVERAGE(U92:U98)</f>
        <v>1.0099187406820411</v>
      </c>
      <c r="BH27" s="8">
        <f>U96/AVERAGE(U93:U99)</f>
        <v>1.0376332020501868</v>
      </c>
      <c r="BI27">
        <v>1</v>
      </c>
      <c r="BL27">
        <v>2012</v>
      </c>
      <c r="BM27" s="8">
        <f>V93/AVERAGE(V90:V96)</f>
        <v>0.99226134384191444</v>
      </c>
      <c r="BN27" s="8">
        <f>V94/AVERAGE(V91:V97)</f>
        <v>1.013486870303169</v>
      </c>
      <c r="BO27" s="8">
        <f>V95/AVERAGE(V92:V98)</f>
        <v>1.0174039989122501</v>
      </c>
      <c r="BP27" s="8">
        <f>V96/AVERAGE(V93:V99)</f>
        <v>1.0150517268592254</v>
      </c>
      <c r="BQ27">
        <v>1</v>
      </c>
      <c r="BT27">
        <v>2012</v>
      </c>
      <c r="BU27" s="8">
        <f>W93/AVERAGE(W90:W96)</f>
        <v>1.0541590467458648</v>
      </c>
      <c r="BV27" s="8">
        <f>W94/AVERAGE(W91:W97)</f>
        <v>0.98085112931521845</v>
      </c>
      <c r="BW27" s="8">
        <f>W95/AVERAGE(W92:W98)</f>
        <v>0.98166149203493602</v>
      </c>
      <c r="BX27" s="8">
        <f>W96/AVERAGE(W93:W99)</f>
        <v>1.0058239073328727</v>
      </c>
      <c r="BY27">
        <v>1</v>
      </c>
      <c r="CB27">
        <v>2012</v>
      </c>
      <c r="CC27" s="8">
        <f>X93/AVERAGE(X90:X96)</f>
        <v>1.0665493008977027</v>
      </c>
      <c r="CD27" s="8">
        <f>X94/AVERAGE(X91:X97)</f>
        <v>0.92340661505867339</v>
      </c>
      <c r="CE27" s="8">
        <f>X95/AVERAGE(X92:X98)</f>
        <v>0.96410111166182821</v>
      </c>
      <c r="CF27" s="8">
        <f>X96/AVERAGE(X93:X99)</f>
        <v>1.0365233156776901</v>
      </c>
      <c r="CG27">
        <v>1</v>
      </c>
      <c r="CJ27">
        <v>2012</v>
      </c>
      <c r="CK27" s="8">
        <f>Y93/AVERAGE(Y90:Y96)</f>
        <v>-1.3153394457607912</v>
      </c>
      <c r="CL27" s="8">
        <f>Y94/AVERAGE(Y91:Y97)</f>
        <v>3.7207522050257946</v>
      </c>
      <c r="CM27" s="8">
        <f>Y95/AVERAGE(Y92:Y98)</f>
        <v>-82.352140077821005</v>
      </c>
      <c r="CN27" s="8">
        <f>Y96/AVERAGE(Y93:Y99)</f>
        <v>-4.0259308510638299</v>
      </c>
      <c r="CO27">
        <v>1</v>
      </c>
      <c r="CR27">
        <v>2012</v>
      </c>
      <c r="CS27" s="8">
        <f>AA93/AVERAGE(AA90:AA96)</f>
        <v>1.0186702458634542</v>
      </c>
      <c r="CT27" s="8">
        <f>AA94/AVERAGE(AA91:AA97)</f>
        <v>0.99101700283308236</v>
      </c>
      <c r="CU27" s="8">
        <f>AA95/AVERAGE(AA92:AA98)</f>
        <v>0.98160271815695699</v>
      </c>
      <c r="CV27" s="8">
        <f>AA96/AVERAGE(AA93:AA99)</f>
        <v>0.97919158558399932</v>
      </c>
      <c r="CW27">
        <v>1</v>
      </c>
      <c r="CZ27">
        <v>2012</v>
      </c>
      <c r="DA27" s="8">
        <f>AB93/AVERAGE(AB90:AB96)</f>
        <v>0.98485378770919185</v>
      </c>
      <c r="DB27" s="8">
        <f>AB94/AVERAGE(AB91:AB97)</f>
        <v>1.0032733310325672</v>
      </c>
      <c r="DC27" s="8">
        <f>AB95/AVERAGE(AB92:AB98)</f>
        <v>1.0159875759451831</v>
      </c>
      <c r="DD27" s="8">
        <f>AB96/AVERAGE(AB93:AB99)</f>
        <v>0.9690345422265203</v>
      </c>
      <c r="DE27">
        <v>1</v>
      </c>
      <c r="DH27">
        <v>2012</v>
      </c>
      <c r="DI27" s="8">
        <f>AC93/AVERAGE(AC90:AC96)</f>
        <v>0.96762981734984876</v>
      </c>
      <c r="DJ27" s="8">
        <f>AC94/AVERAGE(AC91:AC97)</f>
        <v>0.95970389164017034</v>
      </c>
      <c r="DK27" s="8">
        <f>AC95/AVERAGE(AC92:AC98)</f>
        <v>0.98928339787874786</v>
      </c>
      <c r="DL27" s="8">
        <f>AC96/AVERAGE(AC93:AC99)</f>
        <v>1.0895407685098406</v>
      </c>
      <c r="DM27">
        <v>1</v>
      </c>
      <c r="DP27">
        <v>2012</v>
      </c>
      <c r="DQ27" s="8">
        <f>AD93/AVERAGE(AD90:AD96)</f>
        <v>1.5292671166827387</v>
      </c>
      <c r="DR27" s="8">
        <f>AD94/AVERAGE(AD91:AD97)</f>
        <v>0.75267006939062731</v>
      </c>
      <c r="DS27" s="8">
        <f>AD95/AVERAGE(AD92:AD98)</f>
        <v>0.85297438365292066</v>
      </c>
      <c r="DT27" s="8">
        <f>AD96/AVERAGE(AD93:AD99)</f>
        <v>0.92693581409391546</v>
      </c>
      <c r="DU27">
        <v>1</v>
      </c>
      <c r="DX27">
        <v>2012</v>
      </c>
      <c r="DY27" s="8">
        <f>AE93/AVERAGE(AE90:AE96)</f>
        <v>1.9100212652844231</v>
      </c>
      <c r="DZ27" s="8">
        <f>AE94/AVERAGE(AE91:AE97)</f>
        <v>0.78607089365951077</v>
      </c>
      <c r="EA27" s="8">
        <f>AE95/AVERAGE(AE92:AE98)</f>
        <v>0.37528785261945885</v>
      </c>
      <c r="EB27" s="8">
        <f>AE96/AVERAGE(AE93:AE99)</f>
        <v>0.98003650042832136</v>
      </c>
      <c r="EC27">
        <v>1</v>
      </c>
      <c r="EF27">
        <v>2012</v>
      </c>
      <c r="EG27" s="8">
        <f>AF93/AVERAGE(AF90:AF96)</f>
        <v>1.0231703974417541</v>
      </c>
      <c r="EH27" s="8">
        <f>AF94/AVERAGE(AF91:AF97)</f>
        <v>0.90506368055128283</v>
      </c>
      <c r="EI27" s="8">
        <f>AF95/AVERAGE(AF92:AF98)</f>
        <v>0.9935411750093156</v>
      </c>
      <c r="EJ27" s="8">
        <f>AF96/AVERAGE(AF93:AF99)</f>
        <v>1.1068966755223666</v>
      </c>
      <c r="EK27">
        <v>1</v>
      </c>
      <c r="EN27">
        <v>2012</v>
      </c>
      <c r="EO27" s="8">
        <f>AG93/AVERAGE(AG90:AG96)</f>
        <v>0.94326995346457077</v>
      </c>
      <c r="EP27" s="8">
        <f>AG94/AVERAGE(AG91:AG97)</f>
        <v>0.95231329865793357</v>
      </c>
      <c r="EQ27" s="8">
        <f>AG95/AVERAGE(AG92:AG98)</f>
        <v>1.0045173751336856</v>
      </c>
      <c r="ER27" s="8">
        <f>AG96/AVERAGE(AG93:AG99)</f>
        <v>1.0193900557731104</v>
      </c>
      <c r="ES27">
        <v>1</v>
      </c>
      <c r="EV27">
        <v>2012</v>
      </c>
      <c r="EW27" s="8">
        <f>AH93/AVERAGE(AH90:AH96)</f>
        <v>1.0467674250121886</v>
      </c>
      <c r="EX27" s="8">
        <f>AH94/AVERAGE(AH91:AH97)</f>
        <v>0.89669306624897971</v>
      </c>
      <c r="EY27" s="8">
        <f>AH95/AVERAGE(AH92:AH98)</f>
        <v>0.9967787690390657</v>
      </c>
      <c r="EZ27" s="8">
        <f>AH96/AVERAGE(AH93:AH99)</f>
        <v>1.079813832001788</v>
      </c>
      <c r="FA27">
        <v>1</v>
      </c>
      <c r="FD27">
        <v>2012</v>
      </c>
      <c r="FE27" s="8">
        <f>AI93/AVERAGE(AI90:AI96)</f>
        <v>0.94751635188736238</v>
      </c>
      <c r="FF27" s="8">
        <f>AI94/AVERAGE(AI91:AI97)</f>
        <v>0.97615016609591243</v>
      </c>
      <c r="FG27" s="8">
        <f>AI95/AVERAGE(AI92:AI98)</f>
        <v>1.0121279851670295</v>
      </c>
      <c r="FH27" s="8">
        <f>AI96/AVERAGE(AI93:AI99)</f>
        <v>1.0115746701250417</v>
      </c>
      <c r="FI27">
        <v>1</v>
      </c>
    </row>
    <row r="28" spans="1:165" x14ac:dyDescent="0.35">
      <c r="A28" t="s">
        <v>193</v>
      </c>
      <c r="B28" t="str">
        <f t="shared" si="16"/>
        <v>1995</v>
      </c>
      <c r="C28" t="str">
        <f t="shared" si="17"/>
        <v>Q4</v>
      </c>
      <c r="D28" s="13">
        <f>HAVERQ!AL34</f>
        <v>136098</v>
      </c>
      <c r="E28" s="13">
        <f>HAVERQ!AM34</f>
        <v>2991</v>
      </c>
      <c r="F28" s="13">
        <f>HAVERQ!AN34</f>
        <v>36813</v>
      </c>
      <c r="G28" s="13">
        <f>HAVERQ!AO34</f>
        <v>40599</v>
      </c>
      <c r="H28" s="13">
        <f>HAVERQ!AP34</f>
        <v>642</v>
      </c>
      <c r="I28" s="13">
        <f>HAVERQ!AQ34</f>
        <v>149</v>
      </c>
      <c r="J28" s="13">
        <f>HAVERQ!AR34</f>
        <v>57051</v>
      </c>
      <c r="K28" s="13">
        <f>HAVERQ!AS34</f>
        <v>55708</v>
      </c>
      <c r="L28" s="13" t="e">
        <f>HAVERQ!U34</f>
        <v>#N/A</v>
      </c>
      <c r="M28" s="13" t="e">
        <f>HAVERQ!V34</f>
        <v>#N/A</v>
      </c>
      <c r="N28" s="13" t="e">
        <f>HAVERQ!Y34</f>
        <v>#N/A</v>
      </c>
      <c r="O28" s="13" t="e">
        <f>HAVERQ!Z34</f>
        <v>#N/A</v>
      </c>
      <c r="P28" s="13" t="e">
        <f>HAVERQ!AA34</f>
        <v>#N/A</v>
      </c>
      <c r="Q28" s="13" t="e">
        <f>HAVERQ!AB34</f>
        <v>#N/A</v>
      </c>
      <c r="R28" s="13" t="e">
        <f>HAVERQ!AC34</f>
        <v>#N/A</v>
      </c>
      <c r="U28" s="13">
        <f>HAVERQ!AU34</f>
        <v>140377</v>
      </c>
      <c r="V28" s="13">
        <f>HAVERQ!AV34</f>
        <v>2899</v>
      </c>
      <c r="W28" s="13">
        <f>HAVERQ!AW34</f>
        <v>36991</v>
      </c>
      <c r="X28" s="13">
        <f>HAVERQ!AX34</f>
        <v>41482</v>
      </c>
      <c r="Y28" s="13">
        <f>HAVERQ!AY34</f>
        <v>1250</v>
      </c>
      <c r="Z28" s="13">
        <f>HAVERQ!AZ34</f>
        <v>133</v>
      </c>
      <c r="AA28" s="13">
        <f>HAVERQ!BA34</f>
        <v>57448</v>
      </c>
      <c r="AB28" s="13">
        <f>HAVERQ!BB34</f>
        <v>54810</v>
      </c>
      <c r="AC28" s="13" t="e">
        <f>HAVERQ!W34</f>
        <v>#N/A</v>
      </c>
      <c r="AD28" s="13" t="e">
        <f>HAVERQ!X34</f>
        <v>#N/A</v>
      </c>
      <c r="AE28" s="13" t="e">
        <f>HAVERQ!AD34</f>
        <v>#N/A</v>
      </c>
      <c r="AF28" s="13" t="e">
        <f>HAVERQ!AE34</f>
        <v>#N/A</v>
      </c>
      <c r="AG28" s="13" t="e">
        <f>HAVERQ!AF34</f>
        <v>#N/A</v>
      </c>
      <c r="AH28" s="13" t="e">
        <f>HAVERQ!AG34</f>
        <v>#N/A</v>
      </c>
      <c r="AI28" s="13" t="e">
        <f>HAVERQ!AH34</f>
        <v>#N/A</v>
      </c>
      <c r="AL28">
        <v>2013</v>
      </c>
      <c r="AM28" s="15">
        <f t="shared" ca="1" si="22"/>
        <v>1.0272041632098952</v>
      </c>
      <c r="AN28" s="15">
        <f t="shared" ca="1" si="23"/>
        <v>1</v>
      </c>
      <c r="AO28" s="15">
        <f t="shared" ca="1" si="24"/>
        <v>0.98493602514720857</v>
      </c>
      <c r="AP28" s="15">
        <f t="shared" ca="1" si="24"/>
        <v>0.97505513623101059</v>
      </c>
      <c r="AQ28" s="15">
        <f t="shared" ca="1" si="24"/>
        <v>0.62473347547974412</v>
      </c>
      <c r="AR28" s="15">
        <f t="shared" ca="1" si="24"/>
        <v>1.1190476190476191</v>
      </c>
      <c r="AS28" s="15">
        <f t="shared" ca="1" si="24"/>
        <v>1.0251756396003964</v>
      </c>
      <c r="AT28" s="15">
        <f t="shared" ca="1" si="24"/>
        <v>1.0298233797335727</v>
      </c>
      <c r="AU28" s="15">
        <f t="shared" ca="1" si="24"/>
        <v>1.0454713493530499</v>
      </c>
      <c r="AV28" s="15">
        <f t="shared" ca="1" si="24"/>
        <v>0.72599880739415623</v>
      </c>
      <c r="AW28" s="15">
        <f t="shared" ca="1" si="24"/>
        <v>1.0928393005828476</v>
      </c>
      <c r="AX28" s="15">
        <f t="shared" ca="1" si="24"/>
        <v>0.9170698389208265</v>
      </c>
      <c r="AY28" s="15">
        <f t="shared" ca="1" si="24"/>
        <v>1.0351929844804708</v>
      </c>
      <c r="AZ28" s="15">
        <f t="shared" ca="1" si="24"/>
        <v>0.98321357225916095</v>
      </c>
      <c r="BA28" s="15">
        <f t="shared" ca="1" si="24"/>
        <v>0.96890572875911207</v>
      </c>
      <c r="BD28">
        <v>2013</v>
      </c>
      <c r="BE28" s="8">
        <f>U97/AVERAGE(U94:U100)</f>
        <v>0.96849745831113743</v>
      </c>
      <c r="BF28" s="8">
        <f>U98/AVERAGE(U95:U101)</f>
        <v>0.98767046322499463</v>
      </c>
      <c r="BG28" s="8">
        <f>U99/AVERAGE(U96:U102)</f>
        <v>1.0204238313466345</v>
      </c>
      <c r="BH28" s="8">
        <f>U100/AVERAGE(U97:U103)</f>
        <v>1.0251581286683003</v>
      </c>
      <c r="BI28">
        <v>1</v>
      </c>
      <c r="BL28">
        <v>2013</v>
      </c>
      <c r="BM28" s="8">
        <f>V97/AVERAGE(V94:V100)</f>
        <v>0.98971436814772074</v>
      </c>
      <c r="BN28" s="8">
        <f>V98/AVERAGE(V95:V101)</f>
        <v>1.0027536970933197</v>
      </c>
      <c r="BO28" s="8">
        <f>V99/AVERAGE(V96:V102)</f>
        <v>1.0038144329896908</v>
      </c>
      <c r="BP28" s="8">
        <f>V100/AVERAGE(V97:V103)</f>
        <v>0.99525325873459902</v>
      </c>
      <c r="BQ28">
        <v>1</v>
      </c>
      <c r="BT28">
        <v>2013</v>
      </c>
      <c r="BU28" s="8">
        <f>W97/AVERAGE(W94:W100)</f>
        <v>1.0206441117803124</v>
      </c>
      <c r="BV28" s="8">
        <f>W98/AVERAGE(W95:W101)</f>
        <v>0.98629059659992757</v>
      </c>
      <c r="BW28" s="8">
        <f>W99/AVERAGE(W96:W102)</f>
        <v>0.97075328081072976</v>
      </c>
      <c r="BX28" s="8">
        <f>W100/AVERAGE(W97:W103)</f>
        <v>1.0054260491441411</v>
      </c>
      <c r="BY28">
        <v>1</v>
      </c>
      <c r="CB28">
        <v>2013</v>
      </c>
      <c r="CC28" s="8">
        <f>X97/AVERAGE(X94:X100)</f>
        <v>1.0144200514945121</v>
      </c>
      <c r="CD28" s="8">
        <f>X98/AVERAGE(X95:X101)</f>
        <v>0.93658535646065677</v>
      </c>
      <c r="CE28" s="8">
        <f>X99/AVERAGE(X96:X102)</f>
        <v>1.0089056351763104</v>
      </c>
      <c r="CF28" s="8">
        <f>X100/AVERAGE(X97:X103)</f>
        <v>1.0297399791443167</v>
      </c>
      <c r="CG28">
        <v>1</v>
      </c>
      <c r="CJ28">
        <v>2013</v>
      </c>
      <c r="CK28" s="8">
        <f>Y97/AVERAGE(Y94:Y100)</f>
        <v>-1.4702194357366771</v>
      </c>
      <c r="CL28" s="8">
        <f>Y98/AVERAGE(Y95:Y101)</f>
        <v>-0.62467520831466716</v>
      </c>
      <c r="CM28" s="8">
        <f>Y99/AVERAGE(Y96:Y102)</f>
        <v>3.1487867177522348</v>
      </c>
      <c r="CN28" s="8">
        <f>Y100/AVERAGE(Y97:Y103)</f>
        <v>0.38962230490850708</v>
      </c>
      <c r="CO28">
        <v>1</v>
      </c>
      <c r="CR28">
        <v>2013</v>
      </c>
      <c r="CS28" s="8">
        <f>AA97/AVERAGE(AA94:AA100)</f>
        <v>0.99364277824116864</v>
      </c>
      <c r="CT28" s="8">
        <f>AA98/AVERAGE(AA95:AA101)</f>
        <v>1.036285560923242</v>
      </c>
      <c r="CU28" s="8">
        <f>AA99/AVERAGE(AA96:AA102)</f>
        <v>1.0180787326187608</v>
      </c>
      <c r="CV28" s="8">
        <f>AA100/AVERAGE(AA97:AA103)</f>
        <v>1.0020769816666633</v>
      </c>
      <c r="CW28">
        <v>1</v>
      </c>
      <c r="CZ28">
        <v>2013</v>
      </c>
      <c r="DA28" s="8">
        <f>AB97/AVERAGE(AB94:AB100)</f>
        <v>0.96256420336373649</v>
      </c>
      <c r="DB28" s="8">
        <f>AB98/AVERAGE(AB95:AB101)</f>
        <v>1.0251710312919344</v>
      </c>
      <c r="DC28" s="8">
        <f>AB99/AVERAGE(AB96:AB102)</f>
        <v>1.0522028264388601</v>
      </c>
      <c r="DD28" s="8">
        <f>AB100/AVERAGE(AB97:AB103)</f>
        <v>1.0097463111966152</v>
      </c>
      <c r="DE28">
        <v>1</v>
      </c>
      <c r="DH28">
        <v>2013</v>
      </c>
      <c r="DI28" s="8">
        <f>AC97/AVERAGE(AC94:AC100)</f>
        <v>0.94062848880836036</v>
      </c>
      <c r="DJ28" s="8">
        <f>AC98/AVERAGE(AC95:AC101)</f>
        <v>0.96673829186838223</v>
      </c>
      <c r="DK28" s="8">
        <f>AC99/AVERAGE(AC96:AC102)</f>
        <v>1.0188905777017103</v>
      </c>
      <c r="DL28" s="8">
        <f>AC100/AVERAGE(AC97:AC103)</f>
        <v>1.0634745239346908</v>
      </c>
      <c r="DM28">
        <v>1</v>
      </c>
      <c r="DP28">
        <v>2013</v>
      </c>
      <c r="DQ28" s="8">
        <f>AD97/AVERAGE(AD94:AD100)</f>
        <v>1.4438078448655796</v>
      </c>
      <c r="DR28" s="8">
        <f>AD98/AVERAGE(AD95:AD101)</f>
        <v>0.6899530775600331</v>
      </c>
      <c r="DS28" s="8">
        <f>AD99/AVERAGE(AD96:AD102)</f>
        <v>0.86357190835136954</v>
      </c>
      <c r="DT28" s="8">
        <f>AD100/AVERAGE(AD97:AD103)</f>
        <v>0.92247509351505497</v>
      </c>
      <c r="DU28">
        <v>1</v>
      </c>
      <c r="DX28">
        <v>2013</v>
      </c>
      <c r="DY28" s="8">
        <f>AE97/AVERAGE(AE94:AE100)</f>
        <v>0.71768823629844636</v>
      </c>
      <c r="DZ28" s="8">
        <f>AE98/AVERAGE(AE95:AE101)</f>
        <v>0.91554368499858363</v>
      </c>
      <c r="EA28" s="8">
        <f>AE99/AVERAGE(AE96:AE102)</f>
        <v>1.1229359715738869</v>
      </c>
      <c r="EB28" s="8">
        <f>AE100/AVERAGE(AE97:AE103)</f>
        <v>1.1260450592619953</v>
      </c>
      <c r="EC28">
        <v>1</v>
      </c>
      <c r="EF28">
        <v>2013</v>
      </c>
      <c r="EG28" s="8">
        <f>AF97/AVERAGE(AF94:AF100)</f>
        <v>1.0928810727710587</v>
      </c>
      <c r="EH28" s="8">
        <f>AF98/AVERAGE(AF95:AF101)</f>
        <v>0.84792069632495159</v>
      </c>
      <c r="EI28" s="8">
        <f>AF99/AVERAGE(AF96:AF102)</f>
        <v>0.94040177216726351</v>
      </c>
      <c r="EJ28" s="8">
        <f>AF100/AVERAGE(AF97:AF103)</f>
        <v>1.0424857931058491</v>
      </c>
      <c r="EK28">
        <v>1</v>
      </c>
      <c r="EN28">
        <v>2013</v>
      </c>
      <c r="EO28" s="8">
        <f>AG97/AVERAGE(AG94:AG100)</f>
        <v>0.93613820134559589</v>
      </c>
      <c r="EP28" s="8">
        <f>AG98/AVERAGE(AG95:AG101)</f>
        <v>1.0078618857901727</v>
      </c>
      <c r="EQ28" s="8">
        <f>AG99/AVERAGE(AG96:AG102)</f>
        <v>1.0499103497114617</v>
      </c>
      <c r="ER28" s="8">
        <f>AG100/AVERAGE(AG97:AG103)</f>
        <v>1.0411283983210478</v>
      </c>
      <c r="ES28">
        <v>1</v>
      </c>
      <c r="EV28">
        <v>2013</v>
      </c>
      <c r="EW28" s="8">
        <f>AH97/AVERAGE(AH94:AH100)</f>
        <v>1.0190198401847295</v>
      </c>
      <c r="EX28" s="8">
        <f>AH98/AVERAGE(AH95:AH101)</f>
        <v>0.91703891716078267</v>
      </c>
      <c r="EY28" s="8">
        <f>AH99/AVERAGE(AH96:AH102)</f>
        <v>1.0037368048012281</v>
      </c>
      <c r="EZ28" s="8">
        <f>AH100/AVERAGE(AH97:AH103)</f>
        <v>1.0291490736932232</v>
      </c>
      <c r="FA28">
        <v>1</v>
      </c>
      <c r="FD28">
        <v>2013</v>
      </c>
      <c r="FE28" s="8">
        <f>AI97/AVERAGE(AI94:AI100)</f>
        <v>1.0439528041717083</v>
      </c>
      <c r="FF28" s="8">
        <f>AI98/AVERAGE(AI95:AI101)</f>
        <v>0.97514361002899219</v>
      </c>
      <c r="FG28" s="8">
        <f>AI99/AVERAGE(AI96:AI102)</f>
        <v>0.9864041032499985</v>
      </c>
      <c r="FH28" s="8">
        <f>AI100/AVERAGE(AI97:AI103)</f>
        <v>1.0024206483076177</v>
      </c>
      <c r="FI28">
        <v>1</v>
      </c>
    </row>
    <row r="29" spans="1:165" x14ac:dyDescent="0.35">
      <c r="A29" t="s">
        <v>194</v>
      </c>
      <c r="B29" t="str">
        <f t="shared" si="16"/>
        <v>1996</v>
      </c>
      <c r="C29" t="str">
        <f t="shared" si="17"/>
        <v>Q1</v>
      </c>
      <c r="D29" s="13">
        <f>HAVERQ!AL35</f>
        <v>138778</v>
      </c>
      <c r="E29" s="13">
        <f>HAVERQ!AM35</f>
        <v>3220</v>
      </c>
      <c r="F29" s="13">
        <f>HAVERQ!AN35</f>
        <v>38034</v>
      </c>
      <c r="G29" s="13">
        <f>HAVERQ!AO35</f>
        <v>42148</v>
      </c>
      <c r="H29" s="13">
        <f>HAVERQ!AP35</f>
        <v>-138</v>
      </c>
      <c r="I29" s="13">
        <f>HAVERQ!AQ35</f>
        <v>135</v>
      </c>
      <c r="J29" s="13">
        <f>HAVERQ!AR35</f>
        <v>58391</v>
      </c>
      <c r="K29" s="13">
        <f>HAVERQ!AS35</f>
        <v>58264</v>
      </c>
      <c r="L29" s="13" t="e">
        <f>HAVERQ!U35</f>
        <v>#N/A</v>
      </c>
      <c r="M29" s="13" t="e">
        <f>HAVERQ!V35</f>
        <v>#N/A</v>
      </c>
      <c r="N29" s="13" t="e">
        <f>HAVERQ!Y35</f>
        <v>#N/A</v>
      </c>
      <c r="O29" s="13" t="e">
        <f>HAVERQ!Z35</f>
        <v>#N/A</v>
      </c>
      <c r="P29" s="13" t="e">
        <f>HAVERQ!AA35</f>
        <v>#N/A</v>
      </c>
      <c r="Q29" s="13" t="e">
        <f>HAVERQ!AB35</f>
        <v>#N/A</v>
      </c>
      <c r="R29" s="13" t="e">
        <f>HAVERQ!AC35</f>
        <v>#N/A</v>
      </c>
      <c r="U29" s="13">
        <f>HAVERQ!AU35</f>
        <v>134018</v>
      </c>
      <c r="V29" s="13">
        <f>HAVERQ!AV35</f>
        <v>3235</v>
      </c>
      <c r="W29" s="13">
        <f>HAVERQ!AW35</f>
        <v>38417</v>
      </c>
      <c r="X29" s="13">
        <f>HAVERQ!AX35</f>
        <v>44610</v>
      </c>
      <c r="Y29" s="13">
        <f>HAVERQ!AY35</f>
        <v>-1966</v>
      </c>
      <c r="Z29" s="13">
        <f>HAVERQ!AZ35</f>
        <v>132</v>
      </c>
      <c r="AA29" s="13">
        <f>HAVERQ!BA35</f>
        <v>57590</v>
      </c>
      <c r="AB29" s="13">
        <f>HAVERQ!BB35</f>
        <v>56762</v>
      </c>
      <c r="AC29" s="13" t="e">
        <f>HAVERQ!W35</f>
        <v>#N/A</v>
      </c>
      <c r="AD29" s="13" t="e">
        <f>HAVERQ!X35</f>
        <v>#N/A</v>
      </c>
      <c r="AE29" s="13" t="e">
        <f>HAVERQ!AD35</f>
        <v>#N/A</v>
      </c>
      <c r="AF29" s="13" t="e">
        <f>HAVERQ!AE35</f>
        <v>#N/A</v>
      </c>
      <c r="AG29" s="13" t="e">
        <f>HAVERQ!AF35</f>
        <v>#N/A</v>
      </c>
      <c r="AH29" s="13" t="e">
        <f>HAVERQ!AG35</f>
        <v>#N/A</v>
      </c>
      <c r="AI29" s="13" t="e">
        <f>HAVERQ!AH35</f>
        <v>#N/A</v>
      </c>
      <c r="AL29">
        <v>2014</v>
      </c>
      <c r="AM29" s="15">
        <f t="shared" ca="1" si="22"/>
        <v>1.0326792623303191</v>
      </c>
      <c r="AN29" s="15">
        <f t="shared" ca="1" si="23"/>
        <v>1</v>
      </c>
      <c r="AO29" s="15">
        <f t="shared" ca="1" si="24"/>
        <v>0.98534009069085093</v>
      </c>
      <c r="AP29" s="15">
        <f t="shared" ca="1" si="24"/>
        <v>0.97698908440647236</v>
      </c>
      <c r="AQ29" s="15">
        <f t="shared" ca="1" si="24"/>
        <v>0.35165037801954635</v>
      </c>
      <c r="AR29" s="15">
        <f t="shared" ca="1" si="24"/>
        <v>1.084664536741214</v>
      </c>
      <c r="AS29" s="15">
        <f t="shared" ca="1" si="24"/>
        <v>1.022875842037904</v>
      </c>
      <c r="AT29" s="15">
        <f t="shared" ca="1" si="24"/>
        <v>1.0273977629686171</v>
      </c>
      <c r="AU29" s="15">
        <f t="shared" ca="1" si="24"/>
        <v>1.044229071649257</v>
      </c>
      <c r="AV29" s="15">
        <f t="shared" ca="1" si="24"/>
        <v>0.73398292661895315</v>
      </c>
      <c r="AW29" s="15">
        <f t="shared" ca="1" si="24"/>
        <v>1.1067238267148014</v>
      </c>
      <c r="AX29" s="15">
        <f t="shared" ca="1" si="24"/>
        <v>0.93423027742258302</v>
      </c>
      <c r="AY29" s="15">
        <f t="shared" ca="1" si="24"/>
        <v>1.0357815442561205</v>
      </c>
      <c r="AZ29" s="15">
        <f t="shared" ca="1" si="24"/>
        <v>0.9499303449971318</v>
      </c>
      <c r="BA29" s="15">
        <f t="shared" ca="1" si="24"/>
        <v>0.9740707375347617</v>
      </c>
      <c r="BD29">
        <v>2014</v>
      </c>
      <c r="BE29" s="8">
        <f>U101/AVERAGE(U98:U104)</f>
        <v>0.96040135477730948</v>
      </c>
      <c r="BF29" s="8">
        <f>U102/AVERAGE(U99:U105)</f>
        <v>0.99044164643037835</v>
      </c>
      <c r="BG29" s="8">
        <f>U103/AVERAGE(U100:U106)</f>
        <v>1.0290586916657756</v>
      </c>
      <c r="BH29" s="8">
        <f>U104/AVERAGE(U101:U107)</f>
        <v>1.0323228851055053</v>
      </c>
      <c r="BI29">
        <v>1</v>
      </c>
      <c r="BL29">
        <v>2014</v>
      </c>
      <c r="BM29" s="8">
        <f>V101/AVERAGE(V98:V104)</f>
        <v>0.98970537624754984</v>
      </c>
      <c r="BN29" s="8">
        <f>V102/AVERAGE(V99:V105)</f>
        <v>0.99404537574432816</v>
      </c>
      <c r="BO29" s="8">
        <f>V103/AVERAGE(V100:V106)</f>
        <v>0.99426415094339626</v>
      </c>
      <c r="BP29" s="8">
        <f>V104/AVERAGE(V101:V107)</f>
        <v>0.99384082523906336</v>
      </c>
      <c r="BQ29">
        <v>1</v>
      </c>
      <c r="BT29">
        <v>2014</v>
      </c>
      <c r="BU29" s="8">
        <f>W101/AVERAGE(W98:W104)</f>
        <v>1.0334575125820094</v>
      </c>
      <c r="BV29" s="8">
        <f>W102/AVERAGE(W99:W105)</f>
        <v>0.9837413975751732</v>
      </c>
      <c r="BW29" s="8">
        <f>W103/AVERAGE(W100:W106)</f>
        <v>0.99922226129851377</v>
      </c>
      <c r="BX29" s="8">
        <f>W104/AVERAGE(W101:W107)</f>
        <v>0.99717900363890011</v>
      </c>
      <c r="BY29">
        <v>1</v>
      </c>
      <c r="CB29">
        <v>2014</v>
      </c>
      <c r="CC29" s="8">
        <f>X101/AVERAGE(X98:X104)</f>
        <v>1.0324201264496655</v>
      </c>
      <c r="CD29" s="8">
        <f>X102/AVERAGE(X99:X105)</f>
        <v>0.94183669848479479</v>
      </c>
      <c r="CE29" s="8">
        <f>X103/AVERAGE(X100:X106)</f>
        <v>0.98038583575261806</v>
      </c>
      <c r="CF29" s="8">
        <f>X104/AVERAGE(X101:X107)</f>
        <v>1.0400841616735359</v>
      </c>
      <c r="CG29">
        <v>1</v>
      </c>
      <c r="CJ29">
        <v>2014</v>
      </c>
      <c r="CK29" s="8">
        <f>Y101/AVERAGE(Y98:Y104)</f>
        <v>1.6849090102086108</v>
      </c>
      <c r="CL29" s="8">
        <f>Y102/AVERAGE(Y99:Y105)</f>
        <v>1.4514253297404622</v>
      </c>
      <c r="CM29" s="8">
        <f>Y103/AVERAGE(Y100:Y106)</f>
        <v>1.6664681630783327</v>
      </c>
      <c r="CN29" s="8">
        <f>Y104/AVERAGE(Y101:Y107)</f>
        <v>0.29229031347077095</v>
      </c>
      <c r="CO29">
        <v>1</v>
      </c>
      <c r="CR29">
        <v>2014</v>
      </c>
      <c r="CS29" s="8">
        <f>AA101/AVERAGE(AA98:AA104)</f>
        <v>0.96841599704834291</v>
      </c>
      <c r="CT29" s="8">
        <f>AA102/AVERAGE(AA99:AA105)</f>
        <v>1.0073995376224216</v>
      </c>
      <c r="CU29" s="8">
        <f>AA103/AVERAGE(AA100:AA106)</f>
        <v>0.98381141206442613</v>
      </c>
      <c r="CV29" s="8">
        <f>AA104/AVERAGE(AA101:AA107)</f>
        <v>1.0348109706132811</v>
      </c>
      <c r="CW29">
        <v>1</v>
      </c>
      <c r="CZ29">
        <v>2014</v>
      </c>
      <c r="DA29" s="8">
        <f>AB101/AVERAGE(AB98:AB104)</f>
        <v>0.95558917532487053</v>
      </c>
      <c r="DB29" s="8">
        <f>AB102/AVERAGE(AB99:AB105)</f>
        <v>0.96789432614640525</v>
      </c>
      <c r="DC29" s="8">
        <f>AB103/AVERAGE(AB100:AB106)</f>
        <v>1.0317752321273801</v>
      </c>
      <c r="DD29" s="8">
        <f>AB104/AVERAGE(AB101:AB107)</f>
        <v>1.0482772761660999</v>
      </c>
      <c r="DE29">
        <v>1</v>
      </c>
      <c r="DH29">
        <v>2014</v>
      </c>
      <c r="DI29" s="8">
        <f>AC101/AVERAGE(AC98:AC104)</f>
        <v>0.9384765215676123</v>
      </c>
      <c r="DJ29" s="8">
        <f>AC102/AVERAGE(AC99:AC105)</f>
        <v>0.97757858385706442</v>
      </c>
      <c r="DK29" s="8">
        <f>AC103/AVERAGE(AC100:AC106)</f>
        <v>0.97820973577065895</v>
      </c>
      <c r="DL29" s="8">
        <f>AC104/AVERAGE(AC101:AC107)</f>
        <v>1.0805274473133419</v>
      </c>
      <c r="DM29">
        <v>1</v>
      </c>
      <c r="DP29">
        <v>2014</v>
      </c>
      <c r="DQ29" s="8">
        <f>AD101/AVERAGE(AD98:AD104)</f>
        <v>1.5671470352602774</v>
      </c>
      <c r="DR29" s="8">
        <f>AD102/AVERAGE(AD99:AD105)</f>
        <v>0.70247422148453287</v>
      </c>
      <c r="DS29" s="8">
        <f>AD103/AVERAGE(AD100:AD106)</f>
        <v>0.89111534108447366</v>
      </c>
      <c r="DT29" s="8">
        <f>AD104/AVERAGE(AD101:AD107)</f>
        <v>0.93849512617368391</v>
      </c>
      <c r="DU29">
        <v>1</v>
      </c>
      <c r="DX29">
        <v>2014</v>
      </c>
      <c r="DY29" s="8">
        <f>AE101/AVERAGE(AE98:AE104)</f>
        <v>0.9372809667673716</v>
      </c>
      <c r="DZ29" s="8">
        <f>AE102/AVERAGE(AE99:AE105)</f>
        <v>0.99065975178677412</v>
      </c>
      <c r="EA29" s="8">
        <f>AE103/AVERAGE(AE100:AE106)</f>
        <v>0.85162264150943401</v>
      </c>
      <c r="EB29" s="8">
        <f>AE104/AVERAGE(AE101:AE107)</f>
        <v>1.0042646062764971</v>
      </c>
      <c r="EC29">
        <v>1</v>
      </c>
      <c r="EF29">
        <v>2014</v>
      </c>
      <c r="EG29" s="8">
        <f>AF101/AVERAGE(AF98:AF104)</f>
        <v>1.0881427707199032</v>
      </c>
      <c r="EH29" s="8">
        <f>AF102/AVERAGE(AF99:AF105)</f>
        <v>0.91081468323460169</v>
      </c>
      <c r="EI29" s="8">
        <f>AF103/AVERAGE(AF100:AF106)</f>
        <v>1.0099216008863967</v>
      </c>
      <c r="EJ29" s="8">
        <f>AF104/AVERAGE(AF101:AF107)</f>
        <v>1.0882977733016241</v>
      </c>
      <c r="EK29">
        <v>1</v>
      </c>
      <c r="EN29">
        <v>2014</v>
      </c>
      <c r="EO29" s="8">
        <f>AG101/AVERAGE(AG98:AG104)</f>
        <v>0.96689861481433304</v>
      </c>
      <c r="EP29" s="8">
        <f>AG102/AVERAGE(AG99:AG105)</f>
        <v>0.95231289634518579</v>
      </c>
      <c r="EQ29" s="8">
        <f>AG103/AVERAGE(AG100:AG106)</f>
        <v>1.0208198574099216</v>
      </c>
      <c r="ER29" s="8">
        <f>AG104/AVERAGE(AG101:AG107)</f>
        <v>1.0265342529252293</v>
      </c>
      <c r="ES29">
        <v>1</v>
      </c>
      <c r="EV29">
        <v>2014</v>
      </c>
      <c r="EW29" s="8">
        <f>AH101/AVERAGE(AH98:AH104)</f>
        <v>1.0532409405324095</v>
      </c>
      <c r="EX29" s="8">
        <f>AH102/AVERAGE(AH99:AH105)</f>
        <v>0.91099630643826024</v>
      </c>
      <c r="EY29" s="8">
        <f>AH103/AVERAGE(AH100:AH106)</f>
        <v>0.96550012801071339</v>
      </c>
      <c r="EZ29" s="8">
        <f>AH104/AVERAGE(AH101:AH107)</f>
        <v>1.0461639750590606</v>
      </c>
      <c r="FA29">
        <v>1</v>
      </c>
      <c r="FD29">
        <v>2014</v>
      </c>
      <c r="FE29" s="8">
        <f>AI101/AVERAGE(AI98:AI104)</f>
        <v>1.0446338284204557</v>
      </c>
      <c r="FF29" s="8">
        <f>AI102/AVERAGE(AI99:AI105)</f>
        <v>0.95309837424584354</v>
      </c>
      <c r="FG29" s="8">
        <f>AI103/AVERAGE(AI100:AI106)</f>
        <v>0.97270865596796063</v>
      </c>
      <c r="FH29" s="8">
        <f>AI104/AVERAGE(AI101:AI107)</f>
        <v>1.0388924806746311</v>
      </c>
      <c r="FI29">
        <v>1</v>
      </c>
    </row>
    <row r="30" spans="1:165" x14ac:dyDescent="0.35">
      <c r="A30" t="s">
        <v>195</v>
      </c>
      <c r="B30" t="str">
        <f t="shared" si="16"/>
        <v>1996</v>
      </c>
      <c r="C30" t="str">
        <f t="shared" si="17"/>
        <v>Q2</v>
      </c>
      <c r="D30" s="13">
        <f>HAVERQ!AL36</f>
        <v>141537</v>
      </c>
      <c r="E30" s="13">
        <f>HAVERQ!AM36</f>
        <v>3221</v>
      </c>
      <c r="F30" s="13">
        <f>HAVERQ!AN36</f>
        <v>37466</v>
      </c>
      <c r="G30" s="13">
        <f>HAVERQ!AO36</f>
        <v>44027</v>
      </c>
      <c r="H30" s="13">
        <f>HAVERQ!AP36</f>
        <v>-163</v>
      </c>
      <c r="I30" s="13">
        <f>HAVERQ!AQ36</f>
        <v>138</v>
      </c>
      <c r="J30" s="13">
        <f>HAVERQ!AR36</f>
        <v>59883</v>
      </c>
      <c r="K30" s="13">
        <f>HAVERQ!AS36</f>
        <v>59005</v>
      </c>
      <c r="L30" s="13" t="e">
        <f>HAVERQ!U36</f>
        <v>#N/A</v>
      </c>
      <c r="M30" s="13" t="e">
        <f>HAVERQ!V36</f>
        <v>#N/A</v>
      </c>
      <c r="N30" s="13" t="e">
        <f>HAVERQ!Y36</f>
        <v>#N/A</v>
      </c>
      <c r="O30" s="13" t="e">
        <f>HAVERQ!Z36</f>
        <v>#N/A</v>
      </c>
      <c r="P30" s="13" t="e">
        <f>HAVERQ!AA36</f>
        <v>#N/A</v>
      </c>
      <c r="Q30" s="13" t="e">
        <f>HAVERQ!AB36</f>
        <v>#N/A</v>
      </c>
      <c r="R30" s="13" t="e">
        <f>HAVERQ!AC36</f>
        <v>#N/A</v>
      </c>
      <c r="U30" s="13">
        <f>HAVERQ!AU36</f>
        <v>139017</v>
      </c>
      <c r="V30" s="13">
        <f>HAVERQ!AV36</f>
        <v>3220</v>
      </c>
      <c r="W30" s="13">
        <f>HAVERQ!AW36</f>
        <v>37247</v>
      </c>
      <c r="X30" s="13">
        <f>HAVERQ!AX36</f>
        <v>41863</v>
      </c>
      <c r="Y30" s="13">
        <f>HAVERQ!AY36</f>
        <v>964</v>
      </c>
      <c r="Z30" s="13">
        <f>HAVERQ!AZ36</f>
        <v>140</v>
      </c>
      <c r="AA30" s="13">
        <f>HAVERQ!BA36</f>
        <v>59340</v>
      </c>
      <c r="AB30" s="13">
        <f>HAVERQ!BB36</f>
        <v>60227</v>
      </c>
      <c r="AC30" s="13" t="e">
        <f>HAVERQ!W36</f>
        <v>#N/A</v>
      </c>
      <c r="AD30" s="13" t="e">
        <f>HAVERQ!X36</f>
        <v>#N/A</v>
      </c>
      <c r="AE30" s="13" t="e">
        <f>HAVERQ!AD36</f>
        <v>#N/A</v>
      </c>
      <c r="AF30" s="13" t="e">
        <f>HAVERQ!AE36</f>
        <v>#N/A</v>
      </c>
      <c r="AG30" s="13" t="e">
        <f>HAVERQ!AF36</f>
        <v>#N/A</v>
      </c>
      <c r="AH30" s="13" t="e">
        <f>HAVERQ!AG36</f>
        <v>#N/A</v>
      </c>
      <c r="AI30" s="13" t="e">
        <f>HAVERQ!AH36</f>
        <v>#N/A</v>
      </c>
      <c r="AL30">
        <v>2015</v>
      </c>
      <c r="AM30" s="15">
        <f t="shared" ca="1" si="22"/>
        <v>1.0327529912332298</v>
      </c>
      <c r="AN30" s="15">
        <f t="shared" ca="1" si="23"/>
        <v>1</v>
      </c>
      <c r="AO30" s="15">
        <f t="shared" ca="1" si="24"/>
        <v>0.98579037091155508</v>
      </c>
      <c r="AP30" s="15">
        <f t="shared" ca="1" si="24"/>
        <v>0.98813090441590046</v>
      </c>
      <c r="AQ30" s="15">
        <f t="shared" ca="1" si="24"/>
        <v>0.81423685335613505</v>
      </c>
      <c r="AR30" s="15">
        <f t="shared" ca="1" si="24"/>
        <v>1.0498495917490331</v>
      </c>
      <c r="AS30" s="15">
        <f t="shared" ca="1" si="24"/>
        <v>1.0255564082885649</v>
      </c>
      <c r="AT30" s="15">
        <f t="shared" ca="1" si="24"/>
        <v>1.0259271695875516</v>
      </c>
      <c r="AU30" s="15">
        <f t="shared" ca="1" si="24"/>
        <v>1.0495392082909711</v>
      </c>
      <c r="AV30" s="15">
        <f t="shared" ca="1" si="24"/>
        <v>0.75315292206404172</v>
      </c>
      <c r="AW30" s="15">
        <f t="shared" ca="1" si="24"/>
        <v>1.0647991900101248</v>
      </c>
      <c r="AX30" s="15">
        <f t="shared" ca="1" si="24"/>
        <v>0.94231531276535518</v>
      </c>
      <c r="AY30" s="15">
        <f t="shared" ca="1" si="24"/>
        <v>1.0354169819887997</v>
      </c>
      <c r="AZ30" s="15">
        <f t="shared" ca="1" si="24"/>
        <v>0.96906478498747251</v>
      </c>
      <c r="BA30" s="15">
        <f t="shared" ca="1" si="24"/>
        <v>0.97735279315551082</v>
      </c>
      <c r="BD30">
        <v>2015</v>
      </c>
      <c r="BE30" s="8">
        <f>U105/AVERAGE(U102:U108)</f>
        <v>0.96052148907120338</v>
      </c>
      <c r="BF30" s="8">
        <f>U106/AVERAGE(U103:U109)</f>
        <v>0.98176810136514459</v>
      </c>
      <c r="BG30" s="8">
        <f>U107/AVERAGE(U104:U110)</f>
        <v>1.0197752770262121</v>
      </c>
      <c r="BH30" s="8">
        <f>U108/AVERAGE(U105:U111)</f>
        <v>1.0195150492712557</v>
      </c>
      <c r="BI30">
        <v>1</v>
      </c>
      <c r="BL30">
        <v>2015</v>
      </c>
      <c r="BM30" s="8">
        <f>V105/AVERAGE(V102:V108)</f>
        <v>0.98137914464199905</v>
      </c>
      <c r="BN30" s="8">
        <f>V106/AVERAGE(V103:V109)</f>
        <v>1.0140177097403571</v>
      </c>
      <c r="BO30" s="8">
        <f>V107/AVERAGE(V104:V110)</f>
        <v>1.0196519651965197</v>
      </c>
      <c r="BP30" s="8">
        <f>V108/AVERAGE(V105:V111)</f>
        <v>1.0113501761751256</v>
      </c>
      <c r="BQ30">
        <v>1</v>
      </c>
      <c r="BT30">
        <v>2015</v>
      </c>
      <c r="BU30" s="8">
        <f>W105/AVERAGE(W102:W108)</f>
        <v>1.0214423776658124</v>
      </c>
      <c r="BV30" s="8">
        <f>W106/AVERAGE(W103:W109)</f>
        <v>0.9838985812575447</v>
      </c>
      <c r="BW30" s="8">
        <f>W107/AVERAGE(W104:W110)</f>
        <v>0.99726161906010713</v>
      </c>
      <c r="BX30" s="8">
        <f>W108/AVERAGE(W105:W111)</f>
        <v>0.98813598962430638</v>
      </c>
      <c r="BY30">
        <v>1</v>
      </c>
      <c r="CB30">
        <v>2015</v>
      </c>
      <c r="CC30" s="8">
        <f>X105/AVERAGE(X102:X108)</f>
        <v>1.0377230703257545</v>
      </c>
      <c r="CD30" s="8">
        <f>X106/AVERAGE(X103:X109)</f>
        <v>0.96361133748086902</v>
      </c>
      <c r="CE30" s="8">
        <f>X107/AVERAGE(X104:X110)</f>
        <v>0.97266621510237727</v>
      </c>
      <c r="CF30" s="8">
        <f>X108/AVERAGE(X105:X111)</f>
        <v>1.0219098149212036</v>
      </c>
      <c r="CG30">
        <v>1</v>
      </c>
      <c r="CJ30">
        <v>2015</v>
      </c>
      <c r="CK30" s="8">
        <f>Y105/AVERAGE(Y102:Y108)</f>
        <v>1.5299724337709668</v>
      </c>
      <c r="CL30" s="8">
        <f>Y106/AVERAGE(Y103:Y109)</f>
        <v>-0.60904431715405494</v>
      </c>
      <c r="CM30" s="8">
        <f>Y107/AVERAGE(Y104:Y110)</f>
        <v>2.9831596674034313</v>
      </c>
      <c r="CN30" s="8">
        <f>Y108/AVERAGE(Y105:Y111)</f>
        <v>1.4555374260656739</v>
      </c>
      <c r="CO30">
        <v>1</v>
      </c>
      <c r="CR30">
        <v>2015</v>
      </c>
      <c r="CS30" s="8">
        <f>AA105/AVERAGE(AA102:AA108)</f>
        <v>0.96823846627460142</v>
      </c>
      <c r="CT30" s="8">
        <f>AA106/AVERAGE(AA103:AA109)</f>
        <v>1.0300386866698155</v>
      </c>
      <c r="CU30" s="8">
        <f>AA107/AVERAGE(AA104:AA110)</f>
        <v>0.94993515675944995</v>
      </c>
      <c r="CV30" s="8">
        <f>AA108/AVERAGE(AA105:AA111)</f>
        <v>1.0119746458441516</v>
      </c>
      <c r="CW30">
        <v>1</v>
      </c>
      <c r="CZ30">
        <v>2015</v>
      </c>
      <c r="DA30" s="8">
        <f>AB105/AVERAGE(AB102:AB108)</f>
        <v>0.9841585689977641</v>
      </c>
      <c r="DB30" s="8">
        <f>AB106/AVERAGE(AB103:AB109)</f>
        <v>0.97333934794176369</v>
      </c>
      <c r="DC30" s="8">
        <f>AB107/AVERAGE(AB104:AB110)</f>
        <v>0.99921098752243098</v>
      </c>
      <c r="DD30" s="8">
        <f>AB108/AVERAGE(AB105:AB111)</f>
        <v>0.97242703796426488</v>
      </c>
      <c r="DE30">
        <v>1</v>
      </c>
      <c r="DH30">
        <v>2015</v>
      </c>
      <c r="DI30" s="8">
        <f>AC105/AVERAGE(AC102:AC108)</f>
        <v>0.97509908057792238</v>
      </c>
      <c r="DJ30" s="8">
        <f>AC106/AVERAGE(AC103:AC109)</f>
        <v>0.9810588230019861</v>
      </c>
      <c r="DK30" s="8">
        <f>AC107/AVERAGE(AC104:AC110)</f>
        <v>0.96280448313336331</v>
      </c>
      <c r="DL30" s="8">
        <f>AC108/AVERAGE(AC105:AC111)</f>
        <v>1.0674673015032519</v>
      </c>
      <c r="DM30">
        <v>1</v>
      </c>
      <c r="DP30">
        <v>2015</v>
      </c>
      <c r="DQ30" s="8">
        <f>AD105/AVERAGE(AD102:AD108)</f>
        <v>1.5054337832371005</v>
      </c>
      <c r="DR30" s="8">
        <f>AD106/AVERAGE(AD103:AD109)</f>
        <v>0.79806973481953114</v>
      </c>
      <c r="DS30" s="8">
        <f>AD107/AVERAGE(AD104:AD110)</f>
        <v>0.8896641357137971</v>
      </c>
      <c r="DT30" s="8">
        <f>AD108/AVERAGE(AD105:AD111)</f>
        <v>0.88365681896255588</v>
      </c>
      <c r="DU30">
        <v>1</v>
      </c>
      <c r="DX30">
        <v>2015</v>
      </c>
      <c r="DY30" s="8">
        <f>AE105/AVERAGE(AE102:AE108)</f>
        <v>1.4697420634920635</v>
      </c>
      <c r="DZ30" s="8">
        <f>AE106/AVERAGE(AE103:AE109)</f>
        <v>0.87384876123363742</v>
      </c>
      <c r="EA30" s="8">
        <f>AE107/AVERAGE(AE104:AE110)</f>
        <v>0.70875831027790392</v>
      </c>
      <c r="EB30" s="8">
        <f>AE108/AVERAGE(AE105:AE111)</f>
        <v>0.95310867036065705</v>
      </c>
      <c r="EC30">
        <v>1</v>
      </c>
      <c r="EF30">
        <v>2015</v>
      </c>
      <c r="EG30" s="8">
        <f>AF105/AVERAGE(AF102:AF108)</f>
        <v>1.0379401519284845</v>
      </c>
      <c r="EH30" s="8">
        <f>AF106/AVERAGE(AF103:AF109)</f>
        <v>0.87962635573499548</v>
      </c>
      <c r="EI30" s="8">
        <f>AF107/AVERAGE(AF104:AF110)</f>
        <v>0.93148606300511305</v>
      </c>
      <c r="EJ30" s="8">
        <f>AF108/AVERAGE(AF105:AF111)</f>
        <v>1.0964510187731773</v>
      </c>
      <c r="EK30">
        <v>1</v>
      </c>
      <c r="EN30">
        <v>2015</v>
      </c>
      <c r="EO30" s="8">
        <f>AG105/AVERAGE(AG102:AG108)</f>
        <v>0.95259902094733306</v>
      </c>
      <c r="EP30" s="8">
        <f>AG106/AVERAGE(AG103:AG109)</f>
        <v>1.0070479950947033</v>
      </c>
      <c r="EQ30" s="8">
        <f>AG107/AVERAGE(AG104:AG110)</f>
        <v>1.0138949919439673</v>
      </c>
      <c r="ER30" s="8">
        <f>AG108/AVERAGE(AG105:AG111)</f>
        <v>1.025463993089186</v>
      </c>
      <c r="ES30">
        <v>1</v>
      </c>
      <c r="EV30">
        <v>2015</v>
      </c>
      <c r="EW30" s="8">
        <f>AH105/AVERAGE(AH102:AH108)</f>
        <v>1.0447115384615384</v>
      </c>
      <c r="EX30" s="8">
        <f>AH106/AVERAGE(AH103:AH109)</f>
        <v>0.95161963122242932</v>
      </c>
      <c r="EY30" s="8">
        <f>AH107/AVERAGE(AH104:AH110)</f>
        <v>1.0110174841086923</v>
      </c>
      <c r="EZ30" s="8">
        <f>AH108/AVERAGE(AH105:AH111)</f>
        <v>1.0333694379711382</v>
      </c>
      <c r="FA30">
        <v>1</v>
      </c>
      <c r="FD30">
        <v>2015</v>
      </c>
      <c r="FE30" s="8">
        <f>AI105/AVERAGE(AI102:AI108)</f>
        <v>1.0105912073417467</v>
      </c>
      <c r="FF30" s="8">
        <f>AI106/AVERAGE(AI103:AI109)</f>
        <v>1.0029005653366023</v>
      </c>
      <c r="FG30" s="8">
        <f>AI107/AVERAGE(AI104:AI110)</f>
        <v>0.97670190778154109</v>
      </c>
      <c r="FH30" s="8">
        <f>AI108/AVERAGE(AI105:AI111)</f>
        <v>0.99936078210189883</v>
      </c>
      <c r="FI30">
        <v>1</v>
      </c>
    </row>
    <row r="31" spans="1:165" x14ac:dyDescent="0.35">
      <c r="A31" t="s">
        <v>196</v>
      </c>
      <c r="B31" t="str">
        <f t="shared" si="16"/>
        <v>1996</v>
      </c>
      <c r="C31" t="str">
        <f t="shared" si="17"/>
        <v>Q3</v>
      </c>
      <c r="D31" s="13">
        <f>HAVERQ!AL37</f>
        <v>143917</v>
      </c>
      <c r="E31" s="13">
        <f>HAVERQ!AM37</f>
        <v>3228</v>
      </c>
      <c r="F31" s="13">
        <f>HAVERQ!AN37</f>
        <v>37629</v>
      </c>
      <c r="G31" s="13">
        <f>HAVERQ!AO37</f>
        <v>43901</v>
      </c>
      <c r="H31" s="13">
        <f>HAVERQ!AP37</f>
        <v>633</v>
      </c>
      <c r="I31" s="13">
        <f>HAVERQ!AQ37</f>
        <v>144</v>
      </c>
      <c r="J31" s="13">
        <f>HAVERQ!AR37</f>
        <v>60264</v>
      </c>
      <c r="K31" s="13">
        <f>HAVERQ!AS37</f>
        <v>58883</v>
      </c>
      <c r="L31" s="13" t="e">
        <f>HAVERQ!U37</f>
        <v>#N/A</v>
      </c>
      <c r="M31" s="13" t="e">
        <f>HAVERQ!V37</f>
        <v>#N/A</v>
      </c>
      <c r="N31" s="13" t="e">
        <f>HAVERQ!Y37</f>
        <v>#N/A</v>
      </c>
      <c r="O31" s="13" t="e">
        <f>HAVERQ!Z37</f>
        <v>#N/A</v>
      </c>
      <c r="P31" s="13" t="e">
        <f>HAVERQ!AA37</f>
        <v>#N/A</v>
      </c>
      <c r="Q31" s="13" t="e">
        <f>HAVERQ!AB37</f>
        <v>#N/A</v>
      </c>
      <c r="R31" s="13" t="e">
        <f>HAVERQ!AC37</f>
        <v>#N/A</v>
      </c>
      <c r="U31" s="13">
        <f>HAVERQ!AU37</f>
        <v>146587</v>
      </c>
      <c r="V31" s="13">
        <f>HAVERQ!AV37</f>
        <v>3222</v>
      </c>
      <c r="W31" s="13">
        <f>HAVERQ!AW37</f>
        <v>37265</v>
      </c>
      <c r="X31" s="13">
        <f>HAVERQ!AX37</f>
        <v>42509</v>
      </c>
      <c r="Y31" s="13">
        <f>HAVERQ!AY37</f>
        <v>-103</v>
      </c>
      <c r="Z31" s="13">
        <f>HAVERQ!AZ37</f>
        <v>161</v>
      </c>
      <c r="AA31" s="13">
        <f>HAVERQ!BA37</f>
        <v>60572</v>
      </c>
      <c r="AB31" s="13">
        <f>HAVERQ!BB37</f>
        <v>59864</v>
      </c>
      <c r="AC31" s="13" t="e">
        <f>HAVERQ!W37</f>
        <v>#N/A</v>
      </c>
      <c r="AD31" s="13" t="e">
        <f>HAVERQ!X37</f>
        <v>#N/A</v>
      </c>
      <c r="AE31" s="13" t="e">
        <f>HAVERQ!AD37</f>
        <v>#N/A</v>
      </c>
      <c r="AF31" s="13" t="e">
        <f>HAVERQ!AE37</f>
        <v>#N/A</v>
      </c>
      <c r="AG31" s="13" t="e">
        <f>HAVERQ!AF37</f>
        <v>#N/A</v>
      </c>
      <c r="AH31" s="13" t="e">
        <f>HAVERQ!AG37</f>
        <v>#N/A</v>
      </c>
      <c r="AI31" s="13" t="e">
        <f>HAVERQ!AH37</f>
        <v>#N/A</v>
      </c>
      <c r="AL31">
        <v>2016</v>
      </c>
      <c r="AM31" s="15">
        <f t="shared" ca="1" si="22"/>
        <v>1.0349630000575216</v>
      </c>
      <c r="AN31" s="15">
        <f t="shared" ca="1" si="23"/>
        <v>1</v>
      </c>
      <c r="AO31" s="15">
        <f t="shared" ca="1" si="24"/>
        <v>0.98493676135185571</v>
      </c>
      <c r="AP31" s="15">
        <f t="shared" ca="1" si="24"/>
        <v>0.974606973834521</v>
      </c>
      <c r="AQ31" s="15">
        <f t="shared" ca="1" si="24"/>
        <v>-0.65922330097087378</v>
      </c>
      <c r="AR31" s="15">
        <f t="shared" ca="1" si="24"/>
        <v>1.1724137931034482</v>
      </c>
      <c r="AS31" s="15">
        <f t="shared" ca="1" si="24"/>
        <v>1.0243748655525142</v>
      </c>
      <c r="AT31" s="15">
        <f t="shared" ca="1" si="24"/>
        <v>1.0250852617041066</v>
      </c>
      <c r="AU31" s="15">
        <f t="shared" ca="1" si="24"/>
        <v>1.0467517524337255</v>
      </c>
      <c r="AV31" s="15">
        <f t="shared" ca="1" si="24"/>
        <v>0.64866095828019676</v>
      </c>
      <c r="AW31" s="15">
        <f t="shared" ca="1" si="24"/>
        <v>1.0559309309309308</v>
      </c>
      <c r="AX31" s="15">
        <f t="shared" ca="1" si="24"/>
        <v>0.95485089132004219</v>
      </c>
      <c r="AY31" s="15">
        <f t="shared" ca="1" si="24"/>
        <v>1.0327604478643506</v>
      </c>
      <c r="AZ31" s="15">
        <f t="shared" ca="1" si="24"/>
        <v>0.9237588225375184</v>
      </c>
      <c r="BA31" s="15">
        <f t="shared" ca="1" si="24"/>
        <v>0.98011073874398946</v>
      </c>
      <c r="BD31">
        <v>2016</v>
      </c>
      <c r="BE31" s="8">
        <f>U109/AVERAGE(U106:U112)</f>
        <v>0.96208689715724971</v>
      </c>
      <c r="BF31" s="8">
        <f>U110/AVERAGE(U107:U113)</f>
        <v>0.98850308421195454</v>
      </c>
      <c r="BG31" s="8">
        <f>U111/AVERAGE(U108:U114)</f>
        <v>1.0280566918911782</v>
      </c>
      <c r="BH31" s="8">
        <f>U112/AVERAGE(U109:U115)</f>
        <v>1.0326320139686231</v>
      </c>
      <c r="BI31">
        <v>1</v>
      </c>
      <c r="BL31">
        <v>2016</v>
      </c>
      <c r="BM31" s="8">
        <f>V109/AVERAGE(V106:V112)</f>
        <v>0.98912361430663043</v>
      </c>
      <c r="BN31" s="8">
        <f>V110/AVERAGE(V107:V113)</f>
        <v>0.98600376018383118</v>
      </c>
      <c r="BO31" s="8">
        <f>V111/AVERAGE(V108:V114)</f>
        <v>0.98591989521782486</v>
      </c>
      <c r="BP31" s="8">
        <f>V112/AVERAGE(V109:V115)</f>
        <v>0.98976638412238993</v>
      </c>
      <c r="BQ31">
        <v>1</v>
      </c>
      <c r="BT31">
        <v>2016</v>
      </c>
      <c r="BU31" s="8">
        <f>W109/AVERAGE(W106:W112)</f>
        <v>1.023698090780774</v>
      </c>
      <c r="BV31" s="8">
        <f>W110/AVERAGE(W107:W113)</f>
        <v>0.99227646732854069</v>
      </c>
      <c r="BW31" s="8">
        <f>W111/AVERAGE(W108:W114)</f>
        <v>0.9944184918702168</v>
      </c>
      <c r="BX31" s="8">
        <f>W112/AVERAGE(W109:W115)</f>
        <v>0.99662720818050998</v>
      </c>
      <c r="BY31">
        <v>1</v>
      </c>
      <c r="CB31">
        <v>2016</v>
      </c>
      <c r="CC31" s="8">
        <f>X109/AVERAGE(X106:X112)</f>
        <v>1.0192990432858118</v>
      </c>
      <c r="CD31" s="8">
        <f>X110/AVERAGE(X107:X113)</f>
        <v>0.96519786000034125</v>
      </c>
      <c r="CE31" s="8">
        <f>X111/AVERAGE(X108:X114)</f>
        <v>1.010281622401539</v>
      </c>
      <c r="CF31" s="8">
        <f>X112/AVERAGE(X109:X115)</f>
        <v>1.0224192880015068</v>
      </c>
      <c r="CG31">
        <v>1</v>
      </c>
      <c r="CJ31">
        <v>2016</v>
      </c>
      <c r="CK31" s="8">
        <f>Y109/AVERAGE(Y106:Y112)</f>
        <v>1.8780932534514196</v>
      </c>
      <c r="CL31" s="8">
        <f>Y110/AVERAGE(Y107:Y113)</f>
        <v>-1.326604398915336</v>
      </c>
      <c r="CM31" s="8">
        <f>Y111/AVERAGE(Y108:Y114)</f>
        <v>1.5326797385620914</v>
      </c>
      <c r="CN31" s="8">
        <f>Y112/AVERAGE(Y109:Y115)</f>
        <v>-1.4845343863112865</v>
      </c>
      <c r="CO31">
        <v>1</v>
      </c>
      <c r="CR31">
        <v>2016</v>
      </c>
      <c r="CS31" s="8">
        <f>AA109/AVERAGE(AA106:AA112)</f>
        <v>0.95337665407859562</v>
      </c>
      <c r="CT31" s="8">
        <f>AA110/AVERAGE(AA107:AA113)</f>
        <v>1.0081640920947716</v>
      </c>
      <c r="CU31" s="8">
        <f>AA111/AVERAGE(AA108:AA114)</f>
        <v>0.96702359910672264</v>
      </c>
      <c r="CV31" s="8">
        <f>AA112/AVERAGE(AA109:AA115)</f>
        <v>1.0475256181254111</v>
      </c>
      <c r="CW31">
        <v>1</v>
      </c>
      <c r="CZ31">
        <v>2016</v>
      </c>
      <c r="DA31" s="8">
        <f>AB109/AVERAGE(AB106:AB112)</f>
        <v>0.95435868812330615</v>
      </c>
      <c r="DB31" s="8">
        <f>AB110/AVERAGE(AB107:AB113)</f>
        <v>0.97681839115029279</v>
      </c>
      <c r="DC31" s="8">
        <f>AB111/AVERAGE(AB108:AB114)</f>
        <v>1.069770626057343</v>
      </c>
      <c r="DD31" s="8">
        <f>AB112/AVERAGE(AB109:AB115)</f>
        <v>0.99923339648982845</v>
      </c>
      <c r="DE31">
        <v>1</v>
      </c>
      <c r="DH31">
        <v>2016</v>
      </c>
      <c r="DI31" s="8">
        <f>AC109/AVERAGE(AC106:AC112)</f>
        <v>0.98022824651301832</v>
      </c>
      <c r="DJ31" s="8">
        <f>AC110/AVERAGE(AC107:AC113)</f>
        <v>0.99955828437651839</v>
      </c>
      <c r="DK31" s="8">
        <f>AC111/AVERAGE(AC108:AC114)</f>
        <v>1.0252216511136618</v>
      </c>
      <c r="DL31" s="8">
        <f>AC112/AVERAGE(AC109:AC115)</f>
        <v>1.0483857858287606</v>
      </c>
      <c r="DM31">
        <v>1</v>
      </c>
      <c r="DP31">
        <v>2016</v>
      </c>
      <c r="DQ31" s="8">
        <f>AD109/AVERAGE(AD106:AD112)</f>
        <v>1.4211134638323053</v>
      </c>
      <c r="DR31" s="8">
        <f>AD110/AVERAGE(AD107:AD113)</f>
        <v>0.76762150537634399</v>
      </c>
      <c r="DS31" s="8">
        <f>AD111/AVERAGE(AD108:AD114)</f>
        <v>0.91342210477546892</v>
      </c>
      <c r="DT31" s="8">
        <f>AD112/AVERAGE(AD109:AD115)</f>
        <v>0.88864601286308786</v>
      </c>
      <c r="DU31">
        <v>1</v>
      </c>
      <c r="DX31">
        <v>2016</v>
      </c>
      <c r="DY31" s="8">
        <f>AE109/AVERAGE(AE106:AE112)</f>
        <v>1.1610493109745974</v>
      </c>
      <c r="DZ31" s="8">
        <f>AE110/AVERAGE(AE107:AE113)</f>
        <v>1.2046684501807339</v>
      </c>
      <c r="EA31" s="8">
        <f>AE111/AVERAGE(AE108:AE114)</f>
        <v>1.0634830180077501</v>
      </c>
      <c r="EB31" s="8">
        <f>AE112/AVERAGE(AE109:AE115)</f>
        <v>0.84940758972010766</v>
      </c>
      <c r="EC31">
        <v>1</v>
      </c>
      <c r="EF31">
        <v>2016</v>
      </c>
      <c r="EG31" s="8">
        <f>AF109/AVERAGE(AF106:AF112)</f>
        <v>1.0280818230755426</v>
      </c>
      <c r="EH31" s="8">
        <f>AF110/AVERAGE(AF107:AF113)</f>
        <v>0.93415827064391088</v>
      </c>
      <c r="EI31" s="8">
        <f>AF111/AVERAGE(AF108:AF114)</f>
        <v>0.99858811348430054</v>
      </c>
      <c r="EJ31" s="8">
        <f>AF112/AVERAGE(AF109:AF115)</f>
        <v>1.0608941458869605</v>
      </c>
      <c r="EK31">
        <v>1</v>
      </c>
      <c r="EN31">
        <v>2016</v>
      </c>
      <c r="EO31" s="8">
        <f>AG109/AVERAGE(AG106:AG112)</f>
        <v>0.96290263287994216</v>
      </c>
      <c r="EP31" s="8">
        <f>AG110/AVERAGE(AG107:AG113)</f>
        <v>0.9737539684024723</v>
      </c>
      <c r="EQ31" s="8">
        <f>AG111/AVERAGE(AG108:AG114)</f>
        <v>1.0067729766803841</v>
      </c>
      <c r="ER31" s="8">
        <f>AG112/AVERAGE(AG109:AG115)</f>
        <v>1.0413386299265519</v>
      </c>
      <c r="ES31">
        <v>1</v>
      </c>
      <c r="EV31">
        <v>2016</v>
      </c>
      <c r="EW31" s="8">
        <f>AH109/AVERAGE(AH106:AH112)</f>
        <v>1.0505137048203659</v>
      </c>
      <c r="EX31" s="8">
        <f>AH110/AVERAGE(AH107:AH113)</f>
        <v>0.90920157003030755</v>
      </c>
      <c r="EY31" s="8">
        <f>AH111/AVERAGE(AH108:AH114)</f>
        <v>1.0104185686819973</v>
      </c>
      <c r="EZ31" s="8">
        <f>AH112/AVERAGE(AH109:AH115)</f>
        <v>1.0376728098261996</v>
      </c>
      <c r="FA31">
        <v>1</v>
      </c>
      <c r="FD31">
        <v>2016</v>
      </c>
      <c r="FE31" s="8">
        <f>AI109/AVERAGE(AI106:AI112)</f>
        <v>1.0150811636002515</v>
      </c>
      <c r="FF31" s="8">
        <f>AI110/AVERAGE(AI107:AI113)</f>
        <v>0.97000849307788106</v>
      </c>
      <c r="FG31" s="8">
        <f>AI111/AVERAGE(AI108:AI114)</f>
        <v>0.99945959577764165</v>
      </c>
      <c r="FH31" s="8">
        <f>AI112/AVERAGE(AI109:AI115)</f>
        <v>1.0313852318550951</v>
      </c>
      <c r="FI31">
        <v>1</v>
      </c>
    </row>
    <row r="32" spans="1:165" x14ac:dyDescent="0.35">
      <c r="A32" t="s">
        <v>197</v>
      </c>
      <c r="B32" t="str">
        <f t="shared" si="16"/>
        <v>1996</v>
      </c>
      <c r="C32" t="str">
        <f t="shared" si="17"/>
        <v>Q4</v>
      </c>
      <c r="D32" s="13">
        <f>HAVERQ!AL38</f>
        <v>146261</v>
      </c>
      <c r="E32" s="13">
        <f>HAVERQ!AM38</f>
        <v>3349</v>
      </c>
      <c r="F32" s="13">
        <f>HAVERQ!AN38</f>
        <v>37882</v>
      </c>
      <c r="G32" s="13">
        <f>HAVERQ!AO38</f>
        <v>42260</v>
      </c>
      <c r="H32" s="13">
        <f>HAVERQ!AP38</f>
        <v>1439</v>
      </c>
      <c r="I32" s="13">
        <f>HAVERQ!AQ38</f>
        <v>208</v>
      </c>
      <c r="J32" s="13">
        <f>HAVERQ!AR38</f>
        <v>61441</v>
      </c>
      <c r="K32" s="13">
        <f>HAVERQ!AS38</f>
        <v>59472</v>
      </c>
      <c r="L32" s="13" t="e">
        <f>HAVERQ!U38</f>
        <v>#N/A</v>
      </c>
      <c r="M32" s="13" t="e">
        <f>HAVERQ!V38</f>
        <v>#N/A</v>
      </c>
      <c r="N32" s="13" t="e">
        <f>HAVERQ!Y38</f>
        <v>#N/A</v>
      </c>
      <c r="O32" s="13" t="e">
        <f>HAVERQ!Z38</f>
        <v>#N/A</v>
      </c>
      <c r="P32" s="13" t="e">
        <f>HAVERQ!AA38</f>
        <v>#N/A</v>
      </c>
      <c r="Q32" s="13" t="e">
        <f>HAVERQ!AB38</f>
        <v>#N/A</v>
      </c>
      <c r="R32" s="13" t="e">
        <f>HAVERQ!AC38</f>
        <v>#N/A</v>
      </c>
      <c r="U32" s="13">
        <f>HAVERQ!AU38</f>
        <v>150871</v>
      </c>
      <c r="V32" s="13">
        <f>HAVERQ!AV38</f>
        <v>3341</v>
      </c>
      <c r="W32" s="13">
        <f>HAVERQ!AW38</f>
        <v>38082</v>
      </c>
      <c r="X32" s="13">
        <f>HAVERQ!AX38</f>
        <v>43354</v>
      </c>
      <c r="Y32" s="13">
        <f>HAVERQ!AY38</f>
        <v>2876</v>
      </c>
      <c r="Z32" s="13">
        <f>HAVERQ!AZ38</f>
        <v>192</v>
      </c>
      <c r="AA32" s="13">
        <f>HAVERQ!BA38</f>
        <v>62477</v>
      </c>
      <c r="AB32" s="13">
        <f>HAVERQ!BB38</f>
        <v>58771</v>
      </c>
      <c r="AC32" s="13" t="e">
        <f>HAVERQ!W38</f>
        <v>#N/A</v>
      </c>
      <c r="AD32" s="13" t="e">
        <f>HAVERQ!X38</f>
        <v>#N/A</v>
      </c>
      <c r="AE32" s="13" t="e">
        <f>HAVERQ!AD38</f>
        <v>#N/A</v>
      </c>
      <c r="AF32" s="13" t="e">
        <f>HAVERQ!AE38</f>
        <v>#N/A</v>
      </c>
      <c r="AG32" s="13" t="e">
        <f>HAVERQ!AF38</f>
        <v>#N/A</v>
      </c>
      <c r="AH32" s="13" t="e">
        <f>HAVERQ!AG38</f>
        <v>#N/A</v>
      </c>
      <c r="AI32" s="13" t="e">
        <f>HAVERQ!AH38</f>
        <v>#N/A</v>
      </c>
      <c r="AL32">
        <v>2017</v>
      </c>
      <c r="AM32" s="15">
        <f t="shared" ca="1" si="22"/>
        <v>1.0374961475449724</v>
      </c>
      <c r="AN32" s="15">
        <f t="shared" ca="1" si="23"/>
        <v>1</v>
      </c>
      <c r="AO32" s="15">
        <f t="shared" ca="1" si="24"/>
        <v>0.98554504059408965</v>
      </c>
      <c r="AP32" s="15">
        <f t="shared" ca="1" si="24"/>
        <v>0.99019252477759712</v>
      </c>
      <c r="AQ32" s="15">
        <f t="shared" ca="1" si="24"/>
        <v>0.45326203208556148</v>
      </c>
      <c r="AR32" s="15">
        <f t="shared" ca="1" si="24"/>
        <v>0.87399770904925544</v>
      </c>
      <c r="AS32" s="15">
        <f t="shared" ca="1" si="24"/>
        <v>1.0190496959745492</v>
      </c>
      <c r="AT32" s="15">
        <f t="shared" ca="1" si="24"/>
        <v>1.016898228122995</v>
      </c>
      <c r="AU32" s="15">
        <f t="shared" ca="1" si="24"/>
        <v>1.0474494415937217</v>
      </c>
      <c r="AV32" s="15">
        <f t="shared" ca="1" si="24"/>
        <v>0.72953769493402232</v>
      </c>
      <c r="AW32" s="15">
        <f t="shared" ca="1" si="24"/>
        <v>1.0783576241968345</v>
      </c>
      <c r="AX32" s="15">
        <f t="shared" ca="1" si="24"/>
        <v>0.9600042492165507</v>
      </c>
      <c r="AY32" s="15">
        <f t="shared" ca="1" si="24"/>
        <v>1.0286120639170082</v>
      </c>
      <c r="AZ32" s="15">
        <f t="shared" ca="1" si="24"/>
        <v>0.96658489532474334</v>
      </c>
      <c r="BA32" s="15">
        <f t="shared" ca="1" si="24"/>
        <v>0.98311972491403565</v>
      </c>
      <c r="BD32">
        <v>2017</v>
      </c>
      <c r="BE32" s="8">
        <f>U113/AVERAGE(U110:U116)</f>
        <v>0.96070431866470285</v>
      </c>
      <c r="BF32" s="8">
        <f>U114/AVERAGE(U111:U117)</f>
        <v>0.9878448433385999</v>
      </c>
      <c r="BG32" s="8">
        <f>U115/AVERAGE(U112:U118)</f>
        <v>1.0180346663917184</v>
      </c>
      <c r="BH32" s="8">
        <f>U116/AVERAGE(U113:U119)</f>
        <v>1.0320205143992611</v>
      </c>
      <c r="BI32">
        <v>1</v>
      </c>
      <c r="BL32">
        <v>2017</v>
      </c>
      <c r="BM32" s="8">
        <f>V113/AVERAGE(V110:V116)</f>
        <v>0.99095588449123218</v>
      </c>
      <c r="BN32" s="8">
        <f>V114/AVERAGE(V111:V117)</f>
        <v>0.9852538895537698</v>
      </c>
      <c r="BO32" s="8">
        <f>V115/AVERAGE(V112:V118)</f>
        <v>0.98660844250363899</v>
      </c>
      <c r="BP32" s="8">
        <f>V116/AVERAGE(V113:V119)</f>
        <v>0.98854279996239136</v>
      </c>
      <c r="BQ32">
        <v>1</v>
      </c>
      <c r="BT32">
        <v>2017</v>
      </c>
      <c r="BU32" s="8">
        <f>W113/AVERAGE(W110:W116)</f>
        <v>1.0222641077174603</v>
      </c>
      <c r="BV32" s="8">
        <f>W114/AVERAGE(W111:W117)</f>
        <v>0.98800172942726738</v>
      </c>
      <c r="BW32" s="8">
        <f>W115/AVERAGE(W112:W118)</f>
        <v>0.98758644785383243</v>
      </c>
      <c r="BX32" s="8">
        <f>W116/AVERAGE(W113:W119)</f>
        <v>0.9959918610239159</v>
      </c>
      <c r="BY32">
        <v>1</v>
      </c>
      <c r="CB32">
        <v>2017</v>
      </c>
      <c r="CC32" s="8">
        <f>X113/AVERAGE(X110:X116)</f>
        <v>0.9967145475645921</v>
      </c>
      <c r="CD32" s="8">
        <f>X114/AVERAGE(X111:X117)</f>
        <v>0.96609541883150685</v>
      </c>
      <c r="CE32" s="8">
        <f>X115/AVERAGE(X112:X118)</f>
        <v>1.0027572668322275</v>
      </c>
      <c r="CF32" s="8">
        <f>X116/AVERAGE(X113:X119)</f>
        <v>1.0681875207001414</v>
      </c>
      <c r="CG32">
        <v>1</v>
      </c>
      <c r="CJ32">
        <v>2017</v>
      </c>
      <c r="CK32" s="8">
        <f>Y113/AVERAGE(Y110:Y116)</f>
        <v>34.776833156216796</v>
      </c>
      <c r="CL32" s="8">
        <f>Y114/AVERAGE(Y111:Y117)</f>
        <v>0.35570469798657717</v>
      </c>
      <c r="CM32" s="8">
        <f>Y115/AVERAGE(Y112:Y118)</f>
        <v>4.7226351351351354</v>
      </c>
      <c r="CN32" s="8">
        <f>Y116/AVERAGE(Y113:Y119)</f>
        <v>-6.9677653902084344</v>
      </c>
      <c r="CO32">
        <v>1</v>
      </c>
      <c r="CR32">
        <v>2017</v>
      </c>
      <c r="CS32" s="8">
        <f>AA113/AVERAGE(AA110:AA116)</f>
        <v>0.99449968652951726</v>
      </c>
      <c r="CT32" s="8">
        <f>AA114/AVERAGE(AA111:AA117)</f>
        <v>1.0152666489262097</v>
      </c>
      <c r="CU32" s="8">
        <f>AA115/AVERAGE(AA112:AA118)</f>
        <v>0.99797806426717495</v>
      </c>
      <c r="CV32" s="8">
        <f>AA116/AVERAGE(AA113:AA119)</f>
        <v>1.0167749799363999</v>
      </c>
      <c r="CW32">
        <v>1</v>
      </c>
      <c r="CZ32">
        <v>2017</v>
      </c>
      <c r="DA32" s="8">
        <f>AB113/AVERAGE(AB110:AB116)</f>
        <v>0.98597957853573759</v>
      </c>
      <c r="DB32" s="8">
        <f>AB114/AVERAGE(AB111:AB117)</f>
        <v>0.99882156418169055</v>
      </c>
      <c r="DC32" s="8">
        <f>AB115/AVERAGE(AB112:AB118)</f>
        <v>1.0458703959424001</v>
      </c>
      <c r="DD32" s="8">
        <f>AB116/AVERAGE(AB113:AB119)</f>
        <v>0.98341052547838004</v>
      </c>
      <c r="DE32">
        <v>1</v>
      </c>
      <c r="DH32">
        <v>2017</v>
      </c>
      <c r="DI32" s="8">
        <f>AC113/AVERAGE(AC110:AC116)</f>
        <v>0.9484101830078725</v>
      </c>
      <c r="DJ32" s="8">
        <f>AC114/AVERAGE(AC111:AC117)</f>
        <v>0.97888219654697028</v>
      </c>
      <c r="DK32" s="8">
        <f>AC115/AVERAGE(AC112:AC118)</f>
        <v>1.0007255004092566</v>
      </c>
      <c r="DL32" s="8">
        <f>AC116/AVERAGE(AC113:AC119)</f>
        <v>1.0949205445405672</v>
      </c>
      <c r="DM32">
        <v>1</v>
      </c>
      <c r="DP32">
        <v>2017</v>
      </c>
      <c r="DQ32" s="8">
        <f>AD113/AVERAGE(AD110:AD116)</f>
        <v>1.3293087888691264</v>
      </c>
      <c r="DR32" s="8">
        <f>AD114/AVERAGE(AD111:AD117)</f>
        <v>0.85189553496208925</v>
      </c>
      <c r="DS32" s="8">
        <f>AD115/AVERAGE(AD112:AD118)</f>
        <v>0.97000705430190781</v>
      </c>
      <c r="DT32" s="8">
        <f>AD116/AVERAGE(AD113:AD119)</f>
        <v>0.9596110635779912</v>
      </c>
      <c r="DU32">
        <v>1</v>
      </c>
      <c r="DX32">
        <v>2017</v>
      </c>
      <c r="DY32" s="8">
        <f>AE113/AVERAGE(AE110:AE116)</f>
        <v>0.84132903882013899</v>
      </c>
      <c r="DZ32" s="8">
        <f>AE114/AVERAGE(AE111:AE117)</f>
        <v>1.2053417345587349</v>
      </c>
      <c r="EA32" s="8">
        <f>AE115/AVERAGE(AE112:AE118)</f>
        <v>1.0182428456223709</v>
      </c>
      <c r="EB32" s="8">
        <f>AE116/AVERAGE(AE113:AE119)</f>
        <v>1.3443349208107209</v>
      </c>
      <c r="EC32">
        <v>1</v>
      </c>
      <c r="EF32">
        <v>2017</v>
      </c>
      <c r="EG32" s="8">
        <f>AF113/AVERAGE(AF110:AF116)</f>
        <v>1.0239219951829694</v>
      </c>
      <c r="EH32" s="8">
        <f>AF114/AVERAGE(AF111:AF117)</f>
        <v>0.92965882057869009</v>
      </c>
      <c r="EI32" s="8">
        <f>AF115/AVERAGE(AF112:AF118)</f>
        <v>0.96743540465513556</v>
      </c>
      <c r="EJ32" s="8">
        <f>AF116/AVERAGE(AF113:AF119)</f>
        <v>1.0833628919081475</v>
      </c>
      <c r="EK32">
        <v>1</v>
      </c>
      <c r="EN32">
        <v>2017</v>
      </c>
      <c r="EO32" s="8">
        <f>AG113/AVERAGE(AG110:AG116)</f>
        <v>0.97357520188033797</v>
      </c>
      <c r="EP32" s="8">
        <f>AG114/AVERAGE(AG111:AG117)</f>
        <v>0.99069722176105879</v>
      </c>
      <c r="EQ32" s="8">
        <f>AG115/AVERAGE(AG112:AG118)</f>
        <v>1.0160449823476996</v>
      </c>
      <c r="ER32" s="8">
        <f>AG116/AVERAGE(AG113:AG119)</f>
        <v>1.0520815898414397</v>
      </c>
      <c r="ES32">
        <v>1</v>
      </c>
      <c r="EV32">
        <v>2017</v>
      </c>
      <c r="EW32" s="8">
        <f>AH113/AVERAGE(AH110:AH116)</f>
        <v>1.0470648169919274</v>
      </c>
      <c r="EX32" s="8">
        <f>AH114/AVERAGE(AH111:AH117)</f>
        <v>0.90485202123744946</v>
      </c>
      <c r="EY32" s="8">
        <f>AH115/AVERAGE(AH112:AH118)</f>
        <v>1.0231744504425468</v>
      </c>
      <c r="EZ32" s="8">
        <f>AH116/AVERAGE(AH113:AH119)</f>
        <v>1.0400206284616254</v>
      </c>
      <c r="FA32">
        <v>1</v>
      </c>
      <c r="FD32">
        <v>2017</v>
      </c>
      <c r="FE32" s="8">
        <f>AI113/AVERAGE(AI110:AI116)</f>
        <v>1.0113156230868821</v>
      </c>
      <c r="FF32" s="8">
        <f>AI114/AVERAGE(AI111:AI117)</f>
        <v>0.96940762301852657</v>
      </c>
      <c r="FG32" s="8">
        <f>AI115/AVERAGE(AI112:AI118)</f>
        <v>0.98704083671649212</v>
      </c>
      <c r="FH32" s="8">
        <f>AI116/AVERAGE(AI113:AI119)</f>
        <v>1.0243927356934708</v>
      </c>
      <c r="FI32">
        <v>1</v>
      </c>
    </row>
    <row r="33" spans="1:165" x14ac:dyDescent="0.35">
      <c r="A33" t="s">
        <v>198</v>
      </c>
      <c r="B33" t="str">
        <f t="shared" si="16"/>
        <v>1997</v>
      </c>
      <c r="C33" t="str">
        <f t="shared" si="17"/>
        <v>Q1</v>
      </c>
      <c r="D33" s="13">
        <f>HAVERQ!AL39</f>
        <v>148217</v>
      </c>
      <c r="E33" s="13">
        <f>HAVERQ!AM39</f>
        <v>3731</v>
      </c>
      <c r="F33" s="13">
        <f>HAVERQ!AN39</f>
        <v>38420</v>
      </c>
      <c r="G33" s="13">
        <f>HAVERQ!AO39</f>
        <v>40184</v>
      </c>
      <c r="H33" s="13">
        <f>HAVERQ!AP39</f>
        <v>366</v>
      </c>
      <c r="I33" s="13">
        <f>HAVERQ!AQ39</f>
        <v>286</v>
      </c>
      <c r="J33" s="13">
        <f>HAVERQ!AR39</f>
        <v>61079</v>
      </c>
      <c r="K33" s="13">
        <f>HAVERQ!AS39</f>
        <v>58939</v>
      </c>
      <c r="L33" s="13">
        <f>HAVERQ!U39</f>
        <v>37825</v>
      </c>
      <c r="M33" s="13">
        <f>HAVERQ!V39</f>
        <v>6170</v>
      </c>
      <c r="N33" s="13">
        <f>HAVERQ!Y39</f>
        <v>3547</v>
      </c>
      <c r="O33" s="13">
        <f>HAVERQ!Z39</f>
        <v>9079</v>
      </c>
      <c r="P33" s="13">
        <f>HAVERQ!AA39</f>
        <v>20290</v>
      </c>
      <c r="Q33" s="13">
        <f>HAVERQ!AB39</f>
        <v>24335</v>
      </c>
      <c r="R33" s="13">
        <f>HAVERQ!AC39</f>
        <v>12217</v>
      </c>
      <c r="U33" s="13">
        <f>HAVERQ!AU39</f>
        <v>144345</v>
      </c>
      <c r="V33" s="13">
        <f>HAVERQ!AV39</f>
        <v>3731</v>
      </c>
      <c r="W33" s="13">
        <f>HAVERQ!AW39</f>
        <v>37943</v>
      </c>
      <c r="X33" s="13">
        <f>HAVERQ!AX39</f>
        <v>42365</v>
      </c>
      <c r="Y33" s="13">
        <f>HAVERQ!AY39</f>
        <v>1014</v>
      </c>
      <c r="Z33" s="13">
        <f>HAVERQ!AZ39</f>
        <v>245</v>
      </c>
      <c r="AA33" s="13">
        <f>HAVERQ!BA39</f>
        <v>59332</v>
      </c>
      <c r="AB33" s="13">
        <f>HAVERQ!BB39</f>
        <v>56756</v>
      </c>
      <c r="AC33" s="13">
        <f>HAVERQ!W39</f>
        <v>37189</v>
      </c>
      <c r="AD33" s="13">
        <f>HAVERQ!X39</f>
        <v>9179</v>
      </c>
      <c r="AE33" s="13">
        <f>HAVERQ!AD39</f>
        <v>3890</v>
      </c>
      <c r="AF33" s="13">
        <f>HAVERQ!AE39</f>
        <v>9669</v>
      </c>
      <c r="AG33" s="13">
        <f>HAVERQ!AF39</f>
        <v>20570</v>
      </c>
      <c r="AH33" s="13">
        <f>HAVERQ!AG39</f>
        <v>25442</v>
      </c>
      <c r="AI33" s="13">
        <f>HAVERQ!AH39</f>
        <v>12184</v>
      </c>
      <c r="AL33">
        <v>2018</v>
      </c>
      <c r="AM33" s="15">
        <f t="shared" ca="1" si="22"/>
        <v>1.0376751579427315</v>
      </c>
      <c r="AN33" s="15">
        <f t="shared" ca="1" si="23"/>
        <v>1</v>
      </c>
      <c r="AO33" s="15">
        <f t="shared" ca="1" si="24"/>
        <v>0.98589165915690402</v>
      </c>
      <c r="AP33" s="15">
        <f t="shared" ca="1" si="24"/>
        <v>0.99428022957434725</v>
      </c>
      <c r="AQ33" s="15">
        <f t="shared" ca="1" si="24"/>
        <v>-1.2105654761904763</v>
      </c>
      <c r="AR33" s="15">
        <f t="shared" ca="1" si="24"/>
        <v>3.0476190476190474</v>
      </c>
      <c r="AS33" s="15">
        <f t="shared" ca="1" si="24"/>
        <v>1.0234448475077254</v>
      </c>
      <c r="AT33" s="15">
        <f t="shared" ca="1" si="24"/>
        <v>1.0212887027325097</v>
      </c>
      <c r="AU33" s="15">
        <f t="shared" ca="1" si="24"/>
        <v>1.0723304119590304</v>
      </c>
      <c r="AV33" s="15">
        <f t="shared" ca="1" si="24"/>
        <v>0.77737634408602152</v>
      </c>
      <c r="AW33" s="15">
        <f t="shared" ca="1" si="24"/>
        <v>1.109477756286267</v>
      </c>
      <c r="AX33" s="15">
        <f t="shared" ca="1" si="24"/>
        <v>0.97258604934511117</v>
      </c>
      <c r="AY33" s="15">
        <f t="shared" ca="1" si="24"/>
        <v>1.0269344170850268</v>
      </c>
      <c r="AZ33" s="15">
        <f t="shared" ca="1" si="24"/>
        <v>1.0216505842990835</v>
      </c>
      <c r="BA33" s="15">
        <f t="shared" ca="1" si="24"/>
        <v>0.97810860996188553</v>
      </c>
      <c r="BD33">
        <v>2018</v>
      </c>
      <c r="BE33" s="8">
        <f>U117/AVERAGE(U114:U120)</f>
        <v>0.96214191341792887</v>
      </c>
      <c r="BF33" s="8">
        <f>U118/AVERAGE(U115:U121)</f>
        <v>0.98684874971832792</v>
      </c>
      <c r="BG33" s="8">
        <f>U119/AVERAGE(U116:U122)</f>
        <v>1.0199313369802141</v>
      </c>
      <c r="BH33" s="8">
        <f>U120/AVERAGE(U117:U123)</f>
        <v>1.039534051634448</v>
      </c>
      <c r="BI33">
        <v>1</v>
      </c>
      <c r="BL33">
        <v>2018</v>
      </c>
      <c r="BM33" s="8">
        <f>V117/AVERAGE(V114:V120)</f>
        <v>0.98721446947844382</v>
      </c>
      <c r="BN33" s="8">
        <f>V118/AVERAGE(V115:V121)</f>
        <v>1.0067816265819594</v>
      </c>
      <c r="BO33" s="8">
        <f>V119/AVERAGE(V116:V122)</f>
        <v>1.0232212224025177</v>
      </c>
      <c r="BP33" s="8">
        <f>V120/AVERAGE(V117:V123)</f>
        <v>1.0342502111231753</v>
      </c>
      <c r="BQ33">
        <v>1</v>
      </c>
      <c r="BT33">
        <v>2018</v>
      </c>
      <c r="BU33" s="8">
        <f>W117/AVERAGE(W114:W120)</f>
        <v>1.017623434641032</v>
      </c>
      <c r="BV33" s="8">
        <f>W118/AVERAGE(W115:W121)</f>
        <v>0.99081439380320346</v>
      </c>
      <c r="BW33" s="8">
        <f>W119/AVERAGE(W116:W122)</f>
        <v>0.98298890753632107</v>
      </c>
      <c r="BX33" s="8">
        <f>W120/AVERAGE(W117:W123)</f>
        <v>0.98500659189323103</v>
      </c>
      <c r="BY33">
        <v>1</v>
      </c>
      <c r="CB33">
        <v>2018</v>
      </c>
      <c r="CC33" s="8">
        <f>X117/AVERAGE(X114:X120)</f>
        <v>1.0107650664260601</v>
      </c>
      <c r="CD33" s="8">
        <f>X118/AVERAGE(X115:X121)</f>
        <v>0.94389174623435235</v>
      </c>
      <c r="CE33" s="8">
        <f>X119/AVERAGE(X116:X122)</f>
        <v>0.97538591117705165</v>
      </c>
      <c r="CF33" s="8">
        <f>X120/AVERAGE(X117:X123)</f>
        <v>1.0302057739770543</v>
      </c>
      <c r="CG33">
        <v>1</v>
      </c>
      <c r="CJ33">
        <v>2018</v>
      </c>
      <c r="CK33" s="8">
        <f>Y117/AVERAGE(Y114:Y120)</f>
        <v>-22.24113475177305</v>
      </c>
      <c r="CL33" s="8">
        <f>Y118/AVERAGE(Y115:Y121)</f>
        <v>0.12711022840119166</v>
      </c>
      <c r="CM33" s="8">
        <f>Y119/AVERAGE(Y116:Y122)</f>
        <v>-0.14763374485596709</v>
      </c>
      <c r="CN33" s="8">
        <f>Y120/AVERAGE(Y117:Y123)</f>
        <v>0.16050955414012738</v>
      </c>
      <c r="CO33">
        <v>1</v>
      </c>
      <c r="CR33">
        <v>2018</v>
      </c>
      <c r="CS33" s="8">
        <f>AA117/AVERAGE(AA114:AA120)</f>
        <v>0.96693160747818074</v>
      </c>
      <c r="CT33" s="8">
        <f>AA118/AVERAGE(AA115:AA121)</f>
        <v>1.0141899828909158</v>
      </c>
      <c r="CU33" s="8">
        <f>AA119/AVERAGE(AA116:AA122)</f>
        <v>1.0129526819553329</v>
      </c>
      <c r="CV33" s="8">
        <f>AA120/AVERAGE(AA117:AA123)</f>
        <v>1.0445286839700689</v>
      </c>
      <c r="CW33">
        <v>1</v>
      </c>
      <c r="CZ33">
        <v>2018</v>
      </c>
      <c r="DA33" s="8">
        <f>AB117/AVERAGE(AB114:AB120)</f>
        <v>0.9690531432901105</v>
      </c>
      <c r="DB33" s="8">
        <f>AB118/AVERAGE(AB115:AB121)</f>
        <v>0.97961179704756007</v>
      </c>
      <c r="DC33" s="8">
        <f>AB119/AVERAGE(AB116:AB122)</f>
        <v>1.0244429301371047</v>
      </c>
      <c r="DD33" s="8">
        <f>AB120/AVERAGE(AB117:AB123)</f>
        <v>1.0178377170338635</v>
      </c>
      <c r="DE33">
        <v>1</v>
      </c>
      <c r="DH33">
        <v>2018</v>
      </c>
      <c r="DI33" s="8">
        <f>AC117/AVERAGE(AC114:AC120)</f>
        <v>0.94939114708217054</v>
      </c>
      <c r="DJ33" s="8">
        <f>AC118/AVERAGE(AC115:AC121)</f>
        <v>0.95804105521366789</v>
      </c>
      <c r="DK33" s="8">
        <f>AC119/AVERAGE(AC116:AC122)</f>
        <v>0.99274853465942481</v>
      </c>
      <c r="DL33" s="8">
        <f>AC120/AVERAGE(AC117:AC123)</f>
        <v>1.0703029223683775</v>
      </c>
      <c r="DM33">
        <v>1</v>
      </c>
      <c r="DP33">
        <v>2018</v>
      </c>
      <c r="DQ33" s="8">
        <f>AD117/AVERAGE(AD114:AD120)</f>
        <v>1.3568718996206595</v>
      </c>
      <c r="DR33" s="8">
        <f>AD118/AVERAGE(AD115:AD121)</f>
        <v>0.75182701667104435</v>
      </c>
      <c r="DS33" s="8">
        <f>AD119/AVERAGE(AD116:AD122)</f>
        <v>0.92951878999234661</v>
      </c>
      <c r="DT33" s="8">
        <f>AD120/AVERAGE(AD117:AD123)</f>
        <v>0.91603777312418511</v>
      </c>
      <c r="DU33">
        <v>1</v>
      </c>
      <c r="DX33">
        <v>2018</v>
      </c>
      <c r="DY33" s="8">
        <f>AE117/AVERAGE(AE114:AE120)</f>
        <v>0.78797247866225395</v>
      </c>
      <c r="DZ33" s="8">
        <f>AE118/AVERAGE(AE115:AE121)</f>
        <v>0.66379876219054768</v>
      </c>
      <c r="EA33" s="8">
        <f>AE119/AVERAGE(AE116:AE122)</f>
        <v>0.92166502785971816</v>
      </c>
      <c r="EB33" s="8">
        <f>AE120/AVERAGE(AE117:AE123)</f>
        <v>1.2787637698898409</v>
      </c>
      <c r="EC33">
        <v>1</v>
      </c>
      <c r="EF33">
        <v>2018</v>
      </c>
      <c r="EG33" s="8">
        <f>AF117/AVERAGE(AF114:AF120)</f>
        <v>1.0606289037260392</v>
      </c>
      <c r="EH33" s="8">
        <f>AF118/AVERAGE(AF115:AF121)</f>
        <v>0.93783800114807092</v>
      </c>
      <c r="EI33" s="8">
        <f>AF119/AVERAGE(AF116:AF122)</f>
        <v>0.94956949569495697</v>
      </c>
      <c r="EJ33" s="8">
        <f>AF120/AVERAGE(AF117:AF123)</f>
        <v>1.0492464278723821</v>
      </c>
      <c r="EK33">
        <v>1</v>
      </c>
      <c r="EN33">
        <v>2018</v>
      </c>
      <c r="EO33" s="8">
        <f>AG117/AVERAGE(AG114:AG120)</f>
        <v>0.96218324013779422</v>
      </c>
      <c r="EP33" s="8">
        <f>AG118/AVERAGE(AG115:AG121)</f>
        <v>0.99155658228671828</v>
      </c>
      <c r="EQ33" s="8">
        <f>AG119/AVERAGE(AG116:AG122)</f>
        <v>1.0062688334050798</v>
      </c>
      <c r="ER33" s="8">
        <f>AG120/AVERAGE(AG117:AG123)</f>
        <v>1.0217891873366747</v>
      </c>
      <c r="ES33">
        <v>1</v>
      </c>
      <c r="EV33">
        <v>2018</v>
      </c>
      <c r="EW33" s="8">
        <f>AH117/AVERAGE(AH114:AH120)</f>
        <v>1.0195597899591431</v>
      </c>
      <c r="EX33" s="8">
        <f>AH118/AVERAGE(AH115:AH121)</f>
        <v>0.91005075441080008</v>
      </c>
      <c r="EY33" s="8">
        <f>AH119/AVERAGE(AH116:AH122)</f>
        <v>1.0257971439749609</v>
      </c>
      <c r="EZ33" s="8">
        <f>AH120/AVERAGE(AH117:AH123)</f>
        <v>1.0289470189881822</v>
      </c>
      <c r="FA33">
        <v>1</v>
      </c>
      <c r="FD33">
        <v>2018</v>
      </c>
      <c r="FE33" s="8">
        <f>AI117/AVERAGE(AI114:AI120)</f>
        <v>1.0393733161135537</v>
      </c>
      <c r="FF33" s="8">
        <f>AI118/AVERAGE(AI115:AI121)</f>
        <v>0.98504241950773364</v>
      </c>
      <c r="FG33" s="8">
        <f>AI119/AVERAGE(AI116:AI122)</f>
        <v>0.97290832879437317</v>
      </c>
      <c r="FH33" s="8">
        <f>AI120/AVERAGE(AI117:AI123)</f>
        <v>0.9890927773823609</v>
      </c>
      <c r="FI33">
        <v>1</v>
      </c>
    </row>
    <row r="34" spans="1:165" x14ac:dyDescent="0.35">
      <c r="A34" t="s">
        <v>199</v>
      </c>
      <c r="B34" t="str">
        <f t="shared" si="16"/>
        <v>1997</v>
      </c>
      <c r="C34" t="str">
        <f t="shared" si="17"/>
        <v>Q2</v>
      </c>
      <c r="D34" s="13">
        <f>HAVERQ!AL40</f>
        <v>151927</v>
      </c>
      <c r="E34" s="13">
        <f>HAVERQ!AM40</f>
        <v>3792</v>
      </c>
      <c r="F34" s="13">
        <f>HAVERQ!AN40</f>
        <v>37377</v>
      </c>
      <c r="G34" s="13">
        <f>HAVERQ!AO40</f>
        <v>40498</v>
      </c>
      <c r="H34" s="13">
        <f>HAVERQ!AP40</f>
        <v>3084</v>
      </c>
      <c r="I34" s="13">
        <f>HAVERQ!AQ40</f>
        <v>347</v>
      </c>
      <c r="J34" s="13">
        <f>HAVERQ!AR40</f>
        <v>60994</v>
      </c>
      <c r="K34" s="13">
        <f>HAVERQ!AS40</f>
        <v>60769</v>
      </c>
      <c r="L34" s="13">
        <f>HAVERQ!U40</f>
        <v>38040</v>
      </c>
      <c r="M34" s="13">
        <f>HAVERQ!V40</f>
        <v>6934</v>
      </c>
      <c r="N34" s="13">
        <f>HAVERQ!Y40</f>
        <v>3730</v>
      </c>
      <c r="O34" s="13">
        <f>HAVERQ!Z40</f>
        <v>9397</v>
      </c>
      <c r="P34" s="13">
        <f>HAVERQ!AA40</f>
        <v>19619</v>
      </c>
      <c r="Q34" s="13">
        <f>HAVERQ!AB40</f>
        <v>25029</v>
      </c>
      <c r="R34" s="13">
        <f>HAVERQ!AC40</f>
        <v>12530</v>
      </c>
      <c r="U34" s="13">
        <f>HAVERQ!AU40</f>
        <v>150478</v>
      </c>
      <c r="V34" s="13">
        <f>HAVERQ!AV40</f>
        <v>3792</v>
      </c>
      <c r="W34" s="13">
        <f>HAVERQ!AW40</f>
        <v>37834</v>
      </c>
      <c r="X34" s="13">
        <f>HAVERQ!AX40</f>
        <v>39334</v>
      </c>
      <c r="Y34" s="13">
        <f>HAVERQ!AY40</f>
        <v>3829</v>
      </c>
      <c r="Z34" s="13">
        <f>HAVERQ!AZ40</f>
        <v>390</v>
      </c>
      <c r="AA34" s="13">
        <f>HAVERQ!BA40</f>
        <v>61062</v>
      </c>
      <c r="AB34" s="13">
        <f>HAVERQ!BB40</f>
        <v>61361</v>
      </c>
      <c r="AC34" s="13">
        <f>HAVERQ!W40</f>
        <v>37998</v>
      </c>
      <c r="AD34" s="13">
        <f>HAVERQ!X40</f>
        <v>5250</v>
      </c>
      <c r="AE34" s="13">
        <f>HAVERQ!AD40</f>
        <v>3987</v>
      </c>
      <c r="AF34" s="13">
        <f>HAVERQ!AE40</f>
        <v>8583</v>
      </c>
      <c r="AG34" s="13">
        <f>HAVERQ!AF40</f>
        <v>19392</v>
      </c>
      <c r="AH34" s="13">
        <f>HAVERQ!AG40</f>
        <v>23798</v>
      </c>
      <c r="AI34" s="13">
        <f>HAVERQ!AH40</f>
        <v>12486</v>
      </c>
      <c r="AL34">
        <v>2019</v>
      </c>
      <c r="AM34" s="15">
        <f t="shared" ca="1" si="22"/>
        <v>1.0411952475464865</v>
      </c>
      <c r="AN34" s="15">
        <f t="shared" ca="1" si="23"/>
        <v>1</v>
      </c>
      <c r="AO34" s="15">
        <f t="shared" ca="1" si="24"/>
        <v>0.98608573571552205</v>
      </c>
      <c r="AP34" s="15">
        <f t="shared" ca="1" si="24"/>
        <v>0.98849441462892862</v>
      </c>
      <c r="AQ34" s="15">
        <f t="shared" ca="1" si="24"/>
        <v>0.7113482561166059</v>
      </c>
      <c r="AR34" s="15">
        <f t="shared" ca="1" si="24"/>
        <v>1.0133261783382523</v>
      </c>
      <c r="AS34" s="15">
        <f t="shared" ca="1" si="24"/>
        <v>1.0238098039677124</v>
      </c>
      <c r="AT34" s="15">
        <f t="shared" ca="1" si="24"/>
        <v>1.0248011182601189</v>
      </c>
      <c r="AU34" s="15">
        <f t="shared" ca="1" si="24"/>
        <v>1.0367307549550888</v>
      </c>
      <c r="AV34" s="15">
        <f t="shared" ca="1" si="24"/>
        <v>0.77291337305930519</v>
      </c>
      <c r="AW34" s="15">
        <f t="shared" ca="1" si="24"/>
        <v>1.0821246939159916</v>
      </c>
      <c r="AX34" s="15">
        <f t="shared" ca="1" si="24"/>
        <v>0.9498137521393335</v>
      </c>
      <c r="AY34" s="15">
        <f t="shared" ca="1" si="24"/>
        <v>1.0249481816468815</v>
      </c>
      <c r="AZ34" s="15">
        <f t="shared" ca="1" si="24"/>
        <v>0.97789162743469027</v>
      </c>
      <c r="BA34" s="15">
        <f t="shared" ca="1" si="24"/>
        <v>0.97225234419850737</v>
      </c>
      <c r="BD34">
        <v>2019</v>
      </c>
      <c r="BE34" s="8">
        <f>U121/AVERAGE(U118:U124)</f>
        <v>0.95636249581381871</v>
      </c>
      <c r="BF34" s="8">
        <f>U122/AVERAGE(U119:U125)</f>
        <v>0.99876516246444669</v>
      </c>
      <c r="BG34" s="8">
        <f>U123/AVERAGE(U120:U126)</f>
        <v>1.0656323155072938</v>
      </c>
      <c r="BH34" s="8">
        <f>U124/AVERAGE(U121:U127)</f>
        <v>1.1023669038974555</v>
      </c>
      <c r="BI34">
        <v>1</v>
      </c>
      <c r="BL34">
        <v>2019</v>
      </c>
      <c r="BM34" s="8">
        <f>V121/AVERAGE(V118:V124)</f>
        <v>1.0252537934497974</v>
      </c>
      <c r="BN34" s="8">
        <f>V122/AVERAGE(V119:V125)</f>
        <v>1.0164358418154513</v>
      </c>
      <c r="BO34" s="8">
        <f>V123/AVERAGE(V120:V126)</f>
        <v>1.0289574112683955</v>
      </c>
      <c r="BP34" s="8">
        <f>V124/AVERAGE(V121:V127)</f>
        <v>1.009678181795564</v>
      </c>
      <c r="BQ34">
        <v>1</v>
      </c>
      <c r="BT34">
        <v>2019</v>
      </c>
      <c r="BU34" s="8">
        <f>W121/AVERAGE(W118:W124)</f>
        <v>1.0059559343769346</v>
      </c>
      <c r="BV34" s="8">
        <f>W122/AVERAGE(W119:W125)</f>
        <v>1.0056461612085748</v>
      </c>
      <c r="BW34" s="8">
        <f>W123/AVERAGE(W120:W126)</f>
        <v>0.98947018092059646</v>
      </c>
      <c r="BX34" s="8">
        <f>W124/AVERAGE(W121:W127)</f>
        <v>0.98233281965520491</v>
      </c>
      <c r="BY34">
        <v>1</v>
      </c>
      <c r="CB34">
        <v>2019</v>
      </c>
      <c r="CC34" s="8">
        <f>X121/AVERAGE(X118:X124)</f>
        <v>1.0337405068768053</v>
      </c>
      <c r="CD34" s="8">
        <f>X122/AVERAGE(X119:X125)</f>
        <v>0.97169245417757677</v>
      </c>
      <c r="CE34" s="8">
        <f>X123/AVERAGE(X120:X126)</f>
        <v>1.03963304189471</v>
      </c>
      <c r="CF34" s="8">
        <f>X124/AVERAGE(X121:X127)</f>
        <v>1.0765857509542214</v>
      </c>
      <c r="CG34">
        <v>1</v>
      </c>
      <c r="CJ34">
        <v>2019</v>
      </c>
      <c r="CK34" s="8">
        <f>Y121/AVERAGE(Y118:Y124)</f>
        <v>27.002008032128515</v>
      </c>
      <c r="CL34" s="8">
        <f>Y122/AVERAGE(Y119:Y125)</f>
        <v>1.1158798283261802</v>
      </c>
      <c r="CM34" s="8">
        <f>Y123/AVERAGE(Y120:Y126)</f>
        <v>40.77064220183486</v>
      </c>
      <c r="CN34" s="8">
        <f>Y124/AVERAGE(Y121:Y127)</f>
        <v>3.1231659433767307</v>
      </c>
      <c r="CO34">
        <v>1</v>
      </c>
      <c r="CR34">
        <v>2019</v>
      </c>
      <c r="CS34" s="8">
        <f>AA121/AVERAGE(AA118:AA124)</f>
        <v>0.95432214720959163</v>
      </c>
      <c r="CT34" s="8">
        <f>AA122/AVERAGE(AA119:AA125)</f>
        <v>0.96142693490363174</v>
      </c>
      <c r="CU34" s="8">
        <f>AA123/AVERAGE(AA120:AA126)</f>
        <v>1.0470807644098448</v>
      </c>
      <c r="CV34" s="8">
        <f>AA124/AVERAGE(AA121:AA127)</f>
        <v>1.1551920115893342</v>
      </c>
      <c r="CW34">
        <v>1</v>
      </c>
      <c r="CZ34">
        <v>2019</v>
      </c>
      <c r="DA34" s="8">
        <f>AB121/AVERAGE(AB118:AB124)</f>
        <v>1.0533774033442271</v>
      </c>
      <c r="DB34" s="8">
        <f>AB122/AVERAGE(AB119:AB125)</f>
        <v>0.97386938273893286</v>
      </c>
      <c r="DC34" s="8">
        <f>AB123/AVERAGE(AB120:AB126)</f>
        <v>1.1039323686801801</v>
      </c>
      <c r="DD34" s="8">
        <f>AB124/AVERAGE(AB121:AB127)</f>
        <v>1.0561086391508046</v>
      </c>
      <c r="DE34">
        <v>1</v>
      </c>
      <c r="DH34">
        <v>2019</v>
      </c>
      <c r="DI34" s="8">
        <f>AC121/AVERAGE(AC118:AC124)</f>
        <v>0.96198458735363179</v>
      </c>
      <c r="DJ34" s="8">
        <f>AC122/AVERAGE(AC119:AC125)</f>
        <v>0.99729750740577072</v>
      </c>
      <c r="DK34" s="8">
        <f>AC123/AVERAGE(AC120:AC126)</f>
        <v>1.0264850652082458</v>
      </c>
      <c r="DL34" s="8">
        <f>AC124/AVERAGE(AC121:AC127)</f>
        <v>1.1080420566684108</v>
      </c>
      <c r="DM34">
        <v>1</v>
      </c>
      <c r="DP34">
        <v>2019</v>
      </c>
      <c r="DQ34" s="8">
        <f>AD121/AVERAGE(AD118:AD124)</f>
        <v>1.4368457838944269</v>
      </c>
      <c r="DR34" s="8">
        <f>AD122/AVERAGE(AD119:AD125)</f>
        <v>0.77934871771060654</v>
      </c>
      <c r="DS34" s="8">
        <f>AD123/AVERAGE(AD120:AD126)</f>
        <v>0.92302065906703501</v>
      </c>
      <c r="DT34" s="8">
        <f>AD124/AVERAGE(AD121:AD127)</f>
        <v>0.9073108953448209</v>
      </c>
      <c r="DU34">
        <v>1</v>
      </c>
      <c r="DX34">
        <v>2019</v>
      </c>
      <c r="DY34" s="8">
        <f>AE121/AVERAGE(AE118:AE124)</f>
        <v>0.9334153815240871</v>
      </c>
      <c r="DZ34" s="8">
        <f>AE122/AVERAGE(AE119:AE125)</f>
        <v>1.1529089396682488</v>
      </c>
      <c r="EA34" s="8">
        <f>AE123/AVERAGE(AE120:AE126)</f>
        <v>0.95945301319764675</v>
      </c>
      <c r="EB34" s="8">
        <f>AE124/AVERAGE(AE121:AE127)</f>
        <v>1.1251497840323255</v>
      </c>
      <c r="EC34">
        <v>1</v>
      </c>
      <c r="EF34">
        <v>2019</v>
      </c>
      <c r="EG34" s="8">
        <f>AF121/AVERAGE(AF118:AF124)</f>
        <v>1.099295657741836</v>
      </c>
      <c r="EH34" s="8">
        <f>AF122/AVERAGE(AF119:AF125)</f>
        <v>0.9231605510411377</v>
      </c>
      <c r="EI34" s="8">
        <f>AF123/AVERAGE(AF120:AF126)</f>
        <v>0.96510575127040177</v>
      </c>
      <c r="EJ34" s="8">
        <f>AF124/AVERAGE(AF121:AF127)</f>
        <v>1.0875832604454014</v>
      </c>
      <c r="EK34">
        <v>1</v>
      </c>
      <c r="EN34">
        <v>2019</v>
      </c>
      <c r="EO34" s="8">
        <f>AG121/AVERAGE(AG118:AG124)</f>
        <v>0.98617460140483892</v>
      </c>
      <c r="EP34" s="8">
        <f>AG122/AVERAGE(AG119:AG125)</f>
        <v>1.0174377243234858</v>
      </c>
      <c r="EQ34" s="8">
        <f>AG123/AVERAGE(AG120:AG126)</f>
        <v>1.1094091530054644</v>
      </c>
      <c r="ER34" s="8">
        <f>AG124/AVERAGE(AG121:AG127)</f>
        <v>1.0817688318903653</v>
      </c>
      <c r="ES34">
        <v>1</v>
      </c>
      <c r="EV34">
        <v>2019</v>
      </c>
      <c r="EW34" s="8">
        <f>AH121/AVERAGE(AH118:AH124)</f>
        <v>1.0537718085365091</v>
      </c>
      <c r="EX34" s="8">
        <f>AH122/AVERAGE(AH119:AH125)</f>
        <v>0.91593994085083785</v>
      </c>
      <c r="EY34" s="8">
        <f>AH123/AVERAGE(AH120:AH126)</f>
        <v>1.0555483694792969</v>
      </c>
      <c r="EZ34" s="8">
        <f>AH124/AVERAGE(AH121:AH127)</f>
        <v>1.1075029770792548</v>
      </c>
      <c r="FA34">
        <v>1</v>
      </c>
      <c r="FD34">
        <v>2019</v>
      </c>
      <c r="FE34" s="8">
        <f>AI121/AVERAGE(AI118:AI124)</f>
        <v>1.0304179831830196</v>
      </c>
      <c r="FF34" s="8">
        <f>AI122/AVERAGE(AI119:AI125)</f>
        <v>0.97835361329574122</v>
      </c>
      <c r="FG34" s="8">
        <f>AI123/AVERAGE(AI120:AI126)</f>
        <v>1.004304299686289</v>
      </c>
      <c r="FH34" s="8">
        <f>AI124/AVERAGE(AI121:AI127)</f>
        <v>1.0157467637019386</v>
      </c>
      <c r="FI34">
        <v>1</v>
      </c>
    </row>
    <row r="35" spans="1:165" x14ac:dyDescent="0.35">
      <c r="A35" t="s">
        <v>200</v>
      </c>
      <c r="B35" t="str">
        <f t="shared" si="16"/>
        <v>1997</v>
      </c>
      <c r="C35" t="str">
        <f t="shared" si="17"/>
        <v>Q3</v>
      </c>
      <c r="D35" s="13">
        <f>HAVERQ!AL41</f>
        <v>154724</v>
      </c>
      <c r="E35" s="13">
        <f>HAVERQ!AM41</f>
        <v>3870</v>
      </c>
      <c r="F35" s="13">
        <f>HAVERQ!AN41</f>
        <v>37964</v>
      </c>
      <c r="G35" s="13">
        <f>HAVERQ!AO41</f>
        <v>43161</v>
      </c>
      <c r="H35" s="13">
        <f>HAVERQ!AP41</f>
        <v>3917</v>
      </c>
      <c r="I35" s="13">
        <f>HAVERQ!AQ41</f>
        <v>272</v>
      </c>
      <c r="J35" s="13">
        <f>HAVERQ!AR41</f>
        <v>61133</v>
      </c>
      <c r="K35" s="13">
        <f>HAVERQ!AS41</f>
        <v>59688</v>
      </c>
      <c r="L35" s="13">
        <f>HAVERQ!U41</f>
        <v>40957</v>
      </c>
      <c r="M35" s="13">
        <f>HAVERQ!V41</f>
        <v>7403</v>
      </c>
      <c r="N35" s="13">
        <f>HAVERQ!Y41</f>
        <v>3954</v>
      </c>
      <c r="O35" s="13">
        <f>HAVERQ!Z41</f>
        <v>10301</v>
      </c>
      <c r="P35" s="13">
        <f>HAVERQ!AA41</f>
        <v>20015</v>
      </c>
      <c r="Q35" s="13">
        <f>HAVERQ!AB41</f>
        <v>26487</v>
      </c>
      <c r="R35" s="13">
        <f>HAVERQ!AC41</f>
        <v>12904</v>
      </c>
      <c r="U35" s="13">
        <f>HAVERQ!AU41</f>
        <v>156277</v>
      </c>
      <c r="V35" s="13">
        <f>HAVERQ!AV41</f>
        <v>3870</v>
      </c>
      <c r="W35" s="13">
        <f>HAVERQ!AW41</f>
        <v>37939</v>
      </c>
      <c r="X35" s="13">
        <f>HAVERQ!AX41</f>
        <v>41932</v>
      </c>
      <c r="Y35" s="13">
        <f>HAVERQ!AY41</f>
        <v>3670</v>
      </c>
      <c r="Z35" s="13">
        <f>HAVERQ!AZ41</f>
        <v>256</v>
      </c>
      <c r="AA35" s="13">
        <f>HAVERQ!BA41</f>
        <v>61888</v>
      </c>
      <c r="AB35" s="13">
        <f>HAVERQ!BB41</f>
        <v>61560</v>
      </c>
      <c r="AC35" s="13">
        <f>HAVERQ!W41</f>
        <v>40158</v>
      </c>
      <c r="AD35" s="13">
        <f>HAVERQ!X41</f>
        <v>6711</v>
      </c>
      <c r="AE35" s="13">
        <f>HAVERQ!AD41</f>
        <v>3884</v>
      </c>
      <c r="AF35" s="13">
        <f>HAVERQ!AE41</f>
        <v>9719</v>
      </c>
      <c r="AG35" s="13">
        <f>HAVERQ!AF41</f>
        <v>20212</v>
      </c>
      <c r="AH35" s="13">
        <f>HAVERQ!AG41</f>
        <v>26061</v>
      </c>
      <c r="AI35" s="13">
        <f>HAVERQ!AH41</f>
        <v>12885</v>
      </c>
      <c r="AL35">
        <v>2020</v>
      </c>
      <c r="AM35" s="15">
        <f t="shared" ca="1" si="22"/>
        <v>1.0314895905117136</v>
      </c>
      <c r="AN35" s="15">
        <f t="shared" ca="1" si="23"/>
        <v>1</v>
      </c>
      <c r="AO35" s="15">
        <f t="shared" ca="1" si="24"/>
        <v>0.98707349795133981</v>
      </c>
      <c r="AP35" s="15">
        <f t="shared" ca="1" si="24"/>
        <v>0.98658356222269172</v>
      </c>
      <c r="AQ35" s="15">
        <f t="shared" ca="1" si="24"/>
        <v>-0.29877847474413999</v>
      </c>
      <c r="AR35" s="15">
        <f t="shared" ca="1" si="24"/>
        <v>1.2972085385878489</v>
      </c>
      <c r="AS35" s="15">
        <f t="shared" ca="1" si="24"/>
        <v>1.0208884499159288</v>
      </c>
      <c r="AT35" s="15">
        <f t="shared" ca="1" si="24"/>
        <v>1.0251535431656829</v>
      </c>
      <c r="AU35" s="15">
        <f t="shared" ca="1" si="24"/>
        <v>1.0455121645768743</v>
      </c>
      <c r="AV35" s="15">
        <f t="shared" ca="1" si="24"/>
        <v>0.73630301181188162</v>
      </c>
      <c r="AW35" s="15">
        <f t="shared" ca="1" si="24"/>
        <v>1.1012732615083252</v>
      </c>
      <c r="AX35" s="15">
        <f t="shared" ca="1" si="24"/>
        <v>0.95339940879846985</v>
      </c>
      <c r="AY35" s="15">
        <f t="shared" ca="1" si="24"/>
        <v>1.025805929701088</v>
      </c>
      <c r="AZ35" s="15">
        <f t="shared" ca="1" si="24"/>
        <v>0.97059265567857322</v>
      </c>
      <c r="BA35" s="15">
        <f t="shared" ca="1" si="24"/>
        <v>0.96930723827275556</v>
      </c>
      <c r="BD35">
        <v>2020</v>
      </c>
      <c r="BE35" s="8">
        <f>U125/AVERAGE(U122:U128)</f>
        <v>1.005608285683844</v>
      </c>
      <c r="BF35" s="8">
        <f>U126/AVERAGE(U123:U129)</f>
        <v>0.81259863062512727</v>
      </c>
      <c r="BG35" s="8">
        <f>U127/AVERAGE(U124:U130)</f>
        <v>0.98871859739954104</v>
      </c>
      <c r="BH35" s="8">
        <f>U128/AVERAGE(U125:U131)</f>
        <v>1.0252199673793647</v>
      </c>
      <c r="BI35">
        <v>1</v>
      </c>
      <c r="BL35">
        <v>2020</v>
      </c>
      <c r="BM35" s="8">
        <f>V125/AVERAGE(V122:V128)</f>
        <v>1.0331290669025208</v>
      </c>
      <c r="BN35" s="8">
        <f>V126/AVERAGE(V123:V129)</f>
        <v>0.894625249067593</v>
      </c>
      <c r="BO35" s="8">
        <f>V127/AVERAGE(V124:V130)</f>
        <v>0.94902376422213996</v>
      </c>
      <c r="BP35" s="8">
        <f>V128/AVERAGE(V125:V131)</f>
        <v>0.97156511651366895</v>
      </c>
      <c r="BQ35">
        <v>1</v>
      </c>
      <c r="BT35">
        <v>2020</v>
      </c>
      <c r="BU35" s="8">
        <f>W125/AVERAGE(W122:W128)</f>
        <v>0.97019602127814619</v>
      </c>
      <c r="BV35" s="8">
        <f>W126/AVERAGE(W123:W129)</f>
        <v>1.0286655824181179</v>
      </c>
      <c r="BW35" s="8">
        <f>W127/AVERAGE(W124:W130)</f>
        <v>1.0016118195333943</v>
      </c>
      <c r="BX35" s="8">
        <f>W128/AVERAGE(W125:W131)</f>
        <v>1.0074650931822164</v>
      </c>
      <c r="BY35">
        <v>1</v>
      </c>
      <c r="CB35">
        <v>2020</v>
      </c>
      <c r="CC35" s="8">
        <f>X125/AVERAGE(X122:X128)</f>
        <v>1.0354790682873329</v>
      </c>
      <c r="CD35" s="8">
        <f>X126/AVERAGE(X123:X129)</f>
        <v>0.79711042282417421</v>
      </c>
      <c r="CE35" s="8">
        <f>X127/AVERAGE(X124:X130)</f>
        <v>0.96647443038769154</v>
      </c>
      <c r="CF35" s="8">
        <f>X128/AVERAGE(X125:X131)</f>
        <v>1.0567122467312107</v>
      </c>
      <c r="CG35">
        <v>1</v>
      </c>
      <c r="CJ35">
        <v>2020</v>
      </c>
      <c r="CK35" s="8">
        <f>Y125/AVERAGE(Y122:Y128)</f>
        <v>-4.3907641333609444</v>
      </c>
      <c r="CL35" s="8">
        <f>Y126/AVERAGE(Y123:Y129)</f>
        <v>6.8321229522040197</v>
      </c>
      <c r="CM35" s="8">
        <f>Y127/AVERAGE(Y124:Y130)</f>
        <v>3.6793080505655351</v>
      </c>
      <c r="CN35" s="8">
        <f>Y128/AVERAGE(Y125:Y131)</f>
        <v>-13.749808526933878</v>
      </c>
      <c r="CO35">
        <v>1</v>
      </c>
      <c r="CR35">
        <v>2020</v>
      </c>
      <c r="CS35" s="8">
        <f>AA125/AVERAGE(AA122:AA128)</f>
        <v>1.0046797264731098</v>
      </c>
      <c r="CT35" s="8">
        <f>AA126/AVERAGE(AA123:AA129)</f>
        <v>0.88669388355459167</v>
      </c>
      <c r="CU35" s="8">
        <f>AA127/AVERAGE(AA124:AA130)</f>
        <v>0.90235025813459357</v>
      </c>
      <c r="CV35" s="8">
        <f>AA128/AVERAGE(AA125:AA131)</f>
        <v>1.0553163198739499</v>
      </c>
      <c r="CW35">
        <v>1</v>
      </c>
      <c r="CZ35">
        <v>2020</v>
      </c>
      <c r="DA35" s="8">
        <f>AB125/AVERAGE(AB122:AB128)</f>
        <v>0.99792032018706012</v>
      </c>
      <c r="DB35" s="8">
        <f>AB126/AVERAGE(AB123:AB129)</f>
        <v>0.76254474440776454</v>
      </c>
      <c r="DC35" s="8">
        <f>AB127/AVERAGE(AB124:AB130)</f>
        <v>0.94788354896677274</v>
      </c>
      <c r="DD35" s="8">
        <f>AB128/AVERAGE(AB125:AB131)</f>
        <v>1.1209166216378346</v>
      </c>
      <c r="DE35">
        <v>1</v>
      </c>
      <c r="DH35">
        <v>2020</v>
      </c>
      <c r="DI35" s="8">
        <f>AC125/AVERAGE(AC122:AC128)</f>
        <v>0.98087215934017724</v>
      </c>
      <c r="DJ35" s="8">
        <f>AC126/AVERAGE(AC123:AC129)</f>
        <v>0.85348154032842416</v>
      </c>
      <c r="DK35" s="8">
        <f>AC127/AVERAGE(AC124:AC130)</f>
        <v>0.96840946857564181</v>
      </c>
      <c r="DL35" s="8">
        <f>AC128/AVERAGE(AC125:AC131)</f>
        <v>1.093551416009541</v>
      </c>
      <c r="DM35">
        <v>1</v>
      </c>
      <c r="DP35">
        <v>2020</v>
      </c>
      <c r="DQ35" s="8">
        <f>AD125/AVERAGE(AD122:AD128)</f>
        <v>1.2912850859913325</v>
      </c>
      <c r="DR35" s="8">
        <f>AD126/AVERAGE(AD123:AD129)</f>
        <v>0.82652381196493563</v>
      </c>
      <c r="DS35" s="8">
        <f>AD127/AVERAGE(AD124:AD130)</f>
        <v>0.93984852258244089</v>
      </c>
      <c r="DT35" s="8">
        <f>AD128/AVERAGE(AD125:AD131)</f>
        <v>0.94660610648498611</v>
      </c>
      <c r="DU35">
        <v>1</v>
      </c>
      <c r="DX35">
        <v>2020</v>
      </c>
      <c r="DY35" s="8">
        <f>AE125/AVERAGE(AE122:AE128)</f>
        <v>0.93358936175771357</v>
      </c>
      <c r="DZ35" s="8">
        <f>AE126/AVERAGE(AE123:AE129)</f>
        <v>0.51000175984044116</v>
      </c>
      <c r="EA35" s="8">
        <f>AE127/AVERAGE(AE124:AE130)</f>
        <v>1.117367931044839</v>
      </c>
      <c r="EB35" s="8">
        <f>AE128/AVERAGE(AE125:AE131)</f>
        <v>1.7165101098551185</v>
      </c>
      <c r="EC35">
        <v>1</v>
      </c>
      <c r="EF35">
        <v>2020</v>
      </c>
      <c r="EG35" s="8">
        <f>AF125/AVERAGE(AF122:AF128)</f>
        <v>1.029669795636494</v>
      </c>
      <c r="EH35" s="8">
        <f>AF126/AVERAGE(AF123:AF129)</f>
        <v>0.85298241737696834</v>
      </c>
      <c r="EI35" s="8">
        <f>AF127/AVERAGE(AF124:AF130)</f>
        <v>0.9259100715728914</v>
      </c>
      <c r="EJ35" s="8">
        <f>AF128/AVERAGE(AF125:AF131)</f>
        <v>1.0925454047952938</v>
      </c>
      <c r="EK35">
        <v>1</v>
      </c>
      <c r="EN35">
        <v>2020</v>
      </c>
      <c r="EO35" s="8">
        <f>AG125/AVERAGE(AG122:AG128)</f>
        <v>1.0061978545887962</v>
      </c>
      <c r="EP35" s="8">
        <f>AG126/AVERAGE(AG123:AG129)</f>
        <v>0.63797091870456046</v>
      </c>
      <c r="EQ35" s="8">
        <f>AG127/AVERAGE(AG124:AG130)</f>
        <v>1.01818561623396</v>
      </c>
      <c r="ER35" s="8">
        <f>AG128/AVERAGE(AG125:AG131)</f>
        <v>1.0759712144286184</v>
      </c>
      <c r="ES35">
        <v>1</v>
      </c>
      <c r="EV35">
        <v>2020</v>
      </c>
      <c r="EW35" s="8">
        <f>AH125/AVERAGE(AH122:AH128)</f>
        <v>1.0503499237008471</v>
      </c>
      <c r="EX35" s="8">
        <f>AH126/AVERAGE(AH123:AH129)</f>
        <v>0.78787234042553189</v>
      </c>
      <c r="EY35" s="8">
        <f>AH127/AVERAGE(AH124:AH130)</f>
        <v>0.93447820645870205</v>
      </c>
      <c r="EZ35" s="8">
        <f>AH128/AVERAGE(AH125:AH131)</f>
        <v>1.0304874284214913</v>
      </c>
      <c r="FA35">
        <v>1</v>
      </c>
      <c r="FD35">
        <v>2020</v>
      </c>
      <c r="FE35" s="8">
        <f>AI125/AVERAGE(AI122:AI128)</f>
        <v>1.0371301141933971</v>
      </c>
      <c r="FF35" s="8">
        <f>AI126/AVERAGE(AI123:AI129)</f>
        <v>0.96531286788010506</v>
      </c>
      <c r="FG35" s="8">
        <f>AI127/AVERAGE(AI124:AI130)</f>
        <v>0.9610275970383666</v>
      </c>
      <c r="FH35" s="8">
        <f>AI128/AVERAGE(AI125:AI131)</f>
        <v>0.97434834915118296</v>
      </c>
      <c r="FI35">
        <v>1</v>
      </c>
    </row>
    <row r="36" spans="1:165" x14ac:dyDescent="0.35">
      <c r="A36" t="s">
        <v>201</v>
      </c>
      <c r="B36" t="str">
        <f t="shared" si="16"/>
        <v>1997</v>
      </c>
      <c r="C36" t="str">
        <f t="shared" si="17"/>
        <v>Q4</v>
      </c>
      <c r="D36" s="13">
        <f>HAVERQ!AL42</f>
        <v>155080</v>
      </c>
      <c r="E36" s="13">
        <f>HAVERQ!AM42</f>
        <v>3920</v>
      </c>
      <c r="F36" s="13">
        <f>HAVERQ!AN42</f>
        <v>39014</v>
      </c>
      <c r="G36" s="13">
        <f>HAVERQ!AO42</f>
        <v>44347</v>
      </c>
      <c r="H36" s="13">
        <f>HAVERQ!AP42</f>
        <v>-1375</v>
      </c>
      <c r="I36" s="13">
        <f>HAVERQ!AQ42</f>
        <v>303</v>
      </c>
      <c r="J36" s="13">
        <f>HAVERQ!AR42</f>
        <v>62362</v>
      </c>
      <c r="K36" s="13">
        <f>HAVERQ!AS42</f>
        <v>61059</v>
      </c>
      <c r="L36" s="13">
        <f>HAVERQ!U42</f>
        <v>41619</v>
      </c>
      <c r="M36" s="13">
        <f>HAVERQ!V42</f>
        <v>7631</v>
      </c>
      <c r="N36" s="13">
        <f>HAVERQ!Y42</f>
        <v>3838</v>
      </c>
      <c r="O36" s="13">
        <f>HAVERQ!Z42</f>
        <v>10462</v>
      </c>
      <c r="P36" s="13">
        <f>HAVERQ!AA42</f>
        <v>21434</v>
      </c>
      <c r="Q36" s="13">
        <f>HAVERQ!AB42</f>
        <v>27305</v>
      </c>
      <c r="R36" s="13">
        <f>HAVERQ!AC42</f>
        <v>13228</v>
      </c>
      <c r="U36" s="13">
        <f>HAVERQ!AU42</f>
        <v>158848</v>
      </c>
      <c r="V36" s="13">
        <f>HAVERQ!AV42</f>
        <v>3920</v>
      </c>
      <c r="W36" s="13">
        <f>HAVERQ!AW42</f>
        <v>39059</v>
      </c>
      <c r="X36" s="13">
        <f>HAVERQ!AX42</f>
        <v>44559</v>
      </c>
      <c r="Y36" s="13">
        <f>HAVERQ!AY42</f>
        <v>-2521</v>
      </c>
      <c r="Z36" s="13">
        <f>HAVERQ!AZ42</f>
        <v>317</v>
      </c>
      <c r="AA36" s="13">
        <f>HAVERQ!BA42</f>
        <v>63286</v>
      </c>
      <c r="AB36" s="13">
        <f>HAVERQ!BB42</f>
        <v>60778</v>
      </c>
      <c r="AC36" s="13">
        <f>HAVERQ!W42</f>
        <v>43095</v>
      </c>
      <c r="AD36" s="13">
        <f>HAVERQ!X42</f>
        <v>6998</v>
      </c>
      <c r="AE36" s="13">
        <f>HAVERQ!AD42</f>
        <v>3307</v>
      </c>
      <c r="AF36" s="13">
        <f>HAVERQ!AE42</f>
        <v>11268</v>
      </c>
      <c r="AG36" s="13">
        <f>HAVERQ!AF42</f>
        <v>21184</v>
      </c>
      <c r="AH36" s="13">
        <f>HAVERQ!AG42</f>
        <v>27856</v>
      </c>
      <c r="AI36" s="13">
        <f>HAVERQ!AH42</f>
        <v>13325</v>
      </c>
      <c r="AL36">
        <v>2021</v>
      </c>
      <c r="AM36" s="15">
        <f t="shared" ca="1" si="22"/>
        <v>1.0185383663280758</v>
      </c>
      <c r="AN36" s="15">
        <f t="shared" ca="1" si="23"/>
        <v>1</v>
      </c>
      <c r="AO36" s="15">
        <f t="shared" ca="1" si="24"/>
        <v>0.9898454610895836</v>
      </c>
      <c r="AP36" s="15">
        <f t="shared" ca="1" si="24"/>
        <v>0.96801447239275606</v>
      </c>
      <c r="AQ36" s="15">
        <f t="shared" ca="1" si="24"/>
        <v>-2.7083333333333335</v>
      </c>
      <c r="AR36" s="15">
        <f t="shared" ca="1" si="24"/>
        <v>1.0250791331872413</v>
      </c>
      <c r="AS36" s="15">
        <f t="shared" ca="1" si="24"/>
        <v>1.022983837172569</v>
      </c>
      <c r="AT36" s="15">
        <f t="shared" ca="1" si="24"/>
        <v>1.0140658666172231</v>
      </c>
      <c r="AU36" s="15">
        <f t="shared" ca="1" si="24"/>
        <v>1.0751585414189457</v>
      </c>
      <c r="AV36" s="15">
        <f t="shared" ca="1" si="24"/>
        <v>0.70571848059330644</v>
      </c>
      <c r="AW36" s="15">
        <f t="shared" ca="1" si="24"/>
        <v>1.530404080031385</v>
      </c>
      <c r="AX36" s="15">
        <f t="shared" ca="1" si="24"/>
        <v>0.90865243220987002</v>
      </c>
      <c r="AY36" s="15">
        <f t="shared" ca="1" si="24"/>
        <v>1.0239506373305187</v>
      </c>
      <c r="AZ36" s="15">
        <f t="shared" ca="1" si="24"/>
        <v>0.96942441524508205</v>
      </c>
      <c r="BA36" s="15">
        <f t="shared" ca="1" si="24"/>
        <v>0.96659454011915702</v>
      </c>
      <c r="BD36">
        <v>2021</v>
      </c>
      <c r="BE36" s="8">
        <f>U129/AVERAGE(U126:U132)</f>
        <v>0.9183503978133758</v>
      </c>
      <c r="BF36" s="8">
        <f>U130/AVERAGE(U127:U133)</f>
        <v>0.9934390816538361</v>
      </c>
      <c r="BG36" s="8">
        <f>U131/AVERAGE(U128:U134)</f>
        <v>1.011732654002903</v>
      </c>
      <c r="BH36" s="8">
        <f>U132/AVERAGE(U129:U135)</f>
        <v>1.0407897736524996</v>
      </c>
      <c r="BI36">
        <v>1</v>
      </c>
      <c r="BL36">
        <v>2021</v>
      </c>
      <c r="BM36" s="8">
        <f>V129/AVERAGE(V126:V132)</f>
        <v>0.9837143246964265</v>
      </c>
      <c r="BN36" s="8">
        <f>V130/AVERAGE(V127:V133)</f>
        <v>1.0076415049353871</v>
      </c>
      <c r="BO36" s="8">
        <f>V131/AVERAGE(V128:V134)</f>
        <v>1.0123039806996381</v>
      </c>
      <c r="BP36" s="8">
        <f>V132/AVERAGE(V129:V135)</f>
        <v>1.0120444409844636</v>
      </c>
      <c r="BQ36">
        <v>1</v>
      </c>
      <c r="BT36">
        <v>2021</v>
      </c>
      <c r="BU36" s="8">
        <f>W129/AVERAGE(W126:W132)</f>
        <v>1.0476456814475137</v>
      </c>
      <c r="BV36" s="8">
        <f>W130/AVERAGE(W127:W133)</f>
        <v>0.99107398481934939</v>
      </c>
      <c r="BW36" s="8">
        <f>W131/AVERAGE(W128:W134)</f>
        <v>0.97948569777520944</v>
      </c>
      <c r="BX36" s="8">
        <f>W132/AVERAGE(W129:W135)</f>
        <v>0.98199711184794214</v>
      </c>
      <c r="BY36">
        <v>1</v>
      </c>
      <c r="CB36">
        <v>2021</v>
      </c>
      <c r="CC36" s="8">
        <f>X129/AVERAGE(X126:X132)</f>
        <v>1.0194513813563835</v>
      </c>
      <c r="CD36" s="8">
        <f>X130/AVERAGE(X127:X133)</f>
        <v>0.94362897835910831</v>
      </c>
      <c r="CE36" s="8">
        <f>X131/AVERAGE(X128:X134)</f>
        <v>0.98904288560289455</v>
      </c>
      <c r="CF36" s="8">
        <f>X132/AVERAGE(X129:X135)</f>
        <v>1.032665122594042</v>
      </c>
      <c r="CG36">
        <v>1</v>
      </c>
      <c r="CJ36">
        <v>2021</v>
      </c>
      <c r="CK36" s="8">
        <f>Y129/AVERAGE(Y126:Y132)</f>
        <v>1.4321311475409835</v>
      </c>
      <c r="CL36" s="8">
        <f>Y130/AVERAGE(Y127:Y133)</f>
        <v>-1.8148482116020439</v>
      </c>
      <c r="CM36" s="8">
        <f>Y131/AVERAGE(Y128:Y134)</f>
        <v>0.35731261750203969</v>
      </c>
      <c r="CN36" s="8">
        <f>Y132/AVERAGE(Y129:Y135)</f>
        <v>2.5379213483146068</v>
      </c>
      <c r="CO36">
        <v>1</v>
      </c>
      <c r="CR36">
        <v>2021</v>
      </c>
      <c r="CS36" s="8">
        <f>AA129/AVERAGE(AA126:AA132)</f>
        <v>0.94700581410561691</v>
      </c>
      <c r="CT36" s="8">
        <f>AA130/AVERAGE(AA127:AA133)</f>
        <v>0.99823039150045512</v>
      </c>
      <c r="CU36" s="8">
        <f>AA131/AVERAGE(AA128:AA134)</f>
        <v>0.91629715907029974</v>
      </c>
      <c r="CV36" s="8">
        <f>AA132/AVERAGE(AA129:AA135)</f>
        <v>1.0410934605377542</v>
      </c>
      <c r="CW36">
        <v>1</v>
      </c>
      <c r="CZ36">
        <v>2021</v>
      </c>
      <c r="DA36" s="8">
        <f>AB129/AVERAGE(AB126:AB132)</f>
        <v>0.96636583094650708</v>
      </c>
      <c r="DB36" s="8">
        <f>AB130/AVERAGE(AB127:AB133)</f>
        <v>0.90589080341824213</v>
      </c>
      <c r="DC36" s="8">
        <f>AB131/AVERAGE(AB128:AB134)</f>
        <v>0.94084837219946948</v>
      </c>
      <c r="DD36" s="8">
        <f>AB132/AVERAGE(AB129:AB135)</f>
        <v>0.9935732295244456</v>
      </c>
      <c r="DE36">
        <v>1</v>
      </c>
      <c r="DH36">
        <v>2021</v>
      </c>
      <c r="DI36" s="8">
        <f>AC129/AVERAGE(AC126:AC132)</f>
        <v>0.9244882602484269</v>
      </c>
      <c r="DJ36" s="8">
        <f>AC130/AVERAGE(AC127:AC133)</f>
        <v>0.97478526141766575</v>
      </c>
      <c r="DK36" s="8">
        <f>AC131/AVERAGE(AC128:AC134)</f>
        <v>1.0025386698288694</v>
      </c>
      <c r="DL36" s="8">
        <f>AC132/AVERAGE(AC129:AC135)</f>
        <v>1.0883651262537759</v>
      </c>
      <c r="DM36">
        <v>1</v>
      </c>
      <c r="DP36">
        <v>2021</v>
      </c>
      <c r="DQ36" s="8">
        <f>AD129/AVERAGE(AD126:AD132)</f>
        <v>1.3788932724252492</v>
      </c>
      <c r="DR36" s="8">
        <f>AD130/AVERAGE(AD127:AD133)</f>
        <v>0.7957442233913179</v>
      </c>
      <c r="DS36" s="8">
        <f>AD131/AVERAGE(AD128:AD134)</f>
        <v>0.91325169323390565</v>
      </c>
      <c r="DT36" s="8">
        <f>AD132/AVERAGE(AD129:AD135)</f>
        <v>0.91570311375521762</v>
      </c>
      <c r="DU36">
        <v>1</v>
      </c>
      <c r="DX36">
        <v>2021</v>
      </c>
      <c r="DY36" s="8">
        <f>AE129/AVERAGE(AE126:AE132)</f>
        <v>0.54209327054534406</v>
      </c>
      <c r="DZ36" s="8">
        <f>AE130/AVERAGE(AE127:AE133)</f>
        <v>0.8831756834698351</v>
      </c>
      <c r="EA36" s="8">
        <f>AE131/AVERAGE(AE128:AE134)</f>
        <v>0.75675675675675669</v>
      </c>
      <c r="EB36" s="8">
        <f>AE132/AVERAGE(AE129:AE135)</f>
        <v>1.3660097940881468</v>
      </c>
      <c r="EC36">
        <v>1</v>
      </c>
      <c r="EF36">
        <v>2021</v>
      </c>
      <c r="EG36" s="8">
        <f>AF129/AVERAGE(AF126:AF132)</f>
        <v>0.99467587175286687</v>
      </c>
      <c r="EH36" s="8">
        <f>AF130/AVERAGE(AF127:AF133)</f>
        <v>0.87000806151556487</v>
      </c>
      <c r="EI36" s="8">
        <f>AF131/AVERAGE(AF128:AF134)</f>
        <v>0.99522722239616346</v>
      </c>
      <c r="EJ36" s="8">
        <f>AF132/AVERAGE(AF129:AF135)</f>
        <v>1.0652615037226902</v>
      </c>
      <c r="EK36">
        <v>1</v>
      </c>
      <c r="EN36">
        <v>2021</v>
      </c>
      <c r="EO36" s="8">
        <f>AG129/AVERAGE(AG126:AG132)</f>
        <v>1.0112598083486788</v>
      </c>
      <c r="EP36" s="8">
        <f>AG130/AVERAGE(AG127:AG133)</f>
        <v>0.98747430137820758</v>
      </c>
      <c r="EQ36" s="8">
        <f>AG131/AVERAGE(AG128:AG134)</f>
        <v>0.99001403777437469</v>
      </c>
      <c r="ER36" s="8">
        <f>AG132/AVERAGE(AG129:AG135)</f>
        <v>1.0148705671261886</v>
      </c>
      <c r="ES36">
        <v>1</v>
      </c>
      <c r="EV36">
        <v>2021</v>
      </c>
      <c r="EW36" s="8">
        <f>AH129/AVERAGE(AH126:AH132)</f>
        <v>1.0706885553326724</v>
      </c>
      <c r="EX36" s="8">
        <f>AH130/AVERAGE(AH127:AH133)</f>
        <v>0.92937569983662838</v>
      </c>
      <c r="EY36" s="8">
        <f>AH131/AVERAGE(AH128:AH134)</f>
        <v>1.0225360038881641</v>
      </c>
      <c r="EZ36" s="8">
        <f>AH132/AVERAGE(AH129:AH135)</f>
        <v>1.0380236802407816</v>
      </c>
      <c r="FA36">
        <v>1</v>
      </c>
      <c r="FD36">
        <v>2021</v>
      </c>
      <c r="FE36" s="8">
        <f>AI129/AVERAGE(AI126:AI132)</f>
        <v>1.0423500644409527</v>
      </c>
      <c r="FF36" s="8">
        <f>AI130/AVERAGE(AI127:AI133)</f>
        <v>0.99221641535298155</v>
      </c>
      <c r="FG36" s="8">
        <f>AI131/AVERAGE(AI128:AI134)</f>
        <v>0.98499530572277005</v>
      </c>
      <c r="FH36" s="8">
        <f>AI132/AVERAGE(AI129:AI135)</f>
        <v>1.0113353677785961</v>
      </c>
      <c r="FI36">
        <v>1</v>
      </c>
    </row>
    <row r="37" spans="1:165" x14ac:dyDescent="0.35">
      <c r="A37" t="s">
        <v>202</v>
      </c>
      <c r="B37" t="str">
        <f t="shared" si="16"/>
        <v>1998</v>
      </c>
      <c r="C37" t="str">
        <f t="shared" si="17"/>
        <v>Q1</v>
      </c>
      <c r="D37" s="13">
        <f>HAVERQ!AL43</f>
        <v>157183</v>
      </c>
      <c r="E37" s="13">
        <f>HAVERQ!AM43</f>
        <v>3949</v>
      </c>
      <c r="F37" s="13">
        <f>HAVERQ!AN43</f>
        <v>39473</v>
      </c>
      <c r="G37" s="13">
        <f>HAVERQ!AO43</f>
        <v>44749</v>
      </c>
      <c r="H37" s="13">
        <f>HAVERQ!AP43</f>
        <v>1658</v>
      </c>
      <c r="I37" s="13">
        <f>HAVERQ!AQ43</f>
        <v>461</v>
      </c>
      <c r="J37" s="13">
        <f>HAVERQ!AR43</f>
        <v>61446</v>
      </c>
      <c r="K37" s="13">
        <f>HAVERQ!AS43</f>
        <v>61744</v>
      </c>
      <c r="L37" s="13">
        <f>HAVERQ!U43</f>
        <v>42028</v>
      </c>
      <c r="M37" s="13">
        <f>HAVERQ!V43</f>
        <v>8473</v>
      </c>
      <c r="N37" s="13">
        <f>HAVERQ!Y43</f>
        <v>4489</v>
      </c>
      <c r="O37" s="13">
        <f>HAVERQ!Z43</f>
        <v>10318</v>
      </c>
      <c r="P37" s="13">
        <f>HAVERQ!AA43</f>
        <v>20045</v>
      </c>
      <c r="Q37" s="13">
        <f>HAVERQ!AB43</f>
        <v>27821</v>
      </c>
      <c r="R37" s="13">
        <f>HAVERQ!AC43</f>
        <v>13651</v>
      </c>
      <c r="U37" s="13">
        <f>HAVERQ!AU43</f>
        <v>152694</v>
      </c>
      <c r="V37" s="13">
        <f>HAVERQ!AV43</f>
        <v>3949</v>
      </c>
      <c r="W37" s="13">
        <f>HAVERQ!AW43</f>
        <v>39005</v>
      </c>
      <c r="X37" s="13">
        <f>HAVERQ!AX43</f>
        <v>46813</v>
      </c>
      <c r="Y37" s="13">
        <f>HAVERQ!AY43</f>
        <v>1080</v>
      </c>
      <c r="Z37" s="13">
        <f>HAVERQ!AZ43</f>
        <v>420</v>
      </c>
      <c r="AA37" s="13">
        <f>HAVERQ!BA43</f>
        <v>59996</v>
      </c>
      <c r="AB37" s="13">
        <f>HAVERQ!BB43</f>
        <v>59889</v>
      </c>
      <c r="AC37" s="13">
        <f>HAVERQ!W43</f>
        <v>42952</v>
      </c>
      <c r="AD37" s="13">
        <f>HAVERQ!X43</f>
        <v>11854</v>
      </c>
      <c r="AE37" s="13">
        <f>HAVERQ!AD43</f>
        <v>4794</v>
      </c>
      <c r="AF37" s="13">
        <f>HAVERQ!AE43</f>
        <v>10889</v>
      </c>
      <c r="AG37" s="13">
        <f>HAVERQ!AF43</f>
        <v>20331</v>
      </c>
      <c r="AH37" s="13">
        <f>HAVERQ!AG43</f>
        <v>30829</v>
      </c>
      <c r="AI37" s="13">
        <f>HAVERQ!AH43</f>
        <v>13756</v>
      </c>
      <c r="AL37">
        <v>2022</v>
      </c>
      <c r="AM37" s="15">
        <f t="shared" ca="1" si="22"/>
        <v>1.0352335125955279</v>
      </c>
      <c r="AN37" s="15">
        <f t="shared" ca="1" si="23"/>
        <v>1</v>
      </c>
      <c r="AO37" s="15">
        <f t="shared" ca="1" si="24"/>
        <v>0.99058416602613375</v>
      </c>
      <c r="AP37" s="15">
        <f t="shared" ca="1" si="24"/>
        <v>0.98142347443005751</v>
      </c>
      <c r="AQ37" s="15">
        <f t="shared" ca="1" si="24"/>
        <v>0.52251116364591543</v>
      </c>
      <c r="AR37" s="15">
        <f t="shared" ca="1" si="24"/>
        <v>1.0248818113958695</v>
      </c>
      <c r="AS37" s="15">
        <f t="shared" ca="1" si="24"/>
        <v>1.0339016664371299</v>
      </c>
      <c r="AT37" s="15">
        <f t="shared" ca="1" si="24"/>
        <v>1.0124925752571932</v>
      </c>
      <c r="AU37" s="15">
        <f t="shared" ca="1" si="24"/>
        <v>1.0111652485191129</v>
      </c>
      <c r="AV37" s="15">
        <f t="shared" ca="1" si="24"/>
        <v>0.71030955227846415</v>
      </c>
      <c r="AW37" s="15">
        <f t="shared" ca="1" si="24"/>
        <v>1.0127208480565371</v>
      </c>
      <c r="AX37" s="15">
        <f t="shared" ca="1" si="24"/>
        <v>0.93443867864827235</v>
      </c>
      <c r="AY37" s="15">
        <f t="shared" ca="1" si="24"/>
        <v>1.0182715020147284</v>
      </c>
      <c r="AZ37" s="15">
        <f t="shared" ca="1" si="24"/>
        <v>0.91661939875212706</v>
      </c>
      <c r="BA37" s="15">
        <f t="shared" ca="1" si="24"/>
        <v>0.94806203626818097</v>
      </c>
      <c r="BD37">
        <v>2022</v>
      </c>
      <c r="BE37" s="8">
        <f>U133/AVERAGE(U130:U136)</f>
        <v>0.95651235583760297</v>
      </c>
      <c r="BF37" s="8">
        <f>U134/AVERAGE(U131:U137)</f>
        <v>1.0124139477874332</v>
      </c>
      <c r="BG37" s="8">
        <f>U135/AVERAGE(U132:U138)</f>
        <v>1.0100083873673344</v>
      </c>
      <c r="BH37" s="8">
        <f>U136/AVERAGE(U133:U139)</f>
        <v>1.0539419191664736</v>
      </c>
      <c r="BI37">
        <v>1</v>
      </c>
      <c r="BL37">
        <v>2022</v>
      </c>
      <c r="BM37" s="8">
        <f>V133/AVERAGE(V130:V136)</f>
        <v>1.0022771913920008</v>
      </c>
      <c r="BN37" s="8">
        <f>V134/AVERAGE(V131:V137)</f>
        <v>1.0184801892371378</v>
      </c>
      <c r="BO37" s="8">
        <f>V135/AVERAGE(V132:V138)</f>
        <v>1.0093293854864682</v>
      </c>
      <c r="BP37" s="8">
        <f>V136/AVERAGE(V133:V139)</f>
        <v>1.0109929587584423</v>
      </c>
      <c r="BQ37">
        <v>1</v>
      </c>
      <c r="BT37">
        <v>2022</v>
      </c>
      <c r="BU37" s="8">
        <f>W133/AVERAGE(W130:W136)</f>
        <v>1.0424186126369848</v>
      </c>
      <c r="BV37" s="8">
        <f>W134/AVERAGE(W131:W137)</f>
        <v>0.98469169104930554</v>
      </c>
      <c r="BW37" s="8">
        <f>W135/AVERAGE(W132:W138)</f>
        <v>0.9859097007400317</v>
      </c>
      <c r="BX37" s="8">
        <f>W136/AVERAGE(W133:W139)</f>
        <v>0.98550164680041952</v>
      </c>
      <c r="BY37">
        <v>1</v>
      </c>
      <c r="CB37">
        <v>2022</v>
      </c>
      <c r="CC37" s="8">
        <f>X133/AVERAGE(X130:X136)</f>
        <v>1.0229087419896508</v>
      </c>
      <c r="CD37" s="8">
        <f>X134/AVERAGE(X131:X137)</f>
        <v>0.93828037238369466</v>
      </c>
      <c r="CE37" s="8">
        <f>X135/AVERAGE(X132:X138)</f>
        <v>1.0069541301972835</v>
      </c>
      <c r="CF37" s="8">
        <f>X136/AVERAGE(X133:X139)</f>
        <v>1.0533465252745602</v>
      </c>
      <c r="CG37">
        <v>1</v>
      </c>
      <c r="CJ37">
        <v>2022</v>
      </c>
      <c r="CK37" s="8">
        <f>Y133/AVERAGE(Y130:Y136)</f>
        <v>34.69921875</v>
      </c>
      <c r="CL37" s="8">
        <f>Y134/AVERAGE(Y131:Y137)</f>
        <v>0.70280531533431756</v>
      </c>
      <c r="CM37" s="8">
        <f>Y135/AVERAGE(Y132:Y138)</f>
        <v>-6.4061726357484732</v>
      </c>
      <c r="CN37" s="8">
        <f>Y136/AVERAGE(Y133:Y139)</f>
        <v>-11.069767441860465</v>
      </c>
      <c r="CO37">
        <v>1</v>
      </c>
      <c r="CR37">
        <v>2022</v>
      </c>
      <c r="CS37" s="8">
        <f>AA133/AVERAGE(AA130:AA136)</f>
        <v>0.90484389764886919</v>
      </c>
      <c r="CT37" s="8">
        <f>AA134/AVERAGE(AA131:AA137)</f>
        <v>1.0070838900864656</v>
      </c>
      <c r="CU37" s="8">
        <f>AA135/AVERAGE(AA132:AA138)</f>
        <v>1.092876086650808</v>
      </c>
      <c r="CV37" s="8">
        <f>AA136/AVERAGE(AA133:AA139)</f>
        <v>1.1467150859822826</v>
      </c>
      <c r="CW37">
        <v>1</v>
      </c>
      <c r="CZ37">
        <v>2022</v>
      </c>
      <c r="DA37" s="8">
        <f>AB133/AVERAGE(AB130:AB136)</f>
        <v>1.0302850792376346</v>
      </c>
      <c r="DB37" s="8">
        <f>AB134/AVERAGE(AB131:AB137)</f>
        <v>1.0555248351604372</v>
      </c>
      <c r="DC37" s="8">
        <f>AB135/AVERAGE(AB132:AB138)</f>
        <v>1.0494008403096446</v>
      </c>
      <c r="DD37" s="8">
        <f>AB136/AVERAGE(AB133:AB139)</f>
        <v>1.0448436021043828</v>
      </c>
      <c r="DE37">
        <v>1</v>
      </c>
      <c r="DH37">
        <v>2022</v>
      </c>
      <c r="DI37" s="8">
        <f>AC133/AVERAGE(AC130:AC136)</f>
        <v>0.99909372174216282</v>
      </c>
      <c r="DJ37" s="8">
        <f>AC134/AVERAGE(AC131:AC137)</f>
        <v>0.96744333606412547</v>
      </c>
      <c r="DK37" s="8">
        <f>AC135/AVERAGE(AC132:AC138)</f>
        <v>0.98506069839041588</v>
      </c>
      <c r="DL37" s="8">
        <f>AC136/AVERAGE(AC133:AC139)</f>
        <v>1.0464322657748586</v>
      </c>
      <c r="DM37">
        <v>1</v>
      </c>
      <c r="DP37">
        <v>2022</v>
      </c>
      <c r="DQ37" s="8">
        <f>AD133/AVERAGE(AD130:AD136)</f>
        <v>1.5130082701585112</v>
      </c>
      <c r="DR37" s="8">
        <f>AD134/AVERAGE(AD131:AD137)</f>
        <v>0.71201615311700617</v>
      </c>
      <c r="DS37" s="8">
        <f>AD135/AVERAGE(AD132:AD138)</f>
        <v>0.85556378252591492</v>
      </c>
      <c r="DT37" s="8">
        <f>AD136/AVERAGE(AD133:AD139)</f>
        <v>0.92145236289285359</v>
      </c>
      <c r="DU37">
        <v>1</v>
      </c>
      <c r="DX37">
        <v>2022</v>
      </c>
      <c r="DY37" s="8">
        <f>AE133/AVERAGE(AE130:AE136)</f>
        <v>0.73840763381541674</v>
      </c>
      <c r="DZ37" s="8">
        <f>AE134/AVERAGE(AE131:AE137)</f>
        <v>1.0547032747696521</v>
      </c>
      <c r="EA37" s="8">
        <f>AE135/AVERAGE(AE132:AE138)</f>
        <v>0.85527770689801819</v>
      </c>
      <c r="EB37" s="8">
        <f>AE136/AVERAGE(AE133:AE139)</f>
        <v>1.3280779979945811</v>
      </c>
      <c r="EC37">
        <v>1</v>
      </c>
      <c r="EF37">
        <v>2022</v>
      </c>
      <c r="EG37" s="8">
        <f>AF133/AVERAGE(AF130:AF136)</f>
        <v>1.2498003886771418</v>
      </c>
      <c r="EH37" s="8">
        <f>AF134/AVERAGE(AF131:AF137)</f>
        <v>0.88114899437661487</v>
      </c>
      <c r="EI37" s="8">
        <f>AF135/AVERAGE(AF132:AF138)</f>
        <v>0.94040383379112846</v>
      </c>
      <c r="EJ37" s="8">
        <f>AF136/AVERAGE(AF133:AF139)</f>
        <v>0.96899443204650093</v>
      </c>
      <c r="EK37">
        <v>1</v>
      </c>
      <c r="EN37">
        <v>2022</v>
      </c>
      <c r="EO37" s="8">
        <f>AG133/AVERAGE(AG130:AG136)</f>
        <v>1.0272466368627371</v>
      </c>
      <c r="EP37" s="8">
        <f>AG134/AVERAGE(AG131:AG137)</f>
        <v>1.009886242571433</v>
      </c>
      <c r="EQ37" s="8">
        <f>AG135/AVERAGE(AG132:AG138)</f>
        <v>1.0342808313855587</v>
      </c>
      <c r="ER37" s="8">
        <f>AG136/AVERAGE(AG133:AG139)</f>
        <v>1.0273349783772601</v>
      </c>
      <c r="ES37">
        <v>1</v>
      </c>
      <c r="EV37">
        <v>2022</v>
      </c>
      <c r="EW37" s="8">
        <f>AH133/AVERAGE(AH130:AH136)</f>
        <v>1.0641621695421914</v>
      </c>
      <c r="EX37" s="8">
        <f>AH134/AVERAGE(AH131:AH137)</f>
        <v>0.88779161900364156</v>
      </c>
      <c r="EY37" s="8">
        <f>AH135/AVERAGE(AH132:AH138)</f>
        <v>1.0176841222935729</v>
      </c>
      <c r="EZ37" s="8">
        <f>AH136/AVERAGE(AH133:AH139)</f>
        <v>1.0414849810523612</v>
      </c>
      <c r="FA37">
        <v>1</v>
      </c>
      <c r="FD37">
        <v>2022</v>
      </c>
      <c r="FE37" s="8">
        <f>AI133/AVERAGE(AI130:AI136)</f>
        <v>1.1003827513463666</v>
      </c>
      <c r="FF37" s="8">
        <f>AI134/AVERAGE(AI131:AI137)</f>
        <v>0.94388539280225037</v>
      </c>
      <c r="FG37" s="8">
        <f>AI135/AVERAGE(AI132:AI138)</f>
        <v>0.96100871265491561</v>
      </c>
      <c r="FH37" s="8">
        <f>AI136/AVERAGE(AI133:AI139)</f>
        <v>0.9649052384092669</v>
      </c>
      <c r="FI37">
        <v>1</v>
      </c>
    </row>
    <row r="38" spans="1:165" x14ac:dyDescent="0.35">
      <c r="A38" t="s">
        <v>203</v>
      </c>
      <c r="B38" t="str">
        <f t="shared" si="16"/>
        <v>1998</v>
      </c>
      <c r="C38" t="str">
        <f t="shared" si="17"/>
        <v>Q2</v>
      </c>
      <c r="D38" s="13">
        <f>HAVERQ!AL44</f>
        <v>159647</v>
      </c>
      <c r="E38" s="13">
        <f>HAVERQ!AM44</f>
        <v>3951</v>
      </c>
      <c r="F38" s="13">
        <f>HAVERQ!AN44</f>
        <v>39359</v>
      </c>
      <c r="G38" s="13">
        <f>HAVERQ!AO44</f>
        <v>44776</v>
      </c>
      <c r="H38" s="13">
        <f>HAVERQ!AP44</f>
        <v>2495</v>
      </c>
      <c r="I38" s="13">
        <f>HAVERQ!AQ44</f>
        <v>391</v>
      </c>
      <c r="J38" s="13">
        <f>HAVERQ!AR44</f>
        <v>61016</v>
      </c>
      <c r="K38" s="13">
        <f>HAVERQ!AS44</f>
        <v>62401</v>
      </c>
      <c r="L38" s="13">
        <f>HAVERQ!U44</f>
        <v>42503</v>
      </c>
      <c r="M38" s="13">
        <f>HAVERQ!V44</f>
        <v>7895</v>
      </c>
      <c r="N38" s="13">
        <f>HAVERQ!Y44</f>
        <v>3991</v>
      </c>
      <c r="O38" s="13">
        <f>HAVERQ!Z44</f>
        <v>10328</v>
      </c>
      <c r="P38" s="13">
        <f>HAVERQ!AA44</f>
        <v>20520</v>
      </c>
      <c r="Q38" s="13">
        <f>HAVERQ!AB44</f>
        <v>27940</v>
      </c>
      <c r="R38" s="13">
        <f>HAVERQ!AC44</f>
        <v>13986</v>
      </c>
      <c r="U38" s="13">
        <f>HAVERQ!AU44</f>
        <v>158388</v>
      </c>
      <c r="V38" s="13">
        <f>HAVERQ!AV44</f>
        <v>3951</v>
      </c>
      <c r="W38" s="13">
        <f>HAVERQ!AW44</f>
        <v>39814</v>
      </c>
      <c r="X38" s="13">
        <f>HAVERQ!AX44</f>
        <v>43089</v>
      </c>
      <c r="Y38" s="13">
        <f>HAVERQ!AY44</f>
        <v>2528</v>
      </c>
      <c r="Z38" s="13">
        <f>HAVERQ!AZ44</f>
        <v>433</v>
      </c>
      <c r="AA38" s="13">
        <f>HAVERQ!BA44</f>
        <v>60874</v>
      </c>
      <c r="AB38" s="13">
        <f>HAVERQ!BB44</f>
        <v>62814</v>
      </c>
      <c r="AC38" s="13">
        <f>HAVERQ!W44</f>
        <v>40997</v>
      </c>
      <c r="AD38" s="13">
        <f>HAVERQ!X44</f>
        <v>5767</v>
      </c>
      <c r="AE38" s="13">
        <f>HAVERQ!AD44</f>
        <v>4333</v>
      </c>
      <c r="AF38" s="13">
        <f>HAVERQ!AE44</f>
        <v>9514</v>
      </c>
      <c r="AG38" s="13">
        <f>HAVERQ!AF44</f>
        <v>20297</v>
      </c>
      <c r="AH38" s="13">
        <f>HAVERQ!AG44</f>
        <v>24549</v>
      </c>
      <c r="AI38" s="13">
        <f>HAVERQ!AH44</f>
        <v>13933</v>
      </c>
      <c r="AL38">
        <v>2023</v>
      </c>
      <c r="AM38" s="15">
        <f t="shared" ca="1" si="22"/>
        <v>1.0314382865531562</v>
      </c>
      <c r="AN38" s="15">
        <f t="shared" ca="1" si="23"/>
        <v>1</v>
      </c>
      <c r="AO38" s="15">
        <f t="shared" ca="1" si="24"/>
        <v>0.99149510235204408</v>
      </c>
      <c r="AP38" s="15">
        <f t="shared" ca="1" si="24"/>
        <v>0.96844530201096091</v>
      </c>
      <c r="AQ38" s="15">
        <f t="shared" ca="1" si="24"/>
        <v>7.7828282828282829</v>
      </c>
      <c r="AR38" s="15">
        <f t="shared" ca="1" si="24"/>
        <v>0.96827720839433873</v>
      </c>
      <c r="AS38" s="15">
        <f t="shared" ca="1" si="24"/>
        <v>1.0283487433730798</v>
      </c>
      <c r="AT38" s="15">
        <f t="shared" ca="1" si="24"/>
        <v>1.0196371228839878</v>
      </c>
      <c r="AU38" s="15">
        <f t="shared" ca="1" si="24"/>
        <v>1.032857870606215</v>
      </c>
      <c r="AV38" s="15">
        <f t="shared" ca="1" si="24"/>
        <v>0.71809535846314254</v>
      </c>
      <c r="AW38" s="15">
        <f t="shared" ca="1" si="24"/>
        <v>1.0074792243767312</v>
      </c>
      <c r="AX38" s="15">
        <f t="shared" ca="1" si="24"/>
        <v>0.92838826984941025</v>
      </c>
      <c r="AY38" s="15">
        <f t="shared" ca="1" si="24"/>
        <v>1.0170387145476114</v>
      </c>
      <c r="AZ38" s="15">
        <f t="shared" ca="1" si="24"/>
        <v>0.94695530790178262</v>
      </c>
      <c r="BA38" s="15">
        <f t="shared" ca="1" si="24"/>
        <v>0.95524486870926739</v>
      </c>
      <c r="BD38">
        <v>2023</v>
      </c>
      <c r="BE38" s="8">
        <f>U137/AVERAGE(U134:U140)</f>
        <v>0.97924755492210158</v>
      </c>
      <c r="BF38" s="8">
        <f>U138/AVERAGE(U135:U141)</f>
        <v>1.011469311193069</v>
      </c>
      <c r="BG38" s="8">
        <f>U139/AVERAGE(U136:U142)</f>
        <v>1.0054236887919061</v>
      </c>
      <c r="BH38" s="8">
        <f>U140/AVERAGE(U137:U143)</f>
        <v>1.0173402224810479</v>
      </c>
      <c r="BI38">
        <v>1</v>
      </c>
      <c r="BL38">
        <v>2023</v>
      </c>
      <c r="BM38" s="8">
        <f>V137/AVERAGE(V134:V140)</f>
        <v>1.0044839857651247</v>
      </c>
      <c r="BN38" s="8">
        <f>V138/AVERAGE(V135:V141)</f>
        <v>1.0070063046573112</v>
      </c>
      <c r="BO38" s="8">
        <f>V139/AVERAGE(V136:V142)</f>
        <v>1.0075671393166212</v>
      </c>
      <c r="BP38" s="8">
        <f>V140/AVERAGE(V137:V143)</f>
        <v>1.0065150870366992</v>
      </c>
      <c r="BQ38">
        <v>1</v>
      </c>
      <c r="BT38">
        <v>2023</v>
      </c>
      <c r="BU38" s="8">
        <f>W137/AVERAGE(W134:W140)</f>
        <v>0.99179343557950816</v>
      </c>
      <c r="BV38" s="8">
        <f>W138/AVERAGE(W135:W141)</f>
        <v>1.0150609810180462</v>
      </c>
      <c r="BW38" s="8">
        <f>W139/AVERAGE(W136:W142)</f>
        <v>1.0047445507807216</v>
      </c>
      <c r="BX38" s="8">
        <f>W140/AVERAGE(W137:W143)</f>
        <v>1.0034988186191145</v>
      </c>
      <c r="BY38">
        <v>1</v>
      </c>
      <c r="CB38">
        <v>2023</v>
      </c>
      <c r="CC38" s="8">
        <f>X137/AVERAGE(X134:X140)</f>
        <v>1.0706722385433523</v>
      </c>
      <c r="CD38" s="8">
        <f>X138/AVERAGE(X135:X141)</f>
        <v>0.9449976317954919</v>
      </c>
      <c r="CE38" s="8">
        <f>X139/AVERAGE(X136:X142)</f>
        <v>0.97264610442535204</v>
      </c>
      <c r="CF38" s="8">
        <f>X140/AVERAGE(X137:X143)</f>
        <v>1.0043959454429641</v>
      </c>
      <c r="CG38">
        <v>1</v>
      </c>
      <c r="CJ38">
        <v>2023</v>
      </c>
      <c r="CK38" s="8">
        <f>Y137/AVERAGE(Y134:Y140)</f>
        <v>0.18814905314599878</v>
      </c>
      <c r="CL38" s="8">
        <f>Y138/AVERAGE(Y135:Y141)</f>
        <v>1.1168476075593086</v>
      </c>
      <c r="CM38" s="8">
        <f>Y139/AVERAGE(Y136:Y142)</f>
        <v>-5.4942199976164936</v>
      </c>
      <c r="CN38" s="8">
        <f>Y140/AVERAGE(Y137:Y143)</f>
        <v>-1.9034059184812955</v>
      </c>
      <c r="CO38">
        <v>1</v>
      </c>
      <c r="CR38">
        <v>2023</v>
      </c>
      <c r="CS38" s="8">
        <f>AA137/AVERAGE(AA134:AA140)</f>
        <v>0.98197952374364961</v>
      </c>
      <c r="CT38" s="8">
        <f>AA138/AVERAGE(AA135:AA141)</f>
        <v>0.97503672002021735</v>
      </c>
      <c r="CU38" s="8">
        <f>AA139/AVERAGE(AA136:AA142)</f>
        <v>0.96102050077837731</v>
      </c>
      <c r="CV38" s="8">
        <f>AA140/AVERAGE(AA137:AA143)</f>
        <v>1.0094677782068464</v>
      </c>
      <c r="CW38">
        <v>1</v>
      </c>
      <c r="CZ38">
        <v>2023</v>
      </c>
      <c r="DA38" s="8">
        <f>AB137/AVERAGE(AB134:AB140)</f>
        <v>0.98897900353612866</v>
      </c>
      <c r="DB38" s="8">
        <f>AB138/AVERAGE(AB135:AB141)</f>
        <v>1.0051884211139968</v>
      </c>
      <c r="DC38" s="8">
        <f>AB139/AVERAGE(AB136:AB142)</f>
        <v>0.99438905239553921</v>
      </c>
      <c r="DD38" s="8">
        <f>AB140/AVERAGE(AB137:AB143)</f>
        <v>1.0001804331275221</v>
      </c>
      <c r="DE38">
        <v>1</v>
      </c>
      <c r="DH38">
        <v>2023</v>
      </c>
      <c r="DI38" s="8">
        <f>AC137/AVERAGE(AC134:AC140)</f>
        <v>0.98069442957570574</v>
      </c>
      <c r="DJ38" s="8">
        <f>AC138/AVERAGE(AC135:AC141)</f>
        <v>0.99399870359388209</v>
      </c>
      <c r="DK38" s="8">
        <f>AC139/AVERAGE(AC136:AC142)</f>
        <v>0.97075374820291638</v>
      </c>
      <c r="DL38" s="8">
        <f>AC140/AVERAGE(AC137:AC143)</f>
        <v>1.0540135415443623</v>
      </c>
      <c r="DM38">
        <v>1</v>
      </c>
      <c r="DP38">
        <v>2023</v>
      </c>
      <c r="DQ38" s="8">
        <f>AD137/AVERAGE(AD134:AD140)</f>
        <v>1.5563696907535161</v>
      </c>
      <c r="DR38" s="8">
        <f>AD138/AVERAGE(AD135:AD141)</f>
        <v>0.71786745146867392</v>
      </c>
      <c r="DS38" s="8">
        <f>AD139/AVERAGE(AD136:AD142)</f>
        <v>0.86070256011234891</v>
      </c>
      <c r="DT38" s="8">
        <f>AD140/AVERAGE(AD137:AD143)</f>
        <v>0.91916295950901683</v>
      </c>
      <c r="DU38">
        <v>1</v>
      </c>
      <c r="DX38">
        <v>2023</v>
      </c>
      <c r="DY38" s="8">
        <f>AE137/AVERAGE(AE134:AE140)</f>
        <v>0.97357065803667742</v>
      </c>
      <c r="DZ38" s="8">
        <f>AE138/AVERAGE(AE135:AE141)</f>
        <v>1.0450335173125036</v>
      </c>
      <c r="EA38" s="8">
        <f>AE139/AVERAGE(AE136:AE142)</f>
        <v>0.81778067129629628</v>
      </c>
      <c r="EB38" s="8">
        <f>AE140/AVERAGE(AE137:AE143)</f>
        <v>1.2224291330436583</v>
      </c>
      <c r="EC38">
        <v>1</v>
      </c>
      <c r="EF38">
        <v>2023</v>
      </c>
      <c r="EG38" s="8">
        <f>AF137/AVERAGE(AF134:AF140)</f>
        <v>1.1427799427631979</v>
      </c>
      <c r="EH38" s="8">
        <f>AF138/AVERAGE(AF135:AF141)</f>
        <v>0.89908780354059681</v>
      </c>
      <c r="EI38" s="8">
        <f>AF139/AVERAGE(AF136:AF142)</f>
        <v>0.94057552017016932</v>
      </c>
      <c r="EJ38" s="8">
        <f>AF140/AVERAGE(AF137:AF143)</f>
        <v>1.0612489871860276</v>
      </c>
      <c r="EK38">
        <v>1</v>
      </c>
      <c r="EN38">
        <v>2023</v>
      </c>
      <c r="EO38" s="8">
        <f>AG137/AVERAGE(AG134:AG140)</f>
        <v>0.99080594281062373</v>
      </c>
      <c r="EP38" s="8">
        <f>AG138/AVERAGE(AG135:AG141)</f>
        <v>0.98699766624778806</v>
      </c>
      <c r="EQ38" s="8">
        <f>AG139/AVERAGE(AG136:AG142)</f>
        <v>0.98099762470308782</v>
      </c>
      <c r="ER38" s="8">
        <f>AG140/AVERAGE(AG137:AG143)</f>
        <v>0.99667598160779736</v>
      </c>
      <c r="ES38">
        <v>1</v>
      </c>
      <c r="EV38">
        <v>2023</v>
      </c>
      <c r="EW38" s="8">
        <f>AH137/AVERAGE(AH134:AH140)</f>
        <v>1.0953777510402567</v>
      </c>
      <c r="EX38" s="8">
        <f>AH138/AVERAGE(AH135:AH141)</f>
        <v>0.85981491877296723</v>
      </c>
      <c r="EY38" s="8">
        <f>AH139/AVERAGE(AH136:AH142)</f>
        <v>0.96402123746399704</v>
      </c>
      <c r="EZ38" s="8">
        <f>AH140/AVERAGE(AH137:AH143)</f>
        <v>1.0039461217293524</v>
      </c>
      <c r="FA38">
        <v>1</v>
      </c>
      <c r="FD38">
        <v>2023</v>
      </c>
      <c r="FE38" s="8">
        <f>AI137/AVERAGE(AI134:AI140)</f>
        <v>1.069026468268226</v>
      </c>
      <c r="FF38" s="8">
        <f>AI138/AVERAGE(AI135:AI141)</f>
        <v>1.0024300891439737</v>
      </c>
      <c r="FG38" s="8">
        <f>AI139/AVERAGE(AI136:AI142)</f>
        <v>0.9920086751394942</v>
      </c>
      <c r="FH38" s="8">
        <f>AI140/AVERAGE(AI137:AI143)</f>
        <v>0.99314562436254705</v>
      </c>
      <c r="FI38">
        <v>1</v>
      </c>
    </row>
    <row r="39" spans="1:165" x14ac:dyDescent="0.35">
      <c r="A39" t="s">
        <v>204</v>
      </c>
      <c r="B39" t="str">
        <f t="shared" si="16"/>
        <v>1998</v>
      </c>
      <c r="C39" t="str">
        <f t="shared" si="17"/>
        <v>Q3</v>
      </c>
      <c r="D39" s="13">
        <f>HAVERQ!AL45</f>
        <v>163345</v>
      </c>
      <c r="E39" s="13">
        <f>HAVERQ!AM45</f>
        <v>3985</v>
      </c>
      <c r="F39" s="13">
        <f>HAVERQ!AN45</f>
        <v>40204</v>
      </c>
      <c r="G39" s="13">
        <f>HAVERQ!AO45</f>
        <v>44339</v>
      </c>
      <c r="H39" s="13">
        <f>HAVERQ!AP45</f>
        <v>1047</v>
      </c>
      <c r="I39" s="13">
        <f>HAVERQ!AQ45</f>
        <v>502</v>
      </c>
      <c r="J39" s="13">
        <f>HAVERQ!AR45</f>
        <v>60327</v>
      </c>
      <c r="K39" s="13">
        <f>HAVERQ!AS45</f>
        <v>62257</v>
      </c>
      <c r="L39" s="13">
        <f>HAVERQ!U45</f>
        <v>41933</v>
      </c>
      <c r="M39" s="13">
        <f>HAVERQ!V45</f>
        <v>7804</v>
      </c>
      <c r="N39" s="13">
        <f>HAVERQ!Y45</f>
        <v>3911</v>
      </c>
      <c r="O39" s="13">
        <f>HAVERQ!Z45</f>
        <v>10188</v>
      </c>
      <c r="P39" s="13">
        <f>HAVERQ!AA45</f>
        <v>20052</v>
      </c>
      <c r="Q39" s="13">
        <f>HAVERQ!AB45</f>
        <v>27676</v>
      </c>
      <c r="R39" s="13">
        <f>HAVERQ!AC45</f>
        <v>14039</v>
      </c>
      <c r="U39" s="13">
        <f>HAVERQ!AU45</f>
        <v>165192</v>
      </c>
      <c r="V39" s="13">
        <f>HAVERQ!AV45</f>
        <v>3985</v>
      </c>
      <c r="W39" s="13">
        <f>HAVERQ!AW45</f>
        <v>40187</v>
      </c>
      <c r="X39" s="13">
        <f>HAVERQ!AX45</f>
        <v>43684</v>
      </c>
      <c r="Y39" s="13">
        <f>HAVERQ!AY45</f>
        <v>966</v>
      </c>
      <c r="Z39" s="13">
        <f>HAVERQ!AZ45</f>
        <v>485</v>
      </c>
      <c r="AA39" s="13">
        <f>HAVERQ!BA45</f>
        <v>61009</v>
      </c>
      <c r="AB39" s="13">
        <f>HAVERQ!BB45</f>
        <v>64079</v>
      </c>
      <c r="AC39" s="13">
        <f>HAVERQ!W45</f>
        <v>41014</v>
      </c>
      <c r="AD39" s="13">
        <f>HAVERQ!X45</f>
        <v>7026</v>
      </c>
      <c r="AE39" s="13">
        <f>HAVERQ!AD45</f>
        <v>3844</v>
      </c>
      <c r="AF39" s="13">
        <f>HAVERQ!AE45</f>
        <v>9605</v>
      </c>
      <c r="AG39" s="13">
        <f>HAVERQ!AF45</f>
        <v>20250</v>
      </c>
      <c r="AH39" s="13">
        <f>HAVERQ!AG45</f>
        <v>27103</v>
      </c>
      <c r="AI39" s="13">
        <f>HAVERQ!AH45</f>
        <v>13946</v>
      </c>
      <c r="AL39">
        <v>2024</v>
      </c>
      <c r="AM39" s="15">
        <f t="shared" ca="1" si="22"/>
        <v>1.037102246630548</v>
      </c>
      <c r="AN39" s="15">
        <f t="shared" ca="1" si="23"/>
        <v>1</v>
      </c>
      <c r="AO39" s="15">
        <f t="shared" ca="1" si="24"/>
        <v>0.99081070458041653</v>
      </c>
      <c r="AP39" s="15">
        <f t="shared" ca="1" si="24"/>
        <v>0.94608733091744102</v>
      </c>
      <c r="AQ39" s="15">
        <f t="shared" ca="1" si="24"/>
        <v>0.33384615384615385</v>
      </c>
      <c r="AR39" s="15">
        <f t="shared" ca="1" si="24"/>
        <v>0.91351351351351351</v>
      </c>
      <c r="AS39" s="15">
        <f t="shared" ca="1" si="24"/>
        <v>1.0252730505461012</v>
      </c>
      <c r="AT39" s="15">
        <f t="shared" ca="1" si="24"/>
        <v>1.0362933678940056</v>
      </c>
      <c r="AU39" s="15">
        <f t="shared" ca="1" si="24"/>
        <v>1.0138107345810234</v>
      </c>
      <c r="AV39" s="15">
        <f t="shared" ca="1" si="24"/>
        <v>0.72354832725248908</v>
      </c>
      <c r="AW39" s="15">
        <f t="shared" ca="1" si="24"/>
        <v>1.0829851606396772</v>
      </c>
      <c r="AX39" s="15">
        <f t="shared" ca="1" si="24"/>
        <v>0.90590705219963741</v>
      </c>
      <c r="AY39" s="15">
        <f t="shared" ca="1" si="24"/>
        <v>1.0201496407141271</v>
      </c>
      <c r="AZ39" s="15">
        <f t="shared" ca="1" si="24"/>
        <v>0.90985302812737567</v>
      </c>
      <c r="BA39" s="15">
        <f t="shared" ca="1" si="24"/>
        <v>0.95684470190415483</v>
      </c>
      <c r="BD39">
        <v>2024</v>
      </c>
      <c r="BE39" s="8">
        <f>U141/AVERAGE(U138:U144)</f>
        <v>0.95965255624988788</v>
      </c>
      <c r="BF39" s="8">
        <f>U142/AVERAGE(U139:U145)</f>
        <v>0.9951508735280703</v>
      </c>
      <c r="BG39" s="8">
        <f>U143/AVERAGE(U140:U146)</f>
        <v>1.0143013487981334</v>
      </c>
      <c r="BH39" s="8">
        <f>U144/AVERAGE(U141:U147)</f>
        <v>1.0224204329670787</v>
      </c>
      <c r="BI39">
        <v>1</v>
      </c>
      <c r="BL39">
        <v>2024</v>
      </c>
      <c r="BM39" s="8">
        <f>V141/AVERAGE(V138:V144)</f>
        <v>0.97019237544922843</v>
      </c>
      <c r="BN39" s="8">
        <f>V142/AVERAGE(V139:V145)</f>
        <v>0.97869470065654696</v>
      </c>
      <c r="BO39" s="8">
        <f>V143/AVERAGE(V140:V146)</f>
        <v>0.99333749739745991</v>
      </c>
      <c r="BP39" s="8">
        <f>V144/AVERAGE(V141:V147)</f>
        <v>1.0142576590730557</v>
      </c>
      <c r="BQ39">
        <v>1</v>
      </c>
      <c r="BT39">
        <v>2024</v>
      </c>
      <c r="BU39" s="8">
        <f>W141/AVERAGE(W138:W144)</f>
        <v>0.99763181709746929</v>
      </c>
      <c r="BV39" s="8">
        <f>W142/AVERAGE(W139:W145)</f>
        <v>0.99148518202978808</v>
      </c>
      <c r="BW39" s="8">
        <f>W143/AVERAGE(W140:W146)</f>
        <v>0.98897205686856182</v>
      </c>
      <c r="BX39" s="8">
        <f>W144/AVERAGE(W141:W147)</f>
        <v>1.0112898977563871</v>
      </c>
      <c r="BY39">
        <v>1</v>
      </c>
      <c r="CB39">
        <v>2024</v>
      </c>
      <c r="CC39" s="8">
        <f>X141/AVERAGE(X138:X144)</f>
        <v>1.0561997877823253</v>
      </c>
      <c r="CD39" s="8">
        <f>X142/AVERAGE(X139:X145)</f>
        <v>0.94827595289040878</v>
      </c>
      <c r="CE39" s="8">
        <f>X143/AVERAGE(X140:X146)</f>
        <v>0.9766533345735281</v>
      </c>
      <c r="CF39" s="8">
        <f>X144/AVERAGE(X141:X147)</f>
        <v>1.0024127112933727</v>
      </c>
      <c r="CG39">
        <v>1</v>
      </c>
      <c r="CJ39">
        <v>2024</v>
      </c>
      <c r="CK39" s="8">
        <f>Y141/AVERAGE(Y138:Y144)</f>
        <v>2.3675720678530543</v>
      </c>
      <c r="CL39" s="8">
        <f>Y142/AVERAGE(Y139:Y145)</f>
        <v>-0.61570465865807211</v>
      </c>
      <c r="CM39" s="8">
        <f>Y143/AVERAGE(Y140:Y146)</f>
        <v>8.434775816278707</v>
      </c>
      <c r="CN39" s="8">
        <f>Y144/AVERAGE(Y141:Y147)</f>
        <v>-0.74629668266221572</v>
      </c>
      <c r="CO39">
        <v>1</v>
      </c>
      <c r="CR39">
        <v>2024</v>
      </c>
      <c r="CS39" s="8">
        <f>AA141/AVERAGE(AA138:AA144)</f>
        <v>0.95692141300594591</v>
      </c>
      <c r="CT39" s="8">
        <f>AA142/AVERAGE(AA139:AA145)</f>
        <v>1.005033879171541</v>
      </c>
      <c r="CU39" s="8">
        <f>AA143/AVERAGE(AA140:AA146)</f>
        <v>1.0021387930733567</v>
      </c>
      <c r="CV39" s="8">
        <f>AA144/AVERAGE(AA141:AA147)</f>
        <v>1.0389066476212929</v>
      </c>
      <c r="CW39">
        <v>1</v>
      </c>
      <c r="CZ39">
        <v>2024</v>
      </c>
      <c r="DA39" s="8">
        <f>AB141/AVERAGE(AB138:AB144)</f>
        <v>0.93704946064772199</v>
      </c>
      <c r="DB39" s="8">
        <f>AB142/AVERAGE(AB139:AB145)</f>
        <v>1.0277167385764781</v>
      </c>
      <c r="DC39" s="8">
        <f>AB143/AVERAGE(AB140:AB146)</f>
        <v>0.9920518987130853</v>
      </c>
      <c r="DD39" s="8">
        <f>AB144/AVERAGE(AB141:AB147)</f>
        <v>1.0205189446737013</v>
      </c>
      <c r="DE39">
        <v>1</v>
      </c>
      <c r="DH39">
        <v>2024</v>
      </c>
      <c r="DI39" s="8">
        <f>AC141/AVERAGE(AC138:AC144)</f>
        <v>0.97221209121381058</v>
      </c>
      <c r="DJ39" s="8">
        <f>AC142/AVERAGE(AC139:AC145)</f>
        <v>0.99272386990814132</v>
      </c>
      <c r="DK39" s="8">
        <f>AC143/AVERAGE(AC140:AC146)</f>
        <v>0.98167835630626288</v>
      </c>
      <c r="DL39" s="8">
        <f>AC144/AVERAGE(AC141:AC147)</f>
        <v>1.0279307587268298</v>
      </c>
      <c r="DM39">
        <v>1</v>
      </c>
      <c r="DP39">
        <v>2024</v>
      </c>
      <c r="DQ39" s="8">
        <f>AD141/AVERAGE(AD138:AD144)</f>
        <v>1.524446329852063</v>
      </c>
      <c r="DR39" s="8">
        <f>AD142/AVERAGE(AD139:AD145)</f>
        <v>0.74284504657070283</v>
      </c>
      <c r="DS39" s="8">
        <f>AD143/AVERAGE(AD140:AD146)</f>
        <v>0.87489372555687805</v>
      </c>
      <c r="DT39" s="8">
        <f>AD144/AVERAGE(AD141:AD147)</f>
        <v>0.91478968461828947</v>
      </c>
      <c r="DU39">
        <v>1</v>
      </c>
      <c r="DX39">
        <v>2024</v>
      </c>
      <c r="DY39" s="8">
        <f>AE141/AVERAGE(AE138:AE144)</f>
        <v>0.88800146212190445</v>
      </c>
      <c r="DZ39" s="8">
        <f>AE142/AVERAGE(AE139:AE145)</f>
        <v>1.1340512093162138</v>
      </c>
      <c r="EA39" s="8">
        <f>AE143/AVERAGE(AE140:AE146)</f>
        <v>0.88117539710619919</v>
      </c>
      <c r="EB39" s="8">
        <f>AE144/AVERAGE(AE141:AE147)</f>
        <v>1.2318988865482998</v>
      </c>
      <c r="EC39">
        <v>1</v>
      </c>
      <c r="EF39">
        <v>2024</v>
      </c>
      <c r="EG39" s="8">
        <f>AF141/AVERAGE(AF138:AF144)</f>
        <v>1.1181859756097563</v>
      </c>
      <c r="EH39" s="8">
        <f>AF142/AVERAGE(AF139:AF145)</f>
        <v>0.87006722430338179</v>
      </c>
      <c r="EI39" s="8">
        <f>AF143/AVERAGE(AF140:AF146)</f>
        <v>0.94954597257453777</v>
      </c>
      <c r="EJ39" s="8">
        <f>AF144/AVERAGE(AF141:AF147)</f>
        <v>0.99696126905644833</v>
      </c>
      <c r="EK39">
        <v>1</v>
      </c>
      <c r="EN39">
        <v>2024</v>
      </c>
      <c r="EO39" s="8">
        <f>AG141/AVERAGE(AG138:AG144)</f>
        <v>0.99288641378585685</v>
      </c>
      <c r="EP39" s="8">
        <f>AG142/AVERAGE(AG139:AG145)</f>
        <v>1.0061560698215426</v>
      </c>
      <c r="EQ39" s="8">
        <f>AG143/AVERAGE(AG140:AG146)</f>
        <v>0.99219861507042773</v>
      </c>
      <c r="ER39" s="8">
        <f>AG144/AVERAGE(AG141:AG147)</f>
        <v>1.0015128435198131</v>
      </c>
      <c r="ES39">
        <v>1</v>
      </c>
      <c r="EV39">
        <v>2024</v>
      </c>
      <c r="EW39" s="8">
        <f>AH141/AVERAGE(AH138:AH144)</f>
        <v>1.1510378688444898</v>
      </c>
      <c r="EX39" s="8">
        <f>AH142/AVERAGE(AH139:AH145)</f>
        <v>0.89503455285894384</v>
      </c>
      <c r="EY39" s="8">
        <f>AH143/AVERAGE(AH140:AH146)</f>
        <v>0.95312479571157749</v>
      </c>
      <c r="EZ39" s="8">
        <f>AH144/AVERAGE(AH141:AH147)</f>
        <v>0.98205509716398398</v>
      </c>
      <c r="FA39">
        <v>1</v>
      </c>
      <c r="FD39">
        <v>2024</v>
      </c>
      <c r="FE39" s="8">
        <f>AI141/AVERAGE(AI138:AI144)</f>
        <v>1.0185601187331368</v>
      </c>
      <c r="FF39" s="8">
        <f>AI142/AVERAGE(AI139:AI145)</f>
        <v>0.97387275677701546</v>
      </c>
      <c r="FG39" s="8">
        <f>AI143/AVERAGE(AI140:AI146)</f>
        <v>0.98876279483756124</v>
      </c>
      <c r="FH39" s="8">
        <f>AI144/AVERAGE(AI141:AI147)</f>
        <v>0.99508091537748622</v>
      </c>
      <c r="FI39">
        <v>1</v>
      </c>
    </row>
    <row r="40" spans="1:165" x14ac:dyDescent="0.35">
      <c r="A40" t="s">
        <v>205</v>
      </c>
      <c r="B40" t="str">
        <f t="shared" si="16"/>
        <v>1998</v>
      </c>
      <c r="C40" t="str">
        <f t="shared" si="17"/>
        <v>Q4</v>
      </c>
      <c r="D40" s="13">
        <f>HAVERQ!AL46</f>
        <v>163595</v>
      </c>
      <c r="E40" s="13">
        <f>HAVERQ!AM46</f>
        <v>4015</v>
      </c>
      <c r="F40" s="13">
        <f>HAVERQ!AN46</f>
        <v>40579</v>
      </c>
      <c r="G40" s="13">
        <f>HAVERQ!AO46</f>
        <v>46163</v>
      </c>
      <c r="H40" s="13">
        <f>HAVERQ!AP46</f>
        <v>1475</v>
      </c>
      <c r="I40" s="13">
        <f>HAVERQ!AQ46</f>
        <v>458</v>
      </c>
      <c r="J40" s="13">
        <f>HAVERQ!AR46</f>
        <v>61107</v>
      </c>
      <c r="K40" s="13">
        <f>HAVERQ!AS46</f>
        <v>62489</v>
      </c>
      <c r="L40" s="13">
        <f>HAVERQ!U46</f>
        <v>42520</v>
      </c>
      <c r="M40" s="13">
        <f>HAVERQ!V46</f>
        <v>8151</v>
      </c>
      <c r="N40" s="13">
        <f>HAVERQ!Y46</f>
        <v>4386</v>
      </c>
      <c r="O40" s="13">
        <f>HAVERQ!Z46</f>
        <v>10518</v>
      </c>
      <c r="P40" s="13">
        <f>HAVERQ!AA46</f>
        <v>20264</v>
      </c>
      <c r="Q40" s="13">
        <f>HAVERQ!AB46</f>
        <v>27687</v>
      </c>
      <c r="R40" s="13">
        <f>HAVERQ!AC46</f>
        <v>14037</v>
      </c>
      <c r="U40" s="13">
        <f>HAVERQ!AU46</f>
        <v>167496</v>
      </c>
      <c r="V40" s="13">
        <f>HAVERQ!AV46</f>
        <v>4015</v>
      </c>
      <c r="W40" s="13">
        <f>HAVERQ!AW46</f>
        <v>40609</v>
      </c>
      <c r="X40" s="13">
        <f>HAVERQ!AX46</f>
        <v>46441</v>
      </c>
      <c r="Y40" s="13">
        <f>HAVERQ!AY46</f>
        <v>2101</v>
      </c>
      <c r="Z40" s="13">
        <f>HAVERQ!AZ46</f>
        <v>474</v>
      </c>
      <c r="AA40" s="13">
        <f>HAVERQ!BA46</f>
        <v>62017</v>
      </c>
      <c r="AB40" s="13">
        <f>HAVERQ!BB46</f>
        <v>62109</v>
      </c>
      <c r="AC40" s="13">
        <f>HAVERQ!W46</f>
        <v>44021</v>
      </c>
      <c r="AD40" s="13">
        <f>HAVERQ!X46</f>
        <v>7675</v>
      </c>
      <c r="AE40" s="13">
        <f>HAVERQ!AD46</f>
        <v>3806</v>
      </c>
      <c r="AF40" s="13">
        <f>HAVERQ!AE46</f>
        <v>11344</v>
      </c>
      <c r="AG40" s="13">
        <f>HAVERQ!AF46</f>
        <v>20004</v>
      </c>
      <c r="AH40" s="13">
        <f>HAVERQ!AG46</f>
        <v>28643</v>
      </c>
      <c r="AI40" s="13">
        <f>HAVERQ!AH46</f>
        <v>14079</v>
      </c>
      <c r="AL40">
        <v>2025</v>
      </c>
      <c r="AM40" s="15">
        <f t="shared" ca="1" si="22"/>
        <v>1.0376392909170025</v>
      </c>
      <c r="AN40" s="15">
        <f t="shared" ca="1" si="23"/>
        <v>1</v>
      </c>
      <c r="AO40" s="15">
        <f t="shared" ca="1" si="24"/>
        <v>0.99179381729416738</v>
      </c>
      <c r="AP40" s="15">
        <f t="shared" ca="1" si="24"/>
        <v>0.94829618516930991</v>
      </c>
      <c r="AQ40" s="15">
        <f t="shared" ca="1" si="24"/>
        <v>2.046783625730994E-2</v>
      </c>
      <c r="AR40" s="15">
        <f t="shared" ca="1" si="24"/>
        <v>1.042121098157202</v>
      </c>
      <c r="AS40" s="15">
        <f t="shared" ca="1" si="24"/>
        <v>1.0261052390817642</v>
      </c>
      <c r="AT40" s="15">
        <f t="shared" ca="1" si="24"/>
        <v>1.0350069937227073</v>
      </c>
      <c r="AU40" s="15">
        <f t="shared" ca="1" si="24"/>
        <v>1.0114205337325144</v>
      </c>
      <c r="AV40" s="15">
        <f t="shared" ca="1" si="24"/>
        <v>0.71408310449923051</v>
      </c>
      <c r="AW40" s="15">
        <f t="shared" ca="1" si="24"/>
        <v>1.1102303320370925</v>
      </c>
      <c r="AX40" s="15">
        <f t="shared" ca="1" si="24"/>
        <v>0.90262620885458256</v>
      </c>
      <c r="AY40" s="15">
        <f t="shared" ca="1" si="24"/>
        <v>1.0192746734533478</v>
      </c>
      <c r="AZ40" s="15">
        <f t="shared" ca="1" si="24"/>
        <v>0.90638255894248787</v>
      </c>
      <c r="BA40" s="15">
        <f t="shared" ca="1" si="24"/>
        <v>0.95728293157382827</v>
      </c>
      <c r="BD40">
        <v>2025</v>
      </c>
      <c r="BE40" s="8">
        <f>U145/AVERAGE(U142:U148)</f>
        <v>0.96352212558763617</v>
      </c>
      <c r="BF40" s="9"/>
      <c r="BG40" s="8"/>
      <c r="BI40">
        <v>1</v>
      </c>
      <c r="BL40">
        <v>2025</v>
      </c>
      <c r="BM40" s="8">
        <f>V145/AVERAGE(V142:V148)</f>
        <v>1.007175252149191</v>
      </c>
      <c r="BN40" s="9"/>
      <c r="BO40" s="8"/>
      <c r="BQ40">
        <v>1</v>
      </c>
      <c r="BT40">
        <v>2025</v>
      </c>
      <c r="BU40" s="8">
        <f>W145/AVERAGE(W142:W148)</f>
        <v>1.0069877467170929</v>
      </c>
      <c r="BV40" s="9"/>
      <c r="BW40" s="8"/>
      <c r="BY40">
        <v>1</v>
      </c>
      <c r="CB40">
        <v>2025</v>
      </c>
      <c r="CC40" s="8">
        <f>X145/AVERAGE(X142:X148)</f>
        <v>1.0725644246320059</v>
      </c>
      <c r="CD40" s="9"/>
      <c r="CE40" s="8"/>
      <c r="CG40">
        <v>1</v>
      </c>
      <c r="CJ40">
        <v>2025</v>
      </c>
      <c r="CK40" s="8">
        <f>Y145/AVERAGE(Y142:Y148)</f>
        <v>8.2658610271903328</v>
      </c>
      <c r="CL40" s="9"/>
      <c r="CM40" s="8"/>
      <c r="CO40">
        <v>1</v>
      </c>
      <c r="CR40">
        <v>2025</v>
      </c>
      <c r="CS40" s="8">
        <f>AA145/AVERAGE(AA142:AA148)</f>
        <v>0.98512205056336266</v>
      </c>
      <c r="CT40" s="9"/>
      <c r="CU40" s="8"/>
      <c r="CW40">
        <v>1</v>
      </c>
      <c r="CZ40">
        <v>2025</v>
      </c>
      <c r="DA40" s="8">
        <f>AB145/AVERAGE(AB142:AB148)</f>
        <v>0.98115833051403645</v>
      </c>
      <c r="DB40" s="9"/>
      <c r="DC40" s="8"/>
      <c r="DE40">
        <v>1</v>
      </c>
      <c r="DH40">
        <v>2025</v>
      </c>
      <c r="DI40" s="8">
        <f>AC145/AVERAGE(AC142:AC148)</f>
        <v>1.0091436927123931</v>
      </c>
      <c r="DJ40" s="9"/>
      <c r="DK40" s="8"/>
      <c r="DM40">
        <v>1</v>
      </c>
      <c r="DP40">
        <v>2025</v>
      </c>
      <c r="DQ40" s="8">
        <f>AD145/AVERAGE(AD142:AD148)</f>
        <v>1.4865680632633966</v>
      </c>
      <c r="DR40" s="9"/>
      <c r="DS40" s="8"/>
      <c r="DU40">
        <v>1</v>
      </c>
      <c r="DX40">
        <v>2025</v>
      </c>
      <c r="DY40" s="8">
        <f>AE145/AVERAGE(AE142:AE148)</f>
        <v>0.95578655012559477</v>
      </c>
      <c r="DZ40" s="9"/>
      <c r="EA40" s="8"/>
      <c r="EC40">
        <v>1</v>
      </c>
      <c r="EF40">
        <v>2025</v>
      </c>
      <c r="EG40" s="8">
        <f>AF145/AVERAGE(AF142:AF148)</f>
        <v>1.162403865986976</v>
      </c>
      <c r="EH40" s="9"/>
      <c r="EI40" s="8"/>
      <c r="EK40">
        <v>1</v>
      </c>
      <c r="EN40">
        <v>2025</v>
      </c>
      <c r="EO40" s="8">
        <f>AG145/AVERAGE(AG142:AG148)</f>
        <v>0.97170600429137721</v>
      </c>
      <c r="EP40" s="9"/>
      <c r="EQ40" s="8"/>
      <c r="ES40">
        <v>1</v>
      </c>
      <c r="EV40">
        <v>2025</v>
      </c>
      <c r="EW40" s="8">
        <f>AH145/AVERAGE(AH142:AH148)</f>
        <v>1.1422376325600263</v>
      </c>
      <c r="EX40" s="9"/>
      <c r="EY40" s="8"/>
      <c r="FA40">
        <v>1</v>
      </c>
      <c r="FD40">
        <v>2025</v>
      </c>
      <c r="FE40" s="8">
        <f>AI145/AVERAGE(AI142:AI148)</f>
        <v>1.0442054161732297</v>
      </c>
      <c r="FF40" s="9"/>
      <c r="FG40" s="8"/>
      <c r="FI40">
        <v>1</v>
      </c>
    </row>
    <row r="41" spans="1:165" x14ac:dyDescent="0.35">
      <c r="A41" t="s">
        <v>206</v>
      </c>
      <c r="B41" t="str">
        <f t="shared" si="16"/>
        <v>1999</v>
      </c>
      <c r="C41" t="str">
        <f t="shared" si="17"/>
        <v>Q1</v>
      </c>
      <c r="D41" s="13">
        <f>HAVERQ!AL47</f>
        <v>165881</v>
      </c>
      <c r="E41" s="13">
        <f>HAVERQ!AM47</f>
        <v>4035</v>
      </c>
      <c r="F41" s="13">
        <f>HAVERQ!AN47</f>
        <v>41798</v>
      </c>
      <c r="G41" s="13">
        <f>HAVERQ!AO47</f>
        <v>46564</v>
      </c>
      <c r="H41" s="13">
        <f>HAVERQ!AP47</f>
        <v>2462</v>
      </c>
      <c r="I41" s="13">
        <f>HAVERQ!AQ47</f>
        <v>457</v>
      </c>
      <c r="J41" s="13">
        <f>HAVERQ!AR47</f>
        <v>60130</v>
      </c>
      <c r="K41" s="13">
        <f>HAVERQ!AS47</f>
        <v>64212</v>
      </c>
      <c r="L41" s="13">
        <f>HAVERQ!U47</f>
        <v>43428</v>
      </c>
      <c r="M41" s="13">
        <f>HAVERQ!V47</f>
        <v>7429</v>
      </c>
      <c r="N41" s="13">
        <f>HAVERQ!Y47</f>
        <v>4471</v>
      </c>
      <c r="O41" s="13">
        <f>HAVERQ!Z47</f>
        <v>10547</v>
      </c>
      <c r="P41" s="13">
        <f>HAVERQ!AA47</f>
        <v>20149</v>
      </c>
      <c r="Q41" s="13">
        <f>HAVERQ!AB47</f>
        <v>27724</v>
      </c>
      <c r="R41" s="13">
        <f>HAVERQ!AC47</f>
        <v>13937</v>
      </c>
      <c r="U41" s="13">
        <f>HAVERQ!AU47</f>
        <v>161207</v>
      </c>
      <c r="V41" s="13">
        <f>HAVERQ!AV47</f>
        <v>4035</v>
      </c>
      <c r="W41" s="13">
        <f>HAVERQ!AW47</f>
        <v>41339</v>
      </c>
      <c r="X41" s="13">
        <f>HAVERQ!AX47</f>
        <v>48442</v>
      </c>
      <c r="Y41" s="13">
        <f>HAVERQ!AY47</f>
        <v>3503</v>
      </c>
      <c r="Z41" s="13">
        <f>HAVERQ!AZ47</f>
        <v>416</v>
      </c>
      <c r="AA41" s="13">
        <f>HAVERQ!BA47</f>
        <v>58708</v>
      </c>
      <c r="AB41" s="13">
        <f>HAVERQ!BB47</f>
        <v>62288</v>
      </c>
      <c r="AC41" s="13">
        <f>HAVERQ!W47</f>
        <v>42777</v>
      </c>
      <c r="AD41" s="13">
        <f>HAVERQ!X47</f>
        <v>10242</v>
      </c>
      <c r="AE41" s="13">
        <f>HAVERQ!AD47</f>
        <v>4695</v>
      </c>
      <c r="AF41" s="13">
        <f>HAVERQ!AE47</f>
        <v>11128</v>
      </c>
      <c r="AG41" s="13">
        <f>HAVERQ!AF47</f>
        <v>20446</v>
      </c>
      <c r="AH41" s="13">
        <f>HAVERQ!AG47</f>
        <v>28455</v>
      </c>
      <c r="AI41" s="13">
        <f>HAVERQ!AH47</f>
        <v>14015</v>
      </c>
    </row>
    <row r="42" spans="1:165" x14ac:dyDescent="0.35">
      <c r="A42" t="s">
        <v>207</v>
      </c>
      <c r="B42" t="str">
        <f t="shared" si="16"/>
        <v>1999</v>
      </c>
      <c r="C42" t="str">
        <f t="shared" si="17"/>
        <v>Q2</v>
      </c>
      <c r="D42" s="13">
        <f>HAVERQ!AL48</f>
        <v>168797</v>
      </c>
      <c r="E42" s="13">
        <f>HAVERQ!AM48</f>
        <v>4127</v>
      </c>
      <c r="F42" s="13">
        <f>HAVERQ!AN48</f>
        <v>42423</v>
      </c>
      <c r="G42" s="13">
        <f>HAVERQ!AO48</f>
        <v>46044</v>
      </c>
      <c r="H42" s="13">
        <f>HAVERQ!AP48</f>
        <v>-115</v>
      </c>
      <c r="I42" s="13">
        <f>HAVERQ!AQ48</f>
        <v>276</v>
      </c>
      <c r="J42" s="13">
        <f>HAVERQ!AR48</f>
        <v>61928</v>
      </c>
      <c r="K42" s="13">
        <f>HAVERQ!AS48</f>
        <v>64644</v>
      </c>
      <c r="L42" s="13">
        <f>HAVERQ!U48</f>
        <v>43043</v>
      </c>
      <c r="M42" s="13">
        <f>HAVERQ!V48</f>
        <v>7559</v>
      </c>
      <c r="N42" s="13">
        <f>HAVERQ!Y48</f>
        <v>3987</v>
      </c>
      <c r="O42" s="13">
        <f>HAVERQ!Z48</f>
        <v>10570</v>
      </c>
      <c r="P42" s="13">
        <f>HAVERQ!AA48</f>
        <v>21262</v>
      </c>
      <c r="Q42" s="13">
        <f>HAVERQ!AB48</f>
        <v>27772</v>
      </c>
      <c r="R42" s="13">
        <f>HAVERQ!AC48</f>
        <v>13892</v>
      </c>
      <c r="U42" s="13">
        <f>HAVERQ!AU48</f>
        <v>167296</v>
      </c>
      <c r="V42" s="13">
        <f>HAVERQ!AV48</f>
        <v>4127</v>
      </c>
      <c r="W42" s="13">
        <f>HAVERQ!AW48</f>
        <v>42899</v>
      </c>
      <c r="X42" s="13">
        <f>HAVERQ!AX48</f>
        <v>44391</v>
      </c>
      <c r="Y42" s="13">
        <f>HAVERQ!AY48</f>
        <v>-285</v>
      </c>
      <c r="Z42" s="13">
        <f>HAVERQ!AZ48</f>
        <v>317</v>
      </c>
      <c r="AA42" s="13">
        <f>HAVERQ!BA48</f>
        <v>61899</v>
      </c>
      <c r="AB42" s="13">
        <f>HAVERQ!BB48</f>
        <v>64925</v>
      </c>
      <c r="AC42" s="13">
        <f>HAVERQ!W48</f>
        <v>41082</v>
      </c>
      <c r="AD42" s="13">
        <f>HAVERQ!X48</f>
        <v>6048</v>
      </c>
      <c r="AE42" s="13">
        <f>HAVERQ!AD48</f>
        <v>4417</v>
      </c>
      <c r="AF42" s="13">
        <f>HAVERQ!AE48</f>
        <v>9753</v>
      </c>
      <c r="AG42" s="13">
        <f>HAVERQ!AF48</f>
        <v>21049</v>
      </c>
      <c r="AH42" s="13">
        <f>HAVERQ!AG48</f>
        <v>24629</v>
      </c>
      <c r="AI42" s="13">
        <f>HAVERQ!AH48</f>
        <v>13850</v>
      </c>
    </row>
    <row r="43" spans="1:165" x14ac:dyDescent="0.35">
      <c r="A43" t="s">
        <v>208</v>
      </c>
      <c r="B43" t="str">
        <f t="shared" si="16"/>
        <v>1999</v>
      </c>
      <c r="C43" t="str">
        <f t="shared" si="17"/>
        <v>Q3</v>
      </c>
      <c r="D43" s="13">
        <f>HAVERQ!AL49</f>
        <v>169584</v>
      </c>
      <c r="E43" s="13">
        <f>HAVERQ!AM49</f>
        <v>4205</v>
      </c>
      <c r="F43" s="13">
        <f>HAVERQ!AN49</f>
        <v>43319</v>
      </c>
      <c r="G43" s="13">
        <f>HAVERQ!AO49</f>
        <v>47459</v>
      </c>
      <c r="H43" s="13">
        <f>HAVERQ!AP49</f>
        <v>26</v>
      </c>
      <c r="I43" s="13">
        <f>HAVERQ!AQ49</f>
        <v>356</v>
      </c>
      <c r="J43" s="13">
        <f>HAVERQ!AR49</f>
        <v>64440</v>
      </c>
      <c r="K43" s="13">
        <f>HAVERQ!AS49</f>
        <v>67061</v>
      </c>
      <c r="L43" s="13">
        <f>HAVERQ!U49</f>
        <v>42939</v>
      </c>
      <c r="M43" s="13">
        <f>HAVERQ!V49</f>
        <v>7620</v>
      </c>
      <c r="N43" s="13">
        <f>HAVERQ!Y49</f>
        <v>4283</v>
      </c>
      <c r="O43" s="13">
        <f>HAVERQ!Z49</f>
        <v>11283</v>
      </c>
      <c r="P43" s="13">
        <f>HAVERQ!AA49</f>
        <v>21615</v>
      </c>
      <c r="Q43" s="13">
        <f>HAVERQ!AB49</f>
        <v>26676</v>
      </c>
      <c r="R43" s="13">
        <f>HAVERQ!AC49</f>
        <v>14084</v>
      </c>
      <c r="U43" s="13">
        <f>HAVERQ!AU49</f>
        <v>171727</v>
      </c>
      <c r="V43" s="13">
        <f>HAVERQ!AV49</f>
        <v>4205</v>
      </c>
      <c r="W43" s="13">
        <f>HAVERQ!AW49</f>
        <v>43313</v>
      </c>
      <c r="X43" s="13">
        <f>HAVERQ!AX49</f>
        <v>46461</v>
      </c>
      <c r="Y43" s="13">
        <f>HAVERQ!AY49</f>
        <v>1390</v>
      </c>
      <c r="Z43" s="13">
        <f>HAVERQ!AZ49</f>
        <v>334</v>
      </c>
      <c r="AA43" s="13">
        <f>HAVERQ!BA49</f>
        <v>64996</v>
      </c>
      <c r="AB43" s="13">
        <f>HAVERQ!BB49</f>
        <v>68939</v>
      </c>
      <c r="AC43" s="13">
        <f>HAVERQ!W49</f>
        <v>43192</v>
      </c>
      <c r="AD43" s="13">
        <f>HAVERQ!X49</f>
        <v>6693</v>
      </c>
      <c r="AE43" s="13">
        <f>HAVERQ!AD49</f>
        <v>4183</v>
      </c>
      <c r="AF43" s="13">
        <f>HAVERQ!AE49</f>
        <v>10658</v>
      </c>
      <c r="AG43" s="13">
        <f>HAVERQ!AF49</f>
        <v>21796</v>
      </c>
      <c r="AH43" s="13">
        <f>HAVERQ!AG49</f>
        <v>27278</v>
      </c>
      <c r="AI43" s="13">
        <f>HAVERQ!AH49</f>
        <v>14001</v>
      </c>
    </row>
    <row r="44" spans="1:165" x14ac:dyDescent="0.35">
      <c r="A44" t="s">
        <v>209</v>
      </c>
      <c r="B44" t="str">
        <f t="shared" si="16"/>
        <v>1999</v>
      </c>
      <c r="C44" t="str">
        <f t="shared" si="17"/>
        <v>Q4</v>
      </c>
      <c r="D44" s="13">
        <f>HAVERQ!AL50</f>
        <v>171557</v>
      </c>
      <c r="E44" s="13">
        <f>HAVERQ!AM50</f>
        <v>4327</v>
      </c>
      <c r="F44" s="13">
        <f>HAVERQ!AN50</f>
        <v>43587</v>
      </c>
      <c r="G44" s="13">
        <f>HAVERQ!AO50</f>
        <v>47388</v>
      </c>
      <c r="H44" s="13">
        <f>HAVERQ!AP50</f>
        <v>2487</v>
      </c>
      <c r="I44" s="13">
        <f>HAVERQ!AQ50</f>
        <v>646</v>
      </c>
      <c r="J44" s="13">
        <f>HAVERQ!AR50</f>
        <v>66920</v>
      </c>
      <c r="K44" s="13">
        <f>HAVERQ!AS50</f>
        <v>68464</v>
      </c>
      <c r="L44" s="13">
        <f>HAVERQ!U50</f>
        <v>42381</v>
      </c>
      <c r="M44" s="13">
        <f>HAVERQ!V50</f>
        <v>7508</v>
      </c>
      <c r="N44" s="13">
        <f>HAVERQ!Y50</f>
        <v>4479</v>
      </c>
      <c r="O44" s="13">
        <f>HAVERQ!Z50</f>
        <v>10425</v>
      </c>
      <c r="P44" s="13">
        <f>HAVERQ!AA50</f>
        <v>21806</v>
      </c>
      <c r="Q44" s="13">
        <f>HAVERQ!AB50</f>
        <v>27091</v>
      </c>
      <c r="R44" s="13">
        <f>HAVERQ!AC50</f>
        <v>14274</v>
      </c>
      <c r="U44" s="13">
        <f>HAVERQ!AU50</f>
        <v>175589</v>
      </c>
      <c r="V44" s="13">
        <f>HAVERQ!AV50</f>
        <v>4327</v>
      </c>
      <c r="W44" s="13">
        <f>HAVERQ!AW50</f>
        <v>43576</v>
      </c>
      <c r="X44" s="13">
        <f>HAVERQ!AX50</f>
        <v>48161</v>
      </c>
      <c r="Y44" s="13">
        <f>HAVERQ!AY50</f>
        <v>252</v>
      </c>
      <c r="Z44" s="13">
        <f>HAVERQ!AZ50</f>
        <v>668</v>
      </c>
      <c r="AA44" s="13">
        <f>HAVERQ!BA50</f>
        <v>67815</v>
      </c>
      <c r="AB44" s="13">
        <f>HAVERQ!BB50</f>
        <v>68229</v>
      </c>
      <c r="AC44" s="13">
        <f>HAVERQ!W50</f>
        <v>44739</v>
      </c>
      <c r="AD44" s="13">
        <f>HAVERQ!X50</f>
        <v>7132</v>
      </c>
      <c r="AE44" s="13">
        <f>HAVERQ!AD50</f>
        <v>3927</v>
      </c>
      <c r="AF44" s="13">
        <f>HAVERQ!AE50</f>
        <v>11286</v>
      </c>
      <c r="AG44" s="13">
        <f>HAVERQ!AF50</f>
        <v>21542</v>
      </c>
      <c r="AH44" s="13">
        <f>HAVERQ!AG50</f>
        <v>28901</v>
      </c>
      <c r="AI44" s="13">
        <f>HAVERQ!AH50</f>
        <v>14322</v>
      </c>
    </row>
    <row r="45" spans="1:165" x14ac:dyDescent="0.35">
      <c r="A45" t="s">
        <v>210</v>
      </c>
      <c r="B45" t="str">
        <f t="shared" si="16"/>
        <v>2000</v>
      </c>
      <c r="C45" t="str">
        <f t="shared" si="17"/>
        <v>Q1</v>
      </c>
      <c r="D45" s="13">
        <f>HAVERQ!AL51</f>
        <v>174535</v>
      </c>
      <c r="E45" s="13">
        <f>HAVERQ!AM51</f>
        <v>4371</v>
      </c>
      <c r="F45" s="13">
        <f>HAVERQ!AN51</f>
        <v>43853</v>
      </c>
      <c r="G45" s="13">
        <f>HAVERQ!AO51</f>
        <v>49215</v>
      </c>
      <c r="H45" s="13">
        <f>HAVERQ!AP51</f>
        <v>3434</v>
      </c>
      <c r="I45" s="13">
        <f>HAVERQ!AQ51</f>
        <v>292</v>
      </c>
      <c r="J45" s="13">
        <f>HAVERQ!AR51</f>
        <v>67827</v>
      </c>
      <c r="K45" s="13">
        <f>HAVERQ!AS51</f>
        <v>69976</v>
      </c>
      <c r="L45" s="13">
        <f>HAVERQ!U51</f>
        <v>44594</v>
      </c>
      <c r="M45" s="13">
        <f>HAVERQ!V51</f>
        <v>7341</v>
      </c>
      <c r="N45" s="13">
        <f>HAVERQ!Y51</f>
        <v>3864</v>
      </c>
      <c r="O45" s="13">
        <f>HAVERQ!Z51</f>
        <v>11705</v>
      </c>
      <c r="P45" s="13">
        <f>HAVERQ!AA51</f>
        <v>22821</v>
      </c>
      <c r="Q45" s="13">
        <f>HAVERQ!AB51</f>
        <v>27935</v>
      </c>
      <c r="R45" s="13">
        <f>HAVERQ!AC51</f>
        <v>14698</v>
      </c>
      <c r="U45" s="13">
        <f>HAVERQ!AU51</f>
        <v>169476</v>
      </c>
      <c r="V45" s="13">
        <f>HAVERQ!AV51</f>
        <v>4371</v>
      </c>
      <c r="W45" s="13">
        <f>HAVERQ!AW51</f>
        <v>43476</v>
      </c>
      <c r="X45" s="13">
        <f>HAVERQ!AX51</f>
        <v>50800</v>
      </c>
      <c r="Y45" s="13">
        <f>HAVERQ!AY51</f>
        <v>3035</v>
      </c>
      <c r="Z45" s="13">
        <f>HAVERQ!AZ51</f>
        <v>255</v>
      </c>
      <c r="AA45" s="13">
        <f>HAVERQ!BA51</f>
        <v>66694</v>
      </c>
      <c r="AB45" s="13">
        <f>HAVERQ!BB51</f>
        <v>68499</v>
      </c>
      <c r="AC45" s="13">
        <f>HAVERQ!W51</f>
        <v>44668</v>
      </c>
      <c r="AD45" s="13">
        <f>HAVERQ!X51</f>
        <v>9965</v>
      </c>
      <c r="AE45" s="13">
        <f>HAVERQ!AD51</f>
        <v>3938</v>
      </c>
      <c r="AF45" s="13">
        <f>HAVERQ!AE51</f>
        <v>12273</v>
      </c>
      <c r="AG45" s="13">
        <f>HAVERQ!AF51</f>
        <v>23185</v>
      </c>
      <c r="AH45" s="13">
        <f>HAVERQ!AG51</f>
        <v>29312</v>
      </c>
      <c r="AI45" s="13">
        <f>HAVERQ!AH51</f>
        <v>14764</v>
      </c>
    </row>
    <row r="46" spans="1:165" x14ac:dyDescent="0.35">
      <c r="A46" t="s">
        <v>211</v>
      </c>
      <c r="B46" t="str">
        <f t="shared" si="16"/>
        <v>2000</v>
      </c>
      <c r="C46" t="str">
        <f t="shared" si="17"/>
        <v>Q2</v>
      </c>
      <c r="D46" s="13">
        <f>HAVERQ!AL52</f>
        <v>175903</v>
      </c>
      <c r="E46" s="13">
        <f>HAVERQ!AM52</f>
        <v>4494</v>
      </c>
      <c r="F46" s="13">
        <f>HAVERQ!AN52</f>
        <v>45316</v>
      </c>
      <c r="G46" s="13">
        <f>HAVERQ!AO52</f>
        <v>52581</v>
      </c>
      <c r="H46" s="13">
        <f>HAVERQ!AP52</f>
        <v>-1315</v>
      </c>
      <c r="I46" s="13">
        <f>HAVERQ!AQ52</f>
        <v>239</v>
      </c>
      <c r="J46" s="13">
        <f>HAVERQ!AR52</f>
        <v>70329</v>
      </c>
      <c r="K46" s="13">
        <f>HAVERQ!AS52</f>
        <v>72444</v>
      </c>
      <c r="L46" s="13">
        <f>HAVERQ!U52</f>
        <v>47936</v>
      </c>
      <c r="M46" s="13">
        <f>HAVERQ!V52</f>
        <v>7599</v>
      </c>
      <c r="N46" s="13">
        <f>HAVERQ!Y52</f>
        <v>3846</v>
      </c>
      <c r="O46" s="13">
        <f>HAVERQ!Z52</f>
        <v>14382</v>
      </c>
      <c r="P46" s="13">
        <f>HAVERQ!AA52</f>
        <v>23244</v>
      </c>
      <c r="Q46" s="13">
        <f>HAVERQ!AB52</f>
        <v>27147</v>
      </c>
      <c r="R46" s="13">
        <f>HAVERQ!AC52</f>
        <v>15155</v>
      </c>
      <c r="U46" s="13">
        <f>HAVERQ!AU52</f>
        <v>174348</v>
      </c>
      <c r="V46" s="13">
        <f>HAVERQ!AV52</f>
        <v>4494</v>
      </c>
      <c r="W46" s="13">
        <f>HAVERQ!AW52</f>
        <v>45758</v>
      </c>
      <c r="X46" s="13">
        <f>HAVERQ!AX52</f>
        <v>50707</v>
      </c>
      <c r="Y46" s="13">
        <f>HAVERQ!AY52</f>
        <v>-950</v>
      </c>
      <c r="Z46" s="13">
        <f>HAVERQ!AZ52</f>
        <v>280</v>
      </c>
      <c r="AA46" s="13">
        <f>HAVERQ!BA52</f>
        <v>70393</v>
      </c>
      <c r="AB46" s="13">
        <f>HAVERQ!BB52</f>
        <v>72650</v>
      </c>
      <c r="AC46" s="13">
        <f>HAVERQ!W52</f>
        <v>46775</v>
      </c>
      <c r="AD46" s="13">
        <f>HAVERQ!X52</f>
        <v>6013</v>
      </c>
      <c r="AE46" s="13">
        <f>HAVERQ!AD52</f>
        <v>4334</v>
      </c>
      <c r="AF46" s="13">
        <f>HAVERQ!AE52</f>
        <v>13498</v>
      </c>
      <c r="AG46" s="13">
        <f>HAVERQ!AF52</f>
        <v>22982</v>
      </c>
      <c r="AH46" s="13">
        <f>HAVERQ!AG52</f>
        <v>24718</v>
      </c>
      <c r="AI46" s="13">
        <f>HAVERQ!AH52</f>
        <v>15110</v>
      </c>
    </row>
    <row r="47" spans="1:165" x14ac:dyDescent="0.35">
      <c r="A47" t="s">
        <v>212</v>
      </c>
      <c r="B47" t="str">
        <f t="shared" si="16"/>
        <v>2000</v>
      </c>
      <c r="C47" t="str">
        <f t="shared" si="17"/>
        <v>Q3</v>
      </c>
      <c r="D47" s="13">
        <f>HAVERQ!AL53</f>
        <v>178270</v>
      </c>
      <c r="E47" s="13">
        <f>HAVERQ!AM53</f>
        <v>4619</v>
      </c>
      <c r="F47" s="13">
        <f>HAVERQ!AN53</f>
        <v>46572</v>
      </c>
      <c r="G47" s="13">
        <f>HAVERQ!AO53</f>
        <v>48426</v>
      </c>
      <c r="H47" s="13">
        <f>HAVERQ!AP53</f>
        <v>3489</v>
      </c>
      <c r="I47" s="13">
        <f>HAVERQ!AQ53</f>
        <v>339</v>
      </c>
      <c r="J47" s="13">
        <f>HAVERQ!AR53</f>
        <v>70854</v>
      </c>
      <c r="K47" s="13">
        <f>HAVERQ!AS53</f>
        <v>75493</v>
      </c>
      <c r="L47" s="13">
        <f>HAVERQ!U53</f>
        <v>43712</v>
      </c>
      <c r="M47" s="13">
        <f>HAVERQ!V53</f>
        <v>7548</v>
      </c>
      <c r="N47" s="13">
        <f>HAVERQ!Y53</f>
        <v>3616</v>
      </c>
      <c r="O47" s="13">
        <f>HAVERQ!Z53</f>
        <v>11761</v>
      </c>
      <c r="P47" s="13">
        <f>HAVERQ!AA53</f>
        <v>22828</v>
      </c>
      <c r="Q47" s="13">
        <f>HAVERQ!AB53</f>
        <v>26201</v>
      </c>
      <c r="R47" s="13">
        <f>HAVERQ!AC53</f>
        <v>14968</v>
      </c>
      <c r="U47" s="13">
        <f>HAVERQ!AU53</f>
        <v>180476</v>
      </c>
      <c r="V47" s="13">
        <f>HAVERQ!AV53</f>
        <v>4619</v>
      </c>
      <c r="W47" s="13">
        <f>HAVERQ!AW53</f>
        <v>46565</v>
      </c>
      <c r="X47" s="13">
        <f>HAVERQ!AX53</f>
        <v>47706</v>
      </c>
      <c r="Y47" s="13">
        <f>HAVERQ!AY53</f>
        <v>4182</v>
      </c>
      <c r="Z47" s="13">
        <f>HAVERQ!AZ53</f>
        <v>308</v>
      </c>
      <c r="AA47" s="13">
        <f>HAVERQ!BA53</f>
        <v>71305</v>
      </c>
      <c r="AB47" s="13">
        <f>HAVERQ!BB53</f>
        <v>77211</v>
      </c>
      <c r="AC47" s="13">
        <f>HAVERQ!W53</f>
        <v>42989</v>
      </c>
      <c r="AD47" s="13">
        <f>HAVERQ!X53</f>
        <v>6915</v>
      </c>
      <c r="AE47" s="13">
        <f>HAVERQ!AD53</f>
        <v>3556</v>
      </c>
      <c r="AF47" s="13">
        <f>HAVERQ!AE53</f>
        <v>11125</v>
      </c>
      <c r="AG47" s="13">
        <f>HAVERQ!AF53</f>
        <v>22983</v>
      </c>
      <c r="AH47" s="13">
        <f>HAVERQ!AG53</f>
        <v>26235</v>
      </c>
      <c r="AI47" s="13">
        <f>HAVERQ!AH53</f>
        <v>14885</v>
      </c>
    </row>
    <row r="48" spans="1:165" x14ac:dyDescent="0.35">
      <c r="A48" t="s">
        <v>213</v>
      </c>
      <c r="B48" t="str">
        <f t="shared" si="16"/>
        <v>2000</v>
      </c>
      <c r="C48" t="str">
        <f t="shared" si="17"/>
        <v>Q4</v>
      </c>
      <c r="D48" s="13">
        <f>HAVERQ!AL54</f>
        <v>179443</v>
      </c>
      <c r="E48" s="13">
        <f>HAVERQ!AM54</f>
        <v>4715</v>
      </c>
      <c r="F48" s="13">
        <f>HAVERQ!AN54</f>
        <v>46887</v>
      </c>
      <c r="G48" s="13">
        <f>HAVERQ!AO54</f>
        <v>51141</v>
      </c>
      <c r="H48" s="13">
        <f>HAVERQ!AP54</f>
        <v>1294</v>
      </c>
      <c r="I48" s="13">
        <f>HAVERQ!AQ54</f>
        <v>183</v>
      </c>
      <c r="J48" s="13">
        <f>HAVERQ!AR54</f>
        <v>73326</v>
      </c>
      <c r="K48" s="13">
        <f>HAVERQ!AS54</f>
        <v>77960</v>
      </c>
      <c r="L48" s="13">
        <f>HAVERQ!U54</f>
        <v>45780</v>
      </c>
      <c r="M48" s="13">
        <f>HAVERQ!V54</f>
        <v>7936</v>
      </c>
      <c r="N48" s="13">
        <f>HAVERQ!Y54</f>
        <v>4283</v>
      </c>
      <c r="O48" s="13">
        <f>HAVERQ!Z54</f>
        <v>12120</v>
      </c>
      <c r="P48" s="13">
        <f>HAVERQ!AA54</f>
        <v>22649</v>
      </c>
      <c r="Q48" s="13">
        <f>HAVERQ!AB54</f>
        <v>27916</v>
      </c>
      <c r="R48" s="13">
        <f>HAVERQ!AC54</f>
        <v>15235</v>
      </c>
      <c r="U48" s="13">
        <f>HAVERQ!AU54</f>
        <v>183851</v>
      </c>
      <c r="V48" s="13">
        <f>HAVERQ!AV54</f>
        <v>4715</v>
      </c>
      <c r="W48" s="13">
        <f>HAVERQ!AW54</f>
        <v>46829</v>
      </c>
      <c r="X48" s="13">
        <f>HAVERQ!AX54</f>
        <v>52150</v>
      </c>
      <c r="Y48" s="13">
        <f>HAVERQ!AY54</f>
        <v>635</v>
      </c>
      <c r="Z48" s="13">
        <f>HAVERQ!AZ54</f>
        <v>210</v>
      </c>
      <c r="AA48" s="13">
        <f>HAVERQ!BA54</f>
        <v>73944</v>
      </c>
      <c r="AB48" s="13">
        <f>HAVERQ!BB54</f>
        <v>77513</v>
      </c>
      <c r="AC48" s="13">
        <f>HAVERQ!W54</f>
        <v>47589</v>
      </c>
      <c r="AD48" s="13">
        <f>HAVERQ!X54</f>
        <v>7533</v>
      </c>
      <c r="AE48" s="13">
        <f>HAVERQ!AD54</f>
        <v>3783</v>
      </c>
      <c r="AF48" s="13">
        <f>HAVERQ!AE54</f>
        <v>13073</v>
      </c>
      <c r="AG48" s="13">
        <f>HAVERQ!AF54</f>
        <v>22391</v>
      </c>
      <c r="AH48" s="13">
        <f>HAVERQ!AG54</f>
        <v>28933</v>
      </c>
      <c r="AI48" s="13">
        <f>HAVERQ!AH54</f>
        <v>15297</v>
      </c>
    </row>
    <row r="49" spans="1:35" x14ac:dyDescent="0.35">
      <c r="A49" t="s">
        <v>214</v>
      </c>
      <c r="B49" t="str">
        <f t="shared" si="16"/>
        <v>2001</v>
      </c>
      <c r="C49" t="str">
        <f t="shared" si="17"/>
        <v>Q1</v>
      </c>
      <c r="D49" s="13">
        <f>HAVERQ!AL55</f>
        <v>182018</v>
      </c>
      <c r="E49" s="13">
        <f>HAVERQ!AM55</f>
        <v>4798</v>
      </c>
      <c r="F49" s="13">
        <f>HAVERQ!AN55</f>
        <v>48012</v>
      </c>
      <c r="G49" s="13">
        <f>HAVERQ!AO55</f>
        <v>51947</v>
      </c>
      <c r="H49" s="13">
        <f>HAVERQ!AP55</f>
        <v>-508</v>
      </c>
      <c r="I49" s="13">
        <f>HAVERQ!AQ55</f>
        <v>218</v>
      </c>
      <c r="J49" s="13">
        <f>HAVERQ!AR55</f>
        <v>76911</v>
      </c>
      <c r="K49" s="13">
        <f>HAVERQ!AS55</f>
        <v>79672</v>
      </c>
      <c r="L49" s="13">
        <f>HAVERQ!U55</f>
        <v>43112</v>
      </c>
      <c r="M49" s="13">
        <f>HAVERQ!V55</f>
        <v>10200</v>
      </c>
      <c r="N49" s="13">
        <f>HAVERQ!Y55</f>
        <v>3890</v>
      </c>
      <c r="O49" s="13">
        <f>HAVERQ!Z55</f>
        <v>12525</v>
      </c>
      <c r="P49" s="13">
        <f>HAVERQ!AA55</f>
        <v>22528</v>
      </c>
      <c r="Q49" s="13">
        <f>HAVERQ!AB55</f>
        <v>27108</v>
      </c>
      <c r="R49" s="13">
        <f>HAVERQ!AC55</f>
        <v>14648</v>
      </c>
      <c r="U49" s="13">
        <f>HAVERQ!AU55</f>
        <v>176298</v>
      </c>
      <c r="V49" s="13">
        <f>HAVERQ!AV55</f>
        <v>4798</v>
      </c>
      <c r="W49" s="13">
        <f>HAVERQ!AW55</f>
        <v>47682</v>
      </c>
      <c r="X49" s="13">
        <f>HAVERQ!AX55</f>
        <v>52983</v>
      </c>
      <c r="Y49" s="13">
        <f>HAVERQ!AY55</f>
        <v>3025</v>
      </c>
      <c r="Z49" s="13">
        <f>HAVERQ!AZ55</f>
        <v>184</v>
      </c>
      <c r="AA49" s="13">
        <f>HAVERQ!BA55</f>
        <v>75445</v>
      </c>
      <c r="AB49" s="13">
        <f>HAVERQ!BB55</f>
        <v>77933</v>
      </c>
      <c r="AC49" s="13">
        <f>HAVERQ!W55</f>
        <v>46121</v>
      </c>
      <c r="AD49" s="13">
        <f>HAVERQ!X55</f>
        <v>12215</v>
      </c>
      <c r="AE49" s="13">
        <f>HAVERQ!AD55</f>
        <v>3798</v>
      </c>
      <c r="AF49" s="13">
        <f>HAVERQ!AE55</f>
        <v>13168</v>
      </c>
      <c r="AG49" s="13">
        <f>HAVERQ!AF55</f>
        <v>23005</v>
      </c>
      <c r="AH49" s="13">
        <f>HAVERQ!AG55</f>
        <v>30758</v>
      </c>
      <c r="AI49" s="13">
        <f>HAVERQ!AH55</f>
        <v>14731</v>
      </c>
    </row>
    <row r="50" spans="1:35" x14ac:dyDescent="0.35">
      <c r="A50" t="s">
        <v>215</v>
      </c>
      <c r="B50" t="str">
        <f t="shared" si="16"/>
        <v>2001</v>
      </c>
      <c r="C50" t="str">
        <f t="shared" si="17"/>
        <v>Q2</v>
      </c>
      <c r="D50" s="13">
        <f>HAVERQ!AL56</f>
        <v>183253</v>
      </c>
      <c r="E50" s="13">
        <f>HAVERQ!AM56</f>
        <v>4922</v>
      </c>
      <c r="F50" s="13">
        <f>HAVERQ!AN56</f>
        <v>48243</v>
      </c>
      <c r="G50" s="13">
        <f>HAVERQ!AO56</f>
        <v>53283</v>
      </c>
      <c r="H50" s="13">
        <f>HAVERQ!AP56</f>
        <v>2773</v>
      </c>
      <c r="I50" s="13">
        <f>HAVERQ!AQ56</f>
        <v>711</v>
      </c>
      <c r="J50" s="13">
        <f>HAVERQ!AR56</f>
        <v>74138</v>
      </c>
      <c r="K50" s="13">
        <f>HAVERQ!AS56</f>
        <v>79720</v>
      </c>
      <c r="L50" s="13">
        <f>HAVERQ!U56</f>
        <v>47836</v>
      </c>
      <c r="M50" s="13">
        <f>HAVERQ!V56</f>
        <v>8881</v>
      </c>
      <c r="N50" s="13">
        <f>HAVERQ!Y56</f>
        <v>5290</v>
      </c>
      <c r="O50" s="13">
        <f>HAVERQ!Z56</f>
        <v>12341</v>
      </c>
      <c r="P50" s="13">
        <f>HAVERQ!AA56</f>
        <v>22155</v>
      </c>
      <c r="Q50" s="13">
        <f>HAVERQ!AB56</f>
        <v>30320</v>
      </c>
      <c r="R50" s="13">
        <f>HAVERQ!AC56</f>
        <v>14825</v>
      </c>
      <c r="U50" s="13">
        <f>HAVERQ!AU56</f>
        <v>181741</v>
      </c>
      <c r="V50" s="13">
        <f>HAVERQ!AV56</f>
        <v>4922</v>
      </c>
      <c r="W50" s="13">
        <f>HAVERQ!AW56</f>
        <v>48640</v>
      </c>
      <c r="X50" s="13">
        <f>HAVERQ!AX56</f>
        <v>51831</v>
      </c>
      <c r="Y50" s="13">
        <f>HAVERQ!AY56</f>
        <v>714</v>
      </c>
      <c r="Z50" s="13">
        <f>HAVERQ!AZ56</f>
        <v>751</v>
      </c>
      <c r="AA50" s="13">
        <f>HAVERQ!BA56</f>
        <v>74274</v>
      </c>
      <c r="AB50" s="13">
        <f>HAVERQ!BB56</f>
        <v>80117</v>
      </c>
      <c r="AC50" s="13">
        <f>HAVERQ!W56</f>
        <v>46018</v>
      </c>
      <c r="AD50" s="13">
        <f>HAVERQ!X56</f>
        <v>7491</v>
      </c>
      <c r="AE50" s="13">
        <f>HAVERQ!AD56</f>
        <v>6014</v>
      </c>
      <c r="AF50" s="13">
        <f>HAVERQ!AE56</f>
        <v>11407</v>
      </c>
      <c r="AG50" s="13">
        <f>HAVERQ!AF56</f>
        <v>21763</v>
      </c>
      <c r="AH50" s="13">
        <f>HAVERQ!AG56</f>
        <v>27271</v>
      </c>
      <c r="AI50" s="13">
        <f>HAVERQ!AH56</f>
        <v>14761</v>
      </c>
    </row>
    <row r="51" spans="1:35" x14ac:dyDescent="0.35">
      <c r="A51" t="s">
        <v>216</v>
      </c>
      <c r="B51" t="str">
        <f t="shared" si="16"/>
        <v>2001</v>
      </c>
      <c r="C51" t="str">
        <f t="shared" si="17"/>
        <v>Q3</v>
      </c>
      <c r="D51" s="13">
        <f>HAVERQ!AL57</f>
        <v>186213</v>
      </c>
      <c r="E51" s="13">
        <f>HAVERQ!AM57</f>
        <v>5046</v>
      </c>
      <c r="F51" s="13">
        <f>HAVERQ!AN57</f>
        <v>49798</v>
      </c>
      <c r="G51" s="13">
        <f>HAVERQ!AO57</f>
        <v>52301</v>
      </c>
      <c r="H51" s="13">
        <f>HAVERQ!AP57</f>
        <v>1483</v>
      </c>
      <c r="I51" s="13">
        <f>HAVERQ!AQ57</f>
        <v>721</v>
      </c>
      <c r="J51" s="13">
        <f>HAVERQ!AR57</f>
        <v>71245</v>
      </c>
      <c r="K51" s="13">
        <f>HAVERQ!AS57</f>
        <v>77474</v>
      </c>
      <c r="L51" s="13">
        <f>HAVERQ!U57</f>
        <v>46997</v>
      </c>
      <c r="M51" s="13">
        <f>HAVERQ!V57</f>
        <v>9295</v>
      </c>
      <c r="N51" s="13">
        <f>HAVERQ!Y57</f>
        <v>4784</v>
      </c>
      <c r="O51" s="13">
        <f>HAVERQ!Z57</f>
        <v>12908</v>
      </c>
      <c r="P51" s="13">
        <f>HAVERQ!AA57</f>
        <v>22843</v>
      </c>
      <c r="Q51" s="13">
        <f>HAVERQ!AB57</f>
        <v>28925</v>
      </c>
      <c r="R51" s="13">
        <f>HAVERQ!AC57</f>
        <v>15041</v>
      </c>
      <c r="U51" s="13">
        <f>HAVERQ!AU57</f>
        <v>188546</v>
      </c>
      <c r="V51" s="13">
        <f>HAVERQ!AV57</f>
        <v>5046</v>
      </c>
      <c r="W51" s="13">
        <f>HAVERQ!AW57</f>
        <v>49822</v>
      </c>
      <c r="X51" s="13">
        <f>HAVERQ!AX57</f>
        <v>51563</v>
      </c>
      <c r="Y51" s="13">
        <f>HAVERQ!AY57</f>
        <v>3505</v>
      </c>
      <c r="Z51" s="13">
        <f>HAVERQ!AZ57</f>
        <v>687</v>
      </c>
      <c r="AA51" s="13">
        <f>HAVERQ!BA57</f>
        <v>71536</v>
      </c>
      <c r="AB51" s="13">
        <f>HAVERQ!BB57</f>
        <v>79246</v>
      </c>
      <c r="AC51" s="13">
        <f>HAVERQ!W57</f>
        <v>45156</v>
      </c>
      <c r="AD51" s="13">
        <f>HAVERQ!X57</f>
        <v>8696</v>
      </c>
      <c r="AE51" s="13">
        <f>HAVERQ!AD57</f>
        <v>4668</v>
      </c>
      <c r="AF51" s="13">
        <f>HAVERQ!AE57</f>
        <v>12279</v>
      </c>
      <c r="AG51" s="13">
        <f>HAVERQ!AF57</f>
        <v>22935</v>
      </c>
      <c r="AH51" s="13">
        <f>HAVERQ!AG57</f>
        <v>27959</v>
      </c>
      <c r="AI51" s="13">
        <f>HAVERQ!AH57</f>
        <v>14963</v>
      </c>
    </row>
    <row r="52" spans="1:35" x14ac:dyDescent="0.35">
      <c r="A52" t="s">
        <v>217</v>
      </c>
      <c r="B52" t="str">
        <f t="shared" si="16"/>
        <v>2001</v>
      </c>
      <c r="C52" t="str">
        <f t="shared" si="17"/>
        <v>Q4</v>
      </c>
      <c r="D52" s="13">
        <f>HAVERQ!AL58</f>
        <v>185501</v>
      </c>
      <c r="E52" s="13">
        <f>HAVERQ!AM58</f>
        <v>5150</v>
      </c>
      <c r="F52" s="13">
        <f>HAVERQ!AN58</f>
        <v>51298</v>
      </c>
      <c r="G52" s="13">
        <f>HAVERQ!AO58</f>
        <v>50795</v>
      </c>
      <c r="H52" s="13">
        <f>HAVERQ!AP58</f>
        <v>2116</v>
      </c>
      <c r="I52" s="13">
        <f>HAVERQ!AQ58</f>
        <v>419</v>
      </c>
      <c r="J52" s="13">
        <f>HAVERQ!AR58</f>
        <v>70511</v>
      </c>
      <c r="K52" s="13">
        <f>HAVERQ!AS58</f>
        <v>75908</v>
      </c>
      <c r="L52" s="13">
        <f>HAVERQ!U58</f>
        <v>45091</v>
      </c>
      <c r="M52" s="13">
        <f>HAVERQ!V58</f>
        <v>9120</v>
      </c>
      <c r="N52" s="13">
        <f>HAVERQ!Y58</f>
        <v>4222</v>
      </c>
      <c r="O52" s="13">
        <f>HAVERQ!Z58</f>
        <v>13035</v>
      </c>
      <c r="P52" s="13">
        <f>HAVERQ!AA58</f>
        <v>22488</v>
      </c>
      <c r="Q52" s="13">
        <f>HAVERQ!AB58</f>
        <v>26292</v>
      </c>
      <c r="R52" s="13">
        <f>HAVERQ!AC58</f>
        <v>15286</v>
      </c>
      <c r="U52" s="13">
        <f>HAVERQ!AU58</f>
        <v>190400</v>
      </c>
      <c r="V52" s="13">
        <f>HAVERQ!AV58</f>
        <v>5150</v>
      </c>
      <c r="W52" s="13">
        <f>HAVERQ!AW58</f>
        <v>51207</v>
      </c>
      <c r="X52" s="13">
        <f>HAVERQ!AX58</f>
        <v>51949</v>
      </c>
      <c r="Y52" s="13">
        <f>HAVERQ!AY58</f>
        <v>-1380</v>
      </c>
      <c r="Z52" s="13">
        <f>HAVERQ!AZ58</f>
        <v>447</v>
      </c>
      <c r="AA52" s="13">
        <f>HAVERQ!BA58</f>
        <v>71550</v>
      </c>
      <c r="AB52" s="13">
        <f>HAVERQ!BB58</f>
        <v>75478</v>
      </c>
      <c r="AC52" s="13">
        <f>HAVERQ!W58</f>
        <v>45739</v>
      </c>
      <c r="AD52" s="13">
        <f>HAVERQ!X58</f>
        <v>9093</v>
      </c>
      <c r="AE52" s="13">
        <f>HAVERQ!AD58</f>
        <v>3706</v>
      </c>
      <c r="AF52" s="13">
        <f>HAVERQ!AE58</f>
        <v>13955</v>
      </c>
      <c r="AG52" s="13">
        <f>HAVERQ!AF58</f>
        <v>22311</v>
      </c>
      <c r="AH52" s="13">
        <f>HAVERQ!AG58</f>
        <v>26657</v>
      </c>
      <c r="AI52" s="13">
        <f>HAVERQ!AH58</f>
        <v>15346</v>
      </c>
    </row>
    <row r="53" spans="1:35" x14ac:dyDescent="0.35">
      <c r="A53" t="s">
        <v>218</v>
      </c>
      <c r="B53" t="str">
        <f t="shared" si="16"/>
        <v>2002</v>
      </c>
      <c r="C53" t="str">
        <f t="shared" si="17"/>
        <v>Q1</v>
      </c>
      <c r="D53" s="13">
        <f>HAVERQ!AL59</f>
        <v>187832</v>
      </c>
      <c r="E53" s="13">
        <f>HAVERQ!AM59</f>
        <v>5234</v>
      </c>
      <c r="F53" s="13">
        <f>HAVERQ!AN59</f>
        <v>52038</v>
      </c>
      <c r="G53" s="13">
        <f>HAVERQ!AO59</f>
        <v>51112</v>
      </c>
      <c r="H53" s="13">
        <f>HAVERQ!AP59</f>
        <v>3366</v>
      </c>
      <c r="I53" s="13">
        <f>HAVERQ!AQ59</f>
        <v>590</v>
      </c>
      <c r="J53" s="13">
        <f>HAVERQ!AR59</f>
        <v>72077</v>
      </c>
      <c r="K53" s="13">
        <f>HAVERQ!AS59</f>
        <v>78371</v>
      </c>
      <c r="L53" s="13">
        <f>HAVERQ!U59</f>
        <v>43722</v>
      </c>
      <c r="M53" s="13">
        <f>HAVERQ!V59</f>
        <v>9275</v>
      </c>
      <c r="N53" s="13">
        <f>HAVERQ!Y59</f>
        <v>4350</v>
      </c>
      <c r="O53" s="13">
        <f>HAVERQ!Z59</f>
        <v>12880</v>
      </c>
      <c r="P53" s="13">
        <f>HAVERQ!AA59</f>
        <v>23555</v>
      </c>
      <c r="Q53" s="13">
        <f>HAVERQ!AB59</f>
        <v>25755</v>
      </c>
      <c r="R53" s="13">
        <f>HAVERQ!AC59</f>
        <v>15105</v>
      </c>
      <c r="U53" s="13">
        <f>HAVERQ!AU59</f>
        <v>181806</v>
      </c>
      <c r="V53" s="13">
        <f>HAVERQ!AV59</f>
        <v>5234</v>
      </c>
      <c r="W53" s="13">
        <f>HAVERQ!AW59</f>
        <v>51869</v>
      </c>
      <c r="X53" s="13">
        <f>HAVERQ!AX59</f>
        <v>52674</v>
      </c>
      <c r="Y53" s="13">
        <f>HAVERQ!AY59</f>
        <v>5055</v>
      </c>
      <c r="Z53" s="13">
        <f>HAVERQ!AZ59</f>
        <v>549</v>
      </c>
      <c r="AA53" s="13">
        <f>HAVERQ!BA59</f>
        <v>69755</v>
      </c>
      <c r="AB53" s="13">
        <f>HAVERQ!BB59</f>
        <v>75417</v>
      </c>
      <c r="AC53" s="13">
        <f>HAVERQ!W59</f>
        <v>43520</v>
      </c>
      <c r="AD53" s="13">
        <f>HAVERQ!X59</f>
        <v>11445</v>
      </c>
      <c r="AE53" s="13">
        <f>HAVERQ!AD59</f>
        <v>4147</v>
      </c>
      <c r="AF53" s="13">
        <f>HAVERQ!AE59</f>
        <v>13522</v>
      </c>
      <c r="AG53" s="13">
        <f>HAVERQ!AF59</f>
        <v>24096</v>
      </c>
      <c r="AH53" s="13">
        <f>HAVERQ!AG59</f>
        <v>26574</v>
      </c>
      <c r="AI53" s="13">
        <f>HAVERQ!AH59</f>
        <v>15233</v>
      </c>
    </row>
    <row r="54" spans="1:35" x14ac:dyDescent="0.35">
      <c r="A54" t="s">
        <v>219</v>
      </c>
      <c r="B54" t="str">
        <f t="shared" si="16"/>
        <v>2002</v>
      </c>
      <c r="C54" t="str">
        <f t="shared" si="17"/>
        <v>Q2</v>
      </c>
      <c r="D54" s="13">
        <f>HAVERQ!AL60</f>
        <v>188925</v>
      </c>
      <c r="E54" s="13">
        <f>HAVERQ!AM60</f>
        <v>5390</v>
      </c>
      <c r="F54" s="13">
        <f>HAVERQ!AN60</f>
        <v>54073</v>
      </c>
      <c r="G54" s="13">
        <f>HAVERQ!AO60</f>
        <v>52032</v>
      </c>
      <c r="H54" s="13">
        <f>HAVERQ!AP60</f>
        <v>2848</v>
      </c>
      <c r="I54" s="13">
        <f>HAVERQ!AQ60</f>
        <v>779</v>
      </c>
      <c r="J54" s="13">
        <f>HAVERQ!AR60</f>
        <v>74617</v>
      </c>
      <c r="K54" s="13">
        <f>HAVERQ!AS60</f>
        <v>81663</v>
      </c>
      <c r="L54" s="13">
        <f>HAVERQ!U60</f>
        <v>42992</v>
      </c>
      <c r="M54" s="13">
        <f>HAVERQ!V60</f>
        <v>9212</v>
      </c>
      <c r="N54" s="13">
        <f>HAVERQ!Y60</f>
        <v>5003</v>
      </c>
      <c r="O54" s="13">
        <f>HAVERQ!Z60</f>
        <v>13348</v>
      </c>
      <c r="P54" s="13">
        <f>HAVERQ!AA60</f>
        <v>24082</v>
      </c>
      <c r="Q54" s="13">
        <f>HAVERQ!AB60</f>
        <v>23580</v>
      </c>
      <c r="R54" s="13">
        <f>HAVERQ!AC60</f>
        <v>14935</v>
      </c>
      <c r="U54" s="13">
        <f>HAVERQ!AU60</f>
        <v>187463</v>
      </c>
      <c r="V54" s="13">
        <f>HAVERQ!AV60</f>
        <v>5390</v>
      </c>
      <c r="W54" s="13">
        <f>HAVERQ!AW60</f>
        <v>54367</v>
      </c>
      <c r="X54" s="13">
        <f>HAVERQ!AX60</f>
        <v>51126</v>
      </c>
      <c r="Y54" s="13">
        <f>HAVERQ!AY60</f>
        <v>1825</v>
      </c>
      <c r="Z54" s="13">
        <f>HAVERQ!AZ60</f>
        <v>830</v>
      </c>
      <c r="AA54" s="13">
        <f>HAVERQ!BA60</f>
        <v>75258</v>
      </c>
      <c r="AB54" s="13">
        <f>HAVERQ!BB60</f>
        <v>82627</v>
      </c>
      <c r="AC54" s="13">
        <f>HAVERQ!W60</f>
        <v>44247</v>
      </c>
      <c r="AD54" s="13">
        <f>HAVERQ!X60</f>
        <v>8335</v>
      </c>
      <c r="AE54" s="13">
        <f>HAVERQ!AD60</f>
        <v>5780</v>
      </c>
      <c r="AF54" s="13">
        <f>HAVERQ!AE60</f>
        <v>12368</v>
      </c>
      <c r="AG54" s="13">
        <f>HAVERQ!AF60</f>
        <v>23547</v>
      </c>
      <c r="AH54" s="13">
        <f>HAVERQ!AG60</f>
        <v>24010</v>
      </c>
      <c r="AI54" s="13">
        <f>HAVERQ!AH60</f>
        <v>14858</v>
      </c>
    </row>
    <row r="55" spans="1:35" x14ac:dyDescent="0.35">
      <c r="A55" t="s">
        <v>220</v>
      </c>
      <c r="B55" t="str">
        <f t="shared" si="16"/>
        <v>2002</v>
      </c>
      <c r="C55" t="str">
        <f t="shared" si="17"/>
        <v>Q3</v>
      </c>
      <c r="D55" s="13">
        <f>HAVERQ!AL61</f>
        <v>191205</v>
      </c>
      <c r="E55" s="13">
        <f>HAVERQ!AM61</f>
        <v>5529</v>
      </c>
      <c r="F55" s="13">
        <f>HAVERQ!AN61</f>
        <v>54624</v>
      </c>
      <c r="G55" s="13">
        <f>HAVERQ!AO61</f>
        <v>55430</v>
      </c>
      <c r="H55" s="13">
        <f>HAVERQ!AP61</f>
        <v>-1289</v>
      </c>
      <c r="I55" s="13">
        <f>HAVERQ!AQ61</f>
        <v>664</v>
      </c>
      <c r="J55" s="13">
        <f>HAVERQ!AR61</f>
        <v>73941</v>
      </c>
      <c r="K55" s="13">
        <f>HAVERQ!AS61</f>
        <v>80241</v>
      </c>
      <c r="L55" s="13">
        <f>HAVERQ!U61</f>
        <v>45703</v>
      </c>
      <c r="M55" s="13">
        <f>HAVERQ!V61</f>
        <v>10101</v>
      </c>
      <c r="N55" s="13">
        <f>HAVERQ!Y61</f>
        <v>4908</v>
      </c>
      <c r="O55" s="13">
        <f>HAVERQ!Z61</f>
        <v>13187</v>
      </c>
      <c r="P55" s="13">
        <f>HAVERQ!AA61</f>
        <v>24600</v>
      </c>
      <c r="Q55" s="13">
        <f>HAVERQ!AB61</f>
        <v>27414</v>
      </c>
      <c r="R55" s="13">
        <f>HAVERQ!AC61</f>
        <v>15391</v>
      </c>
      <c r="U55" s="13">
        <f>HAVERQ!AU61</f>
        <v>193836</v>
      </c>
      <c r="V55" s="13">
        <f>HAVERQ!AV61</f>
        <v>5529</v>
      </c>
      <c r="W55" s="13">
        <f>HAVERQ!AW61</f>
        <v>54630</v>
      </c>
      <c r="X55" s="13">
        <f>HAVERQ!AX61</f>
        <v>53887</v>
      </c>
      <c r="Y55" s="13">
        <f>HAVERQ!AY61</f>
        <v>2231</v>
      </c>
      <c r="Z55" s="13">
        <f>HAVERQ!AZ61</f>
        <v>622</v>
      </c>
      <c r="AA55" s="13">
        <f>HAVERQ!BA61</f>
        <v>74581</v>
      </c>
      <c r="AB55" s="13">
        <f>HAVERQ!BB61</f>
        <v>82690</v>
      </c>
      <c r="AC55" s="13">
        <f>HAVERQ!W61</f>
        <v>44027</v>
      </c>
      <c r="AD55" s="13">
        <f>HAVERQ!X61</f>
        <v>9276</v>
      </c>
      <c r="AE55" s="13">
        <f>HAVERQ!AD61</f>
        <v>4849</v>
      </c>
      <c r="AF55" s="13">
        <f>HAVERQ!AE61</f>
        <v>12610</v>
      </c>
      <c r="AG55" s="13">
        <f>HAVERQ!AF61</f>
        <v>24649</v>
      </c>
      <c r="AH55" s="13">
        <f>HAVERQ!AG61</f>
        <v>26255</v>
      </c>
      <c r="AI55" s="13">
        <f>HAVERQ!AH61</f>
        <v>15313</v>
      </c>
    </row>
    <row r="56" spans="1:35" x14ac:dyDescent="0.35">
      <c r="A56" t="s">
        <v>221</v>
      </c>
      <c r="B56" t="str">
        <f t="shared" si="16"/>
        <v>2002</v>
      </c>
      <c r="C56" t="str">
        <f t="shared" si="17"/>
        <v>Q4</v>
      </c>
      <c r="D56" s="13">
        <f>HAVERQ!AL62</f>
        <v>194147</v>
      </c>
      <c r="E56" s="13">
        <f>HAVERQ!AM62</f>
        <v>5679</v>
      </c>
      <c r="F56" s="13">
        <f>HAVERQ!AN62</f>
        <v>54932</v>
      </c>
      <c r="G56" s="13">
        <f>HAVERQ!AO62</f>
        <v>57966</v>
      </c>
      <c r="H56" s="13">
        <f>HAVERQ!AP62</f>
        <v>-781</v>
      </c>
      <c r="I56" s="13">
        <f>HAVERQ!AQ62</f>
        <v>672</v>
      </c>
      <c r="J56" s="13">
        <f>HAVERQ!AR62</f>
        <v>71235</v>
      </c>
      <c r="K56" s="13">
        <f>HAVERQ!AS62</f>
        <v>79946</v>
      </c>
      <c r="L56" s="13">
        <f>HAVERQ!U62</f>
        <v>47474</v>
      </c>
      <c r="M56" s="13">
        <f>HAVERQ!V62</f>
        <v>10415</v>
      </c>
      <c r="N56" s="13">
        <f>HAVERQ!Y62</f>
        <v>5000</v>
      </c>
      <c r="O56" s="13">
        <f>HAVERQ!Z62</f>
        <v>13466</v>
      </c>
      <c r="P56" s="13">
        <f>HAVERQ!AA62</f>
        <v>26872</v>
      </c>
      <c r="Q56" s="13">
        <f>HAVERQ!AB62</f>
        <v>29522</v>
      </c>
      <c r="R56" s="13">
        <f>HAVERQ!AC62</f>
        <v>15530</v>
      </c>
      <c r="U56" s="13">
        <f>HAVERQ!AU62</f>
        <v>199004</v>
      </c>
      <c r="V56" s="13">
        <f>HAVERQ!AV62</f>
        <v>5679</v>
      </c>
      <c r="W56" s="13">
        <f>HAVERQ!AW62</f>
        <v>54801</v>
      </c>
      <c r="X56" s="13">
        <f>HAVERQ!AX62</f>
        <v>58853</v>
      </c>
      <c r="Y56" s="13">
        <f>HAVERQ!AY62</f>
        <v>-4967</v>
      </c>
      <c r="Z56" s="13">
        <f>HAVERQ!AZ62</f>
        <v>704</v>
      </c>
      <c r="AA56" s="13">
        <f>HAVERQ!BA62</f>
        <v>72276</v>
      </c>
      <c r="AB56" s="13">
        <f>HAVERQ!BB62</f>
        <v>79487</v>
      </c>
      <c r="AC56" s="13">
        <f>HAVERQ!W62</f>
        <v>48096</v>
      </c>
      <c r="AD56" s="13">
        <f>HAVERQ!X62</f>
        <v>9946</v>
      </c>
      <c r="AE56" s="13">
        <f>HAVERQ!AD62</f>
        <v>4485</v>
      </c>
      <c r="AF56" s="13">
        <f>HAVERQ!AE62</f>
        <v>14380</v>
      </c>
      <c r="AG56" s="13">
        <f>HAVERQ!AF62</f>
        <v>26817</v>
      </c>
      <c r="AH56" s="13">
        <f>HAVERQ!AG62</f>
        <v>29433</v>
      </c>
      <c r="AI56" s="13">
        <f>HAVERQ!AH62</f>
        <v>15558</v>
      </c>
    </row>
    <row r="57" spans="1:35" x14ac:dyDescent="0.35">
      <c r="A57" t="s">
        <v>222</v>
      </c>
      <c r="B57" t="str">
        <f t="shared" si="16"/>
        <v>2003</v>
      </c>
      <c r="C57" t="str">
        <f t="shared" si="17"/>
        <v>Q1</v>
      </c>
      <c r="D57" s="13">
        <f>HAVERQ!AL63</f>
        <v>195824</v>
      </c>
      <c r="E57" s="13">
        <f>HAVERQ!AM63</f>
        <v>5786</v>
      </c>
      <c r="F57" s="13">
        <f>HAVERQ!AN63</f>
        <v>56221</v>
      </c>
      <c r="G57" s="13">
        <f>HAVERQ!AO63</f>
        <v>58061</v>
      </c>
      <c r="H57" s="13">
        <f>HAVERQ!AP63</f>
        <v>-2987</v>
      </c>
      <c r="I57" s="13">
        <f>HAVERQ!AQ63</f>
        <v>534</v>
      </c>
      <c r="J57" s="13">
        <f>HAVERQ!AR63</f>
        <v>76219</v>
      </c>
      <c r="K57" s="13">
        <f>HAVERQ!AS63</f>
        <v>82082</v>
      </c>
      <c r="L57" s="13">
        <f>HAVERQ!U63</f>
        <v>47410</v>
      </c>
      <c r="M57" s="13">
        <f>HAVERQ!V63</f>
        <v>11535</v>
      </c>
      <c r="N57" s="13">
        <f>HAVERQ!Y63</f>
        <v>4755</v>
      </c>
      <c r="O57" s="13">
        <f>HAVERQ!Z63</f>
        <v>13603</v>
      </c>
      <c r="P57" s="13">
        <f>HAVERQ!AA63</f>
        <v>25602</v>
      </c>
      <c r="Q57" s="13">
        <f>HAVERQ!AB63</f>
        <v>30514</v>
      </c>
      <c r="R57" s="13">
        <f>HAVERQ!AC63</f>
        <v>15984</v>
      </c>
      <c r="U57" s="13">
        <f>HAVERQ!AU63</f>
        <v>188977</v>
      </c>
      <c r="V57" s="13">
        <f>HAVERQ!AV63</f>
        <v>5786</v>
      </c>
      <c r="W57" s="13">
        <f>HAVERQ!AW63</f>
        <v>56244</v>
      </c>
      <c r="X57" s="13">
        <f>HAVERQ!AX63</f>
        <v>59640</v>
      </c>
      <c r="Y57" s="13">
        <f>HAVERQ!AY63</f>
        <v>1181</v>
      </c>
      <c r="Z57" s="13">
        <f>HAVERQ!AZ63</f>
        <v>492</v>
      </c>
      <c r="AA57" s="13">
        <f>HAVERQ!BA63</f>
        <v>73957</v>
      </c>
      <c r="AB57" s="13">
        <f>HAVERQ!BB63</f>
        <v>79252</v>
      </c>
      <c r="AC57" s="13">
        <f>HAVERQ!W63</f>
        <v>46812</v>
      </c>
      <c r="AD57" s="13">
        <f>HAVERQ!X63</f>
        <v>14123</v>
      </c>
      <c r="AE57" s="13">
        <f>HAVERQ!AD63</f>
        <v>4457</v>
      </c>
      <c r="AF57" s="13">
        <f>HAVERQ!AE63</f>
        <v>14290</v>
      </c>
      <c r="AG57" s="13">
        <f>HAVERQ!AF63</f>
        <v>26139</v>
      </c>
      <c r="AH57" s="13">
        <f>HAVERQ!AG63</f>
        <v>31328</v>
      </c>
      <c r="AI57" s="13">
        <f>HAVERQ!AH63</f>
        <v>16155</v>
      </c>
    </row>
    <row r="58" spans="1:35" x14ac:dyDescent="0.35">
      <c r="A58" t="s">
        <v>223</v>
      </c>
      <c r="B58" t="str">
        <f t="shared" si="16"/>
        <v>2003</v>
      </c>
      <c r="C58" t="str">
        <f t="shared" si="17"/>
        <v>Q2</v>
      </c>
      <c r="D58" s="13">
        <f>HAVERQ!AL64</f>
        <v>198101</v>
      </c>
      <c r="E58" s="13">
        <f>HAVERQ!AM64</f>
        <v>5954</v>
      </c>
      <c r="F58" s="13">
        <f>HAVERQ!AN64</f>
        <v>59353</v>
      </c>
      <c r="G58" s="13">
        <f>HAVERQ!AO64</f>
        <v>55216</v>
      </c>
      <c r="H58" s="13">
        <f>HAVERQ!AP64</f>
        <v>634</v>
      </c>
      <c r="I58" s="13">
        <f>HAVERQ!AQ64</f>
        <v>691</v>
      </c>
      <c r="J58" s="13">
        <f>HAVERQ!AR64</f>
        <v>74751</v>
      </c>
      <c r="K58" s="13">
        <f>HAVERQ!AS64</f>
        <v>81077</v>
      </c>
      <c r="L58" s="13">
        <f>HAVERQ!U64</f>
        <v>43668</v>
      </c>
      <c r="M58" s="13">
        <f>HAVERQ!V64</f>
        <v>10531</v>
      </c>
      <c r="N58" s="13">
        <f>HAVERQ!Y64</f>
        <v>4031</v>
      </c>
      <c r="O58" s="13">
        <f>HAVERQ!Z64</f>
        <v>12230</v>
      </c>
      <c r="P58" s="13">
        <f>HAVERQ!AA64</f>
        <v>25821</v>
      </c>
      <c r="Q58" s="13">
        <f>HAVERQ!AB64</f>
        <v>26377</v>
      </c>
      <c r="R58" s="13">
        <f>HAVERQ!AC64</f>
        <v>16579</v>
      </c>
      <c r="U58" s="13">
        <f>HAVERQ!AU64</f>
        <v>196693</v>
      </c>
      <c r="V58" s="13">
        <f>HAVERQ!AV64</f>
        <v>5954</v>
      </c>
      <c r="W58" s="13">
        <f>HAVERQ!AW64</f>
        <v>59530</v>
      </c>
      <c r="X58" s="13">
        <f>HAVERQ!AX64</f>
        <v>53115</v>
      </c>
      <c r="Y58" s="13">
        <f>HAVERQ!AY64</f>
        <v>-1664</v>
      </c>
      <c r="Z58" s="13">
        <f>HAVERQ!AZ64</f>
        <v>742</v>
      </c>
      <c r="AA58" s="13">
        <f>HAVERQ!BA64</f>
        <v>75263</v>
      </c>
      <c r="AB58" s="13">
        <f>HAVERQ!BB64</f>
        <v>81520</v>
      </c>
      <c r="AC58" s="13">
        <f>HAVERQ!W64</f>
        <v>43812</v>
      </c>
      <c r="AD58" s="13">
        <f>HAVERQ!X64</f>
        <v>9387</v>
      </c>
      <c r="AE58" s="13">
        <f>HAVERQ!AD64</f>
        <v>4747</v>
      </c>
      <c r="AF58" s="13">
        <f>HAVERQ!AE64</f>
        <v>11172</v>
      </c>
      <c r="AG58" s="13">
        <f>HAVERQ!AF64</f>
        <v>25201</v>
      </c>
      <c r="AH58" s="13">
        <f>HAVERQ!AG64</f>
        <v>25687</v>
      </c>
      <c r="AI58" s="13">
        <f>HAVERQ!AH64</f>
        <v>16455</v>
      </c>
    </row>
    <row r="59" spans="1:35" x14ac:dyDescent="0.35">
      <c r="A59" t="s">
        <v>224</v>
      </c>
      <c r="B59" t="str">
        <f t="shared" si="16"/>
        <v>2003</v>
      </c>
      <c r="C59" t="str">
        <f t="shared" si="17"/>
        <v>Q3</v>
      </c>
      <c r="D59" s="13">
        <f>HAVERQ!AL65</f>
        <v>200968</v>
      </c>
      <c r="E59" s="13">
        <f>HAVERQ!AM65</f>
        <v>6071</v>
      </c>
      <c r="F59" s="13">
        <f>HAVERQ!AN65</f>
        <v>59719</v>
      </c>
      <c r="G59" s="13">
        <f>HAVERQ!AO65</f>
        <v>55995</v>
      </c>
      <c r="H59" s="13">
        <f>HAVERQ!AP65</f>
        <v>2721</v>
      </c>
      <c r="I59" s="13">
        <f>HAVERQ!AQ65</f>
        <v>615</v>
      </c>
      <c r="J59" s="13">
        <f>HAVERQ!AR65</f>
        <v>75075</v>
      </c>
      <c r="K59" s="13">
        <f>HAVERQ!AS65</f>
        <v>82289</v>
      </c>
      <c r="L59" s="13">
        <f>HAVERQ!U65</f>
        <v>44102</v>
      </c>
      <c r="M59" s="13">
        <f>HAVERQ!V65</f>
        <v>10955</v>
      </c>
      <c r="N59" s="13">
        <f>HAVERQ!Y65</f>
        <v>4697</v>
      </c>
      <c r="O59" s="13">
        <f>HAVERQ!Z65</f>
        <v>12119</v>
      </c>
      <c r="P59" s="13">
        <f>HAVERQ!AA65</f>
        <v>26449</v>
      </c>
      <c r="Q59" s="13">
        <f>HAVERQ!AB65</f>
        <v>26759</v>
      </c>
      <c r="R59" s="13">
        <f>HAVERQ!AC65</f>
        <v>16431</v>
      </c>
      <c r="U59" s="13">
        <f>HAVERQ!AU65</f>
        <v>203885</v>
      </c>
      <c r="V59" s="13">
        <f>HAVERQ!AV65</f>
        <v>6071</v>
      </c>
      <c r="W59" s="13">
        <f>HAVERQ!AW65</f>
        <v>59709</v>
      </c>
      <c r="X59" s="13">
        <f>HAVERQ!AX65</f>
        <v>55187</v>
      </c>
      <c r="Y59" s="13">
        <f>HAVERQ!AY65</f>
        <v>3850</v>
      </c>
      <c r="Z59" s="13">
        <f>HAVERQ!AZ65</f>
        <v>580</v>
      </c>
      <c r="AA59" s="13">
        <f>HAVERQ!BA65</f>
        <v>75826</v>
      </c>
      <c r="AB59" s="13">
        <f>HAVERQ!BB65</f>
        <v>85311</v>
      </c>
      <c r="AC59" s="13">
        <f>HAVERQ!W65</f>
        <v>43046</v>
      </c>
      <c r="AD59" s="13">
        <f>HAVERQ!X65</f>
        <v>9947</v>
      </c>
      <c r="AE59" s="13">
        <f>HAVERQ!AD65</f>
        <v>4695</v>
      </c>
      <c r="AF59" s="13">
        <f>HAVERQ!AE65</f>
        <v>11633</v>
      </c>
      <c r="AG59" s="13">
        <f>HAVERQ!AF65</f>
        <v>26456</v>
      </c>
      <c r="AH59" s="13">
        <f>HAVERQ!AG65</f>
        <v>25797</v>
      </c>
      <c r="AI59" s="13">
        <f>HAVERQ!AH65</f>
        <v>16349</v>
      </c>
    </row>
    <row r="60" spans="1:35" x14ac:dyDescent="0.35">
      <c r="A60" t="s">
        <v>225</v>
      </c>
      <c r="B60" t="str">
        <f t="shared" si="16"/>
        <v>2003</v>
      </c>
      <c r="C60" t="str">
        <f t="shared" si="17"/>
        <v>Q4</v>
      </c>
      <c r="D60" s="13">
        <f>HAVERQ!AL66</f>
        <v>203045</v>
      </c>
      <c r="E60" s="13">
        <f>HAVERQ!AM66</f>
        <v>6216</v>
      </c>
      <c r="F60" s="13">
        <f>HAVERQ!AN66</f>
        <v>60825</v>
      </c>
      <c r="G60" s="13">
        <f>HAVERQ!AO66</f>
        <v>56280</v>
      </c>
      <c r="H60" s="13">
        <f>HAVERQ!AP66</f>
        <v>2627</v>
      </c>
      <c r="I60" s="13">
        <f>HAVERQ!AQ66</f>
        <v>933</v>
      </c>
      <c r="J60" s="13">
        <f>HAVERQ!AR66</f>
        <v>76560</v>
      </c>
      <c r="K60" s="13">
        <f>HAVERQ!AS66</f>
        <v>84058</v>
      </c>
      <c r="L60" s="13">
        <f>HAVERQ!U66</f>
        <v>43762</v>
      </c>
      <c r="M60" s="13">
        <f>HAVERQ!V66</f>
        <v>10809</v>
      </c>
      <c r="N60" s="13">
        <f>HAVERQ!Y66</f>
        <v>4397</v>
      </c>
      <c r="O60" s="13">
        <f>HAVERQ!Z66</f>
        <v>11551</v>
      </c>
      <c r="P60" s="13">
        <f>HAVERQ!AA66</f>
        <v>27273</v>
      </c>
      <c r="Q60" s="13">
        <f>HAVERQ!AB66</f>
        <v>27710</v>
      </c>
      <c r="R60" s="13">
        <f>HAVERQ!AC66</f>
        <v>16550</v>
      </c>
      <c r="U60" s="13">
        <f>HAVERQ!AU66</f>
        <v>208383</v>
      </c>
      <c r="V60" s="13">
        <f>HAVERQ!AV66</f>
        <v>6216</v>
      </c>
      <c r="W60" s="13">
        <f>HAVERQ!AW66</f>
        <v>60635</v>
      </c>
      <c r="X60" s="13">
        <f>HAVERQ!AX66</f>
        <v>57610</v>
      </c>
      <c r="Y60" s="13">
        <f>HAVERQ!AY66</f>
        <v>-372</v>
      </c>
      <c r="Z60" s="13">
        <f>HAVERQ!AZ66</f>
        <v>959</v>
      </c>
      <c r="AA60" s="13">
        <f>HAVERQ!BA66</f>
        <v>77559</v>
      </c>
      <c r="AB60" s="13">
        <f>HAVERQ!BB66</f>
        <v>83423</v>
      </c>
      <c r="AC60" s="13">
        <f>HAVERQ!W66</f>
        <v>45272</v>
      </c>
      <c r="AD60" s="13">
        <f>HAVERQ!X66</f>
        <v>10374</v>
      </c>
      <c r="AE60" s="13">
        <f>HAVERQ!AD66</f>
        <v>3981</v>
      </c>
      <c r="AF60" s="13">
        <f>HAVERQ!AE66</f>
        <v>12408</v>
      </c>
      <c r="AG60" s="13">
        <f>HAVERQ!AF66</f>
        <v>27348</v>
      </c>
      <c r="AH60" s="13">
        <f>HAVERQ!AG66</f>
        <v>28547</v>
      </c>
      <c r="AI60" s="13">
        <f>HAVERQ!AH66</f>
        <v>16584</v>
      </c>
    </row>
    <row r="61" spans="1:35" x14ac:dyDescent="0.35">
      <c r="A61" t="s">
        <v>226</v>
      </c>
      <c r="B61" t="str">
        <f t="shared" si="16"/>
        <v>2004</v>
      </c>
      <c r="C61" t="str">
        <f t="shared" si="17"/>
        <v>Q1</v>
      </c>
      <c r="D61" s="13">
        <f>HAVERQ!AL67</f>
        <v>205008</v>
      </c>
      <c r="E61" s="13">
        <f>HAVERQ!AM67</f>
        <v>6281</v>
      </c>
      <c r="F61" s="13">
        <f>HAVERQ!AN67</f>
        <v>61072</v>
      </c>
      <c r="G61" s="13">
        <f>HAVERQ!AO67</f>
        <v>58714</v>
      </c>
      <c r="H61" s="13">
        <f>HAVERQ!AP67</f>
        <v>93</v>
      </c>
      <c r="I61" s="13">
        <f>HAVERQ!AQ67</f>
        <v>557</v>
      </c>
      <c r="J61" s="13">
        <f>HAVERQ!AR67</f>
        <v>76292</v>
      </c>
      <c r="K61" s="13">
        <f>HAVERQ!AS67</f>
        <v>83717</v>
      </c>
      <c r="L61" s="13">
        <f>HAVERQ!U67</f>
        <v>44042</v>
      </c>
      <c r="M61" s="13">
        <f>HAVERQ!V67</f>
        <v>12730</v>
      </c>
      <c r="N61" s="13">
        <f>HAVERQ!Y67</f>
        <v>4317</v>
      </c>
      <c r="O61" s="13">
        <f>HAVERQ!Z67</f>
        <v>12576</v>
      </c>
      <c r="P61" s="13">
        <f>HAVERQ!AA67</f>
        <v>27323</v>
      </c>
      <c r="Q61" s="13">
        <f>HAVERQ!AB67</f>
        <v>29448</v>
      </c>
      <c r="R61" s="13">
        <f>HAVERQ!AC67</f>
        <v>16318</v>
      </c>
      <c r="U61" s="13">
        <f>HAVERQ!AU67</f>
        <v>198027</v>
      </c>
      <c r="V61" s="13">
        <f>HAVERQ!AV67</f>
        <v>6281</v>
      </c>
      <c r="W61" s="13">
        <f>HAVERQ!AW67</f>
        <v>61330</v>
      </c>
      <c r="X61" s="13">
        <f>HAVERQ!AX67</f>
        <v>60842</v>
      </c>
      <c r="Y61" s="13">
        <f>HAVERQ!AY67</f>
        <v>2322</v>
      </c>
      <c r="Z61" s="13">
        <f>HAVERQ!AZ67</f>
        <v>510</v>
      </c>
      <c r="AA61" s="13">
        <f>HAVERQ!BA67</f>
        <v>74290</v>
      </c>
      <c r="AB61" s="13">
        <f>HAVERQ!BB67</f>
        <v>81485</v>
      </c>
      <c r="AC61" s="13">
        <f>HAVERQ!W67</f>
        <v>44169</v>
      </c>
      <c r="AD61" s="13">
        <f>HAVERQ!X67</f>
        <v>15584</v>
      </c>
      <c r="AE61" s="13">
        <f>HAVERQ!AD67</f>
        <v>4038</v>
      </c>
      <c r="AF61" s="13">
        <f>HAVERQ!AE67</f>
        <v>13351</v>
      </c>
      <c r="AG61" s="13">
        <f>HAVERQ!AF67</f>
        <v>27815</v>
      </c>
      <c r="AH61" s="13">
        <f>HAVERQ!AG67</f>
        <v>30976</v>
      </c>
      <c r="AI61" s="13">
        <f>HAVERQ!AH67</f>
        <v>16537</v>
      </c>
    </row>
    <row r="62" spans="1:35" x14ac:dyDescent="0.35">
      <c r="A62" t="s">
        <v>227</v>
      </c>
      <c r="B62" t="str">
        <f t="shared" si="16"/>
        <v>2004</v>
      </c>
      <c r="C62" t="str">
        <f t="shared" si="17"/>
        <v>Q2</v>
      </c>
      <c r="D62" s="13">
        <f>HAVERQ!AL68</f>
        <v>207786</v>
      </c>
      <c r="E62" s="13">
        <f>HAVERQ!AM68</f>
        <v>6392</v>
      </c>
      <c r="F62" s="13">
        <f>HAVERQ!AN68</f>
        <v>64105</v>
      </c>
      <c r="G62" s="13">
        <f>HAVERQ!AO68</f>
        <v>58414</v>
      </c>
      <c r="H62" s="13">
        <f>HAVERQ!AP68</f>
        <v>2490</v>
      </c>
      <c r="I62" s="13">
        <f>HAVERQ!AQ68</f>
        <v>-92</v>
      </c>
      <c r="J62" s="13">
        <f>HAVERQ!AR68</f>
        <v>77871</v>
      </c>
      <c r="K62" s="13">
        <f>HAVERQ!AS68</f>
        <v>85899</v>
      </c>
      <c r="L62" s="13">
        <f>HAVERQ!U68</f>
        <v>41630</v>
      </c>
      <c r="M62" s="13">
        <f>HAVERQ!V68</f>
        <v>12970</v>
      </c>
      <c r="N62" s="13">
        <f>HAVERQ!Y68</f>
        <v>4243</v>
      </c>
      <c r="O62" s="13">
        <f>HAVERQ!Z68</f>
        <v>12530</v>
      </c>
      <c r="P62" s="13">
        <f>HAVERQ!AA68</f>
        <v>26769</v>
      </c>
      <c r="Q62" s="13">
        <f>HAVERQ!AB68</f>
        <v>28818</v>
      </c>
      <c r="R62" s="13">
        <f>HAVERQ!AC68</f>
        <v>16520</v>
      </c>
      <c r="U62" s="13">
        <f>HAVERQ!AU68</f>
        <v>206232</v>
      </c>
      <c r="V62" s="13">
        <f>HAVERQ!AV68</f>
        <v>6392</v>
      </c>
      <c r="W62" s="13">
        <f>HAVERQ!AW68</f>
        <v>64143</v>
      </c>
      <c r="X62" s="13">
        <f>HAVERQ!AX68</f>
        <v>55841</v>
      </c>
      <c r="Y62" s="13">
        <f>HAVERQ!AY68</f>
        <v>416</v>
      </c>
      <c r="Z62" s="13">
        <f>HAVERQ!AZ68</f>
        <v>-30</v>
      </c>
      <c r="AA62" s="13">
        <f>HAVERQ!BA68</f>
        <v>78419</v>
      </c>
      <c r="AB62" s="13">
        <f>HAVERQ!BB68</f>
        <v>86025</v>
      </c>
      <c r="AC62" s="13">
        <f>HAVERQ!W68</f>
        <v>39576</v>
      </c>
      <c r="AD62" s="13">
        <f>HAVERQ!X68</f>
        <v>11990</v>
      </c>
      <c r="AE62" s="13">
        <f>HAVERQ!AD68</f>
        <v>4894</v>
      </c>
      <c r="AF62" s="13">
        <f>HAVERQ!AE68</f>
        <v>11457</v>
      </c>
      <c r="AG62" s="13">
        <f>HAVERQ!AF68</f>
        <v>26134</v>
      </c>
      <c r="AH62" s="13">
        <f>HAVERQ!AG68</f>
        <v>26344</v>
      </c>
      <c r="AI62" s="13">
        <f>HAVERQ!AH68</f>
        <v>16351</v>
      </c>
    </row>
    <row r="63" spans="1:35" x14ac:dyDescent="0.35">
      <c r="A63" t="s">
        <v>228</v>
      </c>
      <c r="B63" t="str">
        <f t="shared" si="16"/>
        <v>2004</v>
      </c>
      <c r="C63" t="str">
        <f t="shared" si="17"/>
        <v>Q3</v>
      </c>
      <c r="D63" s="13">
        <f>HAVERQ!AL69</f>
        <v>209799</v>
      </c>
      <c r="E63" s="13">
        <f>HAVERQ!AM69</f>
        <v>6519</v>
      </c>
      <c r="F63" s="13">
        <f>HAVERQ!AN69</f>
        <v>64903</v>
      </c>
      <c r="G63" s="13">
        <f>HAVERQ!AO69</f>
        <v>59315</v>
      </c>
      <c r="H63" s="13">
        <f>HAVERQ!AP69</f>
        <v>126</v>
      </c>
      <c r="I63" s="13">
        <f>HAVERQ!AQ69</f>
        <v>398</v>
      </c>
      <c r="J63" s="13">
        <f>HAVERQ!AR69</f>
        <v>79845</v>
      </c>
      <c r="K63" s="13">
        <f>HAVERQ!AS69</f>
        <v>88387</v>
      </c>
      <c r="L63" s="13">
        <f>HAVERQ!U69</f>
        <v>41970</v>
      </c>
      <c r="M63" s="13">
        <f>HAVERQ!V69</f>
        <v>14111</v>
      </c>
      <c r="N63" s="13">
        <f>HAVERQ!Y69</f>
        <v>4248</v>
      </c>
      <c r="O63" s="13">
        <f>HAVERQ!Z69</f>
        <v>12655</v>
      </c>
      <c r="P63" s="13">
        <f>HAVERQ!AA69</f>
        <v>27424</v>
      </c>
      <c r="Q63" s="13">
        <f>HAVERQ!AB69</f>
        <v>29154</v>
      </c>
      <c r="R63" s="13">
        <f>HAVERQ!AC69</f>
        <v>17033</v>
      </c>
      <c r="U63" s="13">
        <f>HAVERQ!AU69</f>
        <v>212823</v>
      </c>
      <c r="V63" s="13">
        <f>HAVERQ!AV69</f>
        <v>6519</v>
      </c>
      <c r="W63" s="13">
        <f>HAVERQ!AW69</f>
        <v>64866</v>
      </c>
      <c r="X63" s="13">
        <f>HAVERQ!AX69</f>
        <v>58544</v>
      </c>
      <c r="Y63" s="13">
        <f>HAVERQ!AY69</f>
        <v>4184</v>
      </c>
      <c r="Z63" s="13">
        <f>HAVERQ!AZ69</f>
        <v>355</v>
      </c>
      <c r="AA63" s="13">
        <f>HAVERQ!BA69</f>
        <v>80582</v>
      </c>
      <c r="AB63" s="13">
        <f>HAVERQ!BB69</f>
        <v>91070</v>
      </c>
      <c r="AC63" s="13">
        <f>HAVERQ!W69</f>
        <v>41646</v>
      </c>
      <c r="AD63" s="13">
        <f>HAVERQ!X69</f>
        <v>12864</v>
      </c>
      <c r="AE63" s="13">
        <f>HAVERQ!AD69</f>
        <v>4272</v>
      </c>
      <c r="AF63" s="13">
        <f>HAVERQ!AE69</f>
        <v>12141</v>
      </c>
      <c r="AG63" s="13">
        <f>HAVERQ!AF69</f>
        <v>27414</v>
      </c>
      <c r="AH63" s="13">
        <f>HAVERQ!AG69</f>
        <v>28666</v>
      </c>
      <c r="AI63" s="13">
        <f>HAVERQ!AH69</f>
        <v>16936</v>
      </c>
    </row>
    <row r="64" spans="1:35" x14ac:dyDescent="0.35">
      <c r="A64" t="s">
        <v>229</v>
      </c>
      <c r="B64" t="str">
        <f t="shared" si="16"/>
        <v>2004</v>
      </c>
      <c r="C64" t="str">
        <f t="shared" si="17"/>
        <v>Q4</v>
      </c>
      <c r="D64" s="13">
        <f>HAVERQ!AL70</f>
        <v>213207</v>
      </c>
      <c r="E64" s="13">
        <f>HAVERQ!AM70</f>
        <v>6645</v>
      </c>
      <c r="F64" s="13">
        <f>HAVERQ!AN70</f>
        <v>65988</v>
      </c>
      <c r="G64" s="13">
        <f>HAVERQ!AO70</f>
        <v>59772</v>
      </c>
      <c r="H64" s="13">
        <f>HAVERQ!AP70</f>
        <v>239</v>
      </c>
      <c r="I64" s="13">
        <f>HAVERQ!AQ70</f>
        <v>195</v>
      </c>
      <c r="J64" s="13">
        <f>HAVERQ!AR70</f>
        <v>84301</v>
      </c>
      <c r="K64" s="13">
        <f>HAVERQ!AS70</f>
        <v>91089</v>
      </c>
      <c r="L64" s="13">
        <f>HAVERQ!U70</f>
        <v>43060</v>
      </c>
      <c r="M64" s="13">
        <f>HAVERQ!V70</f>
        <v>14025</v>
      </c>
      <c r="N64" s="13">
        <f>HAVERQ!Y70</f>
        <v>4106</v>
      </c>
      <c r="O64" s="13">
        <f>HAVERQ!Z70</f>
        <v>12573</v>
      </c>
      <c r="P64" s="13">
        <f>HAVERQ!AA70</f>
        <v>27574</v>
      </c>
      <c r="Q64" s="13">
        <f>HAVERQ!AB70</f>
        <v>29609</v>
      </c>
      <c r="R64" s="13">
        <f>HAVERQ!AC70</f>
        <v>17412</v>
      </c>
      <c r="U64" s="13">
        <f>HAVERQ!AU70</f>
        <v>218718</v>
      </c>
      <c r="V64" s="13">
        <f>HAVERQ!AV70</f>
        <v>6645</v>
      </c>
      <c r="W64" s="13">
        <f>HAVERQ!AW70</f>
        <v>65729</v>
      </c>
      <c r="X64" s="13">
        <f>HAVERQ!AX70</f>
        <v>60988</v>
      </c>
      <c r="Y64" s="13">
        <f>HAVERQ!AY70</f>
        <v>-3974</v>
      </c>
      <c r="Z64" s="13">
        <f>HAVERQ!AZ70</f>
        <v>223</v>
      </c>
      <c r="AA64" s="13">
        <f>HAVERQ!BA70</f>
        <v>85018</v>
      </c>
      <c r="AB64" s="13">
        <f>HAVERQ!BB70</f>
        <v>90512</v>
      </c>
      <c r="AC64" s="13">
        <f>HAVERQ!W70</f>
        <v>45311</v>
      </c>
      <c r="AD64" s="13">
        <f>HAVERQ!X70</f>
        <v>13398</v>
      </c>
      <c r="AE64" s="13">
        <f>HAVERQ!AD70</f>
        <v>3708</v>
      </c>
      <c r="AF64" s="13">
        <f>HAVERQ!AE70</f>
        <v>13385</v>
      </c>
      <c r="AG64" s="13">
        <f>HAVERQ!AF70</f>
        <v>27727</v>
      </c>
      <c r="AH64" s="13">
        <f>HAVERQ!AG70</f>
        <v>31043</v>
      </c>
      <c r="AI64" s="13">
        <f>HAVERQ!AH70</f>
        <v>17459</v>
      </c>
    </row>
    <row r="65" spans="1:35" x14ac:dyDescent="0.35">
      <c r="A65" t="s">
        <v>230</v>
      </c>
      <c r="B65" t="str">
        <f t="shared" si="16"/>
        <v>2005</v>
      </c>
      <c r="C65" t="str">
        <f t="shared" si="17"/>
        <v>Q1</v>
      </c>
      <c r="D65" s="13">
        <f>HAVERQ!AL71</f>
        <v>216010</v>
      </c>
      <c r="E65" s="13">
        <f>HAVERQ!AM71</f>
        <v>6732</v>
      </c>
      <c r="F65" s="13">
        <f>HAVERQ!AN71</f>
        <v>65897</v>
      </c>
      <c r="G65" s="13">
        <f>HAVERQ!AO71</f>
        <v>61489</v>
      </c>
      <c r="H65" s="13">
        <f>HAVERQ!AP71</f>
        <v>-300</v>
      </c>
      <c r="I65" s="13">
        <f>HAVERQ!AQ71</f>
        <v>521</v>
      </c>
      <c r="J65" s="13">
        <f>HAVERQ!AR71</f>
        <v>82446</v>
      </c>
      <c r="K65" s="13">
        <f>HAVERQ!AS71</f>
        <v>90956</v>
      </c>
      <c r="L65" s="13">
        <f>HAVERQ!U71</f>
        <v>45364</v>
      </c>
      <c r="M65" s="13">
        <f>HAVERQ!V71</f>
        <v>14514</v>
      </c>
      <c r="N65" s="13">
        <f>HAVERQ!Y71</f>
        <v>3887</v>
      </c>
      <c r="O65" s="13">
        <f>HAVERQ!Z71</f>
        <v>12763</v>
      </c>
      <c r="P65" s="13">
        <f>HAVERQ!AA71</f>
        <v>27732</v>
      </c>
      <c r="Q65" s="13">
        <f>HAVERQ!AB71</f>
        <v>32170</v>
      </c>
      <c r="R65" s="13">
        <f>HAVERQ!AC71</f>
        <v>17646</v>
      </c>
      <c r="U65" s="13">
        <f>HAVERQ!AU71</f>
        <v>209006</v>
      </c>
      <c r="V65" s="13">
        <f>HAVERQ!AV71</f>
        <v>6732</v>
      </c>
      <c r="W65" s="13">
        <f>HAVERQ!AW71</f>
        <v>66265</v>
      </c>
      <c r="X65" s="13">
        <f>HAVERQ!AX71</f>
        <v>63804</v>
      </c>
      <c r="Y65" s="13">
        <f>HAVERQ!AY71</f>
        <v>2633</v>
      </c>
      <c r="Z65" s="13">
        <f>HAVERQ!AZ71</f>
        <v>467</v>
      </c>
      <c r="AA65" s="13">
        <f>HAVERQ!BA71</f>
        <v>79931</v>
      </c>
      <c r="AB65" s="13">
        <f>HAVERQ!BB71</f>
        <v>87447</v>
      </c>
      <c r="AC65" s="13">
        <f>HAVERQ!W71</f>
        <v>43142</v>
      </c>
      <c r="AD65" s="13">
        <f>HAVERQ!X71</f>
        <v>19450</v>
      </c>
      <c r="AE65" s="13">
        <f>HAVERQ!AD71</f>
        <v>3667</v>
      </c>
      <c r="AF65" s="13">
        <f>HAVERQ!AE71</f>
        <v>13539</v>
      </c>
      <c r="AG65" s="13">
        <f>HAVERQ!AF71</f>
        <v>28230</v>
      </c>
      <c r="AH65" s="13">
        <f>HAVERQ!AG71</f>
        <v>33108</v>
      </c>
      <c r="AI65" s="13">
        <f>HAVERQ!AH71</f>
        <v>17940</v>
      </c>
    </row>
    <row r="66" spans="1:35" x14ac:dyDescent="0.35">
      <c r="A66" t="s">
        <v>231</v>
      </c>
      <c r="B66" t="str">
        <f t="shared" si="16"/>
        <v>2005</v>
      </c>
      <c r="C66" t="str">
        <f t="shared" si="17"/>
        <v>Q2</v>
      </c>
      <c r="D66" s="13">
        <f>HAVERQ!AL72</f>
        <v>216125</v>
      </c>
      <c r="E66" s="13">
        <f>HAVERQ!AM72</f>
        <v>6917</v>
      </c>
      <c r="F66" s="13">
        <f>HAVERQ!AN72</f>
        <v>68682</v>
      </c>
      <c r="G66" s="13">
        <f>HAVERQ!AO72</f>
        <v>63592</v>
      </c>
      <c r="H66" s="13">
        <f>HAVERQ!AP72</f>
        <v>573</v>
      </c>
      <c r="I66" s="13">
        <f>HAVERQ!AQ72</f>
        <v>286</v>
      </c>
      <c r="J66" s="13">
        <f>HAVERQ!AR72</f>
        <v>87550</v>
      </c>
      <c r="K66" s="13">
        <f>HAVERQ!AS72</f>
        <v>94123</v>
      </c>
      <c r="L66" s="13">
        <f>HAVERQ!U72</f>
        <v>66508</v>
      </c>
      <c r="M66" s="13">
        <f>HAVERQ!V72</f>
        <v>-8497</v>
      </c>
      <c r="N66" s="13">
        <f>HAVERQ!Y72</f>
        <v>4410</v>
      </c>
      <c r="O66" s="13">
        <f>HAVERQ!Z72</f>
        <v>13389</v>
      </c>
      <c r="P66" s="13">
        <f>HAVERQ!AA72</f>
        <v>28047</v>
      </c>
      <c r="Q66" s="13">
        <f>HAVERQ!AB72</f>
        <v>29760</v>
      </c>
      <c r="R66" s="13">
        <f>HAVERQ!AC72</f>
        <v>17651</v>
      </c>
      <c r="U66" s="13">
        <f>HAVERQ!AU72</f>
        <v>214975</v>
      </c>
      <c r="V66" s="13">
        <f>HAVERQ!AV72</f>
        <v>6917</v>
      </c>
      <c r="W66" s="13">
        <f>HAVERQ!AW72</f>
        <v>68625</v>
      </c>
      <c r="X66" s="13">
        <f>HAVERQ!AX72</f>
        <v>61086</v>
      </c>
      <c r="Y66" s="13">
        <f>HAVERQ!AY72</f>
        <v>-1950</v>
      </c>
      <c r="Z66" s="13">
        <f>HAVERQ!AZ72</f>
        <v>352</v>
      </c>
      <c r="AA66" s="13">
        <f>HAVERQ!BA72</f>
        <v>89164</v>
      </c>
      <c r="AB66" s="13">
        <f>HAVERQ!BB72</f>
        <v>94992</v>
      </c>
      <c r="AC66" s="13">
        <f>HAVERQ!W72</f>
        <v>67104</v>
      </c>
      <c r="AD66" s="13">
        <f>HAVERQ!X72</f>
        <v>-11491</v>
      </c>
      <c r="AE66" s="13">
        <f>HAVERQ!AD72</f>
        <v>4979</v>
      </c>
      <c r="AF66" s="13">
        <f>HAVERQ!AE72</f>
        <v>12244</v>
      </c>
      <c r="AG66" s="13">
        <f>HAVERQ!AF72</f>
        <v>27364</v>
      </c>
      <c r="AH66" s="13">
        <f>HAVERQ!AG72</f>
        <v>28072</v>
      </c>
      <c r="AI66" s="13">
        <f>HAVERQ!AH72</f>
        <v>17524</v>
      </c>
    </row>
    <row r="67" spans="1:35" x14ac:dyDescent="0.35">
      <c r="A67" t="s">
        <v>232</v>
      </c>
      <c r="B67" t="str">
        <f t="shared" si="16"/>
        <v>2005</v>
      </c>
      <c r="C67" t="str">
        <f t="shared" si="17"/>
        <v>Q3</v>
      </c>
      <c r="D67" s="13">
        <f>HAVERQ!AL73</f>
        <v>219475</v>
      </c>
      <c r="E67" s="13">
        <f>HAVERQ!AM73</f>
        <v>6900</v>
      </c>
      <c r="F67" s="13">
        <f>HAVERQ!AN73</f>
        <v>68990</v>
      </c>
      <c r="G67" s="13">
        <f>HAVERQ!AO73</f>
        <v>64133</v>
      </c>
      <c r="H67" s="13">
        <f>HAVERQ!AP73</f>
        <v>1424</v>
      </c>
      <c r="I67" s="13">
        <f>HAVERQ!AQ73</f>
        <v>281</v>
      </c>
      <c r="J67" s="13">
        <f>HAVERQ!AR73</f>
        <v>90024</v>
      </c>
      <c r="K67" s="13">
        <f>HAVERQ!AS73</f>
        <v>97803</v>
      </c>
      <c r="L67" s="13">
        <f>HAVERQ!U73</f>
        <v>48527</v>
      </c>
      <c r="M67" s="13">
        <f>HAVERQ!V73</f>
        <v>14323</v>
      </c>
      <c r="N67" s="13">
        <f>HAVERQ!Y73</f>
        <v>4210</v>
      </c>
      <c r="O67" s="13">
        <f>HAVERQ!Z73</f>
        <v>15198</v>
      </c>
      <c r="P67" s="13">
        <f>HAVERQ!AA73</f>
        <v>28092</v>
      </c>
      <c r="Q67" s="13">
        <f>HAVERQ!AB73</f>
        <v>31867</v>
      </c>
      <c r="R67" s="13">
        <f>HAVERQ!AC73</f>
        <v>18194</v>
      </c>
      <c r="U67" s="13">
        <f>HAVERQ!AU73</f>
        <v>222027</v>
      </c>
      <c r="V67" s="13">
        <f>HAVERQ!AV73</f>
        <v>6900</v>
      </c>
      <c r="W67" s="13">
        <f>HAVERQ!AW73</f>
        <v>68976</v>
      </c>
      <c r="X67" s="13">
        <f>HAVERQ!AX73</f>
        <v>63139</v>
      </c>
      <c r="Y67" s="13">
        <f>HAVERQ!AY73</f>
        <v>3112</v>
      </c>
      <c r="Z67" s="13">
        <f>HAVERQ!AZ73</f>
        <v>244</v>
      </c>
      <c r="AA67" s="13">
        <f>HAVERQ!BA73</f>
        <v>90012</v>
      </c>
      <c r="AB67" s="13">
        <f>HAVERQ!BB73</f>
        <v>100911</v>
      </c>
      <c r="AC67" s="13">
        <f>HAVERQ!W73</f>
        <v>48523</v>
      </c>
      <c r="AD67" s="13">
        <f>HAVERQ!X73</f>
        <v>12968</v>
      </c>
      <c r="AE67" s="13">
        <f>HAVERQ!AD73</f>
        <v>4200</v>
      </c>
      <c r="AF67" s="13">
        <f>HAVERQ!AE73</f>
        <v>14668</v>
      </c>
      <c r="AG67" s="13">
        <f>HAVERQ!AF73</f>
        <v>28079</v>
      </c>
      <c r="AH67" s="13">
        <f>HAVERQ!AG73</f>
        <v>31726</v>
      </c>
      <c r="AI67" s="13">
        <f>HAVERQ!AH73</f>
        <v>18042</v>
      </c>
    </row>
    <row r="68" spans="1:35" x14ac:dyDescent="0.35">
      <c r="A68" t="s">
        <v>233</v>
      </c>
      <c r="B68" t="str">
        <f t="shared" si="16"/>
        <v>2005</v>
      </c>
      <c r="C68" t="str">
        <f t="shared" si="17"/>
        <v>Q4</v>
      </c>
      <c r="D68" s="13">
        <f>HAVERQ!AL74</f>
        <v>222050</v>
      </c>
      <c r="E68" s="13">
        <f>HAVERQ!AM74</f>
        <v>7178</v>
      </c>
      <c r="F68" s="13">
        <f>HAVERQ!AN74</f>
        <v>69802</v>
      </c>
      <c r="G68" s="13">
        <f>HAVERQ!AO74</f>
        <v>65196</v>
      </c>
      <c r="H68" s="13">
        <f>HAVERQ!AP74</f>
        <v>691</v>
      </c>
      <c r="I68" s="13">
        <f>HAVERQ!AQ74</f>
        <v>498</v>
      </c>
      <c r="J68" s="13">
        <f>HAVERQ!AR74</f>
        <v>93697</v>
      </c>
      <c r="K68" s="13">
        <f>HAVERQ!AS74</f>
        <v>100728</v>
      </c>
      <c r="L68" s="13">
        <f>HAVERQ!U74</f>
        <v>49209</v>
      </c>
      <c r="M68" s="13">
        <f>HAVERQ!V74</f>
        <v>13437</v>
      </c>
      <c r="N68" s="13">
        <f>HAVERQ!Y74</f>
        <v>4382</v>
      </c>
      <c r="O68" s="13">
        <f>HAVERQ!Z74</f>
        <v>15035</v>
      </c>
      <c r="P68" s="13">
        <f>HAVERQ!AA74</f>
        <v>27485</v>
      </c>
      <c r="Q68" s="13">
        <f>HAVERQ!AB74</f>
        <v>33124</v>
      </c>
      <c r="R68" s="13">
        <f>HAVERQ!AC74</f>
        <v>18143</v>
      </c>
      <c r="U68" s="13">
        <f>HAVERQ!AU74</f>
        <v>227652</v>
      </c>
      <c r="V68" s="13">
        <f>HAVERQ!AV74</f>
        <v>7178</v>
      </c>
      <c r="W68" s="13">
        <f>HAVERQ!AW74</f>
        <v>69505</v>
      </c>
      <c r="X68" s="13">
        <f>HAVERQ!AX74</f>
        <v>66381</v>
      </c>
      <c r="Y68" s="13">
        <f>HAVERQ!AY74</f>
        <v>-1407</v>
      </c>
      <c r="Z68" s="13">
        <f>HAVERQ!AZ74</f>
        <v>523</v>
      </c>
      <c r="AA68" s="13">
        <f>HAVERQ!BA74</f>
        <v>94610</v>
      </c>
      <c r="AB68" s="13">
        <f>HAVERQ!BB74</f>
        <v>100260</v>
      </c>
      <c r="AC68" s="13">
        <f>HAVERQ!W74</f>
        <v>50838</v>
      </c>
      <c r="AD68" s="13">
        <f>HAVERQ!X74</f>
        <v>12850</v>
      </c>
      <c r="AE68" s="13">
        <f>HAVERQ!AD74</f>
        <v>4044</v>
      </c>
      <c r="AF68" s="13">
        <f>HAVERQ!AE74</f>
        <v>15934</v>
      </c>
      <c r="AG68" s="13">
        <f>HAVERQ!AF74</f>
        <v>27684</v>
      </c>
      <c r="AH68" s="13">
        <f>HAVERQ!AG74</f>
        <v>34015</v>
      </c>
      <c r="AI68" s="13">
        <f>HAVERQ!AH74</f>
        <v>18128</v>
      </c>
    </row>
    <row r="69" spans="1:35" x14ac:dyDescent="0.35">
      <c r="A69" t="s">
        <v>234</v>
      </c>
      <c r="B69" t="str">
        <f t="shared" si="16"/>
        <v>2006</v>
      </c>
      <c r="C69" t="str">
        <f t="shared" si="17"/>
        <v>Q1</v>
      </c>
      <c r="D69" s="13">
        <f>HAVERQ!AL75</f>
        <v>222625</v>
      </c>
      <c r="E69" s="13">
        <f>HAVERQ!AM75</f>
        <v>7222</v>
      </c>
      <c r="F69" s="13">
        <f>HAVERQ!AN75</f>
        <v>71599</v>
      </c>
      <c r="G69" s="13">
        <f>HAVERQ!AO75</f>
        <v>66330</v>
      </c>
      <c r="H69" s="13">
        <f>HAVERQ!AP75</f>
        <v>3167</v>
      </c>
      <c r="I69" s="13">
        <f>HAVERQ!AQ75</f>
        <v>1011</v>
      </c>
      <c r="J69" s="13">
        <f>HAVERQ!AR75</f>
        <v>103759</v>
      </c>
      <c r="K69" s="13">
        <f>HAVERQ!AS75</f>
        <v>113118</v>
      </c>
      <c r="L69" s="13">
        <f>HAVERQ!U75</f>
        <v>51842</v>
      </c>
      <c r="M69" s="13">
        <f>HAVERQ!V75</f>
        <v>12541</v>
      </c>
      <c r="N69" s="13">
        <f>HAVERQ!Y75</f>
        <v>4957</v>
      </c>
      <c r="O69" s="13">
        <f>HAVERQ!Z75</f>
        <v>14559</v>
      </c>
      <c r="P69" s="13">
        <f>HAVERQ!AA75</f>
        <v>27930</v>
      </c>
      <c r="Q69" s="13">
        <f>HAVERQ!AB75</f>
        <v>33072</v>
      </c>
      <c r="R69" s="13">
        <f>HAVERQ!AC75</f>
        <v>18375</v>
      </c>
      <c r="U69" s="13">
        <f>HAVERQ!AU75</f>
        <v>215438</v>
      </c>
      <c r="V69" s="13">
        <f>HAVERQ!AV75</f>
        <v>7222</v>
      </c>
      <c r="W69" s="13">
        <f>HAVERQ!AW75</f>
        <v>72125</v>
      </c>
      <c r="X69" s="13">
        <f>HAVERQ!AX75</f>
        <v>67861</v>
      </c>
      <c r="Y69" s="13">
        <f>HAVERQ!AY75</f>
        <v>6404</v>
      </c>
      <c r="Z69" s="13">
        <f>HAVERQ!AZ75</f>
        <v>954</v>
      </c>
      <c r="AA69" s="13">
        <f>HAVERQ!BA75</f>
        <v>102127</v>
      </c>
      <c r="AB69" s="13">
        <f>HAVERQ!BB75</f>
        <v>110432</v>
      </c>
      <c r="AC69" s="13">
        <f>HAVERQ!W75</f>
        <v>49667</v>
      </c>
      <c r="AD69" s="13">
        <f>HAVERQ!X75</f>
        <v>16788</v>
      </c>
      <c r="AE69" s="13">
        <f>HAVERQ!AD75</f>
        <v>4516</v>
      </c>
      <c r="AF69" s="13">
        <f>HAVERQ!AE75</f>
        <v>15741</v>
      </c>
      <c r="AG69" s="13">
        <f>HAVERQ!AF75</f>
        <v>28413</v>
      </c>
      <c r="AH69" s="13">
        <f>HAVERQ!AG75</f>
        <v>33249</v>
      </c>
      <c r="AI69" s="13">
        <f>HAVERQ!AH75</f>
        <v>18834</v>
      </c>
    </row>
    <row r="70" spans="1:35" x14ac:dyDescent="0.35">
      <c r="A70" t="s">
        <v>235</v>
      </c>
      <c r="B70" t="str">
        <f t="shared" ref="B70:B133" si="25">LEFT(A70,4)</f>
        <v>2006</v>
      </c>
      <c r="C70" t="str">
        <f t="shared" ref="C70:C133" si="26">RIGHT(A70,2)</f>
        <v>Q2</v>
      </c>
      <c r="D70" s="13">
        <f>HAVERQ!AL76</f>
        <v>225344</v>
      </c>
      <c r="E70" s="13">
        <f>HAVERQ!AM76</f>
        <v>7296</v>
      </c>
      <c r="F70" s="13">
        <f>HAVERQ!AN76</f>
        <v>72289</v>
      </c>
      <c r="G70" s="13">
        <f>HAVERQ!AO76</f>
        <v>67036</v>
      </c>
      <c r="H70" s="13">
        <f>HAVERQ!AP76</f>
        <v>2699</v>
      </c>
      <c r="I70" s="13">
        <f>HAVERQ!AQ76</f>
        <v>943</v>
      </c>
      <c r="J70" s="13">
        <f>HAVERQ!AR76</f>
        <v>108341</v>
      </c>
      <c r="K70" s="13">
        <f>HAVERQ!AS76</f>
        <v>115426</v>
      </c>
      <c r="L70" s="13">
        <f>HAVERQ!U76</f>
        <v>49901</v>
      </c>
      <c r="M70" s="13">
        <f>HAVERQ!V76</f>
        <v>12967</v>
      </c>
      <c r="N70" s="13">
        <f>HAVERQ!Y76</f>
        <v>4310</v>
      </c>
      <c r="O70" s="13">
        <f>HAVERQ!Z76</f>
        <v>15302</v>
      </c>
      <c r="P70" s="13">
        <f>HAVERQ!AA76</f>
        <v>26831</v>
      </c>
      <c r="Q70" s="13">
        <f>HAVERQ!AB76</f>
        <v>33383</v>
      </c>
      <c r="R70" s="13">
        <f>HAVERQ!AC76</f>
        <v>18076</v>
      </c>
      <c r="U70" s="13">
        <f>HAVERQ!AU76</f>
        <v>224235</v>
      </c>
      <c r="V70" s="13">
        <f>HAVERQ!AV76</f>
        <v>7296</v>
      </c>
      <c r="W70" s="13">
        <f>HAVERQ!AW76</f>
        <v>72148</v>
      </c>
      <c r="X70" s="13">
        <f>HAVERQ!AX76</f>
        <v>63565</v>
      </c>
      <c r="Y70" s="13">
        <f>HAVERQ!AY76</f>
        <v>398</v>
      </c>
      <c r="Z70" s="13">
        <f>HAVERQ!AZ76</f>
        <v>1012</v>
      </c>
      <c r="AA70" s="13">
        <f>HAVERQ!BA76</f>
        <v>109520</v>
      </c>
      <c r="AB70" s="13">
        <f>HAVERQ!BB76</f>
        <v>116229</v>
      </c>
      <c r="AC70" s="13">
        <f>HAVERQ!W76</f>
        <v>48819</v>
      </c>
      <c r="AD70" s="13">
        <f>HAVERQ!X76</f>
        <v>9832</v>
      </c>
      <c r="AE70" s="13">
        <f>HAVERQ!AD76</f>
        <v>5034</v>
      </c>
      <c r="AF70" s="13">
        <f>HAVERQ!AE76</f>
        <v>13811</v>
      </c>
      <c r="AG70" s="13">
        <f>HAVERQ!AF76</f>
        <v>26097</v>
      </c>
      <c r="AH70" s="13">
        <f>HAVERQ!AG76</f>
        <v>30155</v>
      </c>
      <c r="AI70" s="13">
        <f>HAVERQ!AH76</f>
        <v>17835</v>
      </c>
    </row>
    <row r="71" spans="1:35" x14ac:dyDescent="0.35">
      <c r="A71" t="s">
        <v>236</v>
      </c>
      <c r="B71" t="str">
        <f t="shared" si="25"/>
        <v>2006</v>
      </c>
      <c r="C71" t="str">
        <f t="shared" si="26"/>
        <v>Q3</v>
      </c>
      <c r="D71" s="13">
        <f>HAVERQ!AL77</f>
        <v>228761</v>
      </c>
      <c r="E71" s="13">
        <f>HAVERQ!AM77</f>
        <v>7333</v>
      </c>
      <c r="F71" s="13">
        <f>HAVERQ!AN77</f>
        <v>72961</v>
      </c>
      <c r="G71" s="13">
        <f>HAVERQ!AO77</f>
        <v>68959</v>
      </c>
      <c r="H71" s="13">
        <f>HAVERQ!AP77</f>
        <v>-229</v>
      </c>
      <c r="I71" s="13">
        <f>HAVERQ!AQ77</f>
        <v>736</v>
      </c>
      <c r="J71" s="13">
        <f>HAVERQ!AR77</f>
        <v>96727</v>
      </c>
      <c r="K71" s="13">
        <f>HAVERQ!AS77</f>
        <v>102666</v>
      </c>
      <c r="L71" s="13">
        <f>HAVERQ!U77</f>
        <v>51539</v>
      </c>
      <c r="M71" s="13">
        <f>HAVERQ!V77</f>
        <v>12842</v>
      </c>
      <c r="N71" s="13">
        <f>HAVERQ!Y77</f>
        <v>5309</v>
      </c>
      <c r="O71" s="13">
        <f>HAVERQ!Z77</f>
        <v>15967</v>
      </c>
      <c r="P71" s="13">
        <f>HAVERQ!AA77</f>
        <v>26241</v>
      </c>
      <c r="Q71" s="13">
        <f>HAVERQ!AB77</f>
        <v>33554</v>
      </c>
      <c r="R71" s="13">
        <f>HAVERQ!AC77</f>
        <v>18007</v>
      </c>
      <c r="U71" s="13">
        <f>HAVERQ!AU77</f>
        <v>230873</v>
      </c>
      <c r="V71" s="13">
        <f>HAVERQ!AV77</f>
        <v>7333</v>
      </c>
      <c r="W71" s="13">
        <f>HAVERQ!AW77</f>
        <v>72915</v>
      </c>
      <c r="X71" s="13">
        <f>HAVERQ!AX77</f>
        <v>68959</v>
      </c>
      <c r="Y71" s="13">
        <f>HAVERQ!AY77</f>
        <v>1638</v>
      </c>
      <c r="Z71" s="13">
        <f>HAVERQ!AZ77</f>
        <v>699</v>
      </c>
      <c r="AA71" s="13">
        <f>HAVERQ!BA77</f>
        <v>96448</v>
      </c>
      <c r="AB71" s="13">
        <f>HAVERQ!BB77</f>
        <v>105462</v>
      </c>
      <c r="AC71" s="13">
        <f>HAVERQ!W77</f>
        <v>51692</v>
      </c>
      <c r="AD71" s="13">
        <f>HAVERQ!X77</f>
        <v>12152</v>
      </c>
      <c r="AE71" s="13">
        <f>HAVERQ!AD77</f>
        <v>5314</v>
      </c>
      <c r="AF71" s="13">
        <f>HAVERQ!AE77</f>
        <v>15350</v>
      </c>
      <c r="AG71" s="13">
        <f>HAVERQ!AF77</f>
        <v>26253</v>
      </c>
      <c r="AH71" s="13">
        <f>HAVERQ!AG77</f>
        <v>34251</v>
      </c>
      <c r="AI71" s="13">
        <f>HAVERQ!AH77</f>
        <v>17798</v>
      </c>
    </row>
    <row r="72" spans="1:35" x14ac:dyDescent="0.35">
      <c r="A72" t="s">
        <v>237</v>
      </c>
      <c r="B72" t="str">
        <f t="shared" si="25"/>
        <v>2006</v>
      </c>
      <c r="C72" t="str">
        <f t="shared" si="26"/>
        <v>Q4</v>
      </c>
      <c r="D72" s="13">
        <f>HAVERQ!AL78</f>
        <v>229923</v>
      </c>
      <c r="E72" s="13">
        <f>HAVERQ!AM78</f>
        <v>7386</v>
      </c>
      <c r="F72" s="13">
        <f>HAVERQ!AN78</f>
        <v>73615</v>
      </c>
      <c r="G72" s="13">
        <f>HAVERQ!AO78</f>
        <v>68973</v>
      </c>
      <c r="H72" s="13">
        <f>HAVERQ!AP78</f>
        <v>26</v>
      </c>
      <c r="I72" s="13">
        <f>HAVERQ!AQ78</f>
        <v>-151</v>
      </c>
      <c r="J72" s="13">
        <f>HAVERQ!AR78</f>
        <v>96357</v>
      </c>
      <c r="K72" s="13">
        <f>HAVERQ!AS78</f>
        <v>101748</v>
      </c>
      <c r="L72" s="13">
        <f>HAVERQ!U78</f>
        <v>49386</v>
      </c>
      <c r="M72" s="13">
        <f>HAVERQ!V78</f>
        <v>13467</v>
      </c>
      <c r="N72" s="13">
        <f>HAVERQ!Y78</f>
        <v>5305</v>
      </c>
      <c r="O72" s="13">
        <f>HAVERQ!Z78</f>
        <v>16004</v>
      </c>
      <c r="P72" s="13">
        <f>HAVERQ!AA78</f>
        <v>25979</v>
      </c>
      <c r="Q72" s="13">
        <f>HAVERQ!AB78</f>
        <v>32231</v>
      </c>
      <c r="R72" s="13">
        <f>HAVERQ!AC78</f>
        <v>18069</v>
      </c>
      <c r="U72" s="13">
        <f>HAVERQ!AU78</f>
        <v>236107</v>
      </c>
      <c r="V72" s="13">
        <f>HAVERQ!AV78</f>
        <v>7386</v>
      </c>
      <c r="W72" s="13">
        <f>HAVERQ!AW78</f>
        <v>73276</v>
      </c>
      <c r="X72" s="13">
        <f>HAVERQ!AX78</f>
        <v>70913</v>
      </c>
      <c r="Y72" s="13">
        <f>HAVERQ!AY78</f>
        <v>-2777</v>
      </c>
      <c r="Z72" s="13">
        <f>HAVERQ!AZ78</f>
        <v>-126</v>
      </c>
      <c r="AA72" s="13">
        <f>HAVERQ!BA78</f>
        <v>97089</v>
      </c>
      <c r="AB72" s="13">
        <f>HAVERQ!BB78</f>
        <v>100835</v>
      </c>
      <c r="AC72" s="13">
        <f>HAVERQ!W78</f>
        <v>52491</v>
      </c>
      <c r="AD72" s="13">
        <f>HAVERQ!X78</f>
        <v>13046</v>
      </c>
      <c r="AE72" s="13">
        <f>HAVERQ!AD78</f>
        <v>5018</v>
      </c>
      <c r="AF72" s="13">
        <f>HAVERQ!AE78</f>
        <v>16931</v>
      </c>
      <c r="AG72" s="13">
        <f>HAVERQ!AF78</f>
        <v>26217</v>
      </c>
      <c r="AH72" s="13">
        <f>HAVERQ!AG78</f>
        <v>34585</v>
      </c>
      <c r="AI72" s="13">
        <f>HAVERQ!AH78</f>
        <v>18060</v>
      </c>
    </row>
    <row r="73" spans="1:35" x14ac:dyDescent="0.35">
      <c r="A73" t="s">
        <v>238</v>
      </c>
      <c r="B73" t="str">
        <f t="shared" si="25"/>
        <v>2007</v>
      </c>
      <c r="C73" t="str">
        <f t="shared" si="26"/>
        <v>Q1</v>
      </c>
      <c r="D73" s="13">
        <f>HAVERQ!AL79</f>
        <v>230658</v>
      </c>
      <c r="E73" s="13">
        <f>HAVERQ!AM79</f>
        <v>7294</v>
      </c>
      <c r="F73" s="13">
        <f>HAVERQ!AN79</f>
        <v>74075</v>
      </c>
      <c r="G73" s="13">
        <f>HAVERQ!AO79</f>
        <v>70610</v>
      </c>
      <c r="H73" s="13">
        <f>HAVERQ!AP79</f>
        <v>3962</v>
      </c>
      <c r="I73" s="13">
        <f>HAVERQ!AQ79</f>
        <v>716</v>
      </c>
      <c r="J73" s="13">
        <f>HAVERQ!AR79</f>
        <v>94109</v>
      </c>
      <c r="K73" s="13">
        <f>HAVERQ!AS79</f>
        <v>102752</v>
      </c>
      <c r="L73" s="13">
        <f>HAVERQ!U79</f>
        <v>51948</v>
      </c>
      <c r="M73" s="13">
        <f>HAVERQ!V79</f>
        <v>13258</v>
      </c>
      <c r="N73" s="13">
        <f>HAVERQ!Y79</f>
        <v>5386</v>
      </c>
      <c r="O73" s="13">
        <f>HAVERQ!Z79</f>
        <v>17124</v>
      </c>
      <c r="P73" s="13">
        <f>HAVERQ!AA79</f>
        <v>26388</v>
      </c>
      <c r="Q73" s="13">
        <f>HAVERQ!AB79</f>
        <v>32919</v>
      </c>
      <c r="R73" s="13">
        <f>HAVERQ!AC79</f>
        <v>18199</v>
      </c>
      <c r="U73" s="13">
        <f>HAVERQ!AU79</f>
        <v>223239</v>
      </c>
      <c r="V73" s="13">
        <f>HAVERQ!AV79</f>
        <v>7294</v>
      </c>
      <c r="W73" s="13">
        <f>HAVERQ!AW79</f>
        <v>74759</v>
      </c>
      <c r="X73" s="13">
        <f>HAVERQ!AX79</f>
        <v>74015</v>
      </c>
      <c r="Y73" s="13">
        <f>HAVERQ!AY79</f>
        <v>5480</v>
      </c>
      <c r="Z73" s="13">
        <f>HAVERQ!AZ79</f>
        <v>645</v>
      </c>
      <c r="AA73" s="13">
        <f>HAVERQ!BA79</f>
        <v>92332</v>
      </c>
      <c r="AB73" s="13">
        <f>HAVERQ!BB79</f>
        <v>100697</v>
      </c>
      <c r="AC73" s="13">
        <f>HAVERQ!W79</f>
        <v>52156</v>
      </c>
      <c r="AD73" s="13">
        <f>HAVERQ!X79</f>
        <v>17691</v>
      </c>
      <c r="AE73" s="13">
        <f>HAVERQ!AD79</f>
        <v>4846</v>
      </c>
      <c r="AF73" s="13">
        <f>HAVERQ!AE79</f>
        <v>18547</v>
      </c>
      <c r="AG73" s="13">
        <f>HAVERQ!AF79</f>
        <v>26813</v>
      </c>
      <c r="AH73" s="13">
        <f>HAVERQ!AG79</f>
        <v>35583</v>
      </c>
      <c r="AI73" s="13">
        <f>HAVERQ!AH79</f>
        <v>18672</v>
      </c>
    </row>
    <row r="74" spans="1:35" x14ac:dyDescent="0.35">
      <c r="A74" t="s">
        <v>239</v>
      </c>
      <c r="B74" t="str">
        <f t="shared" si="25"/>
        <v>2007</v>
      </c>
      <c r="C74" t="str">
        <f t="shared" si="26"/>
        <v>Q2</v>
      </c>
      <c r="D74" s="13">
        <f>HAVERQ!AL80</f>
        <v>236480</v>
      </c>
      <c r="E74" s="13">
        <f>HAVERQ!AM80</f>
        <v>7381</v>
      </c>
      <c r="F74" s="13">
        <f>HAVERQ!AN80</f>
        <v>75796</v>
      </c>
      <c r="G74" s="13">
        <f>HAVERQ!AO80</f>
        <v>73520</v>
      </c>
      <c r="H74" s="13">
        <f>HAVERQ!AP80</f>
        <v>353</v>
      </c>
      <c r="I74" s="13">
        <f>HAVERQ!AQ80</f>
        <v>-64</v>
      </c>
      <c r="J74" s="13">
        <f>HAVERQ!AR80</f>
        <v>98192</v>
      </c>
      <c r="K74" s="13">
        <f>HAVERQ!AS80</f>
        <v>103709</v>
      </c>
      <c r="L74" s="13">
        <f>HAVERQ!U80</f>
        <v>55519</v>
      </c>
      <c r="M74" s="13">
        <f>HAVERQ!V80</f>
        <v>13327</v>
      </c>
      <c r="N74" s="13">
        <f>HAVERQ!Y80</f>
        <v>5285</v>
      </c>
      <c r="O74" s="13">
        <f>HAVERQ!Z80</f>
        <v>16987</v>
      </c>
      <c r="P74" s="13">
        <f>HAVERQ!AA80</f>
        <v>26234</v>
      </c>
      <c r="Q74" s="13">
        <f>HAVERQ!AB80</f>
        <v>36267</v>
      </c>
      <c r="R74" s="13">
        <f>HAVERQ!AC80</f>
        <v>18852</v>
      </c>
      <c r="U74" s="13">
        <f>HAVERQ!AU80</f>
        <v>235253</v>
      </c>
      <c r="V74" s="13">
        <f>HAVERQ!AV80</f>
        <v>7381</v>
      </c>
      <c r="W74" s="13">
        <f>HAVERQ!AW80</f>
        <v>75542</v>
      </c>
      <c r="X74" s="13">
        <f>HAVERQ!AX80</f>
        <v>68594</v>
      </c>
      <c r="Y74" s="13">
        <f>HAVERQ!AY80</f>
        <v>-3635</v>
      </c>
      <c r="Z74" s="13">
        <f>HAVERQ!AZ80</f>
        <v>13</v>
      </c>
      <c r="AA74" s="13">
        <f>HAVERQ!BA80</f>
        <v>99479</v>
      </c>
      <c r="AB74" s="13">
        <f>HAVERQ!BB80</f>
        <v>104089</v>
      </c>
      <c r="AC74" s="13">
        <f>HAVERQ!W80</f>
        <v>52970</v>
      </c>
      <c r="AD74" s="13">
        <f>HAVERQ!X80</f>
        <v>10174</v>
      </c>
      <c r="AE74" s="13">
        <f>HAVERQ!AD80</f>
        <v>6037</v>
      </c>
      <c r="AF74" s="13">
        <f>HAVERQ!AE80</f>
        <v>15334</v>
      </c>
      <c r="AG74" s="13">
        <f>HAVERQ!AF80</f>
        <v>25450</v>
      </c>
      <c r="AH74" s="13">
        <f>HAVERQ!AG80</f>
        <v>31628</v>
      </c>
      <c r="AI74" s="13">
        <f>HAVERQ!AH80</f>
        <v>18574</v>
      </c>
    </row>
    <row r="75" spans="1:35" x14ac:dyDescent="0.35">
      <c r="A75" t="s">
        <v>240</v>
      </c>
      <c r="B75" t="str">
        <f t="shared" si="25"/>
        <v>2007</v>
      </c>
      <c r="C75" t="str">
        <f t="shared" si="26"/>
        <v>Q3</v>
      </c>
      <c r="D75" s="13">
        <f>HAVERQ!AL81</f>
        <v>242114</v>
      </c>
      <c r="E75" s="13">
        <f>HAVERQ!AM81</f>
        <v>7468</v>
      </c>
      <c r="F75" s="13">
        <f>HAVERQ!AN81</f>
        <v>76754</v>
      </c>
      <c r="G75" s="13">
        <f>HAVERQ!AO81</f>
        <v>71092</v>
      </c>
      <c r="H75" s="13">
        <f>HAVERQ!AP81</f>
        <v>1042</v>
      </c>
      <c r="I75" s="13">
        <f>HAVERQ!AQ81</f>
        <v>793</v>
      </c>
      <c r="J75" s="13">
        <f>HAVERQ!AR81</f>
        <v>99458</v>
      </c>
      <c r="K75" s="13">
        <f>HAVERQ!AS81</f>
        <v>107827</v>
      </c>
      <c r="L75" s="13">
        <f>HAVERQ!U81</f>
        <v>54051</v>
      </c>
      <c r="M75" s="13">
        <f>HAVERQ!V81</f>
        <v>12482</v>
      </c>
      <c r="N75" s="13">
        <f>HAVERQ!Y81</f>
        <v>5030</v>
      </c>
      <c r="O75" s="13">
        <f>HAVERQ!Z81</f>
        <v>17564</v>
      </c>
      <c r="P75" s="13">
        <f>HAVERQ!AA81</f>
        <v>25018</v>
      </c>
      <c r="Q75" s="13">
        <f>HAVERQ!AB81</f>
        <v>34457</v>
      </c>
      <c r="R75" s="13">
        <f>HAVERQ!AC81</f>
        <v>18686</v>
      </c>
      <c r="U75" s="13">
        <f>HAVERQ!AU81</f>
        <v>244403</v>
      </c>
      <c r="V75" s="13">
        <f>HAVERQ!AV81</f>
        <v>7468</v>
      </c>
      <c r="W75" s="13">
        <f>HAVERQ!AW81</f>
        <v>76645</v>
      </c>
      <c r="X75" s="13">
        <f>HAVERQ!AX81</f>
        <v>71786</v>
      </c>
      <c r="Y75" s="13">
        <f>HAVERQ!AY81</f>
        <v>5878</v>
      </c>
      <c r="Z75" s="13">
        <f>HAVERQ!AZ81</f>
        <v>774</v>
      </c>
      <c r="AA75" s="13">
        <f>HAVERQ!BA81</f>
        <v>98814</v>
      </c>
      <c r="AB75" s="13">
        <f>HAVERQ!BB81</f>
        <v>110233</v>
      </c>
      <c r="AC75" s="13">
        <f>HAVERQ!W81</f>
        <v>55172</v>
      </c>
      <c r="AD75" s="13">
        <f>HAVERQ!X81</f>
        <v>11666</v>
      </c>
      <c r="AE75" s="13">
        <f>HAVERQ!AD81</f>
        <v>4978</v>
      </c>
      <c r="AF75" s="13">
        <f>HAVERQ!AE81</f>
        <v>16494</v>
      </c>
      <c r="AG75" s="13">
        <f>HAVERQ!AF81</f>
        <v>25077</v>
      </c>
      <c r="AH75" s="13">
        <f>HAVERQ!AG81</f>
        <v>36411</v>
      </c>
      <c r="AI75" s="13">
        <f>HAVERQ!AH81</f>
        <v>18492</v>
      </c>
    </row>
    <row r="76" spans="1:35" x14ac:dyDescent="0.35">
      <c r="A76" t="s">
        <v>241</v>
      </c>
      <c r="B76" t="str">
        <f t="shared" si="25"/>
        <v>2007</v>
      </c>
      <c r="C76" t="str">
        <f t="shared" si="26"/>
        <v>Q4</v>
      </c>
      <c r="D76" s="13">
        <f>HAVERQ!AL82</f>
        <v>242443</v>
      </c>
      <c r="E76" s="13">
        <f>HAVERQ!AM82</f>
        <v>7627</v>
      </c>
      <c r="F76" s="13">
        <f>HAVERQ!AN82</f>
        <v>76097</v>
      </c>
      <c r="G76" s="13">
        <f>HAVERQ!AO82</f>
        <v>76810</v>
      </c>
      <c r="H76" s="13">
        <f>HAVERQ!AP82</f>
        <v>-879</v>
      </c>
      <c r="I76" s="13">
        <f>HAVERQ!AQ82</f>
        <v>-412</v>
      </c>
      <c r="J76" s="13">
        <f>HAVERQ!AR82</f>
        <v>102504</v>
      </c>
      <c r="K76" s="13">
        <f>HAVERQ!AS82</f>
        <v>109976</v>
      </c>
      <c r="L76" s="13">
        <f>HAVERQ!U82</f>
        <v>57624</v>
      </c>
      <c r="M76" s="13">
        <f>HAVERQ!V82</f>
        <v>15845</v>
      </c>
      <c r="N76" s="13">
        <f>HAVERQ!Y82</f>
        <v>4854</v>
      </c>
      <c r="O76" s="13">
        <f>HAVERQ!Z82</f>
        <v>19839</v>
      </c>
      <c r="P76" s="13">
        <f>HAVERQ!AA82</f>
        <v>25609</v>
      </c>
      <c r="Q76" s="13">
        <f>HAVERQ!AB82</f>
        <v>37916</v>
      </c>
      <c r="R76" s="13">
        <f>HAVERQ!AC82</f>
        <v>19747</v>
      </c>
      <c r="U76" s="13">
        <f>HAVERQ!AU82</f>
        <v>248800</v>
      </c>
      <c r="V76" s="13">
        <f>HAVERQ!AV82</f>
        <v>7627</v>
      </c>
      <c r="W76" s="13">
        <f>HAVERQ!AW82</f>
        <v>75776</v>
      </c>
      <c r="X76" s="13">
        <f>HAVERQ!AX82</f>
        <v>77637</v>
      </c>
      <c r="Y76" s="13">
        <f>HAVERQ!AY82</f>
        <v>-3245</v>
      </c>
      <c r="Z76" s="13">
        <f>HAVERQ!AZ82</f>
        <v>-399</v>
      </c>
      <c r="AA76" s="13">
        <f>HAVERQ!BA82</f>
        <v>103638</v>
      </c>
      <c r="AB76" s="13">
        <f>HAVERQ!BB82</f>
        <v>109245</v>
      </c>
      <c r="AC76" s="13">
        <f>HAVERQ!W82</f>
        <v>58843</v>
      </c>
      <c r="AD76" s="13">
        <f>HAVERQ!X82</f>
        <v>15381</v>
      </c>
      <c r="AE76" s="13">
        <f>HAVERQ!AD82</f>
        <v>4694</v>
      </c>
      <c r="AF76" s="13">
        <f>HAVERQ!AE82</f>
        <v>21140</v>
      </c>
      <c r="AG76" s="13">
        <f>HAVERQ!AF82</f>
        <v>25909</v>
      </c>
      <c r="AH76" s="13">
        <f>HAVERQ!AG82</f>
        <v>37937</v>
      </c>
      <c r="AI76" s="13">
        <f>HAVERQ!AH82</f>
        <v>19746</v>
      </c>
    </row>
    <row r="77" spans="1:35" x14ac:dyDescent="0.35">
      <c r="A77" t="s">
        <v>242</v>
      </c>
      <c r="B77" t="str">
        <f t="shared" si="25"/>
        <v>2008</v>
      </c>
      <c r="C77" t="str">
        <f t="shared" si="26"/>
        <v>Q1</v>
      </c>
      <c r="D77" s="13">
        <f>HAVERQ!AL83</f>
        <v>247179</v>
      </c>
      <c r="E77" s="13">
        <f>HAVERQ!AM83</f>
        <v>7760</v>
      </c>
      <c r="F77" s="13">
        <f>HAVERQ!AN83</f>
        <v>79563</v>
      </c>
      <c r="G77" s="13">
        <f>HAVERQ!AO83</f>
        <v>74277</v>
      </c>
      <c r="H77" s="13">
        <f>HAVERQ!AP83</f>
        <v>180</v>
      </c>
      <c r="I77" s="13">
        <f>HAVERQ!AQ83</f>
        <v>314</v>
      </c>
      <c r="J77" s="13">
        <f>HAVERQ!AR83</f>
        <v>105083</v>
      </c>
      <c r="K77" s="13">
        <f>HAVERQ!AS83</f>
        <v>114640</v>
      </c>
      <c r="L77" s="13">
        <f>HAVERQ!U83</f>
        <v>52099</v>
      </c>
      <c r="M77" s="13">
        <f>HAVERQ!V83</f>
        <v>16775</v>
      </c>
      <c r="N77" s="13">
        <f>HAVERQ!Y83</f>
        <v>4410</v>
      </c>
      <c r="O77" s="13">
        <f>HAVERQ!Z83</f>
        <v>19478</v>
      </c>
      <c r="P77" s="13">
        <f>HAVERQ!AA83</f>
        <v>24951</v>
      </c>
      <c r="Q77" s="13">
        <f>HAVERQ!AB83</f>
        <v>34596</v>
      </c>
      <c r="R77" s="13">
        <f>HAVERQ!AC83</f>
        <v>19249</v>
      </c>
      <c r="U77" s="13">
        <f>HAVERQ!AU83</f>
        <v>239570</v>
      </c>
      <c r="V77" s="13">
        <f>HAVERQ!AV83</f>
        <v>7760</v>
      </c>
      <c r="W77" s="13">
        <f>HAVERQ!AW83</f>
        <v>80555</v>
      </c>
      <c r="X77" s="13">
        <f>HAVERQ!AX83</f>
        <v>76678</v>
      </c>
      <c r="Y77" s="13">
        <f>HAVERQ!AY83</f>
        <v>1753</v>
      </c>
      <c r="Z77" s="13">
        <f>HAVERQ!AZ83</f>
        <v>230</v>
      </c>
      <c r="AA77" s="13">
        <f>HAVERQ!BA83</f>
        <v>102341</v>
      </c>
      <c r="AB77" s="13">
        <f>HAVERQ!BB83</f>
        <v>111622</v>
      </c>
      <c r="AC77" s="13">
        <f>HAVERQ!W83</f>
        <v>53302</v>
      </c>
      <c r="AD77" s="13">
        <f>HAVERQ!X83</f>
        <v>21251</v>
      </c>
      <c r="AE77" s="13">
        <f>HAVERQ!AD83</f>
        <v>3879</v>
      </c>
      <c r="AF77" s="13">
        <f>HAVERQ!AE83</f>
        <v>21225</v>
      </c>
      <c r="AG77" s="13">
        <f>HAVERQ!AF83</f>
        <v>25246</v>
      </c>
      <c r="AH77" s="13">
        <f>HAVERQ!AG83</f>
        <v>37983</v>
      </c>
      <c r="AI77" s="13">
        <f>HAVERQ!AH83</f>
        <v>19724</v>
      </c>
    </row>
    <row r="78" spans="1:35" x14ac:dyDescent="0.35">
      <c r="A78" t="s">
        <v>243</v>
      </c>
      <c r="B78" t="str">
        <f t="shared" si="25"/>
        <v>2008</v>
      </c>
      <c r="C78" t="str">
        <f t="shared" si="26"/>
        <v>Q2</v>
      </c>
      <c r="D78" s="13">
        <f>HAVERQ!AL84</f>
        <v>247546</v>
      </c>
      <c r="E78" s="13">
        <f>HAVERQ!AM84</f>
        <v>8011</v>
      </c>
      <c r="F78" s="13">
        <f>HAVERQ!AN84</f>
        <v>79825</v>
      </c>
      <c r="G78" s="13">
        <f>HAVERQ!AO84</f>
        <v>76100</v>
      </c>
      <c r="H78" s="13">
        <f>HAVERQ!AP84</f>
        <v>-410</v>
      </c>
      <c r="I78" s="13">
        <f>HAVERQ!AQ84</f>
        <v>-157</v>
      </c>
      <c r="J78" s="13">
        <f>HAVERQ!AR84</f>
        <v>110790</v>
      </c>
      <c r="K78" s="13">
        <f>HAVERQ!AS84</f>
        <v>119018</v>
      </c>
      <c r="L78" s="13">
        <f>HAVERQ!U84</f>
        <v>57108</v>
      </c>
      <c r="M78" s="13">
        <f>HAVERQ!V84</f>
        <v>15255</v>
      </c>
      <c r="N78" s="13">
        <f>HAVERQ!Y84</f>
        <v>5747</v>
      </c>
      <c r="O78" s="13">
        <f>HAVERQ!Z84</f>
        <v>18836</v>
      </c>
      <c r="P78" s="13">
        <f>HAVERQ!AA84</f>
        <v>24208</v>
      </c>
      <c r="Q78" s="13">
        <f>HAVERQ!AB84</f>
        <v>35706</v>
      </c>
      <c r="R78" s="13">
        <f>HAVERQ!AC84</f>
        <v>19553</v>
      </c>
      <c r="U78" s="13">
        <f>HAVERQ!AU84</f>
        <v>246329</v>
      </c>
      <c r="V78" s="13">
        <f>HAVERQ!AV84</f>
        <v>8011</v>
      </c>
      <c r="W78" s="13">
        <f>HAVERQ!AW84</f>
        <v>79429</v>
      </c>
      <c r="X78" s="13">
        <f>HAVERQ!AX84</f>
        <v>72314</v>
      </c>
      <c r="Y78" s="13">
        <f>HAVERQ!AY84</f>
        <v>-1888</v>
      </c>
      <c r="Z78" s="13">
        <f>HAVERQ!AZ84</f>
        <v>-72</v>
      </c>
      <c r="AA78" s="13">
        <f>HAVERQ!BA84</f>
        <v>112278</v>
      </c>
      <c r="AB78" s="13">
        <f>HAVERQ!BB84</f>
        <v>119288</v>
      </c>
      <c r="AC78" s="13">
        <f>HAVERQ!W84</f>
        <v>55723</v>
      </c>
      <c r="AD78" s="13">
        <f>HAVERQ!X84</f>
        <v>12183</v>
      </c>
      <c r="AE78" s="13">
        <f>HAVERQ!AD84</f>
        <v>6411</v>
      </c>
      <c r="AF78" s="13">
        <f>HAVERQ!AE84</f>
        <v>16904</v>
      </c>
      <c r="AG78" s="13">
        <f>HAVERQ!AF84</f>
        <v>23425</v>
      </c>
      <c r="AH78" s="13">
        <f>HAVERQ!AG84</f>
        <v>32774</v>
      </c>
      <c r="AI78" s="13">
        <f>HAVERQ!AH84</f>
        <v>19262</v>
      </c>
    </row>
    <row r="79" spans="1:35" x14ac:dyDescent="0.35">
      <c r="A79" t="s">
        <v>244</v>
      </c>
      <c r="B79" t="str">
        <f t="shared" si="25"/>
        <v>2008</v>
      </c>
      <c r="C79" t="str">
        <f t="shared" si="26"/>
        <v>Q3</v>
      </c>
      <c r="D79" s="13">
        <f>HAVERQ!AL85</f>
        <v>246813</v>
      </c>
      <c r="E79" s="13">
        <f>HAVERQ!AM85</f>
        <v>8313</v>
      </c>
      <c r="F79" s="13">
        <f>HAVERQ!AN85</f>
        <v>80711</v>
      </c>
      <c r="G79" s="13">
        <f>HAVERQ!AO85</f>
        <v>72954</v>
      </c>
      <c r="H79" s="13">
        <f>HAVERQ!AP85</f>
        <v>503</v>
      </c>
      <c r="I79" s="13">
        <f>HAVERQ!AQ85</f>
        <v>-657</v>
      </c>
      <c r="J79" s="13">
        <f>HAVERQ!AR85</f>
        <v>113068</v>
      </c>
      <c r="K79" s="13">
        <f>HAVERQ!AS85</f>
        <v>119568</v>
      </c>
      <c r="L79" s="13">
        <f>HAVERQ!U85</f>
        <v>54942</v>
      </c>
      <c r="M79" s="13">
        <f>HAVERQ!V85</f>
        <v>15861</v>
      </c>
      <c r="N79" s="13">
        <f>HAVERQ!Y85</f>
        <v>4624</v>
      </c>
      <c r="O79" s="13">
        <f>HAVERQ!Z85</f>
        <v>18077</v>
      </c>
      <c r="P79" s="13">
        <f>HAVERQ!AA85</f>
        <v>22062</v>
      </c>
      <c r="Q79" s="13">
        <f>HAVERQ!AB85</f>
        <v>34223</v>
      </c>
      <c r="R79" s="13">
        <f>HAVERQ!AC85</f>
        <v>19785</v>
      </c>
      <c r="U79" s="13">
        <f>HAVERQ!AU85</f>
        <v>249120</v>
      </c>
      <c r="V79" s="13">
        <f>HAVERQ!AV85</f>
        <v>8313</v>
      </c>
      <c r="W79" s="13">
        <f>HAVERQ!AW85</f>
        <v>80393</v>
      </c>
      <c r="X79" s="13">
        <f>HAVERQ!AX85</f>
        <v>72912</v>
      </c>
      <c r="Y79" s="13">
        <f>HAVERQ!AY85</f>
        <v>3949</v>
      </c>
      <c r="Z79" s="13">
        <f>HAVERQ!AZ85</f>
        <v>-654</v>
      </c>
      <c r="AA79" s="13">
        <f>HAVERQ!BA85</f>
        <v>112897</v>
      </c>
      <c r="AB79" s="13">
        <f>HAVERQ!BB85</f>
        <v>122665</v>
      </c>
      <c r="AC79" s="13">
        <f>HAVERQ!W85</f>
        <v>54511</v>
      </c>
      <c r="AD79" s="13">
        <f>HAVERQ!X85</f>
        <v>14764</v>
      </c>
      <c r="AE79" s="13">
        <f>HAVERQ!AD85</f>
        <v>4582</v>
      </c>
      <c r="AF79" s="13">
        <f>HAVERQ!AE85</f>
        <v>17350</v>
      </c>
      <c r="AG79" s="13">
        <f>HAVERQ!AF85</f>
        <v>22166</v>
      </c>
      <c r="AH79" s="13">
        <f>HAVERQ!AG85</f>
        <v>33977</v>
      </c>
      <c r="AI79" s="13">
        <f>HAVERQ!AH85</f>
        <v>19588</v>
      </c>
    </row>
    <row r="80" spans="1:35" x14ac:dyDescent="0.35">
      <c r="A80" t="s">
        <v>245</v>
      </c>
      <c r="B80" t="str">
        <f t="shared" si="25"/>
        <v>2008</v>
      </c>
      <c r="C80" t="str">
        <f t="shared" si="26"/>
        <v>Q4</v>
      </c>
      <c r="D80" s="13">
        <f>HAVERQ!AL86</f>
        <v>238779</v>
      </c>
      <c r="E80" s="13">
        <f>HAVERQ!AM86</f>
        <v>8680</v>
      </c>
      <c r="F80" s="13">
        <f>HAVERQ!AN86</f>
        <v>82893</v>
      </c>
      <c r="G80" s="13">
        <f>HAVERQ!AO86</f>
        <v>71679</v>
      </c>
      <c r="H80" s="13">
        <f>HAVERQ!AP86</f>
        <v>-2040</v>
      </c>
      <c r="I80" s="13">
        <f>HAVERQ!AQ86</f>
        <v>281</v>
      </c>
      <c r="J80" s="13">
        <f>HAVERQ!AR86</f>
        <v>109737</v>
      </c>
      <c r="K80" s="13">
        <f>HAVERQ!AS86</f>
        <v>112332</v>
      </c>
      <c r="L80" s="13">
        <f>HAVERQ!U86</f>
        <v>52434</v>
      </c>
      <c r="M80" s="13">
        <f>HAVERQ!V86</f>
        <v>17411</v>
      </c>
      <c r="N80" s="13">
        <f>HAVERQ!Y86</f>
        <v>4810</v>
      </c>
      <c r="O80" s="13">
        <f>HAVERQ!Z86</f>
        <v>17359</v>
      </c>
      <c r="P80" s="13">
        <f>HAVERQ!AA86</f>
        <v>21292</v>
      </c>
      <c r="Q80" s="13">
        <f>HAVERQ!AB86</f>
        <v>33057</v>
      </c>
      <c r="R80" s="13">
        <f>HAVERQ!AC86</f>
        <v>19920</v>
      </c>
      <c r="U80" s="13">
        <f>HAVERQ!AU86</f>
        <v>245298</v>
      </c>
      <c r="V80" s="13">
        <f>HAVERQ!AV86</f>
        <v>8680</v>
      </c>
      <c r="W80" s="13">
        <f>HAVERQ!AW86</f>
        <v>82615</v>
      </c>
      <c r="X80" s="13">
        <f>HAVERQ!AX86</f>
        <v>73106</v>
      </c>
      <c r="Y80" s="13">
        <f>HAVERQ!AY86</f>
        <v>-5581</v>
      </c>
      <c r="Z80" s="13">
        <f>HAVERQ!AZ86</f>
        <v>277</v>
      </c>
      <c r="AA80" s="13">
        <f>HAVERQ!BA86</f>
        <v>111162</v>
      </c>
      <c r="AB80" s="13">
        <f>HAVERQ!BB86</f>
        <v>111983</v>
      </c>
      <c r="AC80" s="13">
        <f>HAVERQ!W86</f>
        <v>53047</v>
      </c>
      <c r="AD80" s="13">
        <f>HAVERQ!X86</f>
        <v>17105</v>
      </c>
      <c r="AE80" s="13">
        <f>HAVERQ!AD86</f>
        <v>4718</v>
      </c>
      <c r="AF80" s="13">
        <f>HAVERQ!AE86</f>
        <v>18272</v>
      </c>
      <c r="AG80" s="13">
        <f>HAVERQ!AF86</f>
        <v>21677</v>
      </c>
      <c r="AH80" s="13">
        <f>HAVERQ!AG86</f>
        <v>32849</v>
      </c>
      <c r="AI80" s="13">
        <f>HAVERQ!AH86</f>
        <v>19933</v>
      </c>
    </row>
    <row r="81" spans="1:72" x14ac:dyDescent="0.35">
      <c r="A81" t="s">
        <v>246</v>
      </c>
      <c r="B81" t="str">
        <f t="shared" si="25"/>
        <v>2009</v>
      </c>
      <c r="C81" t="str">
        <f t="shared" si="26"/>
        <v>Q1</v>
      </c>
      <c r="D81" s="13">
        <f>HAVERQ!AL87</f>
        <v>238132</v>
      </c>
      <c r="E81" s="13">
        <f>HAVERQ!AM87</f>
        <v>8884</v>
      </c>
      <c r="F81" s="13">
        <f>HAVERQ!AN87</f>
        <v>83663</v>
      </c>
      <c r="G81" s="13">
        <f>HAVERQ!AO87</f>
        <v>68481</v>
      </c>
      <c r="H81" s="13">
        <f>HAVERQ!AP87</f>
        <v>-5806</v>
      </c>
      <c r="I81" s="13">
        <f>HAVERQ!AQ87</f>
        <v>1249</v>
      </c>
      <c r="J81" s="13">
        <f>HAVERQ!AR87</f>
        <v>103777</v>
      </c>
      <c r="K81" s="13">
        <f>HAVERQ!AS87</f>
        <v>108605</v>
      </c>
      <c r="L81" s="13">
        <f>HAVERQ!U87</f>
        <v>48456</v>
      </c>
      <c r="M81" s="13">
        <f>HAVERQ!V87</f>
        <v>17521</v>
      </c>
      <c r="N81" s="13">
        <f>HAVERQ!Y87</f>
        <v>4369</v>
      </c>
      <c r="O81" s="13">
        <f>HAVERQ!Z87</f>
        <v>17248</v>
      </c>
      <c r="P81" s="13">
        <f>HAVERQ!AA87</f>
        <v>19767</v>
      </c>
      <c r="Q81" s="13">
        <f>HAVERQ!AB87</f>
        <v>29823</v>
      </c>
      <c r="R81" s="13">
        <f>HAVERQ!AC87</f>
        <v>19916</v>
      </c>
      <c r="U81" s="13">
        <f>HAVERQ!AU87</f>
        <v>231839</v>
      </c>
      <c r="V81" s="13">
        <f>HAVERQ!AV87</f>
        <v>8884</v>
      </c>
      <c r="W81" s="13">
        <f>HAVERQ!AW87</f>
        <v>85085</v>
      </c>
      <c r="X81" s="13">
        <f>HAVERQ!AX87</f>
        <v>71655</v>
      </c>
      <c r="Y81" s="13">
        <f>HAVERQ!AY87</f>
        <v>-5827</v>
      </c>
      <c r="Z81" s="13">
        <f>HAVERQ!AZ87</f>
        <v>1165</v>
      </c>
      <c r="AA81" s="13">
        <f>HAVERQ!BA87</f>
        <v>100874</v>
      </c>
      <c r="AB81" s="13">
        <f>HAVERQ!BB87</f>
        <v>105360</v>
      </c>
      <c r="AC81" s="13">
        <f>HAVERQ!W87</f>
        <v>47515</v>
      </c>
      <c r="AD81" s="13">
        <f>HAVERQ!X87</f>
        <v>23255</v>
      </c>
      <c r="AE81" s="13">
        <f>HAVERQ!AD87</f>
        <v>3887</v>
      </c>
      <c r="AF81" s="13">
        <f>HAVERQ!AE87</f>
        <v>19150</v>
      </c>
      <c r="AG81" s="13">
        <f>HAVERQ!AF87</f>
        <v>19878</v>
      </c>
      <c r="AH81" s="13">
        <f>HAVERQ!AG87</f>
        <v>32370</v>
      </c>
      <c r="AI81" s="13">
        <f>HAVERQ!AH87</f>
        <v>20369</v>
      </c>
    </row>
    <row r="82" spans="1:72" x14ac:dyDescent="0.35">
      <c r="A82" t="s">
        <v>247</v>
      </c>
      <c r="B82" t="str">
        <f t="shared" si="25"/>
        <v>2009</v>
      </c>
      <c r="C82" t="str">
        <f t="shared" si="26"/>
        <v>Q2</v>
      </c>
      <c r="D82" s="13">
        <f>HAVERQ!AL88</f>
        <v>237830</v>
      </c>
      <c r="E82" s="13">
        <f>HAVERQ!AM88</f>
        <v>9217</v>
      </c>
      <c r="F82" s="13">
        <f>HAVERQ!AN88</f>
        <v>83757</v>
      </c>
      <c r="G82" s="13">
        <f>HAVERQ!AO88</f>
        <v>65661</v>
      </c>
      <c r="H82" s="13">
        <f>HAVERQ!AP88</f>
        <v>-3240</v>
      </c>
      <c r="I82" s="13">
        <f>HAVERQ!AQ88</f>
        <v>525</v>
      </c>
      <c r="J82" s="13">
        <f>HAVERQ!AR88</f>
        <v>101784</v>
      </c>
      <c r="K82" s="13">
        <f>HAVERQ!AS88</f>
        <v>106383</v>
      </c>
      <c r="L82" s="13">
        <f>HAVERQ!U88</f>
        <v>46751</v>
      </c>
      <c r="M82" s="13">
        <f>HAVERQ!V88</f>
        <v>16507</v>
      </c>
      <c r="N82" s="13">
        <f>HAVERQ!Y88</f>
        <v>4902</v>
      </c>
      <c r="O82" s="13">
        <f>HAVERQ!Z88</f>
        <v>13994</v>
      </c>
      <c r="P82" s="13">
        <f>HAVERQ!AA88</f>
        <v>18477</v>
      </c>
      <c r="Q82" s="13">
        <f>HAVERQ!AB88</f>
        <v>30733</v>
      </c>
      <c r="R82" s="13">
        <f>HAVERQ!AC88</f>
        <v>19634</v>
      </c>
      <c r="U82" s="13">
        <f>HAVERQ!AU88</f>
        <v>236402</v>
      </c>
      <c r="V82" s="13">
        <f>HAVERQ!AV88</f>
        <v>9217</v>
      </c>
      <c r="W82" s="13">
        <f>HAVERQ!AW88</f>
        <v>83069</v>
      </c>
      <c r="X82" s="13">
        <f>HAVERQ!AX88</f>
        <v>61560</v>
      </c>
      <c r="Y82" s="13">
        <f>HAVERQ!AY88</f>
        <v>-6843</v>
      </c>
      <c r="Z82" s="13">
        <f>HAVERQ!AZ88</f>
        <v>601</v>
      </c>
      <c r="AA82" s="13">
        <f>HAVERQ!BA88</f>
        <v>102713</v>
      </c>
      <c r="AB82" s="13">
        <f>HAVERQ!BB88</f>
        <v>106368</v>
      </c>
      <c r="AC82" s="13">
        <f>HAVERQ!W88</f>
        <v>45816</v>
      </c>
      <c r="AD82" s="13">
        <f>HAVERQ!X88</f>
        <v>12462</v>
      </c>
      <c r="AE82" s="13">
        <f>HAVERQ!AD88</f>
        <v>5395</v>
      </c>
      <c r="AF82" s="13">
        <f>HAVERQ!AE88</f>
        <v>12262</v>
      </c>
      <c r="AG82" s="13">
        <f>HAVERQ!AF88</f>
        <v>17712</v>
      </c>
      <c r="AH82" s="13">
        <f>HAVERQ!AG88</f>
        <v>27150</v>
      </c>
      <c r="AI82" s="13">
        <f>HAVERQ!AH88</f>
        <v>19320</v>
      </c>
    </row>
    <row r="83" spans="1:72" x14ac:dyDescent="0.35">
      <c r="A83" t="s">
        <v>248</v>
      </c>
      <c r="B83" t="str">
        <f t="shared" si="25"/>
        <v>2009</v>
      </c>
      <c r="C83" t="str">
        <f t="shared" si="26"/>
        <v>Q3</v>
      </c>
      <c r="D83" s="13">
        <f>HAVERQ!AL89</f>
        <v>238586</v>
      </c>
      <c r="E83" s="13">
        <f>HAVERQ!AM89</f>
        <v>9514</v>
      </c>
      <c r="F83" s="13">
        <f>HAVERQ!AN89</f>
        <v>85714</v>
      </c>
      <c r="G83" s="13">
        <f>HAVERQ!AO89</f>
        <v>66140</v>
      </c>
      <c r="H83" s="13">
        <f>HAVERQ!AP89</f>
        <v>-3500</v>
      </c>
      <c r="I83" s="13">
        <f>HAVERQ!AQ89</f>
        <v>567</v>
      </c>
      <c r="J83" s="13">
        <f>HAVERQ!AR89</f>
        <v>102676</v>
      </c>
      <c r="K83" s="13">
        <f>HAVERQ!AS89</f>
        <v>108518</v>
      </c>
      <c r="L83" s="13">
        <f>HAVERQ!U89</f>
        <v>45581</v>
      </c>
      <c r="M83" s="13">
        <f>HAVERQ!V89</f>
        <v>18129</v>
      </c>
      <c r="N83" s="13">
        <f>HAVERQ!Y89</f>
        <v>4445</v>
      </c>
      <c r="O83" s="13">
        <f>HAVERQ!Z89</f>
        <v>14691</v>
      </c>
      <c r="P83" s="13">
        <f>HAVERQ!AA89</f>
        <v>18464</v>
      </c>
      <c r="Q83" s="13">
        <f>HAVERQ!AB89</f>
        <v>30737</v>
      </c>
      <c r="R83" s="13">
        <f>HAVERQ!AC89</f>
        <v>19991</v>
      </c>
      <c r="U83" s="13">
        <f>HAVERQ!AU89</f>
        <v>240609</v>
      </c>
      <c r="V83" s="13">
        <f>HAVERQ!AV89</f>
        <v>9514</v>
      </c>
      <c r="W83" s="13">
        <f>HAVERQ!AW89</f>
        <v>85223</v>
      </c>
      <c r="X83" s="13">
        <f>HAVERQ!AX89</f>
        <v>65897</v>
      </c>
      <c r="Y83" s="13">
        <f>HAVERQ!AY89</f>
        <v>2159</v>
      </c>
      <c r="Z83" s="13">
        <f>HAVERQ!AZ89</f>
        <v>600</v>
      </c>
      <c r="AA83" s="13">
        <f>HAVERQ!BA89</f>
        <v>102788</v>
      </c>
      <c r="AB83" s="13">
        <f>HAVERQ!BB89</f>
        <v>112260</v>
      </c>
      <c r="AC83" s="13">
        <f>HAVERQ!W89</f>
        <v>46165</v>
      </c>
      <c r="AD83" s="13">
        <f>HAVERQ!X89</f>
        <v>16890</v>
      </c>
      <c r="AE83" s="13">
        <f>HAVERQ!AD89</f>
        <v>4380</v>
      </c>
      <c r="AF83" s="13">
        <f>HAVERQ!AE89</f>
        <v>14026</v>
      </c>
      <c r="AG83" s="13">
        <f>HAVERQ!AF89</f>
        <v>18636</v>
      </c>
      <c r="AH83" s="13">
        <f>HAVERQ!AG89</f>
        <v>31207</v>
      </c>
      <c r="AI83" s="13">
        <f>HAVERQ!AH89</f>
        <v>19842</v>
      </c>
    </row>
    <row r="84" spans="1:72" x14ac:dyDescent="0.35">
      <c r="A84" t="s">
        <v>249</v>
      </c>
      <c r="B84" t="str">
        <f t="shared" si="25"/>
        <v>2009</v>
      </c>
      <c r="C84" t="str">
        <f t="shared" si="26"/>
        <v>Q4</v>
      </c>
      <c r="D84" s="13">
        <f>HAVERQ!AL90</f>
        <v>239090</v>
      </c>
      <c r="E84" s="13">
        <f>HAVERQ!AM90</f>
        <v>9650</v>
      </c>
      <c r="F84" s="13">
        <f>HAVERQ!AN90</f>
        <v>85393</v>
      </c>
      <c r="G84" s="13">
        <f>HAVERQ!AO90</f>
        <v>64643</v>
      </c>
      <c r="H84" s="13">
        <f>HAVERQ!AP90</f>
        <v>-5412</v>
      </c>
      <c r="I84" s="13">
        <f>HAVERQ!AQ90</f>
        <v>-12</v>
      </c>
      <c r="J84" s="13">
        <f>HAVERQ!AR90</f>
        <v>108239</v>
      </c>
      <c r="K84" s="13">
        <f>HAVERQ!AS90</f>
        <v>112291</v>
      </c>
      <c r="L84" s="13">
        <f>HAVERQ!U90</f>
        <v>45414</v>
      </c>
      <c r="M84" s="13">
        <f>HAVERQ!V90</f>
        <v>17924</v>
      </c>
      <c r="N84" s="13">
        <f>HAVERQ!Y90</f>
        <v>3903</v>
      </c>
      <c r="O84" s="13">
        <f>HAVERQ!Z90</f>
        <v>14743</v>
      </c>
      <c r="P84" s="13">
        <f>HAVERQ!AA90</f>
        <v>17387</v>
      </c>
      <c r="Q84" s="13">
        <f>HAVERQ!AB90</f>
        <v>30830</v>
      </c>
      <c r="R84" s="13">
        <f>HAVERQ!AC90</f>
        <v>20105</v>
      </c>
      <c r="U84" s="13">
        <f>HAVERQ!AU90</f>
        <v>244788</v>
      </c>
      <c r="V84" s="13">
        <f>HAVERQ!AV90</f>
        <v>9650</v>
      </c>
      <c r="W84" s="13">
        <f>HAVERQ!AW90</f>
        <v>85150</v>
      </c>
      <c r="X84" s="13">
        <f>HAVERQ!AX90</f>
        <v>65813</v>
      </c>
      <c r="Y84" s="13">
        <f>HAVERQ!AY90</f>
        <v>-7447</v>
      </c>
      <c r="Z84" s="13">
        <f>HAVERQ!AZ90</f>
        <v>-37</v>
      </c>
      <c r="AA84" s="13">
        <f>HAVERQ!BA90</f>
        <v>110101</v>
      </c>
      <c r="AB84" s="13">
        <f>HAVERQ!BB90</f>
        <v>111809</v>
      </c>
      <c r="AC84" s="13">
        <f>HAVERQ!W90</f>
        <v>46707</v>
      </c>
      <c r="AD84" s="13">
        <f>HAVERQ!X90</f>
        <v>17473</v>
      </c>
      <c r="AE84" s="13">
        <f>HAVERQ!AD90</f>
        <v>3957</v>
      </c>
      <c r="AF84" s="13">
        <f>HAVERQ!AE90</f>
        <v>15238</v>
      </c>
      <c r="AG84" s="13">
        <f>HAVERQ!AF90</f>
        <v>17869</v>
      </c>
      <c r="AH84" s="13">
        <f>HAVERQ!AG90</f>
        <v>31395</v>
      </c>
      <c r="AI84" s="13">
        <f>HAVERQ!AH90</f>
        <v>20116</v>
      </c>
    </row>
    <row r="85" spans="1:72" x14ac:dyDescent="0.35">
      <c r="A85" t="s">
        <v>250</v>
      </c>
      <c r="B85" t="str">
        <f t="shared" si="25"/>
        <v>2010</v>
      </c>
      <c r="C85" t="str">
        <f t="shared" si="26"/>
        <v>Q1</v>
      </c>
      <c r="D85" s="13">
        <f>HAVERQ!AL91</f>
        <v>238932</v>
      </c>
      <c r="E85" s="13">
        <f>HAVERQ!AM91</f>
        <v>9644</v>
      </c>
      <c r="F85" s="13">
        <f>HAVERQ!AN91</f>
        <v>86360</v>
      </c>
      <c r="G85" s="13">
        <f>HAVERQ!AO91</f>
        <v>66662</v>
      </c>
      <c r="H85" s="13">
        <f>HAVERQ!AP91</f>
        <v>2097</v>
      </c>
      <c r="I85" s="13">
        <f>HAVERQ!AQ91</f>
        <v>-258</v>
      </c>
      <c r="J85" s="13">
        <f>HAVERQ!AR91</f>
        <v>110630</v>
      </c>
      <c r="K85" s="13">
        <f>HAVERQ!AS91</f>
        <v>115941</v>
      </c>
      <c r="L85" s="13">
        <f>HAVERQ!U91</f>
        <v>47159</v>
      </c>
      <c r="M85" s="13">
        <f>HAVERQ!V91</f>
        <v>18677</v>
      </c>
      <c r="N85" s="13">
        <f>HAVERQ!Y91</f>
        <v>4597</v>
      </c>
      <c r="O85" s="13">
        <f>HAVERQ!Z91</f>
        <v>15318</v>
      </c>
      <c r="P85" s="13">
        <f>HAVERQ!AA91</f>
        <v>17688</v>
      </c>
      <c r="Q85" s="13">
        <f>HAVERQ!AB91</f>
        <v>31744</v>
      </c>
      <c r="R85" s="13">
        <f>HAVERQ!AC91</f>
        <v>20815</v>
      </c>
      <c r="U85" s="13">
        <f>HAVERQ!AU91</f>
        <v>232272</v>
      </c>
      <c r="V85" s="13">
        <f>HAVERQ!AV91</f>
        <v>9644</v>
      </c>
      <c r="W85" s="13">
        <f>HAVERQ!AW91</f>
        <v>87874</v>
      </c>
      <c r="X85" s="13">
        <f>HAVERQ!AX91</f>
        <v>69886</v>
      </c>
      <c r="Y85" s="13">
        <f>HAVERQ!AY91</f>
        <v>1731</v>
      </c>
      <c r="Z85" s="13">
        <f>HAVERQ!AZ91</f>
        <v>-340</v>
      </c>
      <c r="AA85" s="13">
        <f>HAVERQ!BA91</f>
        <v>107830</v>
      </c>
      <c r="AB85" s="13">
        <f>HAVERQ!BB91</f>
        <v>112917</v>
      </c>
      <c r="AC85" s="13">
        <f>HAVERQ!W91</f>
        <v>45897</v>
      </c>
      <c r="AD85" s="13">
        <f>HAVERQ!X91</f>
        <v>24426</v>
      </c>
      <c r="AE85" s="13">
        <f>HAVERQ!AD91</f>
        <v>4076</v>
      </c>
      <c r="AF85" s="13">
        <f>HAVERQ!AE91</f>
        <v>17506</v>
      </c>
      <c r="AG85" s="13">
        <f>HAVERQ!AF91</f>
        <v>17550</v>
      </c>
      <c r="AH85" s="13">
        <f>HAVERQ!AG91</f>
        <v>33392</v>
      </c>
      <c r="AI85" s="13">
        <f>HAVERQ!AH91</f>
        <v>21525</v>
      </c>
    </row>
    <row r="86" spans="1:72" x14ac:dyDescent="0.35">
      <c r="A86" t="s">
        <v>251</v>
      </c>
      <c r="B86" t="str">
        <f t="shared" si="25"/>
        <v>2010</v>
      </c>
      <c r="C86" t="str">
        <f t="shared" si="26"/>
        <v>Q2</v>
      </c>
      <c r="D86" s="13">
        <f>HAVERQ!AL92</f>
        <v>247547</v>
      </c>
      <c r="E86" s="13">
        <f>HAVERQ!AM92</f>
        <v>9683</v>
      </c>
      <c r="F86" s="13">
        <f>HAVERQ!AN92</f>
        <v>86009</v>
      </c>
      <c r="G86" s="13">
        <f>HAVERQ!AO92</f>
        <v>65370</v>
      </c>
      <c r="H86" s="13">
        <f>HAVERQ!AP92</f>
        <v>-69</v>
      </c>
      <c r="I86" s="13">
        <f>HAVERQ!AQ92</f>
        <v>-362</v>
      </c>
      <c r="J86" s="13">
        <f>HAVERQ!AR92</f>
        <v>116022</v>
      </c>
      <c r="K86" s="13">
        <f>HAVERQ!AS92</f>
        <v>121263</v>
      </c>
      <c r="L86" s="13">
        <f>HAVERQ!U92</f>
        <v>46055</v>
      </c>
      <c r="M86" s="13">
        <f>HAVERQ!V92</f>
        <v>17329</v>
      </c>
      <c r="N86" s="13">
        <f>HAVERQ!Y92</f>
        <v>4137</v>
      </c>
      <c r="O86" s="13">
        <f>HAVERQ!Z92</f>
        <v>13889</v>
      </c>
      <c r="P86" s="13">
        <f>HAVERQ!AA92</f>
        <v>18757</v>
      </c>
      <c r="Q86" s="13">
        <f>HAVERQ!AB92</f>
        <v>30152</v>
      </c>
      <c r="R86" s="13">
        <f>HAVERQ!AC92</f>
        <v>21485</v>
      </c>
      <c r="U86" s="13">
        <f>HAVERQ!AU92</f>
        <v>245241</v>
      </c>
      <c r="V86" s="13">
        <f>HAVERQ!AV92</f>
        <v>9683</v>
      </c>
      <c r="W86" s="13">
        <f>HAVERQ!AW92</f>
        <v>85407</v>
      </c>
      <c r="X86" s="13">
        <f>HAVERQ!AX92</f>
        <v>61061</v>
      </c>
      <c r="Y86" s="13">
        <f>HAVERQ!AY92</f>
        <v>-2508</v>
      </c>
      <c r="Z86" s="13">
        <f>HAVERQ!AZ92</f>
        <v>-304</v>
      </c>
      <c r="AA86" s="13">
        <f>HAVERQ!BA92</f>
        <v>117286</v>
      </c>
      <c r="AB86" s="13">
        <f>HAVERQ!BB92</f>
        <v>120869</v>
      </c>
      <c r="AC86" s="13">
        <f>HAVERQ!W92</f>
        <v>44820</v>
      </c>
      <c r="AD86" s="13">
        <f>HAVERQ!X92</f>
        <v>13340</v>
      </c>
      <c r="AE86" s="13">
        <f>HAVERQ!AD92</f>
        <v>4422</v>
      </c>
      <c r="AF86" s="13">
        <f>HAVERQ!AE92</f>
        <v>12003</v>
      </c>
      <c r="AG86" s="13">
        <f>HAVERQ!AF92</f>
        <v>18111</v>
      </c>
      <c r="AH86" s="13">
        <f>HAVERQ!AG92</f>
        <v>26957</v>
      </c>
      <c r="AI86" s="13">
        <f>HAVERQ!AH92</f>
        <v>20931</v>
      </c>
    </row>
    <row r="87" spans="1:72" x14ac:dyDescent="0.35">
      <c r="A87" t="s">
        <v>252</v>
      </c>
      <c r="B87" t="str">
        <f t="shared" si="25"/>
        <v>2010</v>
      </c>
      <c r="C87" t="str">
        <f t="shared" si="26"/>
        <v>Q3</v>
      </c>
      <c r="D87" s="13">
        <f>HAVERQ!AL93</f>
        <v>249886</v>
      </c>
      <c r="E87" s="13">
        <f>HAVERQ!AM93</f>
        <v>9739</v>
      </c>
      <c r="F87" s="13">
        <f>HAVERQ!AN93</f>
        <v>86020</v>
      </c>
      <c r="G87" s="13">
        <f>HAVERQ!AO93</f>
        <v>67390</v>
      </c>
      <c r="H87" s="13">
        <f>HAVERQ!AP93</f>
        <v>516</v>
      </c>
      <c r="I87" s="13">
        <f>HAVERQ!AQ93</f>
        <v>443</v>
      </c>
      <c r="J87" s="13">
        <f>HAVERQ!AR93</f>
        <v>116673</v>
      </c>
      <c r="K87" s="13">
        <f>HAVERQ!AS93</f>
        <v>124490</v>
      </c>
      <c r="L87" s="13">
        <f>HAVERQ!U93</f>
        <v>47527</v>
      </c>
      <c r="M87" s="13">
        <f>HAVERQ!V93</f>
        <v>17948</v>
      </c>
      <c r="N87" s="13">
        <f>HAVERQ!Y93</f>
        <v>4720</v>
      </c>
      <c r="O87" s="13">
        <f>HAVERQ!Z93</f>
        <v>13941</v>
      </c>
      <c r="P87" s="13">
        <f>HAVERQ!AA93</f>
        <v>19136</v>
      </c>
      <c r="Q87" s="13">
        <f>HAVERQ!AB93</f>
        <v>32139</v>
      </c>
      <c r="R87" s="13">
        <f>HAVERQ!AC93</f>
        <v>21368</v>
      </c>
      <c r="U87" s="13">
        <f>HAVERQ!AU93</f>
        <v>252381</v>
      </c>
      <c r="V87" s="13">
        <f>HAVERQ!AV93</f>
        <v>9739</v>
      </c>
      <c r="W87" s="13">
        <f>HAVERQ!AW93</f>
        <v>85406</v>
      </c>
      <c r="X87" s="13">
        <f>HAVERQ!AX93</f>
        <v>67085</v>
      </c>
      <c r="Y87" s="13">
        <f>HAVERQ!AY93</f>
        <v>5429</v>
      </c>
      <c r="Z87" s="13">
        <f>HAVERQ!AZ93</f>
        <v>500</v>
      </c>
      <c r="AA87" s="13">
        <f>HAVERQ!BA93</f>
        <v>116478</v>
      </c>
      <c r="AB87" s="13">
        <f>HAVERQ!BB93</f>
        <v>127726</v>
      </c>
      <c r="AC87" s="13">
        <f>HAVERQ!W93</f>
        <v>47926</v>
      </c>
      <c r="AD87" s="13">
        <f>HAVERQ!X93</f>
        <v>16759</v>
      </c>
      <c r="AE87" s="13">
        <f>HAVERQ!AD93</f>
        <v>4720</v>
      </c>
      <c r="AF87" s="13">
        <f>HAVERQ!AE93</f>
        <v>13132</v>
      </c>
      <c r="AG87" s="13">
        <f>HAVERQ!AF93</f>
        <v>19380</v>
      </c>
      <c r="AH87" s="13">
        <f>HAVERQ!AG93</f>
        <v>32606</v>
      </c>
      <c r="AI87" s="13">
        <f>HAVERQ!AH93</f>
        <v>21208</v>
      </c>
    </row>
    <row r="88" spans="1:72" x14ac:dyDescent="0.35">
      <c r="A88" t="s">
        <v>253</v>
      </c>
      <c r="B88" t="str">
        <f t="shared" si="25"/>
        <v>2010</v>
      </c>
      <c r="C88" t="str">
        <f t="shared" si="26"/>
        <v>Q4</v>
      </c>
      <c r="D88" s="13">
        <f>HAVERQ!AL94</f>
        <v>251887</v>
      </c>
      <c r="E88" s="13">
        <f>HAVERQ!AM94</f>
        <v>9694</v>
      </c>
      <c r="F88" s="13">
        <f>HAVERQ!AN94</f>
        <v>87098</v>
      </c>
      <c r="G88" s="13">
        <f>HAVERQ!AO94</f>
        <v>68691</v>
      </c>
      <c r="H88" s="13">
        <f>HAVERQ!AP94</f>
        <v>-2532</v>
      </c>
      <c r="I88" s="13">
        <f>HAVERQ!AQ94</f>
        <v>574</v>
      </c>
      <c r="J88" s="13">
        <f>HAVERQ!AR94</f>
        <v>121170</v>
      </c>
      <c r="K88" s="13">
        <f>HAVERQ!AS94</f>
        <v>127983</v>
      </c>
      <c r="L88" s="13">
        <f>HAVERQ!U94</f>
        <v>50337</v>
      </c>
      <c r="M88" s="13">
        <f>HAVERQ!V94</f>
        <v>17522</v>
      </c>
      <c r="N88" s="13">
        <f>HAVERQ!Y94</f>
        <v>7281</v>
      </c>
      <c r="O88" s="13">
        <f>HAVERQ!Z94</f>
        <v>14003</v>
      </c>
      <c r="P88" s="13">
        <f>HAVERQ!AA94</f>
        <v>18789</v>
      </c>
      <c r="Q88" s="13">
        <f>HAVERQ!AB94</f>
        <v>31353</v>
      </c>
      <c r="R88" s="13">
        <f>HAVERQ!AC94</f>
        <v>21189</v>
      </c>
      <c r="U88" s="13">
        <f>HAVERQ!AU94</f>
        <v>258358</v>
      </c>
      <c r="V88" s="13">
        <f>HAVERQ!AV94</f>
        <v>9694</v>
      </c>
      <c r="W88" s="13">
        <f>HAVERQ!AW94</f>
        <v>86800</v>
      </c>
      <c r="X88" s="13">
        <f>HAVERQ!AX94</f>
        <v>70081</v>
      </c>
      <c r="Y88" s="13">
        <f>HAVERQ!AY94</f>
        <v>-4640</v>
      </c>
      <c r="Z88" s="13">
        <f>HAVERQ!AZ94</f>
        <v>541</v>
      </c>
      <c r="AA88" s="13">
        <f>HAVERQ!BA94</f>
        <v>122901</v>
      </c>
      <c r="AB88" s="13">
        <f>HAVERQ!BB94</f>
        <v>128165</v>
      </c>
      <c r="AC88" s="13">
        <f>HAVERQ!W94</f>
        <v>52435</v>
      </c>
      <c r="AD88" s="13">
        <f>HAVERQ!X94</f>
        <v>16951</v>
      </c>
      <c r="AE88" s="13">
        <f>HAVERQ!AD94</f>
        <v>7516</v>
      </c>
      <c r="AF88" s="13">
        <f>HAVERQ!AE94</f>
        <v>14508</v>
      </c>
      <c r="AG88" s="13">
        <f>HAVERQ!AF94</f>
        <v>19329</v>
      </c>
      <c r="AH88" s="13">
        <f>HAVERQ!AG94</f>
        <v>32433</v>
      </c>
      <c r="AI88" s="13">
        <f>HAVERQ!AH94</f>
        <v>21193</v>
      </c>
    </row>
    <row r="89" spans="1:72" x14ac:dyDescent="0.35">
      <c r="A89" t="s">
        <v>254</v>
      </c>
      <c r="B89" t="str">
        <f t="shared" si="25"/>
        <v>2011</v>
      </c>
      <c r="C89" t="str">
        <f t="shared" si="26"/>
        <v>Q1</v>
      </c>
      <c r="D89" s="13">
        <f>HAVERQ!AL95</f>
        <v>253802</v>
      </c>
      <c r="E89" s="13">
        <f>HAVERQ!AM95</f>
        <v>9661</v>
      </c>
      <c r="F89" s="13">
        <f>HAVERQ!AN95</f>
        <v>88983</v>
      </c>
      <c r="G89" s="13">
        <f>HAVERQ!AO95</f>
        <v>66449</v>
      </c>
      <c r="H89" s="13">
        <f>HAVERQ!AP95</f>
        <v>-1069</v>
      </c>
      <c r="I89" s="13">
        <f>HAVERQ!AQ95</f>
        <v>-1695</v>
      </c>
      <c r="J89" s="13">
        <f>HAVERQ!AR95</f>
        <v>128957</v>
      </c>
      <c r="K89" s="13">
        <f>HAVERQ!AS95</f>
        <v>128567</v>
      </c>
      <c r="L89" s="13">
        <f>HAVERQ!U95</f>
        <v>47060</v>
      </c>
      <c r="M89" s="13">
        <f>HAVERQ!V95</f>
        <v>18451</v>
      </c>
      <c r="N89" s="13">
        <f>HAVERQ!Y95</f>
        <v>3646</v>
      </c>
      <c r="O89" s="13">
        <f>HAVERQ!Z95</f>
        <v>14224</v>
      </c>
      <c r="P89" s="13">
        <f>HAVERQ!AA95</f>
        <v>18646</v>
      </c>
      <c r="Q89" s="13">
        <f>HAVERQ!AB95</f>
        <v>32149</v>
      </c>
      <c r="R89" s="13">
        <f>HAVERQ!AC95</f>
        <v>21363</v>
      </c>
      <c r="U89" s="13">
        <f>HAVERQ!AU95</f>
        <v>246438</v>
      </c>
      <c r="V89" s="13">
        <f>HAVERQ!AV95</f>
        <v>9661</v>
      </c>
      <c r="W89" s="13">
        <f>HAVERQ!AW95</f>
        <v>90471</v>
      </c>
      <c r="X89" s="13">
        <f>HAVERQ!AX95</f>
        <v>69258</v>
      </c>
      <c r="Y89" s="13">
        <f>HAVERQ!AY95</f>
        <v>-1613</v>
      </c>
      <c r="Z89" s="13">
        <f>HAVERQ!AZ95</f>
        <v>-1770</v>
      </c>
      <c r="AA89" s="13">
        <f>HAVERQ!BA95</f>
        <v>126343</v>
      </c>
      <c r="AB89" s="13">
        <f>HAVERQ!BB95</f>
        <v>125721</v>
      </c>
      <c r="AC89" s="13">
        <f>HAVERQ!W95</f>
        <v>45750</v>
      </c>
      <c r="AD89" s="13">
        <f>HAVERQ!X95</f>
        <v>24732</v>
      </c>
      <c r="AE89" s="13">
        <f>HAVERQ!AD95</f>
        <v>3162</v>
      </c>
      <c r="AF89" s="13">
        <f>HAVERQ!AE95</f>
        <v>15781</v>
      </c>
      <c r="AG89" s="13">
        <f>HAVERQ!AF95</f>
        <v>18049</v>
      </c>
      <c r="AH89" s="13">
        <f>HAVERQ!AG95</f>
        <v>35164</v>
      </c>
      <c r="AI89" s="13">
        <f>HAVERQ!AH95</f>
        <v>21771</v>
      </c>
    </row>
    <row r="90" spans="1:72" x14ac:dyDescent="0.35">
      <c r="A90" t="s">
        <v>255</v>
      </c>
      <c r="B90" t="str">
        <f t="shared" si="25"/>
        <v>2011</v>
      </c>
      <c r="C90" t="str">
        <f t="shared" si="26"/>
        <v>Q2</v>
      </c>
      <c r="D90" s="13">
        <f>HAVERQ!AL96</f>
        <v>253472</v>
      </c>
      <c r="E90" s="13">
        <f>HAVERQ!AM96</f>
        <v>9845</v>
      </c>
      <c r="F90" s="13">
        <f>HAVERQ!AN96</f>
        <v>85344</v>
      </c>
      <c r="G90" s="13">
        <f>HAVERQ!AO96</f>
        <v>66429</v>
      </c>
      <c r="H90" s="13">
        <f>HAVERQ!AP96</f>
        <v>3838</v>
      </c>
      <c r="I90" s="13">
        <f>HAVERQ!AQ96</f>
        <v>619</v>
      </c>
      <c r="J90" s="13">
        <f>HAVERQ!AR96</f>
        <v>129473</v>
      </c>
      <c r="K90" s="13">
        <f>HAVERQ!AS96</f>
        <v>134980</v>
      </c>
      <c r="L90" s="13">
        <f>HAVERQ!U96</f>
        <v>49334</v>
      </c>
      <c r="M90" s="13">
        <f>HAVERQ!V96</f>
        <v>15951</v>
      </c>
      <c r="N90" s="13">
        <f>HAVERQ!Y96</f>
        <v>4352</v>
      </c>
      <c r="O90" s="13">
        <f>HAVERQ!Z96</f>
        <v>15124</v>
      </c>
      <c r="P90" s="13">
        <f>HAVERQ!AA96</f>
        <v>18288</v>
      </c>
      <c r="Q90" s="13">
        <f>HAVERQ!AB96</f>
        <v>30082</v>
      </c>
      <c r="R90" s="13">
        <f>HAVERQ!AC96</f>
        <v>21121</v>
      </c>
      <c r="U90" s="13">
        <f>HAVERQ!AU96</f>
        <v>251501</v>
      </c>
      <c r="V90" s="13">
        <f>HAVERQ!AV96</f>
        <v>9845</v>
      </c>
      <c r="W90" s="13">
        <f>HAVERQ!AW96</f>
        <v>84910</v>
      </c>
      <c r="X90" s="13">
        <f>HAVERQ!AX96</f>
        <v>61817</v>
      </c>
      <c r="Y90" s="13">
        <f>HAVERQ!AY96</f>
        <v>1822</v>
      </c>
      <c r="Z90" s="13">
        <f>HAVERQ!AZ96</f>
        <v>658</v>
      </c>
      <c r="AA90" s="13">
        <f>HAVERQ!BA96</f>
        <v>131144</v>
      </c>
      <c r="AB90" s="13">
        <f>HAVERQ!BB96</f>
        <v>134671</v>
      </c>
      <c r="AC90" s="13">
        <f>HAVERQ!W96</f>
        <v>47874</v>
      </c>
      <c r="AD90" s="13">
        <f>HAVERQ!X96</f>
        <v>11561</v>
      </c>
      <c r="AE90" s="13">
        <f>HAVERQ!AD96</f>
        <v>4456</v>
      </c>
      <c r="AF90" s="13">
        <f>HAVERQ!AE96</f>
        <v>13248</v>
      </c>
      <c r="AG90" s="13">
        <f>HAVERQ!AF96</f>
        <v>17815</v>
      </c>
      <c r="AH90" s="13">
        <f>HAVERQ!AG96</f>
        <v>26363</v>
      </c>
      <c r="AI90" s="13">
        <f>HAVERQ!AH96</f>
        <v>20623</v>
      </c>
    </row>
    <row r="91" spans="1:72" x14ac:dyDescent="0.35">
      <c r="A91" t="s">
        <v>256</v>
      </c>
      <c r="B91" t="str">
        <f t="shared" si="25"/>
        <v>2011</v>
      </c>
      <c r="C91" t="str">
        <f t="shared" si="26"/>
        <v>Q3</v>
      </c>
      <c r="D91" s="13">
        <f>HAVERQ!AL97</f>
        <v>255720</v>
      </c>
      <c r="E91" s="13">
        <f>HAVERQ!AM97</f>
        <v>9957</v>
      </c>
      <c r="F91" s="13">
        <f>HAVERQ!AN97</f>
        <v>86000</v>
      </c>
      <c r="G91" s="13">
        <f>HAVERQ!AO97</f>
        <v>68244</v>
      </c>
      <c r="H91" s="13">
        <f>HAVERQ!AP97</f>
        <v>1725</v>
      </c>
      <c r="I91" s="13">
        <f>HAVERQ!AQ97</f>
        <v>1627</v>
      </c>
      <c r="J91" s="13">
        <f>HAVERQ!AR97</f>
        <v>130936</v>
      </c>
      <c r="K91" s="13">
        <f>HAVERQ!AS97</f>
        <v>136090</v>
      </c>
      <c r="L91" s="13">
        <f>HAVERQ!U97</f>
        <v>50839</v>
      </c>
      <c r="M91" s="13">
        <f>HAVERQ!V97</f>
        <v>16182</v>
      </c>
      <c r="N91" s="13">
        <f>HAVERQ!Y97</f>
        <v>3532</v>
      </c>
      <c r="O91" s="13">
        <f>HAVERQ!Z97</f>
        <v>15707</v>
      </c>
      <c r="P91" s="13">
        <f>HAVERQ!AA97</f>
        <v>18159</v>
      </c>
      <c r="Q91" s="13">
        <f>HAVERQ!AB97</f>
        <v>31166</v>
      </c>
      <c r="R91" s="13">
        <f>HAVERQ!AC97</f>
        <v>22418</v>
      </c>
      <c r="U91" s="13">
        <f>HAVERQ!AU97</f>
        <v>258216</v>
      </c>
      <c r="V91" s="13">
        <f>HAVERQ!AV97</f>
        <v>9957</v>
      </c>
      <c r="W91" s="13">
        <f>HAVERQ!AW97</f>
        <v>85312</v>
      </c>
      <c r="X91" s="13">
        <f>HAVERQ!AX97</f>
        <v>67481</v>
      </c>
      <c r="Y91" s="13">
        <f>HAVERQ!AY97</f>
        <v>5527</v>
      </c>
      <c r="Z91" s="13">
        <f>HAVERQ!AZ97</f>
        <v>1719</v>
      </c>
      <c r="AA91" s="13">
        <f>HAVERQ!BA97</f>
        <v>130705</v>
      </c>
      <c r="AB91" s="13">
        <f>HAVERQ!BB97</f>
        <v>139734</v>
      </c>
      <c r="AC91" s="13">
        <f>HAVERQ!W97</f>
        <v>50692</v>
      </c>
      <c r="AD91" s="13">
        <f>HAVERQ!X97</f>
        <v>14920</v>
      </c>
      <c r="AE91" s="13">
        <f>HAVERQ!AD97</f>
        <v>3482</v>
      </c>
      <c r="AF91" s="13">
        <f>HAVERQ!AE97</f>
        <v>15085</v>
      </c>
      <c r="AG91" s="13">
        <f>HAVERQ!AF97</f>
        <v>18263</v>
      </c>
      <c r="AH91" s="13">
        <f>HAVERQ!AG97</f>
        <v>31509</v>
      </c>
      <c r="AI91" s="13">
        <f>HAVERQ!AH97</f>
        <v>21655</v>
      </c>
    </row>
    <row r="92" spans="1:72" x14ac:dyDescent="0.35">
      <c r="A92" t="s">
        <v>257</v>
      </c>
      <c r="B92" t="str">
        <f t="shared" si="25"/>
        <v>2011</v>
      </c>
      <c r="C92" t="str">
        <f t="shared" si="26"/>
        <v>Q4</v>
      </c>
      <c r="D92" s="13">
        <f>HAVERQ!AL98</f>
        <v>257937</v>
      </c>
      <c r="E92" s="13">
        <f>HAVERQ!AM98</f>
        <v>9913</v>
      </c>
      <c r="F92" s="13">
        <f>HAVERQ!AN98</f>
        <v>87172</v>
      </c>
      <c r="G92" s="13">
        <f>HAVERQ!AO98</f>
        <v>69094</v>
      </c>
      <c r="H92" s="13">
        <f>HAVERQ!AP98</f>
        <v>-357</v>
      </c>
      <c r="I92" s="13">
        <f>HAVERQ!AQ98</f>
        <v>498</v>
      </c>
      <c r="J92" s="13">
        <f>HAVERQ!AR98</f>
        <v>132741</v>
      </c>
      <c r="K92" s="13">
        <f>HAVERQ!AS98</f>
        <v>135733</v>
      </c>
      <c r="L92" s="13">
        <f>HAVERQ!U98</f>
        <v>52186</v>
      </c>
      <c r="M92" s="13">
        <f>HAVERQ!V98</f>
        <v>15922</v>
      </c>
      <c r="N92" s="13">
        <f>HAVERQ!Y98</f>
        <v>5117</v>
      </c>
      <c r="O92" s="13">
        <f>HAVERQ!Z98</f>
        <v>15851</v>
      </c>
      <c r="P92" s="13">
        <f>HAVERQ!AA98</f>
        <v>17832</v>
      </c>
      <c r="Q92" s="13">
        <f>HAVERQ!AB98</f>
        <v>31960</v>
      </c>
      <c r="R92" s="13">
        <f>HAVERQ!AC98</f>
        <v>21006</v>
      </c>
      <c r="U92" s="13">
        <f>HAVERQ!AU98</f>
        <v>264776</v>
      </c>
      <c r="V92" s="13">
        <f>HAVERQ!AV98</f>
        <v>9913</v>
      </c>
      <c r="W92" s="13">
        <f>HAVERQ!AW98</f>
        <v>86806</v>
      </c>
      <c r="X92" s="13">
        <f>HAVERQ!AX98</f>
        <v>71660</v>
      </c>
      <c r="Y92" s="13">
        <f>HAVERQ!AY98</f>
        <v>-1599</v>
      </c>
      <c r="Z92" s="13">
        <f>HAVERQ!AZ98</f>
        <v>442</v>
      </c>
      <c r="AA92" s="13">
        <f>HAVERQ!BA98</f>
        <v>133915</v>
      </c>
      <c r="AB92" s="13">
        <f>HAVERQ!BB98</f>
        <v>135244</v>
      </c>
      <c r="AC92" s="13">
        <f>HAVERQ!W98</f>
        <v>55103</v>
      </c>
      <c r="AD92" s="13">
        <f>HAVERQ!X98</f>
        <v>15291</v>
      </c>
      <c r="AE92" s="13">
        <f>HAVERQ!AD98</f>
        <v>5548</v>
      </c>
      <c r="AF92" s="13">
        <f>HAVERQ!AE98</f>
        <v>16793</v>
      </c>
      <c r="AG92" s="13">
        <f>HAVERQ!AF98</f>
        <v>18798</v>
      </c>
      <c r="AH92" s="13">
        <f>HAVERQ!AG98</f>
        <v>32320</v>
      </c>
      <c r="AI92" s="13">
        <f>HAVERQ!AH98</f>
        <v>21860</v>
      </c>
    </row>
    <row r="93" spans="1:72" x14ac:dyDescent="0.35">
      <c r="A93" t="s">
        <v>258</v>
      </c>
      <c r="B93" t="str">
        <f t="shared" si="25"/>
        <v>2012</v>
      </c>
      <c r="C93" t="str">
        <f t="shared" si="26"/>
        <v>Q1</v>
      </c>
      <c r="D93" s="13">
        <f>HAVERQ!AL99</f>
        <v>259056</v>
      </c>
      <c r="E93" s="13">
        <f>HAVERQ!AM99</f>
        <v>9928</v>
      </c>
      <c r="F93" s="13">
        <f>HAVERQ!AN99</f>
        <v>90615</v>
      </c>
      <c r="G93" s="13">
        <f>HAVERQ!AO99</f>
        <v>70629</v>
      </c>
      <c r="H93" s="13">
        <f>HAVERQ!AP99</f>
        <v>-2389</v>
      </c>
      <c r="I93" s="13">
        <f>HAVERQ!AQ99</f>
        <v>-1187</v>
      </c>
      <c r="J93" s="13">
        <f>HAVERQ!AR99</f>
        <v>136133</v>
      </c>
      <c r="K93" s="13">
        <f>HAVERQ!AS99</f>
        <v>136132</v>
      </c>
      <c r="L93" s="13">
        <f>HAVERQ!U99</f>
        <v>53782</v>
      </c>
      <c r="M93" s="13">
        <f>HAVERQ!V99</f>
        <v>16542</v>
      </c>
      <c r="N93" s="13">
        <f>HAVERQ!Y99</f>
        <v>8952</v>
      </c>
      <c r="O93" s="13">
        <f>HAVERQ!Z99</f>
        <v>15133</v>
      </c>
      <c r="P93" s="13">
        <f>HAVERQ!AA99</f>
        <v>17072</v>
      </c>
      <c r="Q93" s="13">
        <f>HAVERQ!AB99</f>
        <v>30499</v>
      </c>
      <c r="R93" s="13">
        <f>HAVERQ!AC99</f>
        <v>20690</v>
      </c>
      <c r="U93" s="13">
        <f>HAVERQ!AU99</f>
        <v>251623</v>
      </c>
      <c r="V93" s="13">
        <f>HAVERQ!AV99</f>
        <v>9928</v>
      </c>
      <c r="W93" s="13">
        <f>HAVERQ!AW99</f>
        <v>92146</v>
      </c>
      <c r="X93" s="13">
        <f>HAVERQ!AX99</f>
        <v>73305</v>
      </c>
      <c r="Y93" s="13">
        <f>HAVERQ!AY99</f>
        <v>-1824</v>
      </c>
      <c r="Z93" s="13">
        <f>HAVERQ!AZ99</f>
        <v>-1265</v>
      </c>
      <c r="AA93" s="13">
        <f>HAVERQ!BA99</f>
        <v>134010</v>
      </c>
      <c r="AB93" s="13">
        <f>HAVERQ!BB99</f>
        <v>133864</v>
      </c>
      <c r="AC93" s="13">
        <f>HAVERQ!W99</f>
        <v>50510</v>
      </c>
      <c r="AD93" s="13">
        <f>HAVERQ!X99</f>
        <v>22655</v>
      </c>
      <c r="AE93" s="13">
        <f>HAVERQ!AD99</f>
        <v>8212</v>
      </c>
      <c r="AF93" s="13">
        <f>HAVERQ!AE99</f>
        <v>15998</v>
      </c>
      <c r="AG93" s="13">
        <f>HAVERQ!AF99</f>
        <v>16853</v>
      </c>
      <c r="AH93" s="13">
        <f>HAVERQ!AG99</f>
        <v>32819</v>
      </c>
      <c r="AI93" s="13">
        <f>HAVERQ!AH99</f>
        <v>20612</v>
      </c>
      <c r="BT93" t="s">
        <v>570</v>
      </c>
    </row>
    <row r="94" spans="1:72" x14ac:dyDescent="0.35">
      <c r="A94" t="s">
        <v>259</v>
      </c>
      <c r="B94" t="str">
        <f t="shared" si="25"/>
        <v>2012</v>
      </c>
      <c r="C94" t="str">
        <f t="shared" si="26"/>
        <v>Q2</v>
      </c>
      <c r="D94" s="13">
        <f>HAVERQ!AL100</f>
        <v>262920</v>
      </c>
      <c r="E94" s="13">
        <f>HAVERQ!AM100</f>
        <v>10134</v>
      </c>
      <c r="F94" s="13">
        <f>HAVERQ!AN100</f>
        <v>86842</v>
      </c>
      <c r="G94" s="13">
        <f>HAVERQ!AO100</f>
        <v>68945</v>
      </c>
      <c r="H94" s="13">
        <f>HAVERQ!AP100</f>
        <v>4756</v>
      </c>
      <c r="I94" s="13">
        <f>HAVERQ!AQ100</f>
        <v>870</v>
      </c>
      <c r="J94" s="13">
        <f>HAVERQ!AR100</f>
        <v>129171</v>
      </c>
      <c r="K94" s="13">
        <f>HAVERQ!AS100</f>
        <v>136940</v>
      </c>
      <c r="L94" s="13">
        <f>HAVERQ!U100</f>
        <v>51078</v>
      </c>
      <c r="M94" s="13">
        <f>HAVERQ!V100</f>
        <v>16224</v>
      </c>
      <c r="N94" s="13">
        <f>HAVERQ!Y100</f>
        <v>3079</v>
      </c>
      <c r="O94" s="13">
        <f>HAVERQ!Z100</f>
        <v>15925</v>
      </c>
      <c r="P94" s="13">
        <f>HAVERQ!AA100</f>
        <v>17419</v>
      </c>
      <c r="Q94" s="13">
        <f>HAVERQ!AB100</f>
        <v>32511</v>
      </c>
      <c r="R94" s="13">
        <f>HAVERQ!AC100</f>
        <v>21930</v>
      </c>
      <c r="U94" s="13">
        <f>HAVERQ!AU100</f>
        <v>259990</v>
      </c>
      <c r="V94" s="13">
        <f>HAVERQ!AV100</f>
        <v>10134</v>
      </c>
      <c r="W94" s="13">
        <f>HAVERQ!AW100</f>
        <v>86500</v>
      </c>
      <c r="X94" s="13">
        <f>HAVERQ!AX100</f>
        <v>64942</v>
      </c>
      <c r="Y94" s="13">
        <f>HAVERQ!AY100</f>
        <v>3194</v>
      </c>
      <c r="Z94" s="13">
        <f>HAVERQ!AZ100</f>
        <v>883</v>
      </c>
      <c r="AA94" s="13">
        <f>HAVERQ!BA100</f>
        <v>130526</v>
      </c>
      <c r="AB94" s="13">
        <f>HAVERQ!BB100</f>
        <v>136217</v>
      </c>
      <c r="AC94" s="13">
        <f>HAVERQ!W100</f>
        <v>50579</v>
      </c>
      <c r="AD94" s="13">
        <f>HAVERQ!X100</f>
        <v>12071</v>
      </c>
      <c r="AE94" s="13">
        <f>HAVERQ!AD100</f>
        <v>3149</v>
      </c>
      <c r="AF94" s="13">
        <f>HAVERQ!AE100</f>
        <v>14710</v>
      </c>
      <c r="AG94" s="13">
        <f>HAVERQ!AF100</f>
        <v>16949</v>
      </c>
      <c r="AH94" s="13">
        <f>HAVERQ!AG100</f>
        <v>29033</v>
      </c>
      <c r="AI94" s="13">
        <f>HAVERQ!AH100</f>
        <v>21745</v>
      </c>
    </row>
    <row r="95" spans="1:72" x14ac:dyDescent="0.35">
      <c r="A95" t="s">
        <v>260</v>
      </c>
      <c r="B95" t="str">
        <f t="shared" si="25"/>
        <v>2012</v>
      </c>
      <c r="C95" t="str">
        <f t="shared" si="26"/>
        <v>Q3</v>
      </c>
      <c r="D95" s="13">
        <f>HAVERQ!AL101</f>
        <v>265478</v>
      </c>
      <c r="E95" s="13">
        <f>HAVERQ!AM101</f>
        <v>10155</v>
      </c>
      <c r="F95" s="13">
        <f>HAVERQ!AN101</f>
        <v>87802</v>
      </c>
      <c r="G95" s="13">
        <f>HAVERQ!AO101</f>
        <v>68802</v>
      </c>
      <c r="H95" s="13">
        <f>HAVERQ!AP101</f>
        <v>4935</v>
      </c>
      <c r="I95" s="13">
        <f>HAVERQ!AQ101</f>
        <v>356</v>
      </c>
      <c r="J95" s="13">
        <f>HAVERQ!AR101</f>
        <v>131259</v>
      </c>
      <c r="K95" s="13">
        <f>HAVERQ!AS101</f>
        <v>135500</v>
      </c>
      <c r="L95" s="13">
        <f>HAVERQ!U101</f>
        <v>51746</v>
      </c>
      <c r="M95" s="13">
        <f>HAVERQ!V101</f>
        <v>14405</v>
      </c>
      <c r="N95" s="13">
        <f>HAVERQ!Y101</f>
        <v>1122</v>
      </c>
      <c r="O95" s="13">
        <f>HAVERQ!Z101</f>
        <v>16414</v>
      </c>
      <c r="P95" s="13">
        <f>HAVERQ!AA101</f>
        <v>17857</v>
      </c>
      <c r="Q95" s="13">
        <f>HAVERQ!AB101</f>
        <v>32436</v>
      </c>
      <c r="R95" s="13">
        <f>HAVERQ!AC101</f>
        <v>22676</v>
      </c>
      <c r="U95" s="13">
        <f>HAVERQ!AU101</f>
        <v>268541</v>
      </c>
      <c r="V95" s="13">
        <f>HAVERQ!AV101</f>
        <v>10155</v>
      </c>
      <c r="W95" s="13">
        <f>HAVERQ!AW101</f>
        <v>86994</v>
      </c>
      <c r="X95" s="13">
        <f>HAVERQ!AX101</f>
        <v>68080</v>
      </c>
      <c r="Y95" s="13">
        <f>HAVERQ!AY101</f>
        <v>6047</v>
      </c>
      <c r="Z95" s="13">
        <f>HAVERQ!AZ101</f>
        <v>475</v>
      </c>
      <c r="AA95" s="13">
        <f>HAVERQ!BA101</f>
        <v>130295</v>
      </c>
      <c r="AB95" s="13">
        <f>HAVERQ!BB101</f>
        <v>138318</v>
      </c>
      <c r="AC95" s="13">
        <f>HAVERQ!W101</f>
        <v>52513</v>
      </c>
      <c r="AD95" s="13">
        <f>HAVERQ!X101</f>
        <v>13167</v>
      </c>
      <c r="AE95" s="13">
        <f>HAVERQ!AD101</f>
        <v>1490</v>
      </c>
      <c r="AF95" s="13">
        <f>HAVERQ!AE101</f>
        <v>15998</v>
      </c>
      <c r="AG95" s="13">
        <f>HAVERQ!AF101</f>
        <v>17980</v>
      </c>
      <c r="AH95" s="13">
        <f>HAVERQ!AG101</f>
        <v>32226</v>
      </c>
      <c r="AI95" s="13">
        <f>HAVERQ!AH101</f>
        <v>22771</v>
      </c>
    </row>
    <row r="96" spans="1:72" x14ac:dyDescent="0.35">
      <c r="A96" t="s">
        <v>261</v>
      </c>
      <c r="B96" t="str">
        <f t="shared" si="25"/>
        <v>2012</v>
      </c>
      <c r="C96" t="str">
        <f t="shared" si="26"/>
        <v>Q4</v>
      </c>
      <c r="D96" s="13">
        <f>HAVERQ!AL102</f>
        <v>271440</v>
      </c>
      <c r="E96" s="13">
        <f>HAVERQ!AM102</f>
        <v>10106</v>
      </c>
      <c r="F96" s="13">
        <f>HAVERQ!AN102</f>
        <v>89596</v>
      </c>
      <c r="G96" s="13">
        <f>HAVERQ!AO102</f>
        <v>71783</v>
      </c>
      <c r="H96" s="13">
        <f>HAVERQ!AP102</f>
        <v>-3345</v>
      </c>
      <c r="I96" s="13">
        <f>HAVERQ!AQ102</f>
        <v>178</v>
      </c>
      <c r="J96" s="13">
        <f>HAVERQ!AR102</f>
        <v>128550</v>
      </c>
      <c r="K96" s="13">
        <f>HAVERQ!AS102</f>
        <v>133238</v>
      </c>
      <c r="L96" s="13">
        <f>HAVERQ!U102</f>
        <v>55124</v>
      </c>
      <c r="M96" s="13">
        <f>HAVERQ!V102</f>
        <v>14758</v>
      </c>
      <c r="N96" s="13">
        <f>HAVERQ!Y102</f>
        <v>3456</v>
      </c>
      <c r="O96" s="13">
        <f>HAVERQ!Z102</f>
        <v>16853</v>
      </c>
      <c r="P96" s="13">
        <f>HAVERQ!AA102</f>
        <v>17842</v>
      </c>
      <c r="Q96" s="13">
        <f>HAVERQ!AB102</f>
        <v>33832</v>
      </c>
      <c r="R96" s="13">
        <f>HAVERQ!AC102</f>
        <v>22843</v>
      </c>
      <c r="U96" s="13">
        <f>HAVERQ!AU102</f>
        <v>278740</v>
      </c>
      <c r="V96" s="13">
        <f>HAVERQ!AV102</f>
        <v>10106</v>
      </c>
      <c r="W96" s="13">
        <f>HAVERQ!AW102</f>
        <v>89215</v>
      </c>
      <c r="X96" s="13">
        <f>HAVERQ!AX102</f>
        <v>73832</v>
      </c>
      <c r="Y96" s="13">
        <f>HAVERQ!AY102</f>
        <v>-3460</v>
      </c>
      <c r="Z96" s="13">
        <f>HAVERQ!AZ102</f>
        <v>124</v>
      </c>
      <c r="AA96" s="13">
        <f>HAVERQ!BA102</f>
        <v>130282</v>
      </c>
      <c r="AB96" s="13">
        <f>HAVERQ!BB102</f>
        <v>133411</v>
      </c>
      <c r="AC96" s="13">
        <f>HAVERQ!W102</f>
        <v>58127</v>
      </c>
      <c r="AD96" s="13">
        <f>HAVERQ!X102</f>
        <v>14035</v>
      </c>
      <c r="AE96" s="13">
        <f>HAVERQ!AD102</f>
        <v>3759</v>
      </c>
      <c r="AF96" s="13">
        <f>HAVERQ!AE102</f>
        <v>17618</v>
      </c>
      <c r="AG96" s="13">
        <f>HAVERQ!AF102</f>
        <v>18408</v>
      </c>
      <c r="AH96" s="13">
        <f>HAVERQ!AG102</f>
        <v>35199</v>
      </c>
      <c r="AI96" s="13">
        <f>HAVERQ!AH102</f>
        <v>23010</v>
      </c>
    </row>
    <row r="97" spans="1:35" x14ac:dyDescent="0.35">
      <c r="A97" t="s">
        <v>262</v>
      </c>
      <c r="B97" t="str">
        <f t="shared" si="25"/>
        <v>2013</v>
      </c>
      <c r="C97" t="str">
        <f t="shared" si="26"/>
        <v>Q1</v>
      </c>
      <c r="D97" s="13">
        <f>HAVERQ!AL103</f>
        <v>272394</v>
      </c>
      <c r="E97" s="13">
        <f>HAVERQ!AM103</f>
        <v>9801</v>
      </c>
      <c r="F97" s="13">
        <f>HAVERQ!AN103</f>
        <v>88987</v>
      </c>
      <c r="G97" s="13">
        <f>HAVERQ!AO103</f>
        <v>71180</v>
      </c>
      <c r="H97" s="13">
        <f>HAVERQ!AP103</f>
        <v>-1172</v>
      </c>
      <c r="I97" s="13">
        <f>HAVERQ!AQ103</f>
        <v>893</v>
      </c>
      <c r="J97" s="13">
        <f>HAVERQ!AR103</f>
        <v>135560</v>
      </c>
      <c r="K97" s="13">
        <f>HAVERQ!AS103</f>
        <v>137605</v>
      </c>
      <c r="L97" s="13">
        <f>HAVERQ!U103</f>
        <v>53732</v>
      </c>
      <c r="M97" s="13">
        <f>HAVERQ!V103</f>
        <v>14610</v>
      </c>
      <c r="N97" s="13">
        <f>HAVERQ!Y103</f>
        <v>2625</v>
      </c>
      <c r="O97" s="13">
        <f>HAVERQ!Z103</f>
        <v>16112</v>
      </c>
      <c r="P97" s="13">
        <f>HAVERQ!AA103</f>
        <v>17943</v>
      </c>
      <c r="Q97" s="13">
        <f>HAVERQ!AB103</f>
        <v>32976</v>
      </c>
      <c r="R97" s="13">
        <f>HAVERQ!AC103</f>
        <v>23526</v>
      </c>
      <c r="U97" s="13">
        <f>HAVERQ!AU103</f>
        <v>265180</v>
      </c>
      <c r="V97" s="13">
        <f>HAVERQ!AV103</f>
        <v>9801</v>
      </c>
      <c r="W97" s="13">
        <f>HAVERQ!AW103</f>
        <v>90348</v>
      </c>
      <c r="X97" s="13">
        <f>HAVERQ!AX103</f>
        <v>73001</v>
      </c>
      <c r="Y97" s="13">
        <f>HAVERQ!AY103</f>
        <v>-1876</v>
      </c>
      <c r="Z97" s="13">
        <f>HAVERQ!AZ103</f>
        <v>798</v>
      </c>
      <c r="AA97" s="13">
        <f>HAVERQ!BA103</f>
        <v>132231</v>
      </c>
      <c r="AB97" s="13">
        <f>HAVERQ!BB103</f>
        <v>133620</v>
      </c>
      <c r="AC97" s="13">
        <f>HAVERQ!W103</f>
        <v>51395</v>
      </c>
      <c r="AD97" s="13">
        <f>HAVERQ!X103</f>
        <v>20124</v>
      </c>
      <c r="AE97" s="13">
        <f>HAVERQ!AD103</f>
        <v>2402</v>
      </c>
      <c r="AF97" s="13">
        <f>HAVERQ!AE103</f>
        <v>17569</v>
      </c>
      <c r="AG97" s="13">
        <f>HAVERQ!AF103</f>
        <v>17333</v>
      </c>
      <c r="AH97" s="13">
        <f>HAVERQ!AG103</f>
        <v>33539</v>
      </c>
      <c r="AI97" s="13">
        <f>HAVERQ!AH103</f>
        <v>24281</v>
      </c>
    </row>
    <row r="98" spans="1:35" x14ac:dyDescent="0.35">
      <c r="A98" t="s">
        <v>263</v>
      </c>
      <c r="B98" t="str">
        <f t="shared" si="25"/>
        <v>2013</v>
      </c>
      <c r="C98" t="str">
        <f t="shared" si="26"/>
        <v>Q2</v>
      </c>
      <c r="D98" s="13">
        <f>HAVERQ!AL104</f>
        <v>276208</v>
      </c>
      <c r="E98" s="13">
        <f>HAVERQ!AM104</f>
        <v>9832</v>
      </c>
      <c r="F98" s="13">
        <f>HAVERQ!AN104</f>
        <v>88584</v>
      </c>
      <c r="G98" s="13">
        <f>HAVERQ!AO104</f>
        <v>73405</v>
      </c>
      <c r="H98" s="13">
        <f>HAVERQ!AP104</f>
        <v>-1174</v>
      </c>
      <c r="I98" s="13">
        <f>HAVERQ!AQ104</f>
        <v>3317</v>
      </c>
      <c r="J98" s="13">
        <f>HAVERQ!AR104</f>
        <v>136244</v>
      </c>
      <c r="K98" s="13">
        <f>HAVERQ!AS104</f>
        <v>142790</v>
      </c>
      <c r="L98" s="13">
        <f>HAVERQ!U104</f>
        <v>54767</v>
      </c>
      <c r="M98" s="13">
        <f>HAVERQ!V104</f>
        <v>14163</v>
      </c>
      <c r="N98" s="13">
        <f>HAVERQ!Y104</f>
        <v>3250</v>
      </c>
      <c r="O98" s="13">
        <f>HAVERQ!Z104</f>
        <v>15763</v>
      </c>
      <c r="P98" s="13">
        <f>HAVERQ!AA104</f>
        <v>19257</v>
      </c>
      <c r="Q98" s="13">
        <f>HAVERQ!AB104</f>
        <v>33871</v>
      </c>
      <c r="R98" s="13">
        <f>HAVERQ!AC104</f>
        <v>23717</v>
      </c>
      <c r="U98" s="13">
        <f>HAVERQ!AU104</f>
        <v>272475</v>
      </c>
      <c r="V98" s="13">
        <f>HAVERQ!AV104</f>
        <v>9832</v>
      </c>
      <c r="W98" s="13">
        <f>HAVERQ!AW104</f>
        <v>88325</v>
      </c>
      <c r="X98" s="13">
        <f>HAVERQ!AX104</f>
        <v>69485</v>
      </c>
      <c r="Y98" s="13">
        <f>HAVERQ!AY104</f>
        <v>-996</v>
      </c>
      <c r="Z98" s="13">
        <f>HAVERQ!AZ104</f>
        <v>3314</v>
      </c>
      <c r="AA98" s="13">
        <f>HAVERQ!BA104</f>
        <v>137900</v>
      </c>
      <c r="AB98" s="13">
        <f>HAVERQ!BB104</f>
        <v>142316</v>
      </c>
      <c r="AC98" s="13">
        <f>HAVERQ!W104</f>
        <v>53346</v>
      </c>
      <c r="AD98" s="13">
        <f>HAVERQ!X104</f>
        <v>10713</v>
      </c>
      <c r="AE98" s="13">
        <f>HAVERQ!AD104</f>
        <v>3232</v>
      </c>
      <c r="AF98" s="13">
        <f>HAVERQ!AE104</f>
        <v>14028</v>
      </c>
      <c r="AG98" s="13">
        <f>HAVERQ!AF104</f>
        <v>18973</v>
      </c>
      <c r="AH98" s="13">
        <f>HAVERQ!AG104</f>
        <v>31175</v>
      </c>
      <c r="AI98" s="13">
        <f>HAVERQ!AH104</f>
        <v>23208</v>
      </c>
    </row>
    <row r="99" spans="1:35" x14ac:dyDescent="0.35">
      <c r="A99" t="s">
        <v>264</v>
      </c>
      <c r="B99" t="str">
        <f t="shared" si="25"/>
        <v>2013</v>
      </c>
      <c r="C99" t="str">
        <f t="shared" si="26"/>
        <v>Q3</v>
      </c>
      <c r="D99" s="13">
        <f>HAVERQ!AL105</f>
        <v>279942</v>
      </c>
      <c r="E99" s="13">
        <f>HAVERQ!AM105</f>
        <v>9737</v>
      </c>
      <c r="F99" s="13">
        <f>HAVERQ!AN105</f>
        <v>88037</v>
      </c>
      <c r="G99" s="13">
        <f>HAVERQ!AO105</f>
        <v>76152</v>
      </c>
      <c r="H99" s="13">
        <f>HAVERQ!AP105</f>
        <v>2956</v>
      </c>
      <c r="I99" s="13">
        <f>HAVERQ!AQ105</f>
        <v>-1034</v>
      </c>
      <c r="J99" s="13">
        <f>HAVERQ!AR105</f>
        <v>136733</v>
      </c>
      <c r="K99" s="13">
        <f>HAVERQ!AS105</f>
        <v>141798</v>
      </c>
      <c r="L99" s="13">
        <f>HAVERQ!U105</f>
        <v>56747</v>
      </c>
      <c r="M99" s="13">
        <f>HAVERQ!V105</f>
        <v>14431</v>
      </c>
      <c r="N99" s="13">
        <f>HAVERQ!Y105</f>
        <v>4652</v>
      </c>
      <c r="O99" s="13">
        <f>HAVERQ!Z105</f>
        <v>15985</v>
      </c>
      <c r="P99" s="13">
        <f>HAVERQ!AA105</f>
        <v>19584</v>
      </c>
      <c r="Q99" s="13">
        <f>HAVERQ!AB105</f>
        <v>33981</v>
      </c>
      <c r="R99" s="13">
        <f>HAVERQ!AC105</f>
        <v>23860</v>
      </c>
      <c r="U99" s="13">
        <f>HAVERQ!AU105</f>
        <v>283865</v>
      </c>
      <c r="V99" s="13">
        <f>HAVERQ!AV105</f>
        <v>9737</v>
      </c>
      <c r="W99" s="13">
        <f>HAVERQ!AW105</f>
        <v>87361</v>
      </c>
      <c r="X99" s="13">
        <f>HAVERQ!AX105</f>
        <v>75968</v>
      </c>
      <c r="Y99" s="13">
        <f>HAVERQ!AY105</f>
        <v>4931</v>
      </c>
      <c r="Z99" s="13">
        <f>HAVERQ!AZ105</f>
        <v>-874</v>
      </c>
      <c r="AA99" s="13">
        <f>HAVERQ!BA105</f>
        <v>136110</v>
      </c>
      <c r="AB99" s="13">
        <f>HAVERQ!BB105</f>
        <v>145973</v>
      </c>
      <c r="AC99" s="13">
        <f>HAVERQ!W105</f>
        <v>56980</v>
      </c>
      <c r="AD99" s="13">
        <f>HAVERQ!X105</f>
        <v>13224</v>
      </c>
      <c r="AE99" s="13">
        <f>HAVERQ!AD105</f>
        <v>4605</v>
      </c>
      <c r="AF99" s="13">
        <f>HAVERQ!AE105</f>
        <v>15495</v>
      </c>
      <c r="AG99" s="13">
        <f>HAVERQ!AF105</f>
        <v>19909</v>
      </c>
      <c r="AH99" s="13">
        <f>HAVERQ!AG105</f>
        <v>34190</v>
      </c>
      <c r="AI99" s="13">
        <f>HAVERQ!AH105</f>
        <v>23600</v>
      </c>
    </row>
    <row r="100" spans="1:35" x14ac:dyDescent="0.35">
      <c r="A100" t="s">
        <v>265</v>
      </c>
      <c r="B100" t="str">
        <f t="shared" si="25"/>
        <v>2013</v>
      </c>
      <c r="C100" t="str">
        <f t="shared" si="26"/>
        <v>Q4</v>
      </c>
      <c r="D100" s="13">
        <f>HAVERQ!AL106</f>
        <v>280824</v>
      </c>
      <c r="E100" s="13">
        <f>HAVERQ!AM106</f>
        <v>9555</v>
      </c>
      <c r="F100" s="13">
        <f>HAVERQ!AN106</f>
        <v>91327</v>
      </c>
      <c r="G100" s="13">
        <f>HAVERQ!AO106</f>
        <v>76152</v>
      </c>
      <c r="H100" s="13">
        <f>HAVERQ!AP106</f>
        <v>2541</v>
      </c>
      <c r="I100" s="13">
        <f>HAVERQ!AQ106</f>
        <v>3963</v>
      </c>
      <c r="J100" s="13">
        <f>HAVERQ!AR106</f>
        <v>131899</v>
      </c>
      <c r="K100" s="13">
        <f>HAVERQ!AS106</f>
        <v>141578</v>
      </c>
      <c r="L100" s="13">
        <f>HAVERQ!U106</f>
        <v>56008</v>
      </c>
      <c r="M100" s="13">
        <f>HAVERQ!V106</f>
        <v>15091</v>
      </c>
      <c r="N100" s="13">
        <f>HAVERQ!Y106</f>
        <v>4504</v>
      </c>
      <c r="O100" s="13">
        <f>HAVERQ!Z106</f>
        <v>16345</v>
      </c>
      <c r="P100" s="13">
        <f>HAVERQ!AA106</f>
        <v>19487</v>
      </c>
      <c r="Q100" s="13">
        <f>HAVERQ!AB106</f>
        <v>33105</v>
      </c>
      <c r="R100" s="13">
        <f>HAVERQ!AC106</f>
        <v>24182</v>
      </c>
      <c r="U100" s="13">
        <f>HAVERQ!AU106</f>
        <v>287848</v>
      </c>
      <c r="V100" s="13">
        <f>HAVERQ!AV106</f>
        <v>9555</v>
      </c>
      <c r="W100" s="13">
        <f>HAVERQ!AW106</f>
        <v>90901</v>
      </c>
      <c r="X100" s="13">
        <f>HAVERQ!AX106</f>
        <v>78435</v>
      </c>
      <c r="Y100" s="13">
        <f>HAVERQ!AY106</f>
        <v>1092</v>
      </c>
      <c r="Z100" s="13">
        <f>HAVERQ!AZ106</f>
        <v>3901</v>
      </c>
      <c r="AA100" s="13">
        <f>HAVERQ!BA106</f>
        <v>134195</v>
      </c>
      <c r="AB100" s="13">
        <f>HAVERQ!BB106</f>
        <v>141862</v>
      </c>
      <c r="AC100" s="13">
        <f>HAVERQ!W106</f>
        <v>59533</v>
      </c>
      <c r="AD100" s="13">
        <f>HAVERQ!X106</f>
        <v>14233</v>
      </c>
      <c r="AE100" s="13">
        <f>HAVERQ!AD106</f>
        <v>4791</v>
      </c>
      <c r="AF100" s="13">
        <f>HAVERQ!AE106</f>
        <v>17113</v>
      </c>
      <c r="AG100" s="13">
        <f>HAVERQ!AF106</f>
        <v>20056</v>
      </c>
      <c r="AH100" s="13">
        <f>HAVERQ!AG106</f>
        <v>35029</v>
      </c>
      <c r="AI100" s="13">
        <f>HAVERQ!AH106</f>
        <v>24196</v>
      </c>
    </row>
    <row r="101" spans="1:35" x14ac:dyDescent="0.35">
      <c r="A101" t="s">
        <v>266</v>
      </c>
      <c r="B101" t="str">
        <f t="shared" si="25"/>
        <v>2014</v>
      </c>
      <c r="C101" t="str">
        <f t="shared" si="26"/>
        <v>Q1</v>
      </c>
      <c r="D101" s="13">
        <f>HAVERQ!AL107</f>
        <v>283456</v>
      </c>
      <c r="E101" s="13">
        <f>HAVERQ!AM107</f>
        <v>9449</v>
      </c>
      <c r="F101" s="13">
        <f>HAVERQ!AN107</f>
        <v>92351</v>
      </c>
      <c r="G101" s="13">
        <f>HAVERQ!AO107</f>
        <v>78674</v>
      </c>
      <c r="H101" s="13">
        <f>HAVERQ!AP107</f>
        <v>1907</v>
      </c>
      <c r="I101" s="13">
        <f>HAVERQ!AQ107</f>
        <v>1358</v>
      </c>
      <c r="J101" s="13">
        <f>HAVERQ!AR107</f>
        <v>133472</v>
      </c>
      <c r="K101" s="13">
        <f>HAVERQ!AS107</f>
        <v>139985</v>
      </c>
      <c r="L101" s="13">
        <f>HAVERQ!U107</f>
        <v>56781</v>
      </c>
      <c r="M101" s="13">
        <f>HAVERQ!V107</f>
        <v>17024</v>
      </c>
      <c r="N101" s="13">
        <f>HAVERQ!Y107</f>
        <v>4905</v>
      </c>
      <c r="O101" s="13">
        <f>HAVERQ!Z107</f>
        <v>16804</v>
      </c>
      <c r="P101" s="13">
        <f>HAVERQ!AA107</f>
        <v>19800</v>
      </c>
      <c r="Q101" s="13">
        <f>HAVERQ!AB107</f>
        <v>34776</v>
      </c>
      <c r="R101" s="13">
        <f>HAVERQ!AC107</f>
        <v>24869</v>
      </c>
      <c r="U101" s="13">
        <f>HAVERQ!AU107</f>
        <v>274486</v>
      </c>
      <c r="V101" s="13">
        <f>HAVERQ!AV107</f>
        <v>9449</v>
      </c>
      <c r="W101" s="13">
        <f>HAVERQ!AW107</f>
        <v>93725</v>
      </c>
      <c r="X101" s="13">
        <f>HAVERQ!AX107</f>
        <v>80527</v>
      </c>
      <c r="Y101" s="13">
        <f>HAVERQ!AY107</f>
        <v>5423</v>
      </c>
      <c r="Z101" s="13">
        <f>HAVERQ!AZ107</f>
        <v>1252</v>
      </c>
      <c r="AA101" s="13">
        <f>HAVERQ!BA107</f>
        <v>130487</v>
      </c>
      <c r="AB101" s="13">
        <f>HAVERQ!BB107</f>
        <v>136252</v>
      </c>
      <c r="AC101" s="13">
        <f>HAVERQ!W107</f>
        <v>54376</v>
      </c>
      <c r="AD101" s="13">
        <f>HAVERQ!X107</f>
        <v>23194</v>
      </c>
      <c r="AE101" s="13">
        <f>HAVERQ!AD107</f>
        <v>4432</v>
      </c>
      <c r="AF101" s="13">
        <f>HAVERQ!AE107</f>
        <v>17987</v>
      </c>
      <c r="AG101" s="13">
        <f>HAVERQ!AF107</f>
        <v>19116</v>
      </c>
      <c r="AH101" s="13">
        <f>HAVERQ!AG107</f>
        <v>36609</v>
      </c>
      <c r="AI101" s="13">
        <f>HAVERQ!AH107</f>
        <v>25531</v>
      </c>
    </row>
    <row r="102" spans="1:35" x14ac:dyDescent="0.35">
      <c r="A102" t="s">
        <v>267</v>
      </c>
      <c r="B102" t="str">
        <f t="shared" si="25"/>
        <v>2014</v>
      </c>
      <c r="C102" t="str">
        <f t="shared" si="26"/>
        <v>Q2</v>
      </c>
      <c r="D102" s="13">
        <f>HAVERQ!AL108</f>
        <v>287581</v>
      </c>
      <c r="E102" s="13">
        <f>HAVERQ!AM108</f>
        <v>9420</v>
      </c>
      <c r="F102" s="13">
        <f>HAVERQ!AN108</f>
        <v>90360</v>
      </c>
      <c r="G102" s="13">
        <f>HAVERQ!AO108</f>
        <v>79384</v>
      </c>
      <c r="H102" s="13">
        <f>HAVERQ!AP108</f>
        <v>5417</v>
      </c>
      <c r="I102" s="13">
        <f>HAVERQ!AQ108</f>
        <v>-2420</v>
      </c>
      <c r="J102" s="13">
        <f>HAVERQ!AR108</f>
        <v>133673</v>
      </c>
      <c r="K102" s="13">
        <f>HAVERQ!AS108</f>
        <v>138748</v>
      </c>
      <c r="L102" s="13">
        <f>HAVERQ!U108</f>
        <v>58520</v>
      </c>
      <c r="M102" s="13">
        <f>HAVERQ!V108</f>
        <v>15597</v>
      </c>
      <c r="N102" s="13">
        <f>HAVERQ!Y108</f>
        <v>5309</v>
      </c>
      <c r="O102" s="13">
        <f>HAVERQ!Z108</f>
        <v>17125</v>
      </c>
      <c r="P102" s="13">
        <f>HAVERQ!AA108</f>
        <v>19133</v>
      </c>
      <c r="Q102" s="13">
        <f>HAVERQ!AB108</f>
        <v>35627</v>
      </c>
      <c r="R102" s="13">
        <f>HAVERQ!AC108</f>
        <v>24195</v>
      </c>
      <c r="U102" s="13">
        <f>HAVERQ!AU108</f>
        <v>284690</v>
      </c>
      <c r="V102" s="13">
        <f>HAVERQ!AV108</f>
        <v>9420</v>
      </c>
      <c r="W102" s="13">
        <f>HAVERQ!AW108</f>
        <v>90076</v>
      </c>
      <c r="X102" s="13">
        <f>HAVERQ!AX108</f>
        <v>75834</v>
      </c>
      <c r="Y102" s="13">
        <f>HAVERQ!AY108</f>
        <v>5848</v>
      </c>
      <c r="Z102" s="13">
        <f>HAVERQ!AZ108</f>
        <v>-2428</v>
      </c>
      <c r="AA102" s="13">
        <f>HAVERQ!BA108</f>
        <v>134646</v>
      </c>
      <c r="AB102" s="13">
        <f>HAVERQ!BB108</f>
        <v>137682</v>
      </c>
      <c r="AC102" s="13">
        <f>HAVERQ!W108</f>
        <v>57708</v>
      </c>
      <c r="AD102" s="13">
        <f>HAVERQ!X108</f>
        <v>11669</v>
      </c>
      <c r="AE102" s="13">
        <f>HAVERQ!AD108</f>
        <v>5485</v>
      </c>
      <c r="AF102" s="13">
        <f>HAVERQ!AE108</f>
        <v>15529</v>
      </c>
      <c r="AG102" s="13">
        <f>HAVERQ!AF108</f>
        <v>18943</v>
      </c>
      <c r="AH102" s="13">
        <f>HAVERQ!AG108</f>
        <v>32698</v>
      </c>
      <c r="AI102" s="13">
        <f>HAVERQ!AH108</f>
        <v>23651</v>
      </c>
    </row>
    <row r="103" spans="1:35" x14ac:dyDescent="0.35">
      <c r="A103" t="s">
        <v>268</v>
      </c>
      <c r="B103" t="str">
        <f t="shared" si="25"/>
        <v>2014</v>
      </c>
      <c r="C103" t="str">
        <f t="shared" si="26"/>
        <v>Q3</v>
      </c>
      <c r="D103" s="13">
        <f>HAVERQ!AL109</f>
        <v>292236</v>
      </c>
      <c r="E103" s="13">
        <f>HAVERQ!AM109</f>
        <v>9410</v>
      </c>
      <c r="F103" s="13">
        <f>HAVERQ!AN109</f>
        <v>92771</v>
      </c>
      <c r="G103" s="13">
        <f>HAVERQ!AO109</f>
        <v>81083</v>
      </c>
      <c r="H103" s="13">
        <f>HAVERQ!AP109</f>
        <v>4825</v>
      </c>
      <c r="I103" s="13">
        <f>HAVERQ!AQ109</f>
        <v>1526</v>
      </c>
      <c r="J103" s="13">
        <f>HAVERQ!AR109</f>
        <v>132944</v>
      </c>
      <c r="K103" s="13">
        <f>HAVERQ!AS109</f>
        <v>140680</v>
      </c>
      <c r="L103" s="13">
        <f>HAVERQ!U109</f>
        <v>59208</v>
      </c>
      <c r="M103" s="13">
        <f>HAVERQ!V109</f>
        <v>15999</v>
      </c>
      <c r="N103" s="13">
        <f>HAVERQ!Y109</f>
        <v>4908</v>
      </c>
      <c r="O103" s="13">
        <f>HAVERQ!Z109</f>
        <v>17557</v>
      </c>
      <c r="P103" s="13">
        <f>HAVERQ!AA109</f>
        <v>20215</v>
      </c>
      <c r="Q103" s="13">
        <f>HAVERQ!AB109</f>
        <v>35714</v>
      </c>
      <c r="R103" s="13">
        <f>HAVERQ!AC109</f>
        <v>24777</v>
      </c>
      <c r="U103" s="13">
        <f>HAVERQ!AU109</f>
        <v>296944</v>
      </c>
      <c r="V103" s="13">
        <f>HAVERQ!AV109</f>
        <v>9410</v>
      </c>
      <c r="W103" s="13">
        <f>HAVERQ!AW109</f>
        <v>92137</v>
      </c>
      <c r="X103" s="13">
        <f>HAVERQ!AX109</f>
        <v>79938</v>
      </c>
      <c r="Y103" s="13">
        <f>HAVERQ!AY109</f>
        <v>5197</v>
      </c>
      <c r="Z103" s="13">
        <f>HAVERQ!AZ109</f>
        <v>1713</v>
      </c>
      <c r="AA103" s="13">
        <f>HAVERQ!BA109</f>
        <v>131849</v>
      </c>
      <c r="AB103" s="13">
        <f>HAVERQ!BB109</f>
        <v>145744</v>
      </c>
      <c r="AC103" s="13">
        <f>HAVERQ!W109</f>
        <v>58520</v>
      </c>
      <c r="AD103" s="13">
        <f>HAVERQ!X109</f>
        <v>14847</v>
      </c>
      <c r="AE103" s="13">
        <f>HAVERQ!AD109</f>
        <v>4836</v>
      </c>
      <c r="AF103" s="13">
        <f>HAVERQ!AE109</f>
        <v>17188</v>
      </c>
      <c r="AG103" s="13">
        <f>HAVERQ!AF109</f>
        <v>20516</v>
      </c>
      <c r="AH103" s="13">
        <f>HAVERQ!AG109</f>
        <v>35018</v>
      </c>
      <c r="AI103" s="13">
        <f>HAVERQ!AH109</f>
        <v>24496</v>
      </c>
    </row>
    <row r="104" spans="1:35" x14ac:dyDescent="0.35">
      <c r="A104" t="s">
        <v>269</v>
      </c>
      <c r="B104" t="str">
        <f t="shared" si="25"/>
        <v>2014</v>
      </c>
      <c r="C104" t="str">
        <f t="shared" si="26"/>
        <v>Q4</v>
      </c>
      <c r="D104" s="13">
        <f>HAVERQ!AL110</f>
        <v>293163</v>
      </c>
      <c r="E104" s="13">
        <f>HAVERQ!AM110</f>
        <v>9428</v>
      </c>
      <c r="F104" s="13">
        <f>HAVERQ!AN110</f>
        <v>92766</v>
      </c>
      <c r="G104" s="13">
        <f>HAVERQ!AO110</f>
        <v>82959</v>
      </c>
      <c r="H104" s="13">
        <f>HAVERQ!AP110</f>
        <v>5354</v>
      </c>
      <c r="I104" s="13">
        <f>HAVERQ!AQ110</f>
        <v>5553</v>
      </c>
      <c r="J104" s="13">
        <f>HAVERQ!AR110</f>
        <v>134905</v>
      </c>
      <c r="K104" s="13">
        <f>HAVERQ!AS110</f>
        <v>148526</v>
      </c>
      <c r="L104" s="13">
        <f>HAVERQ!U110</f>
        <v>61217</v>
      </c>
      <c r="M104" s="13">
        <f>HAVERQ!V110</f>
        <v>16810</v>
      </c>
      <c r="N104" s="13">
        <f>HAVERQ!Y110</f>
        <v>5350</v>
      </c>
      <c r="O104" s="13">
        <f>HAVERQ!Z110</f>
        <v>17589</v>
      </c>
      <c r="P104" s="13">
        <f>HAVERQ!AA110</f>
        <v>20306</v>
      </c>
      <c r="Q104" s="13">
        <f>HAVERQ!AB110</f>
        <v>36798</v>
      </c>
      <c r="R104" s="13">
        <f>HAVERQ!AC110</f>
        <v>26237</v>
      </c>
      <c r="U104" s="13">
        <f>HAVERQ!AU110</f>
        <v>300316</v>
      </c>
      <c r="V104" s="13">
        <f>HAVERQ!AV110</f>
        <v>9428</v>
      </c>
      <c r="W104" s="13">
        <f>HAVERQ!AW110</f>
        <v>92310</v>
      </c>
      <c r="X104" s="13">
        <f>HAVERQ!AX110</f>
        <v>85801</v>
      </c>
      <c r="Y104" s="13">
        <f>HAVERQ!AY110</f>
        <v>1035</v>
      </c>
      <c r="Z104" s="13">
        <f>HAVERQ!AZ110</f>
        <v>5480</v>
      </c>
      <c r="AA104" s="13">
        <f>HAVERQ!BA110</f>
        <v>138012</v>
      </c>
      <c r="AB104" s="13">
        <f>HAVERQ!BB110</f>
        <v>148261</v>
      </c>
      <c r="AC104" s="13">
        <f>HAVERQ!W110</f>
        <v>65122</v>
      </c>
      <c r="AD104" s="13">
        <f>HAVERQ!X110</f>
        <v>15721</v>
      </c>
      <c r="AE104" s="13">
        <f>HAVERQ!AD110</f>
        <v>5719</v>
      </c>
      <c r="AF104" s="13">
        <f>HAVERQ!AE110</f>
        <v>18370</v>
      </c>
      <c r="AG104" s="13">
        <f>HAVERQ!AF110</f>
        <v>20880</v>
      </c>
      <c r="AH104" s="13">
        <f>HAVERQ!AG110</f>
        <v>38590</v>
      </c>
      <c r="AI104" s="13">
        <f>HAVERQ!AH110</f>
        <v>26399</v>
      </c>
    </row>
    <row r="105" spans="1:35" x14ac:dyDescent="0.35">
      <c r="A105" t="s">
        <v>270</v>
      </c>
      <c r="B105" t="str">
        <f t="shared" si="25"/>
        <v>2015</v>
      </c>
      <c r="C105" t="str">
        <f t="shared" si="26"/>
        <v>Q1</v>
      </c>
      <c r="D105" s="13">
        <f>HAVERQ!AL111</f>
        <v>293212</v>
      </c>
      <c r="E105" s="13">
        <f>HAVERQ!AM111</f>
        <v>9336</v>
      </c>
      <c r="F105" s="13">
        <f>HAVERQ!AN111</f>
        <v>93101</v>
      </c>
      <c r="G105" s="13">
        <f>HAVERQ!AO111</f>
        <v>86083</v>
      </c>
      <c r="H105" s="13">
        <f>HAVERQ!AP111</f>
        <v>3809</v>
      </c>
      <c r="I105" s="13">
        <f>HAVERQ!AQ111</f>
        <v>2443</v>
      </c>
      <c r="J105" s="13">
        <f>HAVERQ!AR111</f>
        <v>133630</v>
      </c>
      <c r="K105" s="13">
        <f>HAVERQ!AS111</f>
        <v>143598</v>
      </c>
      <c r="L105" s="13">
        <f>HAVERQ!U111</f>
        <v>64003</v>
      </c>
      <c r="M105" s="13">
        <f>HAVERQ!V111</f>
        <v>17617</v>
      </c>
      <c r="N105" s="13">
        <f>HAVERQ!Y111</f>
        <v>9465</v>
      </c>
      <c r="O105" s="13">
        <f>HAVERQ!Z111</f>
        <v>16646</v>
      </c>
      <c r="P105" s="13">
        <f>HAVERQ!AA111</f>
        <v>20523</v>
      </c>
      <c r="Q105" s="13">
        <f>HAVERQ!AB111</f>
        <v>37904</v>
      </c>
      <c r="R105" s="13">
        <f>HAVERQ!AC111</f>
        <v>25246</v>
      </c>
      <c r="U105" s="13">
        <f>HAVERQ!AU111</f>
        <v>283913</v>
      </c>
      <c r="V105" s="13">
        <f>HAVERQ!AV111</f>
        <v>9336</v>
      </c>
      <c r="W105" s="13">
        <f>HAVERQ!AW111</f>
        <v>94443</v>
      </c>
      <c r="X105" s="13">
        <f>HAVERQ!AX111</f>
        <v>87117</v>
      </c>
      <c r="Y105" s="13">
        <f>HAVERQ!AY111</f>
        <v>4678</v>
      </c>
      <c r="Z105" s="13">
        <f>HAVERQ!AZ111</f>
        <v>2327</v>
      </c>
      <c r="AA105" s="13">
        <f>HAVERQ!BA111</f>
        <v>130300</v>
      </c>
      <c r="AB105" s="13">
        <f>HAVERQ!BB111</f>
        <v>139969</v>
      </c>
      <c r="AC105" s="13">
        <f>HAVERQ!W111</f>
        <v>60982</v>
      </c>
      <c r="AD105" s="13">
        <f>HAVERQ!X111</f>
        <v>23391</v>
      </c>
      <c r="AE105" s="13">
        <f>HAVERQ!AD111</f>
        <v>8889</v>
      </c>
      <c r="AF105" s="13">
        <f>HAVERQ!AE111</f>
        <v>17665</v>
      </c>
      <c r="AG105" s="13">
        <f>HAVERQ!AF111</f>
        <v>19821</v>
      </c>
      <c r="AH105" s="13">
        <f>HAVERQ!AG111</f>
        <v>39114</v>
      </c>
      <c r="AI105" s="13">
        <f>HAVERQ!AH111</f>
        <v>25831</v>
      </c>
    </row>
    <row r="106" spans="1:35" x14ac:dyDescent="0.35">
      <c r="A106" t="s">
        <v>271</v>
      </c>
      <c r="B106" t="str">
        <f t="shared" si="25"/>
        <v>2015</v>
      </c>
      <c r="C106" t="str">
        <f t="shared" si="26"/>
        <v>Q2</v>
      </c>
      <c r="D106" s="13">
        <f>HAVERQ!AL112</f>
        <v>295072</v>
      </c>
      <c r="E106" s="13">
        <f>HAVERQ!AM112</f>
        <v>9652</v>
      </c>
      <c r="F106" s="13">
        <f>HAVERQ!AN112</f>
        <v>92185</v>
      </c>
      <c r="G106" s="13">
        <f>HAVERQ!AO112</f>
        <v>86492</v>
      </c>
      <c r="H106" s="13">
        <f>HAVERQ!AP112</f>
        <v>-1491</v>
      </c>
      <c r="I106" s="13">
        <f>HAVERQ!AQ112</f>
        <v>153</v>
      </c>
      <c r="J106" s="13">
        <f>HAVERQ!AR112</f>
        <v>137497</v>
      </c>
      <c r="K106" s="13">
        <f>HAVERQ!AS112</f>
        <v>140178</v>
      </c>
      <c r="L106" s="13">
        <f>HAVERQ!U112</f>
        <v>63366</v>
      </c>
      <c r="M106" s="13">
        <f>HAVERQ!V112</f>
        <v>17075</v>
      </c>
      <c r="N106" s="13">
        <f>HAVERQ!Y112</f>
        <v>5311</v>
      </c>
      <c r="O106" s="13">
        <f>HAVERQ!Z112</f>
        <v>16749</v>
      </c>
      <c r="P106" s="13">
        <f>HAVERQ!AA112</f>
        <v>21504</v>
      </c>
      <c r="Q106" s="13">
        <f>HAVERQ!AB112</f>
        <v>39590</v>
      </c>
      <c r="R106" s="13">
        <f>HAVERQ!AC112</f>
        <v>26723</v>
      </c>
      <c r="U106" s="13">
        <f>HAVERQ!AU112</f>
        <v>291715</v>
      </c>
      <c r="V106" s="13">
        <f>HAVERQ!AV112</f>
        <v>9652</v>
      </c>
      <c r="W106" s="13">
        <f>HAVERQ!AW112</f>
        <v>91869</v>
      </c>
      <c r="X106" s="13">
        <f>HAVERQ!AX112</f>
        <v>83109</v>
      </c>
      <c r="Y106" s="13">
        <f>HAVERQ!AY112</f>
        <v>-1443</v>
      </c>
      <c r="Z106" s="13">
        <f>HAVERQ!AZ112</f>
        <v>141</v>
      </c>
      <c r="AA106" s="13">
        <f>HAVERQ!BA112</f>
        <v>138641</v>
      </c>
      <c r="AB106" s="13">
        <f>HAVERQ!BB112</f>
        <v>139019</v>
      </c>
      <c r="AC106" s="13">
        <f>HAVERQ!W112</f>
        <v>62524</v>
      </c>
      <c r="AD106" s="13">
        <f>HAVERQ!X112</f>
        <v>13573</v>
      </c>
      <c r="AE106" s="13">
        <f>HAVERQ!AD112</f>
        <v>5598</v>
      </c>
      <c r="AF106" s="13">
        <f>HAVERQ!AE112</f>
        <v>15282</v>
      </c>
      <c r="AG106" s="13">
        <f>HAVERQ!AF112</f>
        <v>21351</v>
      </c>
      <c r="AH106" s="13">
        <f>HAVERQ!AG112</f>
        <v>36827</v>
      </c>
      <c r="AI106" s="13">
        <f>HAVERQ!AH112</f>
        <v>26179</v>
      </c>
    </row>
    <row r="107" spans="1:35" x14ac:dyDescent="0.35">
      <c r="A107" t="s">
        <v>272</v>
      </c>
      <c r="B107" t="str">
        <f t="shared" si="25"/>
        <v>2015</v>
      </c>
      <c r="C107" t="str">
        <f t="shared" si="26"/>
        <v>Q3</v>
      </c>
      <c r="D107" s="13">
        <f>HAVERQ!AL113</f>
        <v>299423</v>
      </c>
      <c r="E107" s="13">
        <f>HAVERQ!AM113</f>
        <v>9710</v>
      </c>
      <c r="F107" s="13">
        <f>HAVERQ!AN113</f>
        <v>93993</v>
      </c>
      <c r="G107" s="13">
        <f>HAVERQ!AO113</f>
        <v>85637</v>
      </c>
      <c r="H107" s="13">
        <f>HAVERQ!AP113</f>
        <v>720</v>
      </c>
      <c r="I107" s="13">
        <f>HAVERQ!AQ113</f>
        <v>369</v>
      </c>
      <c r="J107" s="13">
        <f>HAVERQ!AR113</f>
        <v>130993</v>
      </c>
      <c r="K107" s="13">
        <f>HAVERQ!AS113</f>
        <v>138155</v>
      </c>
      <c r="L107" s="13">
        <f>HAVERQ!U113</f>
        <v>62704</v>
      </c>
      <c r="M107" s="13">
        <f>HAVERQ!V113</f>
        <v>15969</v>
      </c>
      <c r="N107" s="13">
        <f>HAVERQ!Y113</f>
        <v>5099</v>
      </c>
      <c r="O107" s="13">
        <f>HAVERQ!Z113</f>
        <v>16671</v>
      </c>
      <c r="P107" s="13">
        <f>HAVERQ!AA113</f>
        <v>21480</v>
      </c>
      <c r="Q107" s="13">
        <f>HAVERQ!AB113</f>
        <v>39121</v>
      </c>
      <c r="R107" s="13">
        <f>HAVERQ!AC113</f>
        <v>26040</v>
      </c>
      <c r="U107" s="13">
        <f>HAVERQ!AU113</f>
        <v>304326</v>
      </c>
      <c r="V107" s="13">
        <f>HAVERQ!AV113</f>
        <v>9710</v>
      </c>
      <c r="W107" s="13">
        <f>HAVERQ!AW113</f>
        <v>93438</v>
      </c>
      <c r="X107" s="13">
        <f>HAVERQ!AX113</f>
        <v>85134</v>
      </c>
      <c r="Y107" s="13">
        <f>HAVERQ!AY113</f>
        <v>4049</v>
      </c>
      <c r="Z107" s="13">
        <f>HAVERQ!AZ113</f>
        <v>583</v>
      </c>
      <c r="AA107" s="13">
        <f>HAVERQ!BA113</f>
        <v>129650</v>
      </c>
      <c r="AB107" s="13">
        <f>HAVERQ!BB113</f>
        <v>143104</v>
      </c>
      <c r="AC107" s="13">
        <f>HAVERQ!W113</f>
        <v>62649</v>
      </c>
      <c r="AD107" s="13">
        <f>HAVERQ!X113</f>
        <v>14864</v>
      </c>
      <c r="AE107" s="13">
        <f>HAVERQ!AD113</f>
        <v>4904</v>
      </c>
      <c r="AF107" s="13">
        <f>HAVERQ!AE113</f>
        <v>16136</v>
      </c>
      <c r="AG107" s="13">
        <f>HAVERQ!AF113</f>
        <v>21755</v>
      </c>
      <c r="AH107" s="13">
        <f>HAVERQ!AG113</f>
        <v>39354</v>
      </c>
      <c r="AI107" s="13">
        <f>HAVERQ!AH113</f>
        <v>25788</v>
      </c>
    </row>
    <row r="108" spans="1:35" x14ac:dyDescent="0.35">
      <c r="A108" t="s">
        <v>273</v>
      </c>
      <c r="B108" t="str">
        <f t="shared" si="25"/>
        <v>2015</v>
      </c>
      <c r="C108" t="str">
        <f t="shared" si="26"/>
        <v>Q4</v>
      </c>
      <c r="D108" s="13">
        <f>HAVERQ!AL114</f>
        <v>299418</v>
      </c>
      <c r="E108" s="13">
        <f>HAVERQ!AM114</f>
        <v>9636</v>
      </c>
      <c r="F108" s="13">
        <f>HAVERQ!AN114</f>
        <v>93421</v>
      </c>
      <c r="G108" s="13">
        <f>HAVERQ!AO114</f>
        <v>87866</v>
      </c>
      <c r="H108" s="13">
        <f>HAVERQ!AP114</f>
        <v>6285</v>
      </c>
      <c r="I108" s="13">
        <f>HAVERQ!AQ114</f>
        <v>-2155</v>
      </c>
      <c r="J108" s="13">
        <f>HAVERQ!AR114</f>
        <v>135393</v>
      </c>
      <c r="K108" s="13">
        <f>HAVERQ!AS114</f>
        <v>141936</v>
      </c>
      <c r="L108" s="13">
        <f>HAVERQ!U114</f>
        <v>66350</v>
      </c>
      <c r="M108" s="13">
        <f>HAVERQ!V114</f>
        <v>15867</v>
      </c>
      <c r="N108" s="13">
        <f>HAVERQ!Y114</f>
        <v>6420</v>
      </c>
      <c r="O108" s="13">
        <f>HAVERQ!Z114</f>
        <v>17982</v>
      </c>
      <c r="P108" s="13">
        <f>HAVERQ!AA114</f>
        <v>21804</v>
      </c>
      <c r="Q108" s="13">
        <f>HAVERQ!AB114</f>
        <v>39158</v>
      </c>
      <c r="R108" s="13">
        <f>HAVERQ!AC114</f>
        <v>26367</v>
      </c>
      <c r="U108" s="13">
        <f>HAVERQ!AU114</f>
        <v>307171</v>
      </c>
      <c r="V108" s="13">
        <f>HAVERQ!AV114</f>
        <v>9636</v>
      </c>
      <c r="W108" s="13">
        <f>HAVERQ!AW114</f>
        <v>92950</v>
      </c>
      <c r="X108" s="13">
        <f>HAVERQ!AX114</f>
        <v>90718</v>
      </c>
      <c r="Y108" s="13">
        <f>HAVERQ!AY114</f>
        <v>2039</v>
      </c>
      <c r="Z108" s="13">
        <f>HAVERQ!AZ114</f>
        <v>-2241</v>
      </c>
      <c r="AA108" s="13">
        <f>HAVERQ!BA114</f>
        <v>138922</v>
      </c>
      <c r="AB108" s="13">
        <f>HAVERQ!BB114</f>
        <v>141775</v>
      </c>
      <c r="AC108" s="13">
        <f>HAVERQ!W114</f>
        <v>70270</v>
      </c>
      <c r="AD108" s="13">
        <f>HAVERQ!X114</f>
        <v>14699</v>
      </c>
      <c r="AE108" s="13">
        <f>HAVERQ!AD114</f>
        <v>6905</v>
      </c>
      <c r="AF108" s="13">
        <f>HAVERQ!AE114</f>
        <v>18965</v>
      </c>
      <c r="AG108" s="13">
        <f>HAVERQ!AF114</f>
        <v>22385</v>
      </c>
      <c r="AH108" s="13">
        <f>HAVERQ!AG114</f>
        <v>40479</v>
      </c>
      <c r="AI108" s="13">
        <f>HAVERQ!AH114</f>
        <v>26578</v>
      </c>
    </row>
    <row r="109" spans="1:35" x14ac:dyDescent="0.35">
      <c r="A109" t="s">
        <v>274</v>
      </c>
      <c r="B109" t="str">
        <f t="shared" si="25"/>
        <v>2016</v>
      </c>
      <c r="C109" t="str">
        <f t="shared" si="26"/>
        <v>Q1</v>
      </c>
      <c r="D109" s="13">
        <f>HAVERQ!AL115</f>
        <v>305874</v>
      </c>
      <c r="E109" s="13">
        <f>HAVERQ!AM115</f>
        <v>9458</v>
      </c>
      <c r="F109" s="13">
        <f>HAVERQ!AN115</f>
        <v>95007</v>
      </c>
      <c r="G109" s="13">
        <f>HAVERQ!AO115</f>
        <v>89581</v>
      </c>
      <c r="H109" s="13">
        <f>HAVERQ!AP115</f>
        <v>-679</v>
      </c>
      <c r="I109" s="13">
        <f>HAVERQ!AQ115</f>
        <v>782</v>
      </c>
      <c r="J109" s="13">
        <f>HAVERQ!AR115</f>
        <v>138097</v>
      </c>
      <c r="K109" s="13">
        <f>HAVERQ!AS115</f>
        <v>145476</v>
      </c>
      <c r="L109" s="13">
        <f>HAVERQ!U115</f>
        <v>69139</v>
      </c>
      <c r="M109" s="13">
        <f>HAVERQ!V115</f>
        <v>14242</v>
      </c>
      <c r="N109" s="13">
        <f>HAVERQ!Y115</f>
        <v>8439</v>
      </c>
      <c r="O109" s="13">
        <f>HAVERQ!Z115</f>
        <v>17194</v>
      </c>
      <c r="P109" s="13">
        <f>HAVERQ!AA115</f>
        <v>22414</v>
      </c>
      <c r="Q109" s="13">
        <f>HAVERQ!AB115</f>
        <v>38348</v>
      </c>
      <c r="R109" s="13">
        <f>HAVERQ!AC115</f>
        <v>26906</v>
      </c>
      <c r="U109" s="13">
        <f>HAVERQ!AU115</f>
        <v>295541</v>
      </c>
      <c r="V109" s="13">
        <f>HAVERQ!AV115</f>
        <v>9458</v>
      </c>
      <c r="W109" s="13">
        <f>HAVERQ!AW115</f>
        <v>96460</v>
      </c>
      <c r="X109" s="13">
        <f>HAVERQ!AX115</f>
        <v>91915</v>
      </c>
      <c r="Y109" s="13">
        <f>HAVERQ!AY115</f>
        <v>1030</v>
      </c>
      <c r="Z109" s="13">
        <f>HAVERQ!AZ115</f>
        <v>667</v>
      </c>
      <c r="AA109" s="13">
        <f>HAVERQ!BA115</f>
        <v>134811</v>
      </c>
      <c r="AB109" s="13">
        <f>HAVERQ!BB115</f>
        <v>141916</v>
      </c>
      <c r="AC109" s="13">
        <f>HAVERQ!W115</f>
        <v>66051</v>
      </c>
      <c r="AD109" s="13">
        <f>HAVERQ!X115</f>
        <v>21956</v>
      </c>
      <c r="AE109" s="13">
        <f>HAVERQ!AD115</f>
        <v>7992</v>
      </c>
      <c r="AF109" s="13">
        <f>HAVERQ!AE115</f>
        <v>18007</v>
      </c>
      <c r="AG109" s="13">
        <f>HAVERQ!AF115</f>
        <v>21703</v>
      </c>
      <c r="AH109" s="13">
        <f>HAVERQ!AG115</f>
        <v>41513</v>
      </c>
      <c r="AI109" s="13">
        <f>HAVERQ!AH115</f>
        <v>27452</v>
      </c>
    </row>
    <row r="110" spans="1:35" x14ac:dyDescent="0.35">
      <c r="A110" t="s">
        <v>275</v>
      </c>
      <c r="B110" t="str">
        <f t="shared" si="25"/>
        <v>2016</v>
      </c>
      <c r="C110" t="str">
        <f t="shared" si="26"/>
        <v>Q2</v>
      </c>
      <c r="D110" s="13">
        <f>HAVERQ!AL116</f>
        <v>309767</v>
      </c>
      <c r="E110" s="13">
        <f>HAVERQ!AM116</f>
        <v>9440</v>
      </c>
      <c r="F110" s="13">
        <f>HAVERQ!AN116</f>
        <v>94775</v>
      </c>
      <c r="G110" s="13">
        <f>HAVERQ!AO116</f>
        <v>92349</v>
      </c>
      <c r="H110" s="13">
        <f>HAVERQ!AP116</f>
        <v>-3077</v>
      </c>
      <c r="I110" s="13">
        <f>HAVERQ!AQ116</f>
        <v>-715</v>
      </c>
      <c r="J110" s="13">
        <f>HAVERQ!AR116</f>
        <v>144130</v>
      </c>
      <c r="K110" s="13">
        <f>HAVERQ!AS116</f>
        <v>149613</v>
      </c>
      <c r="L110" s="13">
        <f>HAVERQ!U116</f>
        <v>68302</v>
      </c>
      <c r="M110" s="13">
        <f>HAVERQ!V116</f>
        <v>16494</v>
      </c>
      <c r="N110" s="13">
        <f>HAVERQ!Y116</f>
        <v>7792</v>
      </c>
      <c r="O110" s="13">
        <f>HAVERQ!Z116</f>
        <v>18155</v>
      </c>
      <c r="P110" s="13">
        <f>HAVERQ!AA116</f>
        <v>22421</v>
      </c>
      <c r="Q110" s="13">
        <f>HAVERQ!AB116</f>
        <v>39820</v>
      </c>
      <c r="R110" s="13">
        <f>HAVERQ!AC116</f>
        <v>27094</v>
      </c>
      <c r="U110" s="13">
        <f>HAVERQ!AU116</f>
        <v>305990</v>
      </c>
      <c r="V110" s="13">
        <f>HAVERQ!AV116</f>
        <v>9440</v>
      </c>
      <c r="W110" s="13">
        <f>HAVERQ!AW116</f>
        <v>94392</v>
      </c>
      <c r="X110" s="13">
        <f>HAVERQ!AX116</f>
        <v>88891</v>
      </c>
      <c r="Y110" s="13">
        <f>HAVERQ!AY116</f>
        <v>-1887</v>
      </c>
      <c r="Z110" s="13">
        <f>HAVERQ!AZ116</f>
        <v>-735</v>
      </c>
      <c r="AA110" s="13">
        <f>HAVERQ!BA116</f>
        <v>145045</v>
      </c>
      <c r="AB110" s="13">
        <f>HAVERQ!BB116</f>
        <v>148475</v>
      </c>
      <c r="AC110" s="13">
        <f>HAVERQ!W116</f>
        <v>67887</v>
      </c>
      <c r="AD110" s="13">
        <f>HAVERQ!X116</f>
        <v>12748</v>
      </c>
      <c r="AE110" s="13">
        <f>HAVERQ!AD116</f>
        <v>8427</v>
      </c>
      <c r="AF110" s="13">
        <f>HAVERQ!AE116</f>
        <v>16835</v>
      </c>
      <c r="AG110" s="13">
        <f>HAVERQ!AF116</f>
        <v>22303</v>
      </c>
      <c r="AH110" s="13">
        <f>HAVERQ!AG116</f>
        <v>36599</v>
      </c>
      <c r="AI110" s="13">
        <f>HAVERQ!AH116</f>
        <v>26595</v>
      </c>
    </row>
    <row r="111" spans="1:35" x14ac:dyDescent="0.35">
      <c r="A111" t="s">
        <v>276</v>
      </c>
      <c r="B111" t="str">
        <f t="shared" si="25"/>
        <v>2016</v>
      </c>
      <c r="C111" t="str">
        <f t="shared" si="26"/>
        <v>Q3</v>
      </c>
      <c r="D111" s="13">
        <f>HAVERQ!AL117</f>
        <v>314703</v>
      </c>
      <c r="E111" s="13">
        <f>HAVERQ!AM117</f>
        <v>9463</v>
      </c>
      <c r="F111" s="13">
        <f>HAVERQ!AN117</f>
        <v>95489</v>
      </c>
      <c r="G111" s="13">
        <f>HAVERQ!AO117</f>
        <v>95998</v>
      </c>
      <c r="H111" s="13">
        <f>HAVERQ!AP117</f>
        <v>1570</v>
      </c>
      <c r="I111" s="13">
        <f>HAVERQ!AQ117</f>
        <v>3082</v>
      </c>
      <c r="J111" s="13">
        <f>HAVERQ!AR117</f>
        <v>145189</v>
      </c>
      <c r="K111" s="13">
        <f>HAVERQ!AS117</f>
        <v>161121</v>
      </c>
      <c r="L111" s="13">
        <f>HAVERQ!U117</f>
        <v>70982</v>
      </c>
      <c r="M111" s="13">
        <f>HAVERQ!V117</f>
        <v>17408</v>
      </c>
      <c r="N111" s="13">
        <f>HAVERQ!Y117</f>
        <v>8671</v>
      </c>
      <c r="O111" s="13">
        <f>HAVERQ!Z117</f>
        <v>18723</v>
      </c>
      <c r="P111" s="13">
        <f>HAVERQ!AA117</f>
        <v>23240</v>
      </c>
      <c r="Q111" s="13">
        <f>HAVERQ!AB117</f>
        <v>41069</v>
      </c>
      <c r="R111" s="13">
        <f>HAVERQ!AC117</f>
        <v>28013</v>
      </c>
      <c r="U111" s="13">
        <f>HAVERQ!AU117</f>
        <v>320383</v>
      </c>
      <c r="V111" s="13">
        <f>HAVERQ!AV117</f>
        <v>9463</v>
      </c>
      <c r="W111" s="13">
        <f>HAVERQ!AW117</f>
        <v>94910</v>
      </c>
      <c r="X111" s="13">
        <f>HAVERQ!AX117</f>
        <v>94527</v>
      </c>
      <c r="Y111" s="13">
        <f>HAVERQ!AY117</f>
        <v>1340</v>
      </c>
      <c r="Z111" s="13">
        <f>HAVERQ!AZ117</f>
        <v>3302</v>
      </c>
      <c r="AA111" s="13">
        <f>HAVERQ!BA117</f>
        <v>143578</v>
      </c>
      <c r="AB111" s="13">
        <f>HAVERQ!BB117</f>
        <v>166307</v>
      </c>
      <c r="AC111" s="13">
        <f>HAVERQ!W117</f>
        <v>70438</v>
      </c>
      <c r="AD111" s="13">
        <f>HAVERQ!X117</f>
        <v>15209</v>
      </c>
      <c r="AE111" s="13">
        <f>HAVERQ!AD117</f>
        <v>7998</v>
      </c>
      <c r="AF111" s="13">
        <f>HAVERQ!AE117</f>
        <v>18187</v>
      </c>
      <c r="AG111" s="13">
        <f>HAVERQ!AF117</f>
        <v>23486</v>
      </c>
      <c r="AH111" s="13">
        <f>HAVERQ!AG117</f>
        <v>40317</v>
      </c>
      <c r="AI111" s="13">
        <f>HAVERQ!AH117</f>
        <v>27742</v>
      </c>
    </row>
    <row r="112" spans="1:35" x14ac:dyDescent="0.35">
      <c r="A112" t="s">
        <v>277</v>
      </c>
      <c r="B112" t="str">
        <f t="shared" si="25"/>
        <v>2016</v>
      </c>
      <c r="C112" t="str">
        <f t="shared" si="26"/>
        <v>Q4</v>
      </c>
      <c r="D112" s="13">
        <f>HAVERQ!AL118</f>
        <v>316756</v>
      </c>
      <c r="E112" s="13">
        <f>HAVERQ!AM118</f>
        <v>9575</v>
      </c>
      <c r="F112" s="13">
        <f>HAVERQ!AN118</f>
        <v>96061</v>
      </c>
      <c r="G112" s="13">
        <f>HAVERQ!AO118</f>
        <v>94334</v>
      </c>
      <c r="H112" s="13">
        <f>HAVERQ!AP118</f>
        <v>1380</v>
      </c>
      <c r="I112" s="13">
        <f>HAVERQ!AQ118</f>
        <v>-1808</v>
      </c>
      <c r="J112" s="13">
        <f>HAVERQ!AR118</f>
        <v>155197</v>
      </c>
      <c r="K112" s="13">
        <f>HAVERQ!AS118</f>
        <v>160813</v>
      </c>
      <c r="L112" s="13">
        <f>HAVERQ!U118</f>
        <v>67816</v>
      </c>
      <c r="M112" s="13">
        <f>HAVERQ!V118</f>
        <v>16868</v>
      </c>
      <c r="N112" s="13">
        <f>HAVERQ!Y118</f>
        <v>5876</v>
      </c>
      <c r="O112" s="13">
        <f>HAVERQ!Z118</f>
        <v>18151</v>
      </c>
      <c r="P112" s="13">
        <f>HAVERQ!AA118</f>
        <v>24207</v>
      </c>
      <c r="Q112" s="13">
        <f>HAVERQ!AB118</f>
        <v>40721</v>
      </c>
      <c r="R112" s="13">
        <f>HAVERQ!AC118</f>
        <v>28751</v>
      </c>
      <c r="U112" s="13">
        <f>HAVERQ!AU118</f>
        <v>325186</v>
      </c>
      <c r="V112" s="13">
        <f>HAVERQ!AV118</f>
        <v>9575</v>
      </c>
      <c r="W112" s="13">
        <f>HAVERQ!AW118</f>
        <v>95570</v>
      </c>
      <c r="X112" s="13">
        <f>HAVERQ!AX118</f>
        <v>96929</v>
      </c>
      <c r="Y112" s="13">
        <f>HAVERQ!AY118</f>
        <v>-1289</v>
      </c>
      <c r="Z112" s="13">
        <f>HAVERQ!AZ118</f>
        <v>-1893</v>
      </c>
      <c r="AA112" s="13">
        <f>HAVERQ!BA118</f>
        <v>159179</v>
      </c>
      <c r="AB112" s="13">
        <f>HAVERQ!BB118</f>
        <v>160325</v>
      </c>
      <c r="AC112" s="13">
        <f>HAVERQ!W118</f>
        <v>71864</v>
      </c>
      <c r="AD112" s="13">
        <f>HAVERQ!X118</f>
        <v>15100</v>
      </c>
      <c r="AE112" s="13">
        <f>HAVERQ!AD118</f>
        <v>6360</v>
      </c>
      <c r="AF112" s="13">
        <f>HAVERQ!AE118</f>
        <v>19194</v>
      </c>
      <c r="AG112" s="13">
        <f>HAVERQ!AF118</f>
        <v>24791</v>
      </c>
      <c r="AH112" s="13">
        <f>HAVERQ!AG118</f>
        <v>41529</v>
      </c>
      <c r="AI112" s="13">
        <f>HAVERQ!AH118</f>
        <v>28975</v>
      </c>
    </row>
    <row r="113" spans="1:35" x14ac:dyDescent="0.35">
      <c r="A113" t="s">
        <v>278</v>
      </c>
      <c r="B113" t="str">
        <f t="shared" si="25"/>
        <v>2017</v>
      </c>
      <c r="C113" t="str">
        <f t="shared" si="26"/>
        <v>Q1</v>
      </c>
      <c r="D113" s="13">
        <f>HAVERQ!AL119</f>
        <v>319803</v>
      </c>
      <c r="E113" s="13">
        <f>HAVERQ!AM119</f>
        <v>9736</v>
      </c>
      <c r="F113" s="13">
        <f>HAVERQ!AN119</f>
        <v>96748</v>
      </c>
      <c r="G113" s="13">
        <f>HAVERQ!AO119</f>
        <v>95612</v>
      </c>
      <c r="H113" s="13">
        <f>HAVERQ!AP119</f>
        <v>2119</v>
      </c>
      <c r="I113" s="13">
        <f>HAVERQ!AQ119</f>
        <v>-763</v>
      </c>
      <c r="J113" s="13">
        <f>HAVERQ!AR119</f>
        <v>158878</v>
      </c>
      <c r="K113" s="13">
        <f>HAVERQ!AS119</f>
        <v>164827</v>
      </c>
      <c r="L113" s="13">
        <f>HAVERQ!U119</f>
        <v>69404</v>
      </c>
      <c r="M113" s="13">
        <f>HAVERQ!V119</f>
        <v>15812</v>
      </c>
      <c r="N113" s="13">
        <f>HAVERQ!Y119</f>
        <v>6881</v>
      </c>
      <c r="O113" s="13">
        <f>HAVERQ!Z119</f>
        <v>18074</v>
      </c>
      <c r="P113" s="13">
        <f>HAVERQ!AA119</f>
        <v>24590</v>
      </c>
      <c r="Q113" s="13">
        <f>HAVERQ!AB119</f>
        <v>40584</v>
      </c>
      <c r="R113" s="13">
        <f>HAVERQ!AC119</f>
        <v>28305</v>
      </c>
      <c r="U113" s="13">
        <f>HAVERQ!AU119</f>
        <v>308245</v>
      </c>
      <c r="V113" s="13">
        <f>HAVERQ!AV119</f>
        <v>9736</v>
      </c>
      <c r="W113" s="13">
        <f>HAVERQ!AW119</f>
        <v>98167</v>
      </c>
      <c r="X113" s="13">
        <f>HAVERQ!AX119</f>
        <v>96559</v>
      </c>
      <c r="Y113" s="13">
        <f>HAVERQ!AY119</f>
        <v>4675</v>
      </c>
      <c r="Z113" s="13">
        <f>HAVERQ!AZ119</f>
        <v>-873</v>
      </c>
      <c r="AA113" s="13">
        <f>HAVERQ!BA119</f>
        <v>155908</v>
      </c>
      <c r="AB113" s="13">
        <f>HAVERQ!BB119</f>
        <v>162088</v>
      </c>
      <c r="AC113" s="13">
        <f>HAVERQ!W119</f>
        <v>66260</v>
      </c>
      <c r="AD113" s="13">
        <f>HAVERQ!X119</f>
        <v>21674</v>
      </c>
      <c r="AE113" s="13">
        <f>HAVERQ!AD119</f>
        <v>6381</v>
      </c>
      <c r="AF113" s="13">
        <f>HAVERQ!AE119</f>
        <v>18827</v>
      </c>
      <c r="AG113" s="13">
        <f>HAVERQ!AF119</f>
        <v>23906</v>
      </c>
      <c r="AH113" s="13">
        <f>HAVERQ!AG119</f>
        <v>41987</v>
      </c>
      <c r="AI113" s="13">
        <f>HAVERQ!AH119</f>
        <v>28791</v>
      </c>
    </row>
    <row r="114" spans="1:35" x14ac:dyDescent="0.35">
      <c r="A114" t="s">
        <v>279</v>
      </c>
      <c r="B114" t="str">
        <f t="shared" si="25"/>
        <v>2017</v>
      </c>
      <c r="C114" t="str">
        <f t="shared" si="26"/>
        <v>Q2</v>
      </c>
      <c r="D114" s="13">
        <f>HAVERQ!AL120</f>
        <v>321719</v>
      </c>
      <c r="E114" s="13">
        <f>HAVERQ!AM120</f>
        <v>9879</v>
      </c>
      <c r="F114" s="13">
        <f>HAVERQ!AN120</f>
        <v>96056</v>
      </c>
      <c r="G114" s="13">
        <f>HAVERQ!AO120</f>
        <v>98963</v>
      </c>
      <c r="H114" s="13">
        <f>HAVERQ!AP120</f>
        <v>2218</v>
      </c>
      <c r="I114" s="13">
        <f>HAVERQ!AQ120</f>
        <v>298</v>
      </c>
      <c r="J114" s="13">
        <f>HAVERQ!AR120</f>
        <v>161673</v>
      </c>
      <c r="K114" s="13">
        <f>HAVERQ!AS120</f>
        <v>169190</v>
      </c>
      <c r="L114" s="13">
        <f>HAVERQ!U120</f>
        <v>68843</v>
      </c>
      <c r="M114" s="13">
        <f>HAVERQ!V120</f>
        <v>18884</v>
      </c>
      <c r="N114" s="13">
        <f>HAVERQ!Y120</f>
        <v>8040</v>
      </c>
      <c r="O114" s="13">
        <f>HAVERQ!Z120</f>
        <v>18769</v>
      </c>
      <c r="P114" s="13">
        <f>HAVERQ!AA120</f>
        <v>24856</v>
      </c>
      <c r="Q114" s="13">
        <f>HAVERQ!AB120</f>
        <v>40367</v>
      </c>
      <c r="R114" s="13">
        <f>HAVERQ!AC120</f>
        <v>28584</v>
      </c>
      <c r="U114" s="13">
        <f>HAVERQ!AU120</f>
        <v>318960</v>
      </c>
      <c r="V114" s="13">
        <f>HAVERQ!AV120</f>
        <v>9879</v>
      </c>
      <c r="W114" s="13">
        <f>HAVERQ!AW120</f>
        <v>95650</v>
      </c>
      <c r="X114" s="13">
        <f>HAVERQ!AX120</f>
        <v>95416</v>
      </c>
      <c r="Y114" s="13">
        <f>HAVERQ!AY120</f>
        <v>212</v>
      </c>
      <c r="Z114" s="13">
        <f>HAVERQ!AZ120</f>
        <v>255</v>
      </c>
      <c r="AA114" s="13">
        <f>HAVERQ!BA120</f>
        <v>161876</v>
      </c>
      <c r="AB114" s="13">
        <f>HAVERQ!BB120</f>
        <v>167337</v>
      </c>
      <c r="AC114" s="13">
        <f>HAVERQ!W120</f>
        <v>68166</v>
      </c>
      <c r="AD114" s="13">
        <f>HAVERQ!X120</f>
        <v>15168</v>
      </c>
      <c r="AE114" s="13">
        <f>HAVERQ!AD120</f>
        <v>8581</v>
      </c>
      <c r="AF114" s="13">
        <f>HAVERQ!AE120</f>
        <v>17474</v>
      </c>
      <c r="AG114" s="13">
        <f>HAVERQ!AF120</f>
        <v>24722</v>
      </c>
      <c r="AH114" s="13">
        <f>HAVERQ!AG120</f>
        <v>36885</v>
      </c>
      <c r="AI114" s="13">
        <f>HAVERQ!AH120</f>
        <v>28166</v>
      </c>
    </row>
    <row r="115" spans="1:35" x14ac:dyDescent="0.35">
      <c r="A115" t="s">
        <v>280</v>
      </c>
      <c r="B115" t="str">
        <f t="shared" si="25"/>
        <v>2017</v>
      </c>
      <c r="C115" t="str">
        <f t="shared" si="26"/>
        <v>Q3</v>
      </c>
      <c r="D115" s="13">
        <f>HAVERQ!AL121</f>
        <v>324861</v>
      </c>
      <c r="E115" s="13">
        <f>HAVERQ!AM121</f>
        <v>10167</v>
      </c>
      <c r="F115" s="13">
        <f>HAVERQ!AN121</f>
        <v>96652</v>
      </c>
      <c r="G115" s="13">
        <f>HAVERQ!AO121</f>
        <v>100236</v>
      </c>
      <c r="H115" s="13">
        <f>HAVERQ!AP121</f>
        <v>-339</v>
      </c>
      <c r="I115" s="13">
        <f>HAVERQ!AQ121</f>
        <v>203</v>
      </c>
      <c r="J115" s="13">
        <f>HAVERQ!AR121</f>
        <v>165019</v>
      </c>
      <c r="K115" s="13">
        <f>HAVERQ!AS121</f>
        <v>171638</v>
      </c>
      <c r="L115" s="13">
        <f>HAVERQ!U121</f>
        <v>69659</v>
      </c>
      <c r="M115" s="13">
        <f>HAVERQ!V121</f>
        <v>18067</v>
      </c>
      <c r="N115" s="13">
        <f>HAVERQ!Y121</f>
        <v>7419</v>
      </c>
      <c r="O115" s="13">
        <f>HAVERQ!Z121</f>
        <v>18712</v>
      </c>
      <c r="P115" s="13">
        <f>HAVERQ!AA121</f>
        <v>25516</v>
      </c>
      <c r="Q115" s="13">
        <f>HAVERQ!AB121</f>
        <v>40611</v>
      </c>
      <c r="R115" s="13">
        <f>HAVERQ!AC121</f>
        <v>29236</v>
      </c>
      <c r="U115" s="13">
        <f>HAVERQ!AU121</f>
        <v>330064</v>
      </c>
      <c r="V115" s="13">
        <f>HAVERQ!AV121</f>
        <v>10167</v>
      </c>
      <c r="W115" s="13">
        <f>HAVERQ!AW121</f>
        <v>96105</v>
      </c>
      <c r="X115" s="13">
        <f>HAVERQ!AX121</f>
        <v>99388</v>
      </c>
      <c r="Y115" s="13">
        <f>HAVERQ!AY121</f>
        <v>1997</v>
      </c>
      <c r="Z115" s="13">
        <f>HAVERQ!AZ121</f>
        <v>430</v>
      </c>
      <c r="AA115" s="13">
        <f>HAVERQ!BA121</f>
        <v>163303</v>
      </c>
      <c r="AB115" s="13">
        <f>HAVERQ!BB121</f>
        <v>176688</v>
      </c>
      <c r="AC115" s="13">
        <f>HAVERQ!W121</f>
        <v>69165</v>
      </c>
      <c r="AD115" s="13">
        <f>HAVERQ!X121</f>
        <v>17090</v>
      </c>
      <c r="AE115" s="13">
        <f>HAVERQ!AD121</f>
        <v>6674</v>
      </c>
      <c r="AF115" s="13">
        <f>HAVERQ!AE121</f>
        <v>18122</v>
      </c>
      <c r="AG115" s="13">
        <f>HAVERQ!AF121</f>
        <v>25737</v>
      </c>
      <c r="AH115" s="13">
        <f>HAVERQ!AG121</f>
        <v>41319</v>
      </c>
      <c r="AI115" s="13">
        <f>HAVERQ!AH121</f>
        <v>28932</v>
      </c>
    </row>
    <row r="116" spans="1:35" x14ac:dyDescent="0.35">
      <c r="A116" t="s">
        <v>281</v>
      </c>
      <c r="B116" t="str">
        <f t="shared" si="25"/>
        <v>2017</v>
      </c>
      <c r="C116" t="str">
        <f t="shared" si="26"/>
        <v>Q4</v>
      </c>
      <c r="D116" s="13">
        <f>HAVERQ!AL122</f>
        <v>328030</v>
      </c>
      <c r="E116" s="13">
        <f>HAVERQ!AM122</f>
        <v>10514</v>
      </c>
      <c r="F116" s="13">
        <f>HAVERQ!AN122</f>
        <v>97875</v>
      </c>
      <c r="G116" s="13">
        <f>HAVERQ!AO122</f>
        <v>102983</v>
      </c>
      <c r="H116" s="13">
        <f>HAVERQ!AP122</f>
        <v>-1221</v>
      </c>
      <c r="I116" s="13">
        <f>HAVERQ!AQ122</f>
        <v>926</v>
      </c>
      <c r="J116" s="13">
        <f>HAVERQ!AR122</f>
        <v>164020</v>
      </c>
      <c r="K116" s="13">
        <f>HAVERQ!AS122</f>
        <v>169988</v>
      </c>
      <c r="L116" s="13">
        <f>HAVERQ!U122</f>
        <v>70956</v>
      </c>
      <c r="M116" s="13">
        <f>HAVERQ!V122</f>
        <v>18312</v>
      </c>
      <c r="N116" s="13">
        <f>HAVERQ!Y122</f>
        <v>7967</v>
      </c>
      <c r="O116" s="13">
        <f>HAVERQ!Z122</f>
        <v>18939</v>
      </c>
      <c r="P116" s="13">
        <f>HAVERQ!AA122</f>
        <v>26342</v>
      </c>
      <c r="Q116" s="13">
        <f>HAVERQ!AB122</f>
        <v>40691</v>
      </c>
      <c r="R116" s="13">
        <f>HAVERQ!AC122</f>
        <v>29845</v>
      </c>
      <c r="U116" s="13">
        <f>HAVERQ!AU122</f>
        <v>337144</v>
      </c>
      <c r="V116" s="13">
        <f>HAVERQ!AV122</f>
        <v>10514</v>
      </c>
      <c r="W116" s="13">
        <f>HAVERQ!AW122</f>
        <v>97409</v>
      </c>
      <c r="X116" s="13">
        <f>HAVERQ!AX122</f>
        <v>106431</v>
      </c>
      <c r="Y116" s="13">
        <f>HAVERQ!AY122</f>
        <v>-4107</v>
      </c>
      <c r="Z116" s="13">
        <f>HAVERQ!AZ122</f>
        <v>852</v>
      </c>
      <c r="AA116" s="13">
        <f>HAVERQ!BA122</f>
        <v>168503</v>
      </c>
      <c r="AB116" s="13">
        <f>HAVERQ!BB122</f>
        <v>169530</v>
      </c>
      <c r="AC116" s="13">
        <f>HAVERQ!W122</f>
        <v>75270</v>
      </c>
      <c r="AD116" s="13">
        <f>HAVERQ!X122</f>
        <v>17144</v>
      </c>
      <c r="AE116" s="13">
        <f>HAVERQ!AD122</f>
        <v>8670</v>
      </c>
      <c r="AF116" s="13">
        <f>HAVERQ!AE122</f>
        <v>20071</v>
      </c>
      <c r="AG116" s="13">
        <f>HAVERQ!AF122</f>
        <v>26939</v>
      </c>
      <c r="AH116" s="13">
        <f>HAVERQ!AG122</f>
        <v>42062</v>
      </c>
      <c r="AI116" s="13">
        <f>HAVERQ!AH122</f>
        <v>30081</v>
      </c>
    </row>
    <row r="117" spans="1:35" x14ac:dyDescent="0.35">
      <c r="A117" t="s">
        <v>282</v>
      </c>
      <c r="B117" t="str">
        <f t="shared" si="25"/>
        <v>2018</v>
      </c>
      <c r="C117" t="str">
        <f t="shared" si="26"/>
        <v>Q1</v>
      </c>
      <c r="D117" s="13">
        <f>HAVERQ!AL123</f>
        <v>332275</v>
      </c>
      <c r="E117" s="13">
        <f>HAVERQ!AM123</f>
        <v>10854</v>
      </c>
      <c r="F117" s="13">
        <f>HAVERQ!AN123</f>
        <v>98461</v>
      </c>
      <c r="G117" s="13">
        <f>HAVERQ!AO123</f>
        <v>101518</v>
      </c>
      <c r="H117" s="13">
        <f>HAVERQ!AP123</f>
        <v>-1627</v>
      </c>
      <c r="I117" s="13">
        <f>HAVERQ!AQ123</f>
        <v>192</v>
      </c>
      <c r="J117" s="13">
        <f>HAVERQ!AR123</f>
        <v>167585</v>
      </c>
      <c r="K117" s="13">
        <f>HAVERQ!AS123</f>
        <v>174095</v>
      </c>
      <c r="L117" s="13">
        <f>HAVERQ!U123</f>
        <v>71088</v>
      </c>
      <c r="M117" s="13">
        <f>HAVERQ!V123</f>
        <v>18074</v>
      </c>
      <c r="N117" s="13">
        <f>HAVERQ!Y123</f>
        <v>5736</v>
      </c>
      <c r="O117" s="13">
        <f>HAVERQ!Z123</f>
        <v>19158</v>
      </c>
      <c r="P117" s="13">
        <f>HAVERQ!AA123</f>
        <v>25774</v>
      </c>
      <c r="Q117" s="13">
        <f>HAVERQ!AB123</f>
        <v>42139</v>
      </c>
      <c r="R117" s="13">
        <f>HAVERQ!AC123</f>
        <v>30025</v>
      </c>
      <c r="U117" s="13">
        <f>HAVERQ!AU123</f>
        <v>320211</v>
      </c>
      <c r="V117" s="13">
        <f>HAVERQ!AV123</f>
        <v>10854</v>
      </c>
      <c r="W117" s="13">
        <f>HAVERQ!AW123</f>
        <v>99870</v>
      </c>
      <c r="X117" s="13">
        <f>HAVERQ!AX123</f>
        <v>102102</v>
      </c>
      <c r="Y117" s="13">
        <f>HAVERQ!AY123</f>
        <v>1344</v>
      </c>
      <c r="Z117" s="13">
        <f>HAVERQ!AZ123</f>
        <v>63</v>
      </c>
      <c r="AA117" s="13">
        <f>HAVERQ!BA123</f>
        <v>163746</v>
      </c>
      <c r="AB117" s="13">
        <f>HAVERQ!BB123</f>
        <v>170466</v>
      </c>
      <c r="AC117" s="13">
        <f>HAVERQ!W123</f>
        <v>66293</v>
      </c>
      <c r="AD117" s="13">
        <f>HAVERQ!X123</f>
        <v>23250</v>
      </c>
      <c r="AE117" s="13">
        <f>HAVERQ!AD123</f>
        <v>5170</v>
      </c>
      <c r="AF117" s="13">
        <f>HAVERQ!AE123</f>
        <v>19698</v>
      </c>
      <c r="AG117" s="13">
        <f>HAVERQ!AF123</f>
        <v>25098</v>
      </c>
      <c r="AH117" s="13">
        <f>HAVERQ!AG123</f>
        <v>41246</v>
      </c>
      <c r="AI117" s="13">
        <f>HAVERQ!AH123</f>
        <v>30697</v>
      </c>
    </row>
    <row r="118" spans="1:35" x14ac:dyDescent="0.35">
      <c r="A118" t="s">
        <v>283</v>
      </c>
      <c r="B118" t="str">
        <f t="shared" si="25"/>
        <v>2018</v>
      </c>
      <c r="C118" t="str">
        <f t="shared" si="26"/>
        <v>Q2</v>
      </c>
      <c r="D118" s="13">
        <f>HAVERQ!AL124</f>
        <v>332476</v>
      </c>
      <c r="E118" s="13">
        <f>HAVERQ!AM124</f>
        <v>11410</v>
      </c>
      <c r="F118" s="13">
        <f>HAVERQ!AN124</f>
        <v>98819</v>
      </c>
      <c r="G118" s="13">
        <f>HAVERQ!AO124</f>
        <v>100328</v>
      </c>
      <c r="H118" s="13">
        <f>HAVERQ!AP124</f>
        <v>1230</v>
      </c>
      <c r="I118" s="13">
        <f>HAVERQ!AQ124</f>
        <v>1253</v>
      </c>
      <c r="J118" s="13">
        <f>HAVERQ!AR124</f>
        <v>173057</v>
      </c>
      <c r="K118" s="13">
        <f>HAVERQ!AS124</f>
        <v>177854</v>
      </c>
      <c r="L118" s="13">
        <f>HAVERQ!U124</f>
        <v>69104</v>
      </c>
      <c r="M118" s="13">
        <f>HAVERQ!V124</f>
        <v>16801</v>
      </c>
      <c r="N118" s="13">
        <f>HAVERQ!Y124</f>
        <v>3661</v>
      </c>
      <c r="O118" s="13">
        <f>HAVERQ!Z124</f>
        <v>18797</v>
      </c>
      <c r="P118" s="13">
        <f>HAVERQ!AA124</f>
        <v>26262</v>
      </c>
      <c r="Q118" s="13">
        <f>HAVERQ!AB124</f>
        <v>41967</v>
      </c>
      <c r="R118" s="13">
        <f>HAVERQ!AC124</f>
        <v>29988</v>
      </c>
      <c r="U118" s="13">
        <f>HAVERQ!AU124</f>
        <v>329708</v>
      </c>
      <c r="V118" s="13">
        <f>HAVERQ!AV124</f>
        <v>11410</v>
      </c>
      <c r="W118" s="13">
        <f>HAVERQ!AW124</f>
        <v>98420</v>
      </c>
      <c r="X118" s="13">
        <f>HAVERQ!AX124</f>
        <v>96978</v>
      </c>
      <c r="Y118" s="13">
        <f>HAVERQ!AY124</f>
        <v>128</v>
      </c>
      <c r="Z118" s="13">
        <f>HAVERQ!AZ124</f>
        <v>1205</v>
      </c>
      <c r="AA118" s="13">
        <f>HAVERQ!BA124</f>
        <v>172922</v>
      </c>
      <c r="AB118" s="13">
        <f>HAVERQ!BB124</f>
        <v>176137</v>
      </c>
      <c r="AC118" s="13">
        <f>HAVERQ!W124</f>
        <v>66786</v>
      </c>
      <c r="AD118" s="13">
        <f>HAVERQ!X124</f>
        <v>13903</v>
      </c>
      <c r="AE118" s="13">
        <f>HAVERQ!AD124</f>
        <v>4045</v>
      </c>
      <c r="AF118" s="13">
        <f>HAVERQ!AE124</f>
        <v>17738</v>
      </c>
      <c r="AG118" s="13">
        <f>HAVERQ!AF124</f>
        <v>26121</v>
      </c>
      <c r="AH118" s="13">
        <f>HAVERQ!AG124</f>
        <v>37654</v>
      </c>
      <c r="AI118" s="13">
        <f>HAVERQ!AH124</f>
        <v>29541</v>
      </c>
    </row>
    <row r="119" spans="1:35" x14ac:dyDescent="0.35">
      <c r="A119" t="s">
        <v>284</v>
      </c>
      <c r="B119" t="str">
        <f t="shared" si="25"/>
        <v>2018</v>
      </c>
      <c r="C119" t="str">
        <f t="shared" si="26"/>
        <v>Q3</v>
      </c>
      <c r="D119" s="13">
        <f>HAVERQ!AL125</f>
        <v>336995</v>
      </c>
      <c r="E119" s="13">
        <f>HAVERQ!AM125</f>
        <v>11891</v>
      </c>
      <c r="F119" s="13">
        <f>HAVERQ!AN125</f>
        <v>99552</v>
      </c>
      <c r="G119" s="13">
        <f>HAVERQ!AO125</f>
        <v>101273</v>
      </c>
      <c r="H119" s="13">
        <f>HAVERQ!AP125</f>
        <v>-1370</v>
      </c>
      <c r="I119" s="13">
        <f>HAVERQ!AQ125</f>
        <v>1060</v>
      </c>
      <c r="J119" s="13">
        <f>HAVERQ!AR125</f>
        <v>175878</v>
      </c>
      <c r="K119" s="13">
        <f>HAVERQ!AS125</f>
        <v>180119</v>
      </c>
      <c r="L119" s="13">
        <f>HAVERQ!U125</f>
        <v>67423</v>
      </c>
      <c r="M119" s="13">
        <f>HAVERQ!V125</f>
        <v>17993</v>
      </c>
      <c r="N119" s="13">
        <f>HAVERQ!Y125</f>
        <v>6205</v>
      </c>
      <c r="O119" s="13">
        <f>HAVERQ!Z125</f>
        <v>18333</v>
      </c>
      <c r="P119" s="13">
        <f>HAVERQ!AA125</f>
        <v>26510</v>
      </c>
      <c r="Q119" s="13">
        <f>HAVERQ!AB125</f>
        <v>39208</v>
      </c>
      <c r="R119" s="13">
        <f>HAVERQ!AC125</f>
        <v>29702</v>
      </c>
      <c r="U119" s="13">
        <f>HAVERQ!AU125</f>
        <v>342452</v>
      </c>
      <c r="V119" s="13">
        <f>HAVERQ!AV125</f>
        <v>11891</v>
      </c>
      <c r="W119" s="13">
        <f>HAVERQ!AW125</f>
        <v>98986</v>
      </c>
      <c r="X119" s="13">
        <f>HAVERQ!AX125</f>
        <v>100585</v>
      </c>
      <c r="Y119" s="13">
        <f>HAVERQ!AY125</f>
        <v>-123</v>
      </c>
      <c r="Z119" s="13">
        <f>HAVERQ!AZ125</f>
        <v>1303</v>
      </c>
      <c r="AA119" s="13">
        <f>HAVERQ!BA125</f>
        <v>173803</v>
      </c>
      <c r="AB119" s="13">
        <f>HAVERQ!BB125</f>
        <v>184483</v>
      </c>
      <c r="AC119" s="13">
        <f>HAVERQ!W125</f>
        <v>69273</v>
      </c>
      <c r="AD119" s="13">
        <f>HAVERQ!X125</f>
        <v>16830</v>
      </c>
      <c r="AE119" s="13">
        <f>HAVERQ!AD125</f>
        <v>5624</v>
      </c>
      <c r="AF119" s="13">
        <f>HAVERQ!AE125</f>
        <v>17756</v>
      </c>
      <c r="AG119" s="13">
        <f>HAVERQ!AF125</f>
        <v>26715</v>
      </c>
      <c r="AH119" s="13">
        <f>HAVERQ!AG125</f>
        <v>41951</v>
      </c>
      <c r="AI119" s="13">
        <f>HAVERQ!AH125</f>
        <v>29345</v>
      </c>
    </row>
    <row r="120" spans="1:35" x14ac:dyDescent="0.35">
      <c r="A120" t="s">
        <v>285</v>
      </c>
      <c r="B120" t="str">
        <f t="shared" si="25"/>
        <v>2018</v>
      </c>
      <c r="C120" t="str">
        <f t="shared" si="26"/>
        <v>Q4</v>
      </c>
      <c r="D120" s="13">
        <f>HAVERQ!AL126</f>
        <v>341760</v>
      </c>
      <c r="E120" s="13">
        <f>HAVERQ!AM126</f>
        <v>12247</v>
      </c>
      <c r="F120" s="13">
        <f>HAVERQ!AN126</f>
        <v>100987</v>
      </c>
      <c r="G120" s="13">
        <f>HAVERQ!AO126</f>
        <v>102748</v>
      </c>
      <c r="H120" s="13">
        <f>HAVERQ!AP126</f>
        <v>3242</v>
      </c>
      <c r="I120" s="13">
        <f>HAVERQ!AQ126</f>
        <v>59</v>
      </c>
      <c r="J120" s="13">
        <f>HAVERQ!AR126</f>
        <v>175220</v>
      </c>
      <c r="K120" s="13">
        <f>HAVERQ!AS126</f>
        <v>185746</v>
      </c>
      <c r="L120" s="13">
        <f>HAVERQ!U126</f>
        <v>68573</v>
      </c>
      <c r="M120" s="13">
        <f>HAVERQ!V126</f>
        <v>17674</v>
      </c>
      <c r="N120" s="13">
        <f>HAVERQ!Y126</f>
        <v>6403</v>
      </c>
      <c r="O120" s="13">
        <f>HAVERQ!Z126</f>
        <v>18050</v>
      </c>
      <c r="P120" s="13">
        <f>HAVERQ!AA126</f>
        <v>26647</v>
      </c>
      <c r="Q120" s="13">
        <f>HAVERQ!AB126</f>
        <v>39603</v>
      </c>
      <c r="R120" s="13">
        <f>HAVERQ!AC126</f>
        <v>29845</v>
      </c>
      <c r="U120" s="13">
        <f>HAVERQ!AU126</f>
        <v>351135</v>
      </c>
      <c r="V120" s="13">
        <f>HAVERQ!AV126</f>
        <v>12247</v>
      </c>
      <c r="W120" s="13">
        <f>HAVERQ!AW126</f>
        <v>100543</v>
      </c>
      <c r="X120" s="13">
        <f>HAVERQ!AX126</f>
        <v>106202</v>
      </c>
      <c r="Y120" s="13">
        <f>HAVERQ!AY126</f>
        <v>126</v>
      </c>
      <c r="Z120" s="13">
        <f>HAVERQ!AZ126</f>
        <v>-7</v>
      </c>
      <c r="AA120" s="13">
        <f>HAVERQ!BA126</f>
        <v>181269</v>
      </c>
      <c r="AB120" s="13">
        <f>HAVERQ!BB126</f>
        <v>186728</v>
      </c>
      <c r="AC120" s="13">
        <f>HAVERQ!W126</f>
        <v>73835</v>
      </c>
      <c r="AD120" s="13">
        <f>HAVERQ!X126</f>
        <v>16560</v>
      </c>
      <c r="AE120" s="13">
        <f>HAVERQ!AD126</f>
        <v>7164</v>
      </c>
      <c r="AF120" s="13">
        <f>HAVERQ!AE126</f>
        <v>19145</v>
      </c>
      <c r="AG120" s="13">
        <f>HAVERQ!AF126</f>
        <v>27259</v>
      </c>
      <c r="AH120" s="13">
        <f>HAVERQ!AG126</f>
        <v>42066</v>
      </c>
      <c r="AI120" s="13">
        <f>HAVERQ!AH126</f>
        <v>29977</v>
      </c>
    </row>
    <row r="121" spans="1:35" x14ac:dyDescent="0.35">
      <c r="A121" t="s">
        <v>286</v>
      </c>
      <c r="B121" t="str">
        <f t="shared" si="25"/>
        <v>2019</v>
      </c>
      <c r="C121" t="str">
        <f t="shared" si="26"/>
        <v>Q1</v>
      </c>
      <c r="D121" s="13">
        <f>HAVERQ!AL127</f>
        <v>341511</v>
      </c>
      <c r="E121" s="13">
        <f>HAVERQ!AM127</f>
        <v>12249</v>
      </c>
      <c r="F121" s="13">
        <f>HAVERQ!AN127</f>
        <v>102547</v>
      </c>
      <c r="G121" s="13">
        <f>HAVERQ!AO127</f>
        <v>106276</v>
      </c>
      <c r="H121" s="13">
        <f>HAVERQ!AP127</f>
        <v>5466</v>
      </c>
      <c r="I121" s="13">
        <f>HAVERQ!AQ127</f>
        <v>11330</v>
      </c>
      <c r="J121" s="13">
        <f>HAVERQ!AR127</f>
        <v>174019</v>
      </c>
      <c r="K121" s="13">
        <f>HAVERQ!AS127</f>
        <v>199414</v>
      </c>
      <c r="L121" s="13">
        <f>HAVERQ!U127</f>
        <v>69829</v>
      </c>
      <c r="M121" s="13">
        <f>HAVERQ!V127</f>
        <v>19067</v>
      </c>
      <c r="N121" s="13">
        <f>HAVERQ!Y127</f>
        <v>5745</v>
      </c>
      <c r="O121" s="13">
        <f>HAVERQ!Z127</f>
        <v>18869</v>
      </c>
      <c r="P121" s="13">
        <f>HAVERQ!AA127</f>
        <v>27197</v>
      </c>
      <c r="Q121" s="13">
        <f>HAVERQ!AB127</f>
        <v>42374</v>
      </c>
      <c r="R121" s="13">
        <f>HAVERQ!AC127</f>
        <v>30484</v>
      </c>
      <c r="U121" s="13">
        <f>HAVERQ!AU127</f>
        <v>327999</v>
      </c>
      <c r="V121" s="13">
        <f>HAVERQ!AV127</f>
        <v>12249</v>
      </c>
      <c r="W121" s="13">
        <f>HAVERQ!AW127</f>
        <v>103994</v>
      </c>
      <c r="X121" s="13">
        <f>HAVERQ!AX127</f>
        <v>107513</v>
      </c>
      <c r="Y121" s="13">
        <f>HAVERQ!AY127</f>
        <v>7684</v>
      </c>
      <c r="Z121" s="13">
        <f>HAVERQ!AZ127</f>
        <v>11181</v>
      </c>
      <c r="AA121" s="13">
        <f>HAVERQ!BA127</f>
        <v>169972</v>
      </c>
      <c r="AB121" s="13">
        <f>HAVERQ!BB127</f>
        <v>194588</v>
      </c>
      <c r="AC121" s="13">
        <f>HAVERQ!W127</f>
        <v>67355</v>
      </c>
      <c r="AD121" s="13">
        <f>HAVERQ!X127</f>
        <v>24669</v>
      </c>
      <c r="AE121" s="13">
        <f>HAVERQ!AD127</f>
        <v>5309</v>
      </c>
      <c r="AF121" s="13">
        <f>HAVERQ!AE127</f>
        <v>19866</v>
      </c>
      <c r="AG121" s="13">
        <f>HAVERQ!AF127</f>
        <v>26535</v>
      </c>
      <c r="AH121" s="13">
        <f>HAVERQ!AG127</f>
        <v>43332</v>
      </c>
      <c r="AI121" s="13">
        <f>HAVERQ!AH127</f>
        <v>31354</v>
      </c>
    </row>
    <row r="122" spans="1:35" x14ac:dyDescent="0.35">
      <c r="A122" t="s">
        <v>287</v>
      </c>
      <c r="B122" t="str">
        <f t="shared" si="25"/>
        <v>2019</v>
      </c>
      <c r="C122" t="str">
        <f t="shared" si="26"/>
        <v>Q2</v>
      </c>
      <c r="D122" s="13">
        <f>HAVERQ!AL128</f>
        <v>344238</v>
      </c>
      <c r="E122" s="13">
        <f>HAVERQ!AM128</f>
        <v>12183</v>
      </c>
      <c r="F122" s="13">
        <f>HAVERQ!AN128</f>
        <v>106107</v>
      </c>
      <c r="G122" s="13">
        <f>HAVERQ!AO128</f>
        <v>106025</v>
      </c>
      <c r="H122" s="13">
        <f>HAVERQ!AP128</f>
        <v>-103</v>
      </c>
      <c r="I122" s="13">
        <f>HAVERQ!AQ128</f>
        <v>1813</v>
      </c>
      <c r="J122" s="13">
        <f>HAVERQ!AR128</f>
        <v>172322</v>
      </c>
      <c r="K122" s="13">
        <f>HAVERQ!AS128</f>
        <v>181590</v>
      </c>
      <c r="L122" s="13">
        <f>HAVERQ!U128</f>
        <v>70786</v>
      </c>
      <c r="M122" s="13">
        <f>HAVERQ!V128</f>
        <v>17837</v>
      </c>
      <c r="N122" s="13">
        <f>HAVERQ!Y128</f>
        <v>6380</v>
      </c>
      <c r="O122" s="13">
        <f>HAVERQ!Z128</f>
        <v>17886</v>
      </c>
      <c r="P122" s="13">
        <f>HAVERQ!AA128</f>
        <v>27321</v>
      </c>
      <c r="Q122" s="13">
        <f>HAVERQ!AB128</f>
        <v>41443</v>
      </c>
      <c r="R122" s="13">
        <f>HAVERQ!AC128</f>
        <v>30603</v>
      </c>
      <c r="U122" s="13">
        <f>HAVERQ!AU128</f>
        <v>341670</v>
      </c>
      <c r="V122" s="13">
        <f>HAVERQ!AV128</f>
        <v>12183</v>
      </c>
      <c r="W122" s="13">
        <f>HAVERQ!AW128</f>
        <v>105671</v>
      </c>
      <c r="X122" s="13">
        <f>HAVERQ!AX128</f>
        <v>102052</v>
      </c>
      <c r="Y122" s="13">
        <f>HAVERQ!AY128</f>
        <v>780</v>
      </c>
      <c r="Z122" s="13">
        <f>HAVERQ!AZ128</f>
        <v>1761</v>
      </c>
      <c r="AA122" s="13">
        <f>HAVERQ!BA128</f>
        <v>170849</v>
      </c>
      <c r="AB122" s="13">
        <f>HAVERQ!BB128</f>
        <v>178637</v>
      </c>
      <c r="AC122" s="13">
        <f>HAVERQ!W128</f>
        <v>69641</v>
      </c>
      <c r="AD122" s="13">
        <f>HAVERQ!X128</f>
        <v>14387</v>
      </c>
      <c r="AE122" s="13">
        <f>HAVERQ!AD128</f>
        <v>6732</v>
      </c>
      <c r="AF122" s="13">
        <f>HAVERQ!AE128</f>
        <v>16619</v>
      </c>
      <c r="AG122" s="13">
        <f>HAVERQ!AF128</f>
        <v>27173</v>
      </c>
      <c r="AH122" s="13">
        <f>HAVERQ!AG128</f>
        <v>37961</v>
      </c>
      <c r="AI122" s="13">
        <f>HAVERQ!AH128</f>
        <v>30140</v>
      </c>
    </row>
    <row r="123" spans="1:35" x14ac:dyDescent="0.35">
      <c r="A123" t="s">
        <v>288</v>
      </c>
      <c r="B123" t="str">
        <f t="shared" si="25"/>
        <v>2019</v>
      </c>
      <c r="C123" t="str">
        <f t="shared" si="26"/>
        <v>Q3</v>
      </c>
      <c r="D123" s="13">
        <f>HAVERQ!AL129</f>
        <v>345853</v>
      </c>
      <c r="E123" s="13">
        <f>HAVERQ!AM129</f>
        <v>12056</v>
      </c>
      <c r="F123" s="13">
        <f>HAVERQ!AN129</f>
        <v>107613</v>
      </c>
      <c r="G123" s="13">
        <f>HAVERQ!AO129</f>
        <v>106964</v>
      </c>
      <c r="H123" s="13">
        <f>HAVERQ!AP129</f>
        <v>-2716</v>
      </c>
      <c r="I123" s="13">
        <f>HAVERQ!AQ129</f>
        <v>1353</v>
      </c>
      <c r="J123" s="13">
        <f>HAVERQ!AR129</f>
        <v>183497</v>
      </c>
      <c r="K123" s="13">
        <f>HAVERQ!AS129</f>
        <v>187169</v>
      </c>
      <c r="L123" s="13">
        <f>HAVERQ!U129</f>
        <v>70141</v>
      </c>
      <c r="M123" s="13">
        <f>HAVERQ!V129</f>
        <v>18073</v>
      </c>
      <c r="N123" s="13">
        <f>HAVERQ!Y129</f>
        <v>5913</v>
      </c>
      <c r="O123" s="13">
        <f>HAVERQ!Z129</f>
        <v>17604</v>
      </c>
      <c r="P123" s="13">
        <f>HAVERQ!AA129</f>
        <v>27648</v>
      </c>
      <c r="Q123" s="13">
        <f>HAVERQ!AB129</f>
        <v>41056</v>
      </c>
      <c r="R123" s="13">
        <f>HAVERQ!AC129</f>
        <v>31522</v>
      </c>
      <c r="U123" s="13">
        <f>HAVERQ!AU129</f>
        <v>351293</v>
      </c>
      <c r="V123" s="13">
        <f>HAVERQ!AV129</f>
        <v>12056</v>
      </c>
      <c r="W123" s="13">
        <f>HAVERQ!AW129</f>
        <v>107030</v>
      </c>
      <c r="X123" s="13">
        <f>HAVERQ!AX129</f>
        <v>106185</v>
      </c>
      <c r="Y123" s="13">
        <f>HAVERQ!AY129</f>
        <v>-4444</v>
      </c>
      <c r="Z123" s="13">
        <f>HAVERQ!AZ129</f>
        <v>1604</v>
      </c>
      <c r="AA123" s="13">
        <f>HAVERQ!BA129</f>
        <v>182229</v>
      </c>
      <c r="AB123" s="13">
        <f>HAVERQ!BB129</f>
        <v>193150</v>
      </c>
      <c r="AC123" s="13">
        <f>HAVERQ!W129</f>
        <v>69713</v>
      </c>
      <c r="AD123" s="13">
        <f>HAVERQ!X129</f>
        <v>16946</v>
      </c>
      <c r="AE123" s="13">
        <f>HAVERQ!AD129</f>
        <v>5172</v>
      </c>
      <c r="AF123" s="13">
        <f>HAVERQ!AE129</f>
        <v>16903</v>
      </c>
      <c r="AG123" s="13">
        <f>HAVERQ!AF129</f>
        <v>27843</v>
      </c>
      <c r="AH123" s="13">
        <f>HAVERQ!AG129</f>
        <v>41968</v>
      </c>
      <c r="AI123" s="13">
        <f>HAVERQ!AH129</f>
        <v>31099</v>
      </c>
    </row>
    <row r="124" spans="1:35" x14ac:dyDescent="0.35">
      <c r="A124" t="s">
        <v>289</v>
      </c>
      <c r="B124" t="str">
        <f t="shared" si="25"/>
        <v>2019</v>
      </c>
      <c r="C124" t="str">
        <f t="shared" si="26"/>
        <v>Q4</v>
      </c>
      <c r="D124" s="13">
        <f>HAVERQ!AL130</f>
        <v>345859</v>
      </c>
      <c r="E124" s="13">
        <f>HAVERQ!AM130</f>
        <v>11595</v>
      </c>
      <c r="F124" s="13">
        <f>HAVERQ!AN130</f>
        <v>109432</v>
      </c>
      <c r="G124" s="13">
        <f>HAVERQ!AO130</f>
        <v>104997</v>
      </c>
      <c r="H124" s="13">
        <f>HAVERQ!AP130</f>
        <v>-786</v>
      </c>
      <c r="I124" s="13">
        <f>HAVERQ!AQ130</f>
        <v>-11914</v>
      </c>
      <c r="J124" s="13">
        <f>HAVERQ!AR130</f>
        <v>188921</v>
      </c>
      <c r="K124" s="13">
        <f>HAVERQ!AS130</f>
        <v>177573</v>
      </c>
      <c r="L124" s="13">
        <f>HAVERQ!U130</f>
        <v>69468</v>
      </c>
      <c r="M124" s="13">
        <f>HAVERQ!V130</f>
        <v>17913</v>
      </c>
      <c r="N124" s="13">
        <f>HAVERQ!Y130</f>
        <v>4944</v>
      </c>
      <c r="O124" s="13">
        <f>HAVERQ!Z130</f>
        <v>17501</v>
      </c>
      <c r="P124" s="13">
        <f>HAVERQ!AA130</f>
        <v>26088</v>
      </c>
      <c r="Q124" s="13">
        <f>HAVERQ!AB130</f>
        <v>41302</v>
      </c>
      <c r="R124" s="13">
        <f>HAVERQ!AC130</f>
        <v>31526</v>
      </c>
      <c r="U124" s="13">
        <f>HAVERQ!AU130</f>
        <v>356499</v>
      </c>
      <c r="V124" s="13">
        <f>HAVERQ!AV130</f>
        <v>11595</v>
      </c>
      <c r="W124" s="13">
        <f>HAVERQ!AW130</f>
        <v>109004</v>
      </c>
      <c r="X124" s="13">
        <f>HAVERQ!AX130</f>
        <v>108512</v>
      </c>
      <c r="Y124" s="13">
        <f>HAVERQ!AY130</f>
        <v>-2159</v>
      </c>
      <c r="Z124" s="13">
        <f>HAVERQ!AZ130</f>
        <v>-11964</v>
      </c>
      <c r="AA124" s="13">
        <f>HAVERQ!BA130</f>
        <v>195709</v>
      </c>
      <c r="AB124" s="13">
        <f>HAVERQ!BB130</f>
        <v>179371</v>
      </c>
      <c r="AC124" s="13">
        <f>HAVERQ!W130</f>
        <v>73514</v>
      </c>
      <c r="AD124" s="13">
        <f>HAVERQ!X130</f>
        <v>16887</v>
      </c>
      <c r="AE124" s="13">
        <f>HAVERQ!AD130</f>
        <v>5768</v>
      </c>
      <c r="AF124" s="13">
        <f>HAVERQ!AE130</f>
        <v>18474</v>
      </c>
      <c r="AG124" s="13">
        <f>HAVERQ!AF130</f>
        <v>26703</v>
      </c>
      <c r="AH124" s="13">
        <f>HAVERQ!AG130</f>
        <v>42914</v>
      </c>
      <c r="AI124" s="13">
        <f>HAVERQ!AH130</f>
        <v>31543</v>
      </c>
    </row>
    <row r="125" spans="1:35" x14ac:dyDescent="0.35">
      <c r="A125" t="s">
        <v>290</v>
      </c>
      <c r="B125" t="str">
        <f t="shared" si="25"/>
        <v>2020</v>
      </c>
      <c r="C125" t="str">
        <f t="shared" si="26"/>
        <v>Q1</v>
      </c>
      <c r="D125" s="13">
        <f>HAVERQ!AL131</f>
        <v>333789</v>
      </c>
      <c r="E125" s="13">
        <f>HAVERQ!AM131</f>
        <v>11681</v>
      </c>
      <c r="F125" s="13">
        <f>HAVERQ!AN131</f>
        <v>108890</v>
      </c>
      <c r="G125" s="13">
        <f>HAVERQ!AO131</f>
        <v>102729</v>
      </c>
      <c r="H125" s="13">
        <f>HAVERQ!AP131</f>
        <v>-905</v>
      </c>
      <c r="I125" s="13">
        <f>HAVERQ!AQ131</f>
        <v>790</v>
      </c>
      <c r="J125" s="13">
        <f>HAVERQ!AR131</f>
        <v>173647</v>
      </c>
      <c r="K125" s="13">
        <f>HAVERQ!AS131</f>
        <v>171256</v>
      </c>
      <c r="L125" s="13">
        <f>HAVERQ!U131</f>
        <v>68457</v>
      </c>
      <c r="M125" s="13">
        <f>HAVERQ!V131</f>
        <v>16893</v>
      </c>
      <c r="N125" s="13">
        <f>HAVERQ!Y131</f>
        <v>5622</v>
      </c>
      <c r="O125" s="13">
        <f>HAVERQ!Z131</f>
        <v>16449</v>
      </c>
      <c r="P125" s="13">
        <f>HAVERQ!AA131</f>
        <v>25361</v>
      </c>
      <c r="Q125" s="13">
        <f>HAVERQ!AB131</f>
        <v>38748</v>
      </c>
      <c r="R125" s="13">
        <f>HAVERQ!AC131</f>
        <v>31202</v>
      </c>
      <c r="U125" s="13">
        <f>HAVERQ!AU131</f>
        <v>323599</v>
      </c>
      <c r="V125" s="13">
        <f>HAVERQ!AV131</f>
        <v>11681</v>
      </c>
      <c r="W125" s="13">
        <f>HAVERQ!AW131</f>
        <v>110316</v>
      </c>
      <c r="X125" s="13">
        <f>HAVERQ!AX131</f>
        <v>104126</v>
      </c>
      <c r="Y125" s="13">
        <f>HAVERQ!AY131</f>
        <v>3029</v>
      </c>
      <c r="Z125" s="13">
        <f>HAVERQ!AZ131</f>
        <v>609</v>
      </c>
      <c r="AA125" s="13">
        <f>HAVERQ!BA131</f>
        <v>170094</v>
      </c>
      <c r="AB125" s="13">
        <f>HAVERQ!BB131</f>
        <v>167054</v>
      </c>
      <c r="AC125" s="13">
        <f>HAVERQ!W131</f>
        <v>65477</v>
      </c>
      <c r="AD125" s="13">
        <f>HAVERQ!X131</f>
        <v>22943</v>
      </c>
      <c r="AE125" s="13">
        <f>HAVERQ!AD131</f>
        <v>5105</v>
      </c>
      <c r="AF125" s="13">
        <f>HAVERQ!AE131</f>
        <v>17253</v>
      </c>
      <c r="AG125" s="13">
        <f>HAVERQ!AF131</f>
        <v>24723</v>
      </c>
      <c r="AH125" s="13">
        <f>HAVERQ!AG131</f>
        <v>39922</v>
      </c>
      <c r="AI125" s="13">
        <f>HAVERQ!AH131</f>
        <v>32190</v>
      </c>
    </row>
    <row r="126" spans="1:35" x14ac:dyDescent="0.35">
      <c r="A126" t="s">
        <v>291</v>
      </c>
      <c r="B126" t="str">
        <f t="shared" si="25"/>
        <v>2020</v>
      </c>
      <c r="C126" t="str">
        <f t="shared" si="26"/>
        <v>Q2</v>
      </c>
      <c r="D126" s="13">
        <f>HAVERQ!AL132</f>
        <v>256624</v>
      </c>
      <c r="E126" s="13">
        <f>HAVERQ!AM132</f>
        <v>10006</v>
      </c>
      <c r="F126" s="13">
        <f>HAVERQ!AN132</f>
        <v>121050</v>
      </c>
      <c r="G126" s="13">
        <f>HAVERQ!AO132</f>
        <v>84421</v>
      </c>
      <c r="H126" s="13">
        <f>HAVERQ!AP132</f>
        <v>-4126</v>
      </c>
      <c r="I126" s="13">
        <f>HAVERQ!AQ132</f>
        <v>-9137</v>
      </c>
      <c r="J126" s="13">
        <f>HAVERQ!AR132</f>
        <v>149424</v>
      </c>
      <c r="K126" s="13">
        <f>HAVERQ!AS132</f>
        <v>127035</v>
      </c>
      <c r="L126" s="13">
        <f>HAVERQ!U132</f>
        <v>55285</v>
      </c>
      <c r="M126" s="13">
        <f>HAVERQ!V132</f>
        <v>19722</v>
      </c>
      <c r="N126" s="13">
        <f>HAVERQ!Y132</f>
        <v>2450</v>
      </c>
      <c r="O126" s="13">
        <f>HAVERQ!Z132</f>
        <v>15354</v>
      </c>
      <c r="P126" s="13">
        <f>HAVERQ!AA132</f>
        <v>15582</v>
      </c>
      <c r="Q126" s="13">
        <f>HAVERQ!AB132</f>
        <v>31840</v>
      </c>
      <c r="R126" s="13">
        <f>HAVERQ!AC132</f>
        <v>31003</v>
      </c>
      <c r="U126" s="13">
        <f>HAVERQ!AU132</f>
        <v>255403</v>
      </c>
      <c r="V126" s="13">
        <f>HAVERQ!AV132</f>
        <v>10006</v>
      </c>
      <c r="W126" s="13">
        <f>HAVERQ!AW132</f>
        <v>120625</v>
      </c>
      <c r="X126" s="13">
        <f>HAVERQ!AX132</f>
        <v>80369</v>
      </c>
      <c r="Y126" s="13">
        <f>HAVERQ!AY132</f>
        <v>-5779</v>
      </c>
      <c r="Z126" s="13">
        <f>HAVERQ!AZ132</f>
        <v>-9172</v>
      </c>
      <c r="AA126" s="13">
        <f>HAVERQ!BA132</f>
        <v>148125</v>
      </c>
      <c r="AB126" s="13">
        <f>HAVERQ!BB132</f>
        <v>125230</v>
      </c>
      <c r="AC126" s="13">
        <f>HAVERQ!W132</f>
        <v>55865</v>
      </c>
      <c r="AD126" s="13">
        <f>HAVERQ!X132</f>
        <v>16123</v>
      </c>
      <c r="AE126" s="13">
        <f>HAVERQ!AD132</f>
        <v>2484</v>
      </c>
      <c r="AF126" s="13">
        <f>HAVERQ!AE132</f>
        <v>14339</v>
      </c>
      <c r="AG126" s="13">
        <f>HAVERQ!AF132</f>
        <v>15444</v>
      </c>
      <c r="AH126" s="13">
        <f>HAVERQ!AG132</f>
        <v>30153</v>
      </c>
      <c r="AI126" s="13">
        <f>HAVERQ!AH132</f>
        <v>30457</v>
      </c>
    </row>
    <row r="127" spans="1:35" x14ac:dyDescent="0.35">
      <c r="A127" t="s">
        <v>292</v>
      </c>
      <c r="B127" t="str">
        <f t="shared" si="25"/>
        <v>2020</v>
      </c>
      <c r="C127" t="str">
        <f t="shared" si="26"/>
        <v>Q3</v>
      </c>
      <c r="D127" s="13">
        <f>HAVERQ!AL133</f>
        <v>309007</v>
      </c>
      <c r="E127" s="13">
        <f>HAVERQ!AM133</f>
        <v>10617</v>
      </c>
      <c r="F127" s="13">
        <f>HAVERQ!AN133</f>
        <v>120735</v>
      </c>
      <c r="G127" s="13">
        <f>HAVERQ!AO133</f>
        <v>97676</v>
      </c>
      <c r="H127" s="13">
        <f>HAVERQ!AP133</f>
        <v>-735</v>
      </c>
      <c r="I127" s="13">
        <f>HAVERQ!AQ133</f>
        <v>1109</v>
      </c>
      <c r="J127" s="13">
        <f>HAVERQ!AR133</f>
        <v>151123</v>
      </c>
      <c r="K127" s="13">
        <f>HAVERQ!AS133</f>
        <v>149213</v>
      </c>
      <c r="L127" s="13">
        <f>HAVERQ!U133</f>
        <v>63375</v>
      </c>
      <c r="M127" s="13">
        <f>HAVERQ!V133</f>
        <v>19585</v>
      </c>
      <c r="N127" s="13">
        <f>HAVERQ!Y133</f>
        <v>6106</v>
      </c>
      <c r="O127" s="13">
        <f>HAVERQ!Z133</f>
        <v>15974</v>
      </c>
      <c r="P127" s="13">
        <f>HAVERQ!AA133</f>
        <v>24187</v>
      </c>
      <c r="Q127" s="13">
        <f>HAVERQ!AB133</f>
        <v>34542</v>
      </c>
      <c r="R127" s="13">
        <f>HAVERQ!AC133</f>
        <v>30992</v>
      </c>
      <c r="U127" s="13">
        <f>HAVERQ!AU133</f>
        <v>307296</v>
      </c>
      <c r="V127" s="13">
        <f>HAVERQ!AV133</f>
        <v>10617</v>
      </c>
      <c r="W127" s="13">
        <f>HAVERQ!AW133</f>
        <v>120111</v>
      </c>
      <c r="X127" s="13">
        <f>HAVERQ!AX133</f>
        <v>96792</v>
      </c>
      <c r="Y127" s="13">
        <f>HAVERQ!AY133</f>
        <v>-3950</v>
      </c>
      <c r="Z127" s="13">
        <f>HAVERQ!AZ133</f>
        <v>1363</v>
      </c>
      <c r="AA127" s="13">
        <f>HAVERQ!BA133</f>
        <v>148940</v>
      </c>
      <c r="AB127" s="13">
        <f>HAVERQ!BB133</f>
        <v>150860</v>
      </c>
      <c r="AC127" s="13">
        <f>HAVERQ!W133</f>
        <v>62856</v>
      </c>
      <c r="AD127" s="13">
        <f>HAVERQ!X133</f>
        <v>18330</v>
      </c>
      <c r="AE127" s="13">
        <f>HAVERQ!AD133</f>
        <v>5315</v>
      </c>
      <c r="AF127" s="13">
        <f>HAVERQ!AE133</f>
        <v>15450</v>
      </c>
      <c r="AG127" s="13">
        <f>HAVERQ!AF133</f>
        <v>24371</v>
      </c>
      <c r="AH127" s="13">
        <f>HAVERQ!AG133</f>
        <v>34989</v>
      </c>
      <c r="AI127" s="13">
        <f>HAVERQ!AH133</f>
        <v>30595</v>
      </c>
    </row>
    <row r="128" spans="1:35" x14ac:dyDescent="0.35">
      <c r="A128" t="s">
        <v>293</v>
      </c>
      <c r="B128" t="str">
        <f t="shared" si="25"/>
        <v>2020</v>
      </c>
      <c r="C128" t="str">
        <f t="shared" si="26"/>
        <v>Q4</v>
      </c>
      <c r="D128" s="13">
        <f>HAVERQ!AL134</f>
        <v>303678</v>
      </c>
      <c r="E128" s="13">
        <f>HAVERQ!AM134</f>
        <v>11007</v>
      </c>
      <c r="F128" s="13">
        <f>HAVERQ!AN134</f>
        <v>123554</v>
      </c>
      <c r="G128" s="13">
        <f>HAVERQ!AO134</f>
        <v>102333</v>
      </c>
      <c r="H128" s="13">
        <f>HAVERQ!AP134</f>
        <v>6760</v>
      </c>
      <c r="I128" s="13">
        <f>HAVERQ!AQ134</f>
        <v>7499</v>
      </c>
      <c r="J128" s="13">
        <f>HAVERQ!AR134</f>
        <v>162131</v>
      </c>
      <c r="K128" s="13">
        <f>HAVERQ!AS134</f>
        <v>173153</v>
      </c>
      <c r="L128" s="13">
        <f>HAVERQ!U134</f>
        <v>67292</v>
      </c>
      <c r="M128" s="13">
        <f>HAVERQ!V134</f>
        <v>19953</v>
      </c>
      <c r="N128" s="13">
        <f>HAVERQ!Y134</f>
        <v>6427</v>
      </c>
      <c r="O128" s="13">
        <f>HAVERQ!Z134</f>
        <v>17517</v>
      </c>
      <c r="P128" s="13">
        <f>HAVERQ!AA134</f>
        <v>25146</v>
      </c>
      <c r="Q128" s="13">
        <f>HAVERQ!AB134</f>
        <v>38084</v>
      </c>
      <c r="R128" s="13">
        <f>HAVERQ!AC134</f>
        <v>31284</v>
      </c>
      <c r="U128" s="13">
        <f>HAVERQ!AU134</f>
        <v>316800</v>
      </c>
      <c r="V128" s="13">
        <f>HAVERQ!AV134</f>
        <v>11007</v>
      </c>
      <c r="W128" s="13">
        <f>HAVERQ!AW134</f>
        <v>123177</v>
      </c>
      <c r="X128" s="13">
        <f>HAVERQ!AX134</f>
        <v>105872</v>
      </c>
      <c r="Y128" s="13">
        <f>HAVERQ!AY134</f>
        <v>7694</v>
      </c>
      <c r="Z128" s="13">
        <f>HAVERQ!AZ134</f>
        <v>7461</v>
      </c>
      <c r="AA128" s="13">
        <f>HAVERQ!BA134</f>
        <v>169166</v>
      </c>
      <c r="AB128" s="13">
        <f>HAVERQ!BB134</f>
        <v>177513</v>
      </c>
      <c r="AC128" s="13">
        <f>HAVERQ!W134</f>
        <v>70211</v>
      </c>
      <c r="AD128" s="13">
        <f>HAVERQ!X134</f>
        <v>18757</v>
      </c>
      <c r="AE128" s="13">
        <f>HAVERQ!AD134</f>
        <v>7701</v>
      </c>
      <c r="AF128" s="13">
        <f>HAVERQ!AE134</f>
        <v>18253</v>
      </c>
      <c r="AG128" s="13">
        <f>HAVERQ!AF134</f>
        <v>25738</v>
      </c>
      <c r="AH128" s="13">
        <f>HAVERQ!AG134</f>
        <v>38151</v>
      </c>
      <c r="AI128" s="13">
        <f>HAVERQ!AH134</f>
        <v>31239</v>
      </c>
    </row>
    <row r="129" spans="1:35" x14ac:dyDescent="0.35">
      <c r="A129" t="s">
        <v>294</v>
      </c>
      <c r="B129" t="str">
        <f t="shared" si="25"/>
        <v>2021</v>
      </c>
      <c r="C129" t="str">
        <f t="shared" si="26"/>
        <v>Q1</v>
      </c>
      <c r="D129" s="13">
        <f>HAVERQ!AL135</f>
        <v>294600</v>
      </c>
      <c r="E129" s="13">
        <f>HAVERQ!AM135</f>
        <v>11330</v>
      </c>
      <c r="F129" s="13">
        <f>HAVERQ!AN135</f>
        <v>129256</v>
      </c>
      <c r="G129" s="13">
        <f>HAVERQ!AO135</f>
        <v>100598</v>
      </c>
      <c r="H129" s="13">
        <f>HAVERQ!AP135</f>
        <v>845</v>
      </c>
      <c r="I129" s="13">
        <f>HAVERQ!AQ135</f>
        <v>8420</v>
      </c>
      <c r="J129" s="13">
        <f>HAVERQ!AR135</f>
        <v>158674</v>
      </c>
      <c r="K129" s="13">
        <f>HAVERQ!AS135</f>
        <v>158607</v>
      </c>
      <c r="L129" s="13">
        <f>HAVERQ!U135</f>
        <v>65103</v>
      </c>
      <c r="M129" s="13">
        <f>HAVERQ!V135</f>
        <v>18746</v>
      </c>
      <c r="N129" s="13">
        <f>HAVERQ!Y135</f>
        <v>3901</v>
      </c>
      <c r="O129" s="13">
        <f>HAVERQ!Z135</f>
        <v>15448</v>
      </c>
      <c r="P129" s="13">
        <f>HAVERQ!AA135</f>
        <v>25224</v>
      </c>
      <c r="Q129" s="13">
        <f>HAVERQ!AB135</f>
        <v>38586</v>
      </c>
      <c r="R129" s="13">
        <f>HAVERQ!AC135</f>
        <v>32610</v>
      </c>
      <c r="U129" s="13">
        <f>HAVERQ!AU135</f>
        <v>289238</v>
      </c>
      <c r="V129" s="13">
        <f>HAVERQ!AV135</f>
        <v>11330</v>
      </c>
      <c r="W129" s="13">
        <f>HAVERQ!AW135</f>
        <v>130582</v>
      </c>
      <c r="X129" s="13">
        <f>HAVERQ!AX135</f>
        <v>103922</v>
      </c>
      <c r="Y129" s="13">
        <f>HAVERQ!AY135</f>
        <v>-312</v>
      </c>
      <c r="Z129" s="13">
        <f>HAVERQ!AZ135</f>
        <v>8214</v>
      </c>
      <c r="AA129" s="13">
        <f>HAVERQ!BA135</f>
        <v>155109</v>
      </c>
      <c r="AB129" s="13">
        <f>HAVERQ!BB135</f>
        <v>156407</v>
      </c>
      <c r="AC129" s="13">
        <f>HAVERQ!W135</f>
        <v>60552</v>
      </c>
      <c r="AD129" s="13">
        <f>HAVERQ!X135</f>
        <v>26563</v>
      </c>
      <c r="AE129" s="13">
        <f>HAVERQ!AD135</f>
        <v>2549</v>
      </c>
      <c r="AF129" s="13">
        <f>HAVERQ!AE135</f>
        <v>17001</v>
      </c>
      <c r="AG129" s="13">
        <f>HAVERQ!AF135</f>
        <v>24634</v>
      </c>
      <c r="AH129" s="13">
        <f>HAVERQ!AG135</f>
        <v>39803</v>
      </c>
      <c r="AI129" s="13">
        <f>HAVERQ!AH135</f>
        <v>33737</v>
      </c>
    </row>
    <row r="130" spans="1:35" x14ac:dyDescent="0.35">
      <c r="A130" t="s">
        <v>295</v>
      </c>
      <c r="B130" t="str">
        <f t="shared" si="25"/>
        <v>2021</v>
      </c>
      <c r="C130" t="str">
        <f t="shared" si="26"/>
        <v>Q2</v>
      </c>
      <c r="D130" s="13">
        <f>HAVERQ!AL136</f>
        <v>330318</v>
      </c>
      <c r="E130" s="13">
        <f>HAVERQ!AM136</f>
        <v>12075</v>
      </c>
      <c r="F130" s="13">
        <f>HAVERQ!AN136</f>
        <v>126020</v>
      </c>
      <c r="G130" s="13">
        <f>HAVERQ!AO136</f>
        <v>104731</v>
      </c>
      <c r="H130" s="13">
        <f>HAVERQ!AP136</f>
        <v>-5063</v>
      </c>
      <c r="I130" s="13">
        <f>HAVERQ!AQ136</f>
        <v>-807</v>
      </c>
      <c r="J130" s="13">
        <f>HAVERQ!AR136</f>
        <v>169961</v>
      </c>
      <c r="K130" s="13">
        <f>HAVERQ!AS136</f>
        <v>160710</v>
      </c>
      <c r="L130" s="13">
        <f>HAVERQ!U136</f>
        <v>67598</v>
      </c>
      <c r="M130" s="13">
        <f>HAVERQ!V136</f>
        <v>20691</v>
      </c>
      <c r="N130" s="13">
        <f>HAVERQ!Y136</f>
        <v>3785</v>
      </c>
      <c r="O130" s="13">
        <f>HAVERQ!Z136</f>
        <v>17461</v>
      </c>
      <c r="P130" s="13">
        <f>HAVERQ!AA136</f>
        <v>26066</v>
      </c>
      <c r="Q130" s="13">
        <f>HAVERQ!AB136</f>
        <v>40508</v>
      </c>
      <c r="R130" s="13">
        <f>HAVERQ!AC136</f>
        <v>33729</v>
      </c>
      <c r="U130" s="13">
        <f>HAVERQ!AU136</f>
        <v>326781</v>
      </c>
      <c r="V130" s="13">
        <f>HAVERQ!AV136</f>
        <v>12075</v>
      </c>
      <c r="W130" s="13">
        <f>HAVERQ!AW136</f>
        <v>125609</v>
      </c>
      <c r="X130" s="13">
        <f>HAVERQ!AX136</f>
        <v>101454</v>
      </c>
      <c r="Y130" s="13">
        <f>HAVERQ!AY136</f>
        <v>-6038</v>
      </c>
      <c r="Z130" s="13">
        <f>HAVERQ!AZ136</f>
        <v>-825</v>
      </c>
      <c r="AA130" s="13">
        <f>HAVERQ!BA136</f>
        <v>168262</v>
      </c>
      <c r="AB130" s="13">
        <f>HAVERQ!BB136</f>
        <v>157647</v>
      </c>
      <c r="AC130" s="13">
        <f>HAVERQ!W136</f>
        <v>65870</v>
      </c>
      <c r="AD130" s="13">
        <f>HAVERQ!X136</f>
        <v>16919</v>
      </c>
      <c r="AE130" s="13">
        <f>HAVERQ!AD136</f>
        <v>4375</v>
      </c>
      <c r="AF130" s="13">
        <f>HAVERQ!AE136</f>
        <v>16034</v>
      </c>
      <c r="AG130" s="13">
        <f>HAVERQ!AF136</f>
        <v>25937</v>
      </c>
      <c r="AH130" s="13">
        <f>HAVERQ!AG136</f>
        <v>36164</v>
      </c>
      <c r="AI130" s="13">
        <f>HAVERQ!AH136</f>
        <v>33089</v>
      </c>
    </row>
    <row r="131" spans="1:35" x14ac:dyDescent="0.35">
      <c r="A131" t="s">
        <v>296</v>
      </c>
      <c r="B131" t="str">
        <f t="shared" si="25"/>
        <v>2021</v>
      </c>
      <c r="C131" t="str">
        <f t="shared" si="26"/>
        <v>Q3</v>
      </c>
      <c r="D131" s="13">
        <f>HAVERQ!AL137</f>
        <v>345798</v>
      </c>
      <c r="E131" s="13">
        <f>HAVERQ!AM137</f>
        <v>12588</v>
      </c>
      <c r="F131" s="13">
        <f>HAVERQ!AN137</f>
        <v>126002</v>
      </c>
      <c r="G131" s="13">
        <f>HAVERQ!AO137</f>
        <v>111846</v>
      </c>
      <c r="H131" s="13">
        <f>HAVERQ!AP137</f>
        <v>1780</v>
      </c>
      <c r="I131" s="13">
        <f>HAVERQ!AQ137</f>
        <v>3452</v>
      </c>
      <c r="J131" s="13">
        <f>HAVERQ!AR137</f>
        <v>164035</v>
      </c>
      <c r="K131" s="13">
        <f>HAVERQ!AS137</f>
        <v>172794</v>
      </c>
      <c r="L131" s="13">
        <f>HAVERQ!U137</f>
        <v>67169</v>
      </c>
      <c r="M131" s="13">
        <f>HAVERQ!V137</f>
        <v>21461</v>
      </c>
      <c r="N131" s="13">
        <f>HAVERQ!Y137</f>
        <v>4456</v>
      </c>
      <c r="O131" s="13">
        <f>HAVERQ!Z137</f>
        <v>19417</v>
      </c>
      <c r="P131" s="13">
        <f>HAVERQ!AA137</f>
        <v>26435</v>
      </c>
      <c r="Q131" s="13">
        <f>HAVERQ!AB137</f>
        <v>38508</v>
      </c>
      <c r="R131" s="13">
        <f>HAVERQ!AC137</f>
        <v>33515</v>
      </c>
      <c r="U131" s="13">
        <f>HAVERQ!AU137</f>
        <v>343931</v>
      </c>
      <c r="V131" s="13">
        <f>HAVERQ!AV137</f>
        <v>12588</v>
      </c>
      <c r="W131" s="13">
        <f>HAVERQ!AW137</f>
        <v>125430</v>
      </c>
      <c r="X131" s="13">
        <f>HAVERQ!AX137</f>
        <v>108795</v>
      </c>
      <c r="Y131" s="13">
        <f>HAVERQ!AY137</f>
        <v>1439</v>
      </c>
      <c r="Z131" s="13">
        <f>HAVERQ!AZ137</f>
        <v>3712</v>
      </c>
      <c r="AA131" s="13">
        <f>HAVERQ!BA137</f>
        <v>162396</v>
      </c>
      <c r="AB131" s="13">
        <f>HAVERQ!BB137</f>
        <v>173838</v>
      </c>
      <c r="AC131" s="13">
        <f>HAVERQ!W137</f>
        <v>68601</v>
      </c>
      <c r="AD131" s="13">
        <f>HAVERQ!X137</f>
        <v>19070</v>
      </c>
      <c r="AE131" s="13">
        <f>HAVERQ!AD137</f>
        <v>3876</v>
      </c>
      <c r="AF131" s="13">
        <f>HAVERQ!AE137</f>
        <v>18618</v>
      </c>
      <c r="AG131" s="13">
        <f>HAVERQ!AF137</f>
        <v>26598</v>
      </c>
      <c r="AH131" s="13">
        <f>HAVERQ!AG137</f>
        <v>39974</v>
      </c>
      <c r="AI131" s="13">
        <f>HAVERQ!AH137</f>
        <v>33123</v>
      </c>
    </row>
    <row r="132" spans="1:35" x14ac:dyDescent="0.35">
      <c r="A132" t="s">
        <v>297</v>
      </c>
      <c r="B132" t="str">
        <f t="shared" si="25"/>
        <v>2021</v>
      </c>
      <c r="C132" t="str">
        <f t="shared" si="26"/>
        <v>Q4</v>
      </c>
      <c r="D132" s="13">
        <f>HAVERQ!AL138</f>
        <v>354462</v>
      </c>
      <c r="E132" s="13">
        <f>HAVERQ!AM138</f>
        <v>13000</v>
      </c>
      <c r="F132" s="13">
        <f>HAVERQ!AN138</f>
        <v>127312</v>
      </c>
      <c r="G132" s="13">
        <f>HAVERQ!AO138</f>
        <v>113366</v>
      </c>
      <c r="H132" s="13">
        <f>HAVERQ!AP138</f>
        <v>2948</v>
      </c>
      <c r="I132" s="13">
        <f>HAVERQ!AQ138</f>
        <v>-3164</v>
      </c>
      <c r="J132" s="13">
        <f>HAVERQ!AR138</f>
        <v>187621</v>
      </c>
      <c r="K132" s="13">
        <f>HAVERQ!AS138</f>
        <v>187241</v>
      </c>
      <c r="L132" s="13">
        <f>HAVERQ!U138</f>
        <v>69682</v>
      </c>
      <c r="M132" s="13">
        <f>HAVERQ!V138</f>
        <v>20740</v>
      </c>
      <c r="N132" s="13">
        <f>HAVERQ!Y138</f>
        <v>5273</v>
      </c>
      <c r="O132" s="13">
        <f>HAVERQ!Z138</f>
        <v>19277</v>
      </c>
      <c r="P132" s="13">
        <f>HAVERQ!AA138</f>
        <v>27241</v>
      </c>
      <c r="Q132" s="13">
        <f>HAVERQ!AB138</f>
        <v>39331</v>
      </c>
      <c r="R132" s="13">
        <f>HAVERQ!AC138</f>
        <v>34418</v>
      </c>
      <c r="U132" s="13">
        <f>HAVERQ!AU138</f>
        <v>365228</v>
      </c>
      <c r="V132" s="13">
        <f>HAVERQ!AV138</f>
        <v>13000</v>
      </c>
      <c r="W132" s="13">
        <f>HAVERQ!AW138</f>
        <v>126969</v>
      </c>
      <c r="X132" s="13">
        <f>HAVERQ!AX138</f>
        <v>116370</v>
      </c>
      <c r="Y132" s="13">
        <f>HAVERQ!AY138</f>
        <v>5421</v>
      </c>
      <c r="Z132" s="13">
        <f>HAVERQ!AZ138</f>
        <v>-3200</v>
      </c>
      <c r="AA132" s="13">
        <f>HAVERQ!BA138</f>
        <v>194524</v>
      </c>
      <c r="AB132" s="13">
        <f>HAVERQ!BB138</f>
        <v>191460</v>
      </c>
      <c r="AC132" s="13">
        <f>HAVERQ!W138</f>
        <v>74530</v>
      </c>
      <c r="AD132" s="13">
        <f>HAVERQ!X138</f>
        <v>19086</v>
      </c>
      <c r="AE132" s="13">
        <f>HAVERQ!AD138</f>
        <v>6615</v>
      </c>
      <c r="AF132" s="13">
        <f>HAVERQ!AE138</f>
        <v>19949</v>
      </c>
      <c r="AG132" s="13">
        <f>HAVERQ!AF138</f>
        <v>27796</v>
      </c>
      <c r="AH132" s="13">
        <f>HAVERQ!AG138</f>
        <v>40992</v>
      </c>
      <c r="AI132" s="13">
        <f>HAVERQ!AH138</f>
        <v>34324</v>
      </c>
    </row>
    <row r="133" spans="1:35" x14ac:dyDescent="0.35">
      <c r="A133" t="s">
        <v>298</v>
      </c>
      <c r="B133" t="str">
        <f t="shared" si="25"/>
        <v>2022</v>
      </c>
      <c r="C133" t="str">
        <f t="shared" si="26"/>
        <v>Q1</v>
      </c>
      <c r="D133" s="13">
        <f>HAVERQ!AL139</f>
        <v>365748</v>
      </c>
      <c r="E133" s="13">
        <f>HAVERQ!AM139</f>
        <v>13267</v>
      </c>
      <c r="F133" s="13">
        <f>HAVERQ!AN139</f>
        <v>134030</v>
      </c>
      <c r="G133" s="13">
        <f>HAVERQ!AO139</f>
        <v>117180</v>
      </c>
      <c r="H133" s="13">
        <f>HAVERQ!AP139</f>
        <v>9946</v>
      </c>
      <c r="I133" s="13">
        <f>HAVERQ!AQ139</f>
        <v>8238</v>
      </c>
      <c r="J133" s="13">
        <f>HAVERQ!AR139</f>
        <v>187679</v>
      </c>
      <c r="K133" s="13">
        <f>HAVERQ!AS139</f>
        <v>213074</v>
      </c>
      <c r="L133" s="13">
        <f>HAVERQ!U139</f>
        <v>71183</v>
      </c>
      <c r="M133" s="13">
        <f>HAVERQ!V139</f>
        <v>21386</v>
      </c>
      <c r="N133" s="13">
        <f>HAVERQ!Y139</f>
        <v>4299</v>
      </c>
      <c r="O133" s="13">
        <f>HAVERQ!Z139</f>
        <v>22149</v>
      </c>
      <c r="P133" s="13">
        <f>HAVERQ!AA139</f>
        <v>29314</v>
      </c>
      <c r="Q133" s="13">
        <f>HAVERQ!AB139</f>
        <v>38784</v>
      </c>
      <c r="R133" s="13">
        <f>HAVERQ!AC139</f>
        <v>35394</v>
      </c>
      <c r="U133" s="13">
        <f>HAVERQ!AU139</f>
        <v>353300</v>
      </c>
      <c r="V133" s="13">
        <f>HAVERQ!AV139</f>
        <v>13267</v>
      </c>
      <c r="W133" s="13">
        <f>HAVERQ!AW139</f>
        <v>135304</v>
      </c>
      <c r="X133" s="13">
        <f>HAVERQ!AX139</f>
        <v>119398</v>
      </c>
      <c r="Y133" s="13">
        <f>HAVERQ!AY139</f>
        <v>19035</v>
      </c>
      <c r="Z133" s="13">
        <f>HAVERQ!AZ139</f>
        <v>8038</v>
      </c>
      <c r="AA133" s="13">
        <f>HAVERQ!BA139</f>
        <v>181525</v>
      </c>
      <c r="AB133" s="13">
        <f>HAVERQ!BB139</f>
        <v>210445</v>
      </c>
      <c r="AC133" s="13">
        <f>HAVERQ!W139</f>
        <v>70397</v>
      </c>
      <c r="AD133" s="13">
        <f>HAVERQ!X139</f>
        <v>30108</v>
      </c>
      <c r="AE133" s="13">
        <f>HAVERQ!AD139</f>
        <v>4245</v>
      </c>
      <c r="AF133" s="13">
        <f>HAVERQ!AE139</f>
        <v>23703</v>
      </c>
      <c r="AG133" s="13">
        <f>HAVERQ!AF139</f>
        <v>28788</v>
      </c>
      <c r="AH133" s="13">
        <f>HAVERQ!AG139</f>
        <v>42312</v>
      </c>
      <c r="AI133" s="13">
        <f>HAVERQ!AH139</f>
        <v>37333</v>
      </c>
    </row>
    <row r="134" spans="1:35" x14ac:dyDescent="0.35">
      <c r="A134" t="s">
        <v>299</v>
      </c>
      <c r="B134" t="str">
        <f t="shared" ref="B134:B148" si="27">LEFT(A134,4)</f>
        <v>2022</v>
      </c>
      <c r="C134" t="str">
        <f t="shared" ref="C134:C148" si="28">RIGHT(A134,2)</f>
        <v>Q2</v>
      </c>
      <c r="D134" s="13">
        <f>HAVERQ!AL140</f>
        <v>385666</v>
      </c>
      <c r="E134" s="13">
        <f>HAVERQ!AM140</f>
        <v>13778</v>
      </c>
      <c r="F134" s="13">
        <f>HAVERQ!AN140</f>
        <v>129704</v>
      </c>
      <c r="G134" s="13">
        <f>HAVERQ!AO140</f>
        <v>120885</v>
      </c>
      <c r="H134" s="13">
        <f>HAVERQ!AP140</f>
        <v>5504</v>
      </c>
      <c r="I134" s="13">
        <f>HAVERQ!AQ140</f>
        <v>2226</v>
      </c>
      <c r="J134" s="13">
        <f>HAVERQ!AR140</f>
        <v>211939</v>
      </c>
      <c r="K134" s="13">
        <f>HAVERQ!AS140</f>
        <v>230409</v>
      </c>
      <c r="L134" s="13">
        <f>HAVERQ!U140</f>
        <v>72087</v>
      </c>
      <c r="M134" s="13">
        <f>HAVERQ!V140</f>
        <v>19999</v>
      </c>
      <c r="N134" s="13">
        <f>HAVERQ!Y140</f>
        <v>6737</v>
      </c>
      <c r="O134" s="13">
        <f>HAVERQ!Z140</f>
        <v>18786</v>
      </c>
      <c r="P134" s="13">
        <f>HAVERQ!AA140</f>
        <v>28713</v>
      </c>
      <c r="Q134" s="13">
        <f>HAVERQ!AB140</f>
        <v>41318</v>
      </c>
      <c r="R134" s="13">
        <f>HAVERQ!AC140</f>
        <v>33852</v>
      </c>
      <c r="U134" s="13">
        <f>HAVERQ!AU140</f>
        <v>384320</v>
      </c>
      <c r="V134" s="13">
        <f>HAVERQ!AV140</f>
        <v>13778</v>
      </c>
      <c r="W134" s="13">
        <f>HAVERQ!AW140</f>
        <v>129328</v>
      </c>
      <c r="X134" s="13">
        <f>HAVERQ!AX140</f>
        <v>114191</v>
      </c>
      <c r="Y134" s="13">
        <f>HAVERQ!AY140</f>
        <v>952</v>
      </c>
      <c r="Z134" s="13">
        <f>HAVERQ!AZ140</f>
        <v>2205</v>
      </c>
      <c r="AA134" s="13">
        <f>HAVERQ!BA140</f>
        <v>209633</v>
      </c>
      <c r="AB134" s="13">
        <f>HAVERQ!BB140</f>
        <v>226061</v>
      </c>
      <c r="AC134" s="13">
        <f>HAVERQ!W140</f>
        <v>68830</v>
      </c>
      <c r="AD134" s="13">
        <f>HAVERQ!X140</f>
        <v>15667</v>
      </c>
      <c r="AE134" s="13">
        <f>HAVERQ!AD140</f>
        <v>6492</v>
      </c>
      <c r="AF134" s="13">
        <f>HAVERQ!AE140</f>
        <v>17393</v>
      </c>
      <c r="AG134" s="13">
        <f>HAVERQ!AF140</f>
        <v>28573</v>
      </c>
      <c r="AH134" s="13">
        <f>HAVERQ!AG140</f>
        <v>36255</v>
      </c>
      <c r="AI134" s="13">
        <f>HAVERQ!AH140</f>
        <v>32548</v>
      </c>
    </row>
    <row r="135" spans="1:35" x14ac:dyDescent="0.35">
      <c r="A135" t="s">
        <v>300</v>
      </c>
      <c r="B135" t="str">
        <f t="shared" si="27"/>
        <v>2022</v>
      </c>
      <c r="C135" t="str">
        <f t="shared" si="28"/>
        <v>Q3</v>
      </c>
      <c r="D135" s="13">
        <f>HAVERQ!AL141</f>
        <v>392710</v>
      </c>
      <c r="E135" s="13">
        <f>HAVERQ!AM141</f>
        <v>13879</v>
      </c>
      <c r="F135" s="13">
        <f>HAVERQ!AN141</f>
        <v>132374</v>
      </c>
      <c r="G135" s="13">
        <f>HAVERQ!AO141</f>
        <v>125156</v>
      </c>
      <c r="H135" s="13">
        <f>HAVERQ!AP141</f>
        <v>-6460</v>
      </c>
      <c r="I135" s="13">
        <f>HAVERQ!AQ141</f>
        <v>-12466</v>
      </c>
      <c r="J135" s="13">
        <f>HAVERQ!AR141</f>
        <v>235348</v>
      </c>
      <c r="K135" s="13">
        <f>HAVERQ!AS141</f>
        <v>230308</v>
      </c>
      <c r="L135" s="13">
        <f>HAVERQ!U141</f>
        <v>70894</v>
      </c>
      <c r="M135" s="13">
        <f>HAVERQ!V141</f>
        <v>21111</v>
      </c>
      <c r="N135" s="13">
        <f>HAVERQ!Y141</f>
        <v>6741</v>
      </c>
      <c r="O135" s="13">
        <f>HAVERQ!Z141</f>
        <v>19191</v>
      </c>
      <c r="P135" s="13">
        <f>HAVERQ!AA141</f>
        <v>29247</v>
      </c>
      <c r="Q135" s="13">
        <f>HAVERQ!AB141</f>
        <v>40834</v>
      </c>
      <c r="R135" s="13">
        <f>HAVERQ!AC141</f>
        <v>33858</v>
      </c>
      <c r="U135" s="13">
        <f>HAVERQ!AU141</f>
        <v>393602</v>
      </c>
      <c r="V135" s="13">
        <f>HAVERQ!AV141</f>
        <v>13879</v>
      </c>
      <c r="W135" s="13">
        <f>HAVERQ!AW141</f>
        <v>131855</v>
      </c>
      <c r="X135" s="13">
        <f>HAVERQ!AX141</f>
        <v>124693</v>
      </c>
      <c r="Y135" s="13">
        <f>HAVERQ!AY141</f>
        <v>-5545</v>
      </c>
      <c r="Z135" s="13">
        <f>HAVERQ!AZ141</f>
        <v>-12209</v>
      </c>
      <c r="AA135" s="13">
        <f>HAVERQ!BA141</f>
        <v>236472</v>
      </c>
      <c r="AB135" s="13">
        <f>HAVERQ!BB141</f>
        <v>233031</v>
      </c>
      <c r="AC135" s="13">
        <f>HAVERQ!W141</f>
        <v>70572</v>
      </c>
      <c r="AD135" s="13">
        <f>HAVERQ!X141</f>
        <v>18488</v>
      </c>
      <c r="AE135" s="13">
        <f>HAVERQ!AD141</f>
        <v>5746</v>
      </c>
      <c r="AF135" s="13">
        <f>HAVERQ!AE141</f>
        <v>18390</v>
      </c>
      <c r="AG135" s="13">
        <f>HAVERQ!AF141</f>
        <v>29395</v>
      </c>
      <c r="AH135" s="13">
        <f>HAVERQ!AG141</f>
        <v>40933</v>
      </c>
      <c r="AI135" s="13">
        <f>HAVERQ!AH141</f>
        <v>33421</v>
      </c>
    </row>
    <row r="136" spans="1:35" x14ac:dyDescent="0.35">
      <c r="A136" t="s">
        <v>301</v>
      </c>
      <c r="B136" t="str">
        <f t="shared" si="27"/>
        <v>2022</v>
      </c>
      <c r="C136" t="str">
        <f t="shared" si="28"/>
        <v>Q4</v>
      </c>
      <c r="D136" s="13">
        <f>HAVERQ!AL142</f>
        <v>405475</v>
      </c>
      <c r="E136" s="13">
        <f>HAVERQ!AM142</f>
        <v>14071</v>
      </c>
      <c r="F136" s="13">
        <f>HAVERQ!AN142</f>
        <v>134471</v>
      </c>
      <c r="G136" s="13">
        <f>HAVERQ!AO142</f>
        <v>127228</v>
      </c>
      <c r="H136" s="13">
        <f>HAVERQ!AP142</f>
        <v>-5972</v>
      </c>
      <c r="I136" s="13">
        <f>HAVERQ!AQ142</f>
        <v>-17942</v>
      </c>
      <c r="J136" s="13">
        <f>HAVERQ!AR142</f>
        <v>244155</v>
      </c>
      <c r="K136" s="13">
        <f>HAVERQ!AS142</f>
        <v>233077</v>
      </c>
      <c r="L136" s="13">
        <f>HAVERQ!U142</f>
        <v>70060</v>
      </c>
      <c r="M136" s="13">
        <f>HAVERQ!V142</f>
        <v>21726</v>
      </c>
      <c r="N136" s="13">
        <f>HAVERQ!Y142</f>
        <v>7599</v>
      </c>
      <c r="O136" s="13">
        <f>HAVERQ!Z142</f>
        <v>18030</v>
      </c>
      <c r="P136" s="13">
        <f>HAVERQ!AA142</f>
        <v>28565</v>
      </c>
      <c r="Q136" s="13">
        <f>HAVERQ!AB142</f>
        <v>40260</v>
      </c>
      <c r="R136" s="13">
        <f>HAVERQ!AC142</f>
        <v>33851</v>
      </c>
      <c r="U136" s="13">
        <f>HAVERQ!AU142</f>
        <v>418377</v>
      </c>
      <c r="V136" s="13">
        <f>HAVERQ!AV142</f>
        <v>14071</v>
      </c>
      <c r="W136" s="13">
        <f>HAVERQ!AW142</f>
        <v>134092</v>
      </c>
      <c r="X136" s="13">
        <f>HAVERQ!AX142</f>
        <v>132167</v>
      </c>
      <c r="Y136" s="13">
        <f>HAVERQ!AY142</f>
        <v>-11424</v>
      </c>
      <c r="Z136" s="13">
        <f>HAVERQ!AZ142</f>
        <v>-17978</v>
      </c>
      <c r="AA136" s="13">
        <f>HAVERQ!BA142</f>
        <v>251491</v>
      </c>
      <c r="AB136" s="13">
        <f>HAVERQ!BB142</f>
        <v>237331</v>
      </c>
      <c r="AC136" s="13">
        <f>HAVERQ!W142</f>
        <v>74426</v>
      </c>
      <c r="AD136" s="13">
        <f>HAVERQ!X142</f>
        <v>19958</v>
      </c>
      <c r="AE136" s="13">
        <f>HAVERQ!AD142</f>
        <v>8893</v>
      </c>
      <c r="AF136" s="13">
        <f>HAVERQ!AE142</f>
        <v>18671</v>
      </c>
      <c r="AG136" s="13">
        <f>HAVERQ!AF142</f>
        <v>29084</v>
      </c>
      <c r="AH136" s="13">
        <f>HAVERQ!AG142</f>
        <v>41696</v>
      </c>
      <c r="AI136" s="13">
        <f>HAVERQ!AH142</f>
        <v>33653</v>
      </c>
    </row>
    <row r="137" spans="1:35" x14ac:dyDescent="0.35">
      <c r="A137" t="s">
        <v>302</v>
      </c>
      <c r="B137" t="str">
        <f t="shared" si="27"/>
        <v>2023</v>
      </c>
      <c r="C137" t="str">
        <f t="shared" si="28"/>
        <v>Q1</v>
      </c>
      <c r="D137" s="13">
        <f>HAVERQ!AL143</f>
        <v>411023</v>
      </c>
      <c r="E137" s="13">
        <f>HAVERQ!AM143</f>
        <v>14113</v>
      </c>
      <c r="F137" s="13">
        <f>HAVERQ!AN143</f>
        <v>135232</v>
      </c>
      <c r="G137" s="13">
        <f>HAVERQ!AO143</f>
        <v>132002</v>
      </c>
      <c r="H137" s="13">
        <f>HAVERQ!AP143</f>
        <v>-3082</v>
      </c>
      <c r="I137" s="13">
        <f>HAVERQ!AQ143</f>
        <v>-5952</v>
      </c>
      <c r="J137" s="13">
        <f>HAVERQ!AR143</f>
        <v>227335</v>
      </c>
      <c r="K137" s="13">
        <f>HAVERQ!AS143</f>
        <v>231477</v>
      </c>
      <c r="L137" s="13">
        <f>HAVERQ!U143</f>
        <v>72990</v>
      </c>
      <c r="M137" s="13">
        <f>HAVERQ!V143</f>
        <v>22727</v>
      </c>
      <c r="N137" s="13">
        <f>HAVERQ!Y143</f>
        <v>7274</v>
      </c>
      <c r="O137" s="13">
        <f>HAVERQ!Z143</f>
        <v>19913</v>
      </c>
      <c r="P137" s="13">
        <f>HAVERQ!AA143</f>
        <v>28293</v>
      </c>
      <c r="Q137" s="13">
        <f>HAVERQ!AB143</f>
        <v>41381</v>
      </c>
      <c r="R137" s="13">
        <f>HAVERQ!AC143</f>
        <v>35324</v>
      </c>
      <c r="U137" s="13">
        <f>HAVERQ!AU143</f>
        <v>398495</v>
      </c>
      <c r="V137" s="13">
        <f>HAVERQ!AV143</f>
        <v>14113</v>
      </c>
      <c r="W137" s="13">
        <f>HAVERQ!AW143</f>
        <v>136392</v>
      </c>
      <c r="X137" s="13">
        <f>HAVERQ!AX143</f>
        <v>136303</v>
      </c>
      <c r="Y137" s="13">
        <f>HAVERQ!AY143</f>
        <v>-396</v>
      </c>
      <c r="Z137" s="13">
        <f>HAVERQ!AZ143</f>
        <v>-6147</v>
      </c>
      <c r="AA137" s="13">
        <f>HAVERQ!BA143</f>
        <v>221068</v>
      </c>
      <c r="AB137" s="13">
        <f>HAVERQ!BB143</f>
        <v>227019</v>
      </c>
      <c r="AC137" s="13">
        <f>HAVERQ!W143</f>
        <v>70668</v>
      </c>
      <c r="AD137" s="13">
        <f>HAVERQ!X143</f>
        <v>31649</v>
      </c>
      <c r="AE137" s="13">
        <f>HAVERQ!AD143</f>
        <v>7220</v>
      </c>
      <c r="AF137" s="13">
        <f>HAVERQ!AE143</f>
        <v>21449</v>
      </c>
      <c r="AG137" s="13">
        <f>HAVERQ!AF143</f>
        <v>27819</v>
      </c>
      <c r="AH137" s="13">
        <f>HAVERQ!AG143</f>
        <v>43699</v>
      </c>
      <c r="AI137" s="13">
        <f>HAVERQ!AH143</f>
        <v>36979</v>
      </c>
    </row>
    <row r="138" spans="1:35" x14ac:dyDescent="0.35">
      <c r="A138" t="s">
        <v>303</v>
      </c>
      <c r="B138" t="str">
        <f t="shared" si="27"/>
        <v>2023</v>
      </c>
      <c r="C138" t="str">
        <f t="shared" si="28"/>
        <v>Q2</v>
      </c>
      <c r="D138" s="13">
        <f>HAVERQ!AL144</f>
        <v>415765</v>
      </c>
      <c r="E138" s="13">
        <f>HAVERQ!AM144</f>
        <v>14147</v>
      </c>
      <c r="F138" s="13">
        <f>HAVERQ!AN144</f>
        <v>142592</v>
      </c>
      <c r="G138" s="13">
        <f>HAVERQ!AO144</f>
        <v>130237</v>
      </c>
      <c r="H138" s="13">
        <f>HAVERQ!AP144</f>
        <v>-299</v>
      </c>
      <c r="I138" s="13">
        <f>HAVERQ!AQ144</f>
        <v>-3801</v>
      </c>
      <c r="J138" s="13">
        <f>HAVERQ!AR144</f>
        <v>221330</v>
      </c>
      <c r="K138" s="13">
        <f>HAVERQ!AS144</f>
        <v>230353</v>
      </c>
      <c r="L138" s="13">
        <f>HAVERQ!U144</f>
        <v>73232</v>
      </c>
      <c r="M138" s="13">
        <f>HAVERQ!V144</f>
        <v>20929</v>
      </c>
      <c r="N138" s="13">
        <f>HAVERQ!Y144</f>
        <v>7687</v>
      </c>
      <c r="O138" s="13">
        <f>HAVERQ!Z144</f>
        <v>18953</v>
      </c>
      <c r="P138" s="13">
        <f>HAVERQ!AA144</f>
        <v>27645</v>
      </c>
      <c r="Q138" s="13">
        <f>HAVERQ!AB144</f>
        <v>39490</v>
      </c>
      <c r="R138" s="13">
        <f>HAVERQ!AC144</f>
        <v>36093</v>
      </c>
      <c r="U138" s="13">
        <f>HAVERQ!AU144</f>
        <v>414590</v>
      </c>
      <c r="V138" s="13">
        <f>HAVERQ!AV144</f>
        <v>14147</v>
      </c>
      <c r="W138" s="13">
        <f>HAVERQ!AW144</f>
        <v>142236</v>
      </c>
      <c r="X138" s="13">
        <f>HAVERQ!AX144</f>
        <v>123701</v>
      </c>
      <c r="Y138" s="13">
        <f>HAVERQ!AY144</f>
        <v>-1984</v>
      </c>
      <c r="Z138" s="13">
        <f>HAVERQ!AZ144</f>
        <v>-3838</v>
      </c>
      <c r="AA138" s="13">
        <f>HAVERQ!BA144</f>
        <v>219918</v>
      </c>
      <c r="AB138" s="13">
        <f>HAVERQ!BB144</f>
        <v>229080</v>
      </c>
      <c r="AC138" s="13">
        <f>HAVERQ!W144</f>
        <v>72073</v>
      </c>
      <c r="AD138" s="13">
        <f>HAVERQ!X144</f>
        <v>16308</v>
      </c>
      <c r="AE138" s="13">
        <f>HAVERQ!AD144</f>
        <v>7817</v>
      </c>
      <c r="AF138" s="13">
        <f>HAVERQ!AE144</f>
        <v>17333</v>
      </c>
      <c r="AG138" s="13">
        <f>HAVERQ!AF144</f>
        <v>27490</v>
      </c>
      <c r="AH138" s="13">
        <f>HAVERQ!AG144</f>
        <v>35665</v>
      </c>
      <c r="AI138" s="13">
        <f>HAVERQ!AH144</f>
        <v>35181</v>
      </c>
    </row>
    <row r="139" spans="1:35" x14ac:dyDescent="0.35">
      <c r="A139" t="s">
        <v>304</v>
      </c>
      <c r="B139" t="str">
        <f t="shared" si="27"/>
        <v>2023</v>
      </c>
      <c r="C139" t="str">
        <f t="shared" si="28"/>
        <v>Q3</v>
      </c>
      <c r="D139" s="13">
        <f>HAVERQ!AL145</f>
        <v>412674</v>
      </c>
      <c r="E139" s="13">
        <f>HAVERQ!AM145</f>
        <v>14171</v>
      </c>
      <c r="F139" s="13">
        <f>HAVERQ!AN145</f>
        <v>143673</v>
      </c>
      <c r="G139" s="13">
        <f>HAVERQ!AO145</f>
        <v>128511</v>
      </c>
      <c r="H139" s="13">
        <f>HAVERQ!AP145</f>
        <v>2000</v>
      </c>
      <c r="I139" s="13">
        <f>HAVERQ!AQ145</f>
        <v>-1382</v>
      </c>
      <c r="J139" s="13">
        <f>HAVERQ!AR145</f>
        <v>215466</v>
      </c>
      <c r="K139" s="13">
        <f>HAVERQ!AS145</f>
        <v>222131</v>
      </c>
      <c r="L139" s="13">
        <f>HAVERQ!U145</f>
        <v>71430</v>
      </c>
      <c r="M139" s="13">
        <f>HAVERQ!V145</f>
        <v>22000</v>
      </c>
      <c r="N139" s="13">
        <f>HAVERQ!Y145</f>
        <v>7711</v>
      </c>
      <c r="O139" s="13">
        <f>HAVERQ!Z145</f>
        <v>18605</v>
      </c>
      <c r="P139" s="13">
        <f>HAVERQ!AA145</f>
        <v>26877</v>
      </c>
      <c r="Q139" s="13">
        <f>HAVERQ!AB145</f>
        <v>39510</v>
      </c>
      <c r="R139" s="13">
        <f>HAVERQ!AC145</f>
        <v>35544</v>
      </c>
      <c r="U139" s="13">
        <f>HAVERQ!AU145</f>
        <v>416064</v>
      </c>
      <c r="V139" s="13">
        <f>HAVERQ!AV145</f>
        <v>14171</v>
      </c>
      <c r="W139" s="13">
        <f>HAVERQ!AW145</f>
        <v>143246</v>
      </c>
      <c r="X139" s="13">
        <f>HAVERQ!AX145</f>
        <v>127861</v>
      </c>
      <c r="Y139" s="13">
        <f>HAVERQ!AY145</f>
        <v>6586</v>
      </c>
      <c r="Z139" s="13">
        <f>HAVERQ!AZ145</f>
        <v>-1129</v>
      </c>
      <c r="AA139" s="13">
        <f>HAVERQ!BA145</f>
        <v>215093</v>
      </c>
      <c r="AB139" s="13">
        <f>HAVERQ!BB145</f>
        <v>227048</v>
      </c>
      <c r="AC139" s="13">
        <f>HAVERQ!W145</f>
        <v>70899</v>
      </c>
      <c r="AD139" s="13">
        <f>HAVERQ!X145</f>
        <v>19437</v>
      </c>
      <c r="AE139" s="13">
        <f>HAVERQ!AD145</f>
        <v>6460</v>
      </c>
      <c r="AF139" s="13">
        <f>HAVERQ!AE145</f>
        <v>17940</v>
      </c>
      <c r="AG139" s="13">
        <f>HAVERQ!AF145</f>
        <v>27022</v>
      </c>
      <c r="AH139" s="13">
        <f>HAVERQ!AG145</f>
        <v>39686</v>
      </c>
      <c r="AI139" s="13">
        <f>HAVERQ!AH145</f>
        <v>35024</v>
      </c>
    </row>
    <row r="140" spans="1:35" x14ac:dyDescent="0.35">
      <c r="A140" t="s">
        <v>305</v>
      </c>
      <c r="B140" t="str">
        <f t="shared" si="27"/>
        <v>2023</v>
      </c>
      <c r="C140" t="str">
        <f t="shared" si="28"/>
        <v>Q4</v>
      </c>
      <c r="D140" s="13">
        <f>HAVERQ!AL146</f>
        <v>412819</v>
      </c>
      <c r="E140" s="13">
        <f>HAVERQ!AM146</f>
        <v>14191</v>
      </c>
      <c r="F140" s="13">
        <f>HAVERQ!AN146</f>
        <v>145872</v>
      </c>
      <c r="G140" s="13">
        <f>HAVERQ!AO146</f>
        <v>129341</v>
      </c>
      <c r="H140" s="13">
        <f>HAVERQ!AP146</f>
        <v>2665</v>
      </c>
      <c r="I140" s="13">
        <f>HAVERQ!AQ146</f>
        <v>-2207</v>
      </c>
      <c r="J140" s="13">
        <f>HAVERQ!AR146</f>
        <v>214147</v>
      </c>
      <c r="K140" s="13">
        <f>HAVERQ!AS146</f>
        <v>226458</v>
      </c>
      <c r="L140" s="13">
        <f>HAVERQ!U146</f>
        <v>72935</v>
      </c>
      <c r="M140" s="13">
        <f>HAVERQ!V146</f>
        <v>22577</v>
      </c>
      <c r="N140" s="13">
        <f>HAVERQ!Y146</f>
        <v>8110</v>
      </c>
      <c r="O140" s="13">
        <f>HAVERQ!Z146</f>
        <v>19460</v>
      </c>
      <c r="P140" s="13">
        <f>HAVERQ!AA146</f>
        <v>26673</v>
      </c>
      <c r="Q140" s="13">
        <f>HAVERQ!AB146</f>
        <v>39993</v>
      </c>
      <c r="R140" s="13">
        <f>HAVERQ!AC146</f>
        <v>35556</v>
      </c>
      <c r="U140" s="13">
        <f>HAVERQ!AU146</f>
        <v>423132</v>
      </c>
      <c r="V140" s="13">
        <f>HAVERQ!AV146</f>
        <v>14191</v>
      </c>
      <c r="W140" s="13">
        <f>HAVERQ!AW146</f>
        <v>145495</v>
      </c>
      <c r="X140" s="13">
        <f>HAVERQ!AX146</f>
        <v>132226</v>
      </c>
      <c r="Y140" s="13">
        <f>HAVERQ!AY146</f>
        <v>-2922</v>
      </c>
      <c r="Z140" s="13">
        <f>HAVERQ!AZ146</f>
        <v>-2228</v>
      </c>
      <c r="AA140" s="13">
        <f>HAVERQ!BA146</f>
        <v>222199</v>
      </c>
      <c r="AB140" s="13">
        <f>HAVERQ!BB146</f>
        <v>227272</v>
      </c>
      <c r="AC140" s="13">
        <f>HAVERQ!W146</f>
        <v>76946</v>
      </c>
      <c r="AD140" s="13">
        <f>HAVERQ!X146</f>
        <v>20839</v>
      </c>
      <c r="AE140" s="13">
        <f>HAVERQ!AD146</f>
        <v>9284</v>
      </c>
      <c r="AF140" s="13">
        <f>HAVERQ!AE146</f>
        <v>20208</v>
      </c>
      <c r="AG140" s="13">
        <f>HAVERQ!AF146</f>
        <v>27157</v>
      </c>
      <c r="AH140" s="13">
        <f>HAVERQ!AG146</f>
        <v>41324</v>
      </c>
      <c r="AI140" s="13">
        <f>HAVERQ!AH146</f>
        <v>35333</v>
      </c>
    </row>
    <row r="141" spans="1:35" x14ac:dyDescent="0.35">
      <c r="A141" t="s">
        <v>306</v>
      </c>
      <c r="B141" t="str">
        <f t="shared" si="27"/>
        <v>2024</v>
      </c>
      <c r="C141" t="str">
        <f t="shared" si="28"/>
        <v>Q1</v>
      </c>
      <c r="D141" s="13">
        <f>HAVERQ!AL147</f>
        <v>419987</v>
      </c>
      <c r="E141" s="13">
        <f>HAVERQ!AM147</f>
        <v>13768</v>
      </c>
      <c r="F141" s="13">
        <f>HAVERQ!AN147</f>
        <v>146207</v>
      </c>
      <c r="G141" s="13">
        <f>HAVERQ!AO147</f>
        <v>131842</v>
      </c>
      <c r="H141" s="13">
        <f>HAVERQ!AP147</f>
        <v>1085</v>
      </c>
      <c r="I141" s="13">
        <f>HAVERQ!AQ147</f>
        <v>-2366</v>
      </c>
      <c r="J141" s="13">
        <f>HAVERQ!AR147</f>
        <v>217971</v>
      </c>
      <c r="K141" s="13">
        <f>HAVERQ!AS147</f>
        <v>222287</v>
      </c>
      <c r="L141" s="13">
        <f>HAVERQ!U147</f>
        <v>72967</v>
      </c>
      <c r="M141" s="13">
        <f>HAVERQ!V147</f>
        <v>23401</v>
      </c>
      <c r="N141" s="13">
        <f>HAVERQ!Y147</f>
        <v>7517</v>
      </c>
      <c r="O141" s="13">
        <f>HAVERQ!Z147</f>
        <v>18986</v>
      </c>
      <c r="P141" s="13">
        <f>HAVERQ!AA147</f>
        <v>27542</v>
      </c>
      <c r="Q141" s="13">
        <f>HAVERQ!AB147</f>
        <v>43087</v>
      </c>
      <c r="R141" s="13">
        <f>HAVERQ!AC147</f>
        <v>34522</v>
      </c>
      <c r="U141" s="13">
        <f>HAVERQ!AU147</f>
        <v>404962</v>
      </c>
      <c r="V141" s="13">
        <f>HAVERQ!AV147</f>
        <v>13768</v>
      </c>
      <c r="W141" s="13">
        <f>HAVERQ!AW147</f>
        <v>147563</v>
      </c>
      <c r="X141" s="13">
        <f>HAVERQ!AX147</f>
        <v>139355</v>
      </c>
      <c r="Y141" s="13">
        <f>HAVERQ!AY147</f>
        <v>3250</v>
      </c>
      <c r="Z141" s="13">
        <f>HAVERQ!AZ147</f>
        <v>-2590</v>
      </c>
      <c r="AA141" s="13">
        <f>HAVERQ!BA147</f>
        <v>212598</v>
      </c>
      <c r="AB141" s="13">
        <f>HAVERQ!BB147</f>
        <v>214502</v>
      </c>
      <c r="AC141" s="13">
        <f>HAVERQ!W147</f>
        <v>71973</v>
      </c>
      <c r="AD141" s="13">
        <f>HAVERQ!X147</f>
        <v>32342</v>
      </c>
      <c r="AE141" s="13">
        <f>HAVERQ!AD147</f>
        <v>6941</v>
      </c>
      <c r="AF141" s="13">
        <f>HAVERQ!AE147</f>
        <v>20958</v>
      </c>
      <c r="AG141" s="13">
        <f>HAVERQ!AF147</f>
        <v>26998</v>
      </c>
      <c r="AH141" s="13">
        <f>HAVERQ!AG147</f>
        <v>47356</v>
      </c>
      <c r="AI141" s="13">
        <f>HAVERQ!AH147</f>
        <v>36079</v>
      </c>
    </row>
    <row r="142" spans="1:35" x14ac:dyDescent="0.35">
      <c r="A142" t="s">
        <v>307</v>
      </c>
      <c r="B142" t="str">
        <f t="shared" si="27"/>
        <v>2024</v>
      </c>
      <c r="C142" t="str">
        <f t="shared" si="28"/>
        <v>Q2</v>
      </c>
      <c r="D142" s="13">
        <f>HAVERQ!AL148</f>
        <v>421868</v>
      </c>
      <c r="E142" s="13">
        <f>HAVERQ!AM148</f>
        <v>13991</v>
      </c>
      <c r="F142" s="13">
        <f>HAVERQ!AN148</f>
        <v>149468</v>
      </c>
      <c r="G142" s="13">
        <f>HAVERQ!AO148</f>
        <v>133318</v>
      </c>
      <c r="H142" s="13">
        <f>HAVERQ!AP148</f>
        <v>4090</v>
      </c>
      <c r="I142" s="13">
        <f>HAVERQ!AQ148</f>
        <v>6953</v>
      </c>
      <c r="J142" s="13">
        <f>HAVERQ!AR148</f>
        <v>225252</v>
      </c>
      <c r="K142" s="13">
        <f>HAVERQ!AS148</f>
        <v>236382</v>
      </c>
      <c r="L142" s="13">
        <f>HAVERQ!U148</f>
        <v>74272</v>
      </c>
      <c r="M142" s="13">
        <f>HAVERQ!V148</f>
        <v>21785</v>
      </c>
      <c r="N142" s="13">
        <f>HAVERQ!Y148</f>
        <v>8738</v>
      </c>
      <c r="O142" s="13">
        <f>HAVERQ!Z148</f>
        <v>18722</v>
      </c>
      <c r="P142" s="13">
        <f>HAVERQ!AA148</f>
        <v>27195</v>
      </c>
      <c r="Q142" s="13">
        <f>HAVERQ!AB148</f>
        <v>40622</v>
      </c>
      <c r="R142" s="13">
        <f>HAVERQ!AC148</f>
        <v>35704</v>
      </c>
      <c r="U142" s="13">
        <f>HAVERQ!AU148</f>
        <v>421117</v>
      </c>
      <c r="V142" s="13">
        <f>HAVERQ!AV148</f>
        <v>13991</v>
      </c>
      <c r="W142" s="13">
        <f>HAVERQ!AW148</f>
        <v>148963</v>
      </c>
      <c r="X142" s="13">
        <f>HAVERQ!AX148</f>
        <v>128585</v>
      </c>
      <c r="Y142" s="13">
        <f>HAVERQ!AY148</f>
        <v>-1501</v>
      </c>
      <c r="Z142" s="13">
        <f>HAVERQ!AZ148</f>
        <v>6923</v>
      </c>
      <c r="AA142" s="13">
        <f>HAVERQ!BA148</f>
        <v>224354</v>
      </c>
      <c r="AB142" s="13">
        <f>HAVERQ!BB148</f>
        <v>236052</v>
      </c>
      <c r="AC142" s="13">
        <f>HAVERQ!W148</f>
        <v>74260</v>
      </c>
      <c r="AD142" s="13">
        <f>HAVERQ!X148</f>
        <v>17546</v>
      </c>
      <c r="AE142" s="13">
        <f>HAVERQ!AD148</f>
        <v>8681</v>
      </c>
      <c r="AF142" s="13">
        <f>HAVERQ!AE148</f>
        <v>16955</v>
      </c>
      <c r="AG142" s="13">
        <f>HAVERQ!AF148</f>
        <v>27248</v>
      </c>
      <c r="AH142" s="13">
        <f>HAVERQ!AG148</f>
        <v>38744</v>
      </c>
      <c r="AI142" s="13">
        <f>HAVERQ!AH148</f>
        <v>34894</v>
      </c>
    </row>
    <row r="143" spans="1:35" x14ac:dyDescent="0.35">
      <c r="A143" t="s">
        <v>308</v>
      </c>
      <c r="B143" t="str">
        <f t="shared" si="27"/>
        <v>2024</v>
      </c>
      <c r="C143" t="str">
        <f t="shared" si="28"/>
        <v>Q3</v>
      </c>
      <c r="D143" s="13">
        <f>HAVERQ!AL149</f>
        <v>426781</v>
      </c>
      <c r="E143" s="13">
        <f>HAVERQ!AM149</f>
        <v>14313</v>
      </c>
      <c r="F143" s="13">
        <f>HAVERQ!AN149</f>
        <v>151571</v>
      </c>
      <c r="G143" s="13">
        <f>HAVERQ!AO149</f>
        <v>137378</v>
      </c>
      <c r="H143" s="13">
        <f>HAVERQ!AP149</f>
        <v>636</v>
      </c>
      <c r="I143" s="13">
        <f>HAVERQ!AQ149</f>
        <v>-1189</v>
      </c>
      <c r="J143" s="13">
        <f>HAVERQ!AR149</f>
        <v>227079</v>
      </c>
      <c r="K143" s="13">
        <f>HAVERQ!AS149</f>
        <v>225808</v>
      </c>
      <c r="L143" s="13">
        <f>HAVERQ!U149</f>
        <v>75944</v>
      </c>
      <c r="M143" s="13">
        <f>HAVERQ!V149</f>
        <v>23515</v>
      </c>
      <c r="N143" s="13">
        <f>HAVERQ!Y149</f>
        <v>7553</v>
      </c>
      <c r="O143" s="13">
        <f>HAVERQ!Z149</f>
        <v>19173</v>
      </c>
      <c r="P143" s="13">
        <f>HAVERQ!AA149</f>
        <v>26775</v>
      </c>
      <c r="Q143" s="13">
        <f>HAVERQ!AB149</f>
        <v>43771</v>
      </c>
      <c r="R143" s="13">
        <f>HAVERQ!AC149</f>
        <v>36098</v>
      </c>
      <c r="U143" s="13">
        <f>HAVERQ!AU149</f>
        <v>433079</v>
      </c>
      <c r="V143" s="13">
        <f>HAVERQ!AV149</f>
        <v>14313</v>
      </c>
      <c r="W143" s="13">
        <f>HAVERQ!AW149</f>
        <v>151019</v>
      </c>
      <c r="X143" s="13">
        <f>HAVERQ!AX149</f>
        <v>133500</v>
      </c>
      <c r="Y143" s="13">
        <f>HAVERQ!AY149</f>
        <v>7713</v>
      </c>
      <c r="Z143" s="13">
        <f>HAVERQ!AZ149</f>
        <v>-900</v>
      </c>
      <c r="AA143" s="13">
        <f>HAVERQ!BA149</f>
        <v>225575</v>
      </c>
      <c r="AB143" s="13">
        <f>HAVERQ!BB149</f>
        <v>229644</v>
      </c>
      <c r="AC143" s="13">
        <f>HAVERQ!W149</f>
        <v>74201</v>
      </c>
      <c r="AD143" s="13">
        <f>HAVERQ!X149</f>
        <v>20581</v>
      </c>
      <c r="AE143" s="13">
        <f>HAVERQ!AD149</f>
        <v>6760</v>
      </c>
      <c r="AF143" s="13">
        <f>HAVERQ!AE149</f>
        <v>18449</v>
      </c>
      <c r="AG143" s="13">
        <f>HAVERQ!AF149</f>
        <v>26999</v>
      </c>
      <c r="AH143" s="13">
        <f>HAVERQ!AG149</f>
        <v>41657</v>
      </c>
      <c r="AI143" s="13">
        <f>HAVERQ!AH149</f>
        <v>35548</v>
      </c>
    </row>
    <row r="144" spans="1:35" x14ac:dyDescent="0.35">
      <c r="A144" t="s">
        <v>309</v>
      </c>
      <c r="B144" t="str">
        <f t="shared" si="27"/>
        <v>2024</v>
      </c>
      <c r="C144" t="str">
        <f t="shared" si="28"/>
        <v>Q4</v>
      </c>
      <c r="D144" s="13">
        <f>HAVERQ!AL150</f>
        <v>431495</v>
      </c>
      <c r="E144" s="13">
        <f>HAVERQ!AM150</f>
        <v>14756</v>
      </c>
      <c r="F144" s="13">
        <f>HAVERQ!AN150</f>
        <v>157170</v>
      </c>
      <c r="G144" s="13">
        <f>HAVERQ!AO150</f>
        <v>137254</v>
      </c>
      <c r="H144" s="13">
        <f>HAVERQ!AP150</f>
        <v>2118</v>
      </c>
      <c r="I144" s="13">
        <f>HAVERQ!AQ150</f>
        <v>3119</v>
      </c>
      <c r="J144" s="13">
        <f>HAVERQ!AR150</f>
        <v>227669</v>
      </c>
      <c r="K144" s="13">
        <f>HAVERQ!AS150</f>
        <v>234508</v>
      </c>
      <c r="L144" s="13">
        <f>HAVERQ!U150</f>
        <v>75108</v>
      </c>
      <c r="M144" s="13">
        <f>HAVERQ!V150</f>
        <v>23225</v>
      </c>
      <c r="N144" s="13">
        <f>HAVERQ!Y150</f>
        <v>7346</v>
      </c>
      <c r="O144" s="13">
        <f>HAVERQ!Z150</f>
        <v>18840</v>
      </c>
      <c r="P144" s="13">
        <f>HAVERQ!AA150</f>
        <v>27159</v>
      </c>
      <c r="Q144" s="13">
        <f>HAVERQ!AB150</f>
        <v>43839</v>
      </c>
      <c r="R144" s="13">
        <f>HAVERQ!AC150</f>
        <v>36088</v>
      </c>
      <c r="U144" s="13">
        <f>HAVERQ!AU150</f>
        <v>440973</v>
      </c>
      <c r="V144" s="13">
        <f>HAVERQ!AV150</f>
        <v>14756</v>
      </c>
      <c r="W144" s="13">
        <f>HAVERQ!AW150</f>
        <v>156871</v>
      </c>
      <c r="X144" s="13">
        <f>HAVERQ!AX150</f>
        <v>138352</v>
      </c>
      <c r="Y144" s="13">
        <f>HAVERQ!AY150</f>
        <v>-1533</v>
      </c>
      <c r="Z144" s="13">
        <f>HAVERQ!AZ150</f>
        <v>3084</v>
      </c>
      <c r="AA144" s="13">
        <f>HAVERQ!BA150</f>
        <v>235444</v>
      </c>
      <c r="AB144" s="13">
        <f>HAVERQ!BB150</f>
        <v>238787</v>
      </c>
      <c r="AC144" s="13">
        <f>HAVERQ!W150</f>
        <v>77859</v>
      </c>
      <c r="AD144" s="13">
        <f>HAVERQ!X150</f>
        <v>21456</v>
      </c>
      <c r="AE144" s="13">
        <f>HAVERQ!AD150</f>
        <v>8772</v>
      </c>
      <c r="AF144" s="13">
        <f>HAVERQ!AE150</f>
        <v>19357</v>
      </c>
      <c r="AG144" s="13">
        <f>HAVERQ!AF150</f>
        <v>27426</v>
      </c>
      <c r="AH144" s="13">
        <f>HAVERQ!AG150</f>
        <v>43562</v>
      </c>
      <c r="AI144" s="13">
        <f>HAVERQ!AH150</f>
        <v>35892</v>
      </c>
    </row>
    <row r="145" spans="1:35" x14ac:dyDescent="0.35">
      <c r="A145" t="s">
        <v>310</v>
      </c>
      <c r="B145" t="str">
        <f t="shared" si="27"/>
        <v>2025</v>
      </c>
      <c r="C145" t="str">
        <f t="shared" si="28"/>
        <v>Q1</v>
      </c>
      <c r="D145" s="13">
        <f>HAVERQ!AL151</f>
        <v>438772</v>
      </c>
      <c r="E145" s="13">
        <f>HAVERQ!AM151</f>
        <v>14879</v>
      </c>
      <c r="F145" s="13">
        <f>HAVERQ!AN151</f>
        <v>157238</v>
      </c>
      <c r="G145" s="13">
        <f>HAVERQ!AO151</f>
        <v>141592</v>
      </c>
      <c r="H145" s="13">
        <f>HAVERQ!AP151</f>
        <v>112</v>
      </c>
      <c r="I145" s="13">
        <f>HAVERQ!AQ151</f>
        <v>5542</v>
      </c>
      <c r="J145" s="13">
        <f>HAVERQ!AR151</f>
        <v>233284</v>
      </c>
      <c r="K145" s="13">
        <f>HAVERQ!AS151</f>
        <v>242705</v>
      </c>
      <c r="L145" s="13">
        <f>HAVERQ!U151</f>
        <v>78377</v>
      </c>
      <c r="M145" s="13">
        <f>HAVERQ!V151</f>
        <v>23664</v>
      </c>
      <c r="N145" s="13">
        <f>HAVERQ!Y151</f>
        <v>7423</v>
      </c>
      <c r="O145" s="13">
        <f>HAVERQ!Z151</f>
        <v>20347</v>
      </c>
      <c r="P145" s="13">
        <f>HAVERQ!AA151</f>
        <v>27234</v>
      </c>
      <c r="Q145" s="13">
        <f>HAVERQ!AB151</f>
        <v>45940</v>
      </c>
      <c r="R145" s="13">
        <f>HAVERQ!AC151</f>
        <v>36416</v>
      </c>
      <c r="U145" s="13">
        <f>HAVERQ!AU151</f>
        <v>422856</v>
      </c>
      <c r="V145" s="13">
        <f>HAVERQ!AV151</f>
        <v>14879</v>
      </c>
      <c r="W145" s="13">
        <f>HAVERQ!AW151</f>
        <v>158539</v>
      </c>
      <c r="X145" s="13">
        <f>HAVERQ!AX151</f>
        <v>149312</v>
      </c>
      <c r="Y145" s="13">
        <f>HAVERQ!AY151</f>
        <v>5472</v>
      </c>
      <c r="Z145" s="13">
        <f>HAVERQ!AZ151</f>
        <v>5318</v>
      </c>
      <c r="AA145" s="13">
        <f>HAVERQ!BA151</f>
        <v>227349</v>
      </c>
      <c r="AB145" s="13">
        <f>HAVERQ!BB151</f>
        <v>234496</v>
      </c>
      <c r="AC145" s="13">
        <f>HAVERQ!W151</f>
        <v>77492</v>
      </c>
      <c r="AD145" s="13">
        <f>HAVERQ!X151</f>
        <v>33139</v>
      </c>
      <c r="AE145" s="13">
        <f>HAVERQ!AD151</f>
        <v>6686</v>
      </c>
      <c r="AF145" s="13">
        <f>HAVERQ!AE151</f>
        <v>22542</v>
      </c>
      <c r="AG145" s="13">
        <f>HAVERQ!AF151</f>
        <v>26719</v>
      </c>
      <c r="AH145" s="13">
        <f>HAVERQ!AG151</f>
        <v>50685</v>
      </c>
      <c r="AI145" s="13">
        <f>HAVERQ!AH151</f>
        <v>38041</v>
      </c>
    </row>
    <row r="146" spans="1:35" x14ac:dyDescent="0.35">
      <c r="A146" t="s">
        <v>311</v>
      </c>
      <c r="B146" t="str">
        <f t="shared" si="27"/>
        <v>2025</v>
      </c>
      <c r="C146" t="str">
        <f t="shared" si="28"/>
        <v>Q2</v>
      </c>
      <c r="D146" s="13">
        <f>HAVERQ!AL152</f>
        <v>442953</v>
      </c>
      <c r="E146" s="13">
        <f>HAVERQ!AM152</f>
        <v>14965</v>
      </c>
      <c r="F146" s="13">
        <f>HAVERQ!AN152</f>
        <v>160972</v>
      </c>
      <c r="G146" s="13">
        <f>HAVERQ!AO152</f>
        <v>142243</v>
      </c>
      <c r="H146" s="13">
        <f>HAVERQ!AP152</f>
        <v>2052</v>
      </c>
      <c r="I146" s="13">
        <f>HAVERQ!AQ152</f>
        <v>6383</v>
      </c>
      <c r="J146" s="13">
        <f>HAVERQ!AR152</f>
        <v>229211</v>
      </c>
      <c r="K146" s="13">
        <f>HAVERQ!AS152</f>
        <v>240200</v>
      </c>
      <c r="L146" s="13">
        <f>HAVERQ!U152</f>
        <v>77684</v>
      </c>
      <c r="M146" s="13">
        <f>HAVERQ!V152</f>
        <v>23696</v>
      </c>
      <c r="N146" s="13">
        <f>HAVERQ!Y152</f>
        <v>6512</v>
      </c>
      <c r="O146" s="13">
        <f>HAVERQ!Z152</f>
        <v>19401</v>
      </c>
      <c r="P146" s="13">
        <f>HAVERQ!AA152</f>
        <v>27854</v>
      </c>
      <c r="Q146" s="13">
        <f>HAVERQ!AB152</f>
        <v>46684</v>
      </c>
      <c r="R146" s="13">
        <f>HAVERQ!AC152</f>
        <v>36589</v>
      </c>
      <c r="U146" s="13">
        <f>HAVERQ!AU152</f>
        <v>442690</v>
      </c>
      <c r="V146" s="13">
        <f>HAVERQ!AV152</f>
        <v>14965</v>
      </c>
      <c r="W146" s="13">
        <f>HAVERQ!AW152</f>
        <v>160471</v>
      </c>
      <c r="X146" s="13">
        <f>HAVERQ!AX152</f>
        <v>135509</v>
      </c>
      <c r="Y146" s="13">
        <f>HAVERQ!AY152</f>
        <v>-4078</v>
      </c>
      <c r="Z146" s="13">
        <f>HAVERQ!AZ152</f>
        <v>6355</v>
      </c>
      <c r="AA146" s="13">
        <f>HAVERQ!BA152</f>
        <v>228136</v>
      </c>
      <c r="AB146" s="13">
        <f>HAVERQ!BB152</f>
        <v>239634</v>
      </c>
      <c r="AC146" s="13">
        <f>HAVERQ!W152</f>
        <v>76370</v>
      </c>
      <c r="AD146" s="13">
        <f>HAVERQ!X152</f>
        <v>18765</v>
      </c>
      <c r="AE146" s="13">
        <f>HAVERQ!AD152</f>
        <v>6577</v>
      </c>
      <c r="AF146" s="13">
        <f>HAVERQ!AE152</f>
        <v>17536</v>
      </c>
      <c r="AG146" s="13">
        <f>HAVERQ!AF152</f>
        <v>27932</v>
      </c>
      <c r="AH146" s="13">
        <f>HAVERQ!AG152</f>
        <v>42612</v>
      </c>
      <c r="AI146" s="13">
        <f>HAVERQ!AH152</f>
        <v>35877</v>
      </c>
    </row>
    <row r="147" spans="1:35" x14ac:dyDescent="0.35">
      <c r="A147" t="s">
        <v>312</v>
      </c>
      <c r="B147" t="str">
        <f t="shared" si="27"/>
        <v>2025</v>
      </c>
      <c r="C147" t="str">
        <f t="shared" si="28"/>
        <v>Q3</v>
      </c>
      <c r="D147" s="13">
        <f>HAVERQ!AL153</f>
        <v>446644</v>
      </c>
      <c r="E147" s="13">
        <f>HAVERQ!AM153</f>
        <v>15168</v>
      </c>
      <c r="F147" s="13">
        <f>HAVERQ!AN153</f>
        <v>162973</v>
      </c>
      <c r="G147" s="13">
        <f>HAVERQ!AO153</f>
        <v>144272</v>
      </c>
      <c r="H147" s="13">
        <f>HAVERQ!AP153</f>
        <v>-194</v>
      </c>
      <c r="I147" s="13">
        <f>HAVERQ!AQ153</f>
        <v>2304</v>
      </c>
      <c r="J147" s="13">
        <f>HAVERQ!AR153</f>
        <v>233887</v>
      </c>
      <c r="K147" s="13">
        <f>HAVERQ!AS153</f>
        <v>239722</v>
      </c>
      <c r="L147" s="13">
        <f>HAVERQ!U153</f>
        <v>78575</v>
      </c>
      <c r="M147" s="13">
        <f>HAVERQ!V153</f>
        <v>23247</v>
      </c>
      <c r="N147" s="13">
        <f>HAVERQ!Y153</f>
        <v>5951</v>
      </c>
      <c r="O147" s="13">
        <f>HAVERQ!Z153</f>
        <v>20951</v>
      </c>
      <c r="P147" s="13">
        <f>HAVERQ!AA153</f>
        <v>28160</v>
      </c>
      <c r="Q147" s="13">
        <f>HAVERQ!AB153</f>
        <v>46900</v>
      </c>
      <c r="R147" s="13">
        <f>HAVERQ!AC153</f>
        <v>36671</v>
      </c>
      <c r="U147" s="13">
        <f>HAVERQ!AU153</f>
        <v>453444</v>
      </c>
      <c r="V147" s="13">
        <f>HAVERQ!AV153</f>
        <v>15168</v>
      </c>
      <c r="W147" s="13">
        <f>HAVERQ!AW153</f>
        <v>162412</v>
      </c>
      <c r="X147" s="13">
        <f>HAVERQ!AX153</f>
        <v>141520</v>
      </c>
      <c r="Y147" s="13">
        <f>HAVERQ!AY153</f>
        <v>5056</v>
      </c>
      <c r="Z147" s="13">
        <f>HAVERQ!AZ153</f>
        <v>2598</v>
      </c>
      <c r="AA147" s="13">
        <f>HAVERQ!BA153</f>
        <v>232931</v>
      </c>
      <c r="AB147" s="13">
        <f>HAVERQ!BB153</f>
        <v>244786</v>
      </c>
      <c r="AC147" s="13">
        <f>HAVERQ!W153</f>
        <v>78049</v>
      </c>
      <c r="AD147" s="13">
        <f>HAVERQ!X153</f>
        <v>20353</v>
      </c>
      <c r="AE147" s="13">
        <f>HAVERQ!AD153</f>
        <v>5428</v>
      </c>
      <c r="AF147" s="13">
        <f>HAVERQ!AE153</f>
        <v>20115</v>
      </c>
      <c r="AG147" s="13">
        <f>HAVERQ!AF153</f>
        <v>28370</v>
      </c>
      <c r="AH147" s="13">
        <f>HAVERQ!AG153</f>
        <v>45890</v>
      </c>
      <c r="AI147" s="13">
        <f>HAVERQ!AH153</f>
        <v>36155</v>
      </c>
    </row>
    <row r="148" spans="1:35" x14ac:dyDescent="0.35">
      <c r="A148" t="s">
        <v>313</v>
      </c>
      <c r="B148" t="str">
        <f t="shared" si="27"/>
        <v>2025</v>
      </c>
      <c r="C148" t="str">
        <f t="shared" si="28"/>
        <v>Q4</v>
      </c>
      <c r="D148" s="13">
        <f>HAVERQ!AL154</f>
        <v>448516</v>
      </c>
      <c r="E148" s="13">
        <f>HAVERQ!AM154</f>
        <v>15339</v>
      </c>
      <c r="F148" s="13">
        <f>HAVERQ!AN154</f>
        <v>164036</v>
      </c>
      <c r="G148" s="13">
        <f>HAVERQ!AO154</f>
        <v>145928</v>
      </c>
      <c r="H148" s="13">
        <f>HAVERQ!AP154</f>
        <v>-2015</v>
      </c>
      <c r="I148" s="13">
        <f>HAVERQ!AQ154</f>
        <v>10281</v>
      </c>
      <c r="J148" s="13">
        <f>HAVERQ!AR154</f>
        <v>233723</v>
      </c>
      <c r="K148" s="13">
        <f>HAVERQ!AS154</f>
        <v>245884</v>
      </c>
      <c r="L148" s="13">
        <f>HAVERQ!U154</f>
        <v>76573</v>
      </c>
      <c r="M148" s="13">
        <f>HAVERQ!V154</f>
        <v>25855</v>
      </c>
      <c r="N148" s="13">
        <f>HAVERQ!Y154</f>
        <v>4867</v>
      </c>
      <c r="O148" s="13">
        <f>HAVERQ!Z154</f>
        <v>20288</v>
      </c>
      <c r="P148" s="13">
        <f>HAVERQ!AA154</f>
        <v>27560</v>
      </c>
      <c r="Q148" s="13">
        <f>HAVERQ!AB154</f>
        <v>47128</v>
      </c>
      <c r="R148" s="13">
        <f>HAVERQ!AC154</f>
        <v>39005</v>
      </c>
      <c r="U148" s="13">
        <f>HAVERQ!AU154</f>
        <v>457895</v>
      </c>
      <c r="V148" s="13">
        <f>HAVERQ!AV154</f>
        <v>15339</v>
      </c>
      <c r="W148" s="13">
        <f>HAVERQ!AW154</f>
        <v>163797</v>
      </c>
      <c r="X148" s="13">
        <f>HAVERQ!AX154</f>
        <v>147694</v>
      </c>
      <c r="Y148" s="13">
        <f>HAVERQ!AY154</f>
        <v>-6495</v>
      </c>
      <c r="Z148" s="13">
        <f>HAVERQ!AZ154</f>
        <v>10239</v>
      </c>
      <c r="AA148" s="13">
        <f>HAVERQ!BA154</f>
        <v>241689</v>
      </c>
      <c r="AB148" s="13">
        <f>HAVERQ!BB154</f>
        <v>249595</v>
      </c>
      <c r="AC148" s="13">
        <f>HAVERQ!W154</f>
        <v>79298</v>
      </c>
      <c r="AD148" s="13">
        <f>HAVERQ!X154</f>
        <v>24206</v>
      </c>
      <c r="AE148" s="13">
        <f>HAVERQ!AD154</f>
        <v>6063</v>
      </c>
      <c r="AF148" s="13">
        <f>HAVERQ!AE154</f>
        <v>20794</v>
      </c>
      <c r="AG148" s="13">
        <f>HAVERQ!AF154</f>
        <v>27785</v>
      </c>
      <c r="AH148" s="13">
        <f>HAVERQ!AG154</f>
        <v>47464</v>
      </c>
      <c r="AI148" s="13">
        <f>HAVERQ!AH154</f>
        <v>38607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18A75-0046-4475-AB15-930E09FE8D3D}">
  <sheetPr>
    <tabColor rgb="FFC00000"/>
  </sheetPr>
  <dimension ref="A3:K21"/>
  <sheetViews>
    <sheetView workbookViewId="0">
      <selection activeCell="F20" sqref="F20"/>
    </sheetView>
  </sheetViews>
  <sheetFormatPr defaultRowHeight="14.5" x14ac:dyDescent="0.35"/>
  <cols>
    <col min="1" max="1" width="20.26953125" customWidth="1"/>
  </cols>
  <sheetData>
    <row r="3" spans="1:4" x14ac:dyDescent="0.35">
      <c r="B3" t="s">
        <v>696</v>
      </c>
    </row>
    <row r="4" spans="1:4" x14ac:dyDescent="0.35">
      <c r="A4" s="18">
        <v>45658</v>
      </c>
      <c r="B4" s="9">
        <v>101.7</v>
      </c>
    </row>
    <row r="5" spans="1:4" x14ac:dyDescent="0.35">
      <c r="A5" s="18">
        <v>45689</v>
      </c>
      <c r="B5" s="9">
        <v>101.9</v>
      </c>
    </row>
    <row r="6" spans="1:4" x14ac:dyDescent="0.35">
      <c r="A6" s="18">
        <v>45717</v>
      </c>
      <c r="B6" s="9">
        <v>102.2</v>
      </c>
    </row>
    <row r="7" spans="1:4" x14ac:dyDescent="0.35">
      <c r="A7" s="18">
        <v>45748</v>
      </c>
      <c r="B7" s="9">
        <v>102.1</v>
      </c>
    </row>
    <row r="8" spans="1:4" x14ac:dyDescent="0.35">
      <c r="A8" s="18">
        <v>45778</v>
      </c>
      <c r="B8" s="9">
        <v>101.9</v>
      </c>
    </row>
    <row r="9" spans="1:4" x14ac:dyDescent="0.35">
      <c r="A9" s="18">
        <v>45809</v>
      </c>
      <c r="B9" s="9">
        <v>102.4</v>
      </c>
      <c r="D9" s="9">
        <f>((AVERAGE(B7:B9)/AVERAGE(B4:B6))-1)*100</f>
        <v>0.19620667102679956</v>
      </c>
    </row>
    <row r="10" spans="1:4" x14ac:dyDescent="0.35">
      <c r="A10" s="18">
        <v>45839</v>
      </c>
      <c r="B10" s="9">
        <v>102.3</v>
      </c>
    </row>
    <row r="11" spans="1:4" x14ac:dyDescent="0.35">
      <c r="A11" s="18">
        <v>45870</v>
      </c>
      <c r="B11" s="9">
        <v>102.1</v>
      </c>
    </row>
    <row r="12" spans="1:4" x14ac:dyDescent="0.35">
      <c r="A12" s="18">
        <v>45901</v>
      </c>
      <c r="B12" s="9">
        <v>102.1</v>
      </c>
      <c r="D12" s="9">
        <f>((AVERAGE(B10:B12)/AVERAGE(B7:B9))-1)*100</f>
        <v>3.263707571803387E-2</v>
      </c>
    </row>
    <row r="13" spans="1:4" x14ac:dyDescent="0.35">
      <c r="A13" s="18">
        <v>45931</v>
      </c>
      <c r="B13" s="9">
        <v>102</v>
      </c>
    </row>
    <row r="14" spans="1:4" x14ac:dyDescent="0.35">
      <c r="A14" s="18">
        <v>45962</v>
      </c>
      <c r="B14" s="9">
        <v>102.2</v>
      </c>
    </row>
    <row r="15" spans="1:4" x14ac:dyDescent="0.35">
      <c r="A15" s="18">
        <v>45992</v>
      </c>
      <c r="B15" s="9">
        <v>102.3</v>
      </c>
      <c r="D15" s="9">
        <f>((AVERAGE(B13:B15)/AVERAGE(B10:B12))-1)*100</f>
        <v>0</v>
      </c>
    </row>
    <row r="16" spans="1:4" x14ac:dyDescent="0.35">
      <c r="A16" s="18">
        <v>46023</v>
      </c>
      <c r="B16" s="9">
        <v>102.5</v>
      </c>
    </row>
    <row r="17" spans="1:11" x14ac:dyDescent="0.35">
      <c r="A17" s="18">
        <v>46054</v>
      </c>
      <c r="B17" s="9">
        <v>103</v>
      </c>
    </row>
    <row r="18" spans="1:11" x14ac:dyDescent="0.35">
      <c r="D18" s="9">
        <f>((AVERAGE(B16:B17,B18)/AVERAGE(B13:B15))-1)*100</f>
        <v>0.57096247960848334</v>
      </c>
    </row>
    <row r="19" spans="1:11" x14ac:dyDescent="0.35">
      <c r="A19" t="s">
        <v>697</v>
      </c>
      <c r="B19" s="9">
        <f>B17*0.997</f>
        <v>102.691</v>
      </c>
      <c r="D19" s="9">
        <f>((AVERAGE(B16:B17,B19)/AVERAGE(B13:B15))-1)*100</f>
        <v>0.55171288743882663</v>
      </c>
      <c r="H19">
        <v>100</v>
      </c>
      <c r="J19">
        <v>0.3</v>
      </c>
      <c r="K19">
        <f>J19/100</f>
        <v>3.0000000000000001E-3</v>
      </c>
    </row>
    <row r="20" spans="1:11" x14ac:dyDescent="0.35">
      <c r="A20" t="s">
        <v>698</v>
      </c>
      <c r="B20" s="9">
        <f>B17*0.994</f>
        <v>102.38200000000001</v>
      </c>
      <c r="D20" s="9">
        <f>((AVERAGE(B16:B17,B20)/AVERAGE(B13:B15))-1)*100</f>
        <v>0.45089722675366595</v>
      </c>
    </row>
    <row r="21" spans="1:11" x14ac:dyDescent="0.35">
      <c r="A21" t="s">
        <v>699</v>
      </c>
      <c r="B21" s="9">
        <f>B17*0.988</f>
        <v>101.764</v>
      </c>
      <c r="D21" s="9">
        <f>((AVERAGE(B16:B17,B21)/AVERAGE(B13:B15))-1)*100</f>
        <v>0.24926590538336679</v>
      </c>
      <c r="J21">
        <f>1-K19</f>
        <v>0.997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A4D2D-F53A-45AE-87FE-CCAB6E040026}">
  <dimension ref="A1:N20"/>
  <sheetViews>
    <sheetView zoomScaleNormal="100" workbookViewId="0">
      <selection activeCell="Q13" sqref="Q13"/>
    </sheetView>
  </sheetViews>
  <sheetFormatPr defaultRowHeight="14.5" x14ac:dyDescent="0.35"/>
  <cols>
    <col min="7" max="8" width="2.54296875" customWidth="1"/>
  </cols>
  <sheetData>
    <row r="1" spans="1:14" x14ac:dyDescent="0.35">
      <c r="A1" s="7" t="s">
        <v>693</v>
      </c>
      <c r="I1" t="s">
        <v>695</v>
      </c>
    </row>
    <row r="4" spans="1:14" x14ac:dyDescent="0.35">
      <c r="A4" t="s">
        <v>336</v>
      </c>
      <c r="B4" t="s">
        <v>343</v>
      </c>
      <c r="C4" t="s">
        <v>344</v>
      </c>
      <c r="D4" t="s">
        <v>345</v>
      </c>
      <c r="E4" t="s">
        <v>346</v>
      </c>
      <c r="F4" t="s">
        <v>694</v>
      </c>
      <c r="I4" t="s">
        <v>336</v>
      </c>
      <c r="J4" t="s">
        <v>343</v>
      </c>
      <c r="K4" t="s">
        <v>344</v>
      </c>
      <c r="L4" t="s">
        <v>345</v>
      </c>
      <c r="M4" t="s">
        <v>346</v>
      </c>
      <c r="N4" t="s">
        <v>694</v>
      </c>
    </row>
    <row r="5" spans="1:14" x14ac:dyDescent="0.35">
      <c r="A5">
        <v>2010</v>
      </c>
      <c r="B5" s="8">
        <f>'GDP calculations'!I25</f>
        <v>1.0069672465159241</v>
      </c>
      <c r="C5" s="8">
        <f>'GDP calculations'!J25</f>
        <v>1.0239363300176436</v>
      </c>
      <c r="D5" s="8">
        <f>'GDP calculations'!K25</f>
        <v>0.99011909596291992</v>
      </c>
      <c r="E5" s="8">
        <f>'GDP calculations'!L25</f>
        <v>0.98034273757000345</v>
      </c>
      <c r="F5" s="15">
        <f>'GDP calculations'!M25</f>
        <v>1</v>
      </c>
      <c r="I5">
        <v>2010</v>
      </c>
      <c r="J5" s="8">
        <f>'GDP calculations'!P25</f>
        <v>0.99015883181759956</v>
      </c>
      <c r="K5" s="8">
        <f>'GDP calculations'!Q25</f>
        <v>0.9784894894657955</v>
      </c>
      <c r="L5" s="8">
        <f>'GDP calculations'!R25</f>
        <v>1.0179234313943093</v>
      </c>
      <c r="M5" s="8">
        <f>'GDP calculations'!S25</f>
        <v>1.0260242784596272</v>
      </c>
      <c r="N5" s="8">
        <f>'GDP calculations'!T25</f>
        <v>1</v>
      </c>
    </row>
    <row r="6" spans="1:14" x14ac:dyDescent="0.35">
      <c r="A6">
        <v>2011</v>
      </c>
      <c r="B6" s="8">
        <f>'GDP calculations'!I26</f>
        <v>1.0100762983368317</v>
      </c>
      <c r="C6" s="8">
        <f>'GDP calculations'!J26</f>
        <v>1.0197176254623006</v>
      </c>
      <c r="D6" s="8">
        <f>'GDP calculations'!K26</f>
        <v>0.99275008701644651</v>
      </c>
      <c r="E6" s="8">
        <f>'GDP calculations'!L26</f>
        <v>0.97852622295106817</v>
      </c>
      <c r="F6" s="15">
        <f>'GDP calculations'!M26</f>
        <v>1</v>
      </c>
      <c r="I6">
        <v>2011</v>
      </c>
      <c r="J6" s="8">
        <f>'GDP calculations'!P26</f>
        <v>0.99032145846147634</v>
      </c>
      <c r="K6" s="8">
        <f>'GDP calculations'!Q26</f>
        <v>0.97578839861184941</v>
      </c>
      <c r="L6" s="8">
        <f>'GDP calculations'!R26</f>
        <v>1.0062611651620543</v>
      </c>
      <c r="M6" s="8">
        <f>'GDP calculations'!S26</f>
        <v>1.0209506150972361</v>
      </c>
      <c r="N6" s="8">
        <f>'GDP calculations'!T26</f>
        <v>1</v>
      </c>
    </row>
    <row r="7" spans="1:14" x14ac:dyDescent="0.35">
      <c r="A7">
        <v>2012</v>
      </c>
      <c r="B7" s="8">
        <f>'GDP calculations'!I27</f>
        <v>1.008984533089335</v>
      </c>
      <c r="C7" s="8">
        <f>'GDP calculations'!J27</f>
        <v>1.0188730230970531</v>
      </c>
      <c r="D7" s="8">
        <f>'GDP calculations'!K27</f>
        <v>0.99777373036290606</v>
      </c>
      <c r="E7" s="8">
        <f>'GDP calculations'!L27</f>
        <v>0.97565152831796442</v>
      </c>
      <c r="F7" s="15">
        <f>'GDP calculations'!M27</f>
        <v>1</v>
      </c>
      <c r="I7">
        <v>2012</v>
      </c>
      <c r="J7" s="8">
        <f>'GDP calculations'!P27</f>
        <v>0.99164392480778685</v>
      </c>
      <c r="K7" s="8">
        <f>'GDP calculations'!Q27</f>
        <v>0.97718471515886718</v>
      </c>
      <c r="L7" s="8">
        <f>'GDP calculations'!R27</f>
        <v>1.0072646315416769</v>
      </c>
      <c r="M7" s="8">
        <f>'GDP calculations'!S27</f>
        <v>1.0263474828662318</v>
      </c>
      <c r="N7" s="8">
        <f>'GDP calculations'!T27</f>
        <v>1</v>
      </c>
    </row>
    <row r="8" spans="1:14" x14ac:dyDescent="0.35">
      <c r="A8">
        <v>2013</v>
      </c>
      <c r="B8" s="8">
        <f>'GDP calculations'!I28</f>
        <v>1.0111483770146696</v>
      </c>
      <c r="C8" s="8">
        <f>'GDP calculations'!J28</f>
        <v>1.0142085296361498</v>
      </c>
      <c r="D8" s="8">
        <f>'GDP calculations'!K28</f>
        <v>0.99768932440731684</v>
      </c>
      <c r="E8" s="8">
        <f>'GDP calculations'!L28</f>
        <v>0.97817767202062267</v>
      </c>
      <c r="F8" s="15">
        <f>'GDP calculations'!M28</f>
        <v>1</v>
      </c>
      <c r="I8">
        <v>2013</v>
      </c>
      <c r="J8" s="8">
        <f>'GDP calculations'!P28</f>
        <v>0.98397373977289782</v>
      </c>
      <c r="K8" s="8">
        <f>'GDP calculations'!Q28</f>
        <v>0.98020250365142203</v>
      </c>
      <c r="L8" s="8">
        <f>'GDP calculations'!R28</f>
        <v>0.99995710383513536</v>
      </c>
      <c r="M8" s="8">
        <f>'GDP calculations'!S28</f>
        <v>1.0233971037909313</v>
      </c>
      <c r="N8" s="8">
        <f>'GDP calculations'!T28</f>
        <v>1</v>
      </c>
    </row>
    <row r="9" spans="1:14" x14ac:dyDescent="0.35">
      <c r="A9">
        <v>2014</v>
      </c>
      <c r="B9" s="8">
        <f>'GDP calculations'!I29</f>
        <v>1.0062564714849929</v>
      </c>
      <c r="C9" s="8">
        <f>'GDP calculations'!J29</f>
        <v>1.0085093130261809</v>
      </c>
      <c r="D9" s="8">
        <f>'GDP calculations'!K29</f>
        <v>1.0025393156395757</v>
      </c>
      <c r="E9" s="8">
        <f>'GDP calculations'!L29</f>
        <v>0.98338025902984472</v>
      </c>
      <c r="F9" s="15">
        <f>'GDP calculations'!M29</f>
        <v>1</v>
      </c>
      <c r="I9">
        <v>2014</v>
      </c>
      <c r="J9" s="8">
        <f>'GDP calculations'!P29</f>
        <v>0.99126822761068401</v>
      </c>
      <c r="K9" s="8">
        <f>'GDP calculations'!Q29</f>
        <v>0.99115061871698917</v>
      </c>
      <c r="L9" s="8">
        <f>'GDP calculations'!R29</f>
        <v>1.0002382797616729</v>
      </c>
      <c r="M9" s="8">
        <f>'GDP calculations'!S29</f>
        <v>1.0231270908279408</v>
      </c>
      <c r="N9" s="8">
        <f>'GDP calculations'!T29</f>
        <v>1</v>
      </c>
    </row>
    <row r="10" spans="1:14" x14ac:dyDescent="0.35">
      <c r="A10">
        <v>2015</v>
      </c>
      <c r="B10" s="8">
        <f>'GDP calculations'!I30</f>
        <v>1.0118685889236407</v>
      </c>
      <c r="C10" s="8">
        <f>'GDP calculations'!J30</f>
        <v>1.0092489565426863</v>
      </c>
      <c r="D10" s="8">
        <f>'GDP calculations'!K30</f>
        <v>0.99889489730138448</v>
      </c>
      <c r="E10" s="8">
        <f>'GDP calculations'!L30</f>
        <v>0.98083798151451074</v>
      </c>
      <c r="F10" s="15">
        <f>'GDP calculations'!M30</f>
        <v>1</v>
      </c>
      <c r="I10">
        <v>2015</v>
      </c>
      <c r="J10" s="8">
        <f>'GDP calculations'!P30</f>
        <v>0.98778657244968437</v>
      </c>
      <c r="K10" s="8">
        <f>'GDP calculations'!Q30</f>
        <v>0.99003479570473651</v>
      </c>
      <c r="L10" s="8">
        <f>'GDP calculations'!R30</f>
        <v>0.99981423508469269</v>
      </c>
      <c r="M10" s="8">
        <f>'GDP calculations'!S30</f>
        <v>1.0224469995959813</v>
      </c>
      <c r="N10" s="8">
        <f>'GDP calculations'!T30</f>
        <v>1</v>
      </c>
    </row>
    <row r="11" spans="1:14" x14ac:dyDescent="0.35">
      <c r="A11">
        <v>2016</v>
      </c>
      <c r="B11" s="8">
        <f>'GDP calculations'!I31</f>
        <v>1.0111500050145097</v>
      </c>
      <c r="C11" s="8">
        <f>'GDP calculations'!J31</f>
        <v>1.0083283159539853</v>
      </c>
      <c r="D11" s="8">
        <f>'GDP calculations'!K31</f>
        <v>1.0047323422790859</v>
      </c>
      <c r="E11" s="8">
        <f>'GDP calculations'!L31</f>
        <v>0.97686291665707292</v>
      </c>
      <c r="F11" s="15">
        <f>'GDP calculations'!M31</f>
        <v>1</v>
      </c>
      <c r="I11">
        <v>2016</v>
      </c>
      <c r="J11" s="8">
        <f>'GDP calculations'!P31</f>
        <v>0.98643252437563855</v>
      </c>
      <c r="K11" s="8">
        <f>'GDP calculations'!Q31</f>
        <v>0.99090038661569813</v>
      </c>
      <c r="L11" s="8">
        <f>'GDP calculations'!R31</f>
        <v>0.99401356726243761</v>
      </c>
      <c r="M11" s="8">
        <f>'GDP calculations'!S31</f>
        <v>1.0247734107743056</v>
      </c>
      <c r="N11" s="8">
        <f>'GDP calculations'!T31</f>
        <v>1</v>
      </c>
    </row>
    <row r="12" spans="1:14" x14ac:dyDescent="0.35">
      <c r="A12">
        <v>2017</v>
      </c>
      <c r="B12" s="8">
        <f>'GDP calculations'!I32</f>
        <v>1.0119360199091174</v>
      </c>
      <c r="C12" s="8">
        <f>'GDP calculations'!J32</f>
        <v>1.011851238765997</v>
      </c>
      <c r="D12" s="8">
        <f>'GDP calculations'!K32</f>
        <v>1.0018752649330065</v>
      </c>
      <c r="E12" s="8">
        <f>'GDP calculations'!L32</f>
        <v>0.9756714909005616</v>
      </c>
      <c r="F12" s="15">
        <f>'GDP calculations'!M32</f>
        <v>1</v>
      </c>
      <c r="I12">
        <v>2017</v>
      </c>
      <c r="J12" s="8">
        <f>'GDP calculations'!P32</f>
        <v>0.98641081186659629</v>
      </c>
      <c r="K12" s="8">
        <f>'GDP calculations'!Q32</f>
        <v>0.98925182297706993</v>
      </c>
      <c r="L12" s="8">
        <f>'GDP calculations'!R32</f>
        <v>1.0010388695342394</v>
      </c>
      <c r="M12" s="8">
        <f>'GDP calculations'!S32</f>
        <v>1.0338793297191815</v>
      </c>
      <c r="N12" s="8">
        <f>'GDP calculations'!T32</f>
        <v>1</v>
      </c>
    </row>
    <row r="13" spans="1:14" x14ac:dyDescent="0.35">
      <c r="A13">
        <v>2018</v>
      </c>
      <c r="B13" s="8">
        <f>'GDP calculations'!I33</f>
        <v>1.011499962322937</v>
      </c>
      <c r="C13" s="8">
        <f>'GDP calculations'!J33</f>
        <v>1.0120291032138509</v>
      </c>
      <c r="D13" s="8">
        <f>'GDP calculations'!K33</f>
        <v>1.0031067301361924</v>
      </c>
      <c r="E13" s="8">
        <f>'GDP calculations'!L33</f>
        <v>0.97444961669274044</v>
      </c>
      <c r="F13" s="15">
        <f>'GDP calculations'!M33</f>
        <v>1</v>
      </c>
      <c r="I13">
        <v>2018</v>
      </c>
      <c r="J13" s="8">
        <f>'GDP calculations'!P33</f>
        <v>0.98837661504360885</v>
      </c>
      <c r="K13" s="8">
        <f>'GDP calculations'!Q33</f>
        <v>0.98661434855796637</v>
      </c>
      <c r="L13" s="8">
        <f>'GDP calculations'!R33</f>
        <v>0.9960060453243923</v>
      </c>
      <c r="M13" s="8">
        <f>'GDP calculations'!S33</f>
        <v>1.0283803286628088</v>
      </c>
      <c r="N13" s="8">
        <f>'GDP calculations'!T33</f>
        <v>1</v>
      </c>
    </row>
    <row r="14" spans="1:14" x14ac:dyDescent="0.35">
      <c r="A14">
        <v>2019</v>
      </c>
      <c r="B14" s="8">
        <f>'GDP calculations'!I34</f>
        <v>1.0141039102348213</v>
      </c>
      <c r="C14" s="8">
        <f>'GDP calculations'!J34</f>
        <v>1.0060070026384349</v>
      </c>
      <c r="D14" s="8">
        <f>'GDP calculations'!K34</f>
        <v>1.0072568482656268</v>
      </c>
      <c r="E14" s="8">
        <f>'GDP calculations'!L34</f>
        <v>0.97376335029877081</v>
      </c>
      <c r="F14" s="15">
        <f>'GDP calculations'!M34</f>
        <v>1</v>
      </c>
      <c r="I14">
        <v>2019</v>
      </c>
      <c r="J14" s="8">
        <f>'GDP calculations'!P34</f>
        <v>0.98497050603870873</v>
      </c>
      <c r="K14" s="8">
        <f>'GDP calculations'!Q34</f>
        <v>0.99512522244349222</v>
      </c>
      <c r="L14" s="8">
        <f>'GDP calculations'!R34</f>
        <v>1.0297861563949446</v>
      </c>
      <c r="M14" s="8">
        <f>'GDP calculations'!S34</f>
        <v>1.0848045428441295</v>
      </c>
      <c r="N14" s="8">
        <f>'GDP calculations'!T34</f>
        <v>1</v>
      </c>
    </row>
    <row r="15" spans="1:14" x14ac:dyDescent="0.35">
      <c r="A15">
        <v>2020</v>
      </c>
      <c r="B15" s="8">
        <f>'GDP calculations'!I35</f>
        <v>1.0020865920328446</v>
      </c>
      <c r="C15" s="8">
        <f>'GDP calculations'!J35</f>
        <v>1.001727857629134</v>
      </c>
      <c r="D15" s="8">
        <f>'GDP calculations'!K35</f>
        <v>1.0217025588885507</v>
      </c>
      <c r="E15" s="8">
        <f>'GDP calculations'!L35</f>
        <v>0.97598835111186055</v>
      </c>
      <c r="F15" s="15">
        <f>'GDP calculations'!M35</f>
        <v>1</v>
      </c>
      <c r="I15">
        <v>2020</v>
      </c>
      <c r="J15" s="8">
        <f>'GDP calculations'!P35</f>
        <v>1.0302236357279864</v>
      </c>
      <c r="K15" s="8">
        <f>'GDP calculations'!Q35</f>
        <v>0.83424791220042871</v>
      </c>
      <c r="L15" s="8">
        <f>'GDP calculations'!R35</f>
        <v>0.96204260287305665</v>
      </c>
      <c r="M15" s="8">
        <f>'GDP calculations'!S35</f>
        <v>1.027574680124087</v>
      </c>
      <c r="N15" s="8">
        <f>'GDP calculations'!T35</f>
        <v>1</v>
      </c>
    </row>
    <row r="16" spans="1:14" x14ac:dyDescent="0.35">
      <c r="A16">
        <v>2021</v>
      </c>
      <c r="B16" s="8">
        <f>'GDP calculations'!I36</f>
        <v>0.99424547760426218</v>
      </c>
      <c r="C16" s="8">
        <f>'GDP calculations'!J36</f>
        <v>1.0218767685618113</v>
      </c>
      <c r="D16" s="8">
        <f>'GDP calculations'!K36</f>
        <v>1.0093713558782995</v>
      </c>
      <c r="E16" s="8">
        <f>'GDP calculations'!L36</f>
        <v>0.97591694422217534</v>
      </c>
      <c r="F16" s="15">
        <f>'GDP calculations'!M36</f>
        <v>1</v>
      </c>
      <c r="I16">
        <v>2021</v>
      </c>
      <c r="J16" s="8">
        <f>'GDP calculations'!P36</f>
        <v>0.98835438060885794</v>
      </c>
      <c r="K16" s="8">
        <f>'GDP calculations'!Q36</f>
        <v>0.99266227819801878</v>
      </c>
      <c r="L16" s="8">
        <f>'GDP calculations'!R36</f>
        <v>1.0058369912000118</v>
      </c>
      <c r="M16" s="8">
        <f>'GDP calculations'!S36</f>
        <v>1.0416957460834406</v>
      </c>
      <c r="N16" s="8">
        <f>'GDP calculations'!T36</f>
        <v>1</v>
      </c>
    </row>
    <row r="17" spans="1:14" x14ac:dyDescent="0.35">
      <c r="A17">
        <v>2022</v>
      </c>
      <c r="B17" s="8">
        <f>'GDP calculations'!I37</f>
        <v>1.0033930248934535</v>
      </c>
      <c r="C17" s="8">
        <f>'GDP calculations'!J37</f>
        <v>1.0239603147961658</v>
      </c>
      <c r="D17" s="8">
        <f>'GDP calculations'!K37</f>
        <v>0.99323414904244411</v>
      </c>
      <c r="E17" s="8">
        <f>'GDP calculations'!L37</f>
        <v>0.98051544117123723</v>
      </c>
      <c r="F17" s="15">
        <f>'GDP calculations'!M37</f>
        <v>1</v>
      </c>
      <c r="I17">
        <v>2022</v>
      </c>
      <c r="J17" s="8">
        <f>'GDP calculations'!P37</f>
        <v>1.0048008106722759</v>
      </c>
      <c r="K17" s="8">
        <f>'GDP calculations'!Q37</f>
        <v>0.98171967730785226</v>
      </c>
      <c r="L17" s="8">
        <f>'GDP calculations'!R37</f>
        <v>1.0089165399607556</v>
      </c>
      <c r="M17" s="8">
        <f>'GDP calculations'!S37</f>
        <v>1.0255737802015512</v>
      </c>
      <c r="N17" s="8">
        <f>'GDP calculations'!T37</f>
        <v>1</v>
      </c>
    </row>
    <row r="18" spans="1:14" x14ac:dyDescent="0.35">
      <c r="A18">
        <v>2023</v>
      </c>
      <c r="B18" s="8">
        <f>'GDP calculations'!I38</f>
        <v>1.0106845377756921</v>
      </c>
      <c r="C18" s="8">
        <f>'GDP calculations'!J38</f>
        <v>1.0136756107493652</v>
      </c>
      <c r="D18" s="8">
        <f>'GDP calculations'!K38</f>
        <v>0.99962941109790238</v>
      </c>
      <c r="E18" s="8">
        <f>'GDP calculations'!L38</f>
        <v>0.97673232558503964</v>
      </c>
      <c r="F18" s="15">
        <f>'GDP calculations'!M38</f>
        <v>1</v>
      </c>
      <c r="I18">
        <v>2023</v>
      </c>
      <c r="J18" s="8">
        <f>'GDP calculations'!P38</f>
        <v>0.99102841745087311</v>
      </c>
      <c r="K18" s="8">
        <f>'GDP calculations'!Q38</f>
        <v>0.98408885258600831</v>
      </c>
      <c r="L18" s="8">
        <f>'GDP calculations'!R38</f>
        <v>0.99755966780996186</v>
      </c>
      <c r="M18" s="8">
        <f>'GDP calculations'!S38</f>
        <v>1.0186634740966478</v>
      </c>
      <c r="N18" s="8">
        <f>'GDP calculations'!T38</f>
        <v>1</v>
      </c>
    </row>
    <row r="19" spans="1:14" x14ac:dyDescent="0.35">
      <c r="A19">
        <v>2024</v>
      </c>
      <c r="B19" s="8">
        <f>'GDP calculations'!I39</f>
        <v>0.99852007723346936</v>
      </c>
      <c r="C19" s="8">
        <f>'GDP calculations'!J39</f>
        <v>1.0195073946533224</v>
      </c>
      <c r="D19" s="8">
        <f>'GDP calculations'!K39</f>
        <v>0.99854965289123543</v>
      </c>
      <c r="E19" s="8">
        <f>'GDP calculations'!L39</f>
        <v>0.98414182124812943</v>
      </c>
      <c r="F19" s="15">
        <f>'GDP calculations'!M39</f>
        <v>1</v>
      </c>
      <c r="I19">
        <v>2024</v>
      </c>
      <c r="J19" s="8">
        <f>'GDP calculations'!P39</f>
        <v>0.99821872374225051</v>
      </c>
      <c r="K19" s="8">
        <f>'GDP calculations'!Q39</f>
        <v>0.97805732309177806</v>
      </c>
      <c r="L19" s="8">
        <f>'GDP calculations'!R39</f>
        <v>1.0004028772027418</v>
      </c>
      <c r="M19" s="8">
        <f>'GDP calculations'!S39</f>
        <v>1.0177465053367847</v>
      </c>
      <c r="N19" s="8">
        <f>'GDP calculations'!T39</f>
        <v>1</v>
      </c>
    </row>
    <row r="20" spans="1:14" x14ac:dyDescent="0.35">
      <c r="A20">
        <v>2025</v>
      </c>
      <c r="B20" s="8">
        <f>'GDP calculations'!I40</f>
        <v>0.99380965428409207</v>
      </c>
      <c r="C20" s="8">
        <f>'GDP calculations'!J40</f>
        <v>1.02118794416115</v>
      </c>
      <c r="D20" s="8">
        <f>'GDP calculations'!K40</f>
        <v>1.0004167924841256</v>
      </c>
      <c r="E20" s="8">
        <f>'GDP calculations'!L40</f>
        <v>0.98529042377422527</v>
      </c>
      <c r="F20" s="15">
        <f>'GDP calculations'!M40</f>
        <v>1</v>
      </c>
      <c r="I20">
        <v>2025</v>
      </c>
      <c r="J20" s="8">
        <f>'GDP calculations'!P40</f>
        <v>1.0093227005793926</v>
      </c>
      <c r="K20" s="8"/>
      <c r="L20" s="8"/>
      <c r="M20" s="8"/>
      <c r="N20" s="8">
        <f>'GDP calculations'!T40</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11</vt:i4>
      </vt:variant>
      <vt:variant>
        <vt:lpstr>Charts</vt:lpstr>
      </vt:variant>
      <vt:variant>
        <vt:i4>2</vt:i4>
      </vt:variant>
      <vt:variant>
        <vt:lpstr>Named Ranges</vt:lpstr>
      </vt:variant>
      <vt:variant>
        <vt:i4>1</vt:i4>
      </vt:variant>
    </vt:vector>
  </HeadingPairs>
  <TitlesOfParts>
    <vt:vector size="14" baseType="lpstr">
      <vt:lpstr>Data &gt;&gt;</vt:lpstr>
      <vt:lpstr>ONS A2 AGG</vt:lpstr>
      <vt:lpstr>HAVERQ</vt:lpstr>
      <vt:lpstr>Real calculations &gt;&gt;</vt:lpstr>
      <vt:lpstr>GDP calculations</vt:lpstr>
      <vt:lpstr>Component calculations</vt:lpstr>
      <vt:lpstr>Nominal calcs &gt;&gt;</vt:lpstr>
      <vt:lpstr>GDP! calculations</vt:lpstr>
      <vt:lpstr>Nominal component calculations</vt:lpstr>
      <vt:lpstr>Charts &gt;&gt;</vt:lpstr>
      <vt:lpstr>Chart data</vt:lpstr>
      <vt:lpstr>Chart 2 - NSA vs 7Q CMA</vt:lpstr>
      <vt:lpstr>Chart 3 - SA vs NSA GDP</vt:lpstr>
      <vt:lpstr>_DLX1.INC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Allenby</dc:creator>
  <cp:lastModifiedBy>Edward Allenby</cp:lastModifiedBy>
  <dcterms:created xsi:type="dcterms:W3CDTF">2026-04-09T10:04:32Z</dcterms:created>
  <dcterms:modified xsi:type="dcterms:W3CDTF">2026-04-28T14:39:03Z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2026-04-09T10:05:57Z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e2941670-09d5-4fc8-ada2-cc0f77884b9b</vt:lpwstr>
  </property>
  <property fmtid="{D5CDD505-2E9C-101B-9397-08002B2CF9AE}" pid="8" name="MSIP_Label_231f5784-19ed-4d1e-9a93-4ea41014d730_ContentBits">
    <vt:lpwstr>0</vt:lpwstr>
  </property>
  <property fmtid="{D5CDD505-2E9C-101B-9397-08002B2CF9AE}" pid="9" name="MSIP_Label_231f5784-19ed-4d1e-9a93-4ea41014d730_Tag">
    <vt:lpwstr>10, 0, 1, 1</vt:lpwstr>
  </property>
</Properties>
</file>