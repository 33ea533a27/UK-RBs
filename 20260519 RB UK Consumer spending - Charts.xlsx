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7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5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6-05/Consumer spending RB/"/>
    </mc:Choice>
  </mc:AlternateContent>
  <xr:revisionPtr revIDLastSave="1094" documentId="8_{00DF7A22-B3E1-44AC-8480-7884243B8CDB}" xr6:coauthVersionLast="47" xr6:coauthVersionMax="47" xr10:uidLastSave="{031CE81D-D129-4C91-B35D-FDD8EFAD4147}"/>
  <bookViews>
    <workbookView xWindow="13290" yWindow="-16320" windowWidth="29040" windowHeight="15720" tabRatio="851" firstSheet="15" activeTab="18" xr2:uid="{EC6D7C54-5C41-4F42-A6D9-5EBA267D2E1E}"/>
  </bookViews>
  <sheets>
    <sheet name="Charts &gt;&gt;" sheetId="7" r:id="rId1"/>
    <sheet name="Chart 1" sheetId="5" r:id="rId2"/>
    <sheet name="Chart1" sheetId="22" r:id="rId3"/>
    <sheet name="Chart2" sheetId="8" r:id="rId4"/>
    <sheet name="Chart3" sheetId="9" r:id="rId5"/>
    <sheet name="Chart2 (2)" sheetId="10" r:id="rId6"/>
    <sheet name="Chart6" sheetId="12" r:id="rId7"/>
    <sheet name="Data &gt;&gt;" sheetId="6" r:id="rId8"/>
    <sheet name="Chart data" sheetId="3" r:id="rId9"/>
    <sheet name="Apr26 MPR A.1" sheetId="1" r:id="rId10"/>
    <sheet name="Apr26 MPR E.1" sheetId="2" r:id="rId11"/>
    <sheet name="Distributional analysis &gt;&gt;" sheetId="20" r:id="rId12"/>
    <sheet name="Chart7" sheetId="21" r:id="rId13"/>
    <sheet name="CPI by declile" sheetId="19" r:id="rId14"/>
    <sheet name="Family spending workbook 1" sheetId="13" r:id="rId15"/>
    <sheet name="GMWA" sheetId="14" r:id="rId16"/>
    <sheet name="DataA" sheetId="16" r:id="rId17"/>
    <sheet name="HAVERA" sheetId="18" r:id="rId18"/>
    <sheet name="Spending analysis &gt;&gt;" sheetId="25" r:id="rId19"/>
    <sheet name="Total goods" sheetId="26" r:id="rId20"/>
    <sheet name="Durables" sheetId="27" r:id="rId21"/>
    <sheet name="Semi-durables" sheetId="28" r:id="rId22"/>
    <sheet name="Non-durables" sheetId="29" r:id="rId23"/>
    <sheet name="Services" sheetId="30" r:id="rId24"/>
  </sheets>
  <externalReferences>
    <externalReference r:id="rId25"/>
    <externalReference r:id="rId26"/>
  </externalReferences>
  <definedNames>
    <definedName name="_DLX1.INC">HAVERA!$A$1:$D$4</definedName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5" i="25" l="1"/>
  <c r="BS5" i="25"/>
  <c r="BT5" i="25"/>
  <c r="BU5" i="25"/>
  <c r="BV5" i="25"/>
  <c r="BW5" i="25"/>
  <c r="BX5" i="25"/>
  <c r="BY5" i="25"/>
  <c r="BZ5" i="25"/>
  <c r="BR6" i="25"/>
  <c r="BS6" i="25"/>
  <c r="BT6" i="25"/>
  <c r="BU6" i="25"/>
  <c r="BV6" i="25"/>
  <c r="BW6" i="25"/>
  <c r="BX6" i="25"/>
  <c r="BY6" i="25"/>
  <c r="BZ6" i="25"/>
  <c r="BR7" i="25"/>
  <c r="BS7" i="25"/>
  <c r="BT7" i="25"/>
  <c r="BU7" i="25"/>
  <c r="BV7" i="25"/>
  <c r="BW7" i="25"/>
  <c r="BX7" i="25"/>
  <c r="BY7" i="25"/>
  <c r="BZ7" i="25"/>
  <c r="BR8" i="25"/>
  <c r="BS8" i="25"/>
  <c r="BT8" i="25"/>
  <c r="BU8" i="25"/>
  <c r="BV8" i="25"/>
  <c r="BW8" i="25"/>
  <c r="BX8" i="25"/>
  <c r="BY8" i="25"/>
  <c r="BZ8" i="25"/>
  <c r="BR9" i="25"/>
  <c r="BS9" i="25"/>
  <c r="BT9" i="25"/>
  <c r="BU9" i="25"/>
  <c r="BV9" i="25"/>
  <c r="BW9" i="25"/>
  <c r="BX9" i="25"/>
  <c r="BY9" i="25"/>
  <c r="BZ9" i="25"/>
  <c r="BR10" i="25"/>
  <c r="BS10" i="25"/>
  <c r="BT10" i="25"/>
  <c r="BU10" i="25"/>
  <c r="BV10" i="25"/>
  <c r="BW10" i="25"/>
  <c r="BX10" i="25"/>
  <c r="BY10" i="25"/>
  <c r="BZ10" i="25"/>
  <c r="BR11" i="25"/>
  <c r="BS11" i="25"/>
  <c r="BT11" i="25"/>
  <c r="BU11" i="25"/>
  <c r="BV11" i="25"/>
  <c r="BW11" i="25"/>
  <c r="BX11" i="25"/>
  <c r="BY11" i="25"/>
  <c r="BZ11" i="25"/>
  <c r="BR12" i="25"/>
  <c r="BS12" i="25"/>
  <c r="BT12" i="25"/>
  <c r="BU12" i="25"/>
  <c r="BV12" i="25"/>
  <c r="BW12" i="25"/>
  <c r="BX12" i="25"/>
  <c r="BY12" i="25"/>
  <c r="BZ12" i="25"/>
  <c r="BR13" i="25"/>
  <c r="BS13" i="25"/>
  <c r="BT13" i="25"/>
  <c r="BU13" i="25"/>
  <c r="BV13" i="25"/>
  <c r="BW13" i="25"/>
  <c r="BX13" i="25"/>
  <c r="BY13" i="25"/>
  <c r="BZ13" i="25"/>
  <c r="BR14" i="25"/>
  <c r="BS14" i="25"/>
  <c r="BT14" i="25"/>
  <c r="BU14" i="25"/>
  <c r="BV14" i="25"/>
  <c r="BW14" i="25"/>
  <c r="BX14" i="25"/>
  <c r="BY14" i="25"/>
  <c r="BZ14" i="25"/>
  <c r="BR15" i="25"/>
  <c r="BS15" i="25"/>
  <c r="BT15" i="25"/>
  <c r="BU15" i="25"/>
  <c r="BV15" i="25"/>
  <c r="BW15" i="25"/>
  <c r="BX15" i="25"/>
  <c r="BY15" i="25"/>
  <c r="BZ15" i="25"/>
  <c r="BR16" i="25"/>
  <c r="BS16" i="25"/>
  <c r="BT16" i="25"/>
  <c r="BU16" i="25"/>
  <c r="BV16" i="25"/>
  <c r="BW16" i="25"/>
  <c r="BX16" i="25"/>
  <c r="BY16" i="25"/>
  <c r="BZ16" i="25"/>
  <c r="BR17" i="25"/>
  <c r="BS17" i="25"/>
  <c r="BT17" i="25"/>
  <c r="BU17" i="25"/>
  <c r="BV17" i="25"/>
  <c r="BW17" i="25"/>
  <c r="BX17" i="25"/>
  <c r="BY17" i="25"/>
  <c r="BZ17" i="25"/>
  <c r="BR18" i="25"/>
  <c r="BS18" i="25"/>
  <c r="BT18" i="25"/>
  <c r="BU18" i="25"/>
  <c r="BV18" i="25"/>
  <c r="BW18" i="25"/>
  <c r="BX18" i="25"/>
  <c r="BY18" i="25"/>
  <c r="BZ18" i="25"/>
  <c r="BR19" i="25"/>
  <c r="BS19" i="25"/>
  <c r="BT19" i="25"/>
  <c r="BU19" i="25"/>
  <c r="BV19" i="25"/>
  <c r="BW19" i="25"/>
  <c r="BX19" i="25"/>
  <c r="BY19" i="25"/>
  <c r="BZ19" i="25"/>
  <c r="BR20" i="25"/>
  <c r="BS20" i="25"/>
  <c r="BT20" i="25"/>
  <c r="BU20" i="25"/>
  <c r="BV20" i="25"/>
  <c r="BW20" i="25"/>
  <c r="BX20" i="25"/>
  <c r="BY20" i="25"/>
  <c r="BZ20" i="25"/>
  <c r="BR21" i="25"/>
  <c r="BS21" i="25"/>
  <c r="BT21" i="25"/>
  <c r="BU21" i="25"/>
  <c r="BV21" i="25"/>
  <c r="BW21" i="25"/>
  <c r="BX21" i="25"/>
  <c r="BY21" i="25"/>
  <c r="BZ21" i="25"/>
  <c r="BR22" i="25"/>
  <c r="BS22" i="25"/>
  <c r="BT22" i="25"/>
  <c r="BU22" i="25"/>
  <c r="BV22" i="25"/>
  <c r="BW22" i="25"/>
  <c r="BX22" i="25"/>
  <c r="BY22" i="25"/>
  <c r="BZ22" i="25"/>
  <c r="BR23" i="25"/>
  <c r="BS23" i="25"/>
  <c r="BT23" i="25"/>
  <c r="BU23" i="25"/>
  <c r="BV23" i="25"/>
  <c r="BW23" i="25"/>
  <c r="BX23" i="25"/>
  <c r="BY23" i="25"/>
  <c r="BZ23" i="25"/>
  <c r="BR24" i="25"/>
  <c r="BS24" i="25"/>
  <c r="BT24" i="25"/>
  <c r="BU24" i="25"/>
  <c r="BV24" i="25"/>
  <c r="BW24" i="25"/>
  <c r="BX24" i="25"/>
  <c r="BY24" i="25"/>
  <c r="BZ24" i="25"/>
  <c r="BR25" i="25"/>
  <c r="BS25" i="25"/>
  <c r="BT25" i="25"/>
  <c r="BU25" i="25"/>
  <c r="BV25" i="25"/>
  <c r="BW25" i="25"/>
  <c r="BX25" i="25"/>
  <c r="BY25" i="25"/>
  <c r="BZ25" i="25"/>
  <c r="BR26" i="25"/>
  <c r="BS26" i="25"/>
  <c r="BT26" i="25"/>
  <c r="BU26" i="25"/>
  <c r="BV26" i="25"/>
  <c r="BW26" i="25"/>
  <c r="BX26" i="25"/>
  <c r="BY26" i="25"/>
  <c r="BZ26" i="25"/>
  <c r="BR27" i="25"/>
  <c r="BS27" i="25"/>
  <c r="BT27" i="25"/>
  <c r="BU27" i="25"/>
  <c r="BV27" i="25"/>
  <c r="BW27" i="25"/>
  <c r="BX27" i="25"/>
  <c r="BY27" i="25"/>
  <c r="BZ27" i="25"/>
  <c r="BR28" i="25"/>
  <c r="BS28" i="25"/>
  <c r="BT28" i="25"/>
  <c r="BU28" i="25"/>
  <c r="BV28" i="25"/>
  <c r="BW28" i="25"/>
  <c r="BX28" i="25"/>
  <c r="BY28" i="25"/>
  <c r="BZ28" i="25"/>
  <c r="BR29" i="25"/>
  <c r="BS29" i="25"/>
  <c r="BT29" i="25"/>
  <c r="BU29" i="25"/>
  <c r="BV29" i="25"/>
  <c r="BW29" i="25"/>
  <c r="BX29" i="25"/>
  <c r="BY29" i="25"/>
  <c r="BZ29" i="25"/>
  <c r="BR30" i="25"/>
  <c r="BS30" i="25"/>
  <c r="BT30" i="25"/>
  <c r="BU30" i="25"/>
  <c r="BV30" i="25"/>
  <c r="BW30" i="25"/>
  <c r="BX30" i="25"/>
  <c r="BY30" i="25"/>
  <c r="BZ30" i="25"/>
  <c r="BR31" i="25"/>
  <c r="BS31" i="25"/>
  <c r="BT31" i="25"/>
  <c r="BU31" i="25"/>
  <c r="BV31" i="25"/>
  <c r="BW31" i="25"/>
  <c r="BX31" i="25"/>
  <c r="BY31" i="25"/>
  <c r="BZ31" i="25"/>
  <c r="BR32" i="25"/>
  <c r="BS32" i="25"/>
  <c r="BT32" i="25"/>
  <c r="BU32" i="25"/>
  <c r="BV32" i="25"/>
  <c r="BW32" i="25"/>
  <c r="BX32" i="25"/>
  <c r="BY32" i="25"/>
  <c r="BZ32" i="25"/>
  <c r="BR33" i="25"/>
  <c r="BS33" i="25"/>
  <c r="BT33" i="25"/>
  <c r="BU33" i="25"/>
  <c r="BV33" i="25"/>
  <c r="BW33" i="25"/>
  <c r="BX33" i="25"/>
  <c r="BY33" i="25"/>
  <c r="BZ33" i="25"/>
  <c r="BR34" i="25"/>
  <c r="BS34" i="25"/>
  <c r="BT34" i="25"/>
  <c r="BU34" i="25"/>
  <c r="BV34" i="25"/>
  <c r="BW34" i="25"/>
  <c r="BX34" i="25"/>
  <c r="BY34" i="25"/>
  <c r="BZ34" i="25"/>
  <c r="BR35" i="25"/>
  <c r="BS35" i="25"/>
  <c r="BT35" i="25"/>
  <c r="BU35" i="25"/>
  <c r="BV35" i="25"/>
  <c r="BW35" i="25"/>
  <c r="BX35" i="25"/>
  <c r="BY35" i="25"/>
  <c r="BZ35" i="25"/>
  <c r="BR36" i="25"/>
  <c r="BS36" i="25"/>
  <c r="BT36" i="25"/>
  <c r="BU36" i="25"/>
  <c r="BV36" i="25"/>
  <c r="BW36" i="25"/>
  <c r="BX36" i="25"/>
  <c r="BY36" i="25"/>
  <c r="BZ36" i="25"/>
  <c r="BR37" i="25"/>
  <c r="BS37" i="25"/>
  <c r="BT37" i="25"/>
  <c r="BU37" i="25"/>
  <c r="BV37" i="25"/>
  <c r="BW37" i="25"/>
  <c r="BX37" i="25"/>
  <c r="BY37" i="25"/>
  <c r="BZ37" i="25"/>
  <c r="BR38" i="25"/>
  <c r="BS38" i="25"/>
  <c r="BT38" i="25"/>
  <c r="BU38" i="25"/>
  <c r="BV38" i="25"/>
  <c r="BW38" i="25"/>
  <c r="BX38" i="25"/>
  <c r="BY38" i="25"/>
  <c r="BZ38" i="25"/>
  <c r="BR39" i="25"/>
  <c r="BS39" i="25"/>
  <c r="BT39" i="25"/>
  <c r="BU39" i="25"/>
  <c r="BV39" i="25"/>
  <c r="BW39" i="25"/>
  <c r="BX39" i="25"/>
  <c r="BY39" i="25"/>
  <c r="BZ39" i="25"/>
  <c r="BR40" i="25"/>
  <c r="BS40" i="25"/>
  <c r="BT40" i="25"/>
  <c r="BU40" i="25"/>
  <c r="BV40" i="25"/>
  <c r="BW40" i="25"/>
  <c r="BX40" i="25"/>
  <c r="BY40" i="25"/>
  <c r="BZ40" i="25"/>
  <c r="BR41" i="25"/>
  <c r="BS41" i="25"/>
  <c r="BT41" i="25"/>
  <c r="BU41" i="25"/>
  <c r="BV41" i="25"/>
  <c r="BW41" i="25"/>
  <c r="BX41" i="25"/>
  <c r="BY41" i="25"/>
  <c r="BZ41" i="25"/>
  <c r="BR42" i="25"/>
  <c r="BS42" i="25"/>
  <c r="BT42" i="25"/>
  <c r="BU42" i="25"/>
  <c r="BV42" i="25"/>
  <c r="BW42" i="25"/>
  <c r="BX42" i="25"/>
  <c r="BY42" i="25"/>
  <c r="BZ42" i="25"/>
  <c r="BR43" i="25"/>
  <c r="BS43" i="25"/>
  <c r="BT43" i="25"/>
  <c r="BU43" i="25"/>
  <c r="BV43" i="25"/>
  <c r="BW43" i="25"/>
  <c r="BX43" i="25"/>
  <c r="BY43" i="25"/>
  <c r="BZ43" i="25"/>
  <c r="BR44" i="25"/>
  <c r="BS44" i="25"/>
  <c r="BT44" i="25"/>
  <c r="BU44" i="25"/>
  <c r="BV44" i="25"/>
  <c r="BW44" i="25"/>
  <c r="BX44" i="25"/>
  <c r="BY44" i="25"/>
  <c r="BZ44" i="25"/>
  <c r="BR45" i="25"/>
  <c r="BS45" i="25"/>
  <c r="BT45" i="25"/>
  <c r="BU45" i="25"/>
  <c r="BV45" i="25"/>
  <c r="BW45" i="25"/>
  <c r="BX45" i="25"/>
  <c r="BY45" i="25"/>
  <c r="BZ45" i="25"/>
  <c r="BR46" i="25"/>
  <c r="BS46" i="25"/>
  <c r="BT46" i="25"/>
  <c r="BU46" i="25"/>
  <c r="BV46" i="25"/>
  <c r="BW46" i="25"/>
  <c r="BX46" i="25"/>
  <c r="BY46" i="25"/>
  <c r="BZ46" i="25"/>
  <c r="BR47" i="25"/>
  <c r="BS47" i="25"/>
  <c r="BT47" i="25"/>
  <c r="BU47" i="25"/>
  <c r="BV47" i="25"/>
  <c r="BW47" i="25"/>
  <c r="BX47" i="25"/>
  <c r="BY47" i="25"/>
  <c r="BZ47" i="25"/>
  <c r="BR48" i="25"/>
  <c r="BS48" i="25"/>
  <c r="BT48" i="25"/>
  <c r="BU48" i="25"/>
  <c r="BV48" i="25"/>
  <c r="BW48" i="25"/>
  <c r="BX48" i="25"/>
  <c r="BY48" i="25"/>
  <c r="BZ48" i="25"/>
  <c r="BR49" i="25"/>
  <c r="BS49" i="25"/>
  <c r="BT49" i="25"/>
  <c r="BU49" i="25"/>
  <c r="BV49" i="25"/>
  <c r="BW49" i="25"/>
  <c r="BX49" i="25"/>
  <c r="BY49" i="25"/>
  <c r="BZ49" i="25"/>
  <c r="BR50" i="25"/>
  <c r="BS50" i="25"/>
  <c r="BT50" i="25"/>
  <c r="BU50" i="25"/>
  <c r="BV50" i="25"/>
  <c r="BW50" i="25"/>
  <c r="BX50" i="25"/>
  <c r="BY50" i="25"/>
  <c r="BZ50" i="25"/>
  <c r="BR51" i="25"/>
  <c r="BS51" i="25"/>
  <c r="BT51" i="25"/>
  <c r="BU51" i="25"/>
  <c r="BV51" i="25"/>
  <c r="BW51" i="25"/>
  <c r="BX51" i="25"/>
  <c r="BY51" i="25"/>
  <c r="BZ51" i="25"/>
  <c r="BR52" i="25"/>
  <c r="BS52" i="25"/>
  <c r="BT52" i="25"/>
  <c r="BU52" i="25"/>
  <c r="BV52" i="25"/>
  <c r="BW52" i="25"/>
  <c r="BX52" i="25"/>
  <c r="BY52" i="25"/>
  <c r="BZ52" i="25"/>
  <c r="BR53" i="25"/>
  <c r="BS53" i="25"/>
  <c r="BT53" i="25"/>
  <c r="BU53" i="25"/>
  <c r="BV53" i="25"/>
  <c r="BW53" i="25"/>
  <c r="BX53" i="25"/>
  <c r="BY53" i="25"/>
  <c r="BZ53" i="25"/>
  <c r="BR54" i="25"/>
  <c r="BS54" i="25"/>
  <c r="BT54" i="25"/>
  <c r="BU54" i="25"/>
  <c r="BV54" i="25"/>
  <c r="BW54" i="25"/>
  <c r="BX54" i="25"/>
  <c r="BY54" i="25"/>
  <c r="BZ54" i="25"/>
  <c r="BR55" i="25"/>
  <c r="BS55" i="25"/>
  <c r="BT55" i="25"/>
  <c r="BU55" i="25"/>
  <c r="BV55" i="25"/>
  <c r="BW55" i="25"/>
  <c r="BX55" i="25"/>
  <c r="BY55" i="25"/>
  <c r="BZ55" i="25"/>
  <c r="BR56" i="25"/>
  <c r="BS56" i="25"/>
  <c r="BT56" i="25"/>
  <c r="BU56" i="25"/>
  <c r="BV56" i="25"/>
  <c r="BW56" i="25"/>
  <c r="BX56" i="25"/>
  <c r="BY56" i="25"/>
  <c r="BZ56" i="25"/>
  <c r="BR57" i="25"/>
  <c r="BS57" i="25"/>
  <c r="BT57" i="25"/>
  <c r="BU57" i="25"/>
  <c r="BV57" i="25"/>
  <c r="BW57" i="25"/>
  <c r="BX57" i="25"/>
  <c r="BY57" i="25"/>
  <c r="BZ57" i="25"/>
  <c r="BR58" i="25"/>
  <c r="BS58" i="25"/>
  <c r="BT58" i="25"/>
  <c r="BU58" i="25"/>
  <c r="BV58" i="25"/>
  <c r="BW58" i="25"/>
  <c r="BX58" i="25"/>
  <c r="BY58" i="25"/>
  <c r="BZ58" i="25"/>
  <c r="BR59" i="25"/>
  <c r="BS59" i="25"/>
  <c r="BT59" i="25"/>
  <c r="BU59" i="25"/>
  <c r="BV59" i="25"/>
  <c r="BW59" i="25"/>
  <c r="BX59" i="25"/>
  <c r="BY59" i="25"/>
  <c r="BZ59" i="25"/>
  <c r="BR60" i="25"/>
  <c r="BS60" i="25"/>
  <c r="BT60" i="25"/>
  <c r="BU60" i="25"/>
  <c r="BV60" i="25"/>
  <c r="BW60" i="25"/>
  <c r="BX60" i="25"/>
  <c r="BY60" i="25"/>
  <c r="BZ60" i="25"/>
  <c r="BR61" i="25"/>
  <c r="BS61" i="25"/>
  <c r="BT61" i="25"/>
  <c r="BU61" i="25"/>
  <c r="BV61" i="25"/>
  <c r="BW61" i="25"/>
  <c r="BX61" i="25"/>
  <c r="BY61" i="25"/>
  <c r="BZ61" i="25"/>
  <c r="BR62" i="25"/>
  <c r="BS62" i="25"/>
  <c r="BT62" i="25"/>
  <c r="BU62" i="25"/>
  <c r="BV62" i="25"/>
  <c r="BW62" i="25"/>
  <c r="BX62" i="25"/>
  <c r="BY62" i="25"/>
  <c r="BZ62" i="25"/>
  <c r="BR63" i="25"/>
  <c r="BS63" i="25"/>
  <c r="BT63" i="25"/>
  <c r="BU63" i="25"/>
  <c r="BV63" i="25"/>
  <c r="BW63" i="25"/>
  <c r="BX63" i="25"/>
  <c r="BY63" i="25"/>
  <c r="BZ63" i="25"/>
  <c r="BR64" i="25"/>
  <c r="BS64" i="25"/>
  <c r="BT64" i="25"/>
  <c r="BU64" i="25"/>
  <c r="BV64" i="25"/>
  <c r="BW64" i="25"/>
  <c r="BX64" i="25"/>
  <c r="BY64" i="25"/>
  <c r="BZ64" i="25"/>
  <c r="BR65" i="25"/>
  <c r="BS65" i="25"/>
  <c r="BT65" i="25"/>
  <c r="BU65" i="25"/>
  <c r="BV65" i="25"/>
  <c r="BW65" i="25"/>
  <c r="BX65" i="25"/>
  <c r="BY65" i="25"/>
  <c r="BZ65" i="25"/>
  <c r="BR66" i="25"/>
  <c r="BS66" i="25"/>
  <c r="BT66" i="25"/>
  <c r="BU66" i="25"/>
  <c r="BV66" i="25"/>
  <c r="BW66" i="25"/>
  <c r="BX66" i="25"/>
  <c r="BY66" i="25"/>
  <c r="BZ66" i="25"/>
  <c r="BR67" i="25"/>
  <c r="BS67" i="25"/>
  <c r="BT67" i="25"/>
  <c r="BU67" i="25"/>
  <c r="BV67" i="25"/>
  <c r="BW67" i="25"/>
  <c r="BX67" i="25"/>
  <c r="BY67" i="25"/>
  <c r="BZ67" i="25"/>
  <c r="BR68" i="25"/>
  <c r="BS68" i="25"/>
  <c r="BT68" i="25"/>
  <c r="BU68" i="25"/>
  <c r="BV68" i="25"/>
  <c r="BW68" i="25"/>
  <c r="BX68" i="25"/>
  <c r="BY68" i="25"/>
  <c r="BZ68" i="25"/>
  <c r="BR69" i="25"/>
  <c r="BS69" i="25"/>
  <c r="BT69" i="25"/>
  <c r="BU69" i="25"/>
  <c r="BV69" i="25"/>
  <c r="BW69" i="25"/>
  <c r="BX69" i="25"/>
  <c r="BY69" i="25"/>
  <c r="BZ69" i="25"/>
  <c r="BR70" i="25"/>
  <c r="BS70" i="25"/>
  <c r="BT70" i="25"/>
  <c r="BU70" i="25"/>
  <c r="BV70" i="25"/>
  <c r="BW70" i="25"/>
  <c r="BX70" i="25"/>
  <c r="BY70" i="25"/>
  <c r="BZ70" i="25"/>
  <c r="BR71" i="25"/>
  <c r="BS71" i="25"/>
  <c r="BT71" i="25"/>
  <c r="BU71" i="25"/>
  <c r="BV71" i="25"/>
  <c r="BW71" i="25"/>
  <c r="BX71" i="25"/>
  <c r="BY71" i="25"/>
  <c r="BZ71" i="25"/>
  <c r="BR72" i="25"/>
  <c r="BS72" i="25"/>
  <c r="BT72" i="25"/>
  <c r="BU72" i="25"/>
  <c r="BV72" i="25"/>
  <c r="BW72" i="25"/>
  <c r="BX72" i="25"/>
  <c r="BY72" i="25"/>
  <c r="BZ72" i="25"/>
  <c r="BR73" i="25"/>
  <c r="BS73" i="25"/>
  <c r="BT73" i="25"/>
  <c r="BU73" i="25"/>
  <c r="BV73" i="25"/>
  <c r="BW73" i="25"/>
  <c r="BX73" i="25"/>
  <c r="BY73" i="25"/>
  <c r="BZ73" i="25"/>
  <c r="BR74" i="25"/>
  <c r="BS74" i="25"/>
  <c r="BT74" i="25"/>
  <c r="BU74" i="25"/>
  <c r="BV74" i="25"/>
  <c r="BW74" i="25"/>
  <c r="BX74" i="25"/>
  <c r="BY74" i="25"/>
  <c r="BZ74" i="25"/>
  <c r="BR75" i="25"/>
  <c r="BS75" i="25"/>
  <c r="BT75" i="25"/>
  <c r="BU75" i="25"/>
  <c r="BV75" i="25"/>
  <c r="BW75" i="25"/>
  <c r="BX75" i="25"/>
  <c r="BY75" i="25"/>
  <c r="BZ75" i="25"/>
  <c r="BR76" i="25"/>
  <c r="BS76" i="25"/>
  <c r="BT76" i="25"/>
  <c r="BU76" i="25"/>
  <c r="BV76" i="25"/>
  <c r="BW76" i="25"/>
  <c r="BX76" i="25"/>
  <c r="BY76" i="25"/>
  <c r="BZ76" i="25"/>
  <c r="BR77" i="25"/>
  <c r="BS77" i="25"/>
  <c r="BT77" i="25"/>
  <c r="BU77" i="25"/>
  <c r="BV77" i="25"/>
  <c r="BW77" i="25"/>
  <c r="BX77" i="25"/>
  <c r="BY77" i="25"/>
  <c r="BZ77" i="25"/>
  <c r="BR78" i="25"/>
  <c r="BS78" i="25"/>
  <c r="BT78" i="25"/>
  <c r="BU78" i="25"/>
  <c r="BV78" i="25"/>
  <c r="BW78" i="25"/>
  <c r="BX78" i="25"/>
  <c r="BY78" i="25"/>
  <c r="BZ78" i="25"/>
  <c r="BR79" i="25"/>
  <c r="BS79" i="25"/>
  <c r="BT79" i="25"/>
  <c r="BU79" i="25"/>
  <c r="BV79" i="25"/>
  <c r="BW79" i="25"/>
  <c r="BX79" i="25"/>
  <c r="BY79" i="25"/>
  <c r="BZ79" i="25"/>
  <c r="BR80" i="25"/>
  <c r="BS80" i="25"/>
  <c r="BT80" i="25"/>
  <c r="BU80" i="25"/>
  <c r="BV80" i="25"/>
  <c r="BW80" i="25"/>
  <c r="BX80" i="25"/>
  <c r="BY80" i="25"/>
  <c r="BZ80" i="25"/>
  <c r="BR81" i="25"/>
  <c r="BS81" i="25"/>
  <c r="BT81" i="25"/>
  <c r="BU81" i="25"/>
  <c r="BV81" i="25"/>
  <c r="BW81" i="25"/>
  <c r="BX81" i="25"/>
  <c r="BY81" i="25"/>
  <c r="BZ81" i="25"/>
  <c r="BR82" i="25"/>
  <c r="BS82" i="25"/>
  <c r="BT82" i="25"/>
  <c r="BU82" i="25"/>
  <c r="BV82" i="25"/>
  <c r="BW82" i="25"/>
  <c r="BX82" i="25"/>
  <c r="BY82" i="25"/>
  <c r="BZ82" i="25"/>
  <c r="BR83" i="25"/>
  <c r="BS83" i="25"/>
  <c r="BT83" i="25"/>
  <c r="BU83" i="25"/>
  <c r="BV83" i="25"/>
  <c r="BW83" i="25"/>
  <c r="BX83" i="25"/>
  <c r="BY83" i="25"/>
  <c r="BZ83" i="25"/>
  <c r="BR84" i="25"/>
  <c r="BS84" i="25"/>
  <c r="BT84" i="25"/>
  <c r="BU84" i="25"/>
  <c r="BV84" i="25"/>
  <c r="BW84" i="25"/>
  <c r="BX84" i="25"/>
  <c r="BY84" i="25"/>
  <c r="BZ84" i="25"/>
  <c r="BR85" i="25"/>
  <c r="BS85" i="25"/>
  <c r="BT85" i="25"/>
  <c r="BU85" i="25"/>
  <c r="BV85" i="25"/>
  <c r="BW85" i="25"/>
  <c r="BX85" i="25"/>
  <c r="BY85" i="25"/>
  <c r="BZ85" i="25"/>
  <c r="BR86" i="25"/>
  <c r="BS86" i="25"/>
  <c r="BT86" i="25"/>
  <c r="BU86" i="25"/>
  <c r="BV86" i="25"/>
  <c r="BW86" i="25"/>
  <c r="BX86" i="25"/>
  <c r="BY86" i="25"/>
  <c r="BZ86" i="25"/>
  <c r="BR87" i="25"/>
  <c r="BS87" i="25"/>
  <c r="BT87" i="25"/>
  <c r="BU87" i="25"/>
  <c r="BV87" i="25"/>
  <c r="BW87" i="25"/>
  <c r="BX87" i="25"/>
  <c r="BY87" i="25"/>
  <c r="BZ87" i="25"/>
  <c r="BR88" i="25"/>
  <c r="BS88" i="25"/>
  <c r="BT88" i="25"/>
  <c r="BU88" i="25"/>
  <c r="BV88" i="25"/>
  <c r="BW88" i="25"/>
  <c r="BX88" i="25"/>
  <c r="BY88" i="25"/>
  <c r="BZ88" i="25"/>
  <c r="BR89" i="25"/>
  <c r="BS89" i="25"/>
  <c r="BT89" i="25"/>
  <c r="BU89" i="25"/>
  <c r="BV89" i="25"/>
  <c r="BW89" i="25"/>
  <c r="BX89" i="25"/>
  <c r="BY89" i="25"/>
  <c r="BZ89" i="25"/>
  <c r="BR90" i="25"/>
  <c r="BS90" i="25"/>
  <c r="BT90" i="25"/>
  <c r="BU90" i="25"/>
  <c r="BV90" i="25"/>
  <c r="BW90" i="25"/>
  <c r="BX90" i="25"/>
  <c r="BY90" i="25"/>
  <c r="BZ90" i="25"/>
  <c r="BR91" i="25"/>
  <c r="BS91" i="25"/>
  <c r="BT91" i="25"/>
  <c r="BU91" i="25"/>
  <c r="BV91" i="25"/>
  <c r="BW91" i="25"/>
  <c r="BX91" i="25"/>
  <c r="BY91" i="25"/>
  <c r="BZ91" i="25"/>
  <c r="BR92" i="25"/>
  <c r="BS92" i="25"/>
  <c r="BT92" i="25"/>
  <c r="BU92" i="25"/>
  <c r="BV92" i="25"/>
  <c r="BW92" i="25"/>
  <c r="BX92" i="25"/>
  <c r="BY92" i="25"/>
  <c r="BZ92" i="25"/>
  <c r="BR93" i="25"/>
  <c r="BS93" i="25"/>
  <c r="BT93" i="25"/>
  <c r="BU93" i="25"/>
  <c r="BV93" i="25"/>
  <c r="BW93" i="25"/>
  <c r="BX93" i="25"/>
  <c r="BY93" i="25"/>
  <c r="BZ93" i="25"/>
  <c r="BR94" i="25"/>
  <c r="BS94" i="25"/>
  <c r="BT94" i="25"/>
  <c r="BU94" i="25"/>
  <c r="BV94" i="25"/>
  <c r="BW94" i="25"/>
  <c r="BX94" i="25"/>
  <c r="BY94" i="25"/>
  <c r="BZ94" i="25"/>
  <c r="BR95" i="25"/>
  <c r="BS95" i="25"/>
  <c r="BT95" i="25"/>
  <c r="BU95" i="25"/>
  <c r="BV95" i="25"/>
  <c r="BW95" i="25"/>
  <c r="BX95" i="25"/>
  <c r="BY95" i="25"/>
  <c r="BZ95" i="25"/>
  <c r="BR96" i="25"/>
  <c r="BS96" i="25"/>
  <c r="BT96" i="25"/>
  <c r="BU96" i="25"/>
  <c r="BV96" i="25"/>
  <c r="BW96" i="25"/>
  <c r="BX96" i="25"/>
  <c r="BY96" i="25"/>
  <c r="BZ96" i="25"/>
  <c r="BR97" i="25"/>
  <c r="BS97" i="25"/>
  <c r="BT97" i="25"/>
  <c r="BU97" i="25"/>
  <c r="BV97" i="25"/>
  <c r="BW97" i="25"/>
  <c r="BX97" i="25"/>
  <c r="BY97" i="25"/>
  <c r="BZ97" i="25"/>
  <c r="BR98" i="25"/>
  <c r="BS98" i="25"/>
  <c r="BT98" i="25"/>
  <c r="BU98" i="25"/>
  <c r="BV98" i="25"/>
  <c r="BW98" i="25"/>
  <c r="BX98" i="25"/>
  <c r="BY98" i="25"/>
  <c r="BZ98" i="25"/>
  <c r="BR99" i="25"/>
  <c r="BS99" i="25"/>
  <c r="BT99" i="25"/>
  <c r="BU99" i="25"/>
  <c r="BV99" i="25"/>
  <c r="BW99" i="25"/>
  <c r="BX99" i="25"/>
  <c r="BY99" i="25"/>
  <c r="BZ99" i="25"/>
  <c r="BR100" i="25"/>
  <c r="BS100" i="25"/>
  <c r="BT100" i="25"/>
  <c r="BU100" i="25"/>
  <c r="BV100" i="25"/>
  <c r="BW100" i="25"/>
  <c r="BX100" i="25"/>
  <c r="BY100" i="25"/>
  <c r="BZ100" i="25"/>
  <c r="BR101" i="25"/>
  <c r="BS101" i="25"/>
  <c r="BT101" i="25"/>
  <c r="BU101" i="25"/>
  <c r="BV101" i="25"/>
  <c r="BW101" i="25"/>
  <c r="BX101" i="25"/>
  <c r="BY101" i="25"/>
  <c r="BZ101" i="25"/>
  <c r="BR102" i="25"/>
  <c r="BS102" i="25"/>
  <c r="BT102" i="25"/>
  <c r="BU102" i="25"/>
  <c r="BV102" i="25"/>
  <c r="BW102" i="25"/>
  <c r="BX102" i="25"/>
  <c r="BY102" i="25"/>
  <c r="BZ102" i="25"/>
  <c r="BR103" i="25"/>
  <c r="BS103" i="25"/>
  <c r="BT103" i="25"/>
  <c r="BU103" i="25"/>
  <c r="BV103" i="25"/>
  <c r="BW103" i="25"/>
  <c r="BX103" i="25"/>
  <c r="BY103" i="25"/>
  <c r="BZ103" i="25"/>
  <c r="BR104" i="25"/>
  <c r="BS104" i="25"/>
  <c r="BT104" i="25"/>
  <c r="BU104" i="25"/>
  <c r="BV104" i="25"/>
  <c r="BW104" i="25"/>
  <c r="BX104" i="25"/>
  <c r="BY104" i="25"/>
  <c r="BZ104" i="25"/>
  <c r="BR105" i="25"/>
  <c r="BS105" i="25"/>
  <c r="BT105" i="25"/>
  <c r="BU105" i="25"/>
  <c r="BV105" i="25"/>
  <c r="BW105" i="25"/>
  <c r="BX105" i="25"/>
  <c r="BY105" i="25"/>
  <c r="BZ105" i="25"/>
  <c r="BR106" i="25"/>
  <c r="BS106" i="25"/>
  <c r="BT106" i="25"/>
  <c r="BU106" i="25"/>
  <c r="BV106" i="25"/>
  <c r="BW106" i="25"/>
  <c r="BX106" i="25"/>
  <c r="BY106" i="25"/>
  <c r="BZ106" i="25"/>
  <c r="BR107" i="25"/>
  <c r="BS107" i="25"/>
  <c r="BT107" i="25"/>
  <c r="BU107" i="25"/>
  <c r="BV107" i="25"/>
  <c r="BW107" i="25"/>
  <c r="BX107" i="25"/>
  <c r="BY107" i="25"/>
  <c r="BZ107" i="25"/>
  <c r="BR108" i="25"/>
  <c r="BS108" i="25"/>
  <c r="BT108" i="25"/>
  <c r="BU108" i="25"/>
  <c r="BV108" i="25"/>
  <c r="BW108" i="25"/>
  <c r="BX108" i="25"/>
  <c r="BY108" i="25"/>
  <c r="BZ108" i="25"/>
  <c r="BR109" i="25"/>
  <c r="BS109" i="25"/>
  <c r="BT109" i="25"/>
  <c r="BU109" i="25"/>
  <c r="BV109" i="25"/>
  <c r="BW109" i="25"/>
  <c r="BX109" i="25"/>
  <c r="BY109" i="25"/>
  <c r="BZ109" i="25"/>
  <c r="BR110" i="25"/>
  <c r="BS110" i="25"/>
  <c r="BT110" i="25"/>
  <c r="BU110" i="25"/>
  <c r="BV110" i="25"/>
  <c r="BW110" i="25"/>
  <c r="BX110" i="25"/>
  <c r="BY110" i="25"/>
  <c r="BZ110" i="25"/>
  <c r="BR111" i="25"/>
  <c r="BS111" i="25"/>
  <c r="BT111" i="25"/>
  <c r="BU111" i="25"/>
  <c r="BV111" i="25"/>
  <c r="BW111" i="25"/>
  <c r="BX111" i="25"/>
  <c r="BY111" i="25"/>
  <c r="BZ111" i="25"/>
  <c r="BR112" i="25"/>
  <c r="BS112" i="25"/>
  <c r="BT112" i="25"/>
  <c r="BU112" i="25"/>
  <c r="BV112" i="25"/>
  <c r="BW112" i="25"/>
  <c r="BX112" i="25"/>
  <c r="BY112" i="25"/>
  <c r="BZ112" i="25"/>
  <c r="BR113" i="25"/>
  <c r="BS113" i="25"/>
  <c r="BT113" i="25"/>
  <c r="BU113" i="25"/>
  <c r="BV113" i="25"/>
  <c r="BW113" i="25"/>
  <c r="BX113" i="25"/>
  <c r="BY113" i="25"/>
  <c r="BZ113" i="25"/>
  <c r="BR114" i="25"/>
  <c r="BS114" i="25"/>
  <c r="BT114" i="25"/>
  <c r="BU114" i="25"/>
  <c r="BV114" i="25"/>
  <c r="BW114" i="25"/>
  <c r="BX114" i="25"/>
  <c r="BY114" i="25"/>
  <c r="BZ114" i="25"/>
  <c r="BR115" i="25"/>
  <c r="BS115" i="25"/>
  <c r="BT115" i="25"/>
  <c r="BU115" i="25"/>
  <c r="BV115" i="25"/>
  <c r="BW115" i="25"/>
  <c r="BX115" i="25"/>
  <c r="BY115" i="25"/>
  <c r="BZ115" i="25"/>
  <c r="BR116" i="25"/>
  <c r="BS116" i="25"/>
  <c r="BT116" i="25"/>
  <c r="BU116" i="25"/>
  <c r="BV116" i="25"/>
  <c r="BW116" i="25"/>
  <c r="BX116" i="25"/>
  <c r="BY116" i="25"/>
  <c r="BZ116" i="25"/>
  <c r="BR117" i="25"/>
  <c r="BS117" i="25"/>
  <c r="BT117" i="25"/>
  <c r="BU117" i="25"/>
  <c r="BV117" i="25"/>
  <c r="BW117" i="25"/>
  <c r="BX117" i="25"/>
  <c r="BY117" i="25"/>
  <c r="BZ117" i="25"/>
  <c r="BR118" i="25"/>
  <c r="BS118" i="25"/>
  <c r="BT118" i="25"/>
  <c r="BU118" i="25"/>
  <c r="BV118" i="25"/>
  <c r="BW118" i="25"/>
  <c r="BX118" i="25"/>
  <c r="BY118" i="25"/>
  <c r="BZ118" i="25"/>
  <c r="BR119" i="25"/>
  <c r="BS119" i="25"/>
  <c r="BT119" i="25"/>
  <c r="BU119" i="25"/>
  <c r="BV119" i="25"/>
  <c r="BW119" i="25"/>
  <c r="BX119" i="25"/>
  <c r="BY119" i="25"/>
  <c r="BZ119" i="25"/>
  <c r="BS4" i="25"/>
  <c r="BT4" i="25"/>
  <c r="BU4" i="25"/>
  <c r="BV4" i="25"/>
  <c r="BW4" i="25"/>
  <c r="BX4" i="25"/>
  <c r="BY4" i="25"/>
  <c r="BZ4" i="25"/>
  <c r="BR4" i="25"/>
  <c r="BH5" i="25"/>
  <c r="BI5" i="25"/>
  <c r="BJ5" i="25"/>
  <c r="BK5" i="25"/>
  <c r="BL5" i="25"/>
  <c r="BM5" i="25"/>
  <c r="BN5" i="25"/>
  <c r="BO5" i="25"/>
  <c r="BP5" i="25"/>
  <c r="BH6" i="25"/>
  <c r="BI6" i="25"/>
  <c r="BJ6" i="25"/>
  <c r="BK6" i="25"/>
  <c r="BL6" i="25"/>
  <c r="BM6" i="25"/>
  <c r="BN6" i="25"/>
  <c r="BO6" i="25"/>
  <c r="BP6" i="25"/>
  <c r="BH7" i="25"/>
  <c r="BI7" i="25"/>
  <c r="BJ7" i="25"/>
  <c r="BK7" i="25"/>
  <c r="BL7" i="25"/>
  <c r="BM7" i="25"/>
  <c r="BN7" i="25"/>
  <c r="BO7" i="25"/>
  <c r="BP7" i="25"/>
  <c r="BH8" i="25"/>
  <c r="BI8" i="25"/>
  <c r="BJ8" i="25"/>
  <c r="BK8" i="25"/>
  <c r="BL8" i="25"/>
  <c r="BM8" i="25"/>
  <c r="BN8" i="25"/>
  <c r="BO8" i="25"/>
  <c r="BP8" i="25"/>
  <c r="BH9" i="25"/>
  <c r="BI9" i="25"/>
  <c r="BJ9" i="25"/>
  <c r="BK9" i="25"/>
  <c r="BL9" i="25"/>
  <c r="BM9" i="25"/>
  <c r="BN9" i="25"/>
  <c r="BO9" i="25"/>
  <c r="BP9" i="25"/>
  <c r="BH10" i="25"/>
  <c r="BI10" i="25"/>
  <c r="BJ10" i="25"/>
  <c r="BK10" i="25"/>
  <c r="BL10" i="25"/>
  <c r="BM10" i="25"/>
  <c r="BN10" i="25"/>
  <c r="BO10" i="25"/>
  <c r="BP10" i="25"/>
  <c r="BH11" i="25"/>
  <c r="BI11" i="25"/>
  <c r="BJ11" i="25"/>
  <c r="BK11" i="25"/>
  <c r="BL11" i="25"/>
  <c r="BM11" i="25"/>
  <c r="BN11" i="25"/>
  <c r="BO11" i="25"/>
  <c r="BP11" i="25"/>
  <c r="BH12" i="25"/>
  <c r="BI12" i="25"/>
  <c r="BJ12" i="25"/>
  <c r="BK12" i="25"/>
  <c r="BL12" i="25"/>
  <c r="BM12" i="25"/>
  <c r="BN12" i="25"/>
  <c r="BO12" i="25"/>
  <c r="BP12" i="25"/>
  <c r="BH13" i="25"/>
  <c r="BI13" i="25"/>
  <c r="BJ13" i="25"/>
  <c r="BK13" i="25"/>
  <c r="BL13" i="25"/>
  <c r="BM13" i="25"/>
  <c r="BN13" i="25"/>
  <c r="BO13" i="25"/>
  <c r="BP13" i="25"/>
  <c r="BH14" i="25"/>
  <c r="BI14" i="25"/>
  <c r="BJ14" i="25"/>
  <c r="BK14" i="25"/>
  <c r="BL14" i="25"/>
  <c r="BM14" i="25"/>
  <c r="BN14" i="25"/>
  <c r="BO14" i="25"/>
  <c r="BP14" i="25"/>
  <c r="BH15" i="25"/>
  <c r="BI15" i="25"/>
  <c r="BJ15" i="25"/>
  <c r="BK15" i="25"/>
  <c r="BL15" i="25"/>
  <c r="BM15" i="25"/>
  <c r="BN15" i="25"/>
  <c r="BO15" i="25"/>
  <c r="BP15" i="25"/>
  <c r="BH16" i="25"/>
  <c r="BI16" i="25"/>
  <c r="BJ16" i="25"/>
  <c r="BK16" i="25"/>
  <c r="BL16" i="25"/>
  <c r="BM16" i="25"/>
  <c r="BN16" i="25"/>
  <c r="BO16" i="25"/>
  <c r="BP16" i="25"/>
  <c r="BH17" i="25"/>
  <c r="BI17" i="25"/>
  <c r="BJ17" i="25"/>
  <c r="BK17" i="25"/>
  <c r="BL17" i="25"/>
  <c r="BM17" i="25"/>
  <c r="BN17" i="25"/>
  <c r="BO17" i="25"/>
  <c r="BP17" i="25"/>
  <c r="BH18" i="25"/>
  <c r="BI18" i="25"/>
  <c r="BJ18" i="25"/>
  <c r="BK18" i="25"/>
  <c r="BL18" i="25"/>
  <c r="BM18" i="25"/>
  <c r="BN18" i="25"/>
  <c r="BO18" i="25"/>
  <c r="BP18" i="25"/>
  <c r="BH19" i="25"/>
  <c r="BI19" i="25"/>
  <c r="BJ19" i="25"/>
  <c r="BK19" i="25"/>
  <c r="BL19" i="25"/>
  <c r="BM19" i="25"/>
  <c r="BN19" i="25"/>
  <c r="BO19" i="25"/>
  <c r="BP19" i="25"/>
  <c r="BH20" i="25"/>
  <c r="BI20" i="25"/>
  <c r="BJ20" i="25"/>
  <c r="BK20" i="25"/>
  <c r="BL20" i="25"/>
  <c r="BM20" i="25"/>
  <c r="BN20" i="25"/>
  <c r="BO20" i="25"/>
  <c r="BP20" i="25"/>
  <c r="BH21" i="25"/>
  <c r="BI21" i="25"/>
  <c r="BJ21" i="25"/>
  <c r="BK21" i="25"/>
  <c r="BL21" i="25"/>
  <c r="BM21" i="25"/>
  <c r="BN21" i="25"/>
  <c r="BO21" i="25"/>
  <c r="BP21" i="25"/>
  <c r="BH22" i="25"/>
  <c r="BI22" i="25"/>
  <c r="BJ22" i="25"/>
  <c r="BK22" i="25"/>
  <c r="BL22" i="25"/>
  <c r="BM22" i="25"/>
  <c r="BN22" i="25"/>
  <c r="BO22" i="25"/>
  <c r="BP22" i="25"/>
  <c r="BH23" i="25"/>
  <c r="BI23" i="25"/>
  <c r="BJ23" i="25"/>
  <c r="BK23" i="25"/>
  <c r="BL23" i="25"/>
  <c r="BM23" i="25"/>
  <c r="BN23" i="25"/>
  <c r="BO23" i="25"/>
  <c r="BP23" i="25"/>
  <c r="BH24" i="25"/>
  <c r="BI24" i="25"/>
  <c r="BJ24" i="25"/>
  <c r="BK24" i="25"/>
  <c r="BL24" i="25"/>
  <c r="BM24" i="25"/>
  <c r="BN24" i="25"/>
  <c r="BO24" i="25"/>
  <c r="BP24" i="25"/>
  <c r="BH25" i="25"/>
  <c r="BI25" i="25"/>
  <c r="BJ25" i="25"/>
  <c r="BK25" i="25"/>
  <c r="BL25" i="25"/>
  <c r="BM25" i="25"/>
  <c r="BN25" i="25"/>
  <c r="BO25" i="25"/>
  <c r="BP25" i="25"/>
  <c r="BH26" i="25"/>
  <c r="BI26" i="25"/>
  <c r="BJ26" i="25"/>
  <c r="BK26" i="25"/>
  <c r="BL26" i="25"/>
  <c r="BM26" i="25"/>
  <c r="BN26" i="25"/>
  <c r="BO26" i="25"/>
  <c r="BP26" i="25"/>
  <c r="BH27" i="25"/>
  <c r="BI27" i="25"/>
  <c r="BJ27" i="25"/>
  <c r="BK27" i="25"/>
  <c r="BL27" i="25"/>
  <c r="BM27" i="25"/>
  <c r="BN27" i="25"/>
  <c r="BO27" i="25"/>
  <c r="BP27" i="25"/>
  <c r="BH28" i="25"/>
  <c r="BI28" i="25"/>
  <c r="BJ28" i="25"/>
  <c r="BK28" i="25"/>
  <c r="BL28" i="25"/>
  <c r="BM28" i="25"/>
  <c r="BN28" i="25"/>
  <c r="BO28" i="25"/>
  <c r="BP28" i="25"/>
  <c r="BH29" i="25"/>
  <c r="BI29" i="25"/>
  <c r="BJ29" i="25"/>
  <c r="BK29" i="25"/>
  <c r="BL29" i="25"/>
  <c r="BM29" i="25"/>
  <c r="BN29" i="25"/>
  <c r="BO29" i="25"/>
  <c r="BP29" i="25"/>
  <c r="BH30" i="25"/>
  <c r="BI30" i="25"/>
  <c r="BJ30" i="25"/>
  <c r="BK30" i="25"/>
  <c r="BL30" i="25"/>
  <c r="BM30" i="25"/>
  <c r="BN30" i="25"/>
  <c r="BO30" i="25"/>
  <c r="BP30" i="25"/>
  <c r="BH31" i="25"/>
  <c r="BI31" i="25"/>
  <c r="BJ31" i="25"/>
  <c r="BK31" i="25"/>
  <c r="BL31" i="25"/>
  <c r="BM31" i="25"/>
  <c r="BN31" i="25"/>
  <c r="BO31" i="25"/>
  <c r="BP31" i="25"/>
  <c r="BH32" i="25"/>
  <c r="BI32" i="25"/>
  <c r="BJ32" i="25"/>
  <c r="BK32" i="25"/>
  <c r="BL32" i="25"/>
  <c r="BM32" i="25"/>
  <c r="BN32" i="25"/>
  <c r="BO32" i="25"/>
  <c r="BP32" i="25"/>
  <c r="BH33" i="25"/>
  <c r="BI33" i="25"/>
  <c r="BJ33" i="25"/>
  <c r="BK33" i="25"/>
  <c r="BL33" i="25"/>
  <c r="BM33" i="25"/>
  <c r="BN33" i="25"/>
  <c r="BO33" i="25"/>
  <c r="BP33" i="25"/>
  <c r="BH34" i="25"/>
  <c r="BI34" i="25"/>
  <c r="BJ34" i="25"/>
  <c r="BK34" i="25"/>
  <c r="BL34" i="25"/>
  <c r="BM34" i="25"/>
  <c r="BN34" i="25"/>
  <c r="BO34" i="25"/>
  <c r="BP34" i="25"/>
  <c r="BH35" i="25"/>
  <c r="BI35" i="25"/>
  <c r="BJ35" i="25"/>
  <c r="BK35" i="25"/>
  <c r="BL35" i="25"/>
  <c r="BM35" i="25"/>
  <c r="BN35" i="25"/>
  <c r="BO35" i="25"/>
  <c r="BP35" i="25"/>
  <c r="BH36" i="25"/>
  <c r="BI36" i="25"/>
  <c r="BJ36" i="25"/>
  <c r="BK36" i="25"/>
  <c r="BL36" i="25"/>
  <c r="BM36" i="25"/>
  <c r="BN36" i="25"/>
  <c r="BO36" i="25"/>
  <c r="BP36" i="25"/>
  <c r="BH37" i="25"/>
  <c r="BI37" i="25"/>
  <c r="BJ37" i="25"/>
  <c r="BK37" i="25"/>
  <c r="BL37" i="25"/>
  <c r="BM37" i="25"/>
  <c r="BN37" i="25"/>
  <c r="BO37" i="25"/>
  <c r="BP37" i="25"/>
  <c r="BH38" i="25"/>
  <c r="BI38" i="25"/>
  <c r="BJ38" i="25"/>
  <c r="BK38" i="25"/>
  <c r="BL38" i="25"/>
  <c r="BM38" i="25"/>
  <c r="BN38" i="25"/>
  <c r="BO38" i="25"/>
  <c r="BP38" i="25"/>
  <c r="BH39" i="25"/>
  <c r="BI39" i="25"/>
  <c r="BJ39" i="25"/>
  <c r="BK39" i="25"/>
  <c r="BL39" i="25"/>
  <c r="BM39" i="25"/>
  <c r="BN39" i="25"/>
  <c r="BO39" i="25"/>
  <c r="BP39" i="25"/>
  <c r="BH40" i="25"/>
  <c r="BI40" i="25"/>
  <c r="BJ40" i="25"/>
  <c r="BK40" i="25"/>
  <c r="BL40" i="25"/>
  <c r="BM40" i="25"/>
  <c r="BN40" i="25"/>
  <c r="BO40" i="25"/>
  <c r="BP40" i="25"/>
  <c r="BH41" i="25"/>
  <c r="BI41" i="25"/>
  <c r="BJ41" i="25"/>
  <c r="BK41" i="25"/>
  <c r="BL41" i="25"/>
  <c r="BM41" i="25"/>
  <c r="BN41" i="25"/>
  <c r="BO41" i="25"/>
  <c r="BP41" i="25"/>
  <c r="BH42" i="25"/>
  <c r="BI42" i="25"/>
  <c r="BJ42" i="25"/>
  <c r="BK42" i="25"/>
  <c r="BL42" i="25"/>
  <c r="BM42" i="25"/>
  <c r="BN42" i="25"/>
  <c r="BO42" i="25"/>
  <c r="BP42" i="25"/>
  <c r="BH43" i="25"/>
  <c r="BI43" i="25"/>
  <c r="BJ43" i="25"/>
  <c r="BK43" i="25"/>
  <c r="BL43" i="25"/>
  <c r="BM43" i="25"/>
  <c r="BN43" i="25"/>
  <c r="BO43" i="25"/>
  <c r="BP43" i="25"/>
  <c r="BH44" i="25"/>
  <c r="BI44" i="25"/>
  <c r="BJ44" i="25"/>
  <c r="BK44" i="25"/>
  <c r="BL44" i="25"/>
  <c r="BM44" i="25"/>
  <c r="BN44" i="25"/>
  <c r="BO44" i="25"/>
  <c r="BP44" i="25"/>
  <c r="BH45" i="25"/>
  <c r="BI45" i="25"/>
  <c r="BJ45" i="25"/>
  <c r="BK45" i="25"/>
  <c r="BL45" i="25"/>
  <c r="BM45" i="25"/>
  <c r="BN45" i="25"/>
  <c r="BO45" i="25"/>
  <c r="BP45" i="25"/>
  <c r="BH46" i="25"/>
  <c r="BI46" i="25"/>
  <c r="BJ46" i="25"/>
  <c r="BK46" i="25"/>
  <c r="BL46" i="25"/>
  <c r="BM46" i="25"/>
  <c r="BN46" i="25"/>
  <c r="BO46" i="25"/>
  <c r="BP46" i="25"/>
  <c r="BH47" i="25"/>
  <c r="BI47" i="25"/>
  <c r="BJ47" i="25"/>
  <c r="BK47" i="25"/>
  <c r="BL47" i="25"/>
  <c r="BM47" i="25"/>
  <c r="BN47" i="25"/>
  <c r="BO47" i="25"/>
  <c r="BP47" i="25"/>
  <c r="BH48" i="25"/>
  <c r="BI48" i="25"/>
  <c r="BJ48" i="25"/>
  <c r="BK48" i="25"/>
  <c r="BL48" i="25"/>
  <c r="BM48" i="25"/>
  <c r="BN48" i="25"/>
  <c r="BO48" i="25"/>
  <c r="BP48" i="25"/>
  <c r="BH49" i="25"/>
  <c r="BI49" i="25"/>
  <c r="BJ49" i="25"/>
  <c r="BK49" i="25"/>
  <c r="BL49" i="25"/>
  <c r="BM49" i="25"/>
  <c r="BN49" i="25"/>
  <c r="BO49" i="25"/>
  <c r="BP49" i="25"/>
  <c r="BH50" i="25"/>
  <c r="BI50" i="25"/>
  <c r="BJ50" i="25"/>
  <c r="BK50" i="25"/>
  <c r="BL50" i="25"/>
  <c r="BM50" i="25"/>
  <c r="BN50" i="25"/>
  <c r="BO50" i="25"/>
  <c r="BP50" i="25"/>
  <c r="BH51" i="25"/>
  <c r="BI51" i="25"/>
  <c r="BJ51" i="25"/>
  <c r="BK51" i="25"/>
  <c r="BL51" i="25"/>
  <c r="BM51" i="25"/>
  <c r="BN51" i="25"/>
  <c r="BO51" i="25"/>
  <c r="BP51" i="25"/>
  <c r="BH52" i="25"/>
  <c r="BI52" i="25"/>
  <c r="BJ52" i="25"/>
  <c r="BK52" i="25"/>
  <c r="BL52" i="25"/>
  <c r="BM52" i="25"/>
  <c r="BN52" i="25"/>
  <c r="BO52" i="25"/>
  <c r="BP52" i="25"/>
  <c r="BH53" i="25"/>
  <c r="BI53" i="25"/>
  <c r="BJ53" i="25"/>
  <c r="BK53" i="25"/>
  <c r="BL53" i="25"/>
  <c r="BM53" i="25"/>
  <c r="BN53" i="25"/>
  <c r="BO53" i="25"/>
  <c r="BP53" i="25"/>
  <c r="BH54" i="25"/>
  <c r="BI54" i="25"/>
  <c r="BJ54" i="25"/>
  <c r="BK54" i="25"/>
  <c r="BL54" i="25"/>
  <c r="BM54" i="25"/>
  <c r="BN54" i="25"/>
  <c r="BO54" i="25"/>
  <c r="BP54" i="25"/>
  <c r="BH55" i="25"/>
  <c r="BI55" i="25"/>
  <c r="BJ55" i="25"/>
  <c r="BK55" i="25"/>
  <c r="BL55" i="25"/>
  <c r="BM55" i="25"/>
  <c r="BN55" i="25"/>
  <c r="BO55" i="25"/>
  <c r="BP55" i="25"/>
  <c r="BH56" i="25"/>
  <c r="BI56" i="25"/>
  <c r="BJ56" i="25"/>
  <c r="BK56" i="25"/>
  <c r="BL56" i="25"/>
  <c r="BM56" i="25"/>
  <c r="BN56" i="25"/>
  <c r="BO56" i="25"/>
  <c r="BP56" i="25"/>
  <c r="BH57" i="25"/>
  <c r="BI57" i="25"/>
  <c r="BJ57" i="25"/>
  <c r="BK57" i="25"/>
  <c r="BL57" i="25"/>
  <c r="BM57" i="25"/>
  <c r="BN57" i="25"/>
  <c r="BO57" i="25"/>
  <c r="BP57" i="25"/>
  <c r="BH58" i="25"/>
  <c r="BI58" i="25"/>
  <c r="BJ58" i="25"/>
  <c r="BK58" i="25"/>
  <c r="BL58" i="25"/>
  <c r="BM58" i="25"/>
  <c r="BN58" i="25"/>
  <c r="BO58" i="25"/>
  <c r="BP58" i="25"/>
  <c r="BH59" i="25"/>
  <c r="BI59" i="25"/>
  <c r="BJ59" i="25"/>
  <c r="BK59" i="25"/>
  <c r="BL59" i="25"/>
  <c r="BM59" i="25"/>
  <c r="BN59" i="25"/>
  <c r="BO59" i="25"/>
  <c r="BP59" i="25"/>
  <c r="BH60" i="25"/>
  <c r="BI60" i="25"/>
  <c r="BJ60" i="25"/>
  <c r="BK60" i="25"/>
  <c r="BL60" i="25"/>
  <c r="BM60" i="25"/>
  <c r="BN60" i="25"/>
  <c r="BO60" i="25"/>
  <c r="BP60" i="25"/>
  <c r="BH61" i="25"/>
  <c r="BI61" i="25"/>
  <c r="BJ61" i="25"/>
  <c r="BK61" i="25"/>
  <c r="BL61" i="25"/>
  <c r="BM61" i="25"/>
  <c r="BN61" i="25"/>
  <c r="BO61" i="25"/>
  <c r="BP61" i="25"/>
  <c r="BH62" i="25"/>
  <c r="BI62" i="25"/>
  <c r="BJ62" i="25"/>
  <c r="BK62" i="25"/>
  <c r="BL62" i="25"/>
  <c r="BM62" i="25"/>
  <c r="BN62" i="25"/>
  <c r="BO62" i="25"/>
  <c r="BP62" i="25"/>
  <c r="BH63" i="25"/>
  <c r="BI63" i="25"/>
  <c r="BJ63" i="25"/>
  <c r="BK63" i="25"/>
  <c r="BL63" i="25"/>
  <c r="BM63" i="25"/>
  <c r="BN63" i="25"/>
  <c r="BO63" i="25"/>
  <c r="BP63" i="25"/>
  <c r="BH64" i="25"/>
  <c r="BI64" i="25"/>
  <c r="BJ64" i="25"/>
  <c r="BK64" i="25"/>
  <c r="BL64" i="25"/>
  <c r="BM64" i="25"/>
  <c r="BN64" i="25"/>
  <c r="BO64" i="25"/>
  <c r="BP64" i="25"/>
  <c r="BH65" i="25"/>
  <c r="BI65" i="25"/>
  <c r="BJ65" i="25"/>
  <c r="BK65" i="25"/>
  <c r="BL65" i="25"/>
  <c r="BM65" i="25"/>
  <c r="BN65" i="25"/>
  <c r="BO65" i="25"/>
  <c r="BP65" i="25"/>
  <c r="BH66" i="25"/>
  <c r="BI66" i="25"/>
  <c r="BJ66" i="25"/>
  <c r="BK66" i="25"/>
  <c r="BL66" i="25"/>
  <c r="BM66" i="25"/>
  <c r="BN66" i="25"/>
  <c r="BO66" i="25"/>
  <c r="BP66" i="25"/>
  <c r="BH67" i="25"/>
  <c r="BI67" i="25"/>
  <c r="BJ67" i="25"/>
  <c r="BK67" i="25"/>
  <c r="BL67" i="25"/>
  <c r="BM67" i="25"/>
  <c r="BN67" i="25"/>
  <c r="BO67" i="25"/>
  <c r="BP67" i="25"/>
  <c r="BH68" i="25"/>
  <c r="BI68" i="25"/>
  <c r="BJ68" i="25"/>
  <c r="BK68" i="25"/>
  <c r="BL68" i="25"/>
  <c r="BM68" i="25"/>
  <c r="BN68" i="25"/>
  <c r="BO68" i="25"/>
  <c r="BP68" i="25"/>
  <c r="BH69" i="25"/>
  <c r="BI69" i="25"/>
  <c r="BJ69" i="25"/>
  <c r="BK69" i="25"/>
  <c r="BL69" i="25"/>
  <c r="BM69" i="25"/>
  <c r="BN69" i="25"/>
  <c r="BO69" i="25"/>
  <c r="BP69" i="25"/>
  <c r="BH70" i="25"/>
  <c r="BI70" i="25"/>
  <c r="BJ70" i="25"/>
  <c r="BK70" i="25"/>
  <c r="BL70" i="25"/>
  <c r="BM70" i="25"/>
  <c r="BN70" i="25"/>
  <c r="BO70" i="25"/>
  <c r="BP70" i="25"/>
  <c r="BH71" i="25"/>
  <c r="BI71" i="25"/>
  <c r="BJ71" i="25"/>
  <c r="BK71" i="25"/>
  <c r="BL71" i="25"/>
  <c r="BM71" i="25"/>
  <c r="BN71" i="25"/>
  <c r="BO71" i="25"/>
  <c r="BP71" i="25"/>
  <c r="BH72" i="25"/>
  <c r="BI72" i="25"/>
  <c r="BJ72" i="25"/>
  <c r="BK72" i="25"/>
  <c r="BL72" i="25"/>
  <c r="BM72" i="25"/>
  <c r="BN72" i="25"/>
  <c r="BO72" i="25"/>
  <c r="BP72" i="25"/>
  <c r="BH73" i="25"/>
  <c r="BI73" i="25"/>
  <c r="BJ73" i="25"/>
  <c r="BK73" i="25"/>
  <c r="BL73" i="25"/>
  <c r="BM73" i="25"/>
  <c r="BN73" i="25"/>
  <c r="BO73" i="25"/>
  <c r="BP73" i="25"/>
  <c r="BH74" i="25"/>
  <c r="BI74" i="25"/>
  <c r="BJ74" i="25"/>
  <c r="BK74" i="25"/>
  <c r="BL74" i="25"/>
  <c r="BM74" i="25"/>
  <c r="BN74" i="25"/>
  <c r="BO74" i="25"/>
  <c r="BP74" i="25"/>
  <c r="BH75" i="25"/>
  <c r="BI75" i="25"/>
  <c r="BJ75" i="25"/>
  <c r="BK75" i="25"/>
  <c r="BL75" i="25"/>
  <c r="BM75" i="25"/>
  <c r="BN75" i="25"/>
  <c r="BO75" i="25"/>
  <c r="BP75" i="25"/>
  <c r="BH76" i="25"/>
  <c r="BI76" i="25"/>
  <c r="BJ76" i="25"/>
  <c r="BK76" i="25"/>
  <c r="BL76" i="25"/>
  <c r="BM76" i="25"/>
  <c r="BN76" i="25"/>
  <c r="BO76" i="25"/>
  <c r="BP76" i="25"/>
  <c r="BH77" i="25"/>
  <c r="BI77" i="25"/>
  <c r="BJ77" i="25"/>
  <c r="BK77" i="25"/>
  <c r="BL77" i="25"/>
  <c r="BM77" i="25"/>
  <c r="BN77" i="25"/>
  <c r="BO77" i="25"/>
  <c r="BP77" i="25"/>
  <c r="BH78" i="25"/>
  <c r="BI78" i="25"/>
  <c r="BJ78" i="25"/>
  <c r="BK78" i="25"/>
  <c r="BL78" i="25"/>
  <c r="BM78" i="25"/>
  <c r="BN78" i="25"/>
  <c r="BO78" i="25"/>
  <c r="BP78" i="25"/>
  <c r="BH79" i="25"/>
  <c r="BI79" i="25"/>
  <c r="BJ79" i="25"/>
  <c r="BK79" i="25"/>
  <c r="BL79" i="25"/>
  <c r="BM79" i="25"/>
  <c r="BN79" i="25"/>
  <c r="BO79" i="25"/>
  <c r="BP79" i="25"/>
  <c r="BH80" i="25"/>
  <c r="BI80" i="25"/>
  <c r="BJ80" i="25"/>
  <c r="BK80" i="25"/>
  <c r="BL80" i="25"/>
  <c r="BM80" i="25"/>
  <c r="BN80" i="25"/>
  <c r="BO80" i="25"/>
  <c r="BP80" i="25"/>
  <c r="BH81" i="25"/>
  <c r="BI81" i="25"/>
  <c r="BJ81" i="25"/>
  <c r="BK81" i="25"/>
  <c r="BL81" i="25"/>
  <c r="BM81" i="25"/>
  <c r="BN81" i="25"/>
  <c r="BO81" i="25"/>
  <c r="BP81" i="25"/>
  <c r="BH82" i="25"/>
  <c r="BI82" i="25"/>
  <c r="BJ82" i="25"/>
  <c r="BK82" i="25"/>
  <c r="BL82" i="25"/>
  <c r="BM82" i="25"/>
  <c r="BN82" i="25"/>
  <c r="BO82" i="25"/>
  <c r="BP82" i="25"/>
  <c r="BH83" i="25"/>
  <c r="BI83" i="25"/>
  <c r="BJ83" i="25"/>
  <c r="BK83" i="25"/>
  <c r="BL83" i="25"/>
  <c r="BM83" i="25"/>
  <c r="BN83" i="25"/>
  <c r="BO83" i="25"/>
  <c r="BP83" i="25"/>
  <c r="BH84" i="25"/>
  <c r="BI84" i="25"/>
  <c r="BJ84" i="25"/>
  <c r="BK84" i="25"/>
  <c r="BL84" i="25"/>
  <c r="BM84" i="25"/>
  <c r="BN84" i="25"/>
  <c r="BO84" i="25"/>
  <c r="BP84" i="25"/>
  <c r="BH85" i="25"/>
  <c r="BI85" i="25"/>
  <c r="BJ85" i="25"/>
  <c r="BK85" i="25"/>
  <c r="BL85" i="25"/>
  <c r="BM85" i="25"/>
  <c r="BN85" i="25"/>
  <c r="BO85" i="25"/>
  <c r="BP85" i="25"/>
  <c r="BH86" i="25"/>
  <c r="BI86" i="25"/>
  <c r="BJ86" i="25"/>
  <c r="BK86" i="25"/>
  <c r="BL86" i="25"/>
  <c r="BM86" i="25"/>
  <c r="BN86" i="25"/>
  <c r="BO86" i="25"/>
  <c r="BP86" i="25"/>
  <c r="BH87" i="25"/>
  <c r="BI87" i="25"/>
  <c r="BJ87" i="25"/>
  <c r="BK87" i="25"/>
  <c r="BL87" i="25"/>
  <c r="BM87" i="25"/>
  <c r="BN87" i="25"/>
  <c r="BO87" i="25"/>
  <c r="BP87" i="25"/>
  <c r="BH88" i="25"/>
  <c r="BI88" i="25"/>
  <c r="BJ88" i="25"/>
  <c r="BK88" i="25"/>
  <c r="BL88" i="25"/>
  <c r="BM88" i="25"/>
  <c r="BN88" i="25"/>
  <c r="BO88" i="25"/>
  <c r="BP88" i="25"/>
  <c r="BH89" i="25"/>
  <c r="BI89" i="25"/>
  <c r="BJ89" i="25"/>
  <c r="BK89" i="25"/>
  <c r="BL89" i="25"/>
  <c r="BM89" i="25"/>
  <c r="BN89" i="25"/>
  <c r="BO89" i="25"/>
  <c r="BP89" i="25"/>
  <c r="BH90" i="25"/>
  <c r="BI90" i="25"/>
  <c r="BJ90" i="25"/>
  <c r="BK90" i="25"/>
  <c r="BL90" i="25"/>
  <c r="BM90" i="25"/>
  <c r="BN90" i="25"/>
  <c r="BO90" i="25"/>
  <c r="BP90" i="25"/>
  <c r="BH91" i="25"/>
  <c r="BI91" i="25"/>
  <c r="BJ91" i="25"/>
  <c r="BK91" i="25"/>
  <c r="BL91" i="25"/>
  <c r="BM91" i="25"/>
  <c r="BN91" i="25"/>
  <c r="BO91" i="25"/>
  <c r="BP91" i="25"/>
  <c r="BH92" i="25"/>
  <c r="BI92" i="25"/>
  <c r="BJ92" i="25"/>
  <c r="BK92" i="25"/>
  <c r="BL92" i="25"/>
  <c r="BM92" i="25"/>
  <c r="BN92" i="25"/>
  <c r="BO92" i="25"/>
  <c r="BP92" i="25"/>
  <c r="BH93" i="25"/>
  <c r="BI93" i="25"/>
  <c r="BJ93" i="25"/>
  <c r="BK93" i="25"/>
  <c r="BL93" i="25"/>
  <c r="BM93" i="25"/>
  <c r="BN93" i="25"/>
  <c r="BO93" i="25"/>
  <c r="BP93" i="25"/>
  <c r="BH94" i="25"/>
  <c r="BI94" i="25"/>
  <c r="BJ94" i="25"/>
  <c r="BK94" i="25"/>
  <c r="BL94" i="25"/>
  <c r="BM94" i="25"/>
  <c r="BN94" i="25"/>
  <c r="BO94" i="25"/>
  <c r="BP94" i="25"/>
  <c r="BH95" i="25"/>
  <c r="BI95" i="25"/>
  <c r="BJ95" i="25"/>
  <c r="BK95" i="25"/>
  <c r="BL95" i="25"/>
  <c r="BM95" i="25"/>
  <c r="BN95" i="25"/>
  <c r="BO95" i="25"/>
  <c r="BP95" i="25"/>
  <c r="BH96" i="25"/>
  <c r="BI96" i="25"/>
  <c r="BJ96" i="25"/>
  <c r="BK96" i="25"/>
  <c r="BL96" i="25"/>
  <c r="BM96" i="25"/>
  <c r="BN96" i="25"/>
  <c r="BO96" i="25"/>
  <c r="BP96" i="25"/>
  <c r="BH97" i="25"/>
  <c r="BI97" i="25"/>
  <c r="BJ97" i="25"/>
  <c r="BK97" i="25"/>
  <c r="BL97" i="25"/>
  <c r="BM97" i="25"/>
  <c r="BN97" i="25"/>
  <c r="BO97" i="25"/>
  <c r="BP97" i="25"/>
  <c r="BH98" i="25"/>
  <c r="BI98" i="25"/>
  <c r="BJ98" i="25"/>
  <c r="BK98" i="25"/>
  <c r="BL98" i="25"/>
  <c r="BM98" i="25"/>
  <c r="BN98" i="25"/>
  <c r="BO98" i="25"/>
  <c r="BP98" i="25"/>
  <c r="BH99" i="25"/>
  <c r="BI99" i="25"/>
  <c r="BJ99" i="25"/>
  <c r="BK99" i="25"/>
  <c r="BL99" i="25"/>
  <c r="BM99" i="25"/>
  <c r="BN99" i="25"/>
  <c r="BO99" i="25"/>
  <c r="BP99" i="25"/>
  <c r="BH100" i="25"/>
  <c r="BI100" i="25"/>
  <c r="BJ100" i="25"/>
  <c r="BK100" i="25"/>
  <c r="BL100" i="25"/>
  <c r="BM100" i="25"/>
  <c r="BN100" i="25"/>
  <c r="BO100" i="25"/>
  <c r="BP100" i="25"/>
  <c r="BH101" i="25"/>
  <c r="BI101" i="25"/>
  <c r="BJ101" i="25"/>
  <c r="BK101" i="25"/>
  <c r="BL101" i="25"/>
  <c r="BM101" i="25"/>
  <c r="BN101" i="25"/>
  <c r="BO101" i="25"/>
  <c r="BP101" i="25"/>
  <c r="BH102" i="25"/>
  <c r="BI102" i="25"/>
  <c r="BJ102" i="25"/>
  <c r="BK102" i="25"/>
  <c r="BL102" i="25"/>
  <c r="BM102" i="25"/>
  <c r="BN102" i="25"/>
  <c r="BO102" i="25"/>
  <c r="BP102" i="25"/>
  <c r="BH103" i="25"/>
  <c r="BI103" i="25"/>
  <c r="BJ103" i="25"/>
  <c r="BK103" i="25"/>
  <c r="BL103" i="25"/>
  <c r="BM103" i="25"/>
  <c r="BN103" i="25"/>
  <c r="BO103" i="25"/>
  <c r="BP103" i="25"/>
  <c r="BH104" i="25"/>
  <c r="BI104" i="25"/>
  <c r="BJ104" i="25"/>
  <c r="BK104" i="25"/>
  <c r="BL104" i="25"/>
  <c r="BM104" i="25"/>
  <c r="BN104" i="25"/>
  <c r="BO104" i="25"/>
  <c r="BP104" i="25"/>
  <c r="BH105" i="25"/>
  <c r="BI105" i="25"/>
  <c r="BJ105" i="25"/>
  <c r="BK105" i="25"/>
  <c r="BL105" i="25"/>
  <c r="BM105" i="25"/>
  <c r="BN105" i="25"/>
  <c r="BO105" i="25"/>
  <c r="BP105" i="25"/>
  <c r="BH106" i="25"/>
  <c r="BI106" i="25"/>
  <c r="BJ106" i="25"/>
  <c r="BK106" i="25"/>
  <c r="BL106" i="25"/>
  <c r="BM106" i="25"/>
  <c r="BN106" i="25"/>
  <c r="BO106" i="25"/>
  <c r="BP106" i="25"/>
  <c r="BH107" i="25"/>
  <c r="BI107" i="25"/>
  <c r="BJ107" i="25"/>
  <c r="BK107" i="25"/>
  <c r="BL107" i="25"/>
  <c r="BM107" i="25"/>
  <c r="BN107" i="25"/>
  <c r="BO107" i="25"/>
  <c r="BP107" i="25"/>
  <c r="BH108" i="25"/>
  <c r="BI108" i="25"/>
  <c r="BJ108" i="25"/>
  <c r="BK108" i="25"/>
  <c r="BL108" i="25"/>
  <c r="BM108" i="25"/>
  <c r="BN108" i="25"/>
  <c r="BO108" i="25"/>
  <c r="BP108" i="25"/>
  <c r="BH109" i="25"/>
  <c r="BI109" i="25"/>
  <c r="BJ109" i="25"/>
  <c r="BK109" i="25"/>
  <c r="BL109" i="25"/>
  <c r="BM109" i="25"/>
  <c r="BN109" i="25"/>
  <c r="BO109" i="25"/>
  <c r="BP109" i="25"/>
  <c r="BH110" i="25"/>
  <c r="BI110" i="25"/>
  <c r="BJ110" i="25"/>
  <c r="BK110" i="25"/>
  <c r="BL110" i="25"/>
  <c r="BM110" i="25"/>
  <c r="BN110" i="25"/>
  <c r="BO110" i="25"/>
  <c r="BP110" i="25"/>
  <c r="BH111" i="25"/>
  <c r="BI111" i="25"/>
  <c r="BJ111" i="25"/>
  <c r="BK111" i="25"/>
  <c r="BL111" i="25"/>
  <c r="BM111" i="25"/>
  <c r="BN111" i="25"/>
  <c r="BO111" i="25"/>
  <c r="BP111" i="25"/>
  <c r="BH112" i="25"/>
  <c r="BI112" i="25"/>
  <c r="BJ112" i="25"/>
  <c r="BK112" i="25"/>
  <c r="BL112" i="25"/>
  <c r="BM112" i="25"/>
  <c r="BN112" i="25"/>
  <c r="BO112" i="25"/>
  <c r="BP112" i="25"/>
  <c r="BH113" i="25"/>
  <c r="BI113" i="25"/>
  <c r="BJ113" i="25"/>
  <c r="BK113" i="25"/>
  <c r="BL113" i="25"/>
  <c r="BM113" i="25"/>
  <c r="BN113" i="25"/>
  <c r="BO113" i="25"/>
  <c r="BP113" i="25"/>
  <c r="BH114" i="25"/>
  <c r="BI114" i="25"/>
  <c r="BJ114" i="25"/>
  <c r="BK114" i="25"/>
  <c r="BL114" i="25"/>
  <c r="BM114" i="25"/>
  <c r="BN114" i="25"/>
  <c r="BO114" i="25"/>
  <c r="BP114" i="25"/>
  <c r="BH115" i="25"/>
  <c r="BI115" i="25"/>
  <c r="BJ115" i="25"/>
  <c r="BK115" i="25"/>
  <c r="BL115" i="25"/>
  <c r="BM115" i="25"/>
  <c r="BN115" i="25"/>
  <c r="BO115" i="25"/>
  <c r="BP115" i="25"/>
  <c r="BH116" i="25"/>
  <c r="BI116" i="25"/>
  <c r="BJ116" i="25"/>
  <c r="BK116" i="25"/>
  <c r="BL116" i="25"/>
  <c r="BM116" i="25"/>
  <c r="BN116" i="25"/>
  <c r="BO116" i="25"/>
  <c r="BP116" i="25"/>
  <c r="BH117" i="25"/>
  <c r="BI117" i="25"/>
  <c r="BJ117" i="25"/>
  <c r="BK117" i="25"/>
  <c r="BL117" i="25"/>
  <c r="BM117" i="25"/>
  <c r="BN117" i="25"/>
  <c r="BO117" i="25"/>
  <c r="BP117" i="25"/>
  <c r="BH118" i="25"/>
  <c r="BI118" i="25"/>
  <c r="BJ118" i="25"/>
  <c r="BK118" i="25"/>
  <c r="BL118" i="25"/>
  <c r="BM118" i="25"/>
  <c r="BN118" i="25"/>
  <c r="BO118" i="25"/>
  <c r="BP118" i="25"/>
  <c r="BH119" i="25"/>
  <c r="BI119" i="25"/>
  <c r="BJ119" i="25"/>
  <c r="BK119" i="25"/>
  <c r="BL119" i="25"/>
  <c r="BM119" i="25"/>
  <c r="BN119" i="25"/>
  <c r="BO119" i="25"/>
  <c r="BP119" i="25"/>
  <c r="BP4" i="25"/>
  <c r="BO4" i="25"/>
  <c r="BN4" i="25"/>
  <c r="BM4" i="25"/>
  <c r="BL4" i="25"/>
  <c r="BK4" i="25"/>
  <c r="BJ4" i="25"/>
  <c r="BI4" i="25"/>
  <c r="BH4" i="25"/>
  <c r="AX5" i="25"/>
  <c r="AY5" i="25"/>
  <c r="AZ5" i="25"/>
  <c r="BA5" i="25"/>
  <c r="BB5" i="25"/>
  <c r="BC5" i="25"/>
  <c r="BD5" i="25"/>
  <c r="BE5" i="25"/>
  <c r="AX6" i="25"/>
  <c r="AY6" i="25"/>
  <c r="AZ6" i="25"/>
  <c r="BA6" i="25"/>
  <c r="BB6" i="25"/>
  <c r="BC6" i="25"/>
  <c r="BD6" i="25"/>
  <c r="BE6" i="25"/>
  <c r="AX7" i="25"/>
  <c r="AY7" i="25"/>
  <c r="AZ7" i="25"/>
  <c r="BA7" i="25"/>
  <c r="BB7" i="25"/>
  <c r="BC7" i="25"/>
  <c r="BD7" i="25"/>
  <c r="BE7" i="25"/>
  <c r="AX8" i="25"/>
  <c r="AY8" i="25"/>
  <c r="AZ8" i="25"/>
  <c r="BA8" i="25"/>
  <c r="BB8" i="25"/>
  <c r="BC8" i="25"/>
  <c r="BD8" i="25"/>
  <c r="BE8" i="25"/>
  <c r="AX9" i="25"/>
  <c r="AY9" i="25"/>
  <c r="AZ9" i="25"/>
  <c r="BA9" i="25"/>
  <c r="BB9" i="25"/>
  <c r="BC9" i="25"/>
  <c r="BD9" i="25"/>
  <c r="BE9" i="25"/>
  <c r="AX10" i="25"/>
  <c r="AY10" i="25"/>
  <c r="AZ10" i="25"/>
  <c r="BA10" i="25"/>
  <c r="BB10" i="25"/>
  <c r="BC10" i="25"/>
  <c r="BD10" i="25"/>
  <c r="BE10" i="25"/>
  <c r="AX11" i="25"/>
  <c r="AY11" i="25"/>
  <c r="AZ11" i="25"/>
  <c r="BA11" i="25"/>
  <c r="BB11" i="25"/>
  <c r="BC11" i="25"/>
  <c r="BD11" i="25"/>
  <c r="BE11" i="25"/>
  <c r="AX12" i="25"/>
  <c r="AY12" i="25"/>
  <c r="AZ12" i="25"/>
  <c r="BA12" i="25"/>
  <c r="BB12" i="25"/>
  <c r="BC12" i="25"/>
  <c r="BD12" i="25"/>
  <c r="BE12" i="25"/>
  <c r="AX13" i="25"/>
  <c r="AY13" i="25"/>
  <c r="AZ13" i="25"/>
  <c r="BA13" i="25"/>
  <c r="BB13" i="25"/>
  <c r="BC13" i="25"/>
  <c r="BD13" i="25"/>
  <c r="BE13" i="25"/>
  <c r="AX14" i="25"/>
  <c r="AY14" i="25"/>
  <c r="AZ14" i="25"/>
  <c r="BA14" i="25"/>
  <c r="BB14" i="25"/>
  <c r="BC14" i="25"/>
  <c r="BD14" i="25"/>
  <c r="BE14" i="25"/>
  <c r="AX15" i="25"/>
  <c r="AY15" i="25"/>
  <c r="AZ15" i="25"/>
  <c r="BA15" i="25"/>
  <c r="BB15" i="25"/>
  <c r="BC15" i="25"/>
  <c r="BD15" i="25"/>
  <c r="BE15" i="25"/>
  <c r="AX16" i="25"/>
  <c r="AY16" i="25"/>
  <c r="AZ16" i="25"/>
  <c r="BA16" i="25"/>
  <c r="BB16" i="25"/>
  <c r="BC16" i="25"/>
  <c r="BD16" i="25"/>
  <c r="BE16" i="25"/>
  <c r="AX17" i="25"/>
  <c r="AY17" i="25"/>
  <c r="AZ17" i="25"/>
  <c r="BA17" i="25"/>
  <c r="BB17" i="25"/>
  <c r="BC17" i="25"/>
  <c r="BD17" i="25"/>
  <c r="BE17" i="25"/>
  <c r="AX18" i="25"/>
  <c r="AY18" i="25"/>
  <c r="AZ18" i="25"/>
  <c r="BA18" i="25"/>
  <c r="BB18" i="25"/>
  <c r="BC18" i="25"/>
  <c r="BD18" i="25"/>
  <c r="BE18" i="25"/>
  <c r="AX19" i="25"/>
  <c r="AY19" i="25"/>
  <c r="AZ19" i="25"/>
  <c r="BA19" i="25"/>
  <c r="BB19" i="25"/>
  <c r="BC19" i="25"/>
  <c r="BD19" i="25"/>
  <c r="BE19" i="25"/>
  <c r="AX20" i="25"/>
  <c r="AY20" i="25"/>
  <c r="AZ20" i="25"/>
  <c r="BA20" i="25"/>
  <c r="BB20" i="25"/>
  <c r="BC20" i="25"/>
  <c r="BD20" i="25"/>
  <c r="BE20" i="25"/>
  <c r="AX21" i="25"/>
  <c r="AY21" i="25"/>
  <c r="AZ21" i="25"/>
  <c r="BA21" i="25"/>
  <c r="BB21" i="25"/>
  <c r="BC21" i="25"/>
  <c r="BD21" i="25"/>
  <c r="BE21" i="25"/>
  <c r="AX22" i="25"/>
  <c r="AY22" i="25"/>
  <c r="AZ22" i="25"/>
  <c r="BA22" i="25"/>
  <c r="BB22" i="25"/>
  <c r="BC22" i="25"/>
  <c r="BD22" i="25"/>
  <c r="BE22" i="25"/>
  <c r="AX23" i="25"/>
  <c r="AY23" i="25"/>
  <c r="AZ23" i="25"/>
  <c r="BA23" i="25"/>
  <c r="BB23" i="25"/>
  <c r="BC23" i="25"/>
  <c r="BD23" i="25"/>
  <c r="BE23" i="25"/>
  <c r="AX24" i="25"/>
  <c r="AY24" i="25"/>
  <c r="AZ24" i="25"/>
  <c r="BA24" i="25"/>
  <c r="BB24" i="25"/>
  <c r="BC24" i="25"/>
  <c r="BD24" i="25"/>
  <c r="BE24" i="25"/>
  <c r="AX25" i="25"/>
  <c r="AY25" i="25"/>
  <c r="AZ25" i="25"/>
  <c r="BA25" i="25"/>
  <c r="BB25" i="25"/>
  <c r="BC25" i="25"/>
  <c r="BD25" i="25"/>
  <c r="BE25" i="25"/>
  <c r="AX26" i="25"/>
  <c r="AY26" i="25"/>
  <c r="AZ26" i="25"/>
  <c r="BA26" i="25"/>
  <c r="BB26" i="25"/>
  <c r="BC26" i="25"/>
  <c r="BD26" i="25"/>
  <c r="BE26" i="25"/>
  <c r="AX27" i="25"/>
  <c r="AY27" i="25"/>
  <c r="AZ27" i="25"/>
  <c r="BA27" i="25"/>
  <c r="BB27" i="25"/>
  <c r="BC27" i="25"/>
  <c r="BD27" i="25"/>
  <c r="BE27" i="25"/>
  <c r="AX28" i="25"/>
  <c r="AY28" i="25"/>
  <c r="AZ28" i="25"/>
  <c r="BA28" i="25"/>
  <c r="BB28" i="25"/>
  <c r="BC28" i="25"/>
  <c r="BD28" i="25"/>
  <c r="BE28" i="25"/>
  <c r="AX29" i="25"/>
  <c r="AY29" i="25"/>
  <c r="AZ29" i="25"/>
  <c r="BA29" i="25"/>
  <c r="BB29" i="25"/>
  <c r="BC29" i="25"/>
  <c r="BD29" i="25"/>
  <c r="BE29" i="25"/>
  <c r="AX30" i="25"/>
  <c r="AY30" i="25"/>
  <c r="AZ30" i="25"/>
  <c r="BA30" i="25"/>
  <c r="BB30" i="25"/>
  <c r="BC30" i="25"/>
  <c r="BD30" i="25"/>
  <c r="BE30" i="25"/>
  <c r="AX31" i="25"/>
  <c r="AY31" i="25"/>
  <c r="AZ31" i="25"/>
  <c r="BA31" i="25"/>
  <c r="BB31" i="25"/>
  <c r="BC31" i="25"/>
  <c r="BD31" i="25"/>
  <c r="BE31" i="25"/>
  <c r="AX32" i="25"/>
  <c r="AY32" i="25"/>
  <c r="AZ32" i="25"/>
  <c r="BA32" i="25"/>
  <c r="BB32" i="25"/>
  <c r="BC32" i="25"/>
  <c r="BD32" i="25"/>
  <c r="BE32" i="25"/>
  <c r="AX33" i="25"/>
  <c r="AY33" i="25"/>
  <c r="AZ33" i="25"/>
  <c r="BA33" i="25"/>
  <c r="BB33" i="25"/>
  <c r="BC33" i="25"/>
  <c r="BD33" i="25"/>
  <c r="BE33" i="25"/>
  <c r="AX34" i="25"/>
  <c r="AY34" i="25"/>
  <c r="AZ34" i="25"/>
  <c r="BA34" i="25"/>
  <c r="BB34" i="25"/>
  <c r="BC34" i="25"/>
  <c r="BD34" i="25"/>
  <c r="BE34" i="25"/>
  <c r="AX35" i="25"/>
  <c r="AY35" i="25"/>
  <c r="AZ35" i="25"/>
  <c r="BA35" i="25"/>
  <c r="BB35" i="25"/>
  <c r="BC35" i="25"/>
  <c r="BD35" i="25"/>
  <c r="BE35" i="25"/>
  <c r="AX36" i="25"/>
  <c r="AY36" i="25"/>
  <c r="AZ36" i="25"/>
  <c r="BA36" i="25"/>
  <c r="BB36" i="25"/>
  <c r="BC36" i="25"/>
  <c r="BD36" i="25"/>
  <c r="BE36" i="25"/>
  <c r="AX37" i="25"/>
  <c r="AY37" i="25"/>
  <c r="AZ37" i="25"/>
  <c r="BA37" i="25"/>
  <c r="BB37" i="25"/>
  <c r="BC37" i="25"/>
  <c r="BD37" i="25"/>
  <c r="BE37" i="25"/>
  <c r="AX38" i="25"/>
  <c r="AY38" i="25"/>
  <c r="AZ38" i="25"/>
  <c r="BA38" i="25"/>
  <c r="BB38" i="25"/>
  <c r="BC38" i="25"/>
  <c r="BD38" i="25"/>
  <c r="BE38" i="25"/>
  <c r="AX39" i="25"/>
  <c r="AY39" i="25"/>
  <c r="AZ39" i="25"/>
  <c r="BA39" i="25"/>
  <c r="BB39" i="25"/>
  <c r="BC39" i="25"/>
  <c r="BD39" i="25"/>
  <c r="BE39" i="25"/>
  <c r="AX40" i="25"/>
  <c r="AY40" i="25"/>
  <c r="AZ40" i="25"/>
  <c r="BA40" i="25"/>
  <c r="BB40" i="25"/>
  <c r="BC40" i="25"/>
  <c r="BD40" i="25"/>
  <c r="BE40" i="25"/>
  <c r="AX41" i="25"/>
  <c r="AY41" i="25"/>
  <c r="AZ41" i="25"/>
  <c r="BA41" i="25"/>
  <c r="BB41" i="25"/>
  <c r="BC41" i="25"/>
  <c r="BD41" i="25"/>
  <c r="BE41" i="25"/>
  <c r="AX42" i="25"/>
  <c r="AY42" i="25"/>
  <c r="AZ42" i="25"/>
  <c r="BA42" i="25"/>
  <c r="BB42" i="25"/>
  <c r="BC42" i="25"/>
  <c r="BD42" i="25"/>
  <c r="BE42" i="25"/>
  <c r="AX43" i="25"/>
  <c r="AY43" i="25"/>
  <c r="AZ43" i="25"/>
  <c r="BA43" i="25"/>
  <c r="BB43" i="25"/>
  <c r="BC43" i="25"/>
  <c r="BD43" i="25"/>
  <c r="BE43" i="25"/>
  <c r="AX44" i="25"/>
  <c r="AY44" i="25"/>
  <c r="AZ44" i="25"/>
  <c r="BA44" i="25"/>
  <c r="BB44" i="25"/>
  <c r="BC44" i="25"/>
  <c r="BD44" i="25"/>
  <c r="BE44" i="25"/>
  <c r="AX45" i="25"/>
  <c r="AY45" i="25"/>
  <c r="AZ45" i="25"/>
  <c r="BA45" i="25"/>
  <c r="BB45" i="25"/>
  <c r="BC45" i="25"/>
  <c r="BD45" i="25"/>
  <c r="BE45" i="25"/>
  <c r="AX46" i="25"/>
  <c r="AY46" i="25"/>
  <c r="AZ46" i="25"/>
  <c r="BA46" i="25"/>
  <c r="BB46" i="25"/>
  <c r="BC46" i="25"/>
  <c r="BD46" i="25"/>
  <c r="BE46" i="25"/>
  <c r="AX47" i="25"/>
  <c r="AY47" i="25"/>
  <c r="AZ47" i="25"/>
  <c r="BA47" i="25"/>
  <c r="BB47" i="25"/>
  <c r="BC47" i="25"/>
  <c r="BD47" i="25"/>
  <c r="BE47" i="25"/>
  <c r="AX48" i="25"/>
  <c r="AY48" i="25"/>
  <c r="AZ48" i="25"/>
  <c r="BA48" i="25"/>
  <c r="BB48" i="25"/>
  <c r="BC48" i="25"/>
  <c r="BD48" i="25"/>
  <c r="BE48" i="25"/>
  <c r="AX49" i="25"/>
  <c r="AY49" i="25"/>
  <c r="AZ49" i="25"/>
  <c r="BA49" i="25"/>
  <c r="BB49" i="25"/>
  <c r="BC49" i="25"/>
  <c r="BD49" i="25"/>
  <c r="BE49" i="25"/>
  <c r="AX50" i="25"/>
  <c r="AY50" i="25"/>
  <c r="AZ50" i="25"/>
  <c r="BA50" i="25"/>
  <c r="BB50" i="25"/>
  <c r="BC50" i="25"/>
  <c r="BD50" i="25"/>
  <c r="BE50" i="25"/>
  <c r="AX51" i="25"/>
  <c r="AY51" i="25"/>
  <c r="AZ51" i="25"/>
  <c r="BA51" i="25"/>
  <c r="BB51" i="25"/>
  <c r="BC51" i="25"/>
  <c r="BD51" i="25"/>
  <c r="BE51" i="25"/>
  <c r="AX52" i="25"/>
  <c r="AY52" i="25"/>
  <c r="AZ52" i="25"/>
  <c r="BA52" i="25"/>
  <c r="BB52" i="25"/>
  <c r="BC52" i="25"/>
  <c r="BD52" i="25"/>
  <c r="BE52" i="25"/>
  <c r="AX53" i="25"/>
  <c r="AY53" i="25"/>
  <c r="AZ53" i="25"/>
  <c r="BA53" i="25"/>
  <c r="BB53" i="25"/>
  <c r="BC53" i="25"/>
  <c r="BD53" i="25"/>
  <c r="BE53" i="25"/>
  <c r="AX54" i="25"/>
  <c r="AY54" i="25"/>
  <c r="AZ54" i="25"/>
  <c r="BA54" i="25"/>
  <c r="BB54" i="25"/>
  <c r="BC54" i="25"/>
  <c r="BD54" i="25"/>
  <c r="BE54" i="25"/>
  <c r="AX55" i="25"/>
  <c r="AY55" i="25"/>
  <c r="AZ55" i="25"/>
  <c r="BA55" i="25"/>
  <c r="BB55" i="25"/>
  <c r="BC55" i="25"/>
  <c r="BD55" i="25"/>
  <c r="BE55" i="25"/>
  <c r="AX56" i="25"/>
  <c r="AY56" i="25"/>
  <c r="AZ56" i="25"/>
  <c r="BA56" i="25"/>
  <c r="BB56" i="25"/>
  <c r="BC56" i="25"/>
  <c r="BD56" i="25"/>
  <c r="BE56" i="25"/>
  <c r="AX57" i="25"/>
  <c r="AY57" i="25"/>
  <c r="AZ57" i="25"/>
  <c r="BA57" i="25"/>
  <c r="BB57" i="25"/>
  <c r="BC57" i="25"/>
  <c r="BD57" i="25"/>
  <c r="BE57" i="25"/>
  <c r="AX58" i="25"/>
  <c r="AY58" i="25"/>
  <c r="AZ58" i="25"/>
  <c r="BA58" i="25"/>
  <c r="BB58" i="25"/>
  <c r="BC58" i="25"/>
  <c r="BD58" i="25"/>
  <c r="BE58" i="25"/>
  <c r="AX59" i="25"/>
  <c r="AY59" i="25"/>
  <c r="AZ59" i="25"/>
  <c r="BA59" i="25"/>
  <c r="BB59" i="25"/>
  <c r="BC59" i="25"/>
  <c r="BD59" i="25"/>
  <c r="BE59" i="25"/>
  <c r="AX60" i="25"/>
  <c r="AY60" i="25"/>
  <c r="AZ60" i="25"/>
  <c r="BA60" i="25"/>
  <c r="BB60" i="25"/>
  <c r="BC60" i="25"/>
  <c r="BD60" i="25"/>
  <c r="BE60" i="25"/>
  <c r="AX61" i="25"/>
  <c r="AY61" i="25"/>
  <c r="AZ61" i="25"/>
  <c r="BA61" i="25"/>
  <c r="BB61" i="25"/>
  <c r="BC61" i="25"/>
  <c r="BD61" i="25"/>
  <c r="BE61" i="25"/>
  <c r="AX62" i="25"/>
  <c r="AY62" i="25"/>
  <c r="AZ62" i="25"/>
  <c r="BA62" i="25"/>
  <c r="BB62" i="25"/>
  <c r="BC62" i="25"/>
  <c r="BD62" i="25"/>
  <c r="BE62" i="25"/>
  <c r="AX63" i="25"/>
  <c r="AY63" i="25"/>
  <c r="AZ63" i="25"/>
  <c r="BA63" i="25"/>
  <c r="BB63" i="25"/>
  <c r="BC63" i="25"/>
  <c r="BD63" i="25"/>
  <c r="BE63" i="25"/>
  <c r="AX64" i="25"/>
  <c r="AY64" i="25"/>
  <c r="AZ64" i="25"/>
  <c r="BA64" i="25"/>
  <c r="BB64" i="25"/>
  <c r="BC64" i="25"/>
  <c r="BD64" i="25"/>
  <c r="BE64" i="25"/>
  <c r="AX65" i="25"/>
  <c r="AY65" i="25"/>
  <c r="AZ65" i="25"/>
  <c r="BA65" i="25"/>
  <c r="BB65" i="25"/>
  <c r="BC65" i="25"/>
  <c r="BD65" i="25"/>
  <c r="BE65" i="25"/>
  <c r="AX66" i="25"/>
  <c r="AY66" i="25"/>
  <c r="AZ66" i="25"/>
  <c r="BA66" i="25"/>
  <c r="BB66" i="25"/>
  <c r="BC66" i="25"/>
  <c r="BD66" i="25"/>
  <c r="BE66" i="25"/>
  <c r="AX67" i="25"/>
  <c r="AY67" i="25"/>
  <c r="AZ67" i="25"/>
  <c r="BA67" i="25"/>
  <c r="BB67" i="25"/>
  <c r="BC67" i="25"/>
  <c r="BD67" i="25"/>
  <c r="BE67" i="25"/>
  <c r="AX68" i="25"/>
  <c r="AY68" i="25"/>
  <c r="AZ68" i="25"/>
  <c r="BA68" i="25"/>
  <c r="BB68" i="25"/>
  <c r="BC68" i="25"/>
  <c r="BD68" i="25"/>
  <c r="BE68" i="25"/>
  <c r="AX69" i="25"/>
  <c r="AY69" i="25"/>
  <c r="AZ69" i="25"/>
  <c r="BA69" i="25"/>
  <c r="BB69" i="25"/>
  <c r="BC69" i="25"/>
  <c r="BD69" i="25"/>
  <c r="BE69" i="25"/>
  <c r="AX70" i="25"/>
  <c r="AY70" i="25"/>
  <c r="AZ70" i="25"/>
  <c r="BA70" i="25"/>
  <c r="BB70" i="25"/>
  <c r="BC70" i="25"/>
  <c r="BD70" i="25"/>
  <c r="BE70" i="25"/>
  <c r="AX71" i="25"/>
  <c r="AY71" i="25"/>
  <c r="AZ71" i="25"/>
  <c r="BA71" i="25"/>
  <c r="BB71" i="25"/>
  <c r="BC71" i="25"/>
  <c r="BD71" i="25"/>
  <c r="BE71" i="25"/>
  <c r="AX72" i="25"/>
  <c r="AY72" i="25"/>
  <c r="AZ72" i="25"/>
  <c r="BA72" i="25"/>
  <c r="BB72" i="25"/>
  <c r="BC72" i="25"/>
  <c r="BD72" i="25"/>
  <c r="BE72" i="25"/>
  <c r="AX73" i="25"/>
  <c r="AY73" i="25"/>
  <c r="AZ73" i="25"/>
  <c r="BA73" i="25"/>
  <c r="BB73" i="25"/>
  <c r="BC73" i="25"/>
  <c r="BD73" i="25"/>
  <c r="BE73" i="25"/>
  <c r="AX74" i="25"/>
  <c r="AY74" i="25"/>
  <c r="AZ74" i="25"/>
  <c r="BA74" i="25"/>
  <c r="BB74" i="25"/>
  <c r="BC74" i="25"/>
  <c r="BD74" i="25"/>
  <c r="BE74" i="25"/>
  <c r="AX75" i="25"/>
  <c r="AY75" i="25"/>
  <c r="AZ75" i="25"/>
  <c r="BA75" i="25"/>
  <c r="BB75" i="25"/>
  <c r="BC75" i="25"/>
  <c r="BD75" i="25"/>
  <c r="BE75" i="25"/>
  <c r="AX76" i="25"/>
  <c r="AY76" i="25"/>
  <c r="AZ76" i="25"/>
  <c r="BA76" i="25"/>
  <c r="BB76" i="25"/>
  <c r="BC76" i="25"/>
  <c r="BD76" i="25"/>
  <c r="BE76" i="25"/>
  <c r="AX77" i="25"/>
  <c r="AY77" i="25"/>
  <c r="AZ77" i="25"/>
  <c r="BA77" i="25"/>
  <c r="BB77" i="25"/>
  <c r="BC77" i="25"/>
  <c r="BD77" i="25"/>
  <c r="BE77" i="25"/>
  <c r="AX78" i="25"/>
  <c r="AY78" i="25"/>
  <c r="AZ78" i="25"/>
  <c r="BA78" i="25"/>
  <c r="BB78" i="25"/>
  <c r="BC78" i="25"/>
  <c r="BD78" i="25"/>
  <c r="BE78" i="25"/>
  <c r="AX79" i="25"/>
  <c r="AY79" i="25"/>
  <c r="AZ79" i="25"/>
  <c r="BA79" i="25"/>
  <c r="BB79" i="25"/>
  <c r="BC79" i="25"/>
  <c r="BD79" i="25"/>
  <c r="BE79" i="25"/>
  <c r="AX80" i="25"/>
  <c r="AY80" i="25"/>
  <c r="AZ80" i="25"/>
  <c r="BA80" i="25"/>
  <c r="BB80" i="25"/>
  <c r="BC80" i="25"/>
  <c r="BD80" i="25"/>
  <c r="BE80" i="25"/>
  <c r="AX81" i="25"/>
  <c r="AY81" i="25"/>
  <c r="AZ81" i="25"/>
  <c r="BA81" i="25"/>
  <c r="BB81" i="25"/>
  <c r="BC81" i="25"/>
  <c r="BD81" i="25"/>
  <c r="BE81" i="25"/>
  <c r="AX82" i="25"/>
  <c r="AY82" i="25"/>
  <c r="AZ82" i="25"/>
  <c r="BA82" i="25"/>
  <c r="BB82" i="25"/>
  <c r="BC82" i="25"/>
  <c r="BD82" i="25"/>
  <c r="BE82" i="25"/>
  <c r="AX83" i="25"/>
  <c r="AY83" i="25"/>
  <c r="AZ83" i="25"/>
  <c r="BA83" i="25"/>
  <c r="BB83" i="25"/>
  <c r="BC83" i="25"/>
  <c r="BD83" i="25"/>
  <c r="BE83" i="25"/>
  <c r="AX84" i="25"/>
  <c r="AY84" i="25"/>
  <c r="AZ84" i="25"/>
  <c r="BA84" i="25"/>
  <c r="BB84" i="25"/>
  <c r="BC84" i="25"/>
  <c r="BD84" i="25"/>
  <c r="BE84" i="25"/>
  <c r="AX85" i="25"/>
  <c r="AY85" i="25"/>
  <c r="AZ85" i="25"/>
  <c r="BA85" i="25"/>
  <c r="BB85" i="25"/>
  <c r="BC85" i="25"/>
  <c r="BD85" i="25"/>
  <c r="BE85" i="25"/>
  <c r="AX86" i="25"/>
  <c r="AY86" i="25"/>
  <c r="AZ86" i="25"/>
  <c r="BA86" i="25"/>
  <c r="BB86" i="25"/>
  <c r="BC86" i="25"/>
  <c r="BD86" i="25"/>
  <c r="BE86" i="25"/>
  <c r="AX87" i="25"/>
  <c r="AY87" i="25"/>
  <c r="AZ87" i="25"/>
  <c r="BA87" i="25"/>
  <c r="BB87" i="25"/>
  <c r="BC87" i="25"/>
  <c r="BD87" i="25"/>
  <c r="BE87" i="25"/>
  <c r="AX88" i="25"/>
  <c r="AY88" i="25"/>
  <c r="AZ88" i="25"/>
  <c r="BA88" i="25"/>
  <c r="BB88" i="25"/>
  <c r="BC88" i="25"/>
  <c r="BD88" i="25"/>
  <c r="BE88" i="25"/>
  <c r="AX89" i="25"/>
  <c r="AY89" i="25"/>
  <c r="AZ89" i="25"/>
  <c r="BA89" i="25"/>
  <c r="BB89" i="25"/>
  <c r="BC89" i="25"/>
  <c r="BD89" i="25"/>
  <c r="BE89" i="25"/>
  <c r="AX90" i="25"/>
  <c r="AY90" i="25"/>
  <c r="AZ90" i="25"/>
  <c r="BA90" i="25"/>
  <c r="BB90" i="25"/>
  <c r="BC90" i="25"/>
  <c r="BD90" i="25"/>
  <c r="BE90" i="25"/>
  <c r="AX91" i="25"/>
  <c r="AY91" i="25"/>
  <c r="AZ91" i="25"/>
  <c r="BA91" i="25"/>
  <c r="BB91" i="25"/>
  <c r="BC91" i="25"/>
  <c r="BD91" i="25"/>
  <c r="BE91" i="25"/>
  <c r="AX92" i="25"/>
  <c r="AY92" i="25"/>
  <c r="AZ92" i="25"/>
  <c r="BA92" i="25"/>
  <c r="BB92" i="25"/>
  <c r="BC92" i="25"/>
  <c r="BD92" i="25"/>
  <c r="BE92" i="25"/>
  <c r="AX93" i="25"/>
  <c r="AY93" i="25"/>
  <c r="AZ93" i="25"/>
  <c r="BA93" i="25"/>
  <c r="BB93" i="25"/>
  <c r="BC93" i="25"/>
  <c r="BD93" i="25"/>
  <c r="BE93" i="25"/>
  <c r="AX94" i="25"/>
  <c r="AY94" i="25"/>
  <c r="AZ94" i="25"/>
  <c r="BA94" i="25"/>
  <c r="BB94" i="25"/>
  <c r="BC94" i="25"/>
  <c r="BD94" i="25"/>
  <c r="BE94" i="25"/>
  <c r="AX95" i="25"/>
  <c r="AY95" i="25"/>
  <c r="AZ95" i="25"/>
  <c r="BA95" i="25"/>
  <c r="BB95" i="25"/>
  <c r="BC95" i="25"/>
  <c r="BD95" i="25"/>
  <c r="BE95" i="25"/>
  <c r="AX96" i="25"/>
  <c r="AY96" i="25"/>
  <c r="AZ96" i="25"/>
  <c r="BA96" i="25"/>
  <c r="BB96" i="25"/>
  <c r="BC96" i="25"/>
  <c r="BD96" i="25"/>
  <c r="BE96" i="25"/>
  <c r="AX97" i="25"/>
  <c r="AY97" i="25"/>
  <c r="AZ97" i="25"/>
  <c r="BA97" i="25"/>
  <c r="BB97" i="25"/>
  <c r="BC97" i="25"/>
  <c r="BD97" i="25"/>
  <c r="BE97" i="25"/>
  <c r="AX98" i="25"/>
  <c r="AY98" i="25"/>
  <c r="AZ98" i="25"/>
  <c r="BA98" i="25"/>
  <c r="BB98" i="25"/>
  <c r="BC98" i="25"/>
  <c r="BD98" i="25"/>
  <c r="BE98" i="25"/>
  <c r="AX99" i="25"/>
  <c r="AY99" i="25"/>
  <c r="AZ99" i="25"/>
  <c r="BA99" i="25"/>
  <c r="BB99" i="25"/>
  <c r="BC99" i="25"/>
  <c r="BD99" i="25"/>
  <c r="BE99" i="25"/>
  <c r="AX100" i="25"/>
  <c r="AY100" i="25"/>
  <c r="AZ100" i="25"/>
  <c r="BA100" i="25"/>
  <c r="BB100" i="25"/>
  <c r="BC100" i="25"/>
  <c r="BD100" i="25"/>
  <c r="BE100" i="25"/>
  <c r="AX101" i="25"/>
  <c r="AY101" i="25"/>
  <c r="AZ101" i="25"/>
  <c r="BA101" i="25"/>
  <c r="BB101" i="25"/>
  <c r="BC101" i="25"/>
  <c r="BD101" i="25"/>
  <c r="BE101" i="25"/>
  <c r="AX102" i="25"/>
  <c r="AY102" i="25"/>
  <c r="AZ102" i="25"/>
  <c r="BA102" i="25"/>
  <c r="BB102" i="25"/>
  <c r="BC102" i="25"/>
  <c r="BD102" i="25"/>
  <c r="BE102" i="25"/>
  <c r="AX103" i="25"/>
  <c r="AY103" i="25"/>
  <c r="AZ103" i="25"/>
  <c r="BA103" i="25"/>
  <c r="BB103" i="25"/>
  <c r="BC103" i="25"/>
  <c r="BD103" i="25"/>
  <c r="BE103" i="25"/>
  <c r="AX104" i="25"/>
  <c r="AY104" i="25"/>
  <c r="AZ104" i="25"/>
  <c r="BA104" i="25"/>
  <c r="BB104" i="25"/>
  <c r="BC104" i="25"/>
  <c r="BD104" i="25"/>
  <c r="BE104" i="25"/>
  <c r="AX105" i="25"/>
  <c r="AY105" i="25"/>
  <c r="AZ105" i="25"/>
  <c r="BA105" i="25"/>
  <c r="BB105" i="25"/>
  <c r="BC105" i="25"/>
  <c r="BD105" i="25"/>
  <c r="BE105" i="25"/>
  <c r="AX106" i="25"/>
  <c r="AY106" i="25"/>
  <c r="AZ106" i="25"/>
  <c r="BA106" i="25"/>
  <c r="BB106" i="25"/>
  <c r="BC106" i="25"/>
  <c r="BD106" i="25"/>
  <c r="BE106" i="25"/>
  <c r="AX107" i="25"/>
  <c r="AY107" i="25"/>
  <c r="AZ107" i="25"/>
  <c r="BA107" i="25"/>
  <c r="BB107" i="25"/>
  <c r="BC107" i="25"/>
  <c r="BD107" i="25"/>
  <c r="BE107" i="25"/>
  <c r="AX108" i="25"/>
  <c r="AY108" i="25"/>
  <c r="AZ108" i="25"/>
  <c r="BA108" i="25"/>
  <c r="BB108" i="25"/>
  <c r="BC108" i="25"/>
  <c r="BD108" i="25"/>
  <c r="BE108" i="25"/>
  <c r="AX109" i="25"/>
  <c r="AY109" i="25"/>
  <c r="AZ109" i="25"/>
  <c r="BA109" i="25"/>
  <c r="BB109" i="25"/>
  <c r="BC109" i="25"/>
  <c r="BD109" i="25"/>
  <c r="BE109" i="25"/>
  <c r="AX110" i="25"/>
  <c r="AY110" i="25"/>
  <c r="AZ110" i="25"/>
  <c r="BA110" i="25"/>
  <c r="BB110" i="25"/>
  <c r="BC110" i="25"/>
  <c r="BD110" i="25"/>
  <c r="BE110" i="25"/>
  <c r="AX111" i="25"/>
  <c r="AY111" i="25"/>
  <c r="AZ111" i="25"/>
  <c r="BA111" i="25"/>
  <c r="BB111" i="25"/>
  <c r="BC111" i="25"/>
  <c r="BD111" i="25"/>
  <c r="BE111" i="25"/>
  <c r="AX112" i="25"/>
  <c r="AY112" i="25"/>
  <c r="AZ112" i="25"/>
  <c r="BA112" i="25"/>
  <c r="BB112" i="25"/>
  <c r="BC112" i="25"/>
  <c r="BD112" i="25"/>
  <c r="BE112" i="25"/>
  <c r="AX113" i="25"/>
  <c r="AY113" i="25"/>
  <c r="AZ113" i="25"/>
  <c r="BA113" i="25"/>
  <c r="BB113" i="25"/>
  <c r="BC113" i="25"/>
  <c r="BD113" i="25"/>
  <c r="BE113" i="25"/>
  <c r="AX114" i="25"/>
  <c r="AY114" i="25"/>
  <c r="AZ114" i="25"/>
  <c r="BA114" i="25"/>
  <c r="BB114" i="25"/>
  <c r="BC114" i="25"/>
  <c r="BD114" i="25"/>
  <c r="BE114" i="25"/>
  <c r="AX115" i="25"/>
  <c r="AY115" i="25"/>
  <c r="AZ115" i="25"/>
  <c r="BA115" i="25"/>
  <c r="BB115" i="25"/>
  <c r="BC115" i="25"/>
  <c r="BD115" i="25"/>
  <c r="BE115" i="25"/>
  <c r="AX116" i="25"/>
  <c r="AY116" i="25"/>
  <c r="AZ116" i="25"/>
  <c r="BA116" i="25"/>
  <c r="BB116" i="25"/>
  <c r="BC116" i="25"/>
  <c r="BD116" i="25"/>
  <c r="BE116" i="25"/>
  <c r="AX117" i="25"/>
  <c r="AY117" i="25"/>
  <c r="AZ117" i="25"/>
  <c r="BA117" i="25"/>
  <c r="BB117" i="25"/>
  <c r="BC117" i="25"/>
  <c r="BD117" i="25"/>
  <c r="BE117" i="25"/>
  <c r="AX118" i="25"/>
  <c r="AY118" i="25"/>
  <c r="AZ118" i="25"/>
  <c r="BA118" i="25"/>
  <c r="BB118" i="25"/>
  <c r="BC118" i="25"/>
  <c r="BD118" i="25"/>
  <c r="BE118" i="25"/>
  <c r="AX119" i="25"/>
  <c r="AY119" i="25"/>
  <c r="AZ119" i="25"/>
  <c r="BA119" i="25"/>
  <c r="BB119" i="25"/>
  <c r="BC119" i="25"/>
  <c r="BD119" i="25"/>
  <c r="BE119" i="25"/>
  <c r="AY4" i="25"/>
  <c r="AZ4" i="25"/>
  <c r="BA4" i="25"/>
  <c r="BB4" i="25"/>
  <c r="BC4" i="25"/>
  <c r="BD4" i="25"/>
  <c r="BE4" i="25"/>
  <c r="AX4" i="25"/>
  <c r="AO5" i="25"/>
  <c r="AP5" i="25"/>
  <c r="AQ5" i="25"/>
  <c r="AR5" i="25"/>
  <c r="AS5" i="25"/>
  <c r="AT5" i="25"/>
  <c r="AU5" i="25"/>
  <c r="AV5" i="25"/>
  <c r="AO6" i="25"/>
  <c r="AP6" i="25"/>
  <c r="AQ6" i="25"/>
  <c r="AR6" i="25"/>
  <c r="AS6" i="25"/>
  <c r="AT6" i="25"/>
  <c r="AU6" i="25"/>
  <c r="AV6" i="25"/>
  <c r="AO7" i="25"/>
  <c r="AP7" i="25"/>
  <c r="AQ7" i="25"/>
  <c r="AR7" i="25"/>
  <c r="AS7" i="25"/>
  <c r="AT7" i="25"/>
  <c r="AU7" i="25"/>
  <c r="AV7" i="25"/>
  <c r="AO8" i="25"/>
  <c r="AP8" i="25"/>
  <c r="AQ8" i="25"/>
  <c r="AR8" i="25"/>
  <c r="AS8" i="25"/>
  <c r="AT8" i="25"/>
  <c r="AU8" i="25"/>
  <c r="AV8" i="25"/>
  <c r="AO9" i="25"/>
  <c r="AP9" i="25"/>
  <c r="AQ9" i="25"/>
  <c r="AR9" i="25"/>
  <c r="AS9" i="25"/>
  <c r="AT9" i="25"/>
  <c r="AU9" i="25"/>
  <c r="AV9" i="25"/>
  <c r="AO10" i="25"/>
  <c r="AP10" i="25"/>
  <c r="AQ10" i="25"/>
  <c r="AR10" i="25"/>
  <c r="AS10" i="25"/>
  <c r="AT10" i="25"/>
  <c r="AU10" i="25"/>
  <c r="AV10" i="25"/>
  <c r="AO11" i="25"/>
  <c r="AP11" i="25"/>
  <c r="AQ11" i="25"/>
  <c r="AR11" i="25"/>
  <c r="AS11" i="25"/>
  <c r="AT11" i="25"/>
  <c r="AU11" i="25"/>
  <c r="AV11" i="25"/>
  <c r="AO12" i="25"/>
  <c r="AP12" i="25"/>
  <c r="AQ12" i="25"/>
  <c r="AR12" i="25"/>
  <c r="AS12" i="25"/>
  <c r="AT12" i="25"/>
  <c r="AU12" i="25"/>
  <c r="AV12" i="25"/>
  <c r="AO13" i="25"/>
  <c r="AP13" i="25"/>
  <c r="AQ13" i="25"/>
  <c r="AR13" i="25"/>
  <c r="AS13" i="25"/>
  <c r="AT13" i="25"/>
  <c r="AU13" i="25"/>
  <c r="AV13" i="25"/>
  <c r="AO14" i="25"/>
  <c r="AP14" i="25"/>
  <c r="AQ14" i="25"/>
  <c r="AR14" i="25"/>
  <c r="AS14" i="25"/>
  <c r="AT14" i="25"/>
  <c r="AU14" i="25"/>
  <c r="AV14" i="25"/>
  <c r="AO15" i="25"/>
  <c r="AP15" i="25"/>
  <c r="AQ15" i="25"/>
  <c r="AR15" i="25"/>
  <c r="AS15" i="25"/>
  <c r="AT15" i="25"/>
  <c r="AU15" i="25"/>
  <c r="AV15" i="25"/>
  <c r="AO16" i="25"/>
  <c r="AP16" i="25"/>
  <c r="AQ16" i="25"/>
  <c r="AR16" i="25"/>
  <c r="AS16" i="25"/>
  <c r="AT16" i="25"/>
  <c r="AU16" i="25"/>
  <c r="AV16" i="25"/>
  <c r="AO17" i="25"/>
  <c r="AP17" i="25"/>
  <c r="AQ17" i="25"/>
  <c r="AR17" i="25"/>
  <c r="AS17" i="25"/>
  <c r="AT17" i="25"/>
  <c r="AU17" i="25"/>
  <c r="AV17" i="25"/>
  <c r="AO18" i="25"/>
  <c r="AP18" i="25"/>
  <c r="AQ18" i="25"/>
  <c r="AR18" i="25"/>
  <c r="AS18" i="25"/>
  <c r="AT18" i="25"/>
  <c r="AU18" i="25"/>
  <c r="AV18" i="25"/>
  <c r="AO19" i="25"/>
  <c r="AP19" i="25"/>
  <c r="AQ19" i="25"/>
  <c r="AR19" i="25"/>
  <c r="AS19" i="25"/>
  <c r="AT19" i="25"/>
  <c r="AU19" i="25"/>
  <c r="AV19" i="25"/>
  <c r="AO20" i="25"/>
  <c r="AP20" i="25"/>
  <c r="AQ20" i="25"/>
  <c r="AR20" i="25"/>
  <c r="AS20" i="25"/>
  <c r="AT20" i="25"/>
  <c r="AU20" i="25"/>
  <c r="AV20" i="25"/>
  <c r="AO21" i="25"/>
  <c r="AP21" i="25"/>
  <c r="AQ21" i="25"/>
  <c r="AR21" i="25"/>
  <c r="AS21" i="25"/>
  <c r="AT21" i="25"/>
  <c r="AU21" i="25"/>
  <c r="AV21" i="25"/>
  <c r="AO22" i="25"/>
  <c r="AP22" i="25"/>
  <c r="AQ22" i="25"/>
  <c r="AR22" i="25"/>
  <c r="AS22" i="25"/>
  <c r="AT22" i="25"/>
  <c r="AU22" i="25"/>
  <c r="AV22" i="25"/>
  <c r="AO23" i="25"/>
  <c r="AP23" i="25"/>
  <c r="AQ23" i="25"/>
  <c r="AR23" i="25"/>
  <c r="AS23" i="25"/>
  <c r="AT23" i="25"/>
  <c r="AU23" i="25"/>
  <c r="AV23" i="25"/>
  <c r="AO24" i="25"/>
  <c r="AP24" i="25"/>
  <c r="AQ24" i="25"/>
  <c r="AR24" i="25"/>
  <c r="AS24" i="25"/>
  <c r="AT24" i="25"/>
  <c r="AU24" i="25"/>
  <c r="AV24" i="25"/>
  <c r="AO25" i="25"/>
  <c r="AP25" i="25"/>
  <c r="AQ25" i="25"/>
  <c r="AR25" i="25"/>
  <c r="AS25" i="25"/>
  <c r="AT25" i="25"/>
  <c r="AU25" i="25"/>
  <c r="AV25" i="25"/>
  <c r="AO26" i="25"/>
  <c r="AP26" i="25"/>
  <c r="AQ26" i="25"/>
  <c r="AR26" i="25"/>
  <c r="AS26" i="25"/>
  <c r="AT26" i="25"/>
  <c r="AU26" i="25"/>
  <c r="AV26" i="25"/>
  <c r="AO27" i="25"/>
  <c r="AP27" i="25"/>
  <c r="AQ27" i="25"/>
  <c r="AR27" i="25"/>
  <c r="AS27" i="25"/>
  <c r="AT27" i="25"/>
  <c r="AU27" i="25"/>
  <c r="AV27" i="25"/>
  <c r="AO28" i="25"/>
  <c r="AP28" i="25"/>
  <c r="AQ28" i="25"/>
  <c r="AR28" i="25"/>
  <c r="AS28" i="25"/>
  <c r="AT28" i="25"/>
  <c r="AU28" i="25"/>
  <c r="AV28" i="25"/>
  <c r="AO29" i="25"/>
  <c r="AP29" i="25"/>
  <c r="AQ29" i="25"/>
  <c r="AR29" i="25"/>
  <c r="AS29" i="25"/>
  <c r="AT29" i="25"/>
  <c r="AU29" i="25"/>
  <c r="AV29" i="25"/>
  <c r="AO30" i="25"/>
  <c r="AP30" i="25"/>
  <c r="AQ30" i="25"/>
  <c r="AR30" i="25"/>
  <c r="AS30" i="25"/>
  <c r="AT30" i="25"/>
  <c r="AU30" i="25"/>
  <c r="AV30" i="25"/>
  <c r="AO31" i="25"/>
  <c r="AP31" i="25"/>
  <c r="AQ31" i="25"/>
  <c r="AR31" i="25"/>
  <c r="AS31" i="25"/>
  <c r="AT31" i="25"/>
  <c r="AU31" i="25"/>
  <c r="AV31" i="25"/>
  <c r="AO32" i="25"/>
  <c r="AP32" i="25"/>
  <c r="AQ32" i="25"/>
  <c r="AR32" i="25"/>
  <c r="AS32" i="25"/>
  <c r="AT32" i="25"/>
  <c r="AU32" i="25"/>
  <c r="AV32" i="25"/>
  <c r="AO33" i="25"/>
  <c r="AP33" i="25"/>
  <c r="AQ33" i="25"/>
  <c r="AR33" i="25"/>
  <c r="AS33" i="25"/>
  <c r="AT33" i="25"/>
  <c r="AU33" i="25"/>
  <c r="AV33" i="25"/>
  <c r="AO34" i="25"/>
  <c r="AP34" i="25"/>
  <c r="AQ34" i="25"/>
  <c r="AR34" i="25"/>
  <c r="AS34" i="25"/>
  <c r="AT34" i="25"/>
  <c r="AU34" i="25"/>
  <c r="AV34" i="25"/>
  <c r="AO35" i="25"/>
  <c r="AP35" i="25"/>
  <c r="AQ35" i="25"/>
  <c r="AR35" i="25"/>
  <c r="AS35" i="25"/>
  <c r="AT35" i="25"/>
  <c r="AU35" i="25"/>
  <c r="AV35" i="25"/>
  <c r="AO36" i="25"/>
  <c r="AP36" i="25"/>
  <c r="AQ36" i="25"/>
  <c r="AR36" i="25"/>
  <c r="AS36" i="25"/>
  <c r="AT36" i="25"/>
  <c r="AU36" i="25"/>
  <c r="AV36" i="25"/>
  <c r="AO37" i="25"/>
  <c r="AP37" i="25"/>
  <c r="AQ37" i="25"/>
  <c r="AR37" i="25"/>
  <c r="AS37" i="25"/>
  <c r="AT37" i="25"/>
  <c r="AU37" i="25"/>
  <c r="AV37" i="25"/>
  <c r="AO38" i="25"/>
  <c r="AP38" i="25"/>
  <c r="AQ38" i="25"/>
  <c r="AR38" i="25"/>
  <c r="AS38" i="25"/>
  <c r="AT38" i="25"/>
  <c r="AU38" i="25"/>
  <c r="AV38" i="25"/>
  <c r="AO39" i="25"/>
  <c r="AP39" i="25"/>
  <c r="AQ39" i="25"/>
  <c r="AR39" i="25"/>
  <c r="AS39" i="25"/>
  <c r="AT39" i="25"/>
  <c r="AU39" i="25"/>
  <c r="AV39" i="25"/>
  <c r="AO40" i="25"/>
  <c r="AP40" i="25"/>
  <c r="AQ40" i="25"/>
  <c r="AR40" i="25"/>
  <c r="AS40" i="25"/>
  <c r="AT40" i="25"/>
  <c r="AU40" i="25"/>
  <c r="AV40" i="25"/>
  <c r="AO41" i="25"/>
  <c r="AP41" i="25"/>
  <c r="AQ41" i="25"/>
  <c r="AR41" i="25"/>
  <c r="AS41" i="25"/>
  <c r="AT41" i="25"/>
  <c r="AU41" i="25"/>
  <c r="AV41" i="25"/>
  <c r="AO42" i="25"/>
  <c r="AP42" i="25"/>
  <c r="AQ42" i="25"/>
  <c r="AR42" i="25"/>
  <c r="AS42" i="25"/>
  <c r="AT42" i="25"/>
  <c r="AU42" i="25"/>
  <c r="AV42" i="25"/>
  <c r="AO43" i="25"/>
  <c r="AP43" i="25"/>
  <c r="AQ43" i="25"/>
  <c r="AR43" i="25"/>
  <c r="AS43" i="25"/>
  <c r="AT43" i="25"/>
  <c r="AU43" i="25"/>
  <c r="AV43" i="25"/>
  <c r="AO44" i="25"/>
  <c r="AP44" i="25"/>
  <c r="AQ44" i="25"/>
  <c r="AR44" i="25"/>
  <c r="AS44" i="25"/>
  <c r="AT44" i="25"/>
  <c r="AU44" i="25"/>
  <c r="AV44" i="25"/>
  <c r="AO45" i="25"/>
  <c r="AP45" i="25"/>
  <c r="AQ45" i="25"/>
  <c r="AR45" i="25"/>
  <c r="AS45" i="25"/>
  <c r="AT45" i="25"/>
  <c r="AU45" i="25"/>
  <c r="AV45" i="25"/>
  <c r="AO46" i="25"/>
  <c r="AP46" i="25"/>
  <c r="AQ46" i="25"/>
  <c r="AR46" i="25"/>
  <c r="AS46" i="25"/>
  <c r="AT46" i="25"/>
  <c r="AU46" i="25"/>
  <c r="AV46" i="25"/>
  <c r="AO47" i="25"/>
  <c r="AP47" i="25"/>
  <c r="AQ47" i="25"/>
  <c r="AR47" i="25"/>
  <c r="AS47" i="25"/>
  <c r="AT47" i="25"/>
  <c r="AU47" i="25"/>
  <c r="AV47" i="25"/>
  <c r="AO48" i="25"/>
  <c r="AP48" i="25"/>
  <c r="AQ48" i="25"/>
  <c r="AR48" i="25"/>
  <c r="AS48" i="25"/>
  <c r="AT48" i="25"/>
  <c r="AU48" i="25"/>
  <c r="AV48" i="25"/>
  <c r="AO49" i="25"/>
  <c r="AP49" i="25"/>
  <c r="AQ49" i="25"/>
  <c r="AR49" i="25"/>
  <c r="AS49" i="25"/>
  <c r="AT49" i="25"/>
  <c r="AU49" i="25"/>
  <c r="AV49" i="25"/>
  <c r="AO50" i="25"/>
  <c r="AP50" i="25"/>
  <c r="AQ50" i="25"/>
  <c r="AR50" i="25"/>
  <c r="AS50" i="25"/>
  <c r="AT50" i="25"/>
  <c r="AU50" i="25"/>
  <c r="AV50" i="25"/>
  <c r="AO51" i="25"/>
  <c r="AP51" i="25"/>
  <c r="AQ51" i="25"/>
  <c r="AR51" i="25"/>
  <c r="AS51" i="25"/>
  <c r="AT51" i="25"/>
  <c r="AU51" i="25"/>
  <c r="AV51" i="25"/>
  <c r="AO52" i="25"/>
  <c r="AP52" i="25"/>
  <c r="AQ52" i="25"/>
  <c r="AR52" i="25"/>
  <c r="AS52" i="25"/>
  <c r="AT52" i="25"/>
  <c r="AU52" i="25"/>
  <c r="AV52" i="25"/>
  <c r="AO53" i="25"/>
  <c r="AP53" i="25"/>
  <c r="AQ53" i="25"/>
  <c r="AR53" i="25"/>
  <c r="AS53" i="25"/>
  <c r="AT53" i="25"/>
  <c r="AU53" i="25"/>
  <c r="AV53" i="25"/>
  <c r="AO54" i="25"/>
  <c r="AP54" i="25"/>
  <c r="AQ54" i="25"/>
  <c r="AR54" i="25"/>
  <c r="AS54" i="25"/>
  <c r="AT54" i="25"/>
  <c r="AU54" i="25"/>
  <c r="AV54" i="25"/>
  <c r="AO55" i="25"/>
  <c r="AP55" i="25"/>
  <c r="AQ55" i="25"/>
  <c r="AR55" i="25"/>
  <c r="AS55" i="25"/>
  <c r="AT55" i="25"/>
  <c r="AU55" i="25"/>
  <c r="AV55" i="25"/>
  <c r="AO56" i="25"/>
  <c r="AP56" i="25"/>
  <c r="AQ56" i="25"/>
  <c r="AR56" i="25"/>
  <c r="AS56" i="25"/>
  <c r="AT56" i="25"/>
  <c r="AU56" i="25"/>
  <c r="AV56" i="25"/>
  <c r="AO57" i="25"/>
  <c r="AP57" i="25"/>
  <c r="AQ57" i="25"/>
  <c r="AR57" i="25"/>
  <c r="AS57" i="25"/>
  <c r="AT57" i="25"/>
  <c r="AU57" i="25"/>
  <c r="AV57" i="25"/>
  <c r="AO58" i="25"/>
  <c r="AP58" i="25"/>
  <c r="AQ58" i="25"/>
  <c r="AR58" i="25"/>
  <c r="AS58" i="25"/>
  <c r="AT58" i="25"/>
  <c r="AU58" i="25"/>
  <c r="AV58" i="25"/>
  <c r="AO59" i="25"/>
  <c r="AP59" i="25"/>
  <c r="AQ59" i="25"/>
  <c r="AR59" i="25"/>
  <c r="AS59" i="25"/>
  <c r="AT59" i="25"/>
  <c r="AU59" i="25"/>
  <c r="AV59" i="25"/>
  <c r="AO60" i="25"/>
  <c r="AP60" i="25"/>
  <c r="AQ60" i="25"/>
  <c r="AR60" i="25"/>
  <c r="AS60" i="25"/>
  <c r="AT60" i="25"/>
  <c r="AU60" i="25"/>
  <c r="AV60" i="25"/>
  <c r="AO61" i="25"/>
  <c r="AP61" i="25"/>
  <c r="AQ61" i="25"/>
  <c r="AR61" i="25"/>
  <c r="AS61" i="25"/>
  <c r="AT61" i="25"/>
  <c r="AU61" i="25"/>
  <c r="AV61" i="25"/>
  <c r="AO62" i="25"/>
  <c r="AP62" i="25"/>
  <c r="AQ62" i="25"/>
  <c r="AR62" i="25"/>
  <c r="AS62" i="25"/>
  <c r="AT62" i="25"/>
  <c r="AU62" i="25"/>
  <c r="AV62" i="25"/>
  <c r="AO63" i="25"/>
  <c r="AP63" i="25"/>
  <c r="AQ63" i="25"/>
  <c r="AR63" i="25"/>
  <c r="AS63" i="25"/>
  <c r="AT63" i="25"/>
  <c r="AU63" i="25"/>
  <c r="AV63" i="25"/>
  <c r="AO64" i="25"/>
  <c r="AP64" i="25"/>
  <c r="AQ64" i="25"/>
  <c r="AR64" i="25"/>
  <c r="AS64" i="25"/>
  <c r="AT64" i="25"/>
  <c r="AU64" i="25"/>
  <c r="AV64" i="25"/>
  <c r="AO65" i="25"/>
  <c r="AP65" i="25"/>
  <c r="AQ65" i="25"/>
  <c r="AR65" i="25"/>
  <c r="AS65" i="25"/>
  <c r="AT65" i="25"/>
  <c r="AU65" i="25"/>
  <c r="AV65" i="25"/>
  <c r="AO66" i="25"/>
  <c r="AP66" i="25"/>
  <c r="AQ66" i="25"/>
  <c r="AR66" i="25"/>
  <c r="AS66" i="25"/>
  <c r="AT66" i="25"/>
  <c r="AU66" i="25"/>
  <c r="AV66" i="25"/>
  <c r="AO67" i="25"/>
  <c r="AP67" i="25"/>
  <c r="AQ67" i="25"/>
  <c r="AR67" i="25"/>
  <c r="AS67" i="25"/>
  <c r="AT67" i="25"/>
  <c r="AU67" i="25"/>
  <c r="AV67" i="25"/>
  <c r="AO68" i="25"/>
  <c r="AP68" i="25"/>
  <c r="AQ68" i="25"/>
  <c r="AR68" i="25"/>
  <c r="AS68" i="25"/>
  <c r="AT68" i="25"/>
  <c r="AU68" i="25"/>
  <c r="AV68" i="25"/>
  <c r="AO69" i="25"/>
  <c r="AP69" i="25"/>
  <c r="AQ69" i="25"/>
  <c r="AR69" i="25"/>
  <c r="AS69" i="25"/>
  <c r="AT69" i="25"/>
  <c r="AU69" i="25"/>
  <c r="AV69" i="25"/>
  <c r="AO70" i="25"/>
  <c r="AP70" i="25"/>
  <c r="AQ70" i="25"/>
  <c r="AR70" i="25"/>
  <c r="AS70" i="25"/>
  <c r="AT70" i="25"/>
  <c r="AU70" i="25"/>
  <c r="AV70" i="25"/>
  <c r="AO71" i="25"/>
  <c r="AP71" i="25"/>
  <c r="AQ71" i="25"/>
  <c r="AR71" i="25"/>
  <c r="AS71" i="25"/>
  <c r="AT71" i="25"/>
  <c r="AU71" i="25"/>
  <c r="AV71" i="25"/>
  <c r="AO72" i="25"/>
  <c r="AP72" i="25"/>
  <c r="AQ72" i="25"/>
  <c r="AR72" i="25"/>
  <c r="AS72" i="25"/>
  <c r="AT72" i="25"/>
  <c r="AU72" i="25"/>
  <c r="AV72" i="25"/>
  <c r="AO73" i="25"/>
  <c r="AP73" i="25"/>
  <c r="AQ73" i="25"/>
  <c r="AR73" i="25"/>
  <c r="AS73" i="25"/>
  <c r="AT73" i="25"/>
  <c r="AU73" i="25"/>
  <c r="AV73" i="25"/>
  <c r="AO74" i="25"/>
  <c r="AP74" i="25"/>
  <c r="AQ74" i="25"/>
  <c r="AR74" i="25"/>
  <c r="AS74" i="25"/>
  <c r="AT74" i="25"/>
  <c r="AU74" i="25"/>
  <c r="AV74" i="25"/>
  <c r="AO75" i="25"/>
  <c r="AP75" i="25"/>
  <c r="AQ75" i="25"/>
  <c r="AR75" i="25"/>
  <c r="AS75" i="25"/>
  <c r="AT75" i="25"/>
  <c r="AU75" i="25"/>
  <c r="AV75" i="25"/>
  <c r="AO76" i="25"/>
  <c r="AP76" i="25"/>
  <c r="AQ76" i="25"/>
  <c r="AR76" i="25"/>
  <c r="AS76" i="25"/>
  <c r="AT76" i="25"/>
  <c r="AU76" i="25"/>
  <c r="AV76" i="25"/>
  <c r="AO77" i="25"/>
  <c r="AP77" i="25"/>
  <c r="AQ77" i="25"/>
  <c r="AR77" i="25"/>
  <c r="AS77" i="25"/>
  <c r="AT77" i="25"/>
  <c r="AU77" i="25"/>
  <c r="AV77" i="25"/>
  <c r="AO78" i="25"/>
  <c r="AP78" i="25"/>
  <c r="AQ78" i="25"/>
  <c r="AR78" i="25"/>
  <c r="AS78" i="25"/>
  <c r="AT78" i="25"/>
  <c r="AU78" i="25"/>
  <c r="AV78" i="25"/>
  <c r="AO79" i="25"/>
  <c r="AP79" i="25"/>
  <c r="AQ79" i="25"/>
  <c r="AR79" i="25"/>
  <c r="AS79" i="25"/>
  <c r="AT79" i="25"/>
  <c r="AU79" i="25"/>
  <c r="AV79" i="25"/>
  <c r="AO80" i="25"/>
  <c r="AP80" i="25"/>
  <c r="AQ80" i="25"/>
  <c r="AR80" i="25"/>
  <c r="AS80" i="25"/>
  <c r="AT80" i="25"/>
  <c r="AU80" i="25"/>
  <c r="AV80" i="25"/>
  <c r="AO81" i="25"/>
  <c r="AP81" i="25"/>
  <c r="AQ81" i="25"/>
  <c r="AR81" i="25"/>
  <c r="AS81" i="25"/>
  <c r="AT81" i="25"/>
  <c r="AU81" i="25"/>
  <c r="AV81" i="25"/>
  <c r="AO82" i="25"/>
  <c r="AP82" i="25"/>
  <c r="AQ82" i="25"/>
  <c r="AR82" i="25"/>
  <c r="AS82" i="25"/>
  <c r="AT82" i="25"/>
  <c r="AU82" i="25"/>
  <c r="AV82" i="25"/>
  <c r="AO83" i="25"/>
  <c r="AP83" i="25"/>
  <c r="AQ83" i="25"/>
  <c r="AR83" i="25"/>
  <c r="AS83" i="25"/>
  <c r="AT83" i="25"/>
  <c r="AU83" i="25"/>
  <c r="AV83" i="25"/>
  <c r="AO84" i="25"/>
  <c r="AP84" i="25"/>
  <c r="AQ84" i="25"/>
  <c r="AR84" i="25"/>
  <c r="AS84" i="25"/>
  <c r="AT84" i="25"/>
  <c r="AU84" i="25"/>
  <c r="AV84" i="25"/>
  <c r="AO85" i="25"/>
  <c r="AP85" i="25"/>
  <c r="AQ85" i="25"/>
  <c r="AR85" i="25"/>
  <c r="AS85" i="25"/>
  <c r="AT85" i="25"/>
  <c r="AU85" i="25"/>
  <c r="AV85" i="25"/>
  <c r="AO86" i="25"/>
  <c r="AP86" i="25"/>
  <c r="AQ86" i="25"/>
  <c r="AR86" i="25"/>
  <c r="AS86" i="25"/>
  <c r="AT86" i="25"/>
  <c r="AU86" i="25"/>
  <c r="AV86" i="25"/>
  <c r="AO87" i="25"/>
  <c r="AP87" i="25"/>
  <c r="AQ87" i="25"/>
  <c r="AR87" i="25"/>
  <c r="AS87" i="25"/>
  <c r="AT87" i="25"/>
  <c r="AU87" i="25"/>
  <c r="AV87" i="25"/>
  <c r="AO88" i="25"/>
  <c r="AP88" i="25"/>
  <c r="AQ88" i="25"/>
  <c r="AR88" i="25"/>
  <c r="AS88" i="25"/>
  <c r="AT88" i="25"/>
  <c r="AU88" i="25"/>
  <c r="AV88" i="25"/>
  <c r="AO89" i="25"/>
  <c r="AP89" i="25"/>
  <c r="AQ89" i="25"/>
  <c r="AR89" i="25"/>
  <c r="AS89" i="25"/>
  <c r="AT89" i="25"/>
  <c r="AU89" i="25"/>
  <c r="AV89" i="25"/>
  <c r="AO90" i="25"/>
  <c r="AP90" i="25"/>
  <c r="AQ90" i="25"/>
  <c r="AR90" i="25"/>
  <c r="AS90" i="25"/>
  <c r="AT90" i="25"/>
  <c r="AU90" i="25"/>
  <c r="AV90" i="25"/>
  <c r="AO91" i="25"/>
  <c r="AP91" i="25"/>
  <c r="AQ91" i="25"/>
  <c r="AR91" i="25"/>
  <c r="AS91" i="25"/>
  <c r="AT91" i="25"/>
  <c r="AU91" i="25"/>
  <c r="AV91" i="25"/>
  <c r="AO92" i="25"/>
  <c r="AP92" i="25"/>
  <c r="AQ92" i="25"/>
  <c r="AR92" i="25"/>
  <c r="AS92" i="25"/>
  <c r="AT92" i="25"/>
  <c r="AU92" i="25"/>
  <c r="AV92" i="25"/>
  <c r="AO93" i="25"/>
  <c r="AP93" i="25"/>
  <c r="AQ93" i="25"/>
  <c r="AR93" i="25"/>
  <c r="AS93" i="25"/>
  <c r="AT93" i="25"/>
  <c r="AU93" i="25"/>
  <c r="AV93" i="25"/>
  <c r="AO94" i="25"/>
  <c r="AP94" i="25"/>
  <c r="AQ94" i="25"/>
  <c r="AR94" i="25"/>
  <c r="AS94" i="25"/>
  <c r="AT94" i="25"/>
  <c r="AU94" i="25"/>
  <c r="AV94" i="25"/>
  <c r="AO95" i="25"/>
  <c r="AP95" i="25"/>
  <c r="AQ95" i="25"/>
  <c r="AR95" i="25"/>
  <c r="AS95" i="25"/>
  <c r="AT95" i="25"/>
  <c r="AU95" i="25"/>
  <c r="AV95" i="25"/>
  <c r="AO96" i="25"/>
  <c r="AP96" i="25"/>
  <c r="AQ96" i="25"/>
  <c r="AR96" i="25"/>
  <c r="AS96" i="25"/>
  <c r="AT96" i="25"/>
  <c r="AU96" i="25"/>
  <c r="AV96" i="25"/>
  <c r="AO97" i="25"/>
  <c r="AP97" i="25"/>
  <c r="AQ97" i="25"/>
  <c r="AR97" i="25"/>
  <c r="AS97" i="25"/>
  <c r="AT97" i="25"/>
  <c r="AU97" i="25"/>
  <c r="AV97" i="25"/>
  <c r="AO98" i="25"/>
  <c r="AP98" i="25"/>
  <c r="AQ98" i="25"/>
  <c r="AR98" i="25"/>
  <c r="AS98" i="25"/>
  <c r="AT98" i="25"/>
  <c r="AU98" i="25"/>
  <c r="AV98" i="25"/>
  <c r="AO99" i="25"/>
  <c r="AP99" i="25"/>
  <c r="AQ99" i="25"/>
  <c r="AR99" i="25"/>
  <c r="AS99" i="25"/>
  <c r="AT99" i="25"/>
  <c r="AU99" i="25"/>
  <c r="AV99" i="25"/>
  <c r="AO100" i="25"/>
  <c r="AP100" i="25"/>
  <c r="AQ100" i="25"/>
  <c r="AR100" i="25"/>
  <c r="AS100" i="25"/>
  <c r="AT100" i="25"/>
  <c r="AU100" i="25"/>
  <c r="AV100" i="25"/>
  <c r="AO101" i="25"/>
  <c r="AP101" i="25"/>
  <c r="AQ101" i="25"/>
  <c r="AR101" i="25"/>
  <c r="AS101" i="25"/>
  <c r="AT101" i="25"/>
  <c r="AU101" i="25"/>
  <c r="AV101" i="25"/>
  <c r="AO102" i="25"/>
  <c r="AP102" i="25"/>
  <c r="AQ102" i="25"/>
  <c r="AR102" i="25"/>
  <c r="AS102" i="25"/>
  <c r="AT102" i="25"/>
  <c r="AU102" i="25"/>
  <c r="AV102" i="25"/>
  <c r="AO103" i="25"/>
  <c r="AP103" i="25"/>
  <c r="AQ103" i="25"/>
  <c r="AR103" i="25"/>
  <c r="AS103" i="25"/>
  <c r="AT103" i="25"/>
  <c r="AU103" i="25"/>
  <c r="AV103" i="25"/>
  <c r="AO104" i="25"/>
  <c r="AP104" i="25"/>
  <c r="AQ104" i="25"/>
  <c r="AR104" i="25"/>
  <c r="AS104" i="25"/>
  <c r="AT104" i="25"/>
  <c r="AU104" i="25"/>
  <c r="AV104" i="25"/>
  <c r="AO105" i="25"/>
  <c r="AP105" i="25"/>
  <c r="AQ105" i="25"/>
  <c r="AR105" i="25"/>
  <c r="AS105" i="25"/>
  <c r="AT105" i="25"/>
  <c r="AU105" i="25"/>
  <c r="AV105" i="25"/>
  <c r="AO106" i="25"/>
  <c r="AP106" i="25"/>
  <c r="AQ106" i="25"/>
  <c r="AR106" i="25"/>
  <c r="AS106" i="25"/>
  <c r="AT106" i="25"/>
  <c r="AU106" i="25"/>
  <c r="AV106" i="25"/>
  <c r="AO107" i="25"/>
  <c r="AP107" i="25"/>
  <c r="AQ107" i="25"/>
  <c r="AR107" i="25"/>
  <c r="AS107" i="25"/>
  <c r="AT107" i="25"/>
  <c r="AU107" i="25"/>
  <c r="AV107" i="25"/>
  <c r="AO108" i="25"/>
  <c r="AP108" i="25"/>
  <c r="AQ108" i="25"/>
  <c r="AR108" i="25"/>
  <c r="AS108" i="25"/>
  <c r="AT108" i="25"/>
  <c r="AU108" i="25"/>
  <c r="AV108" i="25"/>
  <c r="AO109" i="25"/>
  <c r="AP109" i="25"/>
  <c r="AQ109" i="25"/>
  <c r="AR109" i="25"/>
  <c r="AS109" i="25"/>
  <c r="AT109" i="25"/>
  <c r="AU109" i="25"/>
  <c r="AV109" i="25"/>
  <c r="AO110" i="25"/>
  <c r="AP110" i="25"/>
  <c r="AQ110" i="25"/>
  <c r="AR110" i="25"/>
  <c r="AS110" i="25"/>
  <c r="AT110" i="25"/>
  <c r="AU110" i="25"/>
  <c r="AV110" i="25"/>
  <c r="AO111" i="25"/>
  <c r="AP111" i="25"/>
  <c r="AQ111" i="25"/>
  <c r="AR111" i="25"/>
  <c r="AS111" i="25"/>
  <c r="AT111" i="25"/>
  <c r="AU111" i="25"/>
  <c r="AV111" i="25"/>
  <c r="AO112" i="25"/>
  <c r="AP112" i="25"/>
  <c r="AQ112" i="25"/>
  <c r="AR112" i="25"/>
  <c r="AS112" i="25"/>
  <c r="AT112" i="25"/>
  <c r="AU112" i="25"/>
  <c r="AV112" i="25"/>
  <c r="AO113" i="25"/>
  <c r="AP113" i="25"/>
  <c r="AQ113" i="25"/>
  <c r="AR113" i="25"/>
  <c r="AS113" i="25"/>
  <c r="AT113" i="25"/>
  <c r="AU113" i="25"/>
  <c r="AV113" i="25"/>
  <c r="AO114" i="25"/>
  <c r="AP114" i="25"/>
  <c r="AQ114" i="25"/>
  <c r="AR114" i="25"/>
  <c r="AS114" i="25"/>
  <c r="AT114" i="25"/>
  <c r="AU114" i="25"/>
  <c r="AV114" i="25"/>
  <c r="AO115" i="25"/>
  <c r="AP115" i="25"/>
  <c r="AQ115" i="25"/>
  <c r="AR115" i="25"/>
  <c r="AS115" i="25"/>
  <c r="AT115" i="25"/>
  <c r="AU115" i="25"/>
  <c r="AV115" i="25"/>
  <c r="AO116" i="25"/>
  <c r="AP116" i="25"/>
  <c r="AQ116" i="25"/>
  <c r="AR116" i="25"/>
  <c r="AS116" i="25"/>
  <c r="AT116" i="25"/>
  <c r="AU116" i="25"/>
  <c r="AV116" i="25"/>
  <c r="AO117" i="25"/>
  <c r="AP117" i="25"/>
  <c r="AQ117" i="25"/>
  <c r="AR117" i="25"/>
  <c r="AS117" i="25"/>
  <c r="AT117" i="25"/>
  <c r="AU117" i="25"/>
  <c r="AV117" i="25"/>
  <c r="AO118" i="25"/>
  <c r="AP118" i="25"/>
  <c r="AQ118" i="25"/>
  <c r="AR118" i="25"/>
  <c r="AS118" i="25"/>
  <c r="AT118" i="25"/>
  <c r="AU118" i="25"/>
  <c r="AV118" i="25"/>
  <c r="AO119" i="25"/>
  <c r="AP119" i="25"/>
  <c r="AQ119" i="25"/>
  <c r="AR119" i="25"/>
  <c r="AS119" i="25"/>
  <c r="AT119" i="25"/>
  <c r="AU119" i="25"/>
  <c r="AV119" i="25"/>
  <c r="AV4" i="25"/>
  <c r="AU4" i="25"/>
  <c r="AT4" i="25"/>
  <c r="AS4" i="25"/>
  <c r="AR4" i="25"/>
  <c r="AQ4" i="25"/>
  <c r="AP4" i="25"/>
  <c r="AO4" i="25"/>
  <c r="AH5" i="25"/>
  <c r="AI5" i="25"/>
  <c r="AJ5" i="25"/>
  <c r="AK5" i="25"/>
  <c r="AL5" i="25"/>
  <c r="AH6" i="25"/>
  <c r="AI6" i="25"/>
  <c r="AJ6" i="25"/>
  <c r="AK6" i="25"/>
  <c r="AL6" i="25"/>
  <c r="AH7" i="25"/>
  <c r="AI7" i="25"/>
  <c r="AJ7" i="25"/>
  <c r="AK7" i="25"/>
  <c r="AL7" i="25"/>
  <c r="AH8" i="25"/>
  <c r="AI8" i="25"/>
  <c r="AJ8" i="25"/>
  <c r="AK8" i="25"/>
  <c r="AL8" i="25"/>
  <c r="AH9" i="25"/>
  <c r="AI9" i="25"/>
  <c r="AJ9" i="25"/>
  <c r="AK9" i="25"/>
  <c r="AL9" i="25"/>
  <c r="AH10" i="25"/>
  <c r="AI10" i="25"/>
  <c r="AJ10" i="25"/>
  <c r="AK10" i="25"/>
  <c r="AL10" i="25"/>
  <c r="AH11" i="25"/>
  <c r="AI11" i="25"/>
  <c r="AJ11" i="25"/>
  <c r="AK11" i="25"/>
  <c r="AL11" i="25"/>
  <c r="AH12" i="25"/>
  <c r="AI12" i="25"/>
  <c r="AJ12" i="25"/>
  <c r="AK12" i="25"/>
  <c r="AL12" i="25"/>
  <c r="AH13" i="25"/>
  <c r="AI13" i="25"/>
  <c r="AJ13" i="25"/>
  <c r="AK13" i="25"/>
  <c r="AL13" i="25"/>
  <c r="AH14" i="25"/>
  <c r="AI14" i="25"/>
  <c r="AJ14" i="25"/>
  <c r="AK14" i="25"/>
  <c r="AL14" i="25"/>
  <c r="AH15" i="25"/>
  <c r="AI15" i="25"/>
  <c r="AJ15" i="25"/>
  <c r="AK15" i="25"/>
  <c r="AL15" i="25"/>
  <c r="AH16" i="25"/>
  <c r="AI16" i="25"/>
  <c r="AJ16" i="25"/>
  <c r="AK16" i="25"/>
  <c r="AL16" i="25"/>
  <c r="AH17" i="25"/>
  <c r="AI17" i="25"/>
  <c r="AJ17" i="25"/>
  <c r="AK17" i="25"/>
  <c r="AL17" i="25"/>
  <c r="AH18" i="25"/>
  <c r="AI18" i="25"/>
  <c r="AJ18" i="25"/>
  <c r="AK18" i="25"/>
  <c r="AL18" i="25"/>
  <c r="AH19" i="25"/>
  <c r="AI19" i="25"/>
  <c r="AJ19" i="25"/>
  <c r="AK19" i="25"/>
  <c r="AL19" i="25"/>
  <c r="AH20" i="25"/>
  <c r="AI20" i="25"/>
  <c r="AJ20" i="25"/>
  <c r="AK20" i="25"/>
  <c r="AL20" i="25"/>
  <c r="AH21" i="25"/>
  <c r="AI21" i="25"/>
  <c r="AJ21" i="25"/>
  <c r="AK21" i="25"/>
  <c r="AL21" i="25"/>
  <c r="AH22" i="25"/>
  <c r="AI22" i="25"/>
  <c r="AJ22" i="25"/>
  <c r="AK22" i="25"/>
  <c r="AL22" i="25"/>
  <c r="AH23" i="25"/>
  <c r="AI23" i="25"/>
  <c r="AJ23" i="25"/>
  <c r="AK23" i="25"/>
  <c r="AL23" i="25"/>
  <c r="AH24" i="25"/>
  <c r="AI24" i="25"/>
  <c r="AJ24" i="25"/>
  <c r="AK24" i="25"/>
  <c r="AL24" i="25"/>
  <c r="AH25" i="25"/>
  <c r="AI25" i="25"/>
  <c r="AJ25" i="25"/>
  <c r="AK25" i="25"/>
  <c r="AL25" i="25"/>
  <c r="AH26" i="25"/>
  <c r="AI26" i="25"/>
  <c r="AJ26" i="25"/>
  <c r="AK26" i="25"/>
  <c r="AL26" i="25"/>
  <c r="AH27" i="25"/>
  <c r="AI27" i="25"/>
  <c r="AJ27" i="25"/>
  <c r="AK27" i="25"/>
  <c r="AL27" i="25"/>
  <c r="AH28" i="25"/>
  <c r="AI28" i="25"/>
  <c r="AJ28" i="25"/>
  <c r="AK28" i="25"/>
  <c r="AL28" i="25"/>
  <c r="AH29" i="25"/>
  <c r="AI29" i="25"/>
  <c r="AJ29" i="25"/>
  <c r="AK29" i="25"/>
  <c r="AL29" i="25"/>
  <c r="AH30" i="25"/>
  <c r="AI30" i="25"/>
  <c r="AJ30" i="25"/>
  <c r="AK30" i="25"/>
  <c r="AL30" i="25"/>
  <c r="AH31" i="25"/>
  <c r="AI31" i="25"/>
  <c r="AJ31" i="25"/>
  <c r="AK31" i="25"/>
  <c r="AL31" i="25"/>
  <c r="AH32" i="25"/>
  <c r="AI32" i="25"/>
  <c r="AJ32" i="25"/>
  <c r="AK32" i="25"/>
  <c r="AL32" i="25"/>
  <c r="AH33" i="25"/>
  <c r="AI33" i="25"/>
  <c r="AJ33" i="25"/>
  <c r="AK33" i="25"/>
  <c r="AL33" i="25"/>
  <c r="AH34" i="25"/>
  <c r="AI34" i="25"/>
  <c r="AJ34" i="25"/>
  <c r="AK34" i="25"/>
  <c r="AL34" i="25"/>
  <c r="AH35" i="25"/>
  <c r="AI35" i="25"/>
  <c r="AJ35" i="25"/>
  <c r="AK35" i="25"/>
  <c r="AL35" i="25"/>
  <c r="AH36" i="25"/>
  <c r="AI36" i="25"/>
  <c r="AJ36" i="25"/>
  <c r="AK36" i="25"/>
  <c r="AL36" i="25"/>
  <c r="AH37" i="25"/>
  <c r="AI37" i="25"/>
  <c r="AJ37" i="25"/>
  <c r="AK37" i="25"/>
  <c r="AL37" i="25"/>
  <c r="AH38" i="25"/>
  <c r="AI38" i="25"/>
  <c r="AJ38" i="25"/>
  <c r="AK38" i="25"/>
  <c r="AL38" i="25"/>
  <c r="AH39" i="25"/>
  <c r="AI39" i="25"/>
  <c r="AJ39" i="25"/>
  <c r="AK39" i="25"/>
  <c r="AL39" i="25"/>
  <c r="AH40" i="25"/>
  <c r="AI40" i="25"/>
  <c r="AJ40" i="25"/>
  <c r="AK40" i="25"/>
  <c r="AL40" i="25"/>
  <c r="AH41" i="25"/>
  <c r="AI41" i="25"/>
  <c r="AJ41" i="25"/>
  <c r="AK41" i="25"/>
  <c r="AL41" i="25"/>
  <c r="AH42" i="25"/>
  <c r="AI42" i="25"/>
  <c r="AJ42" i="25"/>
  <c r="AK42" i="25"/>
  <c r="AL42" i="25"/>
  <c r="AH43" i="25"/>
  <c r="AI43" i="25"/>
  <c r="AJ43" i="25"/>
  <c r="AK43" i="25"/>
  <c r="AL43" i="25"/>
  <c r="AH44" i="25"/>
  <c r="AI44" i="25"/>
  <c r="AJ44" i="25"/>
  <c r="AK44" i="25"/>
  <c r="AL44" i="25"/>
  <c r="AH45" i="25"/>
  <c r="AI45" i="25"/>
  <c r="AJ45" i="25"/>
  <c r="AK45" i="25"/>
  <c r="AL45" i="25"/>
  <c r="AH46" i="25"/>
  <c r="AI46" i="25"/>
  <c r="AJ46" i="25"/>
  <c r="AK46" i="25"/>
  <c r="AL46" i="25"/>
  <c r="AH47" i="25"/>
  <c r="AI47" i="25"/>
  <c r="AJ47" i="25"/>
  <c r="AK47" i="25"/>
  <c r="AL47" i="25"/>
  <c r="AH48" i="25"/>
  <c r="AI48" i="25"/>
  <c r="AJ48" i="25"/>
  <c r="AK48" i="25"/>
  <c r="AL48" i="25"/>
  <c r="AH49" i="25"/>
  <c r="AI49" i="25"/>
  <c r="AJ49" i="25"/>
  <c r="AK49" i="25"/>
  <c r="AL49" i="25"/>
  <c r="AH50" i="25"/>
  <c r="AI50" i="25"/>
  <c r="AJ50" i="25"/>
  <c r="AK50" i="25"/>
  <c r="AL50" i="25"/>
  <c r="AH51" i="25"/>
  <c r="AI51" i="25"/>
  <c r="AJ51" i="25"/>
  <c r="AK51" i="25"/>
  <c r="AL51" i="25"/>
  <c r="AH52" i="25"/>
  <c r="AI52" i="25"/>
  <c r="AJ52" i="25"/>
  <c r="AK52" i="25"/>
  <c r="AL52" i="25"/>
  <c r="AH53" i="25"/>
  <c r="AI53" i="25"/>
  <c r="AJ53" i="25"/>
  <c r="AK53" i="25"/>
  <c r="AL53" i="25"/>
  <c r="AH54" i="25"/>
  <c r="AI54" i="25"/>
  <c r="AJ54" i="25"/>
  <c r="AK54" i="25"/>
  <c r="AL54" i="25"/>
  <c r="AH55" i="25"/>
  <c r="AI55" i="25"/>
  <c r="AJ55" i="25"/>
  <c r="AK55" i="25"/>
  <c r="AL55" i="25"/>
  <c r="AH56" i="25"/>
  <c r="AI56" i="25"/>
  <c r="AJ56" i="25"/>
  <c r="AK56" i="25"/>
  <c r="AL56" i="25"/>
  <c r="AH57" i="25"/>
  <c r="AI57" i="25"/>
  <c r="AJ57" i="25"/>
  <c r="AK57" i="25"/>
  <c r="AL57" i="25"/>
  <c r="AH58" i="25"/>
  <c r="AI58" i="25"/>
  <c r="AJ58" i="25"/>
  <c r="AK58" i="25"/>
  <c r="AL58" i="25"/>
  <c r="AH59" i="25"/>
  <c r="AI59" i="25"/>
  <c r="AJ59" i="25"/>
  <c r="AK59" i="25"/>
  <c r="AL59" i="25"/>
  <c r="AH60" i="25"/>
  <c r="AI60" i="25"/>
  <c r="AJ60" i="25"/>
  <c r="AK60" i="25"/>
  <c r="AL60" i="25"/>
  <c r="AH61" i="25"/>
  <c r="AI61" i="25"/>
  <c r="AJ61" i="25"/>
  <c r="AK61" i="25"/>
  <c r="AL61" i="25"/>
  <c r="AH62" i="25"/>
  <c r="AI62" i="25"/>
  <c r="AJ62" i="25"/>
  <c r="AK62" i="25"/>
  <c r="AL62" i="25"/>
  <c r="AH63" i="25"/>
  <c r="AI63" i="25"/>
  <c r="AJ63" i="25"/>
  <c r="AK63" i="25"/>
  <c r="AL63" i="25"/>
  <c r="AH64" i="25"/>
  <c r="AI64" i="25"/>
  <c r="AJ64" i="25"/>
  <c r="AK64" i="25"/>
  <c r="AL64" i="25"/>
  <c r="AH65" i="25"/>
  <c r="AI65" i="25"/>
  <c r="AJ65" i="25"/>
  <c r="AK65" i="25"/>
  <c r="AL65" i="25"/>
  <c r="AH66" i="25"/>
  <c r="AI66" i="25"/>
  <c r="AJ66" i="25"/>
  <c r="AK66" i="25"/>
  <c r="AL66" i="25"/>
  <c r="AH67" i="25"/>
  <c r="AI67" i="25"/>
  <c r="AJ67" i="25"/>
  <c r="AK67" i="25"/>
  <c r="AL67" i="25"/>
  <c r="AH68" i="25"/>
  <c r="AI68" i="25"/>
  <c r="AJ68" i="25"/>
  <c r="AK68" i="25"/>
  <c r="AL68" i="25"/>
  <c r="AH69" i="25"/>
  <c r="AI69" i="25"/>
  <c r="AJ69" i="25"/>
  <c r="AK69" i="25"/>
  <c r="AL69" i="25"/>
  <c r="AH70" i="25"/>
  <c r="AI70" i="25"/>
  <c r="AJ70" i="25"/>
  <c r="AK70" i="25"/>
  <c r="AL70" i="25"/>
  <c r="AH71" i="25"/>
  <c r="AI71" i="25"/>
  <c r="AJ71" i="25"/>
  <c r="AK71" i="25"/>
  <c r="AL71" i="25"/>
  <c r="AH72" i="25"/>
  <c r="AI72" i="25"/>
  <c r="AJ72" i="25"/>
  <c r="AK72" i="25"/>
  <c r="AL72" i="25"/>
  <c r="AH73" i="25"/>
  <c r="AI73" i="25"/>
  <c r="AJ73" i="25"/>
  <c r="AK73" i="25"/>
  <c r="AL73" i="25"/>
  <c r="AH74" i="25"/>
  <c r="AI74" i="25"/>
  <c r="AJ74" i="25"/>
  <c r="AK74" i="25"/>
  <c r="AL74" i="25"/>
  <c r="AH75" i="25"/>
  <c r="AI75" i="25"/>
  <c r="AJ75" i="25"/>
  <c r="AK75" i="25"/>
  <c r="AL75" i="25"/>
  <c r="AH76" i="25"/>
  <c r="AI76" i="25"/>
  <c r="AJ76" i="25"/>
  <c r="AK76" i="25"/>
  <c r="AL76" i="25"/>
  <c r="AH77" i="25"/>
  <c r="AI77" i="25"/>
  <c r="AJ77" i="25"/>
  <c r="AK77" i="25"/>
  <c r="AL77" i="25"/>
  <c r="AH78" i="25"/>
  <c r="AI78" i="25"/>
  <c r="AJ78" i="25"/>
  <c r="AK78" i="25"/>
  <c r="AL78" i="25"/>
  <c r="AH79" i="25"/>
  <c r="AI79" i="25"/>
  <c r="AJ79" i="25"/>
  <c r="AK79" i="25"/>
  <c r="AL79" i="25"/>
  <c r="AH80" i="25"/>
  <c r="AI80" i="25"/>
  <c r="AJ80" i="25"/>
  <c r="AK80" i="25"/>
  <c r="AL80" i="25"/>
  <c r="AH81" i="25"/>
  <c r="AI81" i="25"/>
  <c r="AJ81" i="25"/>
  <c r="AK81" i="25"/>
  <c r="AL81" i="25"/>
  <c r="AH82" i="25"/>
  <c r="AI82" i="25"/>
  <c r="AJ82" i="25"/>
  <c r="AK82" i="25"/>
  <c r="AL82" i="25"/>
  <c r="AH83" i="25"/>
  <c r="AI83" i="25"/>
  <c r="AJ83" i="25"/>
  <c r="AK83" i="25"/>
  <c r="AL83" i="25"/>
  <c r="AH84" i="25"/>
  <c r="AI84" i="25"/>
  <c r="AJ84" i="25"/>
  <c r="AK84" i="25"/>
  <c r="AL84" i="25"/>
  <c r="AH85" i="25"/>
  <c r="AI85" i="25"/>
  <c r="AJ85" i="25"/>
  <c r="AK85" i="25"/>
  <c r="AL85" i="25"/>
  <c r="AH86" i="25"/>
  <c r="AI86" i="25"/>
  <c r="AJ86" i="25"/>
  <c r="AK86" i="25"/>
  <c r="AL86" i="25"/>
  <c r="AH87" i="25"/>
  <c r="AI87" i="25"/>
  <c r="AJ87" i="25"/>
  <c r="AK87" i="25"/>
  <c r="AL87" i="25"/>
  <c r="AH88" i="25"/>
  <c r="AI88" i="25"/>
  <c r="AJ88" i="25"/>
  <c r="AK88" i="25"/>
  <c r="AL88" i="25"/>
  <c r="AH89" i="25"/>
  <c r="AI89" i="25"/>
  <c r="AJ89" i="25"/>
  <c r="AK89" i="25"/>
  <c r="AL89" i="25"/>
  <c r="AH90" i="25"/>
  <c r="AI90" i="25"/>
  <c r="AJ90" i="25"/>
  <c r="AK90" i="25"/>
  <c r="AL90" i="25"/>
  <c r="AH91" i="25"/>
  <c r="AI91" i="25"/>
  <c r="AJ91" i="25"/>
  <c r="AK91" i="25"/>
  <c r="AL91" i="25"/>
  <c r="AH92" i="25"/>
  <c r="AI92" i="25"/>
  <c r="AJ92" i="25"/>
  <c r="AK92" i="25"/>
  <c r="AL92" i="25"/>
  <c r="AH93" i="25"/>
  <c r="AI93" i="25"/>
  <c r="AJ93" i="25"/>
  <c r="AK93" i="25"/>
  <c r="AL93" i="25"/>
  <c r="AH94" i="25"/>
  <c r="AI94" i="25"/>
  <c r="AJ94" i="25"/>
  <c r="AK94" i="25"/>
  <c r="AL94" i="25"/>
  <c r="AH95" i="25"/>
  <c r="AI95" i="25"/>
  <c r="AJ95" i="25"/>
  <c r="AK95" i="25"/>
  <c r="AL95" i="25"/>
  <c r="AH96" i="25"/>
  <c r="AI96" i="25"/>
  <c r="AJ96" i="25"/>
  <c r="AK96" i="25"/>
  <c r="AL96" i="25"/>
  <c r="AH97" i="25"/>
  <c r="AI97" i="25"/>
  <c r="AJ97" i="25"/>
  <c r="AK97" i="25"/>
  <c r="AL97" i="25"/>
  <c r="AH98" i="25"/>
  <c r="AI98" i="25"/>
  <c r="AJ98" i="25"/>
  <c r="AK98" i="25"/>
  <c r="AL98" i="25"/>
  <c r="AH99" i="25"/>
  <c r="AI99" i="25"/>
  <c r="AJ99" i="25"/>
  <c r="AK99" i="25"/>
  <c r="AL99" i="25"/>
  <c r="AH100" i="25"/>
  <c r="AI100" i="25"/>
  <c r="AJ100" i="25"/>
  <c r="AK100" i="25"/>
  <c r="AL100" i="25"/>
  <c r="AH101" i="25"/>
  <c r="AI101" i="25"/>
  <c r="AJ101" i="25"/>
  <c r="AK101" i="25"/>
  <c r="AL101" i="25"/>
  <c r="AH102" i="25"/>
  <c r="AI102" i="25"/>
  <c r="AJ102" i="25"/>
  <c r="AK102" i="25"/>
  <c r="AL102" i="25"/>
  <c r="AH103" i="25"/>
  <c r="AI103" i="25"/>
  <c r="AJ103" i="25"/>
  <c r="AK103" i="25"/>
  <c r="AL103" i="25"/>
  <c r="AH104" i="25"/>
  <c r="AI104" i="25"/>
  <c r="AJ104" i="25"/>
  <c r="AK104" i="25"/>
  <c r="AL104" i="25"/>
  <c r="AH105" i="25"/>
  <c r="AI105" i="25"/>
  <c r="AJ105" i="25"/>
  <c r="AK105" i="25"/>
  <c r="AL105" i="25"/>
  <c r="AH106" i="25"/>
  <c r="AI106" i="25"/>
  <c r="AJ106" i="25"/>
  <c r="AK106" i="25"/>
  <c r="AL106" i="25"/>
  <c r="AH107" i="25"/>
  <c r="AI107" i="25"/>
  <c r="AJ107" i="25"/>
  <c r="AK107" i="25"/>
  <c r="AL107" i="25"/>
  <c r="AH108" i="25"/>
  <c r="AI108" i="25"/>
  <c r="AJ108" i="25"/>
  <c r="AK108" i="25"/>
  <c r="AL108" i="25"/>
  <c r="AH109" i="25"/>
  <c r="AI109" i="25"/>
  <c r="AJ109" i="25"/>
  <c r="AK109" i="25"/>
  <c r="AL109" i="25"/>
  <c r="AH110" i="25"/>
  <c r="AI110" i="25"/>
  <c r="AJ110" i="25"/>
  <c r="AK110" i="25"/>
  <c r="AL110" i="25"/>
  <c r="AH111" i="25"/>
  <c r="AI111" i="25"/>
  <c r="AJ111" i="25"/>
  <c r="AK111" i="25"/>
  <c r="AL111" i="25"/>
  <c r="AH112" i="25"/>
  <c r="AI112" i="25"/>
  <c r="AJ112" i="25"/>
  <c r="AK112" i="25"/>
  <c r="AL112" i="25"/>
  <c r="AH113" i="25"/>
  <c r="AI113" i="25"/>
  <c r="AJ113" i="25"/>
  <c r="AK113" i="25"/>
  <c r="AL113" i="25"/>
  <c r="AH114" i="25"/>
  <c r="AI114" i="25"/>
  <c r="AJ114" i="25"/>
  <c r="AK114" i="25"/>
  <c r="AL114" i="25"/>
  <c r="AH115" i="25"/>
  <c r="AI115" i="25"/>
  <c r="AJ115" i="25"/>
  <c r="AK115" i="25"/>
  <c r="AL115" i="25"/>
  <c r="AH116" i="25"/>
  <c r="AI116" i="25"/>
  <c r="AJ116" i="25"/>
  <c r="AK116" i="25"/>
  <c r="AL116" i="25"/>
  <c r="AH117" i="25"/>
  <c r="AI117" i="25"/>
  <c r="AJ117" i="25"/>
  <c r="AK117" i="25"/>
  <c r="AL117" i="25"/>
  <c r="AH118" i="25"/>
  <c r="AI118" i="25"/>
  <c r="AJ118" i="25"/>
  <c r="AK118" i="25"/>
  <c r="AL118" i="25"/>
  <c r="AH119" i="25"/>
  <c r="AI119" i="25"/>
  <c r="AJ119" i="25"/>
  <c r="AK119" i="25"/>
  <c r="AL119" i="25"/>
  <c r="AI4" i="25"/>
  <c r="AJ4" i="25"/>
  <c r="AK4" i="25"/>
  <c r="AL4" i="25"/>
  <c r="AH4" i="25"/>
  <c r="AB5" i="25"/>
  <c r="AC5" i="25"/>
  <c r="AD5" i="25"/>
  <c r="AE5" i="25"/>
  <c r="AF5" i="25"/>
  <c r="AB6" i="25"/>
  <c r="AC6" i="25"/>
  <c r="AD6" i="25"/>
  <c r="AE6" i="25"/>
  <c r="AF6" i="25"/>
  <c r="AB7" i="25"/>
  <c r="AC7" i="25"/>
  <c r="AD7" i="25"/>
  <c r="AE7" i="25"/>
  <c r="AF7" i="25"/>
  <c r="AB8" i="25"/>
  <c r="AC8" i="25"/>
  <c r="AD8" i="25"/>
  <c r="AE8" i="25"/>
  <c r="AF8" i="25"/>
  <c r="AB9" i="25"/>
  <c r="AC9" i="25"/>
  <c r="AD9" i="25"/>
  <c r="AE9" i="25"/>
  <c r="AF9" i="25"/>
  <c r="AB10" i="25"/>
  <c r="AC10" i="25"/>
  <c r="AD10" i="25"/>
  <c r="AE10" i="25"/>
  <c r="AF10" i="25"/>
  <c r="AB11" i="25"/>
  <c r="AC11" i="25"/>
  <c r="AD11" i="25"/>
  <c r="AE11" i="25"/>
  <c r="AF11" i="25"/>
  <c r="AB12" i="25"/>
  <c r="AC12" i="25"/>
  <c r="AD12" i="25"/>
  <c r="AE12" i="25"/>
  <c r="AF12" i="25"/>
  <c r="AB13" i="25"/>
  <c r="AC13" i="25"/>
  <c r="AD13" i="25"/>
  <c r="AE13" i="25"/>
  <c r="AF13" i="25"/>
  <c r="AB14" i="25"/>
  <c r="AC14" i="25"/>
  <c r="AD14" i="25"/>
  <c r="AE14" i="25"/>
  <c r="AF14" i="25"/>
  <c r="AB15" i="25"/>
  <c r="AC15" i="25"/>
  <c r="AD15" i="25"/>
  <c r="AE15" i="25"/>
  <c r="AF15" i="25"/>
  <c r="AB16" i="25"/>
  <c r="AC16" i="25"/>
  <c r="AD16" i="25"/>
  <c r="AE16" i="25"/>
  <c r="AF16" i="25"/>
  <c r="AB17" i="25"/>
  <c r="AC17" i="25"/>
  <c r="AD17" i="25"/>
  <c r="AE17" i="25"/>
  <c r="AF17" i="25"/>
  <c r="AB18" i="25"/>
  <c r="AC18" i="25"/>
  <c r="AD18" i="25"/>
  <c r="AE18" i="25"/>
  <c r="AF18" i="25"/>
  <c r="AB19" i="25"/>
  <c r="AC19" i="25"/>
  <c r="AD19" i="25"/>
  <c r="AE19" i="25"/>
  <c r="AF19" i="25"/>
  <c r="AB20" i="25"/>
  <c r="AC20" i="25"/>
  <c r="AD20" i="25"/>
  <c r="AE20" i="25"/>
  <c r="AF20" i="25"/>
  <c r="AB21" i="25"/>
  <c r="AC21" i="25"/>
  <c r="AD21" i="25"/>
  <c r="AE21" i="25"/>
  <c r="AF21" i="25"/>
  <c r="AB22" i="25"/>
  <c r="AC22" i="25"/>
  <c r="AD22" i="25"/>
  <c r="AE22" i="25"/>
  <c r="AF22" i="25"/>
  <c r="AB23" i="25"/>
  <c r="AC23" i="25"/>
  <c r="AD23" i="25"/>
  <c r="AE23" i="25"/>
  <c r="AF23" i="25"/>
  <c r="AB24" i="25"/>
  <c r="AC24" i="25"/>
  <c r="AD24" i="25"/>
  <c r="AE24" i="25"/>
  <c r="AF24" i="25"/>
  <c r="AB25" i="25"/>
  <c r="AC25" i="25"/>
  <c r="AD25" i="25"/>
  <c r="AE25" i="25"/>
  <c r="AF25" i="25"/>
  <c r="AB26" i="25"/>
  <c r="AC26" i="25"/>
  <c r="AD26" i="25"/>
  <c r="AE26" i="25"/>
  <c r="AF26" i="25"/>
  <c r="AB27" i="25"/>
  <c r="AC27" i="25"/>
  <c r="AD27" i="25"/>
  <c r="AE27" i="25"/>
  <c r="AF27" i="25"/>
  <c r="AB28" i="25"/>
  <c r="AC28" i="25"/>
  <c r="AD28" i="25"/>
  <c r="AE28" i="25"/>
  <c r="AF28" i="25"/>
  <c r="AB29" i="25"/>
  <c r="AC29" i="25"/>
  <c r="AD29" i="25"/>
  <c r="AE29" i="25"/>
  <c r="AF29" i="25"/>
  <c r="AB30" i="25"/>
  <c r="AC30" i="25"/>
  <c r="AD30" i="25"/>
  <c r="AE30" i="25"/>
  <c r="AF30" i="25"/>
  <c r="AB31" i="25"/>
  <c r="AC31" i="25"/>
  <c r="AD31" i="25"/>
  <c r="AE31" i="25"/>
  <c r="AF31" i="25"/>
  <c r="AB32" i="25"/>
  <c r="AC32" i="25"/>
  <c r="AD32" i="25"/>
  <c r="AE32" i="25"/>
  <c r="AF32" i="25"/>
  <c r="AB33" i="25"/>
  <c r="AC33" i="25"/>
  <c r="AD33" i="25"/>
  <c r="AE33" i="25"/>
  <c r="AF33" i="25"/>
  <c r="AB34" i="25"/>
  <c r="AC34" i="25"/>
  <c r="AD34" i="25"/>
  <c r="AE34" i="25"/>
  <c r="AF34" i="25"/>
  <c r="AB35" i="25"/>
  <c r="AC35" i="25"/>
  <c r="AD35" i="25"/>
  <c r="AE35" i="25"/>
  <c r="AF35" i="25"/>
  <c r="AB36" i="25"/>
  <c r="AC36" i="25"/>
  <c r="AD36" i="25"/>
  <c r="AE36" i="25"/>
  <c r="AF36" i="25"/>
  <c r="AB37" i="25"/>
  <c r="AC37" i="25"/>
  <c r="AD37" i="25"/>
  <c r="AE37" i="25"/>
  <c r="AF37" i="25"/>
  <c r="AB38" i="25"/>
  <c r="AC38" i="25"/>
  <c r="AD38" i="25"/>
  <c r="AE38" i="25"/>
  <c r="AF38" i="25"/>
  <c r="AB39" i="25"/>
  <c r="AC39" i="25"/>
  <c r="AD39" i="25"/>
  <c r="AE39" i="25"/>
  <c r="AF39" i="25"/>
  <c r="AB40" i="25"/>
  <c r="AC40" i="25"/>
  <c r="AD40" i="25"/>
  <c r="AE40" i="25"/>
  <c r="AF40" i="25"/>
  <c r="AB41" i="25"/>
  <c r="AC41" i="25"/>
  <c r="AD41" i="25"/>
  <c r="AE41" i="25"/>
  <c r="AF41" i="25"/>
  <c r="AB42" i="25"/>
  <c r="AC42" i="25"/>
  <c r="AD42" i="25"/>
  <c r="AE42" i="25"/>
  <c r="AF42" i="25"/>
  <c r="AB43" i="25"/>
  <c r="AC43" i="25"/>
  <c r="AD43" i="25"/>
  <c r="AE43" i="25"/>
  <c r="AF43" i="25"/>
  <c r="AB44" i="25"/>
  <c r="AC44" i="25"/>
  <c r="AD44" i="25"/>
  <c r="AE44" i="25"/>
  <c r="AF44" i="25"/>
  <c r="AB45" i="25"/>
  <c r="AC45" i="25"/>
  <c r="AD45" i="25"/>
  <c r="AE45" i="25"/>
  <c r="AF45" i="25"/>
  <c r="AB46" i="25"/>
  <c r="AC46" i="25"/>
  <c r="AD46" i="25"/>
  <c r="AE46" i="25"/>
  <c r="AF46" i="25"/>
  <c r="AB47" i="25"/>
  <c r="AC47" i="25"/>
  <c r="AD47" i="25"/>
  <c r="AE47" i="25"/>
  <c r="AF47" i="25"/>
  <c r="AB48" i="25"/>
  <c r="AC48" i="25"/>
  <c r="AD48" i="25"/>
  <c r="AE48" i="25"/>
  <c r="AF48" i="25"/>
  <c r="AB49" i="25"/>
  <c r="AC49" i="25"/>
  <c r="AD49" i="25"/>
  <c r="AE49" i="25"/>
  <c r="AF49" i="25"/>
  <c r="AB50" i="25"/>
  <c r="AC50" i="25"/>
  <c r="AD50" i="25"/>
  <c r="AE50" i="25"/>
  <c r="AF50" i="25"/>
  <c r="AB51" i="25"/>
  <c r="AC51" i="25"/>
  <c r="AD51" i="25"/>
  <c r="AE51" i="25"/>
  <c r="AF51" i="25"/>
  <c r="AB52" i="25"/>
  <c r="AC52" i="25"/>
  <c r="AD52" i="25"/>
  <c r="AE52" i="25"/>
  <c r="AF52" i="25"/>
  <c r="AB53" i="25"/>
  <c r="AC53" i="25"/>
  <c r="AD53" i="25"/>
  <c r="AE53" i="25"/>
  <c r="AF53" i="25"/>
  <c r="AB54" i="25"/>
  <c r="AC54" i="25"/>
  <c r="AD54" i="25"/>
  <c r="AE54" i="25"/>
  <c r="AF54" i="25"/>
  <c r="AB55" i="25"/>
  <c r="AC55" i="25"/>
  <c r="AD55" i="25"/>
  <c r="AE55" i="25"/>
  <c r="AF55" i="25"/>
  <c r="AB56" i="25"/>
  <c r="AC56" i="25"/>
  <c r="AD56" i="25"/>
  <c r="AE56" i="25"/>
  <c r="AF56" i="25"/>
  <c r="AB57" i="25"/>
  <c r="AC57" i="25"/>
  <c r="AD57" i="25"/>
  <c r="AE57" i="25"/>
  <c r="AF57" i="25"/>
  <c r="AB58" i="25"/>
  <c r="AC58" i="25"/>
  <c r="AD58" i="25"/>
  <c r="AE58" i="25"/>
  <c r="AF58" i="25"/>
  <c r="AB59" i="25"/>
  <c r="AC59" i="25"/>
  <c r="AD59" i="25"/>
  <c r="AE59" i="25"/>
  <c r="AF59" i="25"/>
  <c r="AB60" i="25"/>
  <c r="AC60" i="25"/>
  <c r="AD60" i="25"/>
  <c r="AE60" i="25"/>
  <c r="AF60" i="25"/>
  <c r="AB61" i="25"/>
  <c r="AC61" i="25"/>
  <c r="AD61" i="25"/>
  <c r="AE61" i="25"/>
  <c r="AF61" i="25"/>
  <c r="AB62" i="25"/>
  <c r="AC62" i="25"/>
  <c r="AD62" i="25"/>
  <c r="AE62" i="25"/>
  <c r="AF62" i="25"/>
  <c r="AB63" i="25"/>
  <c r="AC63" i="25"/>
  <c r="AD63" i="25"/>
  <c r="AE63" i="25"/>
  <c r="AF63" i="25"/>
  <c r="AB64" i="25"/>
  <c r="AC64" i="25"/>
  <c r="AD64" i="25"/>
  <c r="AE64" i="25"/>
  <c r="AF64" i="25"/>
  <c r="AB65" i="25"/>
  <c r="AC65" i="25"/>
  <c r="AD65" i="25"/>
  <c r="AE65" i="25"/>
  <c r="AF65" i="25"/>
  <c r="AB66" i="25"/>
  <c r="AC66" i="25"/>
  <c r="AD66" i="25"/>
  <c r="AE66" i="25"/>
  <c r="AF66" i="25"/>
  <c r="AB67" i="25"/>
  <c r="AC67" i="25"/>
  <c r="AD67" i="25"/>
  <c r="AE67" i="25"/>
  <c r="AF67" i="25"/>
  <c r="AB68" i="25"/>
  <c r="AC68" i="25"/>
  <c r="AD68" i="25"/>
  <c r="AE68" i="25"/>
  <c r="AF68" i="25"/>
  <c r="AB69" i="25"/>
  <c r="AC69" i="25"/>
  <c r="AD69" i="25"/>
  <c r="AE69" i="25"/>
  <c r="AF69" i="25"/>
  <c r="AB70" i="25"/>
  <c r="AC70" i="25"/>
  <c r="AD70" i="25"/>
  <c r="AE70" i="25"/>
  <c r="AF70" i="25"/>
  <c r="AB71" i="25"/>
  <c r="AC71" i="25"/>
  <c r="AD71" i="25"/>
  <c r="AE71" i="25"/>
  <c r="AF71" i="25"/>
  <c r="AB72" i="25"/>
  <c r="AC72" i="25"/>
  <c r="AD72" i="25"/>
  <c r="AE72" i="25"/>
  <c r="AF72" i="25"/>
  <c r="AB73" i="25"/>
  <c r="AC73" i="25"/>
  <c r="AD73" i="25"/>
  <c r="AE73" i="25"/>
  <c r="AF73" i="25"/>
  <c r="AB74" i="25"/>
  <c r="AC74" i="25"/>
  <c r="AD74" i="25"/>
  <c r="AE74" i="25"/>
  <c r="AF74" i="25"/>
  <c r="AB75" i="25"/>
  <c r="AC75" i="25"/>
  <c r="AD75" i="25"/>
  <c r="AE75" i="25"/>
  <c r="AF75" i="25"/>
  <c r="AB76" i="25"/>
  <c r="AC76" i="25"/>
  <c r="AD76" i="25"/>
  <c r="AE76" i="25"/>
  <c r="AF76" i="25"/>
  <c r="AB77" i="25"/>
  <c r="AC77" i="25"/>
  <c r="AD77" i="25"/>
  <c r="AE77" i="25"/>
  <c r="AF77" i="25"/>
  <c r="AB78" i="25"/>
  <c r="AC78" i="25"/>
  <c r="AD78" i="25"/>
  <c r="AE78" i="25"/>
  <c r="AF78" i="25"/>
  <c r="AB79" i="25"/>
  <c r="AC79" i="25"/>
  <c r="AD79" i="25"/>
  <c r="AE79" i="25"/>
  <c r="AF79" i="25"/>
  <c r="AB80" i="25"/>
  <c r="AC80" i="25"/>
  <c r="AD80" i="25"/>
  <c r="AE80" i="25"/>
  <c r="AF80" i="25"/>
  <c r="AB81" i="25"/>
  <c r="AC81" i="25"/>
  <c r="AD81" i="25"/>
  <c r="AE81" i="25"/>
  <c r="AF81" i="25"/>
  <c r="AB82" i="25"/>
  <c r="AC82" i="25"/>
  <c r="AD82" i="25"/>
  <c r="AE82" i="25"/>
  <c r="AF82" i="25"/>
  <c r="AB83" i="25"/>
  <c r="AC83" i="25"/>
  <c r="AD83" i="25"/>
  <c r="AE83" i="25"/>
  <c r="AF83" i="25"/>
  <c r="AB84" i="25"/>
  <c r="AC84" i="25"/>
  <c r="AD84" i="25"/>
  <c r="AE84" i="25"/>
  <c r="AF84" i="25"/>
  <c r="AB85" i="25"/>
  <c r="AC85" i="25"/>
  <c r="AD85" i="25"/>
  <c r="AE85" i="25"/>
  <c r="AF85" i="25"/>
  <c r="AB86" i="25"/>
  <c r="AC86" i="25"/>
  <c r="AD86" i="25"/>
  <c r="AE86" i="25"/>
  <c r="AF86" i="25"/>
  <c r="AB87" i="25"/>
  <c r="AC87" i="25"/>
  <c r="AD87" i="25"/>
  <c r="AE87" i="25"/>
  <c r="AF87" i="25"/>
  <c r="AB88" i="25"/>
  <c r="AC88" i="25"/>
  <c r="AD88" i="25"/>
  <c r="AE88" i="25"/>
  <c r="AF88" i="25"/>
  <c r="AB89" i="25"/>
  <c r="AC89" i="25"/>
  <c r="AD89" i="25"/>
  <c r="AE89" i="25"/>
  <c r="AF89" i="25"/>
  <c r="AB90" i="25"/>
  <c r="AC90" i="25"/>
  <c r="AD90" i="25"/>
  <c r="AE90" i="25"/>
  <c r="AF90" i="25"/>
  <c r="AB91" i="25"/>
  <c r="AC91" i="25"/>
  <c r="AD91" i="25"/>
  <c r="AE91" i="25"/>
  <c r="AF91" i="25"/>
  <c r="AB92" i="25"/>
  <c r="AC92" i="25"/>
  <c r="AD92" i="25"/>
  <c r="AE92" i="25"/>
  <c r="AF92" i="25"/>
  <c r="AB93" i="25"/>
  <c r="AC93" i="25"/>
  <c r="AD93" i="25"/>
  <c r="AE93" i="25"/>
  <c r="AF93" i="25"/>
  <c r="AB94" i="25"/>
  <c r="AC94" i="25"/>
  <c r="AD94" i="25"/>
  <c r="AE94" i="25"/>
  <c r="AF94" i="25"/>
  <c r="AB95" i="25"/>
  <c r="AC95" i="25"/>
  <c r="AD95" i="25"/>
  <c r="AE95" i="25"/>
  <c r="AF95" i="25"/>
  <c r="AB96" i="25"/>
  <c r="AC96" i="25"/>
  <c r="AD96" i="25"/>
  <c r="AE96" i="25"/>
  <c r="AF96" i="25"/>
  <c r="AB97" i="25"/>
  <c r="AC97" i="25"/>
  <c r="AD97" i="25"/>
  <c r="AE97" i="25"/>
  <c r="AF97" i="25"/>
  <c r="AB98" i="25"/>
  <c r="AC98" i="25"/>
  <c r="AD98" i="25"/>
  <c r="AE98" i="25"/>
  <c r="AF98" i="25"/>
  <c r="AB99" i="25"/>
  <c r="AC99" i="25"/>
  <c r="AD99" i="25"/>
  <c r="AE99" i="25"/>
  <c r="AF99" i="25"/>
  <c r="AB100" i="25"/>
  <c r="AC100" i="25"/>
  <c r="AD100" i="25"/>
  <c r="AE100" i="25"/>
  <c r="AF100" i="25"/>
  <c r="AB101" i="25"/>
  <c r="AC101" i="25"/>
  <c r="AD101" i="25"/>
  <c r="AE101" i="25"/>
  <c r="AF101" i="25"/>
  <c r="AB102" i="25"/>
  <c r="AC102" i="25"/>
  <c r="AD102" i="25"/>
  <c r="AE102" i="25"/>
  <c r="AF102" i="25"/>
  <c r="AB103" i="25"/>
  <c r="AC103" i="25"/>
  <c r="AD103" i="25"/>
  <c r="AE103" i="25"/>
  <c r="AF103" i="25"/>
  <c r="AB104" i="25"/>
  <c r="AC104" i="25"/>
  <c r="AD104" i="25"/>
  <c r="AE104" i="25"/>
  <c r="AF104" i="25"/>
  <c r="AB105" i="25"/>
  <c r="AC105" i="25"/>
  <c r="AD105" i="25"/>
  <c r="AE105" i="25"/>
  <c r="AF105" i="25"/>
  <c r="AB106" i="25"/>
  <c r="AC106" i="25"/>
  <c r="AD106" i="25"/>
  <c r="AE106" i="25"/>
  <c r="AF106" i="25"/>
  <c r="AB107" i="25"/>
  <c r="AC107" i="25"/>
  <c r="AD107" i="25"/>
  <c r="AE107" i="25"/>
  <c r="AF107" i="25"/>
  <c r="AB108" i="25"/>
  <c r="AC108" i="25"/>
  <c r="AD108" i="25"/>
  <c r="AE108" i="25"/>
  <c r="AF108" i="25"/>
  <c r="AB109" i="25"/>
  <c r="AC109" i="25"/>
  <c r="AD109" i="25"/>
  <c r="AE109" i="25"/>
  <c r="AF109" i="25"/>
  <c r="AB110" i="25"/>
  <c r="AC110" i="25"/>
  <c r="AD110" i="25"/>
  <c r="AE110" i="25"/>
  <c r="AF110" i="25"/>
  <c r="AB111" i="25"/>
  <c r="AC111" i="25"/>
  <c r="AD111" i="25"/>
  <c r="AE111" i="25"/>
  <c r="AF111" i="25"/>
  <c r="AB112" i="25"/>
  <c r="AC112" i="25"/>
  <c r="AD112" i="25"/>
  <c r="AE112" i="25"/>
  <c r="AF112" i="25"/>
  <c r="AB113" i="25"/>
  <c r="AC113" i="25"/>
  <c r="AD113" i="25"/>
  <c r="AE113" i="25"/>
  <c r="AF113" i="25"/>
  <c r="AB114" i="25"/>
  <c r="AC114" i="25"/>
  <c r="AD114" i="25"/>
  <c r="AE114" i="25"/>
  <c r="AF114" i="25"/>
  <c r="AB115" i="25"/>
  <c r="AC115" i="25"/>
  <c r="AD115" i="25"/>
  <c r="AE115" i="25"/>
  <c r="AF115" i="25"/>
  <c r="AB116" i="25"/>
  <c r="AC116" i="25"/>
  <c r="AD116" i="25"/>
  <c r="AE116" i="25"/>
  <c r="AF116" i="25"/>
  <c r="AB117" i="25"/>
  <c r="AC117" i="25"/>
  <c r="AD117" i="25"/>
  <c r="AE117" i="25"/>
  <c r="AF117" i="25"/>
  <c r="AB118" i="25"/>
  <c r="AC118" i="25"/>
  <c r="AD118" i="25"/>
  <c r="AE118" i="25"/>
  <c r="AF118" i="25"/>
  <c r="AB119" i="25"/>
  <c r="AC119" i="25"/>
  <c r="AD119" i="25"/>
  <c r="AE119" i="25"/>
  <c r="AF119" i="25"/>
  <c r="AF4" i="25"/>
  <c r="AE4" i="25"/>
  <c r="AD4" i="25"/>
  <c r="AC4" i="25"/>
  <c r="AB4" i="25"/>
  <c r="U5" i="25"/>
  <c r="V5" i="25"/>
  <c r="W5" i="25"/>
  <c r="X5" i="25"/>
  <c r="Y5" i="25"/>
  <c r="U6" i="25"/>
  <c r="V6" i="25"/>
  <c r="W6" i="25"/>
  <c r="X6" i="25"/>
  <c r="Y6" i="25"/>
  <c r="U7" i="25"/>
  <c r="V7" i="25"/>
  <c r="W7" i="25"/>
  <c r="X7" i="25"/>
  <c r="Y7" i="25"/>
  <c r="U8" i="25"/>
  <c r="V8" i="25"/>
  <c r="W8" i="25"/>
  <c r="X8" i="25"/>
  <c r="Y8" i="25"/>
  <c r="U9" i="25"/>
  <c r="V9" i="25"/>
  <c r="W9" i="25"/>
  <c r="X9" i="25"/>
  <c r="Y9" i="25"/>
  <c r="U10" i="25"/>
  <c r="V10" i="25"/>
  <c r="W10" i="25"/>
  <c r="X10" i="25"/>
  <c r="Y10" i="25"/>
  <c r="U11" i="25"/>
  <c r="V11" i="25"/>
  <c r="W11" i="25"/>
  <c r="X11" i="25"/>
  <c r="Y11" i="25"/>
  <c r="U12" i="25"/>
  <c r="V12" i="25"/>
  <c r="W12" i="25"/>
  <c r="X12" i="25"/>
  <c r="Y12" i="25"/>
  <c r="U13" i="25"/>
  <c r="V13" i="25"/>
  <c r="W13" i="25"/>
  <c r="X13" i="25"/>
  <c r="Y13" i="25"/>
  <c r="U14" i="25"/>
  <c r="V14" i="25"/>
  <c r="W14" i="25"/>
  <c r="X14" i="25"/>
  <c r="Y14" i="25"/>
  <c r="U15" i="25"/>
  <c r="V15" i="25"/>
  <c r="W15" i="25"/>
  <c r="X15" i="25"/>
  <c r="Y15" i="25"/>
  <c r="U16" i="25"/>
  <c r="V16" i="25"/>
  <c r="W16" i="25"/>
  <c r="X16" i="25"/>
  <c r="Y16" i="25"/>
  <c r="U17" i="25"/>
  <c r="V17" i="25"/>
  <c r="W17" i="25"/>
  <c r="X17" i="25"/>
  <c r="Y17" i="25"/>
  <c r="U18" i="25"/>
  <c r="V18" i="25"/>
  <c r="W18" i="25"/>
  <c r="X18" i="25"/>
  <c r="Y18" i="25"/>
  <c r="U19" i="25"/>
  <c r="V19" i="25"/>
  <c r="W19" i="25"/>
  <c r="X19" i="25"/>
  <c r="Y19" i="25"/>
  <c r="U20" i="25"/>
  <c r="V20" i="25"/>
  <c r="W20" i="25"/>
  <c r="X20" i="25"/>
  <c r="Y20" i="25"/>
  <c r="U21" i="25"/>
  <c r="V21" i="25"/>
  <c r="W21" i="25"/>
  <c r="X21" i="25"/>
  <c r="Y21" i="25"/>
  <c r="U22" i="25"/>
  <c r="V22" i="25"/>
  <c r="W22" i="25"/>
  <c r="X22" i="25"/>
  <c r="Y22" i="25"/>
  <c r="U23" i="25"/>
  <c r="V23" i="25"/>
  <c r="W23" i="25"/>
  <c r="X23" i="25"/>
  <c r="Y23" i="25"/>
  <c r="U24" i="25"/>
  <c r="V24" i="25"/>
  <c r="W24" i="25"/>
  <c r="X24" i="25"/>
  <c r="Y24" i="25"/>
  <c r="U25" i="25"/>
  <c r="V25" i="25"/>
  <c r="W25" i="25"/>
  <c r="X25" i="25"/>
  <c r="Y25" i="25"/>
  <c r="U26" i="25"/>
  <c r="V26" i="25"/>
  <c r="W26" i="25"/>
  <c r="X26" i="25"/>
  <c r="Y26" i="25"/>
  <c r="U27" i="25"/>
  <c r="V27" i="25"/>
  <c r="W27" i="25"/>
  <c r="X27" i="25"/>
  <c r="Y27" i="25"/>
  <c r="U28" i="25"/>
  <c r="V28" i="25"/>
  <c r="W28" i="25"/>
  <c r="X28" i="25"/>
  <c r="Y28" i="25"/>
  <c r="U29" i="25"/>
  <c r="V29" i="25"/>
  <c r="W29" i="25"/>
  <c r="X29" i="25"/>
  <c r="Y29" i="25"/>
  <c r="U30" i="25"/>
  <c r="V30" i="25"/>
  <c r="W30" i="25"/>
  <c r="X30" i="25"/>
  <c r="Y30" i="25"/>
  <c r="U31" i="25"/>
  <c r="V31" i="25"/>
  <c r="W31" i="25"/>
  <c r="X31" i="25"/>
  <c r="Y31" i="25"/>
  <c r="U32" i="25"/>
  <c r="V32" i="25"/>
  <c r="W32" i="25"/>
  <c r="X32" i="25"/>
  <c r="Y32" i="25"/>
  <c r="U33" i="25"/>
  <c r="V33" i="25"/>
  <c r="W33" i="25"/>
  <c r="X33" i="25"/>
  <c r="Y33" i="25"/>
  <c r="U34" i="25"/>
  <c r="V34" i="25"/>
  <c r="W34" i="25"/>
  <c r="X34" i="25"/>
  <c r="Y34" i="25"/>
  <c r="U35" i="25"/>
  <c r="V35" i="25"/>
  <c r="W35" i="25"/>
  <c r="X35" i="25"/>
  <c r="Y35" i="25"/>
  <c r="U36" i="25"/>
  <c r="V36" i="25"/>
  <c r="W36" i="25"/>
  <c r="X36" i="25"/>
  <c r="Y36" i="25"/>
  <c r="U37" i="25"/>
  <c r="V37" i="25"/>
  <c r="W37" i="25"/>
  <c r="X37" i="25"/>
  <c r="Y37" i="25"/>
  <c r="U38" i="25"/>
  <c r="V38" i="25"/>
  <c r="W38" i="25"/>
  <c r="X38" i="25"/>
  <c r="Y38" i="25"/>
  <c r="U39" i="25"/>
  <c r="V39" i="25"/>
  <c r="W39" i="25"/>
  <c r="X39" i="25"/>
  <c r="Y39" i="25"/>
  <c r="U40" i="25"/>
  <c r="V40" i="25"/>
  <c r="W40" i="25"/>
  <c r="X40" i="25"/>
  <c r="Y40" i="25"/>
  <c r="U41" i="25"/>
  <c r="V41" i="25"/>
  <c r="W41" i="25"/>
  <c r="X41" i="25"/>
  <c r="Y41" i="25"/>
  <c r="U42" i="25"/>
  <c r="V42" i="25"/>
  <c r="W42" i="25"/>
  <c r="X42" i="25"/>
  <c r="Y42" i="25"/>
  <c r="U43" i="25"/>
  <c r="V43" i="25"/>
  <c r="W43" i="25"/>
  <c r="X43" i="25"/>
  <c r="Y43" i="25"/>
  <c r="U44" i="25"/>
  <c r="V44" i="25"/>
  <c r="W44" i="25"/>
  <c r="X44" i="25"/>
  <c r="Y44" i="25"/>
  <c r="U45" i="25"/>
  <c r="V45" i="25"/>
  <c r="W45" i="25"/>
  <c r="X45" i="25"/>
  <c r="Y45" i="25"/>
  <c r="U46" i="25"/>
  <c r="V46" i="25"/>
  <c r="W46" i="25"/>
  <c r="X46" i="25"/>
  <c r="Y46" i="25"/>
  <c r="U47" i="25"/>
  <c r="V47" i="25"/>
  <c r="W47" i="25"/>
  <c r="X47" i="25"/>
  <c r="Y47" i="25"/>
  <c r="U48" i="25"/>
  <c r="V48" i="25"/>
  <c r="W48" i="25"/>
  <c r="X48" i="25"/>
  <c r="Y48" i="25"/>
  <c r="U49" i="25"/>
  <c r="V49" i="25"/>
  <c r="W49" i="25"/>
  <c r="X49" i="25"/>
  <c r="Y49" i="25"/>
  <c r="U50" i="25"/>
  <c r="V50" i="25"/>
  <c r="W50" i="25"/>
  <c r="X50" i="25"/>
  <c r="Y50" i="25"/>
  <c r="U51" i="25"/>
  <c r="V51" i="25"/>
  <c r="W51" i="25"/>
  <c r="X51" i="25"/>
  <c r="Y51" i="25"/>
  <c r="U52" i="25"/>
  <c r="V52" i="25"/>
  <c r="W52" i="25"/>
  <c r="X52" i="25"/>
  <c r="Y52" i="25"/>
  <c r="U53" i="25"/>
  <c r="V53" i="25"/>
  <c r="W53" i="25"/>
  <c r="X53" i="25"/>
  <c r="Y53" i="25"/>
  <c r="U54" i="25"/>
  <c r="V54" i="25"/>
  <c r="W54" i="25"/>
  <c r="X54" i="25"/>
  <c r="Y54" i="25"/>
  <c r="U55" i="25"/>
  <c r="V55" i="25"/>
  <c r="W55" i="25"/>
  <c r="X55" i="25"/>
  <c r="Y55" i="25"/>
  <c r="U56" i="25"/>
  <c r="V56" i="25"/>
  <c r="W56" i="25"/>
  <c r="X56" i="25"/>
  <c r="Y56" i="25"/>
  <c r="U57" i="25"/>
  <c r="V57" i="25"/>
  <c r="W57" i="25"/>
  <c r="X57" i="25"/>
  <c r="Y57" i="25"/>
  <c r="U58" i="25"/>
  <c r="V58" i="25"/>
  <c r="W58" i="25"/>
  <c r="X58" i="25"/>
  <c r="Y58" i="25"/>
  <c r="U59" i="25"/>
  <c r="V59" i="25"/>
  <c r="W59" i="25"/>
  <c r="X59" i="25"/>
  <c r="Y59" i="25"/>
  <c r="U60" i="25"/>
  <c r="V60" i="25"/>
  <c r="W60" i="25"/>
  <c r="X60" i="25"/>
  <c r="Y60" i="25"/>
  <c r="U61" i="25"/>
  <c r="V61" i="25"/>
  <c r="W61" i="25"/>
  <c r="X61" i="25"/>
  <c r="Y61" i="25"/>
  <c r="U62" i="25"/>
  <c r="V62" i="25"/>
  <c r="W62" i="25"/>
  <c r="X62" i="25"/>
  <c r="Y62" i="25"/>
  <c r="U63" i="25"/>
  <c r="V63" i="25"/>
  <c r="W63" i="25"/>
  <c r="X63" i="25"/>
  <c r="Y63" i="25"/>
  <c r="U64" i="25"/>
  <c r="V64" i="25"/>
  <c r="W64" i="25"/>
  <c r="X64" i="25"/>
  <c r="Y64" i="25"/>
  <c r="U65" i="25"/>
  <c r="V65" i="25"/>
  <c r="W65" i="25"/>
  <c r="X65" i="25"/>
  <c r="Y65" i="25"/>
  <c r="U66" i="25"/>
  <c r="V66" i="25"/>
  <c r="W66" i="25"/>
  <c r="X66" i="25"/>
  <c r="Y66" i="25"/>
  <c r="U67" i="25"/>
  <c r="V67" i="25"/>
  <c r="W67" i="25"/>
  <c r="X67" i="25"/>
  <c r="Y67" i="25"/>
  <c r="U68" i="25"/>
  <c r="V68" i="25"/>
  <c r="W68" i="25"/>
  <c r="X68" i="25"/>
  <c r="Y68" i="25"/>
  <c r="U69" i="25"/>
  <c r="V69" i="25"/>
  <c r="W69" i="25"/>
  <c r="X69" i="25"/>
  <c r="Y69" i="25"/>
  <c r="U70" i="25"/>
  <c r="V70" i="25"/>
  <c r="W70" i="25"/>
  <c r="X70" i="25"/>
  <c r="Y70" i="25"/>
  <c r="U71" i="25"/>
  <c r="V71" i="25"/>
  <c r="W71" i="25"/>
  <c r="X71" i="25"/>
  <c r="Y71" i="25"/>
  <c r="U72" i="25"/>
  <c r="V72" i="25"/>
  <c r="W72" i="25"/>
  <c r="X72" i="25"/>
  <c r="Y72" i="25"/>
  <c r="U73" i="25"/>
  <c r="V73" i="25"/>
  <c r="W73" i="25"/>
  <c r="X73" i="25"/>
  <c r="Y73" i="25"/>
  <c r="U74" i="25"/>
  <c r="V74" i="25"/>
  <c r="W74" i="25"/>
  <c r="X74" i="25"/>
  <c r="Y74" i="25"/>
  <c r="U75" i="25"/>
  <c r="V75" i="25"/>
  <c r="W75" i="25"/>
  <c r="X75" i="25"/>
  <c r="Y75" i="25"/>
  <c r="U76" i="25"/>
  <c r="V76" i="25"/>
  <c r="W76" i="25"/>
  <c r="X76" i="25"/>
  <c r="Y76" i="25"/>
  <c r="U77" i="25"/>
  <c r="V77" i="25"/>
  <c r="W77" i="25"/>
  <c r="X77" i="25"/>
  <c r="Y77" i="25"/>
  <c r="U78" i="25"/>
  <c r="V78" i="25"/>
  <c r="W78" i="25"/>
  <c r="X78" i="25"/>
  <c r="Y78" i="25"/>
  <c r="U79" i="25"/>
  <c r="V79" i="25"/>
  <c r="W79" i="25"/>
  <c r="X79" i="25"/>
  <c r="Y79" i="25"/>
  <c r="U80" i="25"/>
  <c r="V80" i="25"/>
  <c r="W80" i="25"/>
  <c r="X80" i="25"/>
  <c r="Y80" i="25"/>
  <c r="U81" i="25"/>
  <c r="V81" i="25"/>
  <c r="W81" i="25"/>
  <c r="X81" i="25"/>
  <c r="Y81" i="25"/>
  <c r="U82" i="25"/>
  <c r="V82" i="25"/>
  <c r="W82" i="25"/>
  <c r="X82" i="25"/>
  <c r="Y82" i="25"/>
  <c r="U83" i="25"/>
  <c r="V83" i="25"/>
  <c r="W83" i="25"/>
  <c r="X83" i="25"/>
  <c r="Y83" i="25"/>
  <c r="U84" i="25"/>
  <c r="V84" i="25"/>
  <c r="W84" i="25"/>
  <c r="X84" i="25"/>
  <c r="Y84" i="25"/>
  <c r="U85" i="25"/>
  <c r="V85" i="25"/>
  <c r="W85" i="25"/>
  <c r="X85" i="25"/>
  <c r="Y85" i="25"/>
  <c r="U86" i="25"/>
  <c r="V86" i="25"/>
  <c r="W86" i="25"/>
  <c r="X86" i="25"/>
  <c r="Y86" i="25"/>
  <c r="U87" i="25"/>
  <c r="V87" i="25"/>
  <c r="W87" i="25"/>
  <c r="X87" i="25"/>
  <c r="Y87" i="25"/>
  <c r="U88" i="25"/>
  <c r="V88" i="25"/>
  <c r="W88" i="25"/>
  <c r="X88" i="25"/>
  <c r="Y88" i="25"/>
  <c r="U89" i="25"/>
  <c r="V89" i="25"/>
  <c r="W89" i="25"/>
  <c r="X89" i="25"/>
  <c r="Y89" i="25"/>
  <c r="U90" i="25"/>
  <c r="V90" i="25"/>
  <c r="W90" i="25"/>
  <c r="X90" i="25"/>
  <c r="Y90" i="25"/>
  <c r="U91" i="25"/>
  <c r="V91" i="25"/>
  <c r="W91" i="25"/>
  <c r="X91" i="25"/>
  <c r="Y91" i="25"/>
  <c r="U92" i="25"/>
  <c r="V92" i="25"/>
  <c r="W92" i="25"/>
  <c r="X92" i="25"/>
  <c r="Y92" i="25"/>
  <c r="U93" i="25"/>
  <c r="V93" i="25"/>
  <c r="W93" i="25"/>
  <c r="X93" i="25"/>
  <c r="Y93" i="25"/>
  <c r="U94" i="25"/>
  <c r="V94" i="25"/>
  <c r="W94" i="25"/>
  <c r="X94" i="25"/>
  <c r="Y94" i="25"/>
  <c r="U95" i="25"/>
  <c r="V95" i="25"/>
  <c r="W95" i="25"/>
  <c r="X95" i="25"/>
  <c r="Y95" i="25"/>
  <c r="U96" i="25"/>
  <c r="V96" i="25"/>
  <c r="W96" i="25"/>
  <c r="X96" i="25"/>
  <c r="Y96" i="25"/>
  <c r="U97" i="25"/>
  <c r="V97" i="25"/>
  <c r="W97" i="25"/>
  <c r="X97" i="25"/>
  <c r="Y97" i="25"/>
  <c r="U98" i="25"/>
  <c r="V98" i="25"/>
  <c r="W98" i="25"/>
  <c r="X98" i="25"/>
  <c r="Y98" i="25"/>
  <c r="U99" i="25"/>
  <c r="V99" i="25"/>
  <c r="W99" i="25"/>
  <c r="X99" i="25"/>
  <c r="Y99" i="25"/>
  <c r="U100" i="25"/>
  <c r="V100" i="25"/>
  <c r="W100" i="25"/>
  <c r="X100" i="25"/>
  <c r="Y100" i="25"/>
  <c r="U101" i="25"/>
  <c r="V101" i="25"/>
  <c r="W101" i="25"/>
  <c r="X101" i="25"/>
  <c r="Y101" i="25"/>
  <c r="U102" i="25"/>
  <c r="V102" i="25"/>
  <c r="W102" i="25"/>
  <c r="X102" i="25"/>
  <c r="Y102" i="25"/>
  <c r="U103" i="25"/>
  <c r="V103" i="25"/>
  <c r="W103" i="25"/>
  <c r="X103" i="25"/>
  <c r="Y103" i="25"/>
  <c r="U104" i="25"/>
  <c r="V104" i="25"/>
  <c r="W104" i="25"/>
  <c r="X104" i="25"/>
  <c r="Y104" i="25"/>
  <c r="U105" i="25"/>
  <c r="V105" i="25"/>
  <c r="W105" i="25"/>
  <c r="X105" i="25"/>
  <c r="Y105" i="25"/>
  <c r="U106" i="25"/>
  <c r="V106" i="25"/>
  <c r="W106" i="25"/>
  <c r="X106" i="25"/>
  <c r="Y106" i="25"/>
  <c r="U107" i="25"/>
  <c r="V107" i="25"/>
  <c r="W107" i="25"/>
  <c r="X107" i="25"/>
  <c r="Y107" i="25"/>
  <c r="U108" i="25"/>
  <c r="V108" i="25"/>
  <c r="W108" i="25"/>
  <c r="X108" i="25"/>
  <c r="Y108" i="25"/>
  <c r="U109" i="25"/>
  <c r="V109" i="25"/>
  <c r="W109" i="25"/>
  <c r="X109" i="25"/>
  <c r="Y109" i="25"/>
  <c r="U110" i="25"/>
  <c r="V110" i="25"/>
  <c r="W110" i="25"/>
  <c r="X110" i="25"/>
  <c r="Y110" i="25"/>
  <c r="U111" i="25"/>
  <c r="V111" i="25"/>
  <c r="W111" i="25"/>
  <c r="X111" i="25"/>
  <c r="Y111" i="25"/>
  <c r="U112" i="25"/>
  <c r="V112" i="25"/>
  <c r="W112" i="25"/>
  <c r="X112" i="25"/>
  <c r="Y112" i="25"/>
  <c r="U113" i="25"/>
  <c r="V113" i="25"/>
  <c r="W113" i="25"/>
  <c r="X113" i="25"/>
  <c r="Y113" i="25"/>
  <c r="U114" i="25"/>
  <c r="V114" i="25"/>
  <c r="W114" i="25"/>
  <c r="X114" i="25"/>
  <c r="Y114" i="25"/>
  <c r="U115" i="25"/>
  <c r="V115" i="25"/>
  <c r="W115" i="25"/>
  <c r="X115" i="25"/>
  <c r="Y115" i="25"/>
  <c r="U116" i="25"/>
  <c r="V116" i="25"/>
  <c r="W116" i="25"/>
  <c r="X116" i="25"/>
  <c r="Y116" i="25"/>
  <c r="U117" i="25"/>
  <c r="V117" i="25"/>
  <c r="W117" i="25"/>
  <c r="X117" i="25"/>
  <c r="Y117" i="25"/>
  <c r="U118" i="25"/>
  <c r="V118" i="25"/>
  <c r="W118" i="25"/>
  <c r="X118" i="25"/>
  <c r="Y118" i="25"/>
  <c r="U119" i="25"/>
  <c r="V119" i="25"/>
  <c r="W119" i="25"/>
  <c r="X119" i="25"/>
  <c r="Y119" i="25"/>
  <c r="V4" i="25"/>
  <c r="W4" i="25"/>
  <c r="X4" i="25"/>
  <c r="Y4" i="25"/>
  <c r="U4" i="25"/>
  <c r="O5" i="25"/>
  <c r="P5" i="25"/>
  <c r="Q5" i="25"/>
  <c r="R5" i="25"/>
  <c r="S5" i="25"/>
  <c r="O6" i="25"/>
  <c r="P6" i="25"/>
  <c r="Q6" i="25"/>
  <c r="R6" i="25"/>
  <c r="S6" i="25"/>
  <c r="O7" i="25"/>
  <c r="P7" i="25"/>
  <c r="Q7" i="25"/>
  <c r="R7" i="25"/>
  <c r="S7" i="25"/>
  <c r="O8" i="25"/>
  <c r="P8" i="25"/>
  <c r="Q8" i="25"/>
  <c r="R8" i="25"/>
  <c r="S8" i="25"/>
  <c r="O9" i="25"/>
  <c r="P9" i="25"/>
  <c r="Q9" i="25"/>
  <c r="R9" i="25"/>
  <c r="S9" i="25"/>
  <c r="O10" i="25"/>
  <c r="P10" i="25"/>
  <c r="Q10" i="25"/>
  <c r="R10" i="25"/>
  <c r="S10" i="25"/>
  <c r="O11" i="25"/>
  <c r="P11" i="25"/>
  <c r="Q11" i="25"/>
  <c r="R11" i="25"/>
  <c r="S11" i="25"/>
  <c r="O12" i="25"/>
  <c r="P12" i="25"/>
  <c r="Q12" i="25"/>
  <c r="R12" i="25"/>
  <c r="S12" i="25"/>
  <c r="O13" i="25"/>
  <c r="P13" i="25"/>
  <c r="Q13" i="25"/>
  <c r="R13" i="25"/>
  <c r="S13" i="25"/>
  <c r="O14" i="25"/>
  <c r="P14" i="25"/>
  <c r="Q14" i="25"/>
  <c r="R14" i="25"/>
  <c r="S14" i="25"/>
  <c r="O15" i="25"/>
  <c r="P15" i="25"/>
  <c r="Q15" i="25"/>
  <c r="R15" i="25"/>
  <c r="S15" i="25"/>
  <c r="O16" i="25"/>
  <c r="P16" i="25"/>
  <c r="Q16" i="25"/>
  <c r="R16" i="25"/>
  <c r="S16" i="25"/>
  <c r="O17" i="25"/>
  <c r="P17" i="25"/>
  <c r="Q17" i="25"/>
  <c r="R17" i="25"/>
  <c r="S17" i="25"/>
  <c r="O18" i="25"/>
  <c r="P18" i="25"/>
  <c r="Q18" i="25"/>
  <c r="R18" i="25"/>
  <c r="S18" i="25"/>
  <c r="O19" i="25"/>
  <c r="P19" i="25"/>
  <c r="Q19" i="25"/>
  <c r="R19" i="25"/>
  <c r="S19" i="25"/>
  <c r="O20" i="25"/>
  <c r="P20" i="25"/>
  <c r="Q20" i="25"/>
  <c r="R20" i="25"/>
  <c r="S20" i="25"/>
  <c r="O21" i="25"/>
  <c r="P21" i="25"/>
  <c r="Q21" i="25"/>
  <c r="R21" i="25"/>
  <c r="S21" i="25"/>
  <c r="O22" i="25"/>
  <c r="P22" i="25"/>
  <c r="Q22" i="25"/>
  <c r="R22" i="25"/>
  <c r="S22" i="25"/>
  <c r="O23" i="25"/>
  <c r="P23" i="25"/>
  <c r="Q23" i="25"/>
  <c r="R23" i="25"/>
  <c r="S23" i="25"/>
  <c r="O24" i="25"/>
  <c r="P24" i="25"/>
  <c r="Q24" i="25"/>
  <c r="R24" i="25"/>
  <c r="S24" i="25"/>
  <c r="O25" i="25"/>
  <c r="P25" i="25"/>
  <c r="Q25" i="25"/>
  <c r="R25" i="25"/>
  <c r="S25" i="25"/>
  <c r="O26" i="25"/>
  <c r="P26" i="25"/>
  <c r="Q26" i="25"/>
  <c r="R26" i="25"/>
  <c r="S26" i="25"/>
  <c r="O27" i="25"/>
  <c r="P27" i="25"/>
  <c r="Q27" i="25"/>
  <c r="R27" i="25"/>
  <c r="S27" i="25"/>
  <c r="O28" i="25"/>
  <c r="P28" i="25"/>
  <c r="Q28" i="25"/>
  <c r="R28" i="25"/>
  <c r="S28" i="25"/>
  <c r="O29" i="25"/>
  <c r="P29" i="25"/>
  <c r="Q29" i="25"/>
  <c r="R29" i="25"/>
  <c r="S29" i="25"/>
  <c r="O30" i="25"/>
  <c r="P30" i="25"/>
  <c r="Q30" i="25"/>
  <c r="R30" i="25"/>
  <c r="S30" i="25"/>
  <c r="O31" i="25"/>
  <c r="P31" i="25"/>
  <c r="Q31" i="25"/>
  <c r="R31" i="25"/>
  <c r="S31" i="25"/>
  <c r="O32" i="25"/>
  <c r="P32" i="25"/>
  <c r="Q32" i="25"/>
  <c r="R32" i="25"/>
  <c r="S32" i="25"/>
  <c r="O33" i="25"/>
  <c r="P33" i="25"/>
  <c r="Q33" i="25"/>
  <c r="R33" i="25"/>
  <c r="S33" i="25"/>
  <c r="O34" i="25"/>
  <c r="P34" i="25"/>
  <c r="Q34" i="25"/>
  <c r="R34" i="25"/>
  <c r="S34" i="25"/>
  <c r="O35" i="25"/>
  <c r="P35" i="25"/>
  <c r="Q35" i="25"/>
  <c r="R35" i="25"/>
  <c r="S35" i="25"/>
  <c r="O36" i="25"/>
  <c r="P36" i="25"/>
  <c r="Q36" i="25"/>
  <c r="R36" i="25"/>
  <c r="S36" i="25"/>
  <c r="O37" i="25"/>
  <c r="P37" i="25"/>
  <c r="Q37" i="25"/>
  <c r="R37" i="25"/>
  <c r="S37" i="25"/>
  <c r="O38" i="25"/>
  <c r="P38" i="25"/>
  <c r="Q38" i="25"/>
  <c r="R38" i="25"/>
  <c r="S38" i="25"/>
  <c r="O39" i="25"/>
  <c r="P39" i="25"/>
  <c r="Q39" i="25"/>
  <c r="R39" i="25"/>
  <c r="S39" i="25"/>
  <c r="O40" i="25"/>
  <c r="P40" i="25"/>
  <c r="Q40" i="25"/>
  <c r="R40" i="25"/>
  <c r="S40" i="25"/>
  <c r="O41" i="25"/>
  <c r="P41" i="25"/>
  <c r="Q41" i="25"/>
  <c r="R41" i="25"/>
  <c r="S41" i="25"/>
  <c r="O42" i="25"/>
  <c r="P42" i="25"/>
  <c r="Q42" i="25"/>
  <c r="R42" i="25"/>
  <c r="S42" i="25"/>
  <c r="O43" i="25"/>
  <c r="P43" i="25"/>
  <c r="Q43" i="25"/>
  <c r="R43" i="25"/>
  <c r="S43" i="25"/>
  <c r="O44" i="25"/>
  <c r="P44" i="25"/>
  <c r="Q44" i="25"/>
  <c r="R44" i="25"/>
  <c r="S44" i="25"/>
  <c r="O45" i="25"/>
  <c r="P45" i="25"/>
  <c r="Q45" i="25"/>
  <c r="R45" i="25"/>
  <c r="S45" i="25"/>
  <c r="O46" i="25"/>
  <c r="P46" i="25"/>
  <c r="Q46" i="25"/>
  <c r="R46" i="25"/>
  <c r="S46" i="25"/>
  <c r="O47" i="25"/>
  <c r="P47" i="25"/>
  <c r="Q47" i="25"/>
  <c r="R47" i="25"/>
  <c r="S47" i="25"/>
  <c r="O48" i="25"/>
  <c r="P48" i="25"/>
  <c r="Q48" i="25"/>
  <c r="R48" i="25"/>
  <c r="S48" i="25"/>
  <c r="O49" i="25"/>
  <c r="P49" i="25"/>
  <c r="Q49" i="25"/>
  <c r="R49" i="25"/>
  <c r="S49" i="25"/>
  <c r="O50" i="25"/>
  <c r="P50" i="25"/>
  <c r="Q50" i="25"/>
  <c r="R50" i="25"/>
  <c r="S50" i="25"/>
  <c r="O51" i="25"/>
  <c r="P51" i="25"/>
  <c r="Q51" i="25"/>
  <c r="R51" i="25"/>
  <c r="S51" i="25"/>
  <c r="O52" i="25"/>
  <c r="P52" i="25"/>
  <c r="Q52" i="25"/>
  <c r="R52" i="25"/>
  <c r="S52" i="25"/>
  <c r="O53" i="25"/>
  <c r="P53" i="25"/>
  <c r="Q53" i="25"/>
  <c r="R53" i="25"/>
  <c r="S53" i="25"/>
  <c r="O54" i="25"/>
  <c r="P54" i="25"/>
  <c r="Q54" i="25"/>
  <c r="R54" i="25"/>
  <c r="S54" i="25"/>
  <c r="O55" i="25"/>
  <c r="P55" i="25"/>
  <c r="Q55" i="25"/>
  <c r="R55" i="25"/>
  <c r="S55" i="25"/>
  <c r="O56" i="25"/>
  <c r="P56" i="25"/>
  <c r="Q56" i="25"/>
  <c r="R56" i="25"/>
  <c r="S56" i="25"/>
  <c r="O57" i="25"/>
  <c r="P57" i="25"/>
  <c r="Q57" i="25"/>
  <c r="R57" i="25"/>
  <c r="S57" i="25"/>
  <c r="O58" i="25"/>
  <c r="P58" i="25"/>
  <c r="Q58" i="25"/>
  <c r="R58" i="25"/>
  <c r="S58" i="25"/>
  <c r="O59" i="25"/>
  <c r="P59" i="25"/>
  <c r="Q59" i="25"/>
  <c r="R59" i="25"/>
  <c r="S59" i="25"/>
  <c r="O60" i="25"/>
  <c r="P60" i="25"/>
  <c r="Q60" i="25"/>
  <c r="R60" i="25"/>
  <c r="S60" i="25"/>
  <c r="O61" i="25"/>
  <c r="P61" i="25"/>
  <c r="Q61" i="25"/>
  <c r="R61" i="25"/>
  <c r="S61" i="25"/>
  <c r="O62" i="25"/>
  <c r="P62" i="25"/>
  <c r="Q62" i="25"/>
  <c r="R62" i="25"/>
  <c r="S62" i="25"/>
  <c r="O63" i="25"/>
  <c r="P63" i="25"/>
  <c r="Q63" i="25"/>
  <c r="R63" i="25"/>
  <c r="S63" i="25"/>
  <c r="O64" i="25"/>
  <c r="P64" i="25"/>
  <c r="Q64" i="25"/>
  <c r="R64" i="25"/>
  <c r="S64" i="25"/>
  <c r="O65" i="25"/>
  <c r="P65" i="25"/>
  <c r="Q65" i="25"/>
  <c r="R65" i="25"/>
  <c r="S65" i="25"/>
  <c r="O66" i="25"/>
  <c r="P66" i="25"/>
  <c r="Q66" i="25"/>
  <c r="R66" i="25"/>
  <c r="S66" i="25"/>
  <c r="O67" i="25"/>
  <c r="P67" i="25"/>
  <c r="Q67" i="25"/>
  <c r="R67" i="25"/>
  <c r="S67" i="25"/>
  <c r="O68" i="25"/>
  <c r="P68" i="25"/>
  <c r="Q68" i="25"/>
  <c r="R68" i="25"/>
  <c r="S68" i="25"/>
  <c r="O69" i="25"/>
  <c r="P69" i="25"/>
  <c r="Q69" i="25"/>
  <c r="R69" i="25"/>
  <c r="S69" i="25"/>
  <c r="O70" i="25"/>
  <c r="P70" i="25"/>
  <c r="Q70" i="25"/>
  <c r="R70" i="25"/>
  <c r="S70" i="25"/>
  <c r="O71" i="25"/>
  <c r="P71" i="25"/>
  <c r="Q71" i="25"/>
  <c r="R71" i="25"/>
  <c r="S71" i="25"/>
  <c r="O72" i="25"/>
  <c r="P72" i="25"/>
  <c r="Q72" i="25"/>
  <c r="R72" i="25"/>
  <c r="S72" i="25"/>
  <c r="O73" i="25"/>
  <c r="P73" i="25"/>
  <c r="Q73" i="25"/>
  <c r="R73" i="25"/>
  <c r="S73" i="25"/>
  <c r="O74" i="25"/>
  <c r="P74" i="25"/>
  <c r="Q74" i="25"/>
  <c r="R74" i="25"/>
  <c r="S74" i="25"/>
  <c r="O75" i="25"/>
  <c r="P75" i="25"/>
  <c r="Q75" i="25"/>
  <c r="R75" i="25"/>
  <c r="S75" i="25"/>
  <c r="O76" i="25"/>
  <c r="P76" i="25"/>
  <c r="Q76" i="25"/>
  <c r="R76" i="25"/>
  <c r="S76" i="25"/>
  <c r="O77" i="25"/>
  <c r="P77" i="25"/>
  <c r="Q77" i="25"/>
  <c r="R77" i="25"/>
  <c r="S77" i="25"/>
  <c r="O78" i="25"/>
  <c r="P78" i="25"/>
  <c r="Q78" i="25"/>
  <c r="R78" i="25"/>
  <c r="S78" i="25"/>
  <c r="O79" i="25"/>
  <c r="P79" i="25"/>
  <c r="Q79" i="25"/>
  <c r="R79" i="25"/>
  <c r="S79" i="25"/>
  <c r="O80" i="25"/>
  <c r="P80" i="25"/>
  <c r="Q80" i="25"/>
  <c r="R80" i="25"/>
  <c r="S80" i="25"/>
  <c r="O81" i="25"/>
  <c r="P81" i="25"/>
  <c r="Q81" i="25"/>
  <c r="R81" i="25"/>
  <c r="S81" i="25"/>
  <c r="O82" i="25"/>
  <c r="P82" i="25"/>
  <c r="Q82" i="25"/>
  <c r="R82" i="25"/>
  <c r="S82" i="25"/>
  <c r="O83" i="25"/>
  <c r="P83" i="25"/>
  <c r="Q83" i="25"/>
  <c r="R83" i="25"/>
  <c r="S83" i="25"/>
  <c r="O84" i="25"/>
  <c r="P84" i="25"/>
  <c r="Q84" i="25"/>
  <c r="R84" i="25"/>
  <c r="S84" i="25"/>
  <c r="O85" i="25"/>
  <c r="P85" i="25"/>
  <c r="Q85" i="25"/>
  <c r="R85" i="25"/>
  <c r="S85" i="25"/>
  <c r="O86" i="25"/>
  <c r="P86" i="25"/>
  <c r="Q86" i="25"/>
  <c r="R86" i="25"/>
  <c r="S86" i="25"/>
  <c r="O87" i="25"/>
  <c r="P87" i="25"/>
  <c r="Q87" i="25"/>
  <c r="R87" i="25"/>
  <c r="S87" i="25"/>
  <c r="O88" i="25"/>
  <c r="P88" i="25"/>
  <c r="Q88" i="25"/>
  <c r="R88" i="25"/>
  <c r="S88" i="25"/>
  <c r="O89" i="25"/>
  <c r="P89" i="25"/>
  <c r="Q89" i="25"/>
  <c r="R89" i="25"/>
  <c r="S89" i="25"/>
  <c r="O90" i="25"/>
  <c r="P90" i="25"/>
  <c r="Q90" i="25"/>
  <c r="R90" i="25"/>
  <c r="S90" i="25"/>
  <c r="O91" i="25"/>
  <c r="P91" i="25"/>
  <c r="Q91" i="25"/>
  <c r="R91" i="25"/>
  <c r="S91" i="25"/>
  <c r="O92" i="25"/>
  <c r="P92" i="25"/>
  <c r="Q92" i="25"/>
  <c r="R92" i="25"/>
  <c r="S92" i="25"/>
  <c r="O93" i="25"/>
  <c r="P93" i="25"/>
  <c r="Q93" i="25"/>
  <c r="R93" i="25"/>
  <c r="S93" i="25"/>
  <c r="O94" i="25"/>
  <c r="P94" i="25"/>
  <c r="Q94" i="25"/>
  <c r="R94" i="25"/>
  <c r="S94" i="25"/>
  <c r="O95" i="25"/>
  <c r="P95" i="25"/>
  <c r="Q95" i="25"/>
  <c r="R95" i="25"/>
  <c r="S95" i="25"/>
  <c r="O96" i="25"/>
  <c r="P96" i="25"/>
  <c r="Q96" i="25"/>
  <c r="R96" i="25"/>
  <c r="S96" i="25"/>
  <c r="O97" i="25"/>
  <c r="P97" i="25"/>
  <c r="Q97" i="25"/>
  <c r="R97" i="25"/>
  <c r="S97" i="25"/>
  <c r="O98" i="25"/>
  <c r="P98" i="25"/>
  <c r="Q98" i="25"/>
  <c r="R98" i="25"/>
  <c r="S98" i="25"/>
  <c r="O99" i="25"/>
  <c r="P99" i="25"/>
  <c r="Q99" i="25"/>
  <c r="R99" i="25"/>
  <c r="S99" i="25"/>
  <c r="O100" i="25"/>
  <c r="P100" i="25"/>
  <c r="Q100" i="25"/>
  <c r="R100" i="25"/>
  <c r="S100" i="25"/>
  <c r="O101" i="25"/>
  <c r="P101" i="25"/>
  <c r="Q101" i="25"/>
  <c r="R101" i="25"/>
  <c r="S101" i="25"/>
  <c r="O102" i="25"/>
  <c r="P102" i="25"/>
  <c r="Q102" i="25"/>
  <c r="R102" i="25"/>
  <c r="S102" i="25"/>
  <c r="O103" i="25"/>
  <c r="P103" i="25"/>
  <c r="Q103" i="25"/>
  <c r="R103" i="25"/>
  <c r="S103" i="25"/>
  <c r="O104" i="25"/>
  <c r="P104" i="25"/>
  <c r="Q104" i="25"/>
  <c r="R104" i="25"/>
  <c r="S104" i="25"/>
  <c r="O105" i="25"/>
  <c r="P105" i="25"/>
  <c r="Q105" i="25"/>
  <c r="R105" i="25"/>
  <c r="S105" i="25"/>
  <c r="O106" i="25"/>
  <c r="P106" i="25"/>
  <c r="Q106" i="25"/>
  <c r="R106" i="25"/>
  <c r="S106" i="25"/>
  <c r="O107" i="25"/>
  <c r="P107" i="25"/>
  <c r="Q107" i="25"/>
  <c r="R107" i="25"/>
  <c r="S107" i="25"/>
  <c r="O108" i="25"/>
  <c r="P108" i="25"/>
  <c r="Q108" i="25"/>
  <c r="R108" i="25"/>
  <c r="S108" i="25"/>
  <c r="O109" i="25"/>
  <c r="P109" i="25"/>
  <c r="Q109" i="25"/>
  <c r="R109" i="25"/>
  <c r="S109" i="25"/>
  <c r="O110" i="25"/>
  <c r="P110" i="25"/>
  <c r="Q110" i="25"/>
  <c r="R110" i="25"/>
  <c r="S110" i="25"/>
  <c r="O111" i="25"/>
  <c r="P111" i="25"/>
  <c r="Q111" i="25"/>
  <c r="R111" i="25"/>
  <c r="S111" i="25"/>
  <c r="O112" i="25"/>
  <c r="P112" i="25"/>
  <c r="Q112" i="25"/>
  <c r="R112" i="25"/>
  <c r="S112" i="25"/>
  <c r="O113" i="25"/>
  <c r="P113" i="25"/>
  <c r="Q113" i="25"/>
  <c r="R113" i="25"/>
  <c r="S113" i="25"/>
  <c r="O114" i="25"/>
  <c r="P114" i="25"/>
  <c r="Q114" i="25"/>
  <c r="R114" i="25"/>
  <c r="S114" i="25"/>
  <c r="O115" i="25"/>
  <c r="P115" i="25"/>
  <c r="Q115" i="25"/>
  <c r="R115" i="25"/>
  <c r="S115" i="25"/>
  <c r="O116" i="25"/>
  <c r="P116" i="25"/>
  <c r="Q116" i="25"/>
  <c r="R116" i="25"/>
  <c r="S116" i="25"/>
  <c r="O117" i="25"/>
  <c r="P117" i="25"/>
  <c r="Q117" i="25"/>
  <c r="R117" i="25"/>
  <c r="S117" i="25"/>
  <c r="O118" i="25"/>
  <c r="P118" i="25"/>
  <c r="Q118" i="25"/>
  <c r="R118" i="25"/>
  <c r="S118" i="25"/>
  <c r="O119" i="25"/>
  <c r="P119" i="25"/>
  <c r="Q119" i="25"/>
  <c r="R119" i="25"/>
  <c r="S119" i="25"/>
  <c r="S4" i="25"/>
  <c r="R4" i="25"/>
  <c r="Q4" i="25"/>
  <c r="P4" i="25"/>
  <c r="O4" i="25"/>
  <c r="H5" i="25"/>
  <c r="I5" i="25"/>
  <c r="J5" i="25"/>
  <c r="K5" i="25"/>
  <c r="L5" i="25"/>
  <c r="H6" i="25"/>
  <c r="I6" i="25"/>
  <c r="J6" i="25"/>
  <c r="K6" i="25"/>
  <c r="L6" i="25"/>
  <c r="H7" i="25"/>
  <c r="I7" i="25"/>
  <c r="J7" i="25"/>
  <c r="K7" i="25"/>
  <c r="L7" i="25"/>
  <c r="H8" i="25"/>
  <c r="I8" i="25"/>
  <c r="J8" i="25"/>
  <c r="K8" i="25"/>
  <c r="L8" i="25"/>
  <c r="H9" i="25"/>
  <c r="I9" i="25"/>
  <c r="J9" i="25"/>
  <c r="K9" i="25"/>
  <c r="L9" i="25"/>
  <c r="H10" i="25"/>
  <c r="I10" i="25"/>
  <c r="J10" i="25"/>
  <c r="K10" i="25"/>
  <c r="L10" i="25"/>
  <c r="H11" i="25"/>
  <c r="I11" i="25"/>
  <c r="J11" i="25"/>
  <c r="K11" i="25"/>
  <c r="L11" i="25"/>
  <c r="H12" i="25"/>
  <c r="I12" i="25"/>
  <c r="J12" i="25"/>
  <c r="K12" i="25"/>
  <c r="L12" i="25"/>
  <c r="H13" i="25"/>
  <c r="I13" i="25"/>
  <c r="J13" i="25"/>
  <c r="K13" i="25"/>
  <c r="L13" i="25"/>
  <c r="H14" i="25"/>
  <c r="I14" i="25"/>
  <c r="J14" i="25"/>
  <c r="K14" i="25"/>
  <c r="L14" i="25"/>
  <c r="H15" i="25"/>
  <c r="I15" i="25"/>
  <c r="J15" i="25"/>
  <c r="K15" i="25"/>
  <c r="L15" i="25"/>
  <c r="H16" i="25"/>
  <c r="I16" i="25"/>
  <c r="J16" i="25"/>
  <c r="K16" i="25"/>
  <c r="L16" i="25"/>
  <c r="H17" i="25"/>
  <c r="I17" i="25"/>
  <c r="J17" i="25"/>
  <c r="K17" i="25"/>
  <c r="L17" i="25"/>
  <c r="H18" i="25"/>
  <c r="I18" i="25"/>
  <c r="J18" i="25"/>
  <c r="K18" i="25"/>
  <c r="L18" i="25"/>
  <c r="H19" i="25"/>
  <c r="I19" i="25"/>
  <c r="J19" i="25"/>
  <c r="K19" i="25"/>
  <c r="L19" i="25"/>
  <c r="H20" i="25"/>
  <c r="I20" i="25"/>
  <c r="J20" i="25"/>
  <c r="K20" i="25"/>
  <c r="L20" i="25"/>
  <c r="H21" i="25"/>
  <c r="I21" i="25"/>
  <c r="J21" i="25"/>
  <c r="K21" i="25"/>
  <c r="L21" i="25"/>
  <c r="H22" i="25"/>
  <c r="I22" i="25"/>
  <c r="J22" i="25"/>
  <c r="K22" i="25"/>
  <c r="L22" i="25"/>
  <c r="H23" i="25"/>
  <c r="I23" i="25"/>
  <c r="J23" i="25"/>
  <c r="K23" i="25"/>
  <c r="L23" i="25"/>
  <c r="H24" i="25"/>
  <c r="I24" i="25"/>
  <c r="J24" i="25"/>
  <c r="K24" i="25"/>
  <c r="L24" i="25"/>
  <c r="H25" i="25"/>
  <c r="I25" i="25"/>
  <c r="J25" i="25"/>
  <c r="K25" i="25"/>
  <c r="L25" i="25"/>
  <c r="H26" i="25"/>
  <c r="I26" i="25"/>
  <c r="J26" i="25"/>
  <c r="K26" i="25"/>
  <c r="L26" i="25"/>
  <c r="H27" i="25"/>
  <c r="I27" i="25"/>
  <c r="J27" i="25"/>
  <c r="K27" i="25"/>
  <c r="L27" i="25"/>
  <c r="H28" i="25"/>
  <c r="I28" i="25"/>
  <c r="J28" i="25"/>
  <c r="K28" i="25"/>
  <c r="L28" i="25"/>
  <c r="H29" i="25"/>
  <c r="I29" i="25"/>
  <c r="J29" i="25"/>
  <c r="K29" i="25"/>
  <c r="L29" i="25"/>
  <c r="H30" i="25"/>
  <c r="I30" i="25"/>
  <c r="J30" i="25"/>
  <c r="K30" i="25"/>
  <c r="L30" i="25"/>
  <c r="H31" i="25"/>
  <c r="I31" i="25"/>
  <c r="J31" i="25"/>
  <c r="K31" i="25"/>
  <c r="L31" i="25"/>
  <c r="H32" i="25"/>
  <c r="I32" i="25"/>
  <c r="J32" i="25"/>
  <c r="K32" i="25"/>
  <c r="L32" i="25"/>
  <c r="H33" i="25"/>
  <c r="I33" i="25"/>
  <c r="J33" i="25"/>
  <c r="K33" i="25"/>
  <c r="L33" i="25"/>
  <c r="H34" i="25"/>
  <c r="I34" i="25"/>
  <c r="J34" i="25"/>
  <c r="K34" i="25"/>
  <c r="L34" i="25"/>
  <c r="H35" i="25"/>
  <c r="I35" i="25"/>
  <c r="J35" i="25"/>
  <c r="K35" i="25"/>
  <c r="L35" i="25"/>
  <c r="H36" i="25"/>
  <c r="I36" i="25"/>
  <c r="J36" i="25"/>
  <c r="K36" i="25"/>
  <c r="L36" i="25"/>
  <c r="H37" i="25"/>
  <c r="I37" i="25"/>
  <c r="J37" i="25"/>
  <c r="K37" i="25"/>
  <c r="L37" i="25"/>
  <c r="H38" i="25"/>
  <c r="I38" i="25"/>
  <c r="J38" i="25"/>
  <c r="K38" i="25"/>
  <c r="L38" i="25"/>
  <c r="H39" i="25"/>
  <c r="I39" i="25"/>
  <c r="J39" i="25"/>
  <c r="K39" i="25"/>
  <c r="L39" i="25"/>
  <c r="H40" i="25"/>
  <c r="I40" i="25"/>
  <c r="J40" i="25"/>
  <c r="K40" i="25"/>
  <c r="L40" i="25"/>
  <c r="H41" i="25"/>
  <c r="I41" i="25"/>
  <c r="J41" i="25"/>
  <c r="K41" i="25"/>
  <c r="L41" i="25"/>
  <c r="H42" i="25"/>
  <c r="I42" i="25"/>
  <c r="J42" i="25"/>
  <c r="K42" i="25"/>
  <c r="L42" i="25"/>
  <c r="H43" i="25"/>
  <c r="I43" i="25"/>
  <c r="J43" i="25"/>
  <c r="K43" i="25"/>
  <c r="L43" i="25"/>
  <c r="H44" i="25"/>
  <c r="I44" i="25"/>
  <c r="J44" i="25"/>
  <c r="K44" i="25"/>
  <c r="L44" i="25"/>
  <c r="H45" i="25"/>
  <c r="I45" i="25"/>
  <c r="J45" i="25"/>
  <c r="K45" i="25"/>
  <c r="L45" i="25"/>
  <c r="H46" i="25"/>
  <c r="I46" i="25"/>
  <c r="J46" i="25"/>
  <c r="K46" i="25"/>
  <c r="L46" i="25"/>
  <c r="H47" i="25"/>
  <c r="I47" i="25"/>
  <c r="J47" i="25"/>
  <c r="K47" i="25"/>
  <c r="L47" i="25"/>
  <c r="H48" i="25"/>
  <c r="I48" i="25"/>
  <c r="J48" i="25"/>
  <c r="K48" i="25"/>
  <c r="L48" i="25"/>
  <c r="H49" i="25"/>
  <c r="I49" i="25"/>
  <c r="J49" i="25"/>
  <c r="K49" i="25"/>
  <c r="L49" i="25"/>
  <c r="H50" i="25"/>
  <c r="I50" i="25"/>
  <c r="J50" i="25"/>
  <c r="K50" i="25"/>
  <c r="L50" i="25"/>
  <c r="H51" i="25"/>
  <c r="I51" i="25"/>
  <c r="J51" i="25"/>
  <c r="K51" i="25"/>
  <c r="L51" i="25"/>
  <c r="H52" i="25"/>
  <c r="I52" i="25"/>
  <c r="J52" i="25"/>
  <c r="K52" i="25"/>
  <c r="L52" i="25"/>
  <c r="H53" i="25"/>
  <c r="I53" i="25"/>
  <c r="J53" i="25"/>
  <c r="K53" i="25"/>
  <c r="L53" i="25"/>
  <c r="H54" i="25"/>
  <c r="I54" i="25"/>
  <c r="J54" i="25"/>
  <c r="K54" i="25"/>
  <c r="L54" i="25"/>
  <c r="H55" i="25"/>
  <c r="I55" i="25"/>
  <c r="J55" i="25"/>
  <c r="K55" i="25"/>
  <c r="L55" i="25"/>
  <c r="H56" i="25"/>
  <c r="I56" i="25"/>
  <c r="J56" i="25"/>
  <c r="K56" i="25"/>
  <c r="L56" i="25"/>
  <c r="H57" i="25"/>
  <c r="I57" i="25"/>
  <c r="J57" i="25"/>
  <c r="K57" i="25"/>
  <c r="L57" i="25"/>
  <c r="H58" i="25"/>
  <c r="I58" i="25"/>
  <c r="J58" i="25"/>
  <c r="K58" i="25"/>
  <c r="L58" i="25"/>
  <c r="H59" i="25"/>
  <c r="I59" i="25"/>
  <c r="J59" i="25"/>
  <c r="K59" i="25"/>
  <c r="L59" i="25"/>
  <c r="H60" i="25"/>
  <c r="I60" i="25"/>
  <c r="J60" i="25"/>
  <c r="K60" i="25"/>
  <c r="L60" i="25"/>
  <c r="H61" i="25"/>
  <c r="I61" i="25"/>
  <c r="J61" i="25"/>
  <c r="K61" i="25"/>
  <c r="L61" i="25"/>
  <c r="H62" i="25"/>
  <c r="I62" i="25"/>
  <c r="J62" i="25"/>
  <c r="K62" i="25"/>
  <c r="L62" i="25"/>
  <c r="H63" i="25"/>
  <c r="I63" i="25"/>
  <c r="J63" i="25"/>
  <c r="K63" i="25"/>
  <c r="L63" i="25"/>
  <c r="H64" i="25"/>
  <c r="I64" i="25"/>
  <c r="J64" i="25"/>
  <c r="K64" i="25"/>
  <c r="L64" i="25"/>
  <c r="H65" i="25"/>
  <c r="I65" i="25"/>
  <c r="J65" i="25"/>
  <c r="K65" i="25"/>
  <c r="L65" i="25"/>
  <c r="H66" i="25"/>
  <c r="I66" i="25"/>
  <c r="J66" i="25"/>
  <c r="K66" i="25"/>
  <c r="L66" i="25"/>
  <c r="H67" i="25"/>
  <c r="I67" i="25"/>
  <c r="J67" i="25"/>
  <c r="K67" i="25"/>
  <c r="L67" i="25"/>
  <c r="H68" i="25"/>
  <c r="I68" i="25"/>
  <c r="J68" i="25"/>
  <c r="K68" i="25"/>
  <c r="L68" i="25"/>
  <c r="H69" i="25"/>
  <c r="I69" i="25"/>
  <c r="J69" i="25"/>
  <c r="K69" i="25"/>
  <c r="L69" i="25"/>
  <c r="H70" i="25"/>
  <c r="I70" i="25"/>
  <c r="J70" i="25"/>
  <c r="K70" i="25"/>
  <c r="L70" i="25"/>
  <c r="H71" i="25"/>
  <c r="I71" i="25"/>
  <c r="J71" i="25"/>
  <c r="K71" i="25"/>
  <c r="L71" i="25"/>
  <c r="H72" i="25"/>
  <c r="I72" i="25"/>
  <c r="J72" i="25"/>
  <c r="K72" i="25"/>
  <c r="L72" i="25"/>
  <c r="H73" i="25"/>
  <c r="I73" i="25"/>
  <c r="J73" i="25"/>
  <c r="K73" i="25"/>
  <c r="L73" i="25"/>
  <c r="H74" i="25"/>
  <c r="I74" i="25"/>
  <c r="J74" i="25"/>
  <c r="K74" i="25"/>
  <c r="L74" i="25"/>
  <c r="H75" i="25"/>
  <c r="I75" i="25"/>
  <c r="J75" i="25"/>
  <c r="K75" i="25"/>
  <c r="L75" i="25"/>
  <c r="H76" i="25"/>
  <c r="I76" i="25"/>
  <c r="J76" i="25"/>
  <c r="K76" i="25"/>
  <c r="L76" i="25"/>
  <c r="H77" i="25"/>
  <c r="I77" i="25"/>
  <c r="J77" i="25"/>
  <c r="K77" i="25"/>
  <c r="L77" i="25"/>
  <c r="H78" i="25"/>
  <c r="I78" i="25"/>
  <c r="J78" i="25"/>
  <c r="K78" i="25"/>
  <c r="L78" i="25"/>
  <c r="H79" i="25"/>
  <c r="I79" i="25"/>
  <c r="J79" i="25"/>
  <c r="K79" i="25"/>
  <c r="L79" i="25"/>
  <c r="H80" i="25"/>
  <c r="I80" i="25"/>
  <c r="J80" i="25"/>
  <c r="K80" i="25"/>
  <c r="L80" i="25"/>
  <c r="H81" i="25"/>
  <c r="I81" i="25"/>
  <c r="J81" i="25"/>
  <c r="K81" i="25"/>
  <c r="L81" i="25"/>
  <c r="H82" i="25"/>
  <c r="I82" i="25"/>
  <c r="J82" i="25"/>
  <c r="K82" i="25"/>
  <c r="L82" i="25"/>
  <c r="H83" i="25"/>
  <c r="I83" i="25"/>
  <c r="J83" i="25"/>
  <c r="K83" i="25"/>
  <c r="L83" i="25"/>
  <c r="H84" i="25"/>
  <c r="I84" i="25"/>
  <c r="J84" i="25"/>
  <c r="K84" i="25"/>
  <c r="L84" i="25"/>
  <c r="H85" i="25"/>
  <c r="I85" i="25"/>
  <c r="J85" i="25"/>
  <c r="K85" i="25"/>
  <c r="L85" i="25"/>
  <c r="H86" i="25"/>
  <c r="I86" i="25"/>
  <c r="J86" i="25"/>
  <c r="K86" i="25"/>
  <c r="L86" i="25"/>
  <c r="H87" i="25"/>
  <c r="I87" i="25"/>
  <c r="J87" i="25"/>
  <c r="K87" i="25"/>
  <c r="L87" i="25"/>
  <c r="H88" i="25"/>
  <c r="I88" i="25"/>
  <c r="J88" i="25"/>
  <c r="K88" i="25"/>
  <c r="L88" i="25"/>
  <c r="H89" i="25"/>
  <c r="I89" i="25"/>
  <c r="J89" i="25"/>
  <c r="K89" i="25"/>
  <c r="L89" i="25"/>
  <c r="H90" i="25"/>
  <c r="I90" i="25"/>
  <c r="J90" i="25"/>
  <c r="K90" i="25"/>
  <c r="L90" i="25"/>
  <c r="H91" i="25"/>
  <c r="I91" i="25"/>
  <c r="J91" i="25"/>
  <c r="K91" i="25"/>
  <c r="L91" i="25"/>
  <c r="H92" i="25"/>
  <c r="I92" i="25"/>
  <c r="J92" i="25"/>
  <c r="K92" i="25"/>
  <c r="L92" i="25"/>
  <c r="H93" i="25"/>
  <c r="I93" i="25"/>
  <c r="J93" i="25"/>
  <c r="K93" i="25"/>
  <c r="L93" i="25"/>
  <c r="H94" i="25"/>
  <c r="I94" i="25"/>
  <c r="J94" i="25"/>
  <c r="K94" i="25"/>
  <c r="L94" i="25"/>
  <c r="H95" i="25"/>
  <c r="I95" i="25"/>
  <c r="J95" i="25"/>
  <c r="K95" i="25"/>
  <c r="L95" i="25"/>
  <c r="H96" i="25"/>
  <c r="I96" i="25"/>
  <c r="J96" i="25"/>
  <c r="K96" i="25"/>
  <c r="L96" i="25"/>
  <c r="H97" i="25"/>
  <c r="I97" i="25"/>
  <c r="J97" i="25"/>
  <c r="K97" i="25"/>
  <c r="L97" i="25"/>
  <c r="H98" i="25"/>
  <c r="I98" i="25"/>
  <c r="J98" i="25"/>
  <c r="K98" i="25"/>
  <c r="L98" i="25"/>
  <c r="H99" i="25"/>
  <c r="I99" i="25"/>
  <c r="J99" i="25"/>
  <c r="K99" i="25"/>
  <c r="L99" i="25"/>
  <c r="H100" i="25"/>
  <c r="I100" i="25"/>
  <c r="J100" i="25"/>
  <c r="K100" i="25"/>
  <c r="L100" i="25"/>
  <c r="H101" i="25"/>
  <c r="I101" i="25"/>
  <c r="J101" i="25"/>
  <c r="K101" i="25"/>
  <c r="L101" i="25"/>
  <c r="H102" i="25"/>
  <c r="I102" i="25"/>
  <c r="J102" i="25"/>
  <c r="K102" i="25"/>
  <c r="L102" i="25"/>
  <c r="H103" i="25"/>
  <c r="I103" i="25"/>
  <c r="J103" i="25"/>
  <c r="K103" i="25"/>
  <c r="L103" i="25"/>
  <c r="H104" i="25"/>
  <c r="I104" i="25"/>
  <c r="J104" i="25"/>
  <c r="K104" i="25"/>
  <c r="L104" i="25"/>
  <c r="H105" i="25"/>
  <c r="I105" i="25"/>
  <c r="J105" i="25"/>
  <c r="K105" i="25"/>
  <c r="L105" i="25"/>
  <c r="H106" i="25"/>
  <c r="I106" i="25"/>
  <c r="J106" i="25"/>
  <c r="K106" i="25"/>
  <c r="L106" i="25"/>
  <c r="H107" i="25"/>
  <c r="I107" i="25"/>
  <c r="J107" i="25"/>
  <c r="K107" i="25"/>
  <c r="L107" i="25"/>
  <c r="H108" i="25"/>
  <c r="I108" i="25"/>
  <c r="J108" i="25"/>
  <c r="K108" i="25"/>
  <c r="L108" i="25"/>
  <c r="H109" i="25"/>
  <c r="I109" i="25"/>
  <c r="J109" i="25"/>
  <c r="K109" i="25"/>
  <c r="L109" i="25"/>
  <c r="H110" i="25"/>
  <c r="I110" i="25"/>
  <c r="J110" i="25"/>
  <c r="K110" i="25"/>
  <c r="L110" i="25"/>
  <c r="H111" i="25"/>
  <c r="I111" i="25"/>
  <c r="J111" i="25"/>
  <c r="K111" i="25"/>
  <c r="L111" i="25"/>
  <c r="H112" i="25"/>
  <c r="I112" i="25"/>
  <c r="J112" i="25"/>
  <c r="K112" i="25"/>
  <c r="L112" i="25"/>
  <c r="H113" i="25"/>
  <c r="I113" i="25"/>
  <c r="J113" i="25"/>
  <c r="K113" i="25"/>
  <c r="L113" i="25"/>
  <c r="H114" i="25"/>
  <c r="I114" i="25"/>
  <c r="J114" i="25"/>
  <c r="K114" i="25"/>
  <c r="L114" i="25"/>
  <c r="H115" i="25"/>
  <c r="I115" i="25"/>
  <c r="J115" i="25"/>
  <c r="K115" i="25"/>
  <c r="L115" i="25"/>
  <c r="H116" i="25"/>
  <c r="I116" i="25"/>
  <c r="J116" i="25"/>
  <c r="K116" i="25"/>
  <c r="L116" i="25"/>
  <c r="H117" i="25"/>
  <c r="I117" i="25"/>
  <c r="J117" i="25"/>
  <c r="K117" i="25"/>
  <c r="L117" i="25"/>
  <c r="H118" i="25"/>
  <c r="I118" i="25"/>
  <c r="J118" i="25"/>
  <c r="K118" i="25"/>
  <c r="L118" i="25"/>
  <c r="H119" i="25"/>
  <c r="I119" i="25"/>
  <c r="J119" i="25"/>
  <c r="K119" i="25"/>
  <c r="L119" i="25"/>
  <c r="I4" i="25"/>
  <c r="J4" i="25"/>
  <c r="K4" i="25"/>
  <c r="L4" i="25"/>
  <c r="H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4" i="25"/>
  <c r="B5" i="25"/>
  <c r="C5" i="25"/>
  <c r="E5" i="25"/>
  <c r="F5" i="25"/>
  <c r="B6" i="25"/>
  <c r="C6" i="25"/>
  <c r="E6" i="25"/>
  <c r="F6" i="25"/>
  <c r="B7" i="25"/>
  <c r="C7" i="25"/>
  <c r="E7" i="25"/>
  <c r="F7" i="25"/>
  <c r="B8" i="25"/>
  <c r="C8" i="25"/>
  <c r="E8" i="25"/>
  <c r="F8" i="25"/>
  <c r="B9" i="25"/>
  <c r="C9" i="25"/>
  <c r="E9" i="25"/>
  <c r="F9" i="25"/>
  <c r="B10" i="25"/>
  <c r="C10" i="25"/>
  <c r="E10" i="25"/>
  <c r="F10" i="25"/>
  <c r="B11" i="25"/>
  <c r="C11" i="25"/>
  <c r="E11" i="25"/>
  <c r="F11" i="25"/>
  <c r="B12" i="25"/>
  <c r="C12" i="25"/>
  <c r="E12" i="25"/>
  <c r="F12" i="25"/>
  <c r="B13" i="25"/>
  <c r="C13" i="25"/>
  <c r="E13" i="25"/>
  <c r="F13" i="25"/>
  <c r="B14" i="25"/>
  <c r="C14" i="25"/>
  <c r="E14" i="25"/>
  <c r="F14" i="25"/>
  <c r="B15" i="25"/>
  <c r="C15" i="25"/>
  <c r="E15" i="25"/>
  <c r="F15" i="25"/>
  <c r="B16" i="25"/>
  <c r="C16" i="25"/>
  <c r="E16" i="25"/>
  <c r="F16" i="25"/>
  <c r="B17" i="25"/>
  <c r="C17" i="25"/>
  <c r="E17" i="25"/>
  <c r="F17" i="25"/>
  <c r="B18" i="25"/>
  <c r="C18" i="25"/>
  <c r="E18" i="25"/>
  <c r="F18" i="25"/>
  <c r="B19" i="25"/>
  <c r="C19" i="25"/>
  <c r="E19" i="25"/>
  <c r="F19" i="25"/>
  <c r="B20" i="25"/>
  <c r="C20" i="25"/>
  <c r="E20" i="25"/>
  <c r="F20" i="25"/>
  <c r="B21" i="25"/>
  <c r="C21" i="25"/>
  <c r="E21" i="25"/>
  <c r="F21" i="25"/>
  <c r="B22" i="25"/>
  <c r="C22" i="25"/>
  <c r="E22" i="25"/>
  <c r="F22" i="25"/>
  <c r="B23" i="25"/>
  <c r="C23" i="25"/>
  <c r="E23" i="25"/>
  <c r="F23" i="25"/>
  <c r="B24" i="25"/>
  <c r="C24" i="25"/>
  <c r="E24" i="25"/>
  <c r="F24" i="25"/>
  <c r="B25" i="25"/>
  <c r="C25" i="25"/>
  <c r="E25" i="25"/>
  <c r="F25" i="25"/>
  <c r="B26" i="25"/>
  <c r="C26" i="25"/>
  <c r="E26" i="25"/>
  <c r="F26" i="25"/>
  <c r="B27" i="25"/>
  <c r="C27" i="25"/>
  <c r="E27" i="25"/>
  <c r="F27" i="25"/>
  <c r="B28" i="25"/>
  <c r="C28" i="25"/>
  <c r="E28" i="25"/>
  <c r="F28" i="25"/>
  <c r="B29" i="25"/>
  <c r="C29" i="25"/>
  <c r="E29" i="25"/>
  <c r="F29" i="25"/>
  <c r="B30" i="25"/>
  <c r="C30" i="25"/>
  <c r="E30" i="25"/>
  <c r="F30" i="25"/>
  <c r="B31" i="25"/>
  <c r="C31" i="25"/>
  <c r="E31" i="25"/>
  <c r="F31" i="25"/>
  <c r="B32" i="25"/>
  <c r="C32" i="25"/>
  <c r="E32" i="25"/>
  <c r="F32" i="25"/>
  <c r="B33" i="25"/>
  <c r="C33" i="25"/>
  <c r="E33" i="25"/>
  <c r="F33" i="25"/>
  <c r="B34" i="25"/>
  <c r="C34" i="25"/>
  <c r="E34" i="25"/>
  <c r="F34" i="25"/>
  <c r="B35" i="25"/>
  <c r="C35" i="25"/>
  <c r="E35" i="25"/>
  <c r="F35" i="25"/>
  <c r="B36" i="25"/>
  <c r="C36" i="25"/>
  <c r="E36" i="25"/>
  <c r="F36" i="25"/>
  <c r="B37" i="25"/>
  <c r="C37" i="25"/>
  <c r="E37" i="25"/>
  <c r="F37" i="25"/>
  <c r="B38" i="25"/>
  <c r="C38" i="25"/>
  <c r="E38" i="25"/>
  <c r="F38" i="25"/>
  <c r="B39" i="25"/>
  <c r="C39" i="25"/>
  <c r="E39" i="25"/>
  <c r="F39" i="25"/>
  <c r="B40" i="25"/>
  <c r="C40" i="25"/>
  <c r="E40" i="25"/>
  <c r="F40" i="25"/>
  <c r="B41" i="25"/>
  <c r="C41" i="25"/>
  <c r="E41" i="25"/>
  <c r="F41" i="25"/>
  <c r="B42" i="25"/>
  <c r="C42" i="25"/>
  <c r="E42" i="25"/>
  <c r="F42" i="25"/>
  <c r="B43" i="25"/>
  <c r="C43" i="25"/>
  <c r="E43" i="25"/>
  <c r="F43" i="25"/>
  <c r="B44" i="25"/>
  <c r="C44" i="25"/>
  <c r="E44" i="25"/>
  <c r="F44" i="25"/>
  <c r="B45" i="25"/>
  <c r="C45" i="25"/>
  <c r="E45" i="25"/>
  <c r="F45" i="25"/>
  <c r="B46" i="25"/>
  <c r="C46" i="25"/>
  <c r="E46" i="25"/>
  <c r="F46" i="25"/>
  <c r="B47" i="25"/>
  <c r="C47" i="25"/>
  <c r="E47" i="25"/>
  <c r="F47" i="25"/>
  <c r="B48" i="25"/>
  <c r="C48" i="25"/>
  <c r="E48" i="25"/>
  <c r="F48" i="25"/>
  <c r="B49" i="25"/>
  <c r="C49" i="25"/>
  <c r="E49" i="25"/>
  <c r="F49" i="25"/>
  <c r="B50" i="25"/>
  <c r="C50" i="25"/>
  <c r="E50" i="25"/>
  <c r="F50" i="25"/>
  <c r="B51" i="25"/>
  <c r="C51" i="25"/>
  <c r="E51" i="25"/>
  <c r="F51" i="25"/>
  <c r="B52" i="25"/>
  <c r="C52" i="25"/>
  <c r="E52" i="25"/>
  <c r="F52" i="25"/>
  <c r="B53" i="25"/>
  <c r="C53" i="25"/>
  <c r="E53" i="25"/>
  <c r="F53" i="25"/>
  <c r="B54" i="25"/>
  <c r="C54" i="25"/>
  <c r="E54" i="25"/>
  <c r="F54" i="25"/>
  <c r="B55" i="25"/>
  <c r="C55" i="25"/>
  <c r="E55" i="25"/>
  <c r="F55" i="25"/>
  <c r="B56" i="25"/>
  <c r="C56" i="25"/>
  <c r="E56" i="25"/>
  <c r="F56" i="25"/>
  <c r="B57" i="25"/>
  <c r="C57" i="25"/>
  <c r="E57" i="25"/>
  <c r="F57" i="25"/>
  <c r="B58" i="25"/>
  <c r="C58" i="25"/>
  <c r="E58" i="25"/>
  <c r="F58" i="25"/>
  <c r="B59" i="25"/>
  <c r="C59" i="25"/>
  <c r="E59" i="25"/>
  <c r="F59" i="25"/>
  <c r="B60" i="25"/>
  <c r="C60" i="25"/>
  <c r="E60" i="25"/>
  <c r="F60" i="25"/>
  <c r="B61" i="25"/>
  <c r="C61" i="25"/>
  <c r="E61" i="25"/>
  <c r="F61" i="25"/>
  <c r="B62" i="25"/>
  <c r="C62" i="25"/>
  <c r="E62" i="25"/>
  <c r="F62" i="25"/>
  <c r="B63" i="25"/>
  <c r="C63" i="25"/>
  <c r="E63" i="25"/>
  <c r="F63" i="25"/>
  <c r="B64" i="25"/>
  <c r="C64" i="25"/>
  <c r="E64" i="25"/>
  <c r="F64" i="25"/>
  <c r="B65" i="25"/>
  <c r="C65" i="25"/>
  <c r="E65" i="25"/>
  <c r="F65" i="25"/>
  <c r="B66" i="25"/>
  <c r="C66" i="25"/>
  <c r="E66" i="25"/>
  <c r="F66" i="25"/>
  <c r="B67" i="25"/>
  <c r="C67" i="25"/>
  <c r="E67" i="25"/>
  <c r="F67" i="25"/>
  <c r="B68" i="25"/>
  <c r="C68" i="25"/>
  <c r="E68" i="25"/>
  <c r="F68" i="25"/>
  <c r="B69" i="25"/>
  <c r="C69" i="25"/>
  <c r="E69" i="25"/>
  <c r="F69" i="25"/>
  <c r="B70" i="25"/>
  <c r="C70" i="25"/>
  <c r="E70" i="25"/>
  <c r="F70" i="25"/>
  <c r="B71" i="25"/>
  <c r="C71" i="25"/>
  <c r="E71" i="25"/>
  <c r="F71" i="25"/>
  <c r="B72" i="25"/>
  <c r="C72" i="25"/>
  <c r="E72" i="25"/>
  <c r="F72" i="25"/>
  <c r="B73" i="25"/>
  <c r="C73" i="25"/>
  <c r="E73" i="25"/>
  <c r="F73" i="25"/>
  <c r="B74" i="25"/>
  <c r="C74" i="25"/>
  <c r="E74" i="25"/>
  <c r="F74" i="25"/>
  <c r="B75" i="25"/>
  <c r="C75" i="25"/>
  <c r="E75" i="25"/>
  <c r="F75" i="25"/>
  <c r="B76" i="25"/>
  <c r="C76" i="25"/>
  <c r="E76" i="25"/>
  <c r="F76" i="25"/>
  <c r="B77" i="25"/>
  <c r="C77" i="25"/>
  <c r="E77" i="25"/>
  <c r="F77" i="25"/>
  <c r="B78" i="25"/>
  <c r="C78" i="25"/>
  <c r="E78" i="25"/>
  <c r="F78" i="25"/>
  <c r="B79" i="25"/>
  <c r="C79" i="25"/>
  <c r="E79" i="25"/>
  <c r="F79" i="25"/>
  <c r="B80" i="25"/>
  <c r="C80" i="25"/>
  <c r="E80" i="25"/>
  <c r="F80" i="25"/>
  <c r="B81" i="25"/>
  <c r="C81" i="25"/>
  <c r="E81" i="25"/>
  <c r="F81" i="25"/>
  <c r="B82" i="25"/>
  <c r="C82" i="25"/>
  <c r="E82" i="25"/>
  <c r="F82" i="25"/>
  <c r="B83" i="25"/>
  <c r="C83" i="25"/>
  <c r="E83" i="25"/>
  <c r="F83" i="25"/>
  <c r="B84" i="25"/>
  <c r="C84" i="25"/>
  <c r="E84" i="25"/>
  <c r="F84" i="25"/>
  <c r="B85" i="25"/>
  <c r="C85" i="25"/>
  <c r="E85" i="25"/>
  <c r="F85" i="25"/>
  <c r="B86" i="25"/>
  <c r="C86" i="25"/>
  <c r="E86" i="25"/>
  <c r="F86" i="25"/>
  <c r="B87" i="25"/>
  <c r="C87" i="25"/>
  <c r="E87" i="25"/>
  <c r="F87" i="25"/>
  <c r="B88" i="25"/>
  <c r="C88" i="25"/>
  <c r="E88" i="25"/>
  <c r="F88" i="25"/>
  <c r="B89" i="25"/>
  <c r="C89" i="25"/>
  <c r="E89" i="25"/>
  <c r="F89" i="25"/>
  <c r="B90" i="25"/>
  <c r="C90" i="25"/>
  <c r="E90" i="25"/>
  <c r="F90" i="25"/>
  <c r="B91" i="25"/>
  <c r="C91" i="25"/>
  <c r="E91" i="25"/>
  <c r="F91" i="25"/>
  <c r="B92" i="25"/>
  <c r="C92" i="25"/>
  <c r="E92" i="25"/>
  <c r="F92" i="25"/>
  <c r="B93" i="25"/>
  <c r="C93" i="25"/>
  <c r="E93" i="25"/>
  <c r="F93" i="25"/>
  <c r="B94" i="25"/>
  <c r="C94" i="25"/>
  <c r="E94" i="25"/>
  <c r="F94" i="25"/>
  <c r="B95" i="25"/>
  <c r="C95" i="25"/>
  <c r="E95" i="25"/>
  <c r="F95" i="25"/>
  <c r="B96" i="25"/>
  <c r="C96" i="25"/>
  <c r="E96" i="25"/>
  <c r="F96" i="25"/>
  <c r="B97" i="25"/>
  <c r="C97" i="25"/>
  <c r="E97" i="25"/>
  <c r="F97" i="25"/>
  <c r="B98" i="25"/>
  <c r="C98" i="25"/>
  <c r="E98" i="25"/>
  <c r="F98" i="25"/>
  <c r="B99" i="25"/>
  <c r="C99" i="25"/>
  <c r="E99" i="25"/>
  <c r="F99" i="25"/>
  <c r="B100" i="25"/>
  <c r="C100" i="25"/>
  <c r="E100" i="25"/>
  <c r="F100" i="25"/>
  <c r="B101" i="25"/>
  <c r="C101" i="25"/>
  <c r="E101" i="25"/>
  <c r="F101" i="25"/>
  <c r="B102" i="25"/>
  <c r="C102" i="25"/>
  <c r="E102" i="25"/>
  <c r="F102" i="25"/>
  <c r="B103" i="25"/>
  <c r="C103" i="25"/>
  <c r="E103" i="25"/>
  <c r="F103" i="25"/>
  <c r="B104" i="25"/>
  <c r="C104" i="25"/>
  <c r="E104" i="25"/>
  <c r="F104" i="25"/>
  <c r="B105" i="25"/>
  <c r="C105" i="25"/>
  <c r="E105" i="25"/>
  <c r="F105" i="25"/>
  <c r="B106" i="25"/>
  <c r="C106" i="25"/>
  <c r="E106" i="25"/>
  <c r="F106" i="25"/>
  <c r="B107" i="25"/>
  <c r="C107" i="25"/>
  <c r="E107" i="25"/>
  <c r="F107" i="25"/>
  <c r="B108" i="25"/>
  <c r="C108" i="25"/>
  <c r="E108" i="25"/>
  <c r="F108" i="25"/>
  <c r="B109" i="25"/>
  <c r="C109" i="25"/>
  <c r="E109" i="25"/>
  <c r="F109" i="25"/>
  <c r="B110" i="25"/>
  <c r="C110" i="25"/>
  <c r="E110" i="25"/>
  <c r="F110" i="25"/>
  <c r="B111" i="25"/>
  <c r="C111" i="25"/>
  <c r="E111" i="25"/>
  <c r="F111" i="25"/>
  <c r="B112" i="25"/>
  <c r="C112" i="25"/>
  <c r="E112" i="25"/>
  <c r="F112" i="25"/>
  <c r="B113" i="25"/>
  <c r="C113" i="25"/>
  <c r="E113" i="25"/>
  <c r="F113" i="25"/>
  <c r="B114" i="25"/>
  <c r="C114" i="25"/>
  <c r="E114" i="25"/>
  <c r="F114" i="25"/>
  <c r="B115" i="25"/>
  <c r="C115" i="25"/>
  <c r="E115" i="25"/>
  <c r="F115" i="25"/>
  <c r="B116" i="25"/>
  <c r="C116" i="25"/>
  <c r="E116" i="25"/>
  <c r="F116" i="25"/>
  <c r="B117" i="25"/>
  <c r="C117" i="25"/>
  <c r="E117" i="25"/>
  <c r="F117" i="25"/>
  <c r="B118" i="25"/>
  <c r="C118" i="25"/>
  <c r="E118" i="25"/>
  <c r="F118" i="25"/>
  <c r="B119" i="25"/>
  <c r="C119" i="25"/>
  <c r="E119" i="25"/>
  <c r="F119" i="25"/>
  <c r="F4" i="25"/>
  <c r="E4" i="25"/>
  <c r="C4" i="25"/>
  <c r="B4" i="25"/>
  <c r="BN42" i="19"/>
  <c r="BN43" i="19" s="1"/>
  <c r="BM42" i="19"/>
  <c r="BM43" i="19" s="1"/>
  <c r="BQ41" i="19"/>
  <c r="BQ42" i="19" s="1"/>
  <c r="BQ43" i="19" s="1"/>
  <c r="BP41" i="19"/>
  <c r="BP42" i="19" s="1"/>
  <c r="BP43" i="19" s="1"/>
  <c r="BO41" i="19"/>
  <c r="BO42" i="19" s="1"/>
  <c r="BO43" i="19" s="1"/>
  <c r="BN41" i="19"/>
  <c r="BM41" i="19"/>
  <c r="BL41" i="19"/>
  <c r="BL42" i="19" s="1"/>
  <c r="BL43" i="19" s="1"/>
  <c r="BK41" i="19"/>
  <c r="BK42" i="19" s="1"/>
  <c r="BK43" i="19" s="1"/>
  <c r="BJ41" i="19"/>
  <c r="BJ42" i="19" s="1"/>
  <c r="BJ43" i="19" s="1"/>
  <c r="BI41" i="19"/>
  <c r="BI42" i="19" s="1"/>
  <c r="BI43" i="19" s="1"/>
  <c r="BH41" i="19"/>
  <c r="BH42" i="19" s="1"/>
  <c r="BH43" i="19" s="1"/>
  <c r="BG41" i="19"/>
  <c r="BG42" i="19" s="1"/>
  <c r="BG43" i="19" s="1"/>
  <c r="BQ17" i="19"/>
  <c r="BP17" i="19"/>
  <c r="BO17" i="19"/>
  <c r="BN17" i="19"/>
  <c r="BM17" i="19"/>
  <c r="BL17" i="19"/>
  <c r="BL16" i="19" s="1"/>
  <c r="BL15" i="19" s="1"/>
  <c r="BL14" i="19" s="1"/>
  <c r="BL13" i="19" s="1"/>
  <c r="BL12" i="19" s="1"/>
  <c r="BL11" i="19" s="1"/>
  <c r="BL10" i="19" s="1"/>
  <c r="BL9" i="19" s="1"/>
  <c r="BL8" i="19" s="1"/>
  <c r="BL7" i="19" s="1"/>
  <c r="BL6" i="19" s="1"/>
  <c r="BL5" i="19" s="1"/>
  <c r="BL4" i="19" s="1"/>
  <c r="BK17" i="19"/>
  <c r="BK16" i="19" s="1"/>
  <c r="BK15" i="19" s="1"/>
  <c r="BK14" i="19" s="1"/>
  <c r="BK13" i="19" s="1"/>
  <c r="BK12" i="19" s="1"/>
  <c r="BK11" i="19" s="1"/>
  <c r="BK10" i="19" s="1"/>
  <c r="BK9" i="19" s="1"/>
  <c r="BK8" i="19" s="1"/>
  <c r="BK7" i="19" s="1"/>
  <c r="BK6" i="19" s="1"/>
  <c r="BK5" i="19" s="1"/>
  <c r="BK4" i="19" s="1"/>
  <c r="BJ17" i="19"/>
  <c r="BI17" i="19"/>
  <c r="BH17" i="19"/>
  <c r="BH16" i="19" s="1"/>
  <c r="BH15" i="19" s="1"/>
  <c r="BH14" i="19" s="1"/>
  <c r="BH13" i="19" s="1"/>
  <c r="BH12" i="19" s="1"/>
  <c r="BH11" i="19" s="1"/>
  <c r="BH10" i="19" s="1"/>
  <c r="BH9" i="19" s="1"/>
  <c r="BH8" i="19" s="1"/>
  <c r="BH7" i="19" s="1"/>
  <c r="BH6" i="19" s="1"/>
  <c r="BH5" i="19" s="1"/>
  <c r="BH4" i="19" s="1"/>
  <c r="BG17" i="19"/>
  <c r="BQ16" i="19"/>
  <c r="BP16" i="19"/>
  <c r="BO16" i="19"/>
  <c r="BO15" i="19" s="1"/>
  <c r="BO14" i="19" s="1"/>
  <c r="BO13" i="19" s="1"/>
  <c r="BO12" i="19" s="1"/>
  <c r="BO11" i="19" s="1"/>
  <c r="BO10" i="19" s="1"/>
  <c r="BO9" i="19" s="1"/>
  <c r="BO8" i="19" s="1"/>
  <c r="BO7" i="19" s="1"/>
  <c r="BO6" i="19" s="1"/>
  <c r="BO5" i="19" s="1"/>
  <c r="BO4" i="19" s="1"/>
  <c r="BN16" i="19"/>
  <c r="BN15" i="19" s="1"/>
  <c r="BN14" i="19" s="1"/>
  <c r="BN13" i="19" s="1"/>
  <c r="BN12" i="19" s="1"/>
  <c r="BN11" i="19" s="1"/>
  <c r="BN10" i="19" s="1"/>
  <c r="BN9" i="19" s="1"/>
  <c r="BN8" i="19" s="1"/>
  <c r="BN7" i="19" s="1"/>
  <c r="BN6" i="19" s="1"/>
  <c r="BN5" i="19" s="1"/>
  <c r="BN4" i="19" s="1"/>
  <c r="BM16" i="19"/>
  <c r="BJ16" i="19"/>
  <c r="BI16" i="19"/>
  <c r="BG16" i="19"/>
  <c r="BG15" i="19" s="1"/>
  <c r="BG14" i="19" s="1"/>
  <c r="BG13" i="19" s="1"/>
  <c r="BG12" i="19" s="1"/>
  <c r="BG11" i="19" s="1"/>
  <c r="BG10" i="19" s="1"/>
  <c r="BG9" i="19" s="1"/>
  <c r="BG8" i="19" s="1"/>
  <c r="BG7" i="19" s="1"/>
  <c r="BG6" i="19" s="1"/>
  <c r="BG5" i="19" s="1"/>
  <c r="BG4" i="19" s="1"/>
  <c r="BQ15" i="19"/>
  <c r="BQ14" i="19" s="1"/>
  <c r="BQ13" i="19" s="1"/>
  <c r="BQ12" i="19" s="1"/>
  <c r="BQ11" i="19" s="1"/>
  <c r="BQ10" i="19" s="1"/>
  <c r="BQ9" i="19" s="1"/>
  <c r="BQ8" i="19" s="1"/>
  <c r="BQ7" i="19" s="1"/>
  <c r="BQ6" i="19" s="1"/>
  <c r="BQ5" i="19" s="1"/>
  <c r="BQ4" i="19" s="1"/>
  <c r="BP15" i="19"/>
  <c r="BM15" i="19"/>
  <c r="BJ15" i="19"/>
  <c r="BJ14" i="19" s="1"/>
  <c r="BJ13" i="19" s="1"/>
  <c r="BJ12" i="19" s="1"/>
  <c r="BJ11" i="19" s="1"/>
  <c r="BJ10" i="19" s="1"/>
  <c r="BJ9" i="19" s="1"/>
  <c r="BJ8" i="19" s="1"/>
  <c r="BJ7" i="19" s="1"/>
  <c r="BJ6" i="19" s="1"/>
  <c r="BJ5" i="19" s="1"/>
  <c r="BJ4" i="19" s="1"/>
  <c r="BI15" i="19"/>
  <c r="BI14" i="19" s="1"/>
  <c r="BI13" i="19" s="1"/>
  <c r="BI12" i="19" s="1"/>
  <c r="BI11" i="19" s="1"/>
  <c r="BI10" i="19" s="1"/>
  <c r="BI9" i="19" s="1"/>
  <c r="BI8" i="19" s="1"/>
  <c r="BI7" i="19" s="1"/>
  <c r="BI6" i="19" s="1"/>
  <c r="BI5" i="19" s="1"/>
  <c r="BI4" i="19" s="1"/>
  <c r="BP14" i="19"/>
  <c r="BM14" i="19"/>
  <c r="BM13" i="19" s="1"/>
  <c r="BM12" i="19" s="1"/>
  <c r="BM11" i="19" s="1"/>
  <c r="BM10" i="19" s="1"/>
  <c r="BM9" i="19" s="1"/>
  <c r="BM8" i="19" s="1"/>
  <c r="BM7" i="19" s="1"/>
  <c r="BM6" i="19" s="1"/>
  <c r="BM5" i="19" s="1"/>
  <c r="BM4" i="19" s="1"/>
  <c r="BP13" i="19"/>
  <c r="BP12" i="19" s="1"/>
  <c r="BP11" i="19" s="1"/>
  <c r="BP10" i="19" s="1"/>
  <c r="BP9" i="19" s="1"/>
  <c r="BP8" i="19" s="1"/>
  <c r="BP7" i="19" s="1"/>
  <c r="BP6" i="19" s="1"/>
  <c r="BP5" i="19" s="1"/>
  <c r="BP4" i="19" s="1"/>
  <c r="BG19" i="19"/>
  <c r="BH19" i="19"/>
  <c r="BI19" i="19"/>
  <c r="BJ19" i="19"/>
  <c r="BK19" i="19"/>
  <c r="BL19" i="19"/>
  <c r="BM19" i="19"/>
  <c r="BN19" i="19"/>
  <c r="BO19" i="19"/>
  <c r="BP19" i="19"/>
  <c r="BQ19" i="19"/>
  <c r="BG20" i="19"/>
  <c r="BH20" i="19"/>
  <c r="BI20" i="19"/>
  <c r="BJ20" i="19"/>
  <c r="BK20" i="19"/>
  <c r="BL20" i="19"/>
  <c r="BM20" i="19"/>
  <c r="BN20" i="19"/>
  <c r="BO20" i="19"/>
  <c r="BP20" i="19"/>
  <c r="BQ20" i="19"/>
  <c r="BG21" i="19"/>
  <c r="BH21" i="19"/>
  <c r="BI21" i="19"/>
  <c r="BJ21" i="19"/>
  <c r="BK21" i="19"/>
  <c r="BL21" i="19"/>
  <c r="BM21" i="19"/>
  <c r="BN21" i="19"/>
  <c r="BO21" i="19"/>
  <c r="BP21" i="19"/>
  <c r="BQ21" i="19"/>
  <c r="BG22" i="19"/>
  <c r="BH22" i="19"/>
  <c r="BI22" i="19"/>
  <c r="BJ22" i="19"/>
  <c r="BK22" i="19"/>
  <c r="BL22" i="19"/>
  <c r="BM22" i="19"/>
  <c r="BN22" i="19"/>
  <c r="BO22" i="19"/>
  <c r="BP22" i="19"/>
  <c r="BQ22" i="19"/>
  <c r="BG23" i="19"/>
  <c r="BH23" i="19"/>
  <c r="BI23" i="19"/>
  <c r="BJ23" i="19"/>
  <c r="BK23" i="19"/>
  <c r="BL23" i="19"/>
  <c r="BM23" i="19"/>
  <c r="BN23" i="19"/>
  <c r="BO23" i="19"/>
  <c r="BP23" i="19"/>
  <c r="BQ23" i="19"/>
  <c r="BG24" i="19"/>
  <c r="BH24" i="19"/>
  <c r="BI24" i="19"/>
  <c r="BJ24" i="19"/>
  <c r="BK24" i="19"/>
  <c r="BL24" i="19"/>
  <c r="BM24" i="19"/>
  <c r="BN24" i="19"/>
  <c r="BO24" i="19"/>
  <c r="BP24" i="19"/>
  <c r="BQ24" i="19"/>
  <c r="BG25" i="19"/>
  <c r="BH25" i="19"/>
  <c r="BI25" i="19"/>
  <c r="BJ25" i="19"/>
  <c r="BK25" i="19"/>
  <c r="BL25" i="19"/>
  <c r="BM25" i="19"/>
  <c r="BN25" i="19"/>
  <c r="BO25" i="19"/>
  <c r="BP25" i="19"/>
  <c r="BQ25" i="19"/>
  <c r="BG26" i="19"/>
  <c r="BH26" i="19"/>
  <c r="BI26" i="19"/>
  <c r="BJ26" i="19"/>
  <c r="BK26" i="19"/>
  <c r="BL26" i="19"/>
  <c r="BM26" i="19"/>
  <c r="BN26" i="19"/>
  <c r="BO26" i="19"/>
  <c r="BP26" i="19"/>
  <c r="BQ26" i="19"/>
  <c r="BG27" i="19"/>
  <c r="BH27" i="19"/>
  <c r="BI27" i="19"/>
  <c r="BJ27" i="19"/>
  <c r="BK27" i="19"/>
  <c r="BL27" i="19"/>
  <c r="BM27" i="19"/>
  <c r="BN27" i="19"/>
  <c r="BO27" i="19"/>
  <c r="BP27" i="19"/>
  <c r="BQ27" i="19"/>
  <c r="BG28" i="19"/>
  <c r="BH28" i="19"/>
  <c r="BI28" i="19"/>
  <c r="BJ28" i="19"/>
  <c r="BK28" i="19"/>
  <c r="BL28" i="19"/>
  <c r="BM28" i="19"/>
  <c r="BN28" i="19"/>
  <c r="BO28" i="19"/>
  <c r="BP28" i="19"/>
  <c r="BQ28" i="19"/>
  <c r="BG29" i="19"/>
  <c r="BH29" i="19"/>
  <c r="BI29" i="19"/>
  <c r="BJ29" i="19"/>
  <c r="BK29" i="19"/>
  <c r="BL29" i="19"/>
  <c r="BM29" i="19"/>
  <c r="BN29" i="19"/>
  <c r="BO29" i="19"/>
  <c r="BP29" i="19"/>
  <c r="BQ29" i="19"/>
  <c r="BG30" i="19"/>
  <c r="BH30" i="19"/>
  <c r="BI30" i="19"/>
  <c r="BJ30" i="19"/>
  <c r="BK30" i="19"/>
  <c r="BL30" i="19"/>
  <c r="BM30" i="19"/>
  <c r="BN30" i="19"/>
  <c r="BO30" i="19"/>
  <c r="BP30" i="19"/>
  <c r="BQ30" i="19"/>
  <c r="BG31" i="19"/>
  <c r="BH31" i="19"/>
  <c r="BI31" i="19"/>
  <c r="BJ31" i="19"/>
  <c r="BK31" i="19"/>
  <c r="BL31" i="19"/>
  <c r="BM31" i="19"/>
  <c r="BN31" i="19"/>
  <c r="BO31" i="19"/>
  <c r="BP31" i="19"/>
  <c r="BQ31" i="19"/>
  <c r="BG32" i="19"/>
  <c r="BH32" i="19"/>
  <c r="BI32" i="19"/>
  <c r="BJ32" i="19"/>
  <c r="BK32" i="19"/>
  <c r="BL32" i="19"/>
  <c r="BM32" i="19"/>
  <c r="BN32" i="19"/>
  <c r="BO32" i="19"/>
  <c r="BP32" i="19"/>
  <c r="BQ32" i="19"/>
  <c r="BG33" i="19"/>
  <c r="BH33" i="19"/>
  <c r="BI33" i="19"/>
  <c r="BJ33" i="19"/>
  <c r="BK33" i="19"/>
  <c r="BL33" i="19"/>
  <c r="BM33" i="19"/>
  <c r="BN33" i="19"/>
  <c r="BO33" i="19"/>
  <c r="BP33" i="19"/>
  <c r="BQ33" i="19"/>
  <c r="BG34" i="19"/>
  <c r="BH34" i="19"/>
  <c r="BI34" i="19"/>
  <c r="BJ34" i="19"/>
  <c r="BK34" i="19"/>
  <c r="BL34" i="19"/>
  <c r="BM34" i="19"/>
  <c r="BN34" i="19"/>
  <c r="BO34" i="19"/>
  <c r="BP34" i="19"/>
  <c r="BQ34" i="19"/>
  <c r="BG35" i="19"/>
  <c r="BH35" i="19"/>
  <c r="BI35" i="19"/>
  <c r="BJ35" i="19"/>
  <c r="BK35" i="19"/>
  <c r="BL35" i="19"/>
  <c r="BM35" i="19"/>
  <c r="BN35" i="19"/>
  <c r="BO35" i="19"/>
  <c r="BP35" i="19"/>
  <c r="BQ35" i="19"/>
  <c r="BG36" i="19"/>
  <c r="BH36" i="19"/>
  <c r="BI36" i="19"/>
  <c r="BJ36" i="19"/>
  <c r="BK36" i="19"/>
  <c r="BL36" i="19"/>
  <c r="BM36" i="19"/>
  <c r="BN36" i="19"/>
  <c r="BO36" i="19"/>
  <c r="BP36" i="19"/>
  <c r="BQ36" i="19"/>
  <c r="BG37" i="19"/>
  <c r="BH37" i="19"/>
  <c r="BI37" i="19"/>
  <c r="BJ37" i="19"/>
  <c r="BK37" i="19"/>
  <c r="BL37" i="19"/>
  <c r="BM37" i="19"/>
  <c r="BN37" i="19"/>
  <c r="BO37" i="19"/>
  <c r="BP37" i="19"/>
  <c r="BQ37" i="19"/>
  <c r="BG38" i="19"/>
  <c r="BH38" i="19"/>
  <c r="BI38" i="19"/>
  <c r="BJ38" i="19"/>
  <c r="BK38" i="19"/>
  <c r="BL38" i="19"/>
  <c r="BM38" i="19"/>
  <c r="BN38" i="19"/>
  <c r="BO38" i="19"/>
  <c r="BP38" i="19"/>
  <c r="BQ38" i="19"/>
  <c r="BG39" i="19"/>
  <c r="BH39" i="19"/>
  <c r="BI39" i="19"/>
  <c r="BJ39" i="19"/>
  <c r="BK39" i="19"/>
  <c r="BL39" i="19"/>
  <c r="BM39" i="19"/>
  <c r="BN39" i="19"/>
  <c r="BO39" i="19"/>
  <c r="BP39" i="19"/>
  <c r="BQ39" i="19"/>
  <c r="BG40" i="19"/>
  <c r="BH40" i="19"/>
  <c r="BI40" i="19"/>
  <c r="BJ40" i="19"/>
  <c r="BK40" i="19"/>
  <c r="BL40" i="19"/>
  <c r="BM40" i="19"/>
  <c r="BN40" i="19"/>
  <c r="BO40" i="19"/>
  <c r="BP40" i="19"/>
  <c r="BQ40" i="19"/>
  <c r="BH18" i="19"/>
  <c r="BI18" i="19"/>
  <c r="BJ18" i="19"/>
  <c r="BK18" i="19"/>
  <c r="BL18" i="19"/>
  <c r="BM18" i="19"/>
  <c r="BN18" i="19"/>
  <c r="BO18" i="19"/>
  <c r="BP18" i="19"/>
  <c r="BQ18" i="19"/>
  <c r="BG18" i="19"/>
  <c r="BF43" i="19"/>
  <c r="BF42" i="19"/>
  <c r="BF41" i="19"/>
  <c r="BF40" i="19"/>
  <c r="BF39" i="19"/>
  <c r="BF38" i="19"/>
  <c r="BF37" i="19"/>
  <c r="BF36" i="19"/>
  <c r="BF35" i="19"/>
  <c r="BF34" i="19"/>
  <c r="BF33" i="19"/>
  <c r="BF32" i="19"/>
  <c r="BF31" i="19"/>
  <c r="BF30" i="19"/>
  <c r="BF29" i="19"/>
  <c r="BF28" i="19"/>
  <c r="BF27" i="19"/>
  <c r="BF26" i="19"/>
  <c r="BF25" i="19"/>
  <c r="BF24" i="19"/>
  <c r="BF23" i="19"/>
  <c r="BF22" i="19"/>
  <c r="BF21" i="19"/>
  <c r="BF20" i="19"/>
  <c r="BF19" i="19"/>
  <c r="BF18" i="19"/>
  <c r="BF17" i="19"/>
  <c r="BF16" i="19"/>
  <c r="BF15" i="19"/>
  <c r="BF14" i="19"/>
  <c r="BF13" i="19"/>
  <c r="BF12" i="19"/>
  <c r="BF11" i="19"/>
  <c r="BF10" i="19"/>
  <c r="BF9" i="19"/>
  <c r="BF8" i="19"/>
  <c r="BF7" i="19"/>
  <c r="BF6" i="19"/>
  <c r="BF5" i="19"/>
  <c r="BF4" i="19"/>
  <c r="AS42" i="19"/>
  <c r="AS43" i="19" s="1"/>
  <c r="AT42" i="19"/>
  <c r="AU42" i="19"/>
  <c r="AV42" i="19"/>
  <c r="AW42" i="19"/>
  <c r="AW43" i="19" s="1"/>
  <c r="AX42" i="19"/>
  <c r="AY42" i="19"/>
  <c r="AY43" i="19" s="1"/>
  <c r="AZ42" i="19"/>
  <c r="BA42" i="19"/>
  <c r="BA43" i="19" s="1"/>
  <c r="BB42" i="19"/>
  <c r="BC42" i="19"/>
  <c r="AT43" i="19"/>
  <c r="AU43" i="19"/>
  <c r="AV43" i="19"/>
  <c r="AX43" i="19"/>
  <c r="AZ43" i="19"/>
  <c r="BB43" i="19"/>
  <c r="BC43" i="19"/>
  <c r="AT41" i="19"/>
  <c r="AU41" i="19"/>
  <c r="AV41" i="19"/>
  <c r="AW41" i="19"/>
  <c r="AX41" i="19"/>
  <c r="AY41" i="19"/>
  <c r="AZ41" i="19"/>
  <c r="BA41" i="19"/>
  <c r="BB41" i="19"/>
  <c r="BC41" i="19"/>
  <c r="AS41" i="19"/>
  <c r="AX15" i="19"/>
  <c r="AX14" i="19" s="1"/>
  <c r="AX13" i="19" s="1"/>
  <c r="AX12" i="19" s="1"/>
  <c r="AX11" i="19" s="1"/>
  <c r="AX10" i="19" s="1"/>
  <c r="AX9" i="19" s="1"/>
  <c r="AX8" i="19" s="1"/>
  <c r="AX7" i="19" s="1"/>
  <c r="AX6" i="19" s="1"/>
  <c r="AX5" i="19" s="1"/>
  <c r="AX4" i="19" s="1"/>
  <c r="AY15" i="19"/>
  <c r="AY14" i="19" s="1"/>
  <c r="AY13" i="19" s="1"/>
  <c r="AY12" i="19" s="1"/>
  <c r="AY11" i="19" s="1"/>
  <c r="AY10" i="19" s="1"/>
  <c r="AY9" i="19" s="1"/>
  <c r="AY8" i="19" s="1"/>
  <c r="AY7" i="19" s="1"/>
  <c r="AY6" i="19" s="1"/>
  <c r="AY5" i="19" s="1"/>
  <c r="AY4" i="19" s="1"/>
  <c r="AS16" i="19"/>
  <c r="AS15" i="19" s="1"/>
  <c r="AS14" i="19" s="1"/>
  <c r="AS13" i="19" s="1"/>
  <c r="AS12" i="19" s="1"/>
  <c r="AS11" i="19" s="1"/>
  <c r="AS10" i="19" s="1"/>
  <c r="AS9" i="19" s="1"/>
  <c r="AS8" i="19" s="1"/>
  <c r="AS7" i="19" s="1"/>
  <c r="AS6" i="19" s="1"/>
  <c r="AS5" i="19" s="1"/>
  <c r="AS4" i="19" s="1"/>
  <c r="AT16" i="19"/>
  <c r="AT15" i="19" s="1"/>
  <c r="AT14" i="19" s="1"/>
  <c r="AT13" i="19" s="1"/>
  <c r="AT12" i="19" s="1"/>
  <c r="AT11" i="19" s="1"/>
  <c r="AT10" i="19" s="1"/>
  <c r="AT9" i="19" s="1"/>
  <c r="AT8" i="19" s="1"/>
  <c r="AT7" i="19" s="1"/>
  <c r="AT6" i="19" s="1"/>
  <c r="AT5" i="19" s="1"/>
  <c r="AT4" i="19" s="1"/>
  <c r="AU16" i="19"/>
  <c r="AU15" i="19" s="1"/>
  <c r="AU14" i="19" s="1"/>
  <c r="AU13" i="19" s="1"/>
  <c r="AU12" i="19" s="1"/>
  <c r="AU11" i="19" s="1"/>
  <c r="AU10" i="19" s="1"/>
  <c r="AU9" i="19" s="1"/>
  <c r="AU8" i="19" s="1"/>
  <c r="AU7" i="19" s="1"/>
  <c r="AU6" i="19" s="1"/>
  <c r="AU5" i="19" s="1"/>
  <c r="AU4" i="19" s="1"/>
  <c r="AV16" i="19"/>
  <c r="AV15" i="19" s="1"/>
  <c r="AV14" i="19" s="1"/>
  <c r="AV13" i="19" s="1"/>
  <c r="AV12" i="19" s="1"/>
  <c r="AV11" i="19" s="1"/>
  <c r="AV10" i="19" s="1"/>
  <c r="AV9" i="19" s="1"/>
  <c r="AV8" i="19" s="1"/>
  <c r="AV7" i="19" s="1"/>
  <c r="AV6" i="19" s="1"/>
  <c r="AV5" i="19" s="1"/>
  <c r="AV4" i="19" s="1"/>
  <c r="AW16" i="19"/>
  <c r="AW15" i="19" s="1"/>
  <c r="AW14" i="19" s="1"/>
  <c r="AW13" i="19" s="1"/>
  <c r="AW12" i="19" s="1"/>
  <c r="AW11" i="19" s="1"/>
  <c r="AW10" i="19" s="1"/>
  <c r="AW9" i="19" s="1"/>
  <c r="AW8" i="19" s="1"/>
  <c r="AW7" i="19" s="1"/>
  <c r="AW6" i="19" s="1"/>
  <c r="AW5" i="19" s="1"/>
  <c r="AW4" i="19" s="1"/>
  <c r="AX16" i="19"/>
  <c r="AY16" i="19"/>
  <c r="AZ16" i="19"/>
  <c r="AZ15" i="19" s="1"/>
  <c r="AZ14" i="19" s="1"/>
  <c r="AZ13" i="19" s="1"/>
  <c r="AZ12" i="19" s="1"/>
  <c r="AZ11" i="19" s="1"/>
  <c r="AZ10" i="19" s="1"/>
  <c r="AZ9" i="19" s="1"/>
  <c r="AZ8" i="19" s="1"/>
  <c r="AZ7" i="19" s="1"/>
  <c r="AZ6" i="19" s="1"/>
  <c r="AZ5" i="19" s="1"/>
  <c r="AZ4" i="19" s="1"/>
  <c r="BA16" i="19"/>
  <c r="BA15" i="19" s="1"/>
  <c r="BA14" i="19" s="1"/>
  <c r="BA13" i="19" s="1"/>
  <c r="BA12" i="19" s="1"/>
  <c r="BA11" i="19" s="1"/>
  <c r="BA10" i="19" s="1"/>
  <c r="BA9" i="19" s="1"/>
  <c r="BA8" i="19" s="1"/>
  <c r="BA7" i="19" s="1"/>
  <c r="BA6" i="19" s="1"/>
  <c r="BA5" i="19" s="1"/>
  <c r="BA4" i="19" s="1"/>
  <c r="BB16" i="19"/>
  <c r="BB15" i="19" s="1"/>
  <c r="BB14" i="19" s="1"/>
  <c r="BB13" i="19" s="1"/>
  <c r="BB12" i="19" s="1"/>
  <c r="BB11" i="19" s="1"/>
  <c r="BB10" i="19" s="1"/>
  <c r="BB9" i="19" s="1"/>
  <c r="BB8" i="19" s="1"/>
  <c r="BB7" i="19" s="1"/>
  <c r="BB6" i="19" s="1"/>
  <c r="BB5" i="19" s="1"/>
  <c r="BB4" i="19" s="1"/>
  <c r="BC16" i="19"/>
  <c r="BC15" i="19" s="1"/>
  <c r="BC14" i="19" s="1"/>
  <c r="BC13" i="19" s="1"/>
  <c r="BC12" i="19" s="1"/>
  <c r="BC11" i="19" s="1"/>
  <c r="BC10" i="19" s="1"/>
  <c r="BC9" i="19" s="1"/>
  <c r="BC8" i="19" s="1"/>
  <c r="BC7" i="19" s="1"/>
  <c r="BC6" i="19" s="1"/>
  <c r="BC5" i="19" s="1"/>
  <c r="BC4" i="19" s="1"/>
  <c r="AT17" i="19"/>
  <c r="AU17" i="19"/>
  <c r="AV17" i="19"/>
  <c r="AW17" i="19"/>
  <c r="AX17" i="19"/>
  <c r="AY17" i="19"/>
  <c r="AZ17" i="19"/>
  <c r="BA17" i="19"/>
  <c r="BB17" i="19"/>
  <c r="BC17" i="19"/>
  <c r="AS17" i="19"/>
  <c r="AT19" i="19"/>
  <c r="AU19" i="19"/>
  <c r="AV19" i="19"/>
  <c r="AW19" i="19"/>
  <c r="AX19" i="19"/>
  <c r="AY19" i="19"/>
  <c r="AZ19" i="19"/>
  <c r="BA19" i="19"/>
  <c r="BB19" i="19"/>
  <c r="BC19" i="19"/>
  <c r="AT20" i="19"/>
  <c r="AU20" i="19"/>
  <c r="AV20" i="19"/>
  <c r="AW20" i="19"/>
  <c r="AX20" i="19"/>
  <c r="AY20" i="19"/>
  <c r="AZ20" i="19"/>
  <c r="BA20" i="19"/>
  <c r="BB20" i="19"/>
  <c r="BC20" i="19"/>
  <c r="AT21" i="19"/>
  <c r="AU21" i="19"/>
  <c r="AV21" i="19"/>
  <c r="AW21" i="19"/>
  <c r="AX21" i="19"/>
  <c r="AY21" i="19"/>
  <c r="AZ21" i="19"/>
  <c r="BA21" i="19"/>
  <c r="BB21" i="19"/>
  <c r="BC21" i="19"/>
  <c r="AT22" i="19"/>
  <c r="AU22" i="19"/>
  <c r="AV22" i="19"/>
  <c r="AW22" i="19"/>
  <c r="AX22" i="19"/>
  <c r="AY22" i="19"/>
  <c r="AZ22" i="19"/>
  <c r="BA22" i="19"/>
  <c r="BB22" i="19"/>
  <c r="BC22" i="19"/>
  <c r="AT23" i="19"/>
  <c r="AU23" i="19"/>
  <c r="AV23" i="19"/>
  <c r="AW23" i="19"/>
  <c r="AX23" i="19"/>
  <c r="AY23" i="19"/>
  <c r="AZ23" i="19"/>
  <c r="BA23" i="19"/>
  <c r="BB23" i="19"/>
  <c r="BC23" i="19"/>
  <c r="AT24" i="19"/>
  <c r="AU24" i="19"/>
  <c r="AV24" i="19"/>
  <c r="AW24" i="19"/>
  <c r="AX24" i="19"/>
  <c r="AY24" i="19"/>
  <c r="AZ24" i="19"/>
  <c r="BA24" i="19"/>
  <c r="BB24" i="19"/>
  <c r="BC24" i="19"/>
  <c r="AT25" i="19"/>
  <c r="AU25" i="19"/>
  <c r="AV25" i="19"/>
  <c r="AW25" i="19"/>
  <c r="AX25" i="19"/>
  <c r="AY25" i="19"/>
  <c r="AZ25" i="19"/>
  <c r="BA25" i="19"/>
  <c r="BB25" i="19"/>
  <c r="BC25" i="19"/>
  <c r="AT26" i="19"/>
  <c r="AU26" i="19"/>
  <c r="AV26" i="19"/>
  <c r="AW26" i="19"/>
  <c r="AX26" i="19"/>
  <c r="AY26" i="19"/>
  <c r="AZ26" i="19"/>
  <c r="BA26" i="19"/>
  <c r="BB26" i="19"/>
  <c r="BC26" i="19"/>
  <c r="AT27" i="19"/>
  <c r="AU27" i="19"/>
  <c r="AV27" i="19"/>
  <c r="AW27" i="19"/>
  <c r="AX27" i="19"/>
  <c r="AY27" i="19"/>
  <c r="AZ27" i="19"/>
  <c r="BA27" i="19"/>
  <c r="BB27" i="19"/>
  <c r="BC27" i="19"/>
  <c r="AT28" i="19"/>
  <c r="AU28" i="19"/>
  <c r="AV28" i="19"/>
  <c r="AW28" i="19"/>
  <c r="AX28" i="19"/>
  <c r="AY28" i="19"/>
  <c r="AZ28" i="19"/>
  <c r="BA28" i="19"/>
  <c r="BB28" i="19"/>
  <c r="BC28" i="19"/>
  <c r="AT29" i="19"/>
  <c r="AU29" i="19"/>
  <c r="AV29" i="19"/>
  <c r="AW29" i="19"/>
  <c r="AX29" i="19"/>
  <c r="AY29" i="19"/>
  <c r="AZ29" i="19"/>
  <c r="BA29" i="19"/>
  <c r="BB29" i="19"/>
  <c r="BC29" i="19"/>
  <c r="AT30" i="19"/>
  <c r="AU30" i="19"/>
  <c r="AV30" i="19"/>
  <c r="AW30" i="19"/>
  <c r="AX30" i="19"/>
  <c r="AY30" i="19"/>
  <c r="AZ30" i="19"/>
  <c r="BA30" i="19"/>
  <c r="BB30" i="19"/>
  <c r="BC30" i="19"/>
  <c r="AT31" i="19"/>
  <c r="AU31" i="19"/>
  <c r="AV31" i="19"/>
  <c r="AW31" i="19"/>
  <c r="AX31" i="19"/>
  <c r="AY31" i="19"/>
  <c r="AZ31" i="19"/>
  <c r="BA31" i="19"/>
  <c r="BB31" i="19"/>
  <c r="BC31" i="19"/>
  <c r="AT32" i="19"/>
  <c r="AU32" i="19"/>
  <c r="AV32" i="19"/>
  <c r="AW32" i="19"/>
  <c r="AX32" i="19"/>
  <c r="AY32" i="19"/>
  <c r="AZ32" i="19"/>
  <c r="BA32" i="19"/>
  <c r="BB32" i="19"/>
  <c r="BC32" i="19"/>
  <c r="AT33" i="19"/>
  <c r="AU33" i="19"/>
  <c r="AV33" i="19"/>
  <c r="AW33" i="19"/>
  <c r="AX33" i="19"/>
  <c r="AY33" i="19"/>
  <c r="AZ33" i="19"/>
  <c r="BA33" i="19"/>
  <c r="BB33" i="19"/>
  <c r="BC33" i="19"/>
  <c r="AT34" i="19"/>
  <c r="AU34" i="19"/>
  <c r="AV34" i="19"/>
  <c r="AW34" i="19"/>
  <c r="AX34" i="19"/>
  <c r="AY34" i="19"/>
  <c r="AZ34" i="19"/>
  <c r="BA34" i="19"/>
  <c r="BB34" i="19"/>
  <c r="BC34" i="19"/>
  <c r="AT35" i="19"/>
  <c r="AU35" i="19"/>
  <c r="AV35" i="19"/>
  <c r="AW35" i="19"/>
  <c r="AX35" i="19"/>
  <c r="AY35" i="19"/>
  <c r="AZ35" i="19"/>
  <c r="BA35" i="19"/>
  <c r="BB35" i="19"/>
  <c r="BC35" i="19"/>
  <c r="AT36" i="19"/>
  <c r="AU36" i="19"/>
  <c r="AV36" i="19"/>
  <c r="AW36" i="19"/>
  <c r="AX36" i="19"/>
  <c r="AY36" i="19"/>
  <c r="AZ36" i="19"/>
  <c r="BA36" i="19"/>
  <c r="BB36" i="19"/>
  <c r="BC36" i="19"/>
  <c r="AT37" i="19"/>
  <c r="AU37" i="19"/>
  <c r="AV37" i="19"/>
  <c r="AW37" i="19"/>
  <c r="AX37" i="19"/>
  <c r="AY37" i="19"/>
  <c r="AZ37" i="19"/>
  <c r="BA37" i="19"/>
  <c r="BB37" i="19"/>
  <c r="BC37" i="19"/>
  <c r="AT38" i="19"/>
  <c r="AU38" i="19"/>
  <c r="AV38" i="19"/>
  <c r="AW38" i="19"/>
  <c r="AX38" i="19"/>
  <c r="AY38" i="19"/>
  <c r="AZ38" i="19"/>
  <c r="BA38" i="19"/>
  <c r="BB38" i="19"/>
  <c r="BC38" i="19"/>
  <c r="AT39" i="19"/>
  <c r="AU39" i="19"/>
  <c r="AV39" i="19"/>
  <c r="AW39" i="19"/>
  <c r="AX39" i="19"/>
  <c r="AY39" i="19"/>
  <c r="AZ39" i="19"/>
  <c r="BA39" i="19"/>
  <c r="BB39" i="19"/>
  <c r="BC39" i="19"/>
  <c r="AT40" i="19"/>
  <c r="AU40" i="19"/>
  <c r="AV40" i="19"/>
  <c r="AW40" i="19"/>
  <c r="AX40" i="19"/>
  <c r="AY40" i="19"/>
  <c r="AZ40" i="19"/>
  <c r="BA40" i="19"/>
  <c r="BB40" i="19"/>
  <c r="BC40" i="19"/>
  <c r="AV18" i="19"/>
  <c r="AW18" i="19"/>
  <c r="AX18" i="19"/>
  <c r="AY18" i="19"/>
  <c r="AZ18" i="19"/>
  <c r="BA18" i="19"/>
  <c r="BB18" i="19"/>
  <c r="BC18" i="19"/>
  <c r="AU18" i="19"/>
  <c r="AT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18" i="19"/>
  <c r="AR5" i="19"/>
  <c r="AR6" i="19"/>
  <c r="AR7" i="19"/>
  <c r="AR8" i="19"/>
  <c r="AR9" i="19"/>
  <c r="AR10" i="19"/>
  <c r="AR11" i="19"/>
  <c r="AR12" i="19"/>
  <c r="AR13" i="19"/>
  <c r="AR14" i="19"/>
  <c r="AR15" i="19"/>
  <c r="AR16" i="19"/>
  <c r="AR17" i="19"/>
  <c r="AR18" i="19"/>
  <c r="AR19" i="19"/>
  <c r="AR20" i="19"/>
  <c r="AR21" i="19"/>
  <c r="AR22" i="19"/>
  <c r="AR23" i="19"/>
  <c r="AR24" i="19"/>
  <c r="AR25" i="19"/>
  <c r="AR26" i="19"/>
  <c r="AR27" i="19"/>
  <c r="AR28" i="19"/>
  <c r="AR29" i="19"/>
  <c r="AR30" i="19"/>
  <c r="AR31" i="19"/>
  <c r="AR32" i="19"/>
  <c r="AR33" i="19"/>
  <c r="AR34" i="19"/>
  <c r="AR35" i="19"/>
  <c r="AR36" i="19"/>
  <c r="AR37" i="19"/>
  <c r="AR38" i="19"/>
  <c r="AR39" i="19"/>
  <c r="AR40" i="19"/>
  <c r="AR41" i="19"/>
  <c r="AR42" i="19"/>
  <c r="AR43" i="19"/>
  <c r="AR4" i="19"/>
  <c r="AG18" i="19"/>
  <c r="AG17" i="19" s="1"/>
  <c r="AG16" i="19" s="1"/>
  <c r="AG15" i="19" s="1"/>
  <c r="AG14" i="19" s="1"/>
  <c r="AG13" i="19" s="1"/>
  <c r="AG12" i="19" s="1"/>
  <c r="AG11" i="19" s="1"/>
  <c r="AG10" i="19" s="1"/>
  <c r="AG9" i="19" s="1"/>
  <c r="AG8" i="19" s="1"/>
  <c r="AG7" i="19" s="1"/>
  <c r="AG6" i="19" s="1"/>
  <c r="AG5" i="19" s="1"/>
  <c r="AG4" i="19" s="1"/>
  <c r="AH18" i="19"/>
  <c r="AI18" i="19"/>
  <c r="AJ18" i="19"/>
  <c r="AJ17" i="19" s="1"/>
  <c r="AJ16" i="19" s="1"/>
  <c r="AJ15" i="19" s="1"/>
  <c r="AJ14" i="19" s="1"/>
  <c r="AJ13" i="19" s="1"/>
  <c r="AJ12" i="19" s="1"/>
  <c r="AJ11" i="19" s="1"/>
  <c r="AJ10" i="19" s="1"/>
  <c r="AJ9" i="19" s="1"/>
  <c r="AJ8" i="19" s="1"/>
  <c r="AJ7" i="19" s="1"/>
  <c r="AJ6" i="19" s="1"/>
  <c r="AJ5" i="19" s="1"/>
  <c r="AJ4" i="19" s="1"/>
  <c r="AK18" i="19"/>
  <c r="AL18" i="19"/>
  <c r="AM18" i="19"/>
  <c r="AM17" i="19" s="1"/>
  <c r="AM16" i="19" s="1"/>
  <c r="AM15" i="19" s="1"/>
  <c r="AM14" i="19" s="1"/>
  <c r="AM13" i="19" s="1"/>
  <c r="AM12" i="19" s="1"/>
  <c r="AM11" i="19" s="1"/>
  <c r="AM10" i="19" s="1"/>
  <c r="AM9" i="19" s="1"/>
  <c r="AM8" i="19" s="1"/>
  <c r="AM7" i="19" s="1"/>
  <c r="AM6" i="19" s="1"/>
  <c r="AM5" i="19" s="1"/>
  <c r="AM4" i="19" s="1"/>
  <c r="AN18" i="19"/>
  <c r="AO18" i="19"/>
  <c r="AO17" i="19" s="1"/>
  <c r="AO16" i="19" s="1"/>
  <c r="AO15" i="19" s="1"/>
  <c r="AO14" i="19" s="1"/>
  <c r="AO13" i="19" s="1"/>
  <c r="AO12" i="19" s="1"/>
  <c r="AO11" i="19" s="1"/>
  <c r="AO10" i="19" s="1"/>
  <c r="AO9" i="19" s="1"/>
  <c r="AO8" i="19" s="1"/>
  <c r="AO7" i="19" s="1"/>
  <c r="AO6" i="19" s="1"/>
  <c r="AO5" i="19" s="1"/>
  <c r="AO4" i="19" s="1"/>
  <c r="AG19" i="19"/>
  <c r="AH19" i="19"/>
  <c r="AI19" i="19"/>
  <c r="AJ19" i="19"/>
  <c r="AK19" i="19"/>
  <c r="AL19" i="19"/>
  <c r="AM19" i="19"/>
  <c r="AN19" i="19"/>
  <c r="AO19" i="19"/>
  <c r="AG20" i="19"/>
  <c r="AH20" i="19"/>
  <c r="AI20" i="19"/>
  <c r="AJ20" i="19"/>
  <c r="AK20" i="19"/>
  <c r="AL20" i="19"/>
  <c r="AM20" i="19"/>
  <c r="AN20" i="19"/>
  <c r="AO20" i="19"/>
  <c r="AG21" i="19"/>
  <c r="AH21" i="19"/>
  <c r="AI21" i="19"/>
  <c r="AJ21" i="19"/>
  <c r="AK21" i="19"/>
  <c r="AL21" i="19"/>
  <c r="AM21" i="19"/>
  <c r="AN21" i="19"/>
  <c r="AO21" i="19"/>
  <c r="AG22" i="19"/>
  <c r="AH22" i="19"/>
  <c r="AI22" i="19"/>
  <c r="AJ22" i="19"/>
  <c r="AK22" i="19"/>
  <c r="AL22" i="19"/>
  <c r="AM22" i="19"/>
  <c r="AN22" i="19"/>
  <c r="AO22" i="19"/>
  <c r="AG23" i="19"/>
  <c r="AH23" i="19"/>
  <c r="AI23" i="19"/>
  <c r="AJ23" i="19"/>
  <c r="AK23" i="19"/>
  <c r="AL23" i="19"/>
  <c r="AM23" i="19"/>
  <c r="AN23" i="19"/>
  <c r="AO23" i="19"/>
  <c r="AG24" i="19"/>
  <c r="AH24" i="19"/>
  <c r="AI24" i="19"/>
  <c r="AJ24" i="19"/>
  <c r="AK24" i="19"/>
  <c r="AL24" i="19"/>
  <c r="AM24" i="19"/>
  <c r="AN24" i="19"/>
  <c r="AO24" i="19"/>
  <c r="AG25" i="19"/>
  <c r="AH25" i="19"/>
  <c r="AI25" i="19"/>
  <c r="AJ25" i="19"/>
  <c r="AK25" i="19"/>
  <c r="AL25" i="19"/>
  <c r="AM25" i="19"/>
  <c r="AN25" i="19"/>
  <c r="AO25" i="19"/>
  <c r="AG26" i="19"/>
  <c r="AH26" i="19"/>
  <c r="AI26" i="19"/>
  <c r="AJ26" i="19"/>
  <c r="AK26" i="19"/>
  <c r="AL26" i="19"/>
  <c r="AM26" i="19"/>
  <c r="AN26" i="19"/>
  <c r="AO26" i="19"/>
  <c r="AG27" i="19"/>
  <c r="AH27" i="19"/>
  <c r="AI27" i="19"/>
  <c r="AJ27" i="19"/>
  <c r="AK27" i="19"/>
  <c r="AL27" i="19"/>
  <c r="AM27" i="19"/>
  <c r="AN27" i="19"/>
  <c r="AO27" i="19"/>
  <c r="AG28" i="19"/>
  <c r="AH28" i="19"/>
  <c r="AI28" i="19"/>
  <c r="AJ28" i="19"/>
  <c r="AK28" i="19"/>
  <c r="AL28" i="19"/>
  <c r="AM28" i="19"/>
  <c r="AN28" i="19"/>
  <c r="AO28" i="19"/>
  <c r="AG29" i="19"/>
  <c r="AH29" i="19"/>
  <c r="AI29" i="19"/>
  <c r="AJ29" i="19"/>
  <c r="AK29" i="19"/>
  <c r="AL29" i="19"/>
  <c r="AM29" i="19"/>
  <c r="AN29" i="19"/>
  <c r="AO29" i="19"/>
  <c r="AG30" i="19"/>
  <c r="AH30" i="19"/>
  <c r="AI30" i="19"/>
  <c r="AJ30" i="19"/>
  <c r="AK30" i="19"/>
  <c r="AL30" i="19"/>
  <c r="AM30" i="19"/>
  <c r="AN30" i="19"/>
  <c r="AO30" i="19"/>
  <c r="AG31" i="19"/>
  <c r="AH31" i="19"/>
  <c r="AI31" i="19"/>
  <c r="AJ31" i="19"/>
  <c r="AK31" i="19"/>
  <c r="AL31" i="19"/>
  <c r="AM31" i="19"/>
  <c r="AN31" i="19"/>
  <c r="AO31" i="19"/>
  <c r="AG32" i="19"/>
  <c r="AH32" i="19"/>
  <c r="AI32" i="19"/>
  <c r="AJ32" i="19"/>
  <c r="AK32" i="19"/>
  <c r="AL32" i="19"/>
  <c r="AM32" i="19"/>
  <c r="AN32" i="19"/>
  <c r="AO32" i="19"/>
  <c r="AG33" i="19"/>
  <c r="AH33" i="19"/>
  <c r="AI33" i="19"/>
  <c r="AJ33" i="19"/>
  <c r="AK33" i="19"/>
  <c r="AL33" i="19"/>
  <c r="AM33" i="19"/>
  <c r="AN33" i="19"/>
  <c r="AO33" i="19"/>
  <c r="AG34" i="19"/>
  <c r="AH34" i="19"/>
  <c r="AI34" i="19"/>
  <c r="AJ34" i="19"/>
  <c r="AK34" i="19"/>
  <c r="AL34" i="19"/>
  <c r="AM34" i="19"/>
  <c r="AN34" i="19"/>
  <c r="AO34" i="19"/>
  <c r="AG35" i="19"/>
  <c r="AH35" i="19"/>
  <c r="AI35" i="19"/>
  <c r="AJ35" i="19"/>
  <c r="AK35" i="19"/>
  <c r="AL35" i="19"/>
  <c r="AM35" i="19"/>
  <c r="AN35" i="19"/>
  <c r="AO35" i="19"/>
  <c r="AG36" i="19"/>
  <c r="AH36" i="19"/>
  <c r="AI36" i="19"/>
  <c r="AJ36" i="19"/>
  <c r="AK36" i="19"/>
  <c r="AL36" i="19"/>
  <c r="AM36" i="19"/>
  <c r="AN36" i="19"/>
  <c r="AO36" i="19"/>
  <c r="AG37" i="19"/>
  <c r="AH37" i="19"/>
  <c r="AI37" i="19"/>
  <c r="AJ37" i="19"/>
  <c r="AK37" i="19"/>
  <c r="AL37" i="19"/>
  <c r="AM37" i="19"/>
  <c r="AN37" i="19"/>
  <c r="AO37" i="19"/>
  <c r="AG38" i="19"/>
  <c r="AH38" i="19"/>
  <c r="AI38" i="19"/>
  <c r="AJ38" i="19"/>
  <c r="AK38" i="19"/>
  <c r="AL38" i="19"/>
  <c r="AM38" i="19"/>
  <c r="AN38" i="19"/>
  <c r="AO38" i="19"/>
  <c r="AG39" i="19"/>
  <c r="AH39" i="19"/>
  <c r="AI39" i="19"/>
  <c r="AJ39" i="19"/>
  <c r="AK39" i="19"/>
  <c r="AL39" i="19"/>
  <c r="AM39" i="19"/>
  <c r="AN39" i="19"/>
  <c r="AO39" i="19"/>
  <c r="AG40" i="19"/>
  <c r="AG41" i="19" s="1"/>
  <c r="AG42" i="19" s="1"/>
  <c r="AG43" i="19" s="1"/>
  <c r="AH40" i="19"/>
  <c r="AI40" i="19"/>
  <c r="AJ40" i="19"/>
  <c r="AK40" i="19"/>
  <c r="AL40" i="19"/>
  <c r="AL41" i="19" s="1"/>
  <c r="AL42" i="19" s="1"/>
  <c r="AL43" i="19" s="1"/>
  <c r="AM40" i="19"/>
  <c r="AN40" i="19"/>
  <c r="AO40" i="19"/>
  <c r="AO41" i="19" s="1"/>
  <c r="AO42" i="19" s="1"/>
  <c r="AO43" i="19" s="1"/>
  <c r="AL16" i="19"/>
  <c r="AL15" i="19" s="1"/>
  <c r="AL14" i="19" s="1"/>
  <c r="AL13" i="19" s="1"/>
  <c r="AL12" i="19" s="1"/>
  <c r="AL11" i="19" s="1"/>
  <c r="AL10" i="19" s="1"/>
  <c r="AL9" i="19" s="1"/>
  <c r="AL8" i="19" s="1"/>
  <c r="AL7" i="19" s="1"/>
  <c r="AL6" i="19" s="1"/>
  <c r="AL5" i="19" s="1"/>
  <c r="AL4" i="19" s="1"/>
  <c r="AF17" i="19"/>
  <c r="AF16" i="19" s="1"/>
  <c r="AF15" i="19" s="1"/>
  <c r="AF14" i="19" s="1"/>
  <c r="AF13" i="19" s="1"/>
  <c r="AF12" i="19" s="1"/>
  <c r="AF11" i="19" s="1"/>
  <c r="AF10" i="19" s="1"/>
  <c r="AF9" i="19" s="1"/>
  <c r="AF8" i="19" s="1"/>
  <c r="AF7" i="19" s="1"/>
  <c r="AF6" i="19" s="1"/>
  <c r="AF5" i="19" s="1"/>
  <c r="AF4" i="19" s="1"/>
  <c r="AH17" i="19"/>
  <c r="AH16" i="19" s="1"/>
  <c r="AH15" i="19" s="1"/>
  <c r="AH14" i="19" s="1"/>
  <c r="AH13" i="19" s="1"/>
  <c r="AH12" i="19" s="1"/>
  <c r="AH11" i="19" s="1"/>
  <c r="AH10" i="19" s="1"/>
  <c r="AH9" i="19" s="1"/>
  <c r="AH8" i="19" s="1"/>
  <c r="AH7" i="19" s="1"/>
  <c r="AH6" i="19" s="1"/>
  <c r="AH5" i="19" s="1"/>
  <c r="AH4" i="19" s="1"/>
  <c r="AI17" i="19"/>
  <c r="AI16" i="19" s="1"/>
  <c r="AI15" i="19" s="1"/>
  <c r="AI14" i="19" s="1"/>
  <c r="AI13" i="19" s="1"/>
  <c r="AI12" i="19" s="1"/>
  <c r="AI11" i="19" s="1"/>
  <c r="AI10" i="19" s="1"/>
  <c r="AI9" i="19" s="1"/>
  <c r="AI8" i="19" s="1"/>
  <c r="AI7" i="19" s="1"/>
  <c r="AI6" i="19" s="1"/>
  <c r="AI5" i="19" s="1"/>
  <c r="AI4" i="19" s="1"/>
  <c r="AK17" i="19"/>
  <c r="AK16" i="19" s="1"/>
  <c r="AK15" i="19" s="1"/>
  <c r="AK14" i="19" s="1"/>
  <c r="AK13" i="19" s="1"/>
  <c r="AK12" i="19" s="1"/>
  <c r="AK11" i="19" s="1"/>
  <c r="AK10" i="19" s="1"/>
  <c r="AK9" i="19" s="1"/>
  <c r="AK8" i="19" s="1"/>
  <c r="AK7" i="19" s="1"/>
  <c r="AK6" i="19" s="1"/>
  <c r="AK5" i="19" s="1"/>
  <c r="AK4" i="19" s="1"/>
  <c r="AL17" i="19"/>
  <c r="AN17" i="19"/>
  <c r="AN16" i="19" s="1"/>
  <c r="AN15" i="19" s="1"/>
  <c r="AN14" i="19" s="1"/>
  <c r="AN13" i="19" s="1"/>
  <c r="AN12" i="19" s="1"/>
  <c r="AN11" i="19" s="1"/>
  <c r="AN10" i="19" s="1"/>
  <c r="AN9" i="19" s="1"/>
  <c r="AN8" i="19" s="1"/>
  <c r="AN7" i="19" s="1"/>
  <c r="AN6" i="19" s="1"/>
  <c r="AN5" i="19" s="1"/>
  <c r="AN4" i="19" s="1"/>
  <c r="AE16" i="19"/>
  <c r="AE15" i="19" s="1"/>
  <c r="AE14" i="19" s="1"/>
  <c r="AE13" i="19" s="1"/>
  <c r="AE12" i="19" s="1"/>
  <c r="AE11" i="19" s="1"/>
  <c r="AE10" i="19" s="1"/>
  <c r="AE9" i="19" s="1"/>
  <c r="AE8" i="19" s="1"/>
  <c r="AE7" i="19" s="1"/>
  <c r="AE6" i="19" s="1"/>
  <c r="AE5" i="19" s="1"/>
  <c r="AE4" i="19" s="1"/>
  <c r="AH41" i="19"/>
  <c r="AI41" i="19"/>
  <c r="AJ41" i="19"/>
  <c r="AJ42" i="19" s="1"/>
  <c r="AJ43" i="19" s="1"/>
  <c r="AK41" i="19"/>
  <c r="AK42" i="19" s="1"/>
  <c r="AK43" i="19" s="1"/>
  <c r="AM41" i="19"/>
  <c r="AM42" i="19" s="1"/>
  <c r="AM43" i="19" s="1"/>
  <c r="AN41" i="19"/>
  <c r="AN42" i="19" s="1"/>
  <c r="AN43" i="19" s="1"/>
  <c r="AH42" i="19"/>
  <c r="AI42" i="19"/>
  <c r="AI43" i="19" s="1"/>
  <c r="AH43" i="19"/>
  <c r="AE42" i="19"/>
  <c r="AE43" i="19" s="1"/>
  <c r="AF42" i="19"/>
  <c r="AF43" i="19" s="1"/>
  <c r="AF41" i="19"/>
  <c r="AE41" i="19"/>
  <c r="AE17" i="19"/>
  <c r="AE19" i="19"/>
  <c r="AF19" i="19"/>
  <c r="AE20" i="19"/>
  <c r="AF20" i="19"/>
  <c r="AE21" i="19"/>
  <c r="AF21" i="19"/>
  <c r="AE22" i="19"/>
  <c r="AF22" i="19"/>
  <c r="AE23" i="19"/>
  <c r="AF23" i="19"/>
  <c r="AE24" i="19"/>
  <c r="AF24" i="19"/>
  <c r="AE25" i="19"/>
  <c r="AF25" i="19"/>
  <c r="AE26" i="19"/>
  <c r="AF26" i="19"/>
  <c r="AE27" i="19"/>
  <c r="AF27" i="19"/>
  <c r="AE28" i="19"/>
  <c r="AF28" i="19"/>
  <c r="AE29" i="19"/>
  <c r="AF29" i="19"/>
  <c r="AE30" i="19"/>
  <c r="AF30" i="19"/>
  <c r="AE31" i="19"/>
  <c r="AF31" i="19"/>
  <c r="AE32" i="19"/>
  <c r="AF32" i="19"/>
  <c r="AE33" i="19"/>
  <c r="AF33" i="19"/>
  <c r="AE34" i="19"/>
  <c r="AF34" i="19"/>
  <c r="AE35" i="19"/>
  <c r="AF35" i="19"/>
  <c r="AE36" i="19"/>
  <c r="AF36" i="19"/>
  <c r="AE37" i="19"/>
  <c r="AF37" i="19"/>
  <c r="AE38" i="19"/>
  <c r="AF38" i="19"/>
  <c r="AE39" i="19"/>
  <c r="AF39" i="19"/>
  <c r="AE40" i="19"/>
  <c r="AF40" i="19"/>
  <c r="AF18" i="19"/>
  <c r="AE18" i="19"/>
  <c r="AD5" i="19"/>
  <c r="AD6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D37" i="19"/>
  <c r="AD38" i="19"/>
  <c r="AD39" i="19"/>
  <c r="AD40" i="19"/>
  <c r="AD41" i="19"/>
  <c r="AD42" i="19"/>
  <c r="AD43" i="19"/>
  <c r="AD4" i="19"/>
  <c r="R41" i="19"/>
  <c r="S41" i="19"/>
  <c r="S42" i="19" s="1"/>
  <c r="S43" i="19" s="1"/>
  <c r="T41" i="19"/>
  <c r="U41" i="19"/>
  <c r="V41" i="19"/>
  <c r="W41" i="19"/>
  <c r="X41" i="19"/>
  <c r="X42" i="19" s="1"/>
  <c r="X43" i="19" s="1"/>
  <c r="Y41" i="19"/>
  <c r="Z41" i="19"/>
  <c r="AA41" i="19"/>
  <c r="R42" i="19"/>
  <c r="T42" i="19"/>
  <c r="U42" i="19"/>
  <c r="V42" i="19"/>
  <c r="V43" i="19" s="1"/>
  <c r="W42" i="19"/>
  <c r="Y42" i="19"/>
  <c r="Z42" i="19"/>
  <c r="AA42" i="19"/>
  <c r="AA43" i="19" s="1"/>
  <c r="R43" i="19"/>
  <c r="T43" i="19"/>
  <c r="U43" i="19"/>
  <c r="W43" i="19"/>
  <c r="Y43" i="19"/>
  <c r="Z43" i="19"/>
  <c r="Y16" i="19"/>
  <c r="Y15" i="19" s="1"/>
  <c r="Y14" i="19" s="1"/>
  <c r="Y13" i="19" s="1"/>
  <c r="Y12" i="19" s="1"/>
  <c r="Y11" i="19" s="1"/>
  <c r="Y10" i="19" s="1"/>
  <c r="Y9" i="19" s="1"/>
  <c r="Y8" i="19" s="1"/>
  <c r="Y7" i="19" s="1"/>
  <c r="Y6" i="19" s="1"/>
  <c r="Y5" i="19" s="1"/>
  <c r="Y4" i="19" s="1"/>
  <c r="R17" i="19"/>
  <c r="R16" i="19" s="1"/>
  <c r="R15" i="19" s="1"/>
  <c r="R14" i="19" s="1"/>
  <c r="R13" i="19" s="1"/>
  <c r="R12" i="19" s="1"/>
  <c r="R11" i="19" s="1"/>
  <c r="R10" i="19" s="1"/>
  <c r="R9" i="19" s="1"/>
  <c r="R8" i="19" s="1"/>
  <c r="R7" i="19" s="1"/>
  <c r="R6" i="19" s="1"/>
  <c r="R5" i="19" s="1"/>
  <c r="R4" i="19" s="1"/>
  <c r="S17" i="19"/>
  <c r="S16" i="19" s="1"/>
  <c r="S15" i="19" s="1"/>
  <c r="S14" i="19" s="1"/>
  <c r="S13" i="19" s="1"/>
  <c r="S12" i="19" s="1"/>
  <c r="S11" i="19" s="1"/>
  <c r="S10" i="19" s="1"/>
  <c r="S9" i="19" s="1"/>
  <c r="S8" i="19" s="1"/>
  <c r="S7" i="19" s="1"/>
  <c r="S6" i="19" s="1"/>
  <c r="S5" i="19" s="1"/>
  <c r="S4" i="19" s="1"/>
  <c r="T17" i="19"/>
  <c r="T16" i="19" s="1"/>
  <c r="T15" i="19" s="1"/>
  <c r="T14" i="19" s="1"/>
  <c r="T13" i="19" s="1"/>
  <c r="T12" i="19" s="1"/>
  <c r="T11" i="19" s="1"/>
  <c r="T10" i="19" s="1"/>
  <c r="T9" i="19" s="1"/>
  <c r="T8" i="19" s="1"/>
  <c r="T7" i="19" s="1"/>
  <c r="T6" i="19" s="1"/>
  <c r="T5" i="19" s="1"/>
  <c r="T4" i="19" s="1"/>
  <c r="U17" i="19"/>
  <c r="U16" i="19" s="1"/>
  <c r="U15" i="19" s="1"/>
  <c r="U14" i="19" s="1"/>
  <c r="U13" i="19" s="1"/>
  <c r="U12" i="19" s="1"/>
  <c r="U11" i="19" s="1"/>
  <c r="U10" i="19" s="1"/>
  <c r="U9" i="19" s="1"/>
  <c r="U8" i="19" s="1"/>
  <c r="U7" i="19" s="1"/>
  <c r="U6" i="19" s="1"/>
  <c r="U5" i="19" s="1"/>
  <c r="U4" i="19" s="1"/>
  <c r="V17" i="19"/>
  <c r="V16" i="19" s="1"/>
  <c r="V15" i="19" s="1"/>
  <c r="V14" i="19" s="1"/>
  <c r="V13" i="19" s="1"/>
  <c r="V12" i="19" s="1"/>
  <c r="V11" i="19" s="1"/>
  <c r="V10" i="19" s="1"/>
  <c r="V9" i="19" s="1"/>
  <c r="V8" i="19" s="1"/>
  <c r="V7" i="19" s="1"/>
  <c r="V6" i="19" s="1"/>
  <c r="V5" i="19" s="1"/>
  <c r="V4" i="19" s="1"/>
  <c r="W17" i="19"/>
  <c r="W16" i="19" s="1"/>
  <c r="W15" i="19" s="1"/>
  <c r="W14" i="19" s="1"/>
  <c r="W13" i="19" s="1"/>
  <c r="W12" i="19" s="1"/>
  <c r="W11" i="19" s="1"/>
  <c r="W10" i="19" s="1"/>
  <c r="W9" i="19" s="1"/>
  <c r="W8" i="19" s="1"/>
  <c r="W7" i="19" s="1"/>
  <c r="W6" i="19" s="1"/>
  <c r="W5" i="19" s="1"/>
  <c r="W4" i="19" s="1"/>
  <c r="X17" i="19"/>
  <c r="X16" i="19" s="1"/>
  <c r="X15" i="19" s="1"/>
  <c r="X14" i="19" s="1"/>
  <c r="X13" i="19" s="1"/>
  <c r="X12" i="19" s="1"/>
  <c r="X11" i="19" s="1"/>
  <c r="X10" i="19" s="1"/>
  <c r="X9" i="19" s="1"/>
  <c r="X8" i="19" s="1"/>
  <c r="X7" i="19" s="1"/>
  <c r="X6" i="19" s="1"/>
  <c r="X5" i="19" s="1"/>
  <c r="X4" i="19" s="1"/>
  <c r="Y17" i="19"/>
  <c r="Z17" i="19"/>
  <c r="Z16" i="19" s="1"/>
  <c r="Z15" i="19" s="1"/>
  <c r="Z14" i="19" s="1"/>
  <c r="Z13" i="19" s="1"/>
  <c r="Z12" i="19" s="1"/>
  <c r="Z11" i="19" s="1"/>
  <c r="Z10" i="19" s="1"/>
  <c r="Z9" i="19" s="1"/>
  <c r="Z8" i="19" s="1"/>
  <c r="Z7" i="19" s="1"/>
  <c r="Z6" i="19" s="1"/>
  <c r="Z5" i="19" s="1"/>
  <c r="Z4" i="19" s="1"/>
  <c r="AA17" i="19"/>
  <c r="AA16" i="19" s="1"/>
  <c r="AA15" i="19" s="1"/>
  <c r="AA14" i="19" s="1"/>
  <c r="AA13" i="19" s="1"/>
  <c r="AA12" i="19" s="1"/>
  <c r="AA11" i="19" s="1"/>
  <c r="AA10" i="19" s="1"/>
  <c r="AA9" i="19" s="1"/>
  <c r="AA8" i="19" s="1"/>
  <c r="AA7" i="19" s="1"/>
  <c r="AA6" i="19" s="1"/>
  <c r="AA5" i="19" s="1"/>
  <c r="AA4" i="19" s="1"/>
  <c r="S18" i="19"/>
  <c r="T18" i="19"/>
  <c r="U18" i="19"/>
  <c r="V18" i="19"/>
  <c r="W18" i="19"/>
  <c r="X18" i="19"/>
  <c r="Y18" i="19"/>
  <c r="Z18" i="19"/>
  <c r="AA18" i="19"/>
  <c r="S19" i="19"/>
  <c r="T19" i="19"/>
  <c r="U19" i="19"/>
  <c r="V19" i="19"/>
  <c r="W19" i="19"/>
  <c r="X19" i="19"/>
  <c r="Y19" i="19"/>
  <c r="Z19" i="19"/>
  <c r="AA19" i="19"/>
  <c r="S20" i="19"/>
  <c r="T20" i="19"/>
  <c r="U20" i="19"/>
  <c r="V20" i="19"/>
  <c r="W20" i="19"/>
  <c r="X20" i="19"/>
  <c r="Y20" i="19"/>
  <c r="Z20" i="19"/>
  <c r="AA20" i="19"/>
  <c r="S21" i="19"/>
  <c r="T21" i="19"/>
  <c r="U21" i="19"/>
  <c r="V21" i="19"/>
  <c r="W21" i="19"/>
  <c r="X21" i="19"/>
  <c r="Y21" i="19"/>
  <c r="Z21" i="19"/>
  <c r="AA21" i="19"/>
  <c r="S22" i="19"/>
  <c r="T22" i="19"/>
  <c r="U22" i="19"/>
  <c r="V22" i="19"/>
  <c r="W22" i="19"/>
  <c r="X22" i="19"/>
  <c r="Y22" i="19"/>
  <c r="Z22" i="19"/>
  <c r="AA22" i="19"/>
  <c r="S23" i="19"/>
  <c r="T23" i="19"/>
  <c r="U23" i="19"/>
  <c r="V23" i="19"/>
  <c r="W23" i="19"/>
  <c r="X23" i="19"/>
  <c r="Y23" i="19"/>
  <c r="Z23" i="19"/>
  <c r="AA23" i="19"/>
  <c r="S24" i="19"/>
  <c r="T24" i="19"/>
  <c r="U24" i="19"/>
  <c r="V24" i="19"/>
  <c r="W24" i="19"/>
  <c r="X24" i="19"/>
  <c r="Y24" i="19"/>
  <c r="Z24" i="19"/>
  <c r="AA24" i="19"/>
  <c r="S25" i="19"/>
  <c r="T25" i="19"/>
  <c r="U25" i="19"/>
  <c r="V25" i="19"/>
  <c r="W25" i="19"/>
  <c r="X25" i="19"/>
  <c r="Y25" i="19"/>
  <c r="Z25" i="19"/>
  <c r="AA25" i="19"/>
  <c r="S26" i="19"/>
  <c r="T26" i="19"/>
  <c r="U26" i="19"/>
  <c r="V26" i="19"/>
  <c r="W26" i="19"/>
  <c r="X26" i="19"/>
  <c r="Y26" i="19"/>
  <c r="Z26" i="19"/>
  <c r="AA26" i="19"/>
  <c r="S27" i="19"/>
  <c r="T27" i="19"/>
  <c r="U27" i="19"/>
  <c r="V27" i="19"/>
  <c r="W27" i="19"/>
  <c r="X27" i="19"/>
  <c r="Y27" i="19"/>
  <c r="Z27" i="19"/>
  <c r="AA27" i="19"/>
  <c r="S28" i="19"/>
  <c r="T28" i="19"/>
  <c r="U28" i="19"/>
  <c r="V28" i="19"/>
  <c r="W28" i="19"/>
  <c r="X28" i="19"/>
  <c r="Y28" i="19"/>
  <c r="Z28" i="19"/>
  <c r="AA28" i="19"/>
  <c r="S29" i="19"/>
  <c r="T29" i="19"/>
  <c r="U29" i="19"/>
  <c r="V29" i="19"/>
  <c r="W29" i="19"/>
  <c r="X29" i="19"/>
  <c r="Y29" i="19"/>
  <c r="Z29" i="19"/>
  <c r="AA29" i="19"/>
  <c r="S30" i="19"/>
  <c r="T30" i="19"/>
  <c r="U30" i="19"/>
  <c r="V30" i="19"/>
  <c r="W30" i="19"/>
  <c r="X30" i="19"/>
  <c r="Y30" i="19"/>
  <c r="Z30" i="19"/>
  <c r="AA30" i="19"/>
  <c r="S31" i="19"/>
  <c r="T31" i="19"/>
  <c r="U31" i="19"/>
  <c r="V31" i="19"/>
  <c r="W31" i="19"/>
  <c r="X31" i="19"/>
  <c r="Y31" i="19"/>
  <c r="Z31" i="19"/>
  <c r="AA31" i="19"/>
  <c r="S32" i="19"/>
  <c r="T32" i="19"/>
  <c r="U32" i="19"/>
  <c r="V32" i="19"/>
  <c r="W32" i="19"/>
  <c r="X32" i="19"/>
  <c r="Y32" i="19"/>
  <c r="Z32" i="19"/>
  <c r="AA32" i="19"/>
  <c r="S33" i="19"/>
  <c r="T33" i="19"/>
  <c r="U33" i="19"/>
  <c r="V33" i="19"/>
  <c r="W33" i="19"/>
  <c r="X33" i="19"/>
  <c r="Y33" i="19"/>
  <c r="Z33" i="19"/>
  <c r="AA33" i="19"/>
  <c r="S34" i="19"/>
  <c r="T34" i="19"/>
  <c r="U34" i="19"/>
  <c r="V34" i="19"/>
  <c r="W34" i="19"/>
  <c r="X34" i="19"/>
  <c r="Y34" i="19"/>
  <c r="Z34" i="19"/>
  <c r="AA34" i="19"/>
  <c r="S35" i="19"/>
  <c r="T35" i="19"/>
  <c r="U35" i="19"/>
  <c r="V35" i="19"/>
  <c r="W35" i="19"/>
  <c r="X35" i="19"/>
  <c r="Y35" i="19"/>
  <c r="Z35" i="19"/>
  <c r="AA35" i="19"/>
  <c r="S36" i="19"/>
  <c r="T36" i="19"/>
  <c r="U36" i="19"/>
  <c r="V36" i="19"/>
  <c r="W36" i="19"/>
  <c r="X36" i="19"/>
  <c r="Y36" i="19"/>
  <c r="Z36" i="19"/>
  <c r="AA36" i="19"/>
  <c r="S37" i="19"/>
  <c r="T37" i="19"/>
  <c r="U37" i="19"/>
  <c r="V37" i="19"/>
  <c r="W37" i="19"/>
  <c r="X37" i="19"/>
  <c r="Y37" i="19"/>
  <c r="Z37" i="19"/>
  <c r="AA37" i="19"/>
  <c r="S38" i="19"/>
  <c r="T38" i="19"/>
  <c r="U38" i="19"/>
  <c r="V38" i="19"/>
  <c r="W38" i="19"/>
  <c r="X38" i="19"/>
  <c r="Y38" i="19"/>
  <c r="Z38" i="19"/>
  <c r="AA38" i="19"/>
  <c r="S39" i="19"/>
  <c r="T39" i="19"/>
  <c r="U39" i="19"/>
  <c r="V39" i="19"/>
  <c r="W39" i="19"/>
  <c r="X39" i="19"/>
  <c r="Y39" i="19"/>
  <c r="Z39" i="19"/>
  <c r="AA39" i="19"/>
  <c r="S40" i="19"/>
  <c r="T40" i="19"/>
  <c r="U40" i="19"/>
  <c r="V40" i="19"/>
  <c r="W40" i="19"/>
  <c r="X40" i="19"/>
  <c r="Y40" i="19"/>
  <c r="Z40" i="19"/>
  <c r="AA40" i="19"/>
  <c r="Q41" i="19"/>
  <c r="Q42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3" i="19"/>
  <c r="Q18" i="19"/>
  <c r="Q17" i="19" s="1"/>
  <c r="Q16" i="19" s="1"/>
  <c r="Q15" i="19" s="1"/>
  <c r="Q14" i="19" s="1"/>
  <c r="Q13" i="19" s="1"/>
  <c r="Q12" i="19" s="1"/>
  <c r="Q11" i="19" s="1"/>
  <c r="Q10" i="19" s="1"/>
  <c r="Q9" i="19" s="1"/>
  <c r="Q8" i="19" s="1"/>
  <c r="Q7" i="19" s="1"/>
  <c r="Q6" i="19" s="1"/>
  <c r="Q5" i="19" s="1"/>
  <c r="Q4" i="19" s="1"/>
  <c r="P43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" i="19"/>
  <c r="B85" i="16" a="1"/>
  <c r="B85" i="16" s="1"/>
  <c r="C85" i="16" a="1"/>
  <c r="C85" i="16" s="1"/>
  <c r="D85" i="16" a="1"/>
  <c r="D85" i="16" s="1"/>
  <c r="E85" i="16" a="1"/>
  <c r="E85" i="16" s="1"/>
  <c r="F85" i="16" a="1"/>
  <c r="F85" i="16" s="1"/>
  <c r="G85" i="16" a="1"/>
  <c r="G85" i="16" s="1"/>
  <c r="H85" i="16" a="1"/>
  <c r="H85" i="16" s="1"/>
  <c r="I85" i="16" a="1"/>
  <c r="I85" i="16" s="1"/>
  <c r="J85" i="16" a="1"/>
  <c r="J85" i="16" s="1"/>
  <c r="K85" i="16" a="1"/>
  <c r="K85" i="16" s="1"/>
  <c r="L85" i="16" a="1"/>
  <c r="L85" i="16" s="1"/>
  <c r="M85" i="16" a="1"/>
  <c r="M85" i="16"/>
  <c r="N85" i="16" a="1"/>
  <c r="N85" i="16" s="1"/>
  <c r="O85" i="16" a="1"/>
  <c r="O85" i="16" s="1"/>
  <c r="P85" i="16" a="1"/>
  <c r="P85" i="16" s="1"/>
  <c r="Q85" i="16" a="1"/>
  <c r="Q85" i="16" s="1"/>
  <c r="R85" i="16" a="1"/>
  <c r="R85" i="16" s="1"/>
  <c r="B86" i="16" a="1"/>
  <c r="B86" i="16" s="1"/>
  <c r="C86" i="16" a="1"/>
  <c r="C86" i="16" s="1"/>
  <c r="D86" i="16" a="1"/>
  <c r="D86" i="16"/>
  <c r="E86" i="16" a="1"/>
  <c r="E86" i="16" s="1"/>
  <c r="F86" i="16" a="1"/>
  <c r="F86" i="16" s="1"/>
  <c r="G86" i="16" a="1"/>
  <c r="G86" i="16" s="1"/>
  <c r="H86" i="16" a="1"/>
  <c r="H86" i="16" s="1"/>
  <c r="I86" i="16" a="1"/>
  <c r="I86" i="16" s="1"/>
  <c r="J86" i="16" a="1"/>
  <c r="J86" i="16" s="1"/>
  <c r="K86" i="16" a="1"/>
  <c r="K86" i="16" s="1"/>
  <c r="L86" i="16" a="1"/>
  <c r="L86" i="16"/>
  <c r="M86" i="16" a="1"/>
  <c r="M86" i="16" s="1"/>
  <c r="N86" i="16" a="1"/>
  <c r="N86" i="16" s="1"/>
  <c r="O86" i="16" a="1"/>
  <c r="O86" i="16" s="1"/>
  <c r="P86" i="16" a="1"/>
  <c r="P86" i="16" s="1"/>
  <c r="Q86" i="16" a="1"/>
  <c r="Q86" i="16" s="1"/>
  <c r="R86" i="16" a="1"/>
  <c r="R86" i="16" s="1"/>
  <c r="B87" i="16" a="1"/>
  <c r="B87" i="16" s="1"/>
  <c r="C87" i="16" a="1"/>
  <c r="C87" i="16" s="1"/>
  <c r="D87" i="16" a="1"/>
  <c r="D87" i="16" s="1"/>
  <c r="E87" i="16" a="1"/>
  <c r="E87" i="16" s="1"/>
  <c r="F87" i="16" a="1"/>
  <c r="F87" i="16" s="1"/>
  <c r="G87" i="16" a="1"/>
  <c r="G87" i="16"/>
  <c r="H87" i="16" a="1"/>
  <c r="H87" i="16" s="1"/>
  <c r="I87" i="16" a="1"/>
  <c r="I87" i="16" s="1"/>
  <c r="J87" i="16" a="1"/>
  <c r="J87" i="16" s="1"/>
  <c r="K87" i="16" a="1"/>
  <c r="K87" i="16"/>
  <c r="L87" i="16" a="1"/>
  <c r="L87" i="16" s="1"/>
  <c r="M87" i="16" a="1"/>
  <c r="M87" i="16" s="1"/>
  <c r="N87" i="16" a="1"/>
  <c r="N87" i="16" s="1"/>
  <c r="O87" i="16" a="1"/>
  <c r="O87" i="16"/>
  <c r="P87" i="16" a="1"/>
  <c r="P87" i="16" s="1"/>
  <c r="Q87" i="16" a="1"/>
  <c r="Q87" i="16" s="1"/>
  <c r="R87" i="16" a="1"/>
  <c r="R87" i="16" s="1"/>
  <c r="B88" i="16" a="1"/>
  <c r="B88" i="16" s="1"/>
  <c r="C88" i="16" a="1"/>
  <c r="C88" i="16" s="1"/>
  <c r="D88" i="16" a="1"/>
  <c r="D88" i="16" s="1"/>
  <c r="E88" i="16" a="1"/>
  <c r="E88" i="16" s="1"/>
  <c r="F88" i="16" a="1"/>
  <c r="F88" i="16" s="1"/>
  <c r="G88" i="16" a="1"/>
  <c r="G88" i="16" s="1"/>
  <c r="H88" i="16" a="1"/>
  <c r="H88" i="16" s="1"/>
  <c r="I88" i="16" a="1"/>
  <c r="I88" i="16" s="1"/>
  <c r="J88" i="16" a="1"/>
  <c r="J88" i="16"/>
  <c r="K88" i="16" a="1"/>
  <c r="K88" i="16" s="1"/>
  <c r="L88" i="16" a="1"/>
  <c r="L88" i="16" s="1"/>
  <c r="M88" i="16" a="1"/>
  <c r="M88" i="16" s="1"/>
  <c r="N88" i="16" a="1"/>
  <c r="N88" i="16" s="1"/>
  <c r="O88" i="16" a="1"/>
  <c r="O88" i="16" s="1"/>
  <c r="P88" i="16" a="1"/>
  <c r="P88" i="16" s="1"/>
  <c r="Q88" i="16" a="1"/>
  <c r="Q88" i="16" s="1"/>
  <c r="R88" i="16" a="1"/>
  <c r="R88" i="16"/>
  <c r="B89" i="16" a="1"/>
  <c r="B89" i="16" s="1"/>
  <c r="C89" i="16" a="1"/>
  <c r="C89" i="16" s="1"/>
  <c r="D89" i="16" a="1"/>
  <c r="D89" i="16" s="1"/>
  <c r="E89" i="16" a="1"/>
  <c r="E89" i="16"/>
  <c r="F89" i="16" a="1"/>
  <c r="F89" i="16" s="1"/>
  <c r="G89" i="16" a="1"/>
  <c r="G89" i="16" s="1"/>
  <c r="H89" i="16" a="1"/>
  <c r="H89" i="16" s="1"/>
  <c r="I89" i="16" a="1"/>
  <c r="I89" i="16" s="1"/>
  <c r="J89" i="16" a="1"/>
  <c r="J89" i="16" s="1"/>
  <c r="K89" i="16" a="1"/>
  <c r="K89" i="16" s="1"/>
  <c r="L89" i="16" a="1"/>
  <c r="L89" i="16" s="1"/>
  <c r="M89" i="16" a="1"/>
  <c r="M89" i="16" s="1"/>
  <c r="N89" i="16" a="1"/>
  <c r="N89" i="16" s="1"/>
  <c r="O89" i="16" a="1"/>
  <c r="O89" i="16" s="1"/>
  <c r="P89" i="16" a="1"/>
  <c r="P89" i="16" s="1"/>
  <c r="Q89" i="16" a="1"/>
  <c r="Q89" i="16" s="1"/>
  <c r="R89" i="16" a="1"/>
  <c r="R89" i="16" s="1"/>
  <c r="B90" i="16" a="1"/>
  <c r="B90" i="16" s="1"/>
  <c r="C90" i="16" a="1"/>
  <c r="C90" i="16" s="1"/>
  <c r="D90" i="16" a="1"/>
  <c r="D90" i="16"/>
  <c r="E90" i="16" a="1"/>
  <c r="E90" i="16" s="1"/>
  <c r="F90" i="16" a="1"/>
  <c r="F90" i="16" s="1"/>
  <c r="G90" i="16" a="1"/>
  <c r="G90" i="16" s="1"/>
  <c r="H90" i="16" a="1"/>
  <c r="H90" i="16" s="1"/>
  <c r="I90" i="16" a="1"/>
  <c r="I90" i="16" s="1"/>
  <c r="J90" i="16" a="1"/>
  <c r="J90" i="16" s="1"/>
  <c r="K90" i="16" a="1"/>
  <c r="K90" i="16" s="1"/>
  <c r="L90" i="16" a="1"/>
  <c r="L90" i="16" s="1"/>
  <c r="M90" i="16" a="1"/>
  <c r="M90" i="16" s="1"/>
  <c r="N90" i="16" a="1"/>
  <c r="N90" i="16" s="1"/>
  <c r="O90" i="16" a="1"/>
  <c r="O90" i="16" s="1"/>
  <c r="P90" i="16" a="1"/>
  <c r="P90" i="16"/>
  <c r="Q90" i="16" a="1"/>
  <c r="Q90" i="16" s="1"/>
  <c r="R90" i="16" a="1"/>
  <c r="R90" i="16" s="1"/>
  <c r="B91" i="16" a="1"/>
  <c r="B91" i="16" s="1"/>
  <c r="C91" i="16" a="1"/>
  <c r="C91" i="16"/>
  <c r="D91" i="16" a="1"/>
  <c r="D91" i="16" s="1"/>
  <c r="E91" i="16" a="1"/>
  <c r="E91" i="16" s="1"/>
  <c r="F91" i="16" a="1"/>
  <c r="F91" i="16" s="1"/>
  <c r="G91" i="16" a="1"/>
  <c r="G91" i="16" s="1"/>
  <c r="H91" i="16" a="1"/>
  <c r="H91" i="16" s="1"/>
  <c r="I91" i="16" a="1"/>
  <c r="I91" i="16" s="1"/>
  <c r="J91" i="16" a="1"/>
  <c r="J91" i="16" s="1"/>
  <c r="K91" i="16" a="1"/>
  <c r="K91" i="16" s="1"/>
  <c r="L91" i="16" a="1"/>
  <c r="L91" i="16" s="1"/>
  <c r="M91" i="16" a="1"/>
  <c r="M91" i="16" s="1"/>
  <c r="N91" i="16" a="1"/>
  <c r="N91" i="16" s="1"/>
  <c r="O91" i="16" a="1"/>
  <c r="O91" i="16" s="1"/>
  <c r="P91" i="16" a="1"/>
  <c r="P91" i="16" s="1"/>
  <c r="Q91" i="16" a="1"/>
  <c r="Q91" i="16" s="1"/>
  <c r="R91" i="16" a="1"/>
  <c r="R91" i="16" s="1"/>
  <c r="B92" i="16" a="1"/>
  <c r="B92" i="16"/>
  <c r="C92" i="16" a="1"/>
  <c r="C92" i="16" s="1"/>
  <c r="D92" i="16" a="1"/>
  <c r="D92" i="16" s="1"/>
  <c r="E92" i="16" a="1"/>
  <c r="E92" i="16" s="1"/>
  <c r="F92" i="16" a="1"/>
  <c r="F92" i="16" s="1"/>
  <c r="G92" i="16" a="1"/>
  <c r="G92" i="16" s="1"/>
  <c r="H92" i="16" a="1"/>
  <c r="H92" i="16" s="1"/>
  <c r="I92" i="16" a="1"/>
  <c r="I92" i="16" s="1"/>
  <c r="J92" i="16" a="1"/>
  <c r="J92" i="16" s="1"/>
  <c r="K92" i="16" a="1"/>
  <c r="K92" i="16" s="1"/>
  <c r="L92" i="16" a="1"/>
  <c r="L92" i="16" s="1"/>
  <c r="M92" i="16" a="1"/>
  <c r="M92" i="16" s="1"/>
  <c r="N92" i="16" a="1"/>
  <c r="N92" i="16"/>
  <c r="O92" i="16" a="1"/>
  <c r="O92" i="16" s="1"/>
  <c r="P92" i="16" a="1"/>
  <c r="P92" i="16" s="1"/>
  <c r="Q92" i="16" a="1"/>
  <c r="Q92" i="16" s="1"/>
  <c r="R92" i="16" a="1"/>
  <c r="R92" i="16"/>
  <c r="B93" i="16" a="1"/>
  <c r="B93" i="16" s="1"/>
  <c r="C93" i="16" a="1"/>
  <c r="C93" i="16" s="1"/>
  <c r="D93" i="16" a="1"/>
  <c r="D93" i="16" s="1"/>
  <c r="E93" i="16" a="1"/>
  <c r="E93" i="16" s="1"/>
  <c r="F93" i="16" a="1"/>
  <c r="F93" i="16" s="1"/>
  <c r="G93" i="16" a="1"/>
  <c r="G93" i="16" s="1"/>
  <c r="H93" i="16" a="1"/>
  <c r="H93" i="16" s="1"/>
  <c r="I93" i="16" a="1"/>
  <c r="I93" i="16" s="1"/>
  <c r="J93" i="16" a="1"/>
  <c r="J93" i="16" s="1"/>
  <c r="K93" i="16" a="1"/>
  <c r="K93" i="16" s="1"/>
  <c r="L93" i="16" a="1"/>
  <c r="L93" i="16" s="1"/>
  <c r="M93" i="16" a="1"/>
  <c r="M93" i="16" s="1"/>
  <c r="N93" i="16" a="1"/>
  <c r="N93" i="16" s="1"/>
  <c r="O93" i="16" a="1"/>
  <c r="O93" i="16" s="1"/>
  <c r="P93" i="16" a="1"/>
  <c r="P93" i="16" s="1"/>
  <c r="Q93" i="16" a="1"/>
  <c r="Q93" i="16"/>
  <c r="R93" i="16" a="1"/>
  <c r="R93" i="16" s="1"/>
  <c r="B94" i="16" a="1"/>
  <c r="B94" i="16" s="1"/>
  <c r="C94" i="16" a="1"/>
  <c r="C94" i="16" s="1"/>
  <c r="D94" i="16" a="1"/>
  <c r="D94" i="16" s="1"/>
  <c r="E94" i="16" a="1"/>
  <c r="E94" i="16" s="1"/>
  <c r="F94" i="16" a="1"/>
  <c r="F94" i="16" s="1"/>
  <c r="G94" i="16" a="1"/>
  <c r="G94" i="16" s="1"/>
  <c r="H94" i="16" a="1"/>
  <c r="H94" i="16" s="1"/>
  <c r="I94" i="16" a="1"/>
  <c r="I94" i="16" s="1"/>
  <c r="J94" i="16" a="1"/>
  <c r="J94" i="16" s="1"/>
  <c r="K94" i="16" a="1"/>
  <c r="K94" i="16" s="1"/>
  <c r="L94" i="16" a="1"/>
  <c r="L94" i="16"/>
  <c r="M94" i="16" a="1"/>
  <c r="M94" i="16" s="1"/>
  <c r="N94" i="16" a="1"/>
  <c r="N94" i="16" s="1"/>
  <c r="O94" i="16" a="1"/>
  <c r="O94" i="16" s="1"/>
  <c r="P94" i="16" a="1"/>
  <c r="P94" i="16"/>
  <c r="Q94" i="16" a="1"/>
  <c r="Q94" i="16" s="1"/>
  <c r="R94" i="16" a="1"/>
  <c r="R94" i="16" s="1"/>
  <c r="A85" i="16"/>
  <c r="A86" i="16" s="1"/>
  <c r="A87" i="16" s="1"/>
  <c r="A88" i="16" s="1"/>
  <c r="A89" i="16" s="1"/>
  <c r="A90" i="16" s="1"/>
  <c r="A91" i="16" s="1"/>
  <c r="A92" i="16" s="1"/>
  <c r="A93" i="16" s="1"/>
  <c r="A94" i="16" s="1"/>
  <c r="B8" i="16" a="1"/>
  <c r="B8" i="16" s="1"/>
  <c r="C8" i="16" a="1"/>
  <c r="C8" i="16" s="1"/>
  <c r="D8" i="16" a="1"/>
  <c r="D8" i="16" s="1"/>
  <c r="E8" i="16" a="1"/>
  <c r="E8" i="16" s="1"/>
  <c r="F8" i="16" a="1"/>
  <c r="F8" i="16" s="1"/>
  <c r="G8" i="16" a="1"/>
  <c r="G8" i="16" s="1"/>
  <c r="H8" i="16" a="1"/>
  <c r="H8" i="16" s="1"/>
  <c r="I8" i="16" a="1"/>
  <c r="I8" i="16" s="1"/>
  <c r="J8" i="16" a="1"/>
  <c r="J8" i="16" s="1"/>
  <c r="K8" i="16" a="1"/>
  <c r="K8" i="16" s="1"/>
  <c r="L8" i="16" a="1"/>
  <c r="L8" i="16" s="1"/>
  <c r="M8" i="16" a="1"/>
  <c r="M8" i="16" s="1"/>
  <c r="N8" i="16" a="1"/>
  <c r="N8" i="16" s="1"/>
  <c r="O8" i="16" a="1"/>
  <c r="O8" i="16" s="1"/>
  <c r="P8" i="16" a="1"/>
  <c r="P8" i="16" s="1"/>
  <c r="Q8" i="16" a="1"/>
  <c r="Q8" i="16" s="1"/>
  <c r="R8" i="16" a="1"/>
  <c r="R8" i="16" s="1"/>
  <c r="B9" i="16" a="1"/>
  <c r="B9" i="16" s="1"/>
  <c r="C9" i="16" a="1"/>
  <c r="C9" i="16" s="1"/>
  <c r="D9" i="16" a="1"/>
  <c r="D9" i="16" s="1"/>
  <c r="E9" i="16" a="1"/>
  <c r="E9" i="16" s="1"/>
  <c r="F9" i="16" a="1"/>
  <c r="F9" i="16" s="1"/>
  <c r="G9" i="16" a="1"/>
  <c r="G9" i="16" s="1"/>
  <c r="H9" i="16" a="1"/>
  <c r="H9" i="16" s="1"/>
  <c r="I9" i="16" a="1"/>
  <c r="I9" i="16" s="1"/>
  <c r="J9" i="16" a="1"/>
  <c r="J9" i="16" s="1"/>
  <c r="K9" i="16" a="1"/>
  <c r="K9" i="16" s="1"/>
  <c r="L9" i="16" a="1"/>
  <c r="L9" i="16" s="1"/>
  <c r="M9" i="16" a="1"/>
  <c r="M9" i="16" s="1"/>
  <c r="N9" i="16" a="1"/>
  <c r="N9" i="16"/>
  <c r="O9" i="16" a="1"/>
  <c r="O9" i="16" s="1"/>
  <c r="P9" i="16" a="1"/>
  <c r="P9" i="16" s="1"/>
  <c r="Q9" i="16" a="1"/>
  <c r="Q9" i="16" s="1"/>
  <c r="R9" i="16" a="1"/>
  <c r="R9" i="16" s="1"/>
  <c r="B10" i="16" a="1"/>
  <c r="B10" i="16" s="1"/>
  <c r="C10" i="16" a="1"/>
  <c r="C10" i="16" s="1"/>
  <c r="D10" i="16" a="1"/>
  <c r="D10" i="16" s="1"/>
  <c r="E10" i="16" a="1"/>
  <c r="E10" i="16" s="1"/>
  <c r="F10" i="16" a="1"/>
  <c r="F10" i="16" s="1"/>
  <c r="G10" i="16" a="1"/>
  <c r="G10" i="16" s="1"/>
  <c r="H10" i="16" a="1"/>
  <c r="H10" i="16" s="1"/>
  <c r="I10" i="16" a="1"/>
  <c r="I10" i="16" s="1"/>
  <c r="J10" i="16" a="1"/>
  <c r="J10" i="16" s="1"/>
  <c r="K10" i="16" a="1"/>
  <c r="K10" i="16" s="1"/>
  <c r="L10" i="16" a="1"/>
  <c r="L10" i="16" s="1"/>
  <c r="M10" i="16" a="1"/>
  <c r="M10" i="16" s="1"/>
  <c r="N10" i="16" a="1"/>
  <c r="N10" i="16" s="1"/>
  <c r="O10" i="16" a="1"/>
  <c r="O10" i="16" s="1"/>
  <c r="P10" i="16" a="1"/>
  <c r="P10" i="16" s="1"/>
  <c r="Q10" i="16" a="1"/>
  <c r="Q10" i="16" s="1"/>
  <c r="R10" i="16" a="1"/>
  <c r="R10" i="16" s="1"/>
  <c r="B11" i="16" a="1"/>
  <c r="B11" i="16" s="1"/>
  <c r="C11" i="16" a="1"/>
  <c r="C11" i="16" s="1"/>
  <c r="D11" i="16" a="1"/>
  <c r="D11" i="16" s="1"/>
  <c r="E11" i="16" a="1"/>
  <c r="E11" i="16" s="1"/>
  <c r="F11" i="16" a="1"/>
  <c r="F11" i="16" s="1"/>
  <c r="G11" i="16" a="1"/>
  <c r="G11" i="16" s="1"/>
  <c r="H11" i="16" a="1"/>
  <c r="H11" i="16" s="1"/>
  <c r="I11" i="16" a="1"/>
  <c r="I11" i="16" s="1"/>
  <c r="J11" i="16" a="1"/>
  <c r="J11" i="16" s="1"/>
  <c r="K11" i="16" a="1"/>
  <c r="K11" i="16" s="1"/>
  <c r="L11" i="16" a="1"/>
  <c r="L11" i="16" s="1"/>
  <c r="M11" i="16" a="1"/>
  <c r="M11" i="16" s="1"/>
  <c r="N11" i="16" a="1"/>
  <c r="N11" i="16" s="1"/>
  <c r="O11" i="16" a="1"/>
  <c r="O11" i="16" s="1"/>
  <c r="P11" i="16" a="1"/>
  <c r="P11" i="16"/>
  <c r="Q11" i="16" a="1"/>
  <c r="Q11" i="16" s="1"/>
  <c r="R11" i="16" a="1"/>
  <c r="R11" i="16" s="1"/>
  <c r="B12" i="16" a="1"/>
  <c r="B12" i="16" s="1"/>
  <c r="C12" i="16" a="1"/>
  <c r="C12" i="16" s="1"/>
  <c r="D12" i="16" a="1"/>
  <c r="D12" i="16" s="1"/>
  <c r="E12" i="16" a="1"/>
  <c r="E12" i="16" s="1"/>
  <c r="F12" i="16" a="1"/>
  <c r="F12" i="16" s="1"/>
  <c r="G12" i="16" a="1"/>
  <c r="G12" i="16" s="1"/>
  <c r="H12" i="16" a="1"/>
  <c r="H12" i="16" s="1"/>
  <c r="I12" i="16" a="1"/>
  <c r="I12" i="16" s="1"/>
  <c r="J12" i="16" a="1"/>
  <c r="J12" i="16" s="1"/>
  <c r="K12" i="16" a="1"/>
  <c r="K12" i="16" s="1"/>
  <c r="L12" i="16" a="1"/>
  <c r="L12" i="16" s="1"/>
  <c r="M12" i="16" a="1"/>
  <c r="M12" i="16"/>
  <c r="N12" i="16" a="1"/>
  <c r="N12" i="16" s="1"/>
  <c r="O12" i="16" a="1"/>
  <c r="O12" i="16"/>
  <c r="P12" i="16" a="1"/>
  <c r="P12" i="16" s="1"/>
  <c r="Q12" i="16" a="1"/>
  <c r="Q12" i="16" s="1"/>
  <c r="R12" i="16" a="1"/>
  <c r="R12" i="16" s="1"/>
  <c r="B13" i="16" a="1"/>
  <c r="B13" i="16" s="1"/>
  <c r="C13" i="16" a="1"/>
  <c r="C13" i="16" s="1"/>
  <c r="D13" i="16" a="1"/>
  <c r="D13" i="16" s="1"/>
  <c r="E13" i="16" a="1"/>
  <c r="E13" i="16" s="1"/>
  <c r="F13" i="16" a="1"/>
  <c r="F13" i="16" s="1"/>
  <c r="G13" i="16" a="1"/>
  <c r="G13" i="16" s="1"/>
  <c r="H13" i="16" a="1"/>
  <c r="H13" i="16" s="1"/>
  <c r="I13" i="16" a="1"/>
  <c r="I13" i="16" s="1"/>
  <c r="J13" i="16" a="1"/>
  <c r="J13" i="16"/>
  <c r="K13" i="16" a="1"/>
  <c r="K13" i="16" s="1"/>
  <c r="L13" i="16" a="1"/>
  <c r="L13" i="16"/>
  <c r="M13" i="16" a="1"/>
  <c r="M13" i="16" s="1"/>
  <c r="N13" i="16" a="1"/>
  <c r="N13" i="16"/>
  <c r="O13" i="16" a="1"/>
  <c r="O13" i="16" s="1"/>
  <c r="P13" i="16" a="1"/>
  <c r="P13" i="16" s="1"/>
  <c r="Q13" i="16" a="1"/>
  <c r="Q13" i="16" s="1"/>
  <c r="R13" i="16" a="1"/>
  <c r="R13" i="16" s="1"/>
  <c r="B14" i="16" a="1"/>
  <c r="B14" i="16" s="1"/>
  <c r="C14" i="16" a="1"/>
  <c r="C14" i="16" s="1"/>
  <c r="D14" i="16" a="1"/>
  <c r="D14" i="16" s="1"/>
  <c r="E14" i="16" a="1"/>
  <c r="E14" i="16" s="1"/>
  <c r="F14" i="16" a="1"/>
  <c r="F14" i="16" s="1"/>
  <c r="G14" i="16" a="1"/>
  <c r="G14" i="16"/>
  <c r="H14" i="16" a="1"/>
  <c r="H14" i="16" s="1"/>
  <c r="I14" i="16" a="1"/>
  <c r="I14" i="16"/>
  <c r="J14" i="16" a="1"/>
  <c r="J14" i="16" s="1"/>
  <c r="K14" i="16" a="1"/>
  <c r="K14" i="16" s="1"/>
  <c r="L14" i="16" a="1"/>
  <c r="L14" i="16" s="1"/>
  <c r="M14" i="16" a="1"/>
  <c r="M14" i="16" s="1"/>
  <c r="N14" i="16" a="1"/>
  <c r="N14" i="16" s="1"/>
  <c r="O14" i="16" a="1"/>
  <c r="O14" i="16" s="1"/>
  <c r="P14" i="16" a="1"/>
  <c r="P14" i="16" s="1"/>
  <c r="Q14" i="16" a="1"/>
  <c r="Q14" i="16" s="1"/>
  <c r="R14" i="16" a="1"/>
  <c r="R14" i="16" s="1"/>
  <c r="B15" i="16" a="1"/>
  <c r="B15" i="16" s="1"/>
  <c r="C15" i="16" a="1"/>
  <c r="C15" i="16" s="1"/>
  <c r="D15" i="16" a="1"/>
  <c r="D15" i="16" s="1"/>
  <c r="E15" i="16" a="1"/>
  <c r="E15" i="16" s="1"/>
  <c r="F15" i="16" a="1"/>
  <c r="F15" i="16" s="1"/>
  <c r="G15" i="16" a="1"/>
  <c r="G15" i="16" s="1"/>
  <c r="H15" i="16" a="1"/>
  <c r="H15" i="16" s="1"/>
  <c r="I15" i="16" a="1"/>
  <c r="I15" i="16" s="1"/>
  <c r="J15" i="16" a="1"/>
  <c r="J15" i="16" s="1"/>
  <c r="K15" i="16" a="1"/>
  <c r="K15" i="16" s="1"/>
  <c r="L15" i="16" a="1"/>
  <c r="L15" i="16" s="1"/>
  <c r="M15" i="16" a="1"/>
  <c r="M15" i="16" s="1"/>
  <c r="N15" i="16" a="1"/>
  <c r="N15" i="16" s="1"/>
  <c r="O15" i="16" a="1"/>
  <c r="O15" i="16" s="1"/>
  <c r="P15" i="16" a="1"/>
  <c r="P15" i="16" s="1"/>
  <c r="Q15" i="16" a="1"/>
  <c r="Q15" i="16" s="1"/>
  <c r="R15" i="16" a="1"/>
  <c r="R15" i="16" s="1"/>
  <c r="B16" i="16" a="1"/>
  <c r="B16" i="16" s="1"/>
  <c r="C16" i="16" a="1"/>
  <c r="C16" i="16" s="1"/>
  <c r="D16" i="16" a="1"/>
  <c r="D16" i="16" s="1"/>
  <c r="E16" i="16" a="1"/>
  <c r="E16" i="16" s="1"/>
  <c r="F16" i="16" a="1"/>
  <c r="F16" i="16" s="1"/>
  <c r="G16" i="16" a="1"/>
  <c r="G16" i="16" s="1"/>
  <c r="H16" i="16" a="1"/>
  <c r="H16" i="16" s="1"/>
  <c r="I16" i="16" a="1"/>
  <c r="I16" i="16" s="1"/>
  <c r="J16" i="16" a="1"/>
  <c r="J16" i="16" s="1"/>
  <c r="K16" i="16" a="1"/>
  <c r="K16" i="16"/>
  <c r="L16" i="16" a="1"/>
  <c r="L16" i="16" s="1"/>
  <c r="M16" i="16" a="1"/>
  <c r="M16" i="16" s="1"/>
  <c r="N16" i="16" a="1"/>
  <c r="N16" i="16" s="1"/>
  <c r="O16" i="16" a="1"/>
  <c r="O16" i="16" s="1"/>
  <c r="P16" i="16" a="1"/>
  <c r="P16" i="16" s="1"/>
  <c r="Q16" i="16" a="1"/>
  <c r="Q16" i="16" s="1"/>
  <c r="R16" i="16" a="1"/>
  <c r="R16" i="16" s="1"/>
  <c r="B17" i="16" a="1"/>
  <c r="B17" i="16" s="1"/>
  <c r="C17" i="16" a="1"/>
  <c r="C17" i="16" s="1"/>
  <c r="D17" i="16" a="1"/>
  <c r="D17" i="16" s="1"/>
  <c r="E17" i="16" a="1"/>
  <c r="E17" i="16" s="1"/>
  <c r="F17" i="16" a="1"/>
  <c r="F17" i="16" s="1"/>
  <c r="G17" i="16" a="1"/>
  <c r="G17" i="16" s="1"/>
  <c r="H17" i="16" a="1"/>
  <c r="H17" i="16"/>
  <c r="I17" i="16" a="1"/>
  <c r="I17" i="16" s="1"/>
  <c r="J17" i="16" a="1"/>
  <c r="J17" i="16"/>
  <c r="K17" i="16" a="1"/>
  <c r="K17" i="16" s="1"/>
  <c r="L17" i="16" a="1"/>
  <c r="L17" i="16" s="1"/>
  <c r="M17" i="16" a="1"/>
  <c r="M17" i="16" s="1"/>
  <c r="N17" i="16" a="1"/>
  <c r="N17" i="16" s="1"/>
  <c r="O17" i="16" a="1"/>
  <c r="O17" i="16" s="1"/>
  <c r="P17" i="16" a="1"/>
  <c r="P17" i="16" s="1"/>
  <c r="Q17" i="16" a="1"/>
  <c r="Q17" i="16" s="1"/>
  <c r="R17" i="16" a="1"/>
  <c r="R17" i="16" s="1"/>
  <c r="B18" i="16" a="1"/>
  <c r="B18" i="16" s="1"/>
  <c r="C18" i="16" a="1"/>
  <c r="C18" i="16" s="1"/>
  <c r="D18" i="16" a="1"/>
  <c r="D18" i="16" s="1"/>
  <c r="E18" i="16" a="1"/>
  <c r="E18" i="16"/>
  <c r="F18" i="16" a="1"/>
  <c r="F18" i="16" s="1"/>
  <c r="G18" i="16" a="1"/>
  <c r="G18" i="16"/>
  <c r="H18" i="16" a="1"/>
  <c r="H18" i="16" s="1"/>
  <c r="I18" i="16" a="1"/>
  <c r="I18" i="16"/>
  <c r="J18" i="16" a="1"/>
  <c r="J18" i="16" s="1"/>
  <c r="K18" i="16" a="1"/>
  <c r="K18" i="16" s="1"/>
  <c r="L18" i="16" a="1"/>
  <c r="L18" i="16" s="1"/>
  <c r="M18" i="16" a="1"/>
  <c r="M18" i="16" s="1"/>
  <c r="N18" i="16" a="1"/>
  <c r="N18" i="16" s="1"/>
  <c r="O18" i="16" a="1"/>
  <c r="O18" i="16" s="1"/>
  <c r="P18" i="16" a="1"/>
  <c r="P18" i="16" s="1"/>
  <c r="Q18" i="16" a="1"/>
  <c r="Q18" i="16" s="1"/>
  <c r="R18" i="16" a="1"/>
  <c r="R18" i="16" s="1"/>
  <c r="B19" i="16" a="1"/>
  <c r="B19" i="16" s="1"/>
  <c r="C19" i="16" a="1"/>
  <c r="C19" i="16" s="1"/>
  <c r="D19" i="16" a="1"/>
  <c r="D19" i="16" s="1"/>
  <c r="E19" i="16" a="1"/>
  <c r="E19" i="16" s="1"/>
  <c r="F19" i="16" a="1"/>
  <c r="F19" i="16" s="1"/>
  <c r="G19" i="16" a="1"/>
  <c r="G19" i="16" s="1"/>
  <c r="H19" i="16" a="1"/>
  <c r="H19" i="16"/>
  <c r="I19" i="16" a="1"/>
  <c r="I19" i="16" s="1"/>
  <c r="J19" i="16" a="1"/>
  <c r="J19" i="16" s="1"/>
  <c r="K19" i="16" a="1"/>
  <c r="K19" i="16" s="1"/>
  <c r="L19" i="16" a="1"/>
  <c r="L19" i="16" s="1"/>
  <c r="M19" i="16" a="1"/>
  <c r="M19" i="16" s="1"/>
  <c r="N19" i="16" a="1"/>
  <c r="N19" i="16" s="1"/>
  <c r="O19" i="16" a="1"/>
  <c r="O19" i="16" s="1"/>
  <c r="P19" i="16" a="1"/>
  <c r="P19" i="16" s="1"/>
  <c r="Q19" i="16" a="1"/>
  <c r="Q19" i="16" s="1"/>
  <c r="R19" i="16" a="1"/>
  <c r="R19" i="16" s="1"/>
  <c r="B20" i="16" a="1"/>
  <c r="B20" i="16" s="1"/>
  <c r="C20" i="16" a="1"/>
  <c r="C20" i="16" s="1"/>
  <c r="D20" i="16" a="1"/>
  <c r="D20" i="16" s="1"/>
  <c r="E20" i="16" a="1"/>
  <c r="E20" i="16" s="1"/>
  <c r="F20" i="16" a="1"/>
  <c r="F20" i="16" s="1"/>
  <c r="G20" i="16" a="1"/>
  <c r="G20" i="16" s="1"/>
  <c r="H20" i="16" a="1"/>
  <c r="H20" i="16" s="1"/>
  <c r="I20" i="16" a="1"/>
  <c r="I20" i="16" s="1"/>
  <c r="J20" i="16" a="1"/>
  <c r="J20" i="16" s="1"/>
  <c r="K20" i="16" a="1"/>
  <c r="K20" i="16" s="1"/>
  <c r="L20" i="16" a="1"/>
  <c r="L20" i="16" s="1"/>
  <c r="M20" i="16" a="1"/>
  <c r="M20" i="16" s="1"/>
  <c r="N20" i="16" a="1"/>
  <c r="N20" i="16" s="1"/>
  <c r="O20" i="16" a="1"/>
  <c r="O20" i="16" s="1"/>
  <c r="P20" i="16" a="1"/>
  <c r="P20" i="16" s="1"/>
  <c r="Q20" i="16" a="1"/>
  <c r="Q20" i="16" s="1"/>
  <c r="R20" i="16" a="1"/>
  <c r="R20" i="16" s="1"/>
  <c r="B21" i="16" a="1"/>
  <c r="B21" i="16" s="1"/>
  <c r="C21" i="16" a="1"/>
  <c r="C21" i="16" s="1"/>
  <c r="D21" i="16" a="1"/>
  <c r="D21" i="16" s="1"/>
  <c r="E21" i="16" a="1"/>
  <c r="E21" i="16" s="1"/>
  <c r="F21" i="16" a="1"/>
  <c r="F21" i="16" s="1"/>
  <c r="G21" i="16" a="1"/>
  <c r="G21" i="16" s="1"/>
  <c r="H21" i="16" a="1"/>
  <c r="H21" i="16"/>
  <c r="I21" i="16" a="1"/>
  <c r="I21" i="16" s="1"/>
  <c r="J21" i="16" a="1"/>
  <c r="J21" i="16" s="1"/>
  <c r="K21" i="16" a="1"/>
  <c r="K21" i="16" s="1"/>
  <c r="L21" i="16" a="1"/>
  <c r="L21" i="16" s="1"/>
  <c r="M21" i="16" a="1"/>
  <c r="M21" i="16" s="1"/>
  <c r="N21" i="16" a="1"/>
  <c r="N21" i="16" s="1"/>
  <c r="O21" i="16" a="1"/>
  <c r="O21" i="16" s="1"/>
  <c r="P21" i="16" a="1"/>
  <c r="P21" i="16" s="1"/>
  <c r="Q21" i="16" a="1"/>
  <c r="Q21" i="16" s="1"/>
  <c r="R21" i="16" a="1"/>
  <c r="R21" i="16" s="1"/>
  <c r="B22" i="16" a="1"/>
  <c r="B22" i="16" s="1"/>
  <c r="C22" i="16" a="1"/>
  <c r="C22" i="16" s="1"/>
  <c r="D22" i="16" a="1"/>
  <c r="D22" i="16" s="1"/>
  <c r="E22" i="16" a="1"/>
  <c r="E22" i="16"/>
  <c r="F22" i="16" a="1"/>
  <c r="F22" i="16" s="1"/>
  <c r="G22" i="16" a="1"/>
  <c r="G22" i="16"/>
  <c r="H22" i="16" a="1"/>
  <c r="H22" i="16" s="1"/>
  <c r="I22" i="16" a="1"/>
  <c r="I22" i="16" s="1"/>
  <c r="J22" i="16" a="1"/>
  <c r="J22" i="16" s="1"/>
  <c r="K22" i="16" a="1"/>
  <c r="K22" i="16" s="1"/>
  <c r="L22" i="16" a="1"/>
  <c r="L22" i="16" s="1"/>
  <c r="M22" i="16" a="1"/>
  <c r="M22" i="16" s="1"/>
  <c r="N22" i="16" a="1"/>
  <c r="N22" i="16" s="1"/>
  <c r="O22" i="16" a="1"/>
  <c r="O22" i="16" s="1"/>
  <c r="P22" i="16" a="1"/>
  <c r="P22" i="16" s="1"/>
  <c r="Q22" i="16" a="1"/>
  <c r="Q22" i="16" s="1"/>
  <c r="R22" i="16" a="1"/>
  <c r="R22" i="16" s="1"/>
  <c r="B23" i="16" a="1"/>
  <c r="B23" i="16"/>
  <c r="C23" i="16" a="1"/>
  <c r="C23" i="16" s="1"/>
  <c r="D23" i="16" a="1"/>
  <c r="D23" i="16"/>
  <c r="E23" i="16" a="1"/>
  <c r="E23" i="16" s="1"/>
  <c r="F23" i="16" a="1"/>
  <c r="F23" i="16"/>
  <c r="G23" i="16" a="1"/>
  <c r="G23" i="16" s="1"/>
  <c r="H23" i="16" a="1"/>
  <c r="H23" i="16" s="1"/>
  <c r="I23" i="16" a="1"/>
  <c r="I23" i="16" s="1"/>
  <c r="J23" i="16" a="1"/>
  <c r="J23" i="16" s="1"/>
  <c r="K23" i="16" a="1"/>
  <c r="K23" i="16" s="1"/>
  <c r="L23" i="16" a="1"/>
  <c r="L23" i="16" s="1"/>
  <c r="M23" i="16" a="1"/>
  <c r="M23" i="16" s="1"/>
  <c r="N23" i="16" a="1"/>
  <c r="N23" i="16" s="1"/>
  <c r="O23" i="16" a="1"/>
  <c r="O23" i="16" s="1"/>
  <c r="P23" i="16" a="1"/>
  <c r="P23" i="16" s="1"/>
  <c r="Q23" i="16" a="1"/>
  <c r="Q23" i="16" s="1"/>
  <c r="R23" i="16" a="1"/>
  <c r="R23" i="16"/>
  <c r="B24" i="16" a="1"/>
  <c r="B24" i="16" s="1"/>
  <c r="C24" i="16" a="1"/>
  <c r="C24" i="16" s="1"/>
  <c r="D24" i="16" a="1"/>
  <c r="D24" i="16" s="1"/>
  <c r="E24" i="16" a="1"/>
  <c r="E24" i="16" s="1"/>
  <c r="F24" i="16" a="1"/>
  <c r="F24" i="16" s="1"/>
  <c r="G24" i="16" a="1"/>
  <c r="G24" i="16" s="1"/>
  <c r="H24" i="16" a="1"/>
  <c r="H24" i="16" s="1"/>
  <c r="I24" i="16" a="1"/>
  <c r="I24" i="16" s="1"/>
  <c r="J24" i="16" a="1"/>
  <c r="J24" i="16" s="1"/>
  <c r="K24" i="16" a="1"/>
  <c r="K24" i="16" s="1"/>
  <c r="L24" i="16" a="1"/>
  <c r="L24" i="16" s="1"/>
  <c r="M24" i="16" a="1"/>
  <c r="M24" i="16"/>
  <c r="N24" i="16" a="1"/>
  <c r="N24" i="16" s="1"/>
  <c r="O24" i="16" a="1"/>
  <c r="O24" i="16" s="1"/>
  <c r="P24" i="16" a="1"/>
  <c r="P24" i="16" s="1"/>
  <c r="Q24" i="16" a="1"/>
  <c r="Q24" i="16"/>
  <c r="R24" i="16" a="1"/>
  <c r="R24" i="16" s="1"/>
  <c r="B25" i="16" a="1"/>
  <c r="B25" i="16"/>
  <c r="C25" i="16" a="1"/>
  <c r="C25" i="16" s="1"/>
  <c r="D25" i="16" a="1"/>
  <c r="D25" i="16"/>
  <c r="E25" i="16" a="1"/>
  <c r="E25" i="16" s="1"/>
  <c r="F25" i="16" a="1"/>
  <c r="F25" i="16" s="1"/>
  <c r="G25" i="16" a="1"/>
  <c r="G25" i="16" s="1"/>
  <c r="H25" i="16" a="1"/>
  <c r="H25" i="16" s="1"/>
  <c r="I25" i="16" a="1"/>
  <c r="I25" i="16" s="1"/>
  <c r="J25" i="16" a="1"/>
  <c r="J25" i="16" s="1"/>
  <c r="K25" i="16" a="1"/>
  <c r="K25" i="16" s="1"/>
  <c r="L25" i="16" a="1"/>
  <c r="L25" i="16" s="1"/>
  <c r="M25" i="16" a="1"/>
  <c r="M25" i="16" s="1"/>
  <c r="N25" i="16" a="1"/>
  <c r="N25" i="16" s="1"/>
  <c r="O25" i="16" a="1"/>
  <c r="O25" i="16" s="1"/>
  <c r="P25" i="16" a="1"/>
  <c r="P25" i="16"/>
  <c r="Q25" i="16" a="1"/>
  <c r="Q25" i="16" s="1"/>
  <c r="R25" i="16" a="1"/>
  <c r="R25" i="16" s="1"/>
  <c r="B26" i="16" a="1"/>
  <c r="B26" i="16" s="1"/>
  <c r="C26" i="16" a="1"/>
  <c r="C26" i="16" s="1"/>
  <c r="D26" i="16" a="1"/>
  <c r="D26" i="16" s="1"/>
  <c r="E26" i="16" a="1"/>
  <c r="E26" i="16" s="1"/>
  <c r="F26" i="16" a="1"/>
  <c r="F26" i="16" s="1"/>
  <c r="G26" i="16" a="1"/>
  <c r="G26" i="16" s="1"/>
  <c r="H26" i="16" a="1"/>
  <c r="H26" i="16" s="1"/>
  <c r="I26" i="16" a="1"/>
  <c r="I26" i="16" s="1"/>
  <c r="J26" i="16" a="1"/>
  <c r="J26" i="16" s="1"/>
  <c r="K26" i="16" a="1"/>
  <c r="K26" i="16"/>
  <c r="L26" i="16" a="1"/>
  <c r="L26" i="16" s="1"/>
  <c r="M26" i="16" a="1"/>
  <c r="M26" i="16" s="1"/>
  <c r="N26" i="16" a="1"/>
  <c r="N26" i="16" s="1"/>
  <c r="O26" i="16" a="1"/>
  <c r="O26" i="16"/>
  <c r="P26" i="16" a="1"/>
  <c r="P26" i="16" s="1"/>
  <c r="Q26" i="16" a="1"/>
  <c r="Q26" i="16" s="1"/>
  <c r="R26" i="16" a="1"/>
  <c r="R26" i="16" s="1"/>
  <c r="B27" i="16" a="1"/>
  <c r="B27" i="16"/>
  <c r="C27" i="16" a="1"/>
  <c r="C27" i="16" s="1"/>
  <c r="D27" i="16" a="1"/>
  <c r="D27" i="16" s="1"/>
  <c r="E27" i="16" a="1"/>
  <c r="E27" i="16" s="1"/>
  <c r="F27" i="16" a="1"/>
  <c r="F27" i="16" s="1"/>
  <c r="G27" i="16" a="1"/>
  <c r="G27" i="16" s="1"/>
  <c r="H27" i="16" a="1"/>
  <c r="H27" i="16" s="1"/>
  <c r="I27" i="16" a="1"/>
  <c r="I27" i="16" s="1"/>
  <c r="J27" i="16" a="1"/>
  <c r="J27" i="16" s="1"/>
  <c r="K27" i="16" a="1"/>
  <c r="K27" i="16" s="1"/>
  <c r="L27" i="16" a="1"/>
  <c r="L27" i="16" s="1"/>
  <c r="M27" i="16" a="1"/>
  <c r="M27" i="16" s="1"/>
  <c r="N27" i="16" a="1"/>
  <c r="N27" i="16"/>
  <c r="O27" i="16" a="1"/>
  <c r="O27" i="16" s="1"/>
  <c r="P27" i="16" a="1"/>
  <c r="P27" i="16" s="1"/>
  <c r="Q27" i="16" a="1"/>
  <c r="Q27" i="16" s="1"/>
  <c r="R27" i="16" a="1"/>
  <c r="R27" i="16" s="1"/>
  <c r="B28" i="16" a="1"/>
  <c r="B28" i="16"/>
  <c r="C28" i="16" a="1"/>
  <c r="C28" i="16" s="1"/>
  <c r="D28" i="16" a="1"/>
  <c r="D28" i="16" s="1"/>
  <c r="E28" i="16" a="1"/>
  <c r="E28" i="16"/>
  <c r="F28" i="16" a="1"/>
  <c r="F28" i="16" s="1"/>
  <c r="G28" i="16" a="1"/>
  <c r="G28" i="16" s="1"/>
  <c r="H28" i="16" a="1"/>
  <c r="H28" i="16" s="1"/>
  <c r="I28" i="16" a="1"/>
  <c r="I28" i="16"/>
  <c r="J28" i="16" a="1"/>
  <c r="J28" i="16"/>
  <c r="K28" i="16" a="1"/>
  <c r="K28" i="16" s="1"/>
  <c r="L28" i="16" a="1"/>
  <c r="L28" i="16" s="1"/>
  <c r="M28" i="16" a="1"/>
  <c r="M28" i="16" s="1"/>
  <c r="N28" i="16" a="1"/>
  <c r="N28" i="16" s="1"/>
  <c r="O28" i="16" a="1"/>
  <c r="O28" i="16" s="1"/>
  <c r="P28" i="16" a="1"/>
  <c r="P28" i="16" s="1"/>
  <c r="Q28" i="16" a="1"/>
  <c r="Q28" i="16" s="1"/>
  <c r="R28" i="16" a="1"/>
  <c r="R28" i="16" s="1"/>
  <c r="B29" i="16" a="1"/>
  <c r="B29" i="16" s="1"/>
  <c r="C29" i="16" a="1"/>
  <c r="C29" i="16" s="1"/>
  <c r="D29" i="16" a="1"/>
  <c r="D29" i="16" s="1"/>
  <c r="E29" i="16" a="1"/>
  <c r="E29" i="16" s="1"/>
  <c r="F29" i="16" a="1"/>
  <c r="F29" i="16" s="1"/>
  <c r="G29" i="16" a="1"/>
  <c r="G29" i="16" s="1"/>
  <c r="H29" i="16" a="1"/>
  <c r="H29" i="16" s="1"/>
  <c r="I29" i="16" a="1"/>
  <c r="I29" i="16" s="1"/>
  <c r="J29" i="16" a="1"/>
  <c r="J29" i="16" s="1"/>
  <c r="K29" i="16" a="1"/>
  <c r="K29" i="16" s="1"/>
  <c r="L29" i="16" a="1"/>
  <c r="L29" i="16" s="1"/>
  <c r="M29" i="16" a="1"/>
  <c r="M29" i="16" s="1"/>
  <c r="N29" i="16" a="1"/>
  <c r="N29" i="16" s="1"/>
  <c r="O29" i="16" a="1"/>
  <c r="O29" i="16" s="1"/>
  <c r="P29" i="16" a="1"/>
  <c r="P29" i="16" s="1"/>
  <c r="Q29" i="16" a="1"/>
  <c r="Q29" i="16" s="1"/>
  <c r="R29" i="16" a="1"/>
  <c r="R29" i="16" s="1"/>
  <c r="B30" i="16" a="1"/>
  <c r="B30" i="16" s="1"/>
  <c r="C30" i="16" a="1"/>
  <c r="C30" i="16" s="1"/>
  <c r="D30" i="16" a="1"/>
  <c r="D30" i="16" s="1"/>
  <c r="E30" i="16" a="1"/>
  <c r="E30" i="16" s="1"/>
  <c r="F30" i="16" a="1"/>
  <c r="F30" i="16" s="1"/>
  <c r="G30" i="16" a="1"/>
  <c r="G30" i="16" s="1"/>
  <c r="H30" i="16" a="1"/>
  <c r="H30" i="16" s="1"/>
  <c r="I30" i="16" a="1"/>
  <c r="I30" i="16" s="1"/>
  <c r="J30" i="16" a="1"/>
  <c r="J30" i="16" s="1"/>
  <c r="K30" i="16" a="1"/>
  <c r="K30" i="16" s="1"/>
  <c r="L30" i="16" a="1"/>
  <c r="L30" i="16" s="1"/>
  <c r="M30" i="16" a="1"/>
  <c r="M30" i="16" s="1"/>
  <c r="N30" i="16" a="1"/>
  <c r="N30" i="16" s="1"/>
  <c r="B13" i="19" s="1"/>
  <c r="O30" i="16" a="1"/>
  <c r="O30" i="16" s="1"/>
  <c r="C13" i="19" s="1"/>
  <c r="P30" i="16" a="1"/>
  <c r="P30" i="16" s="1"/>
  <c r="D13" i="19" s="1"/>
  <c r="Q30" i="16" a="1"/>
  <c r="Q30" i="16" s="1"/>
  <c r="E13" i="19" s="1"/>
  <c r="R30" i="16" a="1"/>
  <c r="R30" i="16" s="1"/>
  <c r="B31" i="16" a="1"/>
  <c r="B31" i="16" s="1"/>
  <c r="C31" i="16" a="1"/>
  <c r="C31" i="16"/>
  <c r="D31" i="16" a="1"/>
  <c r="D31" i="16" s="1"/>
  <c r="E31" i="16" a="1"/>
  <c r="E31" i="16" s="1"/>
  <c r="F31" i="16" a="1"/>
  <c r="F31" i="16" s="1"/>
  <c r="G31" i="16" a="1"/>
  <c r="G31" i="16" s="1"/>
  <c r="H31" i="16" a="1"/>
  <c r="H31" i="16" s="1"/>
  <c r="I31" i="16" a="1"/>
  <c r="I31" i="16" s="1"/>
  <c r="J31" i="16" a="1"/>
  <c r="J31" i="16" s="1"/>
  <c r="K31" i="16" a="1"/>
  <c r="K31" i="16" s="1"/>
  <c r="L31" i="16" a="1"/>
  <c r="L31" i="16" s="1"/>
  <c r="M31" i="16" a="1"/>
  <c r="M31" i="16" s="1"/>
  <c r="N31" i="16" a="1"/>
  <c r="N31" i="16" s="1"/>
  <c r="B14" i="19" s="1"/>
  <c r="O31" i="16" a="1"/>
  <c r="O31" i="16" s="1"/>
  <c r="C14" i="19" s="1"/>
  <c r="P31" i="16" a="1"/>
  <c r="P31" i="16" s="1"/>
  <c r="D14" i="19" s="1"/>
  <c r="Q31" i="16" a="1"/>
  <c r="Q31" i="16" s="1"/>
  <c r="E14" i="19" s="1"/>
  <c r="R31" i="16" a="1"/>
  <c r="R31" i="16" s="1"/>
  <c r="B32" i="16" a="1"/>
  <c r="B32" i="16" s="1"/>
  <c r="C32" i="16" a="1"/>
  <c r="C32" i="16" s="1"/>
  <c r="D32" i="16" a="1"/>
  <c r="D32" i="16" s="1"/>
  <c r="E32" i="16" a="1"/>
  <c r="E32" i="16" s="1"/>
  <c r="F32" i="16" a="1"/>
  <c r="F32" i="16" s="1"/>
  <c r="G32" i="16" a="1"/>
  <c r="G32" i="16" s="1"/>
  <c r="H32" i="16" a="1"/>
  <c r="H32" i="16" s="1"/>
  <c r="I32" i="16" a="1"/>
  <c r="I32" i="16" s="1"/>
  <c r="J32" i="16" a="1"/>
  <c r="J32" i="16" s="1"/>
  <c r="K32" i="16" a="1"/>
  <c r="K32" i="16" s="1"/>
  <c r="L32" i="16" a="1"/>
  <c r="L32" i="16" s="1"/>
  <c r="M32" i="16" a="1"/>
  <c r="M32" i="16" s="1"/>
  <c r="N32" i="16" a="1"/>
  <c r="N32" i="16" s="1"/>
  <c r="B15" i="19" s="1"/>
  <c r="O32" i="16" a="1"/>
  <c r="O32" i="16" s="1"/>
  <c r="C15" i="19" s="1"/>
  <c r="P32" i="16" a="1"/>
  <c r="P32" i="16" s="1"/>
  <c r="D15" i="19" s="1"/>
  <c r="Q32" i="16" a="1"/>
  <c r="Q32" i="16" s="1"/>
  <c r="E15" i="19" s="1"/>
  <c r="R32" i="16" a="1"/>
  <c r="R32" i="16"/>
  <c r="B33" i="16" a="1"/>
  <c r="B33" i="16" s="1"/>
  <c r="C33" i="16" a="1"/>
  <c r="C33" i="16" s="1"/>
  <c r="D33" i="16" a="1"/>
  <c r="D33" i="16" s="1"/>
  <c r="E33" i="16" a="1"/>
  <c r="E33" i="16"/>
  <c r="F33" i="16" a="1"/>
  <c r="F33" i="16" s="1"/>
  <c r="G33" i="16" a="1"/>
  <c r="G33" i="16" s="1"/>
  <c r="H33" i="16" a="1"/>
  <c r="H33" i="16" s="1"/>
  <c r="I33" i="16" a="1"/>
  <c r="I33" i="16" s="1"/>
  <c r="J33" i="16" a="1"/>
  <c r="J33" i="16" s="1"/>
  <c r="K33" i="16" a="1"/>
  <c r="K33" i="16" s="1"/>
  <c r="L33" i="16" a="1"/>
  <c r="L33" i="16" s="1"/>
  <c r="M33" i="16" a="1"/>
  <c r="M33" i="16" s="1"/>
  <c r="N33" i="16" a="1"/>
  <c r="N33" i="16" s="1"/>
  <c r="B16" i="19" s="1"/>
  <c r="O33" i="16" a="1"/>
  <c r="O33" i="16" s="1"/>
  <c r="C16" i="19" s="1"/>
  <c r="P33" i="16" a="1"/>
  <c r="P33" i="16" s="1"/>
  <c r="D16" i="19" s="1"/>
  <c r="Q33" i="16" a="1"/>
  <c r="Q33" i="16" s="1"/>
  <c r="E16" i="19" s="1"/>
  <c r="R33" i="16" a="1"/>
  <c r="R33" i="16" s="1"/>
  <c r="B34" i="16" a="1"/>
  <c r="B34" i="16" s="1"/>
  <c r="C34" i="16" a="1"/>
  <c r="C34" i="16" s="1"/>
  <c r="D34" i="16" a="1"/>
  <c r="D34" i="16" s="1"/>
  <c r="E34" i="16" a="1"/>
  <c r="E34" i="16" s="1"/>
  <c r="F34" i="16" a="1"/>
  <c r="F34" i="16" s="1"/>
  <c r="G34" i="16" a="1"/>
  <c r="G34" i="16" s="1"/>
  <c r="H34" i="16" a="1"/>
  <c r="H34" i="16" s="1"/>
  <c r="I34" i="16" a="1"/>
  <c r="I34" i="16" s="1"/>
  <c r="J34" i="16" a="1"/>
  <c r="J34" i="16" s="1"/>
  <c r="K34" i="16" a="1"/>
  <c r="K34" i="16" s="1"/>
  <c r="L34" i="16" a="1"/>
  <c r="L34" i="16" s="1"/>
  <c r="M34" i="16" a="1"/>
  <c r="M34" i="16" s="1"/>
  <c r="N34" i="16" a="1"/>
  <c r="N34" i="16" s="1"/>
  <c r="B17" i="19" s="1"/>
  <c r="O34" i="16" a="1"/>
  <c r="O34" i="16" s="1"/>
  <c r="C17" i="19" s="1"/>
  <c r="P34" i="16" a="1"/>
  <c r="P34" i="16"/>
  <c r="D17" i="19" s="1"/>
  <c r="Q34" i="16" a="1"/>
  <c r="Q34" i="16" s="1"/>
  <c r="E17" i="19" s="1"/>
  <c r="R34" i="16" a="1"/>
  <c r="R34" i="16" s="1"/>
  <c r="B35" i="16" a="1"/>
  <c r="B35" i="16" s="1"/>
  <c r="C35" i="16" a="1"/>
  <c r="C35" i="16"/>
  <c r="D35" i="16" a="1"/>
  <c r="D35" i="16" s="1"/>
  <c r="E35" i="16" a="1"/>
  <c r="E35" i="16" s="1"/>
  <c r="F35" i="16" a="1"/>
  <c r="F35" i="16" s="1"/>
  <c r="G35" i="16" a="1"/>
  <c r="G35" i="16"/>
  <c r="H35" i="16" a="1"/>
  <c r="H35" i="16" s="1"/>
  <c r="I35" i="16" a="1"/>
  <c r="I35" i="16" s="1"/>
  <c r="J35" i="16" a="1"/>
  <c r="J35" i="16" s="1"/>
  <c r="K35" i="16" a="1"/>
  <c r="K35" i="16" s="1"/>
  <c r="L35" i="16" a="1"/>
  <c r="L35" i="16" s="1"/>
  <c r="M35" i="16" a="1"/>
  <c r="M35" i="16" s="1"/>
  <c r="N35" i="16" a="1"/>
  <c r="N35" i="16" s="1"/>
  <c r="B18" i="19" s="1"/>
  <c r="O35" i="16" a="1"/>
  <c r="O35" i="16" s="1"/>
  <c r="C18" i="19" s="1"/>
  <c r="P35" i="16" a="1"/>
  <c r="P35" i="16" s="1"/>
  <c r="D18" i="19" s="1"/>
  <c r="Q35" i="16" a="1"/>
  <c r="Q35" i="16" s="1"/>
  <c r="E18" i="19" s="1"/>
  <c r="R35" i="16" a="1"/>
  <c r="R35" i="16" s="1"/>
  <c r="B36" i="16" a="1"/>
  <c r="B36" i="16" s="1"/>
  <c r="C36" i="16" a="1"/>
  <c r="C36" i="16" s="1"/>
  <c r="D36" i="16" a="1"/>
  <c r="D36" i="16" s="1"/>
  <c r="E36" i="16" a="1"/>
  <c r="E36" i="16" s="1"/>
  <c r="F36" i="16" a="1"/>
  <c r="F36" i="16" s="1"/>
  <c r="G36" i="16" a="1"/>
  <c r="G36" i="16" s="1"/>
  <c r="H36" i="16" a="1"/>
  <c r="H36" i="16" s="1"/>
  <c r="I36" i="16" a="1"/>
  <c r="I36" i="16" s="1"/>
  <c r="J36" i="16" a="1"/>
  <c r="J36" i="16" s="1"/>
  <c r="K36" i="16" a="1"/>
  <c r="K36" i="16" s="1"/>
  <c r="L36" i="16" a="1"/>
  <c r="L36" i="16" s="1"/>
  <c r="M36" i="16" a="1"/>
  <c r="M36" i="16" s="1"/>
  <c r="N36" i="16" a="1"/>
  <c r="N36" i="16"/>
  <c r="B19" i="19" s="1"/>
  <c r="O36" i="16" a="1"/>
  <c r="O36" i="16" s="1"/>
  <c r="C19" i="19" s="1"/>
  <c r="P36" i="16" a="1"/>
  <c r="P36" i="16" s="1"/>
  <c r="D19" i="19" s="1"/>
  <c r="Q36" i="16" a="1"/>
  <c r="Q36" i="16" s="1"/>
  <c r="E19" i="19" s="1"/>
  <c r="R36" i="16" a="1"/>
  <c r="R36" i="16"/>
  <c r="B37" i="16" a="1"/>
  <c r="B37" i="16" s="1"/>
  <c r="C37" i="16" a="1"/>
  <c r="C37" i="16" s="1"/>
  <c r="D37" i="16" a="1"/>
  <c r="D37" i="16" s="1"/>
  <c r="E37" i="16" a="1"/>
  <c r="E37" i="16"/>
  <c r="F37" i="16" a="1"/>
  <c r="F37" i="16" s="1"/>
  <c r="G37" i="16" a="1"/>
  <c r="G37" i="16" s="1"/>
  <c r="H37" i="16" a="1"/>
  <c r="H37" i="16" s="1"/>
  <c r="I37" i="16" a="1"/>
  <c r="I37" i="16" s="1"/>
  <c r="J37" i="16" a="1"/>
  <c r="J37" i="16" s="1"/>
  <c r="K37" i="16" a="1"/>
  <c r="K37" i="16" s="1"/>
  <c r="L37" i="16" a="1"/>
  <c r="L37" i="16" s="1"/>
  <c r="M37" i="16" a="1"/>
  <c r="M37" i="16" s="1"/>
  <c r="N37" i="16" a="1"/>
  <c r="N37" i="16" s="1"/>
  <c r="B20" i="19" s="1"/>
  <c r="O37" i="16" a="1"/>
  <c r="O37" i="16" s="1"/>
  <c r="C20" i="19" s="1"/>
  <c r="P37" i="16" a="1"/>
  <c r="P37" i="16" s="1"/>
  <c r="D20" i="19" s="1"/>
  <c r="Q37" i="16" a="1"/>
  <c r="Q37" i="16" s="1"/>
  <c r="E20" i="19" s="1"/>
  <c r="R37" i="16" a="1"/>
  <c r="R37" i="16" s="1"/>
  <c r="B38" i="16" a="1"/>
  <c r="B38" i="16" s="1"/>
  <c r="C38" i="16" a="1"/>
  <c r="C38" i="16" s="1"/>
  <c r="D38" i="16" a="1"/>
  <c r="D38" i="16" s="1"/>
  <c r="E38" i="16" a="1"/>
  <c r="E38" i="16" s="1"/>
  <c r="F38" i="16" a="1"/>
  <c r="F38" i="16" s="1"/>
  <c r="G38" i="16" a="1"/>
  <c r="G38" i="16" s="1"/>
  <c r="H38" i="16" a="1"/>
  <c r="H38" i="16" s="1"/>
  <c r="I38" i="16" a="1"/>
  <c r="I38" i="16" s="1"/>
  <c r="J38" i="16" a="1"/>
  <c r="J38" i="16" s="1"/>
  <c r="K38" i="16" a="1"/>
  <c r="K38" i="16" s="1"/>
  <c r="L38" i="16" a="1"/>
  <c r="L38" i="16"/>
  <c r="M38" i="16" a="1"/>
  <c r="M38" i="16" s="1"/>
  <c r="N38" i="16" a="1"/>
  <c r="N38" i="16" s="1"/>
  <c r="B21" i="19" s="1"/>
  <c r="O38" i="16" a="1"/>
  <c r="O38" i="16" s="1"/>
  <c r="C21" i="19" s="1"/>
  <c r="P38" i="16" a="1"/>
  <c r="P38" i="16"/>
  <c r="D21" i="19" s="1"/>
  <c r="Q38" i="16" a="1"/>
  <c r="Q38" i="16" s="1"/>
  <c r="E21" i="19" s="1"/>
  <c r="R38" i="16" a="1"/>
  <c r="R38" i="16" s="1"/>
  <c r="B39" i="16" a="1"/>
  <c r="B39" i="16" s="1"/>
  <c r="C39" i="16" a="1"/>
  <c r="C39" i="16"/>
  <c r="D39" i="16" a="1"/>
  <c r="D39" i="16" s="1"/>
  <c r="E39" i="16" a="1"/>
  <c r="E39" i="16" s="1"/>
  <c r="F39" i="16" a="1"/>
  <c r="F39" i="16" s="1"/>
  <c r="G39" i="16" a="1"/>
  <c r="G39" i="16" s="1"/>
  <c r="H39" i="16" a="1"/>
  <c r="H39" i="16" s="1"/>
  <c r="I39" i="16" a="1"/>
  <c r="I39" i="16" s="1"/>
  <c r="J39" i="16" a="1"/>
  <c r="J39" i="16" s="1"/>
  <c r="K39" i="16" a="1"/>
  <c r="K39" i="16" s="1"/>
  <c r="L39" i="16" a="1"/>
  <c r="L39" i="16" s="1"/>
  <c r="M39" i="16" a="1"/>
  <c r="M39" i="16" s="1"/>
  <c r="N39" i="16" a="1"/>
  <c r="N39" i="16" s="1"/>
  <c r="B22" i="19" s="1"/>
  <c r="O39" i="16" a="1"/>
  <c r="O39" i="16" s="1"/>
  <c r="C22" i="19" s="1"/>
  <c r="P39" i="16" a="1"/>
  <c r="P39" i="16" s="1"/>
  <c r="D22" i="19" s="1"/>
  <c r="Q39" i="16" a="1"/>
  <c r="Q39" i="16" s="1"/>
  <c r="E22" i="19" s="1"/>
  <c r="R39" i="16" a="1"/>
  <c r="R39" i="16" s="1"/>
  <c r="B40" i="16" a="1"/>
  <c r="B40" i="16" s="1"/>
  <c r="C40" i="16" a="1"/>
  <c r="C40" i="16" s="1"/>
  <c r="D40" i="16" a="1"/>
  <c r="D40" i="16"/>
  <c r="E40" i="16" a="1"/>
  <c r="E40" i="16" s="1"/>
  <c r="F40" i="16" a="1"/>
  <c r="F40" i="16"/>
  <c r="G40" i="16" a="1"/>
  <c r="G40" i="16" s="1"/>
  <c r="H40" i="16" a="1"/>
  <c r="H40" i="16" s="1"/>
  <c r="I40" i="16" a="1"/>
  <c r="I40" i="16" s="1"/>
  <c r="J40" i="16" a="1"/>
  <c r="J40" i="16" s="1"/>
  <c r="K40" i="16" a="1"/>
  <c r="K40" i="16" s="1"/>
  <c r="L40" i="16" a="1"/>
  <c r="L40" i="16" s="1"/>
  <c r="M40" i="16" a="1"/>
  <c r="M40" i="16" s="1"/>
  <c r="N40" i="16" a="1"/>
  <c r="N40" i="16" s="1"/>
  <c r="B23" i="19" s="1"/>
  <c r="O40" i="16" a="1"/>
  <c r="O40" i="16" s="1"/>
  <c r="C23" i="19" s="1"/>
  <c r="P40" i="16" a="1"/>
  <c r="P40" i="16" s="1"/>
  <c r="D23" i="19" s="1"/>
  <c r="Q40" i="16" a="1"/>
  <c r="Q40" i="16" s="1"/>
  <c r="E23" i="19" s="1"/>
  <c r="R40" i="16" a="1"/>
  <c r="R40" i="16" s="1"/>
  <c r="B41" i="16" a="1"/>
  <c r="B41" i="16" s="1"/>
  <c r="C41" i="16" a="1"/>
  <c r="C41" i="16"/>
  <c r="D41" i="16" a="1"/>
  <c r="D41" i="16" s="1"/>
  <c r="E41" i="16" a="1"/>
  <c r="E41" i="16" s="1"/>
  <c r="F41" i="16" a="1"/>
  <c r="F41" i="16" s="1"/>
  <c r="G41" i="16" a="1"/>
  <c r="G41" i="16" s="1"/>
  <c r="H41" i="16" a="1"/>
  <c r="H41" i="16" s="1"/>
  <c r="I41" i="16" a="1"/>
  <c r="I41" i="16" s="1"/>
  <c r="J41" i="16" a="1"/>
  <c r="J41" i="16" s="1"/>
  <c r="K41" i="16" a="1"/>
  <c r="K41" i="16" s="1"/>
  <c r="L41" i="16" a="1"/>
  <c r="L41" i="16" s="1"/>
  <c r="M41" i="16" a="1"/>
  <c r="M41" i="16" s="1"/>
  <c r="N41" i="16" a="1"/>
  <c r="N41" i="16" s="1"/>
  <c r="B24" i="19" s="1"/>
  <c r="O41" i="16" a="1"/>
  <c r="O41" i="16" s="1"/>
  <c r="C24" i="19" s="1"/>
  <c r="P41" i="16" a="1"/>
  <c r="P41" i="16" s="1"/>
  <c r="D24" i="19" s="1"/>
  <c r="Q41" i="16" a="1"/>
  <c r="Q41" i="16" s="1"/>
  <c r="E24" i="19" s="1"/>
  <c r="R41" i="16" a="1"/>
  <c r="R41" i="16" s="1"/>
  <c r="B42" i="16" a="1"/>
  <c r="B42" i="16" s="1"/>
  <c r="C42" i="16" a="1"/>
  <c r="C42" i="16" s="1"/>
  <c r="D42" i="16" a="1"/>
  <c r="D42" i="16" s="1"/>
  <c r="E42" i="16" a="1"/>
  <c r="E42" i="16" s="1"/>
  <c r="F42" i="16" a="1"/>
  <c r="F42" i="16" s="1"/>
  <c r="G42" i="16" a="1"/>
  <c r="G42" i="16" s="1"/>
  <c r="H42" i="16" a="1"/>
  <c r="H42" i="16" s="1"/>
  <c r="I42" i="16" a="1"/>
  <c r="I42" i="16" s="1"/>
  <c r="J42" i="16" a="1"/>
  <c r="J42" i="16" s="1"/>
  <c r="K42" i="16" a="1"/>
  <c r="K42" i="16" s="1"/>
  <c r="L42" i="16" a="1"/>
  <c r="L42" i="16" s="1"/>
  <c r="M42" i="16" a="1"/>
  <c r="M42" i="16" s="1"/>
  <c r="N42" i="16" a="1"/>
  <c r="N42" i="16" s="1"/>
  <c r="B25" i="19" s="1"/>
  <c r="O42" i="16" a="1"/>
  <c r="O42" i="16" s="1"/>
  <c r="C25" i="19" s="1"/>
  <c r="P42" i="16" a="1"/>
  <c r="P42" i="16" s="1"/>
  <c r="D25" i="19" s="1"/>
  <c r="Q42" i="16" a="1"/>
  <c r="Q42" i="16" s="1"/>
  <c r="E25" i="19" s="1"/>
  <c r="R42" i="16" a="1"/>
  <c r="R42" i="16" s="1"/>
  <c r="B43" i="16" a="1"/>
  <c r="B43" i="16" s="1"/>
  <c r="C43" i="16" a="1"/>
  <c r="C43" i="16" s="1"/>
  <c r="D43" i="16" a="1"/>
  <c r="D43" i="16" s="1"/>
  <c r="E43" i="16" a="1"/>
  <c r="E43" i="16"/>
  <c r="F43" i="16" a="1"/>
  <c r="F43" i="16" s="1"/>
  <c r="G43" i="16" a="1"/>
  <c r="G43" i="16" s="1"/>
  <c r="H43" i="16" a="1"/>
  <c r="H43" i="16" s="1"/>
  <c r="I43" i="16" a="1"/>
  <c r="I43" i="16" s="1"/>
  <c r="J43" i="16" a="1"/>
  <c r="J43" i="16" s="1"/>
  <c r="K43" i="16" a="1"/>
  <c r="K43" i="16" s="1"/>
  <c r="L43" i="16" a="1"/>
  <c r="L43" i="16" s="1"/>
  <c r="M43" i="16" a="1"/>
  <c r="M43" i="16" s="1"/>
  <c r="N43" i="16" a="1"/>
  <c r="N43" i="16" s="1"/>
  <c r="B26" i="19" s="1"/>
  <c r="O43" i="16" a="1"/>
  <c r="O43" i="16" s="1"/>
  <c r="C26" i="19" s="1"/>
  <c r="P43" i="16" a="1"/>
  <c r="P43" i="16" s="1"/>
  <c r="D26" i="19" s="1"/>
  <c r="Q43" i="16" a="1"/>
  <c r="Q43" i="16" s="1"/>
  <c r="E26" i="19" s="1"/>
  <c r="R43" i="16" a="1"/>
  <c r="R43" i="16" s="1"/>
  <c r="B44" i="16" a="1"/>
  <c r="B44" i="16"/>
  <c r="C44" i="16" a="1"/>
  <c r="C44" i="16" s="1"/>
  <c r="D44" i="16" a="1"/>
  <c r="D44" i="16"/>
  <c r="E44" i="16" a="1"/>
  <c r="E44" i="16" s="1"/>
  <c r="F44" i="16" a="1"/>
  <c r="F44" i="16" s="1"/>
  <c r="G44" i="16" a="1"/>
  <c r="G44" i="16" s="1"/>
  <c r="H44" i="16" a="1"/>
  <c r="H44" i="16" s="1"/>
  <c r="I44" i="16" a="1"/>
  <c r="I44" i="16" s="1"/>
  <c r="J44" i="16" a="1"/>
  <c r="J44" i="16" s="1"/>
  <c r="K44" i="16" a="1"/>
  <c r="K44" i="16" s="1"/>
  <c r="L44" i="16" a="1"/>
  <c r="L44" i="16" s="1"/>
  <c r="M44" i="16" a="1"/>
  <c r="M44" i="16" s="1"/>
  <c r="N44" i="16" a="1"/>
  <c r="N44" i="16" s="1"/>
  <c r="B27" i="19" s="1"/>
  <c r="O44" i="16" a="1"/>
  <c r="O44" i="16" s="1"/>
  <c r="C27" i="19" s="1"/>
  <c r="P44" i="16" a="1"/>
  <c r="P44" i="16"/>
  <c r="D27" i="19" s="1"/>
  <c r="Q44" i="16" a="1"/>
  <c r="Q44" i="16" s="1"/>
  <c r="E27" i="19" s="1"/>
  <c r="R44" i="16" a="1"/>
  <c r="R44" i="16"/>
  <c r="B45" i="16" a="1"/>
  <c r="B45" i="16" s="1"/>
  <c r="C45" i="16" a="1"/>
  <c r="C45" i="16"/>
  <c r="D45" i="16" a="1"/>
  <c r="D45" i="16" s="1"/>
  <c r="E45" i="16" a="1"/>
  <c r="E45" i="16" s="1"/>
  <c r="F45" i="16" a="1"/>
  <c r="F45" i="16" s="1"/>
  <c r="G45" i="16" a="1"/>
  <c r="G45" i="16" s="1"/>
  <c r="H45" i="16" a="1"/>
  <c r="H45" i="16" s="1"/>
  <c r="I45" i="16" a="1"/>
  <c r="I45" i="16" s="1"/>
  <c r="J45" i="16" a="1"/>
  <c r="J45" i="16" s="1"/>
  <c r="K45" i="16" a="1"/>
  <c r="K45" i="16" s="1"/>
  <c r="L45" i="16" a="1"/>
  <c r="L45" i="16" s="1"/>
  <c r="M45" i="16" a="1"/>
  <c r="M45" i="16" s="1"/>
  <c r="N45" i="16" a="1"/>
  <c r="N45" i="16" s="1"/>
  <c r="B28" i="19" s="1"/>
  <c r="O45" i="16" a="1"/>
  <c r="O45" i="16"/>
  <c r="C28" i="19" s="1"/>
  <c r="P45" i="16" a="1"/>
  <c r="P45" i="16" s="1"/>
  <c r="D28" i="19" s="1"/>
  <c r="Q45" i="16" a="1"/>
  <c r="Q45" i="16" s="1"/>
  <c r="E28" i="19" s="1"/>
  <c r="R45" i="16" a="1"/>
  <c r="R45" i="16" s="1"/>
  <c r="B46" i="16" a="1"/>
  <c r="B46" i="16" s="1"/>
  <c r="C46" i="16" a="1"/>
  <c r="C46" i="16" s="1"/>
  <c r="D46" i="16" a="1"/>
  <c r="D46" i="16" s="1"/>
  <c r="E46" i="16" a="1"/>
  <c r="E46" i="16" s="1"/>
  <c r="F46" i="16" a="1"/>
  <c r="F46" i="16" s="1"/>
  <c r="G46" i="16" a="1"/>
  <c r="G46" i="16"/>
  <c r="H46" i="16" a="1"/>
  <c r="H46" i="16"/>
  <c r="I46" i="16" a="1"/>
  <c r="I46" i="16" s="1"/>
  <c r="J46" i="16" a="1"/>
  <c r="J46" i="16" s="1"/>
  <c r="K46" i="16" a="1"/>
  <c r="K46" i="16" s="1"/>
  <c r="L46" i="16" a="1"/>
  <c r="L46" i="16" s="1"/>
  <c r="M46" i="16" a="1"/>
  <c r="M46" i="16" s="1"/>
  <c r="N46" i="16" a="1"/>
  <c r="N46" i="16" s="1"/>
  <c r="B29" i="19" s="1"/>
  <c r="O46" i="16" a="1"/>
  <c r="O46" i="16" s="1"/>
  <c r="C29" i="19" s="1"/>
  <c r="P46" i="16" a="1"/>
  <c r="P46" i="16" s="1"/>
  <c r="D29" i="19" s="1"/>
  <c r="Q46" i="16" a="1"/>
  <c r="Q46" i="16" s="1"/>
  <c r="E29" i="19" s="1"/>
  <c r="R46" i="16" a="1"/>
  <c r="R46" i="16" s="1"/>
  <c r="B47" i="16" a="1"/>
  <c r="B47" i="16" s="1"/>
  <c r="C47" i="16" a="1"/>
  <c r="C47" i="16" s="1"/>
  <c r="D47" i="16" a="1"/>
  <c r="D47" i="16" s="1"/>
  <c r="E47" i="16" a="1"/>
  <c r="E47" i="16" s="1"/>
  <c r="F47" i="16" a="1"/>
  <c r="F47" i="16"/>
  <c r="G47" i="16" a="1"/>
  <c r="G47" i="16" s="1"/>
  <c r="H47" i="16" a="1"/>
  <c r="H47" i="16" s="1"/>
  <c r="I47" i="16" a="1"/>
  <c r="I47" i="16" s="1"/>
  <c r="J47" i="16" a="1"/>
  <c r="J47" i="16" s="1"/>
  <c r="K47" i="16" a="1"/>
  <c r="K47" i="16" s="1"/>
  <c r="L47" i="16" a="1"/>
  <c r="L47" i="16" s="1"/>
  <c r="M47" i="16" a="1"/>
  <c r="M47" i="16" s="1"/>
  <c r="N47" i="16" a="1"/>
  <c r="N47" i="16" s="1"/>
  <c r="B30" i="19" s="1"/>
  <c r="O47" i="16" a="1"/>
  <c r="O47" i="16" s="1"/>
  <c r="C30" i="19" s="1"/>
  <c r="P47" i="16" a="1"/>
  <c r="P47" i="16" s="1"/>
  <c r="D30" i="19" s="1"/>
  <c r="Q47" i="16" a="1"/>
  <c r="Q47" i="16" s="1"/>
  <c r="E30" i="19" s="1"/>
  <c r="R47" i="16" a="1"/>
  <c r="R47" i="16" s="1"/>
  <c r="B48" i="16" a="1"/>
  <c r="B48" i="16"/>
  <c r="C48" i="16" a="1"/>
  <c r="C48" i="16" s="1"/>
  <c r="D48" i="16" a="1"/>
  <c r="D48" i="16" s="1"/>
  <c r="E48" i="16" a="1"/>
  <c r="E48" i="16"/>
  <c r="F48" i="16" a="1"/>
  <c r="F48" i="16" s="1"/>
  <c r="G48" i="16" a="1"/>
  <c r="G48" i="16" s="1"/>
  <c r="H48" i="16" a="1"/>
  <c r="H48" i="16" s="1"/>
  <c r="I48" i="16" a="1"/>
  <c r="I48" i="16" s="1"/>
  <c r="J48" i="16" a="1"/>
  <c r="J48" i="16"/>
  <c r="K48" i="16" a="1"/>
  <c r="K48" i="16" s="1"/>
  <c r="L48" i="16" a="1"/>
  <c r="L48" i="16" s="1"/>
  <c r="M48" i="16" a="1"/>
  <c r="M48" i="16" s="1"/>
  <c r="N48" i="16" a="1"/>
  <c r="N48" i="16" s="1"/>
  <c r="B31" i="19" s="1"/>
  <c r="O48" i="16" a="1"/>
  <c r="O48" i="16" s="1"/>
  <c r="C31" i="19" s="1"/>
  <c r="P48" i="16" a="1"/>
  <c r="P48" i="16" s="1"/>
  <c r="D31" i="19" s="1"/>
  <c r="Q48" i="16" a="1"/>
  <c r="Q48" i="16" s="1"/>
  <c r="E31" i="19" s="1"/>
  <c r="R48" i="16" a="1"/>
  <c r="R48" i="16"/>
  <c r="B49" i="16" a="1"/>
  <c r="B49" i="16" s="1"/>
  <c r="C49" i="16" a="1"/>
  <c r="C49" i="16" s="1"/>
  <c r="D49" i="16" a="1"/>
  <c r="D49" i="16"/>
  <c r="E49" i="16" a="1"/>
  <c r="E49" i="16" s="1"/>
  <c r="F49" i="16" a="1"/>
  <c r="F49" i="16" s="1"/>
  <c r="G49" i="16" a="1"/>
  <c r="G49" i="16" s="1"/>
  <c r="H49" i="16" a="1"/>
  <c r="H49" i="16" s="1"/>
  <c r="I49" i="16" a="1"/>
  <c r="I49" i="16" s="1"/>
  <c r="J49" i="16" a="1"/>
  <c r="J49" i="16" s="1"/>
  <c r="K49" i="16" a="1"/>
  <c r="K49" i="16" s="1"/>
  <c r="L49" i="16" a="1"/>
  <c r="L49" i="16" s="1"/>
  <c r="M49" i="16" a="1"/>
  <c r="M49" i="16" s="1"/>
  <c r="N49" i="16" a="1"/>
  <c r="N49" i="16" s="1"/>
  <c r="B32" i="19" s="1"/>
  <c r="O49" i="16" a="1"/>
  <c r="O49" i="16" s="1"/>
  <c r="C32" i="19" s="1"/>
  <c r="P49" i="16" a="1"/>
  <c r="P49" i="16" s="1"/>
  <c r="D32" i="19" s="1"/>
  <c r="Q49" i="16" a="1"/>
  <c r="Q49" i="16" s="1"/>
  <c r="E32" i="19" s="1"/>
  <c r="R49" i="16" a="1"/>
  <c r="R49" i="16" s="1"/>
  <c r="B50" i="16" a="1"/>
  <c r="B50" i="16" s="1"/>
  <c r="C50" i="16" a="1"/>
  <c r="C50" i="16"/>
  <c r="D50" i="16" a="1"/>
  <c r="D50" i="16" s="1"/>
  <c r="E50" i="16" a="1"/>
  <c r="E50" i="16" s="1"/>
  <c r="F50" i="16" a="1"/>
  <c r="F50" i="16" s="1"/>
  <c r="G50" i="16" a="1"/>
  <c r="G50" i="16" s="1"/>
  <c r="H50" i="16" a="1"/>
  <c r="H50" i="16"/>
  <c r="I50" i="16" a="1"/>
  <c r="I50" i="16" s="1"/>
  <c r="J50" i="16" a="1"/>
  <c r="J50" i="16" s="1"/>
  <c r="K50" i="16" a="1"/>
  <c r="K50" i="16" s="1"/>
  <c r="L50" i="16" a="1"/>
  <c r="L50" i="16" s="1"/>
  <c r="M50" i="16" a="1"/>
  <c r="M50" i="16" s="1"/>
  <c r="N50" i="16" a="1"/>
  <c r="N50" i="16" s="1"/>
  <c r="B33" i="19" s="1"/>
  <c r="O50" i="16" a="1"/>
  <c r="O50" i="16" s="1"/>
  <c r="C33" i="19" s="1"/>
  <c r="P50" i="16" a="1"/>
  <c r="P50" i="16" s="1"/>
  <c r="D33" i="19" s="1"/>
  <c r="Q50" i="16" a="1"/>
  <c r="Q50" i="16" s="1"/>
  <c r="E33" i="19" s="1"/>
  <c r="R50" i="16" a="1"/>
  <c r="R50" i="16" s="1"/>
  <c r="B51" i="16" a="1"/>
  <c r="B51" i="16"/>
  <c r="C51" i="16" a="1"/>
  <c r="C51" i="16" s="1"/>
  <c r="D51" i="16" a="1"/>
  <c r="D51" i="16" s="1"/>
  <c r="E51" i="16" a="1"/>
  <c r="E51" i="16" s="1"/>
  <c r="F51" i="16" a="1"/>
  <c r="F51" i="16" s="1"/>
  <c r="G51" i="16" a="1"/>
  <c r="G51" i="16"/>
  <c r="H51" i="16" a="1"/>
  <c r="H51" i="16" s="1"/>
  <c r="I51" i="16" a="1"/>
  <c r="I51" i="16" s="1"/>
  <c r="J51" i="16" a="1"/>
  <c r="J51" i="16" s="1"/>
  <c r="K51" i="16" a="1"/>
  <c r="K51" i="16" s="1"/>
  <c r="L51" i="16" a="1"/>
  <c r="L51" i="16" s="1"/>
  <c r="M51" i="16" a="1"/>
  <c r="M51" i="16" s="1"/>
  <c r="N51" i="16" a="1"/>
  <c r="N51" i="16" s="1"/>
  <c r="B34" i="19" s="1"/>
  <c r="O51" i="16" a="1"/>
  <c r="O51" i="16" s="1"/>
  <c r="C34" i="19" s="1"/>
  <c r="P51" i="16" a="1"/>
  <c r="P51" i="16" s="1"/>
  <c r="D34" i="19" s="1"/>
  <c r="Q51" i="16" a="1"/>
  <c r="Q51" i="16" s="1"/>
  <c r="E34" i="19" s="1"/>
  <c r="R51" i="16" a="1"/>
  <c r="R51" i="16" s="1"/>
  <c r="B52" i="16" a="1"/>
  <c r="B52" i="16" s="1"/>
  <c r="C52" i="16" a="1"/>
  <c r="C52" i="16" s="1"/>
  <c r="D52" i="16" a="1"/>
  <c r="D52" i="16" s="1"/>
  <c r="E52" i="16" a="1"/>
  <c r="E52" i="16" s="1"/>
  <c r="F52" i="16" a="1"/>
  <c r="F52" i="16" s="1"/>
  <c r="G52" i="16" a="1"/>
  <c r="G52" i="16" s="1"/>
  <c r="H52" i="16" a="1"/>
  <c r="H52" i="16" s="1"/>
  <c r="I52" i="16" a="1"/>
  <c r="I52" i="16" s="1"/>
  <c r="J52" i="16" a="1"/>
  <c r="J52" i="16" s="1"/>
  <c r="K52" i="16" a="1"/>
  <c r="K52" i="16" s="1"/>
  <c r="L52" i="16" a="1"/>
  <c r="L52" i="16" s="1"/>
  <c r="M52" i="16" a="1"/>
  <c r="M52" i="16" s="1"/>
  <c r="N52" i="16" a="1"/>
  <c r="N52" i="16" s="1"/>
  <c r="B35" i="19" s="1"/>
  <c r="O52" i="16" a="1"/>
  <c r="O52" i="16" s="1"/>
  <c r="C35" i="19" s="1"/>
  <c r="P52" i="16" a="1"/>
  <c r="P52" i="16" s="1"/>
  <c r="D35" i="19" s="1"/>
  <c r="Q52" i="16" a="1"/>
  <c r="Q52" i="16" s="1"/>
  <c r="E35" i="19" s="1"/>
  <c r="R52" i="16" a="1"/>
  <c r="R52" i="16" s="1"/>
  <c r="B53" i="16" a="1"/>
  <c r="B53" i="16" s="1"/>
  <c r="C53" i="16" a="1"/>
  <c r="C53" i="16" s="1"/>
  <c r="D53" i="16" a="1"/>
  <c r="D53" i="16" s="1"/>
  <c r="E53" i="16" a="1"/>
  <c r="E53" i="16" s="1"/>
  <c r="F53" i="16" a="1"/>
  <c r="F53" i="16" s="1"/>
  <c r="G53" i="16" a="1"/>
  <c r="G53" i="16" s="1"/>
  <c r="H53" i="16" a="1"/>
  <c r="H53" i="16" s="1"/>
  <c r="I53" i="16" a="1"/>
  <c r="I53" i="16" s="1"/>
  <c r="J53" i="16" a="1"/>
  <c r="J53" i="16" s="1"/>
  <c r="K53" i="16" a="1"/>
  <c r="K53" i="16" s="1"/>
  <c r="L53" i="16" a="1"/>
  <c r="L53" i="16" s="1"/>
  <c r="M53" i="16" a="1"/>
  <c r="M53" i="16" s="1"/>
  <c r="N53" i="16" a="1"/>
  <c r="N53" i="16" s="1"/>
  <c r="B36" i="19" s="1"/>
  <c r="O53" i="16" a="1"/>
  <c r="O53" i="16" s="1"/>
  <c r="C36" i="19" s="1"/>
  <c r="P53" i="16" a="1"/>
  <c r="P53" i="16" s="1"/>
  <c r="D36" i="19" s="1"/>
  <c r="Q53" i="16" a="1"/>
  <c r="Q53" i="16" s="1"/>
  <c r="E36" i="19" s="1"/>
  <c r="R53" i="16" a="1"/>
  <c r="R53" i="16" s="1"/>
  <c r="B54" i="16" a="1"/>
  <c r="B54" i="16" s="1"/>
  <c r="C54" i="16" a="1"/>
  <c r="C54" i="16" s="1"/>
  <c r="D54" i="16" a="1"/>
  <c r="D54" i="16"/>
  <c r="E54" i="16" a="1"/>
  <c r="E54" i="16" s="1"/>
  <c r="F54" i="16" a="1"/>
  <c r="F54" i="16" s="1"/>
  <c r="G54" i="16" a="1"/>
  <c r="G54" i="16" s="1"/>
  <c r="H54" i="16" a="1"/>
  <c r="H54" i="16" s="1"/>
  <c r="I54" i="16" a="1"/>
  <c r="I54" i="16" s="1"/>
  <c r="J54" i="16" a="1"/>
  <c r="J54" i="16" s="1"/>
  <c r="K54" i="16" a="1"/>
  <c r="K54" i="16" s="1"/>
  <c r="L54" i="16" a="1"/>
  <c r="L54" i="16" s="1"/>
  <c r="M54" i="16" a="1"/>
  <c r="M54" i="16" s="1"/>
  <c r="N54" i="16" a="1"/>
  <c r="N54" i="16" s="1"/>
  <c r="B37" i="19" s="1"/>
  <c r="O54" i="16" a="1"/>
  <c r="O54" i="16" s="1"/>
  <c r="C37" i="19" s="1"/>
  <c r="P54" i="16" a="1"/>
  <c r="P54" i="16" s="1"/>
  <c r="D37" i="19" s="1"/>
  <c r="Q54" i="16" a="1"/>
  <c r="Q54" i="16" s="1"/>
  <c r="E37" i="19" s="1"/>
  <c r="R54" i="16" a="1"/>
  <c r="R54" i="16" s="1"/>
  <c r="B55" i="16" a="1"/>
  <c r="B55" i="16" s="1"/>
  <c r="C55" i="16" a="1"/>
  <c r="C55" i="16" s="1"/>
  <c r="D55" i="16" a="1"/>
  <c r="D55" i="16" s="1"/>
  <c r="E55" i="16" a="1"/>
  <c r="E55" i="16" s="1"/>
  <c r="F55" i="16" a="1"/>
  <c r="F55" i="16" s="1"/>
  <c r="G55" i="16" a="1"/>
  <c r="G55" i="16" s="1"/>
  <c r="H55" i="16" a="1"/>
  <c r="H55" i="16" s="1"/>
  <c r="I55" i="16" a="1"/>
  <c r="I55" i="16" s="1"/>
  <c r="J55" i="16" a="1"/>
  <c r="J55" i="16" s="1"/>
  <c r="K55" i="16" a="1"/>
  <c r="K55" i="16" s="1"/>
  <c r="L55" i="16" a="1"/>
  <c r="L55" i="16" s="1"/>
  <c r="M55" i="16" a="1"/>
  <c r="M55" i="16" s="1"/>
  <c r="N55" i="16" a="1"/>
  <c r="N55" i="16" s="1"/>
  <c r="B38" i="19" s="1"/>
  <c r="O55" i="16" a="1"/>
  <c r="O55" i="16" s="1"/>
  <c r="C38" i="19" s="1"/>
  <c r="P55" i="16" a="1"/>
  <c r="P55" i="16" s="1"/>
  <c r="D38" i="19" s="1"/>
  <c r="Q55" i="16" a="1"/>
  <c r="Q55" i="16" s="1"/>
  <c r="E38" i="19" s="1"/>
  <c r="R55" i="16" a="1"/>
  <c r="R55" i="16" s="1"/>
  <c r="B56" i="16" a="1"/>
  <c r="B56" i="16" s="1"/>
  <c r="C56" i="16" a="1"/>
  <c r="C56" i="16" s="1"/>
  <c r="D56" i="16" a="1"/>
  <c r="D56" i="16" s="1"/>
  <c r="E56" i="16" a="1"/>
  <c r="E56" i="16" s="1"/>
  <c r="F56" i="16" a="1"/>
  <c r="F56" i="16" s="1"/>
  <c r="G56" i="16" a="1"/>
  <c r="G56" i="16" s="1"/>
  <c r="H56" i="16" a="1"/>
  <c r="H56" i="16" s="1"/>
  <c r="I56" i="16" a="1"/>
  <c r="I56" i="16" s="1"/>
  <c r="J56" i="16" a="1"/>
  <c r="J56" i="16" s="1"/>
  <c r="K56" i="16" a="1"/>
  <c r="K56" i="16" s="1"/>
  <c r="L56" i="16" a="1"/>
  <c r="L56" i="16" s="1"/>
  <c r="M56" i="16" a="1"/>
  <c r="M56" i="16" s="1"/>
  <c r="N56" i="16" a="1"/>
  <c r="N56" i="16" s="1"/>
  <c r="B39" i="19" s="1"/>
  <c r="O56" i="16" a="1"/>
  <c r="O56" i="16" s="1"/>
  <c r="C39" i="19" s="1"/>
  <c r="P56" i="16" a="1"/>
  <c r="P56" i="16" s="1"/>
  <c r="D39" i="19" s="1"/>
  <c r="Q56" i="16" a="1"/>
  <c r="Q56" i="16" s="1"/>
  <c r="E39" i="19" s="1"/>
  <c r="R56" i="16" a="1"/>
  <c r="R56" i="16" s="1"/>
  <c r="B57" i="16" a="1"/>
  <c r="B57" i="16" s="1"/>
  <c r="C57" i="16" a="1"/>
  <c r="C57" i="16" s="1"/>
  <c r="D57" i="16" a="1"/>
  <c r="D57" i="16" s="1"/>
  <c r="E57" i="16" a="1"/>
  <c r="E57" i="16" s="1"/>
  <c r="F57" i="16" a="1"/>
  <c r="F57" i="16" s="1"/>
  <c r="G57" i="16" a="1"/>
  <c r="G57" i="16" s="1"/>
  <c r="H57" i="16" a="1"/>
  <c r="H57" i="16" s="1"/>
  <c r="I57" i="16" a="1"/>
  <c r="I57" i="16" s="1"/>
  <c r="J57" i="16" a="1"/>
  <c r="J57" i="16" s="1"/>
  <c r="K57" i="16" a="1"/>
  <c r="K57" i="16" s="1"/>
  <c r="L57" i="16" a="1"/>
  <c r="L57" i="16" s="1"/>
  <c r="M57" i="16" a="1"/>
  <c r="M57" i="16" s="1"/>
  <c r="N57" i="16" a="1"/>
  <c r="N57" i="16" s="1"/>
  <c r="B40" i="19" s="1"/>
  <c r="O57" i="16" a="1"/>
  <c r="O57" i="16" s="1"/>
  <c r="C40" i="19" s="1"/>
  <c r="P57" i="16" a="1"/>
  <c r="P57" i="16" s="1"/>
  <c r="D40" i="19" s="1"/>
  <c r="Q57" i="16" a="1"/>
  <c r="Q57" i="16" s="1"/>
  <c r="E40" i="19" s="1"/>
  <c r="R57" i="16" a="1"/>
  <c r="R57" i="16" s="1"/>
  <c r="B58" i="16" a="1"/>
  <c r="B58" i="16" s="1"/>
  <c r="C58" i="16" a="1"/>
  <c r="C58" i="16" s="1"/>
  <c r="D58" i="16" a="1"/>
  <c r="D58" i="16" s="1"/>
  <c r="E58" i="16" a="1"/>
  <c r="E58" i="16" s="1"/>
  <c r="F58" i="16" a="1"/>
  <c r="F58" i="16" s="1"/>
  <c r="G58" i="16" a="1"/>
  <c r="G58" i="16" s="1"/>
  <c r="H58" i="16" a="1"/>
  <c r="H58" i="16" s="1"/>
  <c r="I58" i="16" a="1"/>
  <c r="I58" i="16" s="1"/>
  <c r="J58" i="16" a="1"/>
  <c r="J58" i="16" s="1"/>
  <c r="K58" i="16" a="1"/>
  <c r="K58" i="16" s="1"/>
  <c r="L58" i="16" a="1"/>
  <c r="L58" i="16" s="1"/>
  <c r="M58" i="16" a="1"/>
  <c r="M58" i="16" s="1"/>
  <c r="N58" i="16" a="1"/>
  <c r="N58" i="16" s="1"/>
  <c r="B41" i="19" s="1"/>
  <c r="O58" i="16" a="1"/>
  <c r="O58" i="16" s="1"/>
  <c r="C41" i="19" s="1"/>
  <c r="P58" i="16" a="1"/>
  <c r="P58" i="16" s="1"/>
  <c r="D41" i="19" s="1"/>
  <c r="Q58" i="16" a="1"/>
  <c r="Q58" i="16" s="1"/>
  <c r="E41" i="19" s="1"/>
  <c r="R58" i="16" a="1"/>
  <c r="R58" i="16" s="1"/>
  <c r="B59" i="16" a="1"/>
  <c r="B59" i="16" s="1"/>
  <c r="C59" i="16" a="1"/>
  <c r="C59" i="16" s="1"/>
  <c r="D59" i="16" a="1"/>
  <c r="D59" i="16" s="1"/>
  <c r="E59" i="16" a="1"/>
  <c r="E59" i="16" s="1"/>
  <c r="F59" i="16" a="1"/>
  <c r="F59" i="16" s="1"/>
  <c r="G59" i="16" a="1"/>
  <c r="G59" i="16" s="1"/>
  <c r="H59" i="16" a="1"/>
  <c r="H59" i="16" s="1"/>
  <c r="I59" i="16" a="1"/>
  <c r="I59" i="16" s="1"/>
  <c r="J59" i="16" a="1"/>
  <c r="J59" i="16" s="1"/>
  <c r="K59" i="16" a="1"/>
  <c r="K59" i="16" s="1"/>
  <c r="L59" i="16" a="1"/>
  <c r="L59" i="16" s="1"/>
  <c r="M59" i="16" a="1"/>
  <c r="M59" i="16" s="1"/>
  <c r="N59" i="16" a="1"/>
  <c r="N59" i="16" s="1"/>
  <c r="B42" i="19" s="1"/>
  <c r="O59" i="16" a="1"/>
  <c r="O59" i="16" s="1"/>
  <c r="C42" i="19" s="1"/>
  <c r="P59" i="16" a="1"/>
  <c r="P59" i="16" s="1"/>
  <c r="D42" i="19" s="1"/>
  <c r="Q59" i="16" a="1"/>
  <c r="Q59" i="16" s="1"/>
  <c r="E42" i="19" s="1"/>
  <c r="R59" i="16" a="1"/>
  <c r="R59" i="16" s="1"/>
  <c r="B60" i="16" a="1"/>
  <c r="B60" i="16" s="1"/>
  <c r="C60" i="16" a="1"/>
  <c r="C60" i="16" s="1"/>
  <c r="D60" i="16" a="1"/>
  <c r="D60" i="16" s="1"/>
  <c r="E60" i="16" a="1"/>
  <c r="E60" i="16" s="1"/>
  <c r="F60" i="16" a="1"/>
  <c r="F60" i="16" s="1"/>
  <c r="G60" i="16" a="1"/>
  <c r="G60" i="16" s="1"/>
  <c r="H60" i="16" a="1"/>
  <c r="H60" i="16" s="1"/>
  <c r="I60" i="16" a="1"/>
  <c r="I60" i="16"/>
  <c r="J60" i="16" a="1"/>
  <c r="J60" i="16" s="1"/>
  <c r="K60" i="16" a="1"/>
  <c r="K60" i="16" s="1"/>
  <c r="L60" i="16" a="1"/>
  <c r="L60" i="16" s="1"/>
  <c r="M60" i="16" a="1"/>
  <c r="M60" i="16" s="1"/>
  <c r="N60" i="16" a="1"/>
  <c r="N60" i="16" s="1"/>
  <c r="B43" i="19" s="1"/>
  <c r="O60" i="16" a="1"/>
  <c r="O60" i="16" s="1"/>
  <c r="C43" i="19" s="1"/>
  <c r="P60" i="16" a="1"/>
  <c r="P60" i="16" s="1"/>
  <c r="D43" i="19" s="1"/>
  <c r="Q60" i="16" a="1"/>
  <c r="Q60" i="16" s="1"/>
  <c r="E43" i="19" s="1"/>
  <c r="R60" i="16" a="1"/>
  <c r="R60" i="16" s="1"/>
  <c r="B61" i="16" a="1"/>
  <c r="B61" i="16" s="1"/>
  <c r="C61" i="16" a="1"/>
  <c r="C61" i="16" s="1"/>
  <c r="D61" i="16" a="1"/>
  <c r="D61" i="16" s="1"/>
  <c r="E61" i="16" a="1"/>
  <c r="E61" i="16" s="1"/>
  <c r="F61" i="16" a="1"/>
  <c r="F61" i="16" s="1"/>
  <c r="G61" i="16" a="1"/>
  <c r="G61" i="16" s="1"/>
  <c r="H61" i="16" a="1"/>
  <c r="H61" i="16" s="1"/>
  <c r="I61" i="16" a="1"/>
  <c r="I61" i="16" s="1"/>
  <c r="J61" i="16" a="1"/>
  <c r="J61" i="16" s="1"/>
  <c r="K61" i="16" a="1"/>
  <c r="K61" i="16" s="1"/>
  <c r="L61" i="16" a="1"/>
  <c r="L61" i="16" s="1"/>
  <c r="M61" i="16" a="1"/>
  <c r="M61" i="16" s="1"/>
  <c r="N61" i="16" a="1"/>
  <c r="N61" i="16" s="1"/>
  <c r="O61" i="16" a="1"/>
  <c r="O61" i="16" s="1"/>
  <c r="P61" i="16" a="1"/>
  <c r="P61" i="16" s="1"/>
  <c r="Q61" i="16" a="1"/>
  <c r="Q61" i="16" s="1"/>
  <c r="R61" i="16" a="1"/>
  <c r="R61" i="16" s="1"/>
  <c r="B62" i="16" a="1"/>
  <c r="B62" i="16" s="1"/>
  <c r="C62" i="16" a="1"/>
  <c r="C62" i="16" s="1"/>
  <c r="D62" i="16" a="1"/>
  <c r="D62" i="16" s="1"/>
  <c r="E62" i="16" a="1"/>
  <c r="E62" i="16" s="1"/>
  <c r="F62" i="16" a="1"/>
  <c r="F62" i="16" s="1"/>
  <c r="G62" i="16" a="1"/>
  <c r="G62" i="16" s="1"/>
  <c r="H62" i="16" a="1"/>
  <c r="H62" i="16" s="1"/>
  <c r="I62" i="16" a="1"/>
  <c r="I62" i="16" s="1"/>
  <c r="J62" i="16" a="1"/>
  <c r="J62" i="16" s="1"/>
  <c r="K62" i="16" a="1"/>
  <c r="K62" i="16" s="1"/>
  <c r="L62" i="16" a="1"/>
  <c r="L62" i="16" s="1"/>
  <c r="M62" i="16" a="1"/>
  <c r="M62" i="16" s="1"/>
  <c r="N62" i="16" a="1"/>
  <c r="N62" i="16" s="1"/>
  <c r="O62" i="16" a="1"/>
  <c r="O62" i="16" s="1"/>
  <c r="P62" i="16" a="1"/>
  <c r="P62" i="16" s="1"/>
  <c r="Q62" i="16" a="1"/>
  <c r="Q62" i="16" s="1"/>
  <c r="R62" i="16" a="1"/>
  <c r="R62" i="16" s="1"/>
  <c r="B63" i="16" a="1"/>
  <c r="B63" i="16" s="1"/>
  <c r="C63" i="16" a="1"/>
  <c r="C63" i="16" s="1"/>
  <c r="D63" i="16" a="1"/>
  <c r="D63" i="16" s="1"/>
  <c r="E63" i="16" a="1"/>
  <c r="E63" i="16" s="1"/>
  <c r="F63" i="16" a="1"/>
  <c r="F63" i="16" s="1"/>
  <c r="G63" i="16" a="1"/>
  <c r="G63" i="16" s="1"/>
  <c r="H63" i="16" a="1"/>
  <c r="H63" i="16" s="1"/>
  <c r="I63" i="16" a="1"/>
  <c r="I63" i="16" s="1"/>
  <c r="J63" i="16" a="1"/>
  <c r="J63" i="16" s="1"/>
  <c r="K63" i="16" a="1"/>
  <c r="K63" i="16" s="1"/>
  <c r="L63" i="16" a="1"/>
  <c r="L63" i="16" s="1"/>
  <c r="M63" i="16" a="1"/>
  <c r="M63" i="16"/>
  <c r="N63" i="16" a="1"/>
  <c r="N63" i="16" s="1"/>
  <c r="O63" i="16" a="1"/>
  <c r="O63" i="16" s="1"/>
  <c r="P63" i="16" a="1"/>
  <c r="P63" i="16" s="1"/>
  <c r="Q63" i="16" a="1"/>
  <c r="Q63" i="16" s="1"/>
  <c r="R63" i="16" a="1"/>
  <c r="R63" i="16" s="1"/>
  <c r="B64" i="16" a="1"/>
  <c r="B64" i="16" s="1"/>
  <c r="C64" i="16" a="1"/>
  <c r="C64" i="16" s="1"/>
  <c r="D64" i="16" a="1"/>
  <c r="D64" i="16" s="1"/>
  <c r="E64" i="16" a="1"/>
  <c r="E64" i="16" s="1"/>
  <c r="F64" i="16" a="1"/>
  <c r="F64" i="16" s="1"/>
  <c r="G64" i="16" a="1"/>
  <c r="G64" i="16" s="1"/>
  <c r="H64" i="16" a="1"/>
  <c r="H64" i="16" s="1"/>
  <c r="I64" i="16" a="1"/>
  <c r="I64" i="16" s="1"/>
  <c r="J64" i="16" a="1"/>
  <c r="J64" i="16" s="1"/>
  <c r="K64" i="16" a="1"/>
  <c r="K64" i="16" s="1"/>
  <c r="L64" i="16" a="1"/>
  <c r="L64" i="16"/>
  <c r="M64" i="16" a="1"/>
  <c r="M64" i="16" s="1"/>
  <c r="N64" i="16" a="1"/>
  <c r="N64" i="16" s="1"/>
  <c r="O64" i="16" a="1"/>
  <c r="O64" i="16" s="1"/>
  <c r="P64" i="16" a="1"/>
  <c r="P64" i="16"/>
  <c r="Q64" i="16" a="1"/>
  <c r="Q64" i="16" s="1"/>
  <c r="R64" i="16" a="1"/>
  <c r="R64" i="16" s="1"/>
  <c r="B65" i="16" a="1"/>
  <c r="B65" i="16" s="1"/>
  <c r="C65" i="16" a="1"/>
  <c r="C65" i="16"/>
  <c r="D65" i="16" a="1"/>
  <c r="D65" i="16" s="1"/>
  <c r="E65" i="16" a="1"/>
  <c r="E65" i="16" s="1"/>
  <c r="F65" i="16" a="1"/>
  <c r="F65" i="16" s="1"/>
  <c r="G65" i="16" a="1"/>
  <c r="G65" i="16" s="1"/>
  <c r="H65" i="16" a="1"/>
  <c r="H65" i="16" s="1"/>
  <c r="I65" i="16" a="1"/>
  <c r="I65" i="16" s="1"/>
  <c r="J65" i="16" a="1"/>
  <c r="J65" i="16" s="1"/>
  <c r="K65" i="16" a="1"/>
  <c r="K65" i="16" s="1"/>
  <c r="L65" i="16" a="1"/>
  <c r="L65" i="16" s="1"/>
  <c r="M65" i="16" a="1"/>
  <c r="M65" i="16" s="1"/>
  <c r="N65" i="16" a="1"/>
  <c r="N65" i="16" s="1"/>
  <c r="O65" i="16" a="1"/>
  <c r="O65" i="16" s="1"/>
  <c r="P65" i="16" a="1"/>
  <c r="P65" i="16" s="1"/>
  <c r="Q65" i="16" a="1"/>
  <c r="Q65" i="16" s="1"/>
  <c r="R65" i="16" a="1"/>
  <c r="R65" i="16" s="1"/>
  <c r="B66" i="16" a="1"/>
  <c r="B66" i="16" s="1"/>
  <c r="C66" i="16" a="1"/>
  <c r="C66" i="16" s="1"/>
  <c r="D66" i="16" a="1"/>
  <c r="D66" i="16" s="1"/>
  <c r="E66" i="16" a="1"/>
  <c r="E66" i="16" s="1"/>
  <c r="F66" i="16" a="1"/>
  <c r="F66" i="16" s="1"/>
  <c r="G66" i="16" a="1"/>
  <c r="G66" i="16" s="1"/>
  <c r="H66" i="16" a="1"/>
  <c r="H66" i="16" s="1"/>
  <c r="I66" i="16" a="1"/>
  <c r="I66" i="16" s="1"/>
  <c r="J66" i="16" a="1"/>
  <c r="J66" i="16"/>
  <c r="K66" i="16" a="1"/>
  <c r="K66" i="16" s="1"/>
  <c r="L66" i="16" a="1"/>
  <c r="L66" i="16" s="1"/>
  <c r="M66" i="16" a="1"/>
  <c r="M66" i="16" s="1"/>
  <c r="N66" i="16" a="1"/>
  <c r="N66" i="16" s="1"/>
  <c r="O66" i="16" a="1"/>
  <c r="O66" i="16" s="1"/>
  <c r="P66" i="16" a="1"/>
  <c r="P66" i="16" s="1"/>
  <c r="Q66" i="16" a="1"/>
  <c r="Q66" i="16" s="1"/>
  <c r="R66" i="16" a="1"/>
  <c r="R66" i="16" s="1"/>
  <c r="B67" i="16" a="1"/>
  <c r="B67" i="16" s="1"/>
  <c r="C67" i="16" a="1"/>
  <c r="C67" i="16" s="1"/>
  <c r="D67" i="16" a="1"/>
  <c r="D67" i="16" s="1"/>
  <c r="E67" i="16" a="1"/>
  <c r="E67" i="16" s="1"/>
  <c r="F67" i="16" a="1"/>
  <c r="F67" i="16" s="1"/>
  <c r="G67" i="16" a="1"/>
  <c r="G67" i="16" s="1"/>
  <c r="H67" i="16" a="1"/>
  <c r="H67" i="16" s="1"/>
  <c r="I67" i="16" a="1"/>
  <c r="I67" i="16"/>
  <c r="J67" i="16" a="1"/>
  <c r="J67" i="16" s="1"/>
  <c r="K67" i="16" a="1"/>
  <c r="K67" i="16" s="1"/>
  <c r="L67" i="16" a="1"/>
  <c r="L67" i="16" s="1"/>
  <c r="M67" i="16" a="1"/>
  <c r="M67" i="16" s="1"/>
  <c r="N67" i="16" a="1"/>
  <c r="N67" i="16" s="1"/>
  <c r="O67" i="16" a="1"/>
  <c r="O67" i="16" s="1"/>
  <c r="P67" i="16" a="1"/>
  <c r="P67" i="16" s="1"/>
  <c r="Q67" i="16" a="1"/>
  <c r="Q67" i="16" s="1"/>
  <c r="R67" i="16" a="1"/>
  <c r="R67" i="16" s="1"/>
  <c r="B68" i="16" a="1"/>
  <c r="B68" i="16" s="1"/>
  <c r="C68" i="16" a="1"/>
  <c r="C68" i="16" s="1"/>
  <c r="D68" i="16" a="1"/>
  <c r="D68" i="16" s="1"/>
  <c r="E68" i="16" a="1"/>
  <c r="E68" i="16" s="1"/>
  <c r="F68" i="16" a="1"/>
  <c r="F68" i="16" s="1"/>
  <c r="G68" i="16" a="1"/>
  <c r="G68" i="16" s="1"/>
  <c r="H68" i="16" a="1"/>
  <c r="H68" i="16"/>
  <c r="I68" i="16" a="1"/>
  <c r="I68" i="16" s="1"/>
  <c r="J68" i="16" a="1"/>
  <c r="J68" i="16" s="1"/>
  <c r="K68" i="16" a="1"/>
  <c r="K68" i="16" s="1"/>
  <c r="L68" i="16" a="1"/>
  <c r="L68" i="16"/>
  <c r="M68" i="16" a="1"/>
  <c r="M68" i="16" s="1"/>
  <c r="N68" i="16" a="1"/>
  <c r="N68" i="16" s="1"/>
  <c r="O68" i="16" a="1"/>
  <c r="O68" i="16" s="1"/>
  <c r="P68" i="16" a="1"/>
  <c r="P68" i="16"/>
  <c r="Q68" i="16" a="1"/>
  <c r="Q68" i="16" s="1"/>
  <c r="R68" i="16" a="1"/>
  <c r="R68" i="16" s="1"/>
  <c r="B69" i="16" a="1"/>
  <c r="B69" i="16" s="1"/>
  <c r="C69" i="16" a="1"/>
  <c r="C69" i="16" s="1"/>
  <c r="D69" i="16" a="1"/>
  <c r="D69" i="16" s="1"/>
  <c r="E69" i="16" a="1"/>
  <c r="E69" i="16" s="1"/>
  <c r="F69" i="16" a="1"/>
  <c r="F69" i="16" s="1"/>
  <c r="G69" i="16" a="1"/>
  <c r="G69" i="16" s="1"/>
  <c r="H69" i="16" a="1"/>
  <c r="H69" i="16" s="1"/>
  <c r="I69" i="16" a="1"/>
  <c r="I69" i="16" s="1"/>
  <c r="J69" i="16" a="1"/>
  <c r="J69" i="16" s="1"/>
  <c r="K69" i="16" a="1"/>
  <c r="K69" i="16" s="1"/>
  <c r="L69" i="16" a="1"/>
  <c r="L69" i="16" s="1"/>
  <c r="M69" i="16" a="1"/>
  <c r="M69" i="16" s="1"/>
  <c r="N69" i="16" a="1"/>
  <c r="N69" i="16" s="1"/>
  <c r="O69" i="16" a="1"/>
  <c r="O69" i="16" s="1"/>
  <c r="P69" i="16" a="1"/>
  <c r="P69" i="16" s="1"/>
  <c r="Q69" i="16" a="1"/>
  <c r="Q69" i="16" s="1"/>
  <c r="R69" i="16" a="1"/>
  <c r="R69" i="16" s="1"/>
  <c r="B70" i="16" a="1"/>
  <c r="B70" i="16" s="1"/>
  <c r="C70" i="16" a="1"/>
  <c r="C70" i="16" s="1"/>
  <c r="D70" i="16" a="1"/>
  <c r="D70" i="16" s="1"/>
  <c r="E70" i="16" a="1"/>
  <c r="E70" i="16" s="1"/>
  <c r="F70" i="16" a="1"/>
  <c r="F70" i="16"/>
  <c r="G70" i="16" a="1"/>
  <c r="G70" i="16" s="1"/>
  <c r="H70" i="16" a="1"/>
  <c r="H70" i="16" s="1"/>
  <c r="I70" i="16" a="1"/>
  <c r="I70" i="16" s="1"/>
  <c r="J70" i="16" a="1"/>
  <c r="J70" i="16" s="1"/>
  <c r="K70" i="16" a="1"/>
  <c r="K70" i="16" s="1"/>
  <c r="L70" i="16" a="1"/>
  <c r="L70" i="16" s="1"/>
  <c r="M70" i="16" a="1"/>
  <c r="M70" i="16" s="1"/>
  <c r="N70" i="16" a="1"/>
  <c r="N70" i="16" s="1"/>
  <c r="O70" i="16" a="1"/>
  <c r="O70" i="16" s="1"/>
  <c r="P70" i="16" a="1"/>
  <c r="P70" i="16" s="1"/>
  <c r="Q70" i="16" a="1"/>
  <c r="Q70" i="16" s="1"/>
  <c r="R70" i="16" a="1"/>
  <c r="R70" i="16" s="1"/>
  <c r="B71" i="16" a="1"/>
  <c r="B71" i="16" s="1"/>
  <c r="C71" i="16" a="1"/>
  <c r="C71" i="16" s="1"/>
  <c r="D71" i="16" a="1"/>
  <c r="D71" i="16" s="1"/>
  <c r="E71" i="16" a="1"/>
  <c r="E71" i="16"/>
  <c r="F71" i="16" a="1"/>
  <c r="F71" i="16" s="1"/>
  <c r="G71" i="16" a="1"/>
  <c r="G71" i="16" s="1"/>
  <c r="H71" i="16" a="1"/>
  <c r="H71" i="16" s="1"/>
  <c r="I71" i="16" a="1"/>
  <c r="I71" i="16" s="1"/>
  <c r="J71" i="16" a="1"/>
  <c r="J71" i="16" s="1"/>
  <c r="K71" i="16" a="1"/>
  <c r="K71" i="16" s="1"/>
  <c r="L71" i="16" a="1"/>
  <c r="L71" i="16" s="1"/>
  <c r="M71" i="16" a="1"/>
  <c r="M71" i="16" s="1"/>
  <c r="N71" i="16" a="1"/>
  <c r="N71" i="16" s="1"/>
  <c r="O71" i="16" a="1"/>
  <c r="O71" i="16" s="1"/>
  <c r="P71" i="16" a="1"/>
  <c r="P71" i="16" s="1"/>
  <c r="Q71" i="16" a="1"/>
  <c r="Q71" i="16" s="1"/>
  <c r="R71" i="16" a="1"/>
  <c r="R71" i="16" s="1"/>
  <c r="B72" i="16" a="1"/>
  <c r="B72" i="16" s="1"/>
  <c r="C72" i="16" a="1"/>
  <c r="C72" i="16" s="1"/>
  <c r="D72" i="16" a="1"/>
  <c r="D72" i="16"/>
  <c r="E72" i="16" a="1"/>
  <c r="E72" i="16" s="1"/>
  <c r="F72" i="16" a="1"/>
  <c r="F72" i="16" s="1"/>
  <c r="G72" i="16" a="1"/>
  <c r="G72" i="16" s="1"/>
  <c r="H72" i="16" a="1"/>
  <c r="H72" i="16"/>
  <c r="I72" i="16" a="1"/>
  <c r="I72" i="16" s="1"/>
  <c r="J72" i="16" a="1"/>
  <c r="J72" i="16" s="1"/>
  <c r="K72" i="16" a="1"/>
  <c r="K72" i="16" s="1"/>
  <c r="L72" i="16" a="1"/>
  <c r="L72" i="16"/>
  <c r="M72" i="16" a="1"/>
  <c r="M72" i="16" s="1"/>
  <c r="N72" i="16" a="1"/>
  <c r="N72" i="16" s="1"/>
  <c r="O72" i="16" a="1"/>
  <c r="O72" i="16" s="1"/>
  <c r="P72" i="16" a="1"/>
  <c r="P72" i="16" s="1"/>
  <c r="Q72" i="16" a="1"/>
  <c r="Q72" i="16" s="1"/>
  <c r="R72" i="16" a="1"/>
  <c r="R72" i="16" s="1"/>
  <c r="B73" i="16" a="1"/>
  <c r="B73" i="16" s="1"/>
  <c r="C73" i="16" a="1"/>
  <c r="C73" i="16" s="1"/>
  <c r="D73" i="16" a="1"/>
  <c r="D73" i="16" s="1"/>
  <c r="E73" i="16" a="1"/>
  <c r="E73" i="16" s="1"/>
  <c r="F73" i="16" a="1"/>
  <c r="F73" i="16" s="1"/>
  <c r="G73" i="16" a="1"/>
  <c r="G73" i="16" s="1"/>
  <c r="H73" i="16" a="1"/>
  <c r="H73" i="16" s="1"/>
  <c r="I73" i="16" a="1"/>
  <c r="I73" i="16" s="1"/>
  <c r="J73" i="16" a="1"/>
  <c r="J73" i="16" s="1"/>
  <c r="K73" i="16" a="1"/>
  <c r="K73" i="16" s="1"/>
  <c r="L73" i="16" a="1"/>
  <c r="L73" i="16" s="1"/>
  <c r="M73" i="16" a="1"/>
  <c r="M73" i="16" s="1"/>
  <c r="N73" i="16" a="1"/>
  <c r="N73" i="16" s="1"/>
  <c r="O73" i="16" a="1"/>
  <c r="O73" i="16" s="1"/>
  <c r="P73" i="16" a="1"/>
  <c r="P73" i="16" s="1"/>
  <c r="Q73" i="16" a="1"/>
  <c r="Q73" i="16" s="1"/>
  <c r="R73" i="16" a="1"/>
  <c r="R73" i="16" s="1"/>
  <c r="B74" i="16" a="1"/>
  <c r="B74" i="16"/>
  <c r="C74" i="16" a="1"/>
  <c r="C74" i="16" s="1"/>
  <c r="D74" i="16" a="1"/>
  <c r="D74" i="16" s="1"/>
  <c r="E74" i="16" a="1"/>
  <c r="E74" i="16" s="1"/>
  <c r="F74" i="16" a="1"/>
  <c r="F74" i="16" s="1"/>
  <c r="G74" i="16" a="1"/>
  <c r="G74" i="16" s="1"/>
  <c r="H74" i="16" a="1"/>
  <c r="H74" i="16" s="1"/>
  <c r="I74" i="16" a="1"/>
  <c r="I74" i="16" s="1"/>
  <c r="J74" i="16" a="1"/>
  <c r="J74" i="16" s="1"/>
  <c r="K74" i="16" a="1"/>
  <c r="K74" i="16" s="1"/>
  <c r="L74" i="16" a="1"/>
  <c r="L74" i="16" s="1"/>
  <c r="M74" i="16" a="1"/>
  <c r="M74" i="16" s="1"/>
  <c r="N74" i="16" a="1"/>
  <c r="N74" i="16" s="1"/>
  <c r="O74" i="16" a="1"/>
  <c r="O74" i="16" s="1"/>
  <c r="P74" i="16" a="1"/>
  <c r="P74" i="16" s="1"/>
  <c r="Q74" i="16" a="1"/>
  <c r="Q74" i="16" s="1"/>
  <c r="R74" i="16" a="1"/>
  <c r="R74" i="16"/>
  <c r="B75" i="16" a="1"/>
  <c r="B75" i="16" s="1"/>
  <c r="C75" i="16" a="1"/>
  <c r="C75" i="16" s="1"/>
  <c r="D75" i="16" a="1"/>
  <c r="D75" i="16" s="1"/>
  <c r="E75" i="16" a="1"/>
  <c r="E75" i="16" s="1"/>
  <c r="F75" i="16" a="1"/>
  <c r="F75" i="16" s="1"/>
  <c r="G75" i="16" a="1"/>
  <c r="G75" i="16" s="1"/>
  <c r="H75" i="16" a="1"/>
  <c r="H75" i="16" s="1"/>
  <c r="I75" i="16" a="1"/>
  <c r="I75" i="16" s="1"/>
  <c r="J75" i="16" a="1"/>
  <c r="J75" i="16" s="1"/>
  <c r="K75" i="16" a="1"/>
  <c r="K75" i="16" s="1"/>
  <c r="L75" i="16" a="1"/>
  <c r="L75" i="16" s="1"/>
  <c r="M75" i="16" a="1"/>
  <c r="M75" i="16" s="1"/>
  <c r="N75" i="16" a="1"/>
  <c r="N75" i="16" s="1"/>
  <c r="O75" i="16" a="1"/>
  <c r="O75" i="16" s="1"/>
  <c r="P75" i="16" a="1"/>
  <c r="P75" i="16"/>
  <c r="Q75" i="16" a="1"/>
  <c r="Q75" i="16" s="1"/>
  <c r="R75" i="16" a="1"/>
  <c r="R75" i="16" s="1"/>
  <c r="B76" i="16" a="1"/>
  <c r="B76" i="16" s="1"/>
  <c r="C76" i="16" a="1"/>
  <c r="C76" i="16" s="1"/>
  <c r="D76" i="16" a="1"/>
  <c r="D76" i="16"/>
  <c r="E76" i="16" a="1"/>
  <c r="E76" i="16"/>
  <c r="F76" i="16" a="1"/>
  <c r="F76" i="16" s="1"/>
  <c r="G76" i="16" a="1"/>
  <c r="G76" i="16"/>
  <c r="H76" i="16" a="1"/>
  <c r="H76" i="16"/>
  <c r="I76" i="16" a="1"/>
  <c r="I76" i="16" s="1"/>
  <c r="J76" i="16" a="1"/>
  <c r="J76" i="16" s="1"/>
  <c r="K76" i="16" a="1"/>
  <c r="K76" i="16"/>
  <c r="L76" i="16" a="1"/>
  <c r="L76" i="16" s="1"/>
  <c r="M76" i="16" a="1"/>
  <c r="M76" i="16"/>
  <c r="N76" i="16" a="1"/>
  <c r="N76" i="16" s="1"/>
  <c r="O76" i="16" a="1"/>
  <c r="O76" i="16" s="1"/>
  <c r="P76" i="16" a="1"/>
  <c r="P76" i="16" s="1"/>
  <c r="Q76" i="16" a="1"/>
  <c r="Q76" i="16" s="1"/>
  <c r="R76" i="16" a="1"/>
  <c r="R76" i="16" s="1"/>
  <c r="B77" i="16" a="1"/>
  <c r="B77" i="16" s="1"/>
  <c r="C77" i="16" a="1"/>
  <c r="C77" i="16" s="1"/>
  <c r="D77" i="16" a="1"/>
  <c r="D77" i="16"/>
  <c r="E77" i="16" a="1"/>
  <c r="E77" i="16" s="1"/>
  <c r="F77" i="16" a="1"/>
  <c r="F77" i="16"/>
  <c r="G77" i="16" a="1"/>
  <c r="G77" i="16" s="1"/>
  <c r="H77" i="16" a="1"/>
  <c r="H77" i="16"/>
  <c r="I77" i="16" a="1"/>
  <c r="I77" i="16" s="1"/>
  <c r="J77" i="16" a="1"/>
  <c r="J77" i="16"/>
  <c r="K77" i="16" a="1"/>
  <c r="K77" i="16" s="1"/>
  <c r="L77" i="16" a="1"/>
  <c r="L77" i="16"/>
  <c r="M77" i="16" a="1"/>
  <c r="M77" i="16" s="1"/>
  <c r="N77" i="16" a="1"/>
  <c r="N77" i="16" s="1"/>
  <c r="O77" i="16" a="1"/>
  <c r="O77" i="16" s="1"/>
  <c r="P77" i="16" a="1"/>
  <c r="P77" i="16" s="1"/>
  <c r="Q77" i="16" a="1"/>
  <c r="Q77" i="16" s="1"/>
  <c r="R77" i="16" a="1"/>
  <c r="R77" i="16" s="1"/>
  <c r="B78" i="16" a="1"/>
  <c r="B78" i="16" s="1"/>
  <c r="C78" i="16" a="1"/>
  <c r="C78" i="16"/>
  <c r="D78" i="16" a="1"/>
  <c r="D78" i="16" s="1"/>
  <c r="E78" i="16" a="1"/>
  <c r="E78" i="16"/>
  <c r="F78" i="16" a="1"/>
  <c r="F78" i="16" s="1"/>
  <c r="G78" i="16" a="1"/>
  <c r="G78" i="16"/>
  <c r="H78" i="16" a="1"/>
  <c r="H78" i="16" s="1"/>
  <c r="I78" i="16" a="1"/>
  <c r="I78" i="16"/>
  <c r="J78" i="16" a="1"/>
  <c r="J78" i="16" s="1"/>
  <c r="K78" i="16" a="1"/>
  <c r="K78" i="16" s="1"/>
  <c r="L78" i="16" a="1"/>
  <c r="L78" i="16" s="1"/>
  <c r="M78" i="16" a="1"/>
  <c r="M78" i="16"/>
  <c r="N78" i="16" a="1"/>
  <c r="N78" i="16" s="1"/>
  <c r="O78" i="16" a="1"/>
  <c r="O78" i="16" s="1"/>
  <c r="P78" i="16" a="1"/>
  <c r="P78" i="16" s="1"/>
  <c r="Q78" i="16" a="1"/>
  <c r="Q78" i="16"/>
  <c r="R78" i="16" a="1"/>
  <c r="R78" i="16" s="1"/>
  <c r="B79" i="16" a="1"/>
  <c r="B79" i="16" s="1"/>
  <c r="C79" i="16" a="1"/>
  <c r="C79" i="16" s="1"/>
  <c r="D79" i="16" a="1"/>
  <c r="D79" i="16"/>
  <c r="E79" i="16" a="1"/>
  <c r="E79" i="16" s="1"/>
  <c r="F79" i="16" a="1"/>
  <c r="F79" i="16" s="1"/>
  <c r="G79" i="16" a="1"/>
  <c r="G79" i="16" s="1"/>
  <c r="H79" i="16" a="1"/>
  <c r="H79" i="16" s="1"/>
  <c r="I79" i="16" a="1"/>
  <c r="I79" i="16" s="1"/>
  <c r="J79" i="16" a="1"/>
  <c r="J79" i="16" s="1"/>
  <c r="K79" i="16" a="1"/>
  <c r="K79" i="16" s="1"/>
  <c r="L79" i="16" a="1"/>
  <c r="L79" i="16" s="1"/>
  <c r="M79" i="16" a="1"/>
  <c r="M79" i="16" s="1"/>
  <c r="N79" i="16" a="1"/>
  <c r="N79" i="16" s="1"/>
  <c r="O79" i="16" a="1"/>
  <c r="O79" i="16" s="1"/>
  <c r="P79" i="16" a="1"/>
  <c r="P79" i="16" s="1"/>
  <c r="Q79" i="16" a="1"/>
  <c r="Q79" i="16" s="1"/>
  <c r="R79" i="16" a="1"/>
  <c r="R79" i="16" s="1"/>
  <c r="B80" i="16" a="1"/>
  <c r="B80" i="16" s="1"/>
  <c r="C80" i="16" a="1"/>
  <c r="C80" i="16"/>
  <c r="D80" i="16" a="1"/>
  <c r="D80" i="16" s="1"/>
  <c r="E80" i="16" a="1"/>
  <c r="E80" i="16" s="1"/>
  <c r="F80" i="16" a="1"/>
  <c r="F80" i="16" s="1"/>
  <c r="G80" i="16" a="1"/>
  <c r="G80" i="16"/>
  <c r="H80" i="16" a="1"/>
  <c r="H80" i="16" s="1"/>
  <c r="I80" i="16" a="1"/>
  <c r="I80" i="16" s="1"/>
  <c r="J80" i="16" a="1"/>
  <c r="J80" i="16" s="1"/>
  <c r="K80" i="16" a="1"/>
  <c r="K80" i="16"/>
  <c r="L80" i="16" a="1"/>
  <c r="L80" i="16" s="1"/>
  <c r="M80" i="16" a="1"/>
  <c r="M80" i="16" s="1"/>
  <c r="N80" i="16" a="1"/>
  <c r="N80" i="16" s="1"/>
  <c r="O80" i="16" a="1"/>
  <c r="O80" i="16"/>
  <c r="P80" i="16" a="1"/>
  <c r="P80" i="16" s="1"/>
  <c r="Q80" i="16" a="1"/>
  <c r="Q80" i="16" s="1"/>
  <c r="R80" i="16" a="1"/>
  <c r="R80" i="16" s="1"/>
  <c r="B81" i="16" a="1"/>
  <c r="B81" i="16"/>
  <c r="C81" i="16" a="1"/>
  <c r="C81" i="16" s="1"/>
  <c r="D81" i="16" a="1"/>
  <c r="D81" i="16" s="1"/>
  <c r="E81" i="16" a="1"/>
  <c r="E81" i="16" s="1"/>
  <c r="F81" i="16" a="1"/>
  <c r="F81" i="16" s="1"/>
  <c r="G81" i="16" a="1"/>
  <c r="G81" i="16" s="1"/>
  <c r="H81" i="16" a="1"/>
  <c r="H81" i="16" s="1"/>
  <c r="I81" i="16" a="1"/>
  <c r="I81" i="16" s="1"/>
  <c r="J81" i="16" a="1"/>
  <c r="J81" i="16" s="1"/>
  <c r="K81" i="16" a="1"/>
  <c r="K81" i="16" s="1"/>
  <c r="L81" i="16" a="1"/>
  <c r="L81" i="16" s="1"/>
  <c r="M81" i="16" a="1"/>
  <c r="M81" i="16" s="1"/>
  <c r="N81" i="16" a="1"/>
  <c r="N81" i="16" s="1"/>
  <c r="O81" i="16" a="1"/>
  <c r="O81" i="16" s="1"/>
  <c r="P81" i="16" a="1"/>
  <c r="P81" i="16" s="1"/>
  <c r="Q81" i="16" a="1"/>
  <c r="Q81" i="16" s="1"/>
  <c r="R81" i="16" a="1"/>
  <c r="R81" i="16"/>
  <c r="B82" i="16" a="1"/>
  <c r="B82" i="16" s="1"/>
  <c r="C82" i="16" a="1"/>
  <c r="C82" i="16" s="1"/>
  <c r="D82" i="16" a="1"/>
  <c r="D82" i="16" s="1"/>
  <c r="E82" i="16" a="1"/>
  <c r="E82" i="16"/>
  <c r="F82" i="16" a="1"/>
  <c r="F82" i="16" s="1"/>
  <c r="G82" i="16" a="1"/>
  <c r="G82" i="16" s="1"/>
  <c r="H82" i="16" a="1"/>
  <c r="H82" i="16" s="1"/>
  <c r="I82" i="16" a="1"/>
  <c r="I82" i="16"/>
  <c r="J82" i="16" a="1"/>
  <c r="J82" i="16" s="1"/>
  <c r="K82" i="16" a="1"/>
  <c r="K82" i="16" s="1"/>
  <c r="L82" i="16" a="1"/>
  <c r="L82" i="16" s="1"/>
  <c r="M82" i="16" a="1"/>
  <c r="M82" i="16"/>
  <c r="N82" i="16" a="1"/>
  <c r="N82" i="16" s="1"/>
  <c r="O82" i="16" a="1"/>
  <c r="O82" i="16" s="1"/>
  <c r="P82" i="16" a="1"/>
  <c r="P82" i="16" s="1"/>
  <c r="Q82" i="16" a="1"/>
  <c r="Q82" i="16" s="1"/>
  <c r="R82" i="16" a="1"/>
  <c r="R82" i="16" s="1"/>
  <c r="B83" i="16" a="1"/>
  <c r="B83" i="16" s="1"/>
  <c r="C83" i="16" a="1"/>
  <c r="C83" i="16" s="1"/>
  <c r="D83" i="16" a="1"/>
  <c r="D83" i="16" s="1"/>
  <c r="E83" i="16" a="1"/>
  <c r="E83" i="16" s="1"/>
  <c r="F83" i="16" a="1"/>
  <c r="F83" i="16" s="1"/>
  <c r="G83" i="16" a="1"/>
  <c r="G83" i="16" s="1"/>
  <c r="H83" i="16" a="1"/>
  <c r="H83" i="16" s="1"/>
  <c r="I83" i="16" a="1"/>
  <c r="I83" i="16" s="1"/>
  <c r="J83" i="16" a="1"/>
  <c r="J83" i="16" s="1"/>
  <c r="K83" i="16" a="1"/>
  <c r="K83" i="16" s="1"/>
  <c r="L83" i="16" a="1"/>
  <c r="L83" i="16" s="1"/>
  <c r="M83" i="16" a="1"/>
  <c r="M83" i="16" s="1"/>
  <c r="N83" i="16" a="1"/>
  <c r="N83" i="16" s="1"/>
  <c r="O83" i="16" a="1"/>
  <c r="O83" i="16" s="1"/>
  <c r="P83" i="16" a="1"/>
  <c r="P83" i="16"/>
  <c r="Q83" i="16" a="1"/>
  <c r="Q83" i="16" s="1"/>
  <c r="R83" i="16" a="1"/>
  <c r="R83" i="16" s="1"/>
  <c r="B84" i="16" a="1"/>
  <c r="B84" i="16" s="1"/>
  <c r="C84" i="16" a="1"/>
  <c r="C84" i="16"/>
  <c r="D84" i="16" a="1"/>
  <c r="D84" i="16" s="1"/>
  <c r="E84" i="16" a="1"/>
  <c r="E84" i="16" s="1"/>
  <c r="F84" i="16" a="1"/>
  <c r="F84" i="16" s="1"/>
  <c r="G84" i="16" a="1"/>
  <c r="G84" i="16"/>
  <c r="H84" i="16" a="1"/>
  <c r="H84" i="16" s="1"/>
  <c r="I84" i="16" a="1"/>
  <c r="I84" i="16" s="1"/>
  <c r="J84" i="16" a="1"/>
  <c r="J84" i="16" s="1"/>
  <c r="K84" i="16" a="1"/>
  <c r="K84" i="16"/>
  <c r="L84" i="16" a="1"/>
  <c r="L84" i="16" s="1"/>
  <c r="M84" i="16" a="1"/>
  <c r="M84" i="16" s="1"/>
  <c r="N84" i="16" a="1"/>
  <c r="N84" i="16" s="1"/>
  <c r="O84" i="16" a="1"/>
  <c r="O84" i="16"/>
  <c r="P84" i="16" a="1"/>
  <c r="P84" i="16" s="1"/>
  <c r="Q84" i="16" a="1"/>
  <c r="Q84" i="16" s="1"/>
  <c r="R84" i="16" a="1"/>
  <c r="R84" i="16" s="1"/>
  <c r="C7" i="16" a="1"/>
  <c r="C7" i="16" s="1"/>
  <c r="D7" i="16" a="1"/>
  <c r="D7" i="16" s="1"/>
  <c r="E7" i="16" a="1"/>
  <c r="E7" i="16" s="1"/>
  <c r="F7" i="16" a="1"/>
  <c r="F7" i="16"/>
  <c r="G7" i="16" a="1"/>
  <c r="G7" i="16" s="1"/>
  <c r="H7" i="16" a="1"/>
  <c r="H7" i="16" s="1"/>
  <c r="I7" i="16" a="1"/>
  <c r="I7" i="16" s="1"/>
  <c r="J7" i="16" a="1"/>
  <c r="J7" i="16" s="1"/>
  <c r="K7" i="16" a="1"/>
  <c r="K7" i="16" s="1"/>
  <c r="L7" i="16" a="1"/>
  <c r="L7" i="16" s="1"/>
  <c r="M7" i="16" a="1"/>
  <c r="M7" i="16" s="1"/>
  <c r="N7" i="16" a="1"/>
  <c r="N7" i="16" s="1"/>
  <c r="O7" i="16" a="1"/>
  <c r="O7" i="16" s="1"/>
  <c r="P7" i="16" a="1"/>
  <c r="P7" i="16" s="1"/>
  <c r="Q7" i="16" a="1"/>
  <c r="Q7" i="16" s="1"/>
  <c r="R7" i="16" a="1"/>
  <c r="R7" i="16"/>
  <c r="B7" i="16" a="1"/>
  <c r="B7" i="16" s="1"/>
  <c r="B1" i="16"/>
  <c r="P1" i="16" s="1"/>
  <c r="B6" i="16" a="1"/>
  <c r="B6" i="16" s="1"/>
  <c r="A8" i="16"/>
  <c r="M85" i="19" l="1"/>
  <c r="M128" i="19"/>
  <c r="I42" i="19"/>
  <c r="M84" i="19"/>
  <c r="M127" i="19"/>
  <c r="AA127" i="19" s="1"/>
  <c r="AI17" i="3" s="1"/>
  <c r="I41" i="19"/>
  <c r="M122" i="19"/>
  <c r="M79" i="19"/>
  <c r="I36" i="19"/>
  <c r="M74" i="19"/>
  <c r="M117" i="19"/>
  <c r="I31" i="19"/>
  <c r="M103" i="19"/>
  <c r="AA103" i="19" s="1"/>
  <c r="M60" i="19"/>
  <c r="I17" i="19"/>
  <c r="M76" i="19"/>
  <c r="I33" i="19"/>
  <c r="M119" i="19"/>
  <c r="F33" i="19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M102" i="19"/>
  <c r="M59" i="19"/>
  <c r="I16" i="19"/>
  <c r="M83" i="19"/>
  <c r="I40" i="19"/>
  <c r="M126" i="19"/>
  <c r="M71" i="19"/>
  <c r="M114" i="19"/>
  <c r="AA114" i="19" s="1"/>
  <c r="AI4" i="3" s="1"/>
  <c r="I28" i="19"/>
  <c r="M69" i="19"/>
  <c r="M112" i="19"/>
  <c r="I26" i="19"/>
  <c r="M67" i="19"/>
  <c r="M110" i="19"/>
  <c r="I24" i="19"/>
  <c r="M65" i="19"/>
  <c r="Q65" i="19" s="1"/>
  <c r="H65" i="19"/>
  <c r="G22" i="19"/>
  <c r="I22" i="19"/>
  <c r="I65" i="19"/>
  <c r="J65" i="19"/>
  <c r="C65" i="19"/>
  <c r="K65" i="19"/>
  <c r="D65" i="19"/>
  <c r="R65" i="19" s="1"/>
  <c r="L65" i="19"/>
  <c r="E65" i="19"/>
  <c r="B65" i="19"/>
  <c r="F65" i="19"/>
  <c r="M108" i="19"/>
  <c r="AA108" i="19" s="1"/>
  <c r="G65" i="19"/>
  <c r="M62" i="19"/>
  <c r="M105" i="19"/>
  <c r="AA105" i="19" s="1"/>
  <c r="I19" i="19"/>
  <c r="M99" i="19"/>
  <c r="I13" i="19"/>
  <c r="M56" i="19"/>
  <c r="M82" i="19"/>
  <c r="I39" i="19"/>
  <c r="M125" i="19"/>
  <c r="M78" i="19"/>
  <c r="I35" i="19"/>
  <c r="M121" i="19"/>
  <c r="M63" i="19"/>
  <c r="M106" i="19"/>
  <c r="I20" i="19"/>
  <c r="M75" i="19"/>
  <c r="I32" i="19"/>
  <c r="M118" i="19"/>
  <c r="AA118" i="19" s="1"/>
  <c r="AI8" i="3" s="1"/>
  <c r="M72" i="19"/>
  <c r="M115" i="19"/>
  <c r="I29" i="19"/>
  <c r="M61" i="19"/>
  <c r="M104" i="19"/>
  <c r="AA104" i="19" s="1"/>
  <c r="I18" i="19"/>
  <c r="M129" i="19"/>
  <c r="AA129" i="19" s="1"/>
  <c r="AI19" i="3" s="1"/>
  <c r="I43" i="19"/>
  <c r="M86" i="19"/>
  <c r="M81" i="19"/>
  <c r="I38" i="19"/>
  <c r="M124" i="19"/>
  <c r="M64" i="19"/>
  <c r="M107" i="19"/>
  <c r="I21" i="19"/>
  <c r="I15" i="19"/>
  <c r="M101" i="19"/>
  <c r="AA101" i="19" s="1"/>
  <c r="M58" i="19"/>
  <c r="M123" i="19"/>
  <c r="AA123" i="19" s="1"/>
  <c r="AI13" i="3" s="1"/>
  <c r="M80" i="19"/>
  <c r="I37" i="19"/>
  <c r="M77" i="19"/>
  <c r="I34" i="19"/>
  <c r="M120" i="19"/>
  <c r="AA120" i="19" s="1"/>
  <c r="AI10" i="3" s="1"/>
  <c r="M73" i="19"/>
  <c r="M116" i="19"/>
  <c r="AA116" i="19" s="1"/>
  <c r="AI6" i="3" s="1"/>
  <c r="I30" i="19"/>
  <c r="M70" i="19"/>
  <c r="M113" i="19"/>
  <c r="AA113" i="19" s="1"/>
  <c r="AI3" i="3" s="1"/>
  <c r="I27" i="19"/>
  <c r="M68" i="19"/>
  <c r="M111" i="19"/>
  <c r="AA111" i="19" s="1"/>
  <c r="I25" i="19"/>
  <c r="M109" i="19"/>
  <c r="AA109" i="19" s="1"/>
  <c r="M66" i="19"/>
  <c r="I23" i="19"/>
  <c r="I14" i="19"/>
  <c r="M100" i="19"/>
  <c r="M57" i="19"/>
  <c r="Y65" i="19"/>
  <c r="I1" i="16"/>
  <c r="Q1" i="16"/>
  <c r="C1" i="16"/>
  <c r="K1" i="16"/>
  <c r="A9" i="16"/>
  <c r="D1" i="16"/>
  <c r="L1" i="16"/>
  <c r="E1" i="16"/>
  <c r="M1" i="16"/>
  <c r="F1" i="16"/>
  <c r="J1" i="16"/>
  <c r="R1" i="16"/>
  <c r="N1" i="16"/>
  <c r="G1" i="16"/>
  <c r="O1" i="16"/>
  <c r="H1" i="16"/>
  <c r="B224" i="13"/>
  <c r="C224" i="13"/>
  <c r="D224" i="13"/>
  <c r="E224" i="13"/>
  <c r="F224" i="13"/>
  <c r="G224" i="13"/>
  <c r="H224" i="13"/>
  <c r="I224" i="13"/>
  <c r="J224" i="13"/>
  <c r="K224" i="13"/>
  <c r="L224" i="13"/>
  <c r="B225" i="13"/>
  <c r="C225" i="13"/>
  <c r="D225" i="13"/>
  <c r="E225" i="13"/>
  <c r="F225" i="13"/>
  <c r="G225" i="13"/>
  <c r="H225" i="13"/>
  <c r="I225" i="13"/>
  <c r="J225" i="13"/>
  <c r="K225" i="13"/>
  <c r="L225" i="13"/>
  <c r="B226" i="13"/>
  <c r="C226" i="13"/>
  <c r="D226" i="13"/>
  <c r="E226" i="13"/>
  <c r="F226" i="13"/>
  <c r="G226" i="13"/>
  <c r="H226" i="13"/>
  <c r="I226" i="13"/>
  <c r="J226" i="13"/>
  <c r="K226" i="13"/>
  <c r="L226" i="13"/>
  <c r="B227" i="13"/>
  <c r="C227" i="13"/>
  <c r="D227" i="13"/>
  <c r="E227" i="13"/>
  <c r="F227" i="13"/>
  <c r="G227" i="13"/>
  <c r="H227" i="13"/>
  <c r="I227" i="13"/>
  <c r="J227" i="13"/>
  <c r="K227" i="13"/>
  <c r="L227" i="13"/>
  <c r="B228" i="13"/>
  <c r="C228" i="13"/>
  <c r="D228" i="13"/>
  <c r="E228" i="13"/>
  <c r="F228" i="13"/>
  <c r="G228" i="13"/>
  <c r="H228" i="13"/>
  <c r="I228" i="13"/>
  <c r="J228" i="13"/>
  <c r="K228" i="13"/>
  <c r="L228" i="13"/>
  <c r="B229" i="13"/>
  <c r="C229" i="13"/>
  <c r="D229" i="13"/>
  <c r="E229" i="13"/>
  <c r="F229" i="13"/>
  <c r="G229" i="13"/>
  <c r="H229" i="13"/>
  <c r="I229" i="13"/>
  <c r="J229" i="13"/>
  <c r="K229" i="13"/>
  <c r="L229" i="13"/>
  <c r="B230" i="13"/>
  <c r="C230" i="13"/>
  <c r="D230" i="13"/>
  <c r="E230" i="13"/>
  <c r="F230" i="13"/>
  <c r="G230" i="13"/>
  <c r="H230" i="13"/>
  <c r="I230" i="13"/>
  <c r="J230" i="13"/>
  <c r="K230" i="13"/>
  <c r="L230" i="13"/>
  <c r="B231" i="13"/>
  <c r="C231" i="13"/>
  <c r="D231" i="13"/>
  <c r="E231" i="13"/>
  <c r="F231" i="13"/>
  <c r="G231" i="13"/>
  <c r="H231" i="13"/>
  <c r="I231" i="13"/>
  <c r="J231" i="13"/>
  <c r="K231" i="13"/>
  <c r="L231" i="13"/>
  <c r="B232" i="13"/>
  <c r="C232" i="13"/>
  <c r="D232" i="13"/>
  <c r="E232" i="13"/>
  <c r="F232" i="13"/>
  <c r="G232" i="13"/>
  <c r="H232" i="13"/>
  <c r="I232" i="13"/>
  <c r="J232" i="13"/>
  <c r="K232" i="13"/>
  <c r="L232" i="13"/>
  <c r="B233" i="13"/>
  <c r="C233" i="13"/>
  <c r="D233" i="13"/>
  <c r="E233" i="13"/>
  <c r="F233" i="13"/>
  <c r="G233" i="13"/>
  <c r="H233" i="13"/>
  <c r="I233" i="13"/>
  <c r="J233" i="13"/>
  <c r="K233" i="13"/>
  <c r="L233" i="13"/>
  <c r="B234" i="13"/>
  <c r="C234" i="13"/>
  <c r="D234" i="13"/>
  <c r="E234" i="13"/>
  <c r="F234" i="13"/>
  <c r="G234" i="13"/>
  <c r="H234" i="13"/>
  <c r="I234" i="13"/>
  <c r="J234" i="13"/>
  <c r="K234" i="13"/>
  <c r="L234" i="13"/>
  <c r="B235" i="13"/>
  <c r="C235" i="13"/>
  <c r="D235" i="13"/>
  <c r="E235" i="13"/>
  <c r="F235" i="13"/>
  <c r="G235" i="13"/>
  <c r="H235" i="13"/>
  <c r="I235" i="13"/>
  <c r="J235" i="13"/>
  <c r="K235" i="13"/>
  <c r="L235" i="13"/>
  <c r="B236" i="13"/>
  <c r="C236" i="13"/>
  <c r="D236" i="13"/>
  <c r="E236" i="13"/>
  <c r="F236" i="13"/>
  <c r="G236" i="13"/>
  <c r="H236" i="13"/>
  <c r="I236" i="13"/>
  <c r="J236" i="13"/>
  <c r="K236" i="13"/>
  <c r="L236" i="13"/>
  <c r="B237" i="13"/>
  <c r="C237" i="13"/>
  <c r="D237" i="13"/>
  <c r="E237" i="13"/>
  <c r="F237" i="13"/>
  <c r="G237" i="13"/>
  <c r="H237" i="13"/>
  <c r="I237" i="13"/>
  <c r="J237" i="13"/>
  <c r="K237" i="13"/>
  <c r="L237" i="13"/>
  <c r="B238" i="13"/>
  <c r="C238" i="13"/>
  <c r="D238" i="13"/>
  <c r="E238" i="13"/>
  <c r="F238" i="13"/>
  <c r="G238" i="13"/>
  <c r="H238" i="13"/>
  <c r="I238" i="13"/>
  <c r="J238" i="13"/>
  <c r="K238" i="13"/>
  <c r="L238" i="13"/>
  <c r="B239" i="13"/>
  <c r="C239" i="13"/>
  <c r="D239" i="13"/>
  <c r="E239" i="13"/>
  <c r="F239" i="13"/>
  <c r="G239" i="13"/>
  <c r="H239" i="13"/>
  <c r="I239" i="13"/>
  <c r="J239" i="13"/>
  <c r="K239" i="13"/>
  <c r="L239" i="13"/>
  <c r="B240" i="13"/>
  <c r="C240" i="13"/>
  <c r="D240" i="13"/>
  <c r="E240" i="13"/>
  <c r="F240" i="13"/>
  <c r="G240" i="13"/>
  <c r="H240" i="13"/>
  <c r="I240" i="13"/>
  <c r="J240" i="13"/>
  <c r="K240" i="13"/>
  <c r="L240" i="13"/>
  <c r="B241" i="13"/>
  <c r="C241" i="13"/>
  <c r="D241" i="13"/>
  <c r="E241" i="13"/>
  <c r="F241" i="13"/>
  <c r="G241" i="13"/>
  <c r="H241" i="13"/>
  <c r="I241" i="13"/>
  <c r="J241" i="13"/>
  <c r="K241" i="13"/>
  <c r="L241" i="13"/>
  <c r="B242" i="13"/>
  <c r="C242" i="13"/>
  <c r="D242" i="13"/>
  <c r="E242" i="13"/>
  <c r="F242" i="13"/>
  <c r="G242" i="13"/>
  <c r="H242" i="13"/>
  <c r="I242" i="13"/>
  <c r="J242" i="13"/>
  <c r="K242" i="13"/>
  <c r="L242" i="13"/>
  <c r="B243" i="13"/>
  <c r="C243" i="13"/>
  <c r="D243" i="13"/>
  <c r="E243" i="13"/>
  <c r="F243" i="13"/>
  <c r="G243" i="13"/>
  <c r="H243" i="13"/>
  <c r="I243" i="13"/>
  <c r="J243" i="13"/>
  <c r="K243" i="13"/>
  <c r="L243" i="13"/>
  <c r="B244" i="13"/>
  <c r="C244" i="13"/>
  <c r="D244" i="13"/>
  <c r="E244" i="13"/>
  <c r="F244" i="13"/>
  <c r="G244" i="13"/>
  <c r="H244" i="13"/>
  <c r="I244" i="13"/>
  <c r="J244" i="13"/>
  <c r="K244" i="13"/>
  <c r="L244" i="13"/>
  <c r="B245" i="13"/>
  <c r="C245" i="13"/>
  <c r="D245" i="13"/>
  <c r="E245" i="13"/>
  <c r="F245" i="13"/>
  <c r="G245" i="13"/>
  <c r="H245" i="13"/>
  <c r="I245" i="13"/>
  <c r="J245" i="13"/>
  <c r="K245" i="13"/>
  <c r="L245" i="13"/>
  <c r="B246" i="13"/>
  <c r="C246" i="13"/>
  <c r="D246" i="13"/>
  <c r="E246" i="13"/>
  <c r="F246" i="13"/>
  <c r="G246" i="13"/>
  <c r="H246" i="13"/>
  <c r="I246" i="13"/>
  <c r="J246" i="13"/>
  <c r="K246" i="13"/>
  <c r="L246" i="13"/>
  <c r="B247" i="13"/>
  <c r="C247" i="13"/>
  <c r="D247" i="13"/>
  <c r="E247" i="13"/>
  <c r="F247" i="13"/>
  <c r="G247" i="13"/>
  <c r="H247" i="13"/>
  <c r="I247" i="13"/>
  <c r="J247" i="13"/>
  <c r="K247" i="13"/>
  <c r="L247" i="13"/>
  <c r="C223" i="13"/>
  <c r="D223" i="13"/>
  <c r="E223" i="13"/>
  <c r="F223" i="13"/>
  <c r="G223" i="13"/>
  <c r="H223" i="13"/>
  <c r="I223" i="13"/>
  <c r="J223" i="13"/>
  <c r="K223" i="13"/>
  <c r="L223" i="13"/>
  <c r="B223" i="13"/>
  <c r="O162" i="13"/>
  <c r="P162" i="13"/>
  <c r="Q162" i="13"/>
  <c r="R162" i="13"/>
  <c r="S162" i="13"/>
  <c r="T162" i="13"/>
  <c r="U162" i="13"/>
  <c r="V162" i="13"/>
  <c r="W162" i="13"/>
  <c r="X162" i="13"/>
  <c r="Y162" i="13"/>
  <c r="O163" i="13"/>
  <c r="P163" i="13"/>
  <c r="Q163" i="13"/>
  <c r="R163" i="13"/>
  <c r="S163" i="13"/>
  <c r="T163" i="13"/>
  <c r="U163" i="13"/>
  <c r="V163" i="13"/>
  <c r="W163" i="13"/>
  <c r="X163" i="13"/>
  <c r="Y163" i="13"/>
  <c r="O164" i="13"/>
  <c r="P164" i="13"/>
  <c r="Q164" i="13"/>
  <c r="R164" i="13"/>
  <c r="S164" i="13"/>
  <c r="T164" i="13"/>
  <c r="U164" i="13"/>
  <c r="V164" i="13"/>
  <c r="W164" i="13"/>
  <c r="X164" i="13"/>
  <c r="Y164" i="13"/>
  <c r="O165" i="13"/>
  <c r="P165" i="13"/>
  <c r="Q165" i="13"/>
  <c r="R165" i="13"/>
  <c r="S165" i="13"/>
  <c r="T165" i="13"/>
  <c r="U165" i="13"/>
  <c r="V165" i="13"/>
  <c r="W165" i="13"/>
  <c r="X165" i="13"/>
  <c r="Y165" i="13"/>
  <c r="O166" i="13"/>
  <c r="P166" i="13"/>
  <c r="Q166" i="13"/>
  <c r="R166" i="13"/>
  <c r="S166" i="13"/>
  <c r="T166" i="13"/>
  <c r="U166" i="13"/>
  <c r="V166" i="13"/>
  <c r="W166" i="13"/>
  <c r="X166" i="13"/>
  <c r="Y166" i="13"/>
  <c r="O167" i="13"/>
  <c r="P167" i="13"/>
  <c r="Q167" i="13"/>
  <c r="R167" i="13"/>
  <c r="S167" i="13"/>
  <c r="T167" i="13"/>
  <c r="U167" i="13"/>
  <c r="V167" i="13"/>
  <c r="W167" i="13"/>
  <c r="X167" i="13"/>
  <c r="Y167" i="13"/>
  <c r="O168" i="13"/>
  <c r="P168" i="13"/>
  <c r="Q168" i="13"/>
  <c r="R168" i="13"/>
  <c r="S168" i="13"/>
  <c r="T168" i="13"/>
  <c r="U168" i="13"/>
  <c r="V168" i="13"/>
  <c r="W168" i="13"/>
  <c r="X168" i="13"/>
  <c r="Y168" i="13"/>
  <c r="O169" i="13"/>
  <c r="P169" i="13"/>
  <c r="Q169" i="13"/>
  <c r="R169" i="13"/>
  <c r="S169" i="13"/>
  <c r="T169" i="13"/>
  <c r="U169" i="13"/>
  <c r="V169" i="13"/>
  <c r="W169" i="13"/>
  <c r="X169" i="13"/>
  <c r="Y169" i="13"/>
  <c r="O170" i="13"/>
  <c r="P170" i="13"/>
  <c r="Q170" i="13"/>
  <c r="R170" i="13"/>
  <c r="S170" i="13"/>
  <c r="T170" i="13"/>
  <c r="U170" i="13"/>
  <c r="V170" i="13"/>
  <c r="W170" i="13"/>
  <c r="X170" i="13"/>
  <c r="Y170" i="13"/>
  <c r="O171" i="13"/>
  <c r="P171" i="13"/>
  <c r="Q171" i="13"/>
  <c r="R171" i="13"/>
  <c r="S171" i="13"/>
  <c r="T171" i="13"/>
  <c r="U171" i="13"/>
  <c r="V171" i="13"/>
  <c r="W171" i="13"/>
  <c r="X171" i="13"/>
  <c r="Y171" i="13"/>
  <c r="O172" i="13"/>
  <c r="P172" i="13"/>
  <c r="Q172" i="13"/>
  <c r="R172" i="13"/>
  <c r="S172" i="13"/>
  <c r="T172" i="13"/>
  <c r="U172" i="13"/>
  <c r="V172" i="13"/>
  <c r="W172" i="13"/>
  <c r="X172" i="13"/>
  <c r="Y172" i="13"/>
  <c r="O173" i="13"/>
  <c r="P173" i="13"/>
  <c r="Q173" i="13"/>
  <c r="R173" i="13"/>
  <c r="S173" i="13"/>
  <c r="T173" i="13"/>
  <c r="U173" i="13"/>
  <c r="V173" i="13"/>
  <c r="W173" i="13"/>
  <c r="X173" i="13"/>
  <c r="Y173" i="13"/>
  <c r="O174" i="13"/>
  <c r="P174" i="13"/>
  <c r="Q174" i="13"/>
  <c r="R174" i="13"/>
  <c r="S174" i="13"/>
  <c r="T174" i="13"/>
  <c r="U174" i="13"/>
  <c r="V174" i="13"/>
  <c r="W174" i="13"/>
  <c r="X174" i="13"/>
  <c r="Y174" i="13"/>
  <c r="O175" i="13"/>
  <c r="P175" i="13"/>
  <c r="Q175" i="13"/>
  <c r="R175" i="13"/>
  <c r="S175" i="13"/>
  <c r="T175" i="13"/>
  <c r="U175" i="13"/>
  <c r="V175" i="13"/>
  <c r="W175" i="13"/>
  <c r="X175" i="13"/>
  <c r="Y175" i="13"/>
  <c r="O176" i="13"/>
  <c r="P176" i="13"/>
  <c r="Q176" i="13"/>
  <c r="R176" i="13"/>
  <c r="S176" i="13"/>
  <c r="T176" i="13"/>
  <c r="U176" i="13"/>
  <c r="V176" i="13"/>
  <c r="W176" i="13"/>
  <c r="X176" i="13"/>
  <c r="Y176" i="13"/>
  <c r="O177" i="13"/>
  <c r="P177" i="13"/>
  <c r="Q177" i="13"/>
  <c r="R177" i="13"/>
  <c r="S177" i="13"/>
  <c r="T177" i="13"/>
  <c r="U177" i="13"/>
  <c r="V177" i="13"/>
  <c r="W177" i="13"/>
  <c r="X177" i="13"/>
  <c r="Y177" i="13"/>
  <c r="O178" i="13"/>
  <c r="P178" i="13"/>
  <c r="Q178" i="13"/>
  <c r="R178" i="13"/>
  <c r="S178" i="13"/>
  <c r="T178" i="13"/>
  <c r="U178" i="13"/>
  <c r="V178" i="13"/>
  <c r="W178" i="13"/>
  <c r="X178" i="13"/>
  <c r="Y178" i="13"/>
  <c r="O179" i="13"/>
  <c r="P179" i="13"/>
  <c r="Q179" i="13"/>
  <c r="R179" i="13"/>
  <c r="S179" i="13"/>
  <c r="T179" i="13"/>
  <c r="U179" i="13"/>
  <c r="V179" i="13"/>
  <c r="W179" i="13"/>
  <c r="X179" i="13"/>
  <c r="Y179" i="13"/>
  <c r="O180" i="13"/>
  <c r="P180" i="13"/>
  <c r="Q180" i="13"/>
  <c r="R180" i="13"/>
  <c r="S180" i="13"/>
  <c r="T180" i="13"/>
  <c r="U180" i="13"/>
  <c r="V180" i="13"/>
  <c r="W180" i="13"/>
  <c r="X180" i="13"/>
  <c r="Y180" i="13"/>
  <c r="O181" i="13"/>
  <c r="P181" i="13"/>
  <c r="Q181" i="13"/>
  <c r="R181" i="13"/>
  <c r="S181" i="13"/>
  <c r="T181" i="13"/>
  <c r="U181" i="13"/>
  <c r="V181" i="13"/>
  <c r="W181" i="13"/>
  <c r="X181" i="13"/>
  <c r="Y181" i="13"/>
  <c r="O182" i="13"/>
  <c r="P182" i="13"/>
  <c r="Q182" i="13"/>
  <c r="R182" i="13"/>
  <c r="S182" i="13"/>
  <c r="T182" i="13"/>
  <c r="U182" i="13"/>
  <c r="V182" i="13"/>
  <c r="W182" i="13"/>
  <c r="X182" i="13"/>
  <c r="Y182" i="13"/>
  <c r="O183" i="13"/>
  <c r="P183" i="13"/>
  <c r="Q183" i="13"/>
  <c r="R183" i="13"/>
  <c r="S183" i="13"/>
  <c r="T183" i="13"/>
  <c r="U183" i="13"/>
  <c r="V183" i="13"/>
  <c r="W183" i="13"/>
  <c r="X183" i="13"/>
  <c r="Y183" i="13"/>
  <c r="O184" i="13"/>
  <c r="P184" i="13"/>
  <c r="Q184" i="13"/>
  <c r="R184" i="13"/>
  <c r="S184" i="13"/>
  <c r="T184" i="13"/>
  <c r="U184" i="13"/>
  <c r="V184" i="13"/>
  <c r="W184" i="13"/>
  <c r="X184" i="13"/>
  <c r="Y184" i="13"/>
  <c r="O185" i="13"/>
  <c r="P185" i="13"/>
  <c r="Q185" i="13"/>
  <c r="R185" i="13"/>
  <c r="S185" i="13"/>
  <c r="T185" i="13"/>
  <c r="U185" i="13"/>
  <c r="V185" i="13"/>
  <c r="W185" i="13"/>
  <c r="X185" i="13"/>
  <c r="Y185" i="13"/>
  <c r="P161" i="13"/>
  <c r="Q161" i="13"/>
  <c r="R161" i="13"/>
  <c r="S161" i="13"/>
  <c r="T161" i="13"/>
  <c r="U161" i="13"/>
  <c r="V161" i="13"/>
  <c r="W161" i="13"/>
  <c r="X161" i="13"/>
  <c r="Y161" i="13"/>
  <c r="O161" i="13"/>
  <c r="B162" i="13"/>
  <c r="C162" i="13"/>
  <c r="D162" i="13"/>
  <c r="E162" i="13"/>
  <c r="F162" i="13"/>
  <c r="G162" i="13"/>
  <c r="H162" i="13"/>
  <c r="I162" i="13"/>
  <c r="J162" i="13"/>
  <c r="K162" i="13"/>
  <c r="L162" i="13"/>
  <c r="B163" i="13"/>
  <c r="C163" i="13"/>
  <c r="D163" i="13"/>
  <c r="E163" i="13"/>
  <c r="F163" i="13"/>
  <c r="G163" i="13"/>
  <c r="H163" i="13"/>
  <c r="I163" i="13"/>
  <c r="J163" i="13"/>
  <c r="K163" i="13"/>
  <c r="L163" i="13"/>
  <c r="B164" i="13"/>
  <c r="C164" i="13"/>
  <c r="D164" i="13"/>
  <c r="E164" i="13"/>
  <c r="F164" i="13"/>
  <c r="G164" i="13"/>
  <c r="H164" i="13"/>
  <c r="I164" i="13"/>
  <c r="J164" i="13"/>
  <c r="K164" i="13"/>
  <c r="L164" i="13"/>
  <c r="B165" i="13"/>
  <c r="C165" i="13"/>
  <c r="D165" i="13"/>
  <c r="E165" i="13"/>
  <c r="F165" i="13"/>
  <c r="G165" i="13"/>
  <c r="H165" i="13"/>
  <c r="I165" i="13"/>
  <c r="J165" i="13"/>
  <c r="K165" i="13"/>
  <c r="L165" i="13"/>
  <c r="B166" i="13"/>
  <c r="C166" i="13"/>
  <c r="D166" i="13"/>
  <c r="E166" i="13"/>
  <c r="F166" i="13"/>
  <c r="G166" i="13"/>
  <c r="H166" i="13"/>
  <c r="I166" i="13"/>
  <c r="J166" i="13"/>
  <c r="K166" i="13"/>
  <c r="L166" i="13"/>
  <c r="B167" i="13"/>
  <c r="C167" i="13"/>
  <c r="D167" i="13"/>
  <c r="E167" i="13"/>
  <c r="F167" i="13"/>
  <c r="G167" i="13"/>
  <c r="H167" i="13"/>
  <c r="I167" i="13"/>
  <c r="J167" i="13"/>
  <c r="K167" i="13"/>
  <c r="L167" i="13"/>
  <c r="B168" i="13"/>
  <c r="C168" i="13"/>
  <c r="D168" i="13"/>
  <c r="E168" i="13"/>
  <c r="F168" i="13"/>
  <c r="G168" i="13"/>
  <c r="H168" i="13"/>
  <c r="I168" i="13"/>
  <c r="J168" i="13"/>
  <c r="K168" i="13"/>
  <c r="L168" i="13"/>
  <c r="B169" i="13"/>
  <c r="C169" i="13"/>
  <c r="D169" i="13"/>
  <c r="E169" i="13"/>
  <c r="F169" i="13"/>
  <c r="G169" i="13"/>
  <c r="H169" i="13"/>
  <c r="I169" i="13"/>
  <c r="J169" i="13"/>
  <c r="K169" i="13"/>
  <c r="L169" i="13"/>
  <c r="B170" i="13"/>
  <c r="C170" i="13"/>
  <c r="D170" i="13"/>
  <c r="E170" i="13"/>
  <c r="F170" i="13"/>
  <c r="G170" i="13"/>
  <c r="H170" i="13"/>
  <c r="I170" i="13"/>
  <c r="J170" i="13"/>
  <c r="K170" i="13"/>
  <c r="L170" i="13"/>
  <c r="B171" i="13"/>
  <c r="C171" i="13"/>
  <c r="D171" i="13"/>
  <c r="E171" i="13"/>
  <c r="F171" i="13"/>
  <c r="G171" i="13"/>
  <c r="H171" i="13"/>
  <c r="I171" i="13"/>
  <c r="J171" i="13"/>
  <c r="K171" i="13"/>
  <c r="L171" i="13"/>
  <c r="B172" i="13"/>
  <c r="C172" i="13"/>
  <c r="D172" i="13"/>
  <c r="E172" i="13"/>
  <c r="F172" i="13"/>
  <c r="G172" i="13"/>
  <c r="H172" i="13"/>
  <c r="I172" i="13"/>
  <c r="J172" i="13"/>
  <c r="K172" i="13"/>
  <c r="L172" i="13"/>
  <c r="B173" i="13"/>
  <c r="C173" i="13"/>
  <c r="D173" i="13"/>
  <c r="E173" i="13"/>
  <c r="F173" i="13"/>
  <c r="G173" i="13"/>
  <c r="H173" i="13"/>
  <c r="I173" i="13"/>
  <c r="J173" i="13"/>
  <c r="K173" i="13"/>
  <c r="L173" i="13"/>
  <c r="B174" i="13"/>
  <c r="C174" i="13"/>
  <c r="D174" i="13"/>
  <c r="E174" i="13"/>
  <c r="F174" i="13"/>
  <c r="G174" i="13"/>
  <c r="H174" i="13"/>
  <c r="I174" i="13"/>
  <c r="J174" i="13"/>
  <c r="K174" i="13"/>
  <c r="L174" i="13"/>
  <c r="B175" i="13"/>
  <c r="C175" i="13"/>
  <c r="D175" i="13"/>
  <c r="E175" i="13"/>
  <c r="F175" i="13"/>
  <c r="G175" i="13"/>
  <c r="H175" i="13"/>
  <c r="I175" i="13"/>
  <c r="J175" i="13"/>
  <c r="K175" i="13"/>
  <c r="L175" i="13"/>
  <c r="B176" i="13"/>
  <c r="C176" i="13"/>
  <c r="D176" i="13"/>
  <c r="E176" i="13"/>
  <c r="F176" i="13"/>
  <c r="G176" i="13"/>
  <c r="H176" i="13"/>
  <c r="I176" i="13"/>
  <c r="J176" i="13"/>
  <c r="K176" i="13"/>
  <c r="L176" i="13"/>
  <c r="B177" i="13"/>
  <c r="C177" i="13"/>
  <c r="D177" i="13"/>
  <c r="E177" i="13"/>
  <c r="F177" i="13"/>
  <c r="G177" i="13"/>
  <c r="H177" i="13"/>
  <c r="I177" i="13"/>
  <c r="J177" i="13"/>
  <c r="K177" i="13"/>
  <c r="L177" i="13"/>
  <c r="B178" i="13"/>
  <c r="C178" i="13"/>
  <c r="D178" i="13"/>
  <c r="E178" i="13"/>
  <c r="F178" i="13"/>
  <c r="G178" i="13"/>
  <c r="H178" i="13"/>
  <c r="I178" i="13"/>
  <c r="J178" i="13"/>
  <c r="K178" i="13"/>
  <c r="L178" i="13"/>
  <c r="B179" i="13"/>
  <c r="C179" i="13"/>
  <c r="D179" i="13"/>
  <c r="E179" i="13"/>
  <c r="F179" i="13"/>
  <c r="G179" i="13"/>
  <c r="H179" i="13"/>
  <c r="I179" i="13"/>
  <c r="J179" i="13"/>
  <c r="K179" i="13"/>
  <c r="L179" i="13"/>
  <c r="B180" i="13"/>
  <c r="C180" i="13"/>
  <c r="D180" i="13"/>
  <c r="E180" i="13"/>
  <c r="F180" i="13"/>
  <c r="G180" i="13"/>
  <c r="H180" i="13"/>
  <c r="I180" i="13"/>
  <c r="J180" i="13"/>
  <c r="K180" i="13"/>
  <c r="L180" i="13"/>
  <c r="B181" i="13"/>
  <c r="C181" i="13"/>
  <c r="D181" i="13"/>
  <c r="E181" i="13"/>
  <c r="F181" i="13"/>
  <c r="G181" i="13"/>
  <c r="H181" i="13"/>
  <c r="I181" i="13"/>
  <c r="J181" i="13"/>
  <c r="K181" i="13"/>
  <c r="L181" i="13"/>
  <c r="B182" i="13"/>
  <c r="C182" i="13"/>
  <c r="D182" i="13"/>
  <c r="E182" i="13"/>
  <c r="F182" i="13"/>
  <c r="G182" i="13"/>
  <c r="H182" i="13"/>
  <c r="I182" i="13"/>
  <c r="J182" i="13"/>
  <c r="K182" i="13"/>
  <c r="L182" i="13"/>
  <c r="B183" i="13"/>
  <c r="C183" i="13"/>
  <c r="D183" i="13"/>
  <c r="E183" i="13"/>
  <c r="F183" i="13"/>
  <c r="G183" i="13"/>
  <c r="H183" i="13"/>
  <c r="I183" i="13"/>
  <c r="J183" i="13"/>
  <c r="K183" i="13"/>
  <c r="L183" i="13"/>
  <c r="B184" i="13"/>
  <c r="C184" i="13"/>
  <c r="D184" i="13"/>
  <c r="E184" i="13"/>
  <c r="F184" i="13"/>
  <c r="G184" i="13"/>
  <c r="H184" i="13"/>
  <c r="I184" i="13"/>
  <c r="J184" i="13"/>
  <c r="K184" i="13"/>
  <c r="L184" i="13"/>
  <c r="B185" i="13"/>
  <c r="C185" i="13"/>
  <c r="D185" i="13"/>
  <c r="E185" i="13"/>
  <c r="F185" i="13"/>
  <c r="G185" i="13"/>
  <c r="H185" i="13"/>
  <c r="I185" i="13"/>
  <c r="J185" i="13"/>
  <c r="K185" i="13"/>
  <c r="L185" i="13"/>
  <c r="L161" i="13"/>
  <c r="C161" i="13"/>
  <c r="D161" i="13"/>
  <c r="E161" i="13"/>
  <c r="F161" i="13"/>
  <c r="G161" i="13"/>
  <c r="H161" i="13"/>
  <c r="I161" i="13"/>
  <c r="J161" i="13"/>
  <c r="K161" i="13"/>
  <c r="B161" i="13"/>
  <c r="O131" i="13"/>
  <c r="P131" i="13"/>
  <c r="Q131" i="13"/>
  <c r="R131" i="13"/>
  <c r="S131" i="13"/>
  <c r="T131" i="13"/>
  <c r="U131" i="13"/>
  <c r="V131" i="13"/>
  <c r="W131" i="13"/>
  <c r="X131" i="13"/>
  <c r="Y131" i="13"/>
  <c r="O132" i="13"/>
  <c r="P132" i="13"/>
  <c r="Q132" i="13"/>
  <c r="R132" i="13"/>
  <c r="S132" i="13"/>
  <c r="T132" i="13"/>
  <c r="U132" i="13"/>
  <c r="V132" i="13"/>
  <c r="W132" i="13"/>
  <c r="X132" i="13"/>
  <c r="Y132" i="13"/>
  <c r="O133" i="13"/>
  <c r="P133" i="13"/>
  <c r="Q133" i="13"/>
  <c r="R133" i="13"/>
  <c r="S133" i="13"/>
  <c r="T133" i="13"/>
  <c r="U133" i="13"/>
  <c r="V133" i="13"/>
  <c r="W133" i="13"/>
  <c r="X133" i="13"/>
  <c r="Y133" i="13"/>
  <c r="O134" i="13"/>
  <c r="P134" i="13"/>
  <c r="Q134" i="13"/>
  <c r="R134" i="13"/>
  <c r="S134" i="13"/>
  <c r="T134" i="13"/>
  <c r="U134" i="13"/>
  <c r="V134" i="13"/>
  <c r="W134" i="13"/>
  <c r="X134" i="13"/>
  <c r="Y134" i="13"/>
  <c r="O135" i="13"/>
  <c r="P135" i="13"/>
  <c r="Q135" i="13"/>
  <c r="R135" i="13"/>
  <c r="S135" i="13"/>
  <c r="T135" i="13"/>
  <c r="U135" i="13"/>
  <c r="V135" i="13"/>
  <c r="W135" i="13"/>
  <c r="X135" i="13"/>
  <c r="Y135" i="13"/>
  <c r="O136" i="13"/>
  <c r="P136" i="13"/>
  <c r="Q136" i="13"/>
  <c r="R136" i="13"/>
  <c r="S136" i="13"/>
  <c r="T136" i="13"/>
  <c r="U136" i="13"/>
  <c r="V136" i="13"/>
  <c r="W136" i="13"/>
  <c r="X136" i="13"/>
  <c r="Y136" i="13"/>
  <c r="O137" i="13"/>
  <c r="P137" i="13"/>
  <c r="Q137" i="13"/>
  <c r="R137" i="13"/>
  <c r="S137" i="13"/>
  <c r="T137" i="13"/>
  <c r="U137" i="13"/>
  <c r="V137" i="13"/>
  <c r="W137" i="13"/>
  <c r="X137" i="13"/>
  <c r="Y137" i="13"/>
  <c r="O138" i="13"/>
  <c r="P138" i="13"/>
  <c r="Q138" i="13"/>
  <c r="R138" i="13"/>
  <c r="S138" i="13"/>
  <c r="T138" i="13"/>
  <c r="U138" i="13"/>
  <c r="V138" i="13"/>
  <c r="W138" i="13"/>
  <c r="X138" i="13"/>
  <c r="Y138" i="13"/>
  <c r="O139" i="13"/>
  <c r="P139" i="13"/>
  <c r="Q139" i="13"/>
  <c r="R139" i="13"/>
  <c r="S139" i="13"/>
  <c r="T139" i="13"/>
  <c r="U139" i="13"/>
  <c r="V139" i="13"/>
  <c r="W139" i="13"/>
  <c r="X139" i="13"/>
  <c r="Y139" i="13"/>
  <c r="O140" i="13"/>
  <c r="P140" i="13"/>
  <c r="Q140" i="13"/>
  <c r="R140" i="13"/>
  <c r="S140" i="13"/>
  <c r="T140" i="13"/>
  <c r="U140" i="13"/>
  <c r="V140" i="13"/>
  <c r="W140" i="13"/>
  <c r="X140" i="13"/>
  <c r="Y140" i="13"/>
  <c r="O141" i="13"/>
  <c r="P141" i="13"/>
  <c r="Q141" i="13"/>
  <c r="R141" i="13"/>
  <c r="S141" i="13"/>
  <c r="T141" i="13"/>
  <c r="U141" i="13"/>
  <c r="V141" i="13"/>
  <c r="W141" i="13"/>
  <c r="X141" i="13"/>
  <c r="Y141" i="13"/>
  <c r="O142" i="13"/>
  <c r="P142" i="13"/>
  <c r="Q142" i="13"/>
  <c r="R142" i="13"/>
  <c r="S142" i="13"/>
  <c r="T142" i="13"/>
  <c r="U142" i="13"/>
  <c r="V142" i="13"/>
  <c r="W142" i="13"/>
  <c r="X142" i="13"/>
  <c r="Y142" i="13"/>
  <c r="O143" i="13"/>
  <c r="P143" i="13"/>
  <c r="Q143" i="13"/>
  <c r="R143" i="13"/>
  <c r="S143" i="13"/>
  <c r="T143" i="13"/>
  <c r="U143" i="13"/>
  <c r="V143" i="13"/>
  <c r="W143" i="13"/>
  <c r="X143" i="13"/>
  <c r="Y143" i="13"/>
  <c r="O144" i="13"/>
  <c r="P144" i="13"/>
  <c r="Q144" i="13"/>
  <c r="R144" i="13"/>
  <c r="S144" i="13"/>
  <c r="T144" i="13"/>
  <c r="U144" i="13"/>
  <c r="V144" i="13"/>
  <c r="W144" i="13"/>
  <c r="X144" i="13"/>
  <c r="Y144" i="13"/>
  <c r="O145" i="13"/>
  <c r="P145" i="13"/>
  <c r="Q145" i="13"/>
  <c r="R145" i="13"/>
  <c r="S145" i="13"/>
  <c r="T145" i="13"/>
  <c r="U145" i="13"/>
  <c r="V145" i="13"/>
  <c r="W145" i="13"/>
  <c r="X145" i="13"/>
  <c r="Y145" i="13"/>
  <c r="O146" i="13"/>
  <c r="P146" i="13"/>
  <c r="Q146" i="13"/>
  <c r="R146" i="13"/>
  <c r="S146" i="13"/>
  <c r="T146" i="13"/>
  <c r="U146" i="13"/>
  <c r="V146" i="13"/>
  <c r="W146" i="13"/>
  <c r="X146" i="13"/>
  <c r="Y146" i="13"/>
  <c r="O147" i="13"/>
  <c r="P147" i="13"/>
  <c r="Q147" i="13"/>
  <c r="R147" i="13"/>
  <c r="S147" i="13"/>
  <c r="T147" i="13"/>
  <c r="U147" i="13"/>
  <c r="V147" i="13"/>
  <c r="W147" i="13"/>
  <c r="X147" i="13"/>
  <c r="Y147" i="13"/>
  <c r="O148" i="13"/>
  <c r="P148" i="13"/>
  <c r="Q148" i="13"/>
  <c r="R148" i="13"/>
  <c r="S148" i="13"/>
  <c r="T148" i="13"/>
  <c r="U148" i="13"/>
  <c r="V148" i="13"/>
  <c r="W148" i="13"/>
  <c r="X148" i="13"/>
  <c r="Y148" i="13"/>
  <c r="O149" i="13"/>
  <c r="P149" i="13"/>
  <c r="Q149" i="13"/>
  <c r="R149" i="13"/>
  <c r="S149" i="13"/>
  <c r="T149" i="13"/>
  <c r="U149" i="13"/>
  <c r="V149" i="13"/>
  <c r="W149" i="13"/>
  <c r="X149" i="13"/>
  <c r="Y149" i="13"/>
  <c r="O150" i="13"/>
  <c r="P150" i="13"/>
  <c r="Q150" i="13"/>
  <c r="R150" i="13"/>
  <c r="S150" i="13"/>
  <c r="T150" i="13"/>
  <c r="U150" i="13"/>
  <c r="V150" i="13"/>
  <c r="W150" i="13"/>
  <c r="X150" i="13"/>
  <c r="Y150" i="13"/>
  <c r="O151" i="13"/>
  <c r="P151" i="13"/>
  <c r="Q151" i="13"/>
  <c r="R151" i="13"/>
  <c r="S151" i="13"/>
  <c r="T151" i="13"/>
  <c r="U151" i="13"/>
  <c r="V151" i="13"/>
  <c r="W151" i="13"/>
  <c r="X151" i="13"/>
  <c r="Y151" i="13"/>
  <c r="O152" i="13"/>
  <c r="P152" i="13"/>
  <c r="Q152" i="13"/>
  <c r="R152" i="13"/>
  <c r="S152" i="13"/>
  <c r="T152" i="13"/>
  <c r="U152" i="13"/>
  <c r="V152" i="13"/>
  <c r="W152" i="13"/>
  <c r="X152" i="13"/>
  <c r="Y152" i="13"/>
  <c r="O153" i="13"/>
  <c r="P153" i="13"/>
  <c r="Q153" i="13"/>
  <c r="R153" i="13"/>
  <c r="S153" i="13"/>
  <c r="T153" i="13"/>
  <c r="U153" i="13"/>
  <c r="V153" i="13"/>
  <c r="W153" i="13"/>
  <c r="X153" i="13"/>
  <c r="Y153" i="13"/>
  <c r="O154" i="13"/>
  <c r="P154" i="13"/>
  <c r="Q154" i="13"/>
  <c r="R154" i="13"/>
  <c r="S154" i="13"/>
  <c r="T154" i="13"/>
  <c r="U154" i="13"/>
  <c r="V154" i="13"/>
  <c r="W154" i="13"/>
  <c r="X154" i="13"/>
  <c r="Y154" i="13"/>
  <c r="P130" i="13"/>
  <c r="Q130" i="13"/>
  <c r="R130" i="13"/>
  <c r="S130" i="13"/>
  <c r="T130" i="13"/>
  <c r="U130" i="13"/>
  <c r="V130" i="13"/>
  <c r="W130" i="13"/>
  <c r="X130" i="13"/>
  <c r="Y130" i="13"/>
  <c r="O130" i="13"/>
  <c r="O100" i="13"/>
  <c r="P100" i="13"/>
  <c r="Q100" i="13"/>
  <c r="R100" i="13"/>
  <c r="S100" i="13"/>
  <c r="T100" i="13"/>
  <c r="U100" i="13"/>
  <c r="V100" i="13"/>
  <c r="W100" i="13"/>
  <c r="X100" i="13"/>
  <c r="Y100" i="13"/>
  <c r="O101" i="13"/>
  <c r="P101" i="13"/>
  <c r="Q101" i="13"/>
  <c r="R101" i="13"/>
  <c r="S101" i="13"/>
  <c r="T101" i="13"/>
  <c r="U101" i="13"/>
  <c r="V101" i="13"/>
  <c r="W101" i="13"/>
  <c r="X101" i="13"/>
  <c r="Y101" i="13"/>
  <c r="O102" i="13"/>
  <c r="P102" i="13"/>
  <c r="Q102" i="13"/>
  <c r="R102" i="13"/>
  <c r="S102" i="13"/>
  <c r="T102" i="13"/>
  <c r="U102" i="13"/>
  <c r="V102" i="13"/>
  <c r="W102" i="13"/>
  <c r="X102" i="13"/>
  <c r="Y102" i="13"/>
  <c r="O103" i="13"/>
  <c r="P103" i="13"/>
  <c r="Q103" i="13"/>
  <c r="R103" i="13"/>
  <c r="S103" i="13"/>
  <c r="T103" i="13"/>
  <c r="U103" i="13"/>
  <c r="V103" i="13"/>
  <c r="W103" i="13"/>
  <c r="X103" i="13"/>
  <c r="Y103" i="13"/>
  <c r="O104" i="13"/>
  <c r="P104" i="13"/>
  <c r="Q104" i="13"/>
  <c r="R104" i="13"/>
  <c r="S104" i="13"/>
  <c r="T104" i="13"/>
  <c r="U104" i="13"/>
  <c r="V104" i="13"/>
  <c r="W104" i="13"/>
  <c r="X104" i="13"/>
  <c r="Y104" i="13"/>
  <c r="O105" i="13"/>
  <c r="P105" i="13"/>
  <c r="Q105" i="13"/>
  <c r="R105" i="13"/>
  <c r="S105" i="13"/>
  <c r="T105" i="13"/>
  <c r="U105" i="13"/>
  <c r="V105" i="13"/>
  <c r="W105" i="13"/>
  <c r="X105" i="13"/>
  <c r="Y105" i="13"/>
  <c r="O106" i="13"/>
  <c r="P106" i="13"/>
  <c r="Q106" i="13"/>
  <c r="R106" i="13"/>
  <c r="S106" i="13"/>
  <c r="T106" i="13"/>
  <c r="U106" i="13"/>
  <c r="V106" i="13"/>
  <c r="W106" i="13"/>
  <c r="X106" i="13"/>
  <c r="Y106" i="13"/>
  <c r="O107" i="13"/>
  <c r="P107" i="13"/>
  <c r="Q107" i="13"/>
  <c r="R107" i="13"/>
  <c r="S107" i="13"/>
  <c r="T107" i="13"/>
  <c r="U107" i="13"/>
  <c r="V107" i="13"/>
  <c r="W107" i="13"/>
  <c r="X107" i="13"/>
  <c r="Y107" i="13"/>
  <c r="O108" i="13"/>
  <c r="P108" i="13"/>
  <c r="Q108" i="13"/>
  <c r="R108" i="13"/>
  <c r="S108" i="13"/>
  <c r="T108" i="13"/>
  <c r="U108" i="13"/>
  <c r="V108" i="13"/>
  <c r="W108" i="13"/>
  <c r="X108" i="13"/>
  <c r="Y108" i="13"/>
  <c r="O109" i="13"/>
  <c r="P109" i="13"/>
  <c r="Q109" i="13"/>
  <c r="R109" i="13"/>
  <c r="S109" i="13"/>
  <c r="T109" i="13"/>
  <c r="U109" i="13"/>
  <c r="V109" i="13"/>
  <c r="W109" i="13"/>
  <c r="X109" i="13"/>
  <c r="Y109" i="13"/>
  <c r="O110" i="13"/>
  <c r="P110" i="13"/>
  <c r="Q110" i="13"/>
  <c r="R110" i="13"/>
  <c r="S110" i="13"/>
  <c r="T110" i="13"/>
  <c r="U110" i="13"/>
  <c r="V110" i="13"/>
  <c r="W110" i="13"/>
  <c r="X110" i="13"/>
  <c r="Y110" i="13"/>
  <c r="O111" i="13"/>
  <c r="P111" i="13"/>
  <c r="Q111" i="13"/>
  <c r="R111" i="13"/>
  <c r="S111" i="13"/>
  <c r="T111" i="13"/>
  <c r="U111" i="13"/>
  <c r="V111" i="13"/>
  <c r="W111" i="13"/>
  <c r="X111" i="13"/>
  <c r="Y111" i="13"/>
  <c r="O112" i="13"/>
  <c r="P112" i="13"/>
  <c r="Q112" i="13"/>
  <c r="R112" i="13"/>
  <c r="S112" i="13"/>
  <c r="T112" i="13"/>
  <c r="U112" i="13"/>
  <c r="V112" i="13"/>
  <c r="W112" i="13"/>
  <c r="X112" i="13"/>
  <c r="Y112" i="13"/>
  <c r="O113" i="13"/>
  <c r="P113" i="13"/>
  <c r="Q113" i="13"/>
  <c r="R113" i="13"/>
  <c r="S113" i="13"/>
  <c r="T113" i="13"/>
  <c r="U113" i="13"/>
  <c r="V113" i="13"/>
  <c r="W113" i="13"/>
  <c r="X113" i="13"/>
  <c r="Y113" i="13"/>
  <c r="O114" i="13"/>
  <c r="P114" i="13"/>
  <c r="Q114" i="13"/>
  <c r="R114" i="13"/>
  <c r="S114" i="13"/>
  <c r="T114" i="13"/>
  <c r="U114" i="13"/>
  <c r="V114" i="13"/>
  <c r="W114" i="13"/>
  <c r="X114" i="13"/>
  <c r="Y114" i="13"/>
  <c r="O115" i="13"/>
  <c r="P115" i="13"/>
  <c r="Q115" i="13"/>
  <c r="R115" i="13"/>
  <c r="S115" i="13"/>
  <c r="T115" i="13"/>
  <c r="U115" i="13"/>
  <c r="V115" i="13"/>
  <c r="W115" i="13"/>
  <c r="X115" i="13"/>
  <c r="Y115" i="13"/>
  <c r="O116" i="13"/>
  <c r="P116" i="13"/>
  <c r="Q116" i="13"/>
  <c r="R116" i="13"/>
  <c r="S116" i="13"/>
  <c r="T116" i="13"/>
  <c r="U116" i="13"/>
  <c r="V116" i="13"/>
  <c r="W116" i="13"/>
  <c r="X116" i="13"/>
  <c r="Y116" i="13"/>
  <c r="O117" i="13"/>
  <c r="P117" i="13"/>
  <c r="Q117" i="13"/>
  <c r="R117" i="13"/>
  <c r="S117" i="13"/>
  <c r="T117" i="13"/>
  <c r="U117" i="13"/>
  <c r="V117" i="13"/>
  <c r="W117" i="13"/>
  <c r="X117" i="13"/>
  <c r="Y117" i="13"/>
  <c r="O118" i="13"/>
  <c r="P118" i="13"/>
  <c r="Q118" i="13"/>
  <c r="R118" i="13"/>
  <c r="S118" i="13"/>
  <c r="T118" i="13"/>
  <c r="U118" i="13"/>
  <c r="V118" i="13"/>
  <c r="W118" i="13"/>
  <c r="X118" i="13"/>
  <c r="Y118" i="13"/>
  <c r="O119" i="13"/>
  <c r="P119" i="13"/>
  <c r="Q119" i="13"/>
  <c r="R119" i="13"/>
  <c r="S119" i="13"/>
  <c r="T119" i="13"/>
  <c r="U119" i="13"/>
  <c r="V119" i="13"/>
  <c r="W119" i="13"/>
  <c r="X119" i="13"/>
  <c r="Y119" i="13"/>
  <c r="O120" i="13"/>
  <c r="P120" i="13"/>
  <c r="Q120" i="13"/>
  <c r="R120" i="13"/>
  <c r="S120" i="13"/>
  <c r="T120" i="13"/>
  <c r="U120" i="13"/>
  <c r="V120" i="13"/>
  <c r="W120" i="13"/>
  <c r="X120" i="13"/>
  <c r="Y120" i="13"/>
  <c r="O121" i="13"/>
  <c r="P121" i="13"/>
  <c r="Q121" i="13"/>
  <c r="R121" i="13"/>
  <c r="S121" i="13"/>
  <c r="T121" i="13"/>
  <c r="U121" i="13"/>
  <c r="V121" i="13"/>
  <c r="W121" i="13"/>
  <c r="X121" i="13"/>
  <c r="Y121" i="13"/>
  <c r="O122" i="13"/>
  <c r="P122" i="13"/>
  <c r="Q122" i="13"/>
  <c r="R122" i="13"/>
  <c r="S122" i="13"/>
  <c r="T122" i="13"/>
  <c r="U122" i="13"/>
  <c r="V122" i="13"/>
  <c r="W122" i="13"/>
  <c r="X122" i="13"/>
  <c r="Y122" i="13"/>
  <c r="O123" i="13"/>
  <c r="P123" i="13"/>
  <c r="Q123" i="13"/>
  <c r="R123" i="13"/>
  <c r="S123" i="13"/>
  <c r="T123" i="13"/>
  <c r="U123" i="13"/>
  <c r="V123" i="13"/>
  <c r="W123" i="13"/>
  <c r="X123" i="13"/>
  <c r="Y123" i="13"/>
  <c r="P99" i="13"/>
  <c r="Q99" i="13"/>
  <c r="R99" i="13"/>
  <c r="S99" i="13"/>
  <c r="T99" i="13"/>
  <c r="U99" i="13"/>
  <c r="V99" i="13"/>
  <c r="W99" i="13"/>
  <c r="X99" i="13"/>
  <c r="Y99" i="13"/>
  <c r="O99" i="13"/>
  <c r="P68" i="13"/>
  <c r="Q68" i="13"/>
  <c r="R68" i="13"/>
  <c r="S68" i="13"/>
  <c r="T68" i="13"/>
  <c r="U68" i="13"/>
  <c r="V68" i="13"/>
  <c r="W68" i="13"/>
  <c r="X68" i="13"/>
  <c r="Y68" i="13"/>
  <c r="P69" i="13"/>
  <c r="Q69" i="13"/>
  <c r="R69" i="13"/>
  <c r="S69" i="13"/>
  <c r="T69" i="13"/>
  <c r="U69" i="13"/>
  <c r="V69" i="13"/>
  <c r="W69" i="13"/>
  <c r="X69" i="13"/>
  <c r="Y69" i="13"/>
  <c r="P70" i="13"/>
  <c r="Q70" i="13"/>
  <c r="R70" i="13"/>
  <c r="S70" i="13"/>
  <c r="T70" i="13"/>
  <c r="U70" i="13"/>
  <c r="V70" i="13"/>
  <c r="W70" i="13"/>
  <c r="X70" i="13"/>
  <c r="Y70" i="13"/>
  <c r="P71" i="13"/>
  <c r="Q71" i="13"/>
  <c r="R71" i="13"/>
  <c r="S71" i="13"/>
  <c r="T71" i="13"/>
  <c r="U71" i="13"/>
  <c r="V71" i="13"/>
  <c r="W71" i="13"/>
  <c r="X71" i="13"/>
  <c r="Y71" i="13"/>
  <c r="P72" i="13"/>
  <c r="Q72" i="13"/>
  <c r="R72" i="13"/>
  <c r="S72" i="13"/>
  <c r="T72" i="13"/>
  <c r="U72" i="13"/>
  <c r="V72" i="13"/>
  <c r="W72" i="13"/>
  <c r="X72" i="13"/>
  <c r="Y72" i="13"/>
  <c r="P73" i="13"/>
  <c r="Q73" i="13"/>
  <c r="R73" i="13"/>
  <c r="S73" i="13"/>
  <c r="T73" i="13"/>
  <c r="U73" i="13"/>
  <c r="V73" i="13"/>
  <c r="W73" i="13"/>
  <c r="X73" i="13"/>
  <c r="Y73" i="13"/>
  <c r="P74" i="13"/>
  <c r="Q74" i="13"/>
  <c r="R74" i="13"/>
  <c r="S74" i="13"/>
  <c r="T74" i="13"/>
  <c r="U74" i="13"/>
  <c r="V74" i="13"/>
  <c r="W74" i="13"/>
  <c r="X74" i="13"/>
  <c r="Y74" i="13"/>
  <c r="P75" i="13"/>
  <c r="Q75" i="13"/>
  <c r="R75" i="13"/>
  <c r="S75" i="13"/>
  <c r="T75" i="13"/>
  <c r="U75" i="13"/>
  <c r="V75" i="13"/>
  <c r="W75" i="13"/>
  <c r="X75" i="13"/>
  <c r="Y75" i="13"/>
  <c r="P76" i="13"/>
  <c r="Q76" i="13"/>
  <c r="R76" i="13"/>
  <c r="S76" i="13"/>
  <c r="T76" i="13"/>
  <c r="U76" i="13"/>
  <c r="V76" i="13"/>
  <c r="W76" i="13"/>
  <c r="X76" i="13"/>
  <c r="Y76" i="13"/>
  <c r="P77" i="13"/>
  <c r="Q77" i="13"/>
  <c r="R77" i="13"/>
  <c r="S77" i="13"/>
  <c r="T77" i="13"/>
  <c r="U77" i="13"/>
  <c r="V77" i="13"/>
  <c r="W77" i="13"/>
  <c r="X77" i="13"/>
  <c r="Y77" i="13"/>
  <c r="P78" i="13"/>
  <c r="Q78" i="13"/>
  <c r="R78" i="13"/>
  <c r="S78" i="13"/>
  <c r="T78" i="13"/>
  <c r="U78" i="13"/>
  <c r="V78" i="13"/>
  <c r="W78" i="13"/>
  <c r="X78" i="13"/>
  <c r="Y78" i="13"/>
  <c r="P79" i="13"/>
  <c r="Q79" i="13"/>
  <c r="R79" i="13"/>
  <c r="S79" i="13"/>
  <c r="T79" i="13"/>
  <c r="U79" i="13"/>
  <c r="V79" i="13"/>
  <c r="W79" i="13"/>
  <c r="X79" i="13"/>
  <c r="Y79" i="13"/>
  <c r="P80" i="13"/>
  <c r="Q80" i="13"/>
  <c r="R80" i="13"/>
  <c r="S80" i="13"/>
  <c r="T80" i="13"/>
  <c r="U80" i="13"/>
  <c r="V80" i="13"/>
  <c r="W80" i="13"/>
  <c r="X80" i="13"/>
  <c r="Y80" i="13"/>
  <c r="P81" i="13"/>
  <c r="Q81" i="13"/>
  <c r="R81" i="13"/>
  <c r="S81" i="13"/>
  <c r="T81" i="13"/>
  <c r="U81" i="13"/>
  <c r="V81" i="13"/>
  <c r="W81" i="13"/>
  <c r="X81" i="13"/>
  <c r="Y81" i="13"/>
  <c r="P82" i="13"/>
  <c r="Q82" i="13"/>
  <c r="R82" i="13"/>
  <c r="S82" i="13"/>
  <c r="T82" i="13"/>
  <c r="U82" i="13"/>
  <c r="V82" i="13"/>
  <c r="W82" i="13"/>
  <c r="X82" i="13"/>
  <c r="Y82" i="13"/>
  <c r="P83" i="13"/>
  <c r="Q83" i="13"/>
  <c r="R83" i="13"/>
  <c r="S83" i="13"/>
  <c r="T83" i="13"/>
  <c r="U83" i="13"/>
  <c r="V83" i="13"/>
  <c r="W83" i="13"/>
  <c r="X83" i="13"/>
  <c r="Y83" i="13"/>
  <c r="P84" i="13"/>
  <c r="Q84" i="13"/>
  <c r="R84" i="13"/>
  <c r="S84" i="13"/>
  <c r="T84" i="13"/>
  <c r="U84" i="13"/>
  <c r="V84" i="13"/>
  <c r="W84" i="13"/>
  <c r="X84" i="13"/>
  <c r="Y84" i="13"/>
  <c r="P85" i="13"/>
  <c r="Q85" i="13"/>
  <c r="R85" i="13"/>
  <c r="S85" i="13"/>
  <c r="T85" i="13"/>
  <c r="U85" i="13"/>
  <c r="V85" i="13"/>
  <c r="W85" i="13"/>
  <c r="X85" i="13"/>
  <c r="Y85" i="13"/>
  <c r="P86" i="13"/>
  <c r="Q86" i="13"/>
  <c r="R86" i="13"/>
  <c r="S86" i="13"/>
  <c r="T86" i="13"/>
  <c r="U86" i="13"/>
  <c r="V86" i="13"/>
  <c r="W86" i="13"/>
  <c r="X86" i="13"/>
  <c r="Y86" i="13"/>
  <c r="P87" i="13"/>
  <c r="Q87" i="13"/>
  <c r="R87" i="13"/>
  <c r="S87" i="13"/>
  <c r="T87" i="13"/>
  <c r="U87" i="13"/>
  <c r="V87" i="13"/>
  <c r="W87" i="13"/>
  <c r="X87" i="13"/>
  <c r="Y87" i="13"/>
  <c r="P88" i="13"/>
  <c r="Q88" i="13"/>
  <c r="R88" i="13"/>
  <c r="S88" i="13"/>
  <c r="T88" i="13"/>
  <c r="U88" i="13"/>
  <c r="V88" i="13"/>
  <c r="W88" i="13"/>
  <c r="X88" i="13"/>
  <c r="Y88" i="13"/>
  <c r="P89" i="13"/>
  <c r="Q89" i="13"/>
  <c r="R89" i="13"/>
  <c r="S89" i="13"/>
  <c r="T89" i="13"/>
  <c r="U89" i="13"/>
  <c r="V89" i="13"/>
  <c r="W89" i="13"/>
  <c r="X89" i="13"/>
  <c r="Y89" i="13"/>
  <c r="P90" i="13"/>
  <c r="Q90" i="13"/>
  <c r="R90" i="13"/>
  <c r="S90" i="13"/>
  <c r="T90" i="13"/>
  <c r="U90" i="13"/>
  <c r="V90" i="13"/>
  <c r="W90" i="13"/>
  <c r="X90" i="13"/>
  <c r="Y90" i="13"/>
  <c r="P91" i="13"/>
  <c r="Q91" i="13"/>
  <c r="R91" i="13"/>
  <c r="S91" i="13"/>
  <c r="T91" i="13"/>
  <c r="U91" i="13"/>
  <c r="V91" i="13"/>
  <c r="W91" i="13"/>
  <c r="X91" i="13"/>
  <c r="Y91" i="13"/>
  <c r="P92" i="13"/>
  <c r="Q92" i="13"/>
  <c r="R92" i="13"/>
  <c r="S92" i="13"/>
  <c r="T92" i="13"/>
  <c r="U92" i="13"/>
  <c r="V92" i="13"/>
  <c r="W92" i="13"/>
  <c r="X92" i="13"/>
  <c r="Y92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68" i="13"/>
  <c r="O38" i="13"/>
  <c r="P38" i="13"/>
  <c r="Q38" i="13"/>
  <c r="R38" i="13"/>
  <c r="S38" i="13"/>
  <c r="T38" i="13"/>
  <c r="U38" i="13"/>
  <c r="V38" i="13"/>
  <c r="W38" i="13"/>
  <c r="X38" i="13"/>
  <c r="Y38" i="13"/>
  <c r="O39" i="13"/>
  <c r="P39" i="13"/>
  <c r="Q39" i="13"/>
  <c r="R39" i="13"/>
  <c r="S39" i="13"/>
  <c r="T39" i="13"/>
  <c r="U39" i="13"/>
  <c r="V39" i="13"/>
  <c r="W39" i="13"/>
  <c r="X39" i="13"/>
  <c r="Y39" i="13"/>
  <c r="O40" i="13"/>
  <c r="P40" i="13"/>
  <c r="Q40" i="13"/>
  <c r="R40" i="13"/>
  <c r="S40" i="13"/>
  <c r="T40" i="13"/>
  <c r="U40" i="13"/>
  <c r="V40" i="13"/>
  <c r="W40" i="13"/>
  <c r="X40" i="13"/>
  <c r="Y40" i="13"/>
  <c r="O41" i="13"/>
  <c r="P41" i="13"/>
  <c r="Q41" i="13"/>
  <c r="R41" i="13"/>
  <c r="S41" i="13"/>
  <c r="T41" i="13"/>
  <c r="U41" i="13"/>
  <c r="V41" i="13"/>
  <c r="W41" i="13"/>
  <c r="X41" i="13"/>
  <c r="Y41" i="13"/>
  <c r="O42" i="13"/>
  <c r="P42" i="13"/>
  <c r="Q42" i="13"/>
  <c r="R42" i="13"/>
  <c r="S42" i="13"/>
  <c r="T42" i="13"/>
  <c r="U42" i="13"/>
  <c r="V42" i="13"/>
  <c r="W42" i="13"/>
  <c r="X42" i="13"/>
  <c r="Y42" i="13"/>
  <c r="O43" i="13"/>
  <c r="P43" i="13"/>
  <c r="Q43" i="13"/>
  <c r="R43" i="13"/>
  <c r="S43" i="13"/>
  <c r="T43" i="13"/>
  <c r="U43" i="13"/>
  <c r="V43" i="13"/>
  <c r="W43" i="13"/>
  <c r="X43" i="13"/>
  <c r="Y43" i="13"/>
  <c r="O44" i="13"/>
  <c r="P44" i="13"/>
  <c r="Q44" i="13"/>
  <c r="R44" i="13"/>
  <c r="S44" i="13"/>
  <c r="T44" i="13"/>
  <c r="U44" i="13"/>
  <c r="V44" i="13"/>
  <c r="W44" i="13"/>
  <c r="X44" i="13"/>
  <c r="Y44" i="13"/>
  <c r="O45" i="13"/>
  <c r="P45" i="13"/>
  <c r="Q45" i="13"/>
  <c r="R45" i="13"/>
  <c r="S45" i="13"/>
  <c r="T45" i="13"/>
  <c r="U45" i="13"/>
  <c r="V45" i="13"/>
  <c r="W45" i="13"/>
  <c r="X45" i="13"/>
  <c r="Y45" i="13"/>
  <c r="O46" i="13"/>
  <c r="P46" i="13"/>
  <c r="Q46" i="13"/>
  <c r="R46" i="13"/>
  <c r="S46" i="13"/>
  <c r="T46" i="13"/>
  <c r="U46" i="13"/>
  <c r="V46" i="13"/>
  <c r="W46" i="13"/>
  <c r="X46" i="13"/>
  <c r="Y46" i="13"/>
  <c r="O47" i="13"/>
  <c r="P47" i="13"/>
  <c r="Q47" i="13"/>
  <c r="R47" i="13"/>
  <c r="S47" i="13"/>
  <c r="T47" i="13"/>
  <c r="U47" i="13"/>
  <c r="V47" i="13"/>
  <c r="W47" i="13"/>
  <c r="X47" i="13"/>
  <c r="Y47" i="13"/>
  <c r="O48" i="13"/>
  <c r="P48" i="13"/>
  <c r="Q48" i="13"/>
  <c r="R48" i="13"/>
  <c r="S48" i="13"/>
  <c r="T48" i="13"/>
  <c r="U48" i="13"/>
  <c r="V48" i="13"/>
  <c r="W48" i="13"/>
  <c r="X48" i="13"/>
  <c r="Y48" i="13"/>
  <c r="O49" i="13"/>
  <c r="P49" i="13"/>
  <c r="Q49" i="13"/>
  <c r="R49" i="13"/>
  <c r="S49" i="13"/>
  <c r="T49" i="13"/>
  <c r="U49" i="13"/>
  <c r="V49" i="13"/>
  <c r="W49" i="13"/>
  <c r="X49" i="13"/>
  <c r="Y49" i="13"/>
  <c r="O50" i="13"/>
  <c r="P50" i="13"/>
  <c r="Q50" i="13"/>
  <c r="R50" i="13"/>
  <c r="S50" i="13"/>
  <c r="T50" i="13"/>
  <c r="U50" i="13"/>
  <c r="V50" i="13"/>
  <c r="W50" i="13"/>
  <c r="X50" i="13"/>
  <c r="Y50" i="13"/>
  <c r="O51" i="13"/>
  <c r="P51" i="13"/>
  <c r="Q51" i="13"/>
  <c r="R51" i="13"/>
  <c r="S51" i="13"/>
  <c r="T51" i="13"/>
  <c r="U51" i="13"/>
  <c r="V51" i="13"/>
  <c r="W51" i="13"/>
  <c r="X51" i="13"/>
  <c r="Y51" i="13"/>
  <c r="O52" i="13"/>
  <c r="P52" i="13"/>
  <c r="Q52" i="13"/>
  <c r="R52" i="13"/>
  <c r="S52" i="13"/>
  <c r="T52" i="13"/>
  <c r="U52" i="13"/>
  <c r="V52" i="13"/>
  <c r="W52" i="13"/>
  <c r="X52" i="13"/>
  <c r="Y52" i="13"/>
  <c r="O53" i="13"/>
  <c r="P53" i="13"/>
  <c r="Q53" i="13"/>
  <c r="R53" i="13"/>
  <c r="S53" i="13"/>
  <c r="T53" i="13"/>
  <c r="U53" i="13"/>
  <c r="V53" i="13"/>
  <c r="W53" i="13"/>
  <c r="X53" i="13"/>
  <c r="Y53" i="13"/>
  <c r="O54" i="13"/>
  <c r="P54" i="13"/>
  <c r="Q54" i="13"/>
  <c r="R54" i="13"/>
  <c r="S54" i="13"/>
  <c r="T54" i="13"/>
  <c r="U54" i="13"/>
  <c r="V54" i="13"/>
  <c r="W54" i="13"/>
  <c r="X54" i="13"/>
  <c r="Y54" i="13"/>
  <c r="O55" i="13"/>
  <c r="P55" i="13"/>
  <c r="Q55" i="13"/>
  <c r="R55" i="13"/>
  <c r="S55" i="13"/>
  <c r="T55" i="13"/>
  <c r="U55" i="13"/>
  <c r="V55" i="13"/>
  <c r="W55" i="13"/>
  <c r="X55" i="13"/>
  <c r="Y55" i="13"/>
  <c r="O56" i="13"/>
  <c r="P56" i="13"/>
  <c r="Q56" i="13"/>
  <c r="R56" i="13"/>
  <c r="S56" i="13"/>
  <c r="T56" i="13"/>
  <c r="U56" i="13"/>
  <c r="V56" i="13"/>
  <c r="W56" i="13"/>
  <c r="X56" i="13"/>
  <c r="Y56" i="13"/>
  <c r="O57" i="13"/>
  <c r="P57" i="13"/>
  <c r="Q57" i="13"/>
  <c r="R57" i="13"/>
  <c r="S57" i="13"/>
  <c r="T57" i="13"/>
  <c r="U57" i="13"/>
  <c r="V57" i="13"/>
  <c r="W57" i="13"/>
  <c r="X57" i="13"/>
  <c r="Y57" i="13"/>
  <c r="O58" i="13"/>
  <c r="P58" i="13"/>
  <c r="Q58" i="13"/>
  <c r="R58" i="13"/>
  <c r="S58" i="13"/>
  <c r="T58" i="13"/>
  <c r="U58" i="13"/>
  <c r="V58" i="13"/>
  <c r="W58" i="13"/>
  <c r="X58" i="13"/>
  <c r="Y58" i="13"/>
  <c r="O59" i="13"/>
  <c r="P59" i="13"/>
  <c r="Q59" i="13"/>
  <c r="R59" i="13"/>
  <c r="S59" i="13"/>
  <c r="T59" i="13"/>
  <c r="U59" i="13"/>
  <c r="V59" i="13"/>
  <c r="W59" i="13"/>
  <c r="X59" i="13"/>
  <c r="Y59" i="13"/>
  <c r="O60" i="13"/>
  <c r="P60" i="13"/>
  <c r="Q60" i="13"/>
  <c r="R60" i="13"/>
  <c r="S60" i="13"/>
  <c r="T60" i="13"/>
  <c r="U60" i="13"/>
  <c r="V60" i="13"/>
  <c r="W60" i="13"/>
  <c r="X60" i="13"/>
  <c r="Y60" i="13"/>
  <c r="O61" i="13"/>
  <c r="P61" i="13"/>
  <c r="Q61" i="13"/>
  <c r="R61" i="13"/>
  <c r="S61" i="13"/>
  <c r="T61" i="13"/>
  <c r="U61" i="13"/>
  <c r="V61" i="13"/>
  <c r="W61" i="13"/>
  <c r="X61" i="13"/>
  <c r="Y61" i="13"/>
  <c r="P37" i="13"/>
  <c r="Q37" i="13"/>
  <c r="R37" i="13"/>
  <c r="S37" i="13"/>
  <c r="T37" i="13"/>
  <c r="U37" i="13"/>
  <c r="V37" i="13"/>
  <c r="W37" i="13"/>
  <c r="X37" i="13"/>
  <c r="Y37" i="13"/>
  <c r="O37" i="13"/>
  <c r="O7" i="13"/>
  <c r="P7" i="13"/>
  <c r="Q7" i="13"/>
  <c r="R7" i="13"/>
  <c r="S7" i="13"/>
  <c r="T7" i="13"/>
  <c r="U7" i="13"/>
  <c r="V7" i="13"/>
  <c r="W7" i="13"/>
  <c r="X7" i="13"/>
  <c r="Y7" i="13"/>
  <c r="O8" i="13"/>
  <c r="P8" i="13"/>
  <c r="Q8" i="13"/>
  <c r="R8" i="13"/>
  <c r="S8" i="13"/>
  <c r="T8" i="13"/>
  <c r="U8" i="13"/>
  <c r="V8" i="13"/>
  <c r="W8" i="13"/>
  <c r="X8" i="13"/>
  <c r="Y8" i="13"/>
  <c r="O9" i="13"/>
  <c r="P9" i="13"/>
  <c r="Q9" i="13"/>
  <c r="R9" i="13"/>
  <c r="S9" i="13"/>
  <c r="T9" i="13"/>
  <c r="U9" i="13"/>
  <c r="V9" i="13"/>
  <c r="W9" i="13"/>
  <c r="X9" i="13"/>
  <c r="Y9" i="13"/>
  <c r="O10" i="13"/>
  <c r="P10" i="13"/>
  <c r="Q10" i="13"/>
  <c r="R10" i="13"/>
  <c r="S10" i="13"/>
  <c r="T10" i="13"/>
  <c r="U10" i="13"/>
  <c r="V10" i="13"/>
  <c r="W10" i="13"/>
  <c r="X10" i="13"/>
  <c r="Y10" i="13"/>
  <c r="O11" i="13"/>
  <c r="P11" i="13"/>
  <c r="Q11" i="13"/>
  <c r="R11" i="13"/>
  <c r="S11" i="13"/>
  <c r="T11" i="13"/>
  <c r="U11" i="13"/>
  <c r="V11" i="13"/>
  <c r="W11" i="13"/>
  <c r="X11" i="13"/>
  <c r="Y11" i="13"/>
  <c r="O12" i="13"/>
  <c r="P12" i="13"/>
  <c r="Q12" i="13"/>
  <c r="R12" i="13"/>
  <c r="S12" i="13"/>
  <c r="T12" i="13"/>
  <c r="U12" i="13"/>
  <c r="V12" i="13"/>
  <c r="W12" i="13"/>
  <c r="X12" i="13"/>
  <c r="Y12" i="13"/>
  <c r="O13" i="13"/>
  <c r="P13" i="13"/>
  <c r="Q13" i="13"/>
  <c r="R13" i="13"/>
  <c r="S13" i="13"/>
  <c r="T13" i="13"/>
  <c r="U13" i="13"/>
  <c r="V13" i="13"/>
  <c r="W13" i="13"/>
  <c r="X13" i="13"/>
  <c r="Y13" i="13"/>
  <c r="O14" i="13"/>
  <c r="P14" i="13"/>
  <c r="Q14" i="13"/>
  <c r="R14" i="13"/>
  <c r="S14" i="13"/>
  <c r="T14" i="13"/>
  <c r="U14" i="13"/>
  <c r="V14" i="13"/>
  <c r="W14" i="13"/>
  <c r="X14" i="13"/>
  <c r="Y14" i="13"/>
  <c r="O15" i="13"/>
  <c r="P15" i="13"/>
  <c r="Q15" i="13"/>
  <c r="R15" i="13"/>
  <c r="S15" i="13"/>
  <c r="T15" i="13"/>
  <c r="U15" i="13"/>
  <c r="V15" i="13"/>
  <c r="W15" i="13"/>
  <c r="X15" i="13"/>
  <c r="Y15" i="13"/>
  <c r="O16" i="13"/>
  <c r="P16" i="13"/>
  <c r="Q16" i="13"/>
  <c r="R16" i="13"/>
  <c r="S16" i="13"/>
  <c r="T16" i="13"/>
  <c r="U16" i="13"/>
  <c r="V16" i="13"/>
  <c r="W16" i="13"/>
  <c r="X16" i="13"/>
  <c r="Y16" i="13"/>
  <c r="O17" i="13"/>
  <c r="P17" i="13"/>
  <c r="Q17" i="13"/>
  <c r="R17" i="13"/>
  <c r="S17" i="13"/>
  <c r="T17" i="13"/>
  <c r="U17" i="13"/>
  <c r="V17" i="13"/>
  <c r="W17" i="13"/>
  <c r="X17" i="13"/>
  <c r="Y17" i="13"/>
  <c r="O18" i="13"/>
  <c r="P18" i="13"/>
  <c r="Q18" i="13"/>
  <c r="R18" i="13"/>
  <c r="S18" i="13"/>
  <c r="T18" i="13"/>
  <c r="U18" i="13"/>
  <c r="V18" i="13"/>
  <c r="W18" i="13"/>
  <c r="X18" i="13"/>
  <c r="Y18" i="13"/>
  <c r="O19" i="13"/>
  <c r="P19" i="13"/>
  <c r="Q19" i="13"/>
  <c r="R19" i="13"/>
  <c r="S19" i="13"/>
  <c r="T19" i="13"/>
  <c r="U19" i="13"/>
  <c r="V19" i="13"/>
  <c r="W19" i="13"/>
  <c r="X19" i="13"/>
  <c r="Y19" i="13"/>
  <c r="O20" i="13"/>
  <c r="P20" i="13"/>
  <c r="Q20" i="13"/>
  <c r="R20" i="13"/>
  <c r="S20" i="13"/>
  <c r="T20" i="13"/>
  <c r="U20" i="13"/>
  <c r="V20" i="13"/>
  <c r="W20" i="13"/>
  <c r="X20" i="13"/>
  <c r="Y20" i="13"/>
  <c r="O21" i="13"/>
  <c r="P21" i="13"/>
  <c r="Q21" i="13"/>
  <c r="R21" i="13"/>
  <c r="S21" i="13"/>
  <c r="T21" i="13"/>
  <c r="U21" i="13"/>
  <c r="V21" i="13"/>
  <c r="W21" i="13"/>
  <c r="X21" i="13"/>
  <c r="Y21" i="13"/>
  <c r="O22" i="13"/>
  <c r="P22" i="13"/>
  <c r="Q22" i="13"/>
  <c r="R22" i="13"/>
  <c r="S22" i="13"/>
  <c r="T22" i="13"/>
  <c r="U22" i="13"/>
  <c r="V22" i="13"/>
  <c r="W22" i="13"/>
  <c r="X22" i="13"/>
  <c r="Y22" i="13"/>
  <c r="O23" i="13"/>
  <c r="P23" i="13"/>
  <c r="Q23" i="13"/>
  <c r="R23" i="13"/>
  <c r="S23" i="13"/>
  <c r="T23" i="13"/>
  <c r="U23" i="13"/>
  <c r="V23" i="13"/>
  <c r="W23" i="13"/>
  <c r="X23" i="13"/>
  <c r="Y23" i="13"/>
  <c r="O24" i="13"/>
  <c r="P24" i="13"/>
  <c r="Q24" i="13"/>
  <c r="R24" i="13"/>
  <c r="S24" i="13"/>
  <c r="T24" i="13"/>
  <c r="U24" i="13"/>
  <c r="V24" i="13"/>
  <c r="W24" i="13"/>
  <c r="X24" i="13"/>
  <c r="Y24" i="13"/>
  <c r="O25" i="13"/>
  <c r="P25" i="13"/>
  <c r="Q25" i="13"/>
  <c r="R25" i="13"/>
  <c r="S25" i="13"/>
  <c r="T25" i="13"/>
  <c r="U25" i="13"/>
  <c r="V25" i="13"/>
  <c r="W25" i="13"/>
  <c r="X25" i="13"/>
  <c r="Y25" i="13"/>
  <c r="O26" i="13"/>
  <c r="P26" i="13"/>
  <c r="Q26" i="13"/>
  <c r="R26" i="13"/>
  <c r="S26" i="13"/>
  <c r="T26" i="13"/>
  <c r="U26" i="13"/>
  <c r="V26" i="13"/>
  <c r="W26" i="13"/>
  <c r="X26" i="13"/>
  <c r="Y26" i="13"/>
  <c r="O27" i="13"/>
  <c r="P27" i="13"/>
  <c r="Q27" i="13"/>
  <c r="R27" i="13"/>
  <c r="S27" i="13"/>
  <c r="T27" i="13"/>
  <c r="U27" i="13"/>
  <c r="V27" i="13"/>
  <c r="W27" i="13"/>
  <c r="X27" i="13"/>
  <c r="Y27" i="13"/>
  <c r="O28" i="13"/>
  <c r="P28" i="13"/>
  <c r="Q28" i="13"/>
  <c r="R28" i="13"/>
  <c r="S28" i="13"/>
  <c r="T28" i="13"/>
  <c r="U28" i="13"/>
  <c r="V28" i="13"/>
  <c r="W28" i="13"/>
  <c r="X28" i="13"/>
  <c r="Y28" i="13"/>
  <c r="O29" i="13"/>
  <c r="P29" i="13"/>
  <c r="Q29" i="13"/>
  <c r="R29" i="13"/>
  <c r="S29" i="13"/>
  <c r="T29" i="13"/>
  <c r="U29" i="13"/>
  <c r="V29" i="13"/>
  <c r="W29" i="13"/>
  <c r="X29" i="13"/>
  <c r="Y29" i="13"/>
  <c r="O30" i="13"/>
  <c r="P30" i="13"/>
  <c r="Q30" i="13"/>
  <c r="R30" i="13"/>
  <c r="S30" i="13"/>
  <c r="T30" i="13"/>
  <c r="U30" i="13"/>
  <c r="V30" i="13"/>
  <c r="W30" i="13"/>
  <c r="X30" i="13"/>
  <c r="Y30" i="13"/>
  <c r="P6" i="13"/>
  <c r="Q6" i="13"/>
  <c r="R6" i="13"/>
  <c r="S6" i="13"/>
  <c r="T6" i="13"/>
  <c r="U6" i="13"/>
  <c r="V6" i="13"/>
  <c r="W6" i="13"/>
  <c r="X6" i="13"/>
  <c r="Y6" i="13"/>
  <c r="O6" i="13"/>
  <c r="H6" i="3"/>
  <c r="I6" i="3"/>
  <c r="J6" i="3"/>
  <c r="H7" i="3"/>
  <c r="I7" i="3"/>
  <c r="J7" i="3"/>
  <c r="H8" i="3"/>
  <c r="I8" i="3"/>
  <c r="J8" i="3"/>
  <c r="H9" i="3"/>
  <c r="I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I5" i="3"/>
  <c r="J5" i="3"/>
  <c r="H5" i="3"/>
  <c r="T6" i="3"/>
  <c r="U6" i="3"/>
  <c r="U5" i="3"/>
  <c r="T5" i="3"/>
  <c r="N6" i="3"/>
  <c r="O6" i="3"/>
  <c r="P6" i="3"/>
  <c r="N7" i="3"/>
  <c r="O7" i="3"/>
  <c r="P7" i="3"/>
  <c r="N8" i="3"/>
  <c r="O8" i="3"/>
  <c r="P8" i="3"/>
  <c r="N9" i="3"/>
  <c r="O9" i="3"/>
  <c r="P9" i="3"/>
  <c r="O5" i="3"/>
  <c r="P5" i="3"/>
  <c r="N5" i="3"/>
  <c r="C16" i="3"/>
  <c r="D27" i="3"/>
  <c r="C17" i="3"/>
  <c r="D28" i="3"/>
  <c r="C18" i="3"/>
  <c r="D29" i="3"/>
  <c r="C19" i="3"/>
  <c r="D30" i="3"/>
  <c r="C20" i="3"/>
  <c r="D31" i="3"/>
  <c r="C21" i="3"/>
  <c r="D32" i="3"/>
  <c r="C22" i="3"/>
  <c r="D33" i="3"/>
  <c r="C23" i="3"/>
  <c r="D34" i="3"/>
  <c r="C24" i="3"/>
  <c r="D35" i="3"/>
  <c r="C25" i="3"/>
  <c r="D36" i="3"/>
  <c r="B6" i="3"/>
  <c r="B7" i="3"/>
  <c r="B8" i="3"/>
  <c r="B9" i="3"/>
  <c r="B10" i="3"/>
  <c r="B11" i="3"/>
  <c r="B12" i="3"/>
  <c r="B13" i="3"/>
  <c r="B14" i="3"/>
  <c r="B5" i="3"/>
  <c r="AA124" i="19" l="1"/>
  <c r="AI14" i="3" s="1"/>
  <c r="AA106" i="19"/>
  <c r="T65" i="19"/>
  <c r="AA122" i="19"/>
  <c r="AI12" i="3" s="1"/>
  <c r="AA112" i="19"/>
  <c r="Z65" i="19"/>
  <c r="AA115" i="19"/>
  <c r="AI5" i="3" s="1"/>
  <c r="AA121" i="19"/>
  <c r="AI11" i="3" s="1"/>
  <c r="V65" i="19"/>
  <c r="AA102" i="19"/>
  <c r="W65" i="19"/>
  <c r="AA65" i="19"/>
  <c r="AA117" i="19"/>
  <c r="AI7" i="3" s="1"/>
  <c r="P65" i="19"/>
  <c r="AA125" i="19"/>
  <c r="AI15" i="3" s="1"/>
  <c r="AA119" i="19"/>
  <c r="AI9" i="3" s="1"/>
  <c r="AA128" i="19"/>
  <c r="AI18" i="3" s="1"/>
  <c r="X65" i="19"/>
  <c r="S65" i="19"/>
  <c r="AA100" i="19"/>
  <c r="AA107" i="19"/>
  <c r="U65" i="19"/>
  <c r="AA110" i="19"/>
  <c r="AA126" i="19"/>
  <c r="AI16" i="3" s="1"/>
  <c r="A10" i="16"/>
  <c r="A11" i="16" l="1"/>
  <c r="A12" i="16" l="1"/>
  <c r="A13" i="16" l="1"/>
  <c r="A14" i="16" l="1"/>
  <c r="A15" i="16" l="1"/>
  <c r="A16" i="16" l="1"/>
  <c r="A17" i="16" l="1"/>
  <c r="A18" i="16" l="1"/>
  <c r="A19" i="16" l="1"/>
  <c r="A20" i="16" l="1"/>
  <c r="A21" i="16" l="1"/>
  <c r="A22" i="16" l="1"/>
  <c r="A23" i="16" l="1"/>
  <c r="A24" i="16" l="1"/>
  <c r="A25" i="16" l="1"/>
  <c r="A26" i="16" l="1"/>
  <c r="A27" i="16" l="1"/>
  <c r="A28" i="16" l="1"/>
  <c r="A29" i="16" l="1"/>
  <c r="A30" i="16" l="1"/>
  <c r="A31" i="16" l="1"/>
  <c r="A32" i="16" l="1"/>
  <c r="A33" i="16" l="1"/>
  <c r="A34" i="16" l="1"/>
  <c r="A35" i="16" l="1"/>
  <c r="A36" i="16" l="1"/>
  <c r="A37" i="16" l="1"/>
  <c r="A38" i="16" l="1"/>
  <c r="A39" i="16" l="1"/>
  <c r="A40" i="16" l="1"/>
  <c r="A41" i="16" l="1"/>
  <c r="A42" i="16" l="1"/>
  <c r="A43" i="16" l="1"/>
  <c r="A44" i="16" l="1"/>
  <c r="A45" i="16" l="1"/>
  <c r="A46" i="16" l="1"/>
  <c r="A47" i="16" l="1"/>
  <c r="A48" i="16" l="1"/>
  <c r="A49" i="16" l="1"/>
  <c r="A50" i="16" l="1"/>
  <c r="A51" i="16" l="1"/>
  <c r="A52" i="16" l="1"/>
  <c r="A53" i="16" l="1"/>
  <c r="A54" i="16" l="1"/>
  <c r="A55" i="16" l="1"/>
  <c r="A56" i="16" l="1"/>
  <c r="A57" i="16" l="1"/>
  <c r="A58" i="16" l="1"/>
  <c r="A59" i="16" l="1"/>
  <c r="A60" i="16" l="1"/>
  <c r="A61" i="16" l="1"/>
  <c r="A62" i="16" l="1"/>
  <c r="A63" i="16" l="1"/>
  <c r="A64" i="16" l="1"/>
  <c r="A65" i="16" l="1"/>
  <c r="A66" i="16" l="1"/>
  <c r="A67" i="16" l="1"/>
  <c r="A68" i="16" l="1"/>
  <c r="A69" i="16" l="1"/>
  <c r="A70" i="16" l="1"/>
  <c r="A71" i="16" l="1"/>
  <c r="A72" i="16" l="1"/>
  <c r="A73" i="16" l="1"/>
  <c r="A74" i="16" l="1"/>
  <c r="A75" i="16" l="1"/>
  <c r="A76" i="16" l="1"/>
  <c r="A77" i="16" l="1"/>
  <c r="A78" i="16" l="1"/>
  <c r="A79" i="16" l="1"/>
  <c r="A80" i="16" l="1"/>
  <c r="A81" i="16" l="1"/>
  <c r="A82" i="16" l="1"/>
  <c r="A83" i="16" l="1"/>
  <c r="A84" i="16" l="1"/>
  <c r="A6" i="16" l="1"/>
  <c r="P6" i="16" l="1" a="1"/>
  <c r="P6" i="16" s="1"/>
  <c r="L6" i="16" a="1"/>
  <c r="L6" i="16" s="1"/>
  <c r="H6" i="16" a="1"/>
  <c r="H6" i="16" s="1"/>
  <c r="D6" i="16" a="1"/>
  <c r="D6" i="16" s="1"/>
  <c r="J6" i="16" a="1"/>
  <c r="J6" i="16" s="1"/>
  <c r="Q6" i="16" a="1"/>
  <c r="Q6" i="16" s="1"/>
  <c r="K6" i="16" a="1"/>
  <c r="K6" i="16" s="1"/>
  <c r="C6" i="16" a="1"/>
  <c r="C6" i="16" s="1"/>
  <c r="F6" i="16" a="1"/>
  <c r="F6" i="16" s="1"/>
  <c r="O6" i="16" a="1"/>
  <c r="O6" i="16" s="1"/>
  <c r="G6" i="16" a="1"/>
  <c r="G6" i="16" s="1"/>
  <c r="R6" i="16" a="1"/>
  <c r="R6" i="16" s="1"/>
  <c r="M6" i="16" a="1"/>
  <c r="M6" i="16" s="1"/>
  <c r="E6" i="16" a="1"/>
  <c r="E6" i="16" s="1"/>
  <c r="N6" i="16" a="1"/>
  <c r="N6" i="16" s="1"/>
  <c r="I6" i="16" a="1"/>
  <c r="I6" i="16" s="1"/>
  <c r="F23" i="19" l="1"/>
  <c r="F21" i="19"/>
  <c r="F13" i="19"/>
  <c r="F29" i="19"/>
  <c r="F20" i="19"/>
  <c r="F27" i="19"/>
  <c r="F19" i="19"/>
  <c r="F28" i="19"/>
  <c r="F26" i="19"/>
  <c r="F18" i="19"/>
  <c r="F25" i="19"/>
  <c r="F17" i="19"/>
  <c r="F24" i="19"/>
  <c r="F16" i="19"/>
  <c r="F31" i="19"/>
  <c r="F15" i="19"/>
  <c r="F30" i="19"/>
  <c r="F22" i="19"/>
  <c r="F14" i="19"/>
  <c r="G21" i="19" l="1"/>
  <c r="H64" i="19"/>
  <c r="C64" i="19"/>
  <c r="F64" i="19"/>
  <c r="K64" i="19"/>
  <c r="B64" i="19"/>
  <c r="E64" i="19"/>
  <c r="G64" i="19"/>
  <c r="J64" i="19"/>
  <c r="I64" i="19"/>
  <c r="L64" i="19"/>
  <c r="D64" i="19"/>
  <c r="G23" i="19"/>
  <c r="G24" i="19" s="1"/>
  <c r="K66" i="19"/>
  <c r="F66" i="19"/>
  <c r="B66" i="19"/>
  <c r="J66" i="19"/>
  <c r="I66" i="19"/>
  <c r="E66" i="19"/>
  <c r="L66" i="19"/>
  <c r="D66" i="19"/>
  <c r="G66" i="19"/>
  <c r="H66" i="19"/>
  <c r="C66" i="19"/>
  <c r="H22" i="19"/>
  <c r="G20" i="19"/>
  <c r="H21" i="19" s="1"/>
  <c r="H23" i="19" l="1"/>
  <c r="C67" i="19"/>
  <c r="Q66" i="19"/>
  <c r="T66" i="19"/>
  <c r="F67" i="19"/>
  <c r="E63" i="19"/>
  <c r="S64" i="19"/>
  <c r="U66" i="19"/>
  <c r="G67" i="19"/>
  <c r="P64" i="19"/>
  <c r="B63" i="19"/>
  <c r="AA64" i="19"/>
  <c r="G63" i="19"/>
  <c r="U64" i="19"/>
  <c r="R66" i="19"/>
  <c r="D67" i="19"/>
  <c r="Y64" i="19"/>
  <c r="K63" i="19"/>
  <c r="Z66" i="19"/>
  <c r="L67" i="19"/>
  <c r="R64" i="19"/>
  <c r="D63" i="19"/>
  <c r="F63" i="19"/>
  <c r="T64" i="19"/>
  <c r="P66" i="19"/>
  <c r="B67" i="19"/>
  <c r="AA66" i="19"/>
  <c r="S66" i="19"/>
  <c r="E67" i="19"/>
  <c r="Z64" i="19"/>
  <c r="L63" i="19"/>
  <c r="Q64" i="19"/>
  <c r="C63" i="19"/>
  <c r="V66" i="19"/>
  <c r="H67" i="19"/>
  <c r="W66" i="19"/>
  <c r="I67" i="19"/>
  <c r="I63" i="19"/>
  <c r="W64" i="19"/>
  <c r="H63" i="19"/>
  <c r="V64" i="19"/>
  <c r="K67" i="19"/>
  <c r="Y66" i="19"/>
  <c r="X66" i="19"/>
  <c r="J67" i="19"/>
  <c r="J63" i="19"/>
  <c r="X64" i="19"/>
  <c r="G19" i="19"/>
  <c r="H24" i="19"/>
  <c r="G25" i="19"/>
  <c r="H62" i="19" l="1"/>
  <c r="V63" i="19"/>
  <c r="R67" i="19"/>
  <c r="D68" i="19"/>
  <c r="F62" i="19"/>
  <c r="T63" i="19"/>
  <c r="L62" i="19"/>
  <c r="Z63" i="19"/>
  <c r="I62" i="19"/>
  <c r="W63" i="19"/>
  <c r="D62" i="19"/>
  <c r="R63" i="19"/>
  <c r="E62" i="19"/>
  <c r="S63" i="19"/>
  <c r="J62" i="19"/>
  <c r="X63" i="19"/>
  <c r="I68" i="19"/>
  <c r="W67" i="19"/>
  <c r="S67" i="19"/>
  <c r="E68" i="19"/>
  <c r="G62" i="19"/>
  <c r="U63" i="19"/>
  <c r="F68" i="19"/>
  <c r="T67" i="19"/>
  <c r="X67" i="19"/>
  <c r="J68" i="19"/>
  <c r="L68" i="19"/>
  <c r="Z67" i="19"/>
  <c r="Q63" i="19"/>
  <c r="C62" i="19"/>
  <c r="H68" i="19"/>
  <c r="V67" i="19"/>
  <c r="B62" i="19"/>
  <c r="P63" i="19"/>
  <c r="AA63" i="19"/>
  <c r="G68" i="19"/>
  <c r="U67" i="19"/>
  <c r="K68" i="19"/>
  <c r="Y67" i="19"/>
  <c r="P67" i="19"/>
  <c r="B68" i="19"/>
  <c r="AA67" i="19"/>
  <c r="K62" i="19"/>
  <c r="Y63" i="19"/>
  <c r="Q67" i="19"/>
  <c r="C68" i="19"/>
  <c r="G18" i="19"/>
  <c r="G26" i="19"/>
  <c r="H25" i="19"/>
  <c r="H20" i="19"/>
  <c r="X68" i="19" l="1"/>
  <c r="J69" i="19"/>
  <c r="E61" i="19"/>
  <c r="S62" i="19"/>
  <c r="L61" i="19"/>
  <c r="Z62" i="19"/>
  <c r="E69" i="19"/>
  <c r="S68" i="19"/>
  <c r="B69" i="19"/>
  <c r="P68" i="19"/>
  <c r="AA68" i="19"/>
  <c r="D69" i="19"/>
  <c r="R68" i="19"/>
  <c r="I69" i="19"/>
  <c r="W68" i="19"/>
  <c r="C69" i="19"/>
  <c r="Q68" i="19"/>
  <c r="B61" i="19"/>
  <c r="P62" i="19"/>
  <c r="AA62" i="19"/>
  <c r="F69" i="19"/>
  <c r="T68" i="19"/>
  <c r="D61" i="19"/>
  <c r="R62" i="19"/>
  <c r="K61" i="19"/>
  <c r="Y62" i="19"/>
  <c r="C61" i="19"/>
  <c r="Q62" i="19"/>
  <c r="L69" i="19"/>
  <c r="Z68" i="19"/>
  <c r="J61" i="19"/>
  <c r="X62" i="19"/>
  <c r="K69" i="19"/>
  <c r="Y68" i="19"/>
  <c r="G61" i="19"/>
  <c r="U62" i="19"/>
  <c r="F61" i="19"/>
  <c r="T62" i="19"/>
  <c r="G69" i="19"/>
  <c r="U68" i="19"/>
  <c r="V68" i="19"/>
  <c r="H69" i="19"/>
  <c r="I61" i="19"/>
  <c r="W62" i="19"/>
  <c r="H61" i="19"/>
  <c r="V62" i="19"/>
  <c r="H26" i="19"/>
  <c r="G27" i="19"/>
  <c r="G17" i="19"/>
  <c r="H18" i="19" s="1"/>
  <c r="H19" i="19"/>
  <c r="H70" i="19" l="1"/>
  <c r="V69" i="19"/>
  <c r="F60" i="19"/>
  <c r="T61" i="19"/>
  <c r="F70" i="19"/>
  <c r="T69" i="19"/>
  <c r="D70" i="19"/>
  <c r="R69" i="19"/>
  <c r="L60" i="19"/>
  <c r="Z61" i="19"/>
  <c r="G60" i="19"/>
  <c r="U61" i="19"/>
  <c r="J60" i="19"/>
  <c r="X61" i="19"/>
  <c r="K60" i="19"/>
  <c r="Y61" i="19"/>
  <c r="I70" i="19"/>
  <c r="W69" i="19"/>
  <c r="E60" i="19"/>
  <c r="S61" i="19"/>
  <c r="S69" i="19"/>
  <c r="E70" i="19"/>
  <c r="H60" i="19"/>
  <c r="V61" i="19"/>
  <c r="B60" i="19"/>
  <c r="P61" i="19"/>
  <c r="AA61" i="19"/>
  <c r="G70" i="19"/>
  <c r="U69" i="19"/>
  <c r="D60" i="19"/>
  <c r="R61" i="19"/>
  <c r="B70" i="19"/>
  <c r="P69" i="19"/>
  <c r="AA69" i="19"/>
  <c r="J70" i="19"/>
  <c r="X69" i="19"/>
  <c r="C60" i="19"/>
  <c r="Q61" i="19"/>
  <c r="I60" i="19"/>
  <c r="W61" i="19"/>
  <c r="K70" i="19"/>
  <c r="Y69" i="19"/>
  <c r="L70" i="19"/>
  <c r="Z69" i="19"/>
  <c r="C70" i="19"/>
  <c r="Q69" i="19"/>
  <c r="G16" i="19"/>
  <c r="H17" i="19" s="1"/>
  <c r="H27" i="19"/>
  <c r="G28" i="19"/>
  <c r="E71" i="19" l="1"/>
  <c r="S70" i="19"/>
  <c r="K59" i="19"/>
  <c r="Y60" i="19"/>
  <c r="C71" i="19"/>
  <c r="Q70" i="19"/>
  <c r="F71" i="19"/>
  <c r="T70" i="19"/>
  <c r="L71" i="19"/>
  <c r="Z70" i="19"/>
  <c r="D59" i="19"/>
  <c r="R60" i="19"/>
  <c r="J59" i="19"/>
  <c r="X60" i="19"/>
  <c r="B71" i="19"/>
  <c r="P70" i="19"/>
  <c r="AA70" i="19"/>
  <c r="B59" i="19"/>
  <c r="P60" i="19"/>
  <c r="AA60" i="19"/>
  <c r="E59" i="19"/>
  <c r="S60" i="19"/>
  <c r="K71" i="19"/>
  <c r="Y70" i="19"/>
  <c r="X70" i="19"/>
  <c r="J71" i="19"/>
  <c r="G59" i="19"/>
  <c r="U60" i="19"/>
  <c r="L59" i="19"/>
  <c r="Z60" i="19"/>
  <c r="F59" i="19"/>
  <c r="T60" i="19"/>
  <c r="H59" i="19"/>
  <c r="V60" i="19"/>
  <c r="I71" i="19"/>
  <c r="W70" i="19"/>
  <c r="C59" i="19"/>
  <c r="Q60" i="19"/>
  <c r="I59" i="19"/>
  <c r="W60" i="19"/>
  <c r="G71" i="19"/>
  <c r="U70" i="19"/>
  <c r="D71" i="19"/>
  <c r="R70" i="19"/>
  <c r="H71" i="19"/>
  <c r="V70" i="19"/>
  <c r="H28" i="19"/>
  <c r="G29" i="19"/>
  <c r="G15" i="19"/>
  <c r="H58" i="19" l="1"/>
  <c r="V59" i="19"/>
  <c r="J72" i="19"/>
  <c r="X71" i="19"/>
  <c r="C72" i="19"/>
  <c r="Q71" i="19"/>
  <c r="B72" i="19"/>
  <c r="P71" i="19"/>
  <c r="AA71" i="19"/>
  <c r="L72" i="19"/>
  <c r="Z71" i="19"/>
  <c r="D58" i="19"/>
  <c r="R59" i="19"/>
  <c r="G72" i="19"/>
  <c r="U71" i="19"/>
  <c r="I72" i="19"/>
  <c r="W71" i="19"/>
  <c r="F58" i="19"/>
  <c r="T59" i="19"/>
  <c r="E58" i="19"/>
  <c r="S59" i="19"/>
  <c r="K72" i="19"/>
  <c r="Y71" i="19"/>
  <c r="J58" i="19"/>
  <c r="X59" i="19"/>
  <c r="K58" i="19"/>
  <c r="Y59" i="19"/>
  <c r="I58" i="19"/>
  <c r="W59" i="19"/>
  <c r="L58" i="19"/>
  <c r="Z59" i="19"/>
  <c r="F72" i="19"/>
  <c r="T71" i="19"/>
  <c r="H72" i="19"/>
  <c r="V71" i="19"/>
  <c r="B58" i="19"/>
  <c r="P59" i="19"/>
  <c r="AA59" i="19"/>
  <c r="E72" i="19"/>
  <c r="S71" i="19"/>
  <c r="D72" i="19"/>
  <c r="R71" i="19"/>
  <c r="C58" i="19"/>
  <c r="Q59" i="19"/>
  <c r="G58" i="19"/>
  <c r="U59" i="19"/>
  <c r="G14" i="19"/>
  <c r="H15" i="19" s="1"/>
  <c r="H16" i="19"/>
  <c r="H29" i="19"/>
  <c r="G30" i="19"/>
  <c r="E73" i="19" l="1"/>
  <c r="S72" i="19"/>
  <c r="C57" i="19"/>
  <c r="Q58" i="19"/>
  <c r="K73" i="19"/>
  <c r="Y72" i="19"/>
  <c r="F57" i="19"/>
  <c r="T58" i="19"/>
  <c r="L73" i="19"/>
  <c r="Z72" i="19"/>
  <c r="D57" i="19"/>
  <c r="R58" i="19"/>
  <c r="D73" i="19"/>
  <c r="R72" i="19"/>
  <c r="B57" i="19"/>
  <c r="P58" i="19"/>
  <c r="AA58" i="19"/>
  <c r="F73" i="19"/>
  <c r="T72" i="19"/>
  <c r="K57" i="19"/>
  <c r="Y58" i="19"/>
  <c r="I73" i="19"/>
  <c r="W72" i="19"/>
  <c r="J73" i="19"/>
  <c r="X72" i="19"/>
  <c r="I57" i="19"/>
  <c r="W58" i="19"/>
  <c r="B73" i="19"/>
  <c r="P72" i="19"/>
  <c r="AA72" i="19"/>
  <c r="L57" i="19"/>
  <c r="Z58" i="19"/>
  <c r="G73" i="19"/>
  <c r="U72" i="19"/>
  <c r="H57" i="19"/>
  <c r="V58" i="19"/>
  <c r="C73" i="19"/>
  <c r="Q72" i="19"/>
  <c r="H73" i="19"/>
  <c r="V72" i="19"/>
  <c r="G57" i="19"/>
  <c r="U58" i="19"/>
  <c r="J57" i="19"/>
  <c r="X58" i="19"/>
  <c r="E57" i="19"/>
  <c r="S58" i="19"/>
  <c r="H30" i="19"/>
  <c r="G31" i="19"/>
  <c r="G13" i="19"/>
  <c r="H13" i="19" s="1"/>
  <c r="I74" i="19" l="1"/>
  <c r="W73" i="19"/>
  <c r="F74" i="19"/>
  <c r="T73" i="19"/>
  <c r="D56" i="19"/>
  <c r="R57" i="19"/>
  <c r="H74" i="19"/>
  <c r="V73" i="19"/>
  <c r="J56" i="19"/>
  <c r="X57" i="19"/>
  <c r="L56" i="19"/>
  <c r="Z57" i="19"/>
  <c r="L74" i="19"/>
  <c r="Z73" i="19"/>
  <c r="B56" i="19"/>
  <c r="P57" i="19"/>
  <c r="AA57" i="19"/>
  <c r="H56" i="19"/>
  <c r="V57" i="19"/>
  <c r="F56" i="19"/>
  <c r="T57" i="19"/>
  <c r="C56" i="19"/>
  <c r="Q57" i="19"/>
  <c r="K74" i="19"/>
  <c r="Y73" i="19"/>
  <c r="J74" i="19"/>
  <c r="X73" i="19"/>
  <c r="D74" i="19"/>
  <c r="R73" i="19"/>
  <c r="E56" i="19"/>
  <c r="S57" i="19"/>
  <c r="C74" i="19"/>
  <c r="Q73" i="19"/>
  <c r="K56" i="19"/>
  <c r="Y57" i="19"/>
  <c r="I56" i="19"/>
  <c r="W57" i="19"/>
  <c r="G56" i="19"/>
  <c r="U57" i="19"/>
  <c r="G74" i="19"/>
  <c r="U73" i="19"/>
  <c r="B74" i="19"/>
  <c r="P73" i="19"/>
  <c r="AA73" i="19"/>
  <c r="E74" i="19"/>
  <c r="S73" i="19"/>
  <c r="H31" i="19"/>
  <c r="G32" i="19"/>
  <c r="H14" i="19"/>
  <c r="P56" i="19" l="1"/>
  <c r="AA56" i="19"/>
  <c r="S56" i="19"/>
  <c r="T56" i="19"/>
  <c r="W56" i="19"/>
  <c r="L75" i="19"/>
  <c r="Z74" i="19"/>
  <c r="F75" i="19"/>
  <c r="T74" i="19"/>
  <c r="Z56" i="19"/>
  <c r="X56" i="19"/>
  <c r="D75" i="19"/>
  <c r="R74" i="19"/>
  <c r="V56" i="19"/>
  <c r="I75" i="19"/>
  <c r="W74" i="19"/>
  <c r="B75" i="19"/>
  <c r="P74" i="19"/>
  <c r="AA74" i="19"/>
  <c r="R56" i="19"/>
  <c r="K75" i="19"/>
  <c r="Y74" i="19"/>
  <c r="E75" i="19"/>
  <c r="S74" i="19"/>
  <c r="Y56" i="19"/>
  <c r="G75" i="19"/>
  <c r="U74" i="19"/>
  <c r="J75" i="19"/>
  <c r="X74" i="19"/>
  <c r="Q56" i="19"/>
  <c r="H75" i="19"/>
  <c r="V74" i="19"/>
  <c r="U56" i="19"/>
  <c r="C75" i="19"/>
  <c r="Q74" i="19"/>
  <c r="H32" i="19"/>
  <c r="G33" i="19"/>
  <c r="E76" i="19" l="1"/>
  <c r="S75" i="19"/>
  <c r="E99" i="19" s="1"/>
  <c r="I76" i="19"/>
  <c r="W75" i="19"/>
  <c r="I117" i="19" s="1"/>
  <c r="F76" i="19"/>
  <c r="T75" i="19"/>
  <c r="F117" i="19" s="1"/>
  <c r="G76" i="19"/>
  <c r="U75" i="19"/>
  <c r="K76" i="19"/>
  <c r="Y75" i="19"/>
  <c r="B76" i="19"/>
  <c r="P75" i="19"/>
  <c r="AA75" i="19"/>
  <c r="D76" i="19"/>
  <c r="R75" i="19"/>
  <c r="D117" i="19" s="1"/>
  <c r="L76" i="19"/>
  <c r="Z75" i="19"/>
  <c r="K99" i="19"/>
  <c r="K117" i="19"/>
  <c r="H76" i="19"/>
  <c r="V75" i="19"/>
  <c r="H99" i="19" s="1"/>
  <c r="H117" i="19"/>
  <c r="C76" i="19"/>
  <c r="Q75" i="19"/>
  <c r="C117" i="19" s="1"/>
  <c r="J76" i="19"/>
  <c r="X75" i="19"/>
  <c r="J117" i="19" s="1"/>
  <c r="I99" i="19"/>
  <c r="G34" i="19"/>
  <c r="H33" i="19"/>
  <c r="F99" i="19" l="1"/>
  <c r="C103" i="19"/>
  <c r="C118" i="19"/>
  <c r="Q118" i="19" s="1"/>
  <c r="Y8" i="3" s="1"/>
  <c r="C108" i="19"/>
  <c r="C107" i="19"/>
  <c r="C109" i="19"/>
  <c r="Q109" i="19" s="1"/>
  <c r="C106" i="19"/>
  <c r="C110" i="19"/>
  <c r="C105" i="19"/>
  <c r="C111" i="19"/>
  <c r="C112" i="19"/>
  <c r="C104" i="19"/>
  <c r="Q104" i="19" s="1"/>
  <c r="C113" i="19"/>
  <c r="C114" i="19"/>
  <c r="C102" i="19"/>
  <c r="C101" i="19"/>
  <c r="C115" i="19"/>
  <c r="C116" i="19"/>
  <c r="C100" i="19"/>
  <c r="G118" i="19"/>
  <c r="G108" i="19"/>
  <c r="G107" i="19"/>
  <c r="G109" i="19"/>
  <c r="U109" i="19" s="1"/>
  <c r="G106" i="19"/>
  <c r="G110" i="19"/>
  <c r="G111" i="19"/>
  <c r="G105" i="19"/>
  <c r="U105" i="19" s="1"/>
  <c r="G112" i="19"/>
  <c r="U112" i="19" s="1"/>
  <c r="G104" i="19"/>
  <c r="G113" i="19"/>
  <c r="G103" i="19"/>
  <c r="G114" i="19"/>
  <c r="U114" i="19" s="1"/>
  <c r="AC4" i="3" s="1"/>
  <c r="G102" i="19"/>
  <c r="U102" i="19" s="1"/>
  <c r="G101" i="19"/>
  <c r="G115" i="19"/>
  <c r="G116" i="19"/>
  <c r="G100" i="19"/>
  <c r="E102" i="19"/>
  <c r="E118" i="19"/>
  <c r="E108" i="19"/>
  <c r="S108" i="19" s="1"/>
  <c r="E109" i="19"/>
  <c r="E107" i="19"/>
  <c r="E106" i="19"/>
  <c r="S106" i="19" s="1"/>
  <c r="E110" i="19"/>
  <c r="E111" i="19"/>
  <c r="E105" i="19"/>
  <c r="E112" i="19"/>
  <c r="S112" i="19" s="1"/>
  <c r="E104" i="19"/>
  <c r="E103" i="19"/>
  <c r="S103" i="19" s="1"/>
  <c r="E113" i="19"/>
  <c r="E114" i="19"/>
  <c r="S114" i="19" s="1"/>
  <c r="AA4" i="3" s="1"/>
  <c r="E101" i="19"/>
  <c r="S101" i="19" s="1"/>
  <c r="E115" i="19"/>
  <c r="E100" i="19"/>
  <c r="S100" i="19" s="1"/>
  <c r="E116" i="19"/>
  <c r="S116" i="19" s="1"/>
  <c r="AA6" i="3" s="1"/>
  <c r="G77" i="19"/>
  <c r="U76" i="19"/>
  <c r="G119" i="19" s="1"/>
  <c r="E77" i="19"/>
  <c r="S76" i="19"/>
  <c r="E119" i="19" s="1"/>
  <c r="I77" i="19"/>
  <c r="W76" i="19"/>
  <c r="I119" i="19" s="1"/>
  <c r="L105" i="19"/>
  <c r="L118" i="19"/>
  <c r="L108" i="19"/>
  <c r="L107" i="19"/>
  <c r="L109" i="19"/>
  <c r="L106" i="19"/>
  <c r="Z106" i="19" s="1"/>
  <c r="L110" i="19"/>
  <c r="Z110" i="19" s="1"/>
  <c r="L111" i="19"/>
  <c r="L104" i="19"/>
  <c r="L112" i="19"/>
  <c r="Z112" i="19" s="1"/>
  <c r="L103" i="19"/>
  <c r="Z103" i="19" s="1"/>
  <c r="L113" i="19"/>
  <c r="L114" i="19"/>
  <c r="L102" i="19"/>
  <c r="L101" i="19"/>
  <c r="L115" i="19"/>
  <c r="L116" i="19"/>
  <c r="L100" i="19"/>
  <c r="B118" i="19"/>
  <c r="B108" i="19"/>
  <c r="P108" i="19" s="1"/>
  <c r="B107" i="19"/>
  <c r="P107" i="19" s="1"/>
  <c r="B109" i="19"/>
  <c r="B110" i="19"/>
  <c r="B106" i="19"/>
  <c r="P106" i="19" s="1"/>
  <c r="B105" i="19"/>
  <c r="B111" i="19"/>
  <c r="B104" i="19"/>
  <c r="P104" i="19" s="1"/>
  <c r="B112" i="19"/>
  <c r="B103" i="19"/>
  <c r="P103" i="19" s="1"/>
  <c r="B113" i="19"/>
  <c r="B114" i="19"/>
  <c r="B102" i="19"/>
  <c r="B115" i="19"/>
  <c r="B101" i="19"/>
  <c r="B116" i="19"/>
  <c r="P116" i="19" s="1"/>
  <c r="B100" i="19"/>
  <c r="P100" i="19" s="1"/>
  <c r="B99" i="19"/>
  <c r="B77" i="19"/>
  <c r="P76" i="19"/>
  <c r="B119" i="19" s="1"/>
  <c r="AA76" i="19"/>
  <c r="G117" i="19"/>
  <c r="C77" i="19"/>
  <c r="Q76" i="19"/>
  <c r="C119" i="19" s="1"/>
  <c r="Q119" i="19" s="1"/>
  <c r="Y9" i="3" s="1"/>
  <c r="G99" i="19"/>
  <c r="U100" i="19" s="1"/>
  <c r="D77" i="19"/>
  <c r="R76" i="19"/>
  <c r="D119" i="19" s="1"/>
  <c r="L117" i="19"/>
  <c r="Z117" i="19" s="1"/>
  <c r="AH7" i="3" s="1"/>
  <c r="F118" i="19"/>
  <c r="T118" i="19" s="1"/>
  <c r="AB8" i="3" s="1"/>
  <c r="F108" i="19"/>
  <c r="F107" i="19"/>
  <c r="T107" i="19" s="1"/>
  <c r="F109" i="19"/>
  <c r="T109" i="19" s="1"/>
  <c r="F110" i="19"/>
  <c r="F106" i="19"/>
  <c r="F111" i="19"/>
  <c r="T111" i="19" s="1"/>
  <c r="F105" i="19"/>
  <c r="F104" i="19"/>
  <c r="F112" i="19"/>
  <c r="F103" i="19"/>
  <c r="T103" i="19" s="1"/>
  <c r="F113" i="19"/>
  <c r="T113" i="19" s="1"/>
  <c r="AB3" i="3" s="1"/>
  <c r="F114" i="19"/>
  <c r="F102" i="19"/>
  <c r="F101" i="19"/>
  <c r="F115" i="19"/>
  <c r="T115" i="19" s="1"/>
  <c r="AB5" i="3" s="1"/>
  <c r="F100" i="19"/>
  <c r="T100" i="19" s="1"/>
  <c r="F116" i="19"/>
  <c r="K77" i="19"/>
  <c r="Y76" i="19"/>
  <c r="K119" i="19" s="1"/>
  <c r="Y119" i="19" s="1"/>
  <c r="AG9" i="3" s="1"/>
  <c r="L77" i="19"/>
  <c r="Z76" i="19"/>
  <c r="L119" i="19" s="1"/>
  <c r="B117" i="19"/>
  <c r="H100" i="19"/>
  <c r="V100" i="19" s="1"/>
  <c r="H118" i="19"/>
  <c r="V118" i="19" s="1"/>
  <c r="AD8" i="3" s="1"/>
  <c r="H108" i="19"/>
  <c r="H107" i="19"/>
  <c r="V107" i="19" s="1"/>
  <c r="H109" i="19"/>
  <c r="V109" i="19" s="1"/>
  <c r="H106" i="19"/>
  <c r="H110" i="19"/>
  <c r="H105" i="19"/>
  <c r="V105" i="19" s="1"/>
  <c r="H111" i="19"/>
  <c r="V111" i="19" s="1"/>
  <c r="H112" i="19"/>
  <c r="H104" i="19"/>
  <c r="H103" i="19"/>
  <c r="V103" i="19" s="1"/>
  <c r="H113" i="19"/>
  <c r="H102" i="19"/>
  <c r="H114" i="19"/>
  <c r="H115" i="19"/>
  <c r="V115" i="19" s="1"/>
  <c r="AD5" i="3" s="1"/>
  <c r="H101" i="19"/>
  <c r="V101" i="19" s="1"/>
  <c r="H116" i="19"/>
  <c r="D99" i="19"/>
  <c r="F77" i="19"/>
  <c r="T76" i="19"/>
  <c r="F119" i="19" s="1"/>
  <c r="T119" i="19" s="1"/>
  <c r="AB9" i="3" s="1"/>
  <c r="E117" i="19"/>
  <c r="J77" i="19"/>
  <c r="X76" i="19"/>
  <c r="J119" i="19" s="1"/>
  <c r="D103" i="19"/>
  <c r="D118" i="19"/>
  <c r="R118" i="19" s="1"/>
  <c r="Z8" i="3" s="1"/>
  <c r="D108" i="19"/>
  <c r="D107" i="19"/>
  <c r="R107" i="19" s="1"/>
  <c r="D109" i="19"/>
  <c r="R109" i="19" s="1"/>
  <c r="D106" i="19"/>
  <c r="D110" i="19"/>
  <c r="D111" i="19"/>
  <c r="R111" i="19" s="1"/>
  <c r="D105" i="19"/>
  <c r="D104" i="19"/>
  <c r="R104" i="19" s="1"/>
  <c r="D112" i="19"/>
  <c r="D113" i="19"/>
  <c r="R113" i="19" s="1"/>
  <c r="Z3" i="3" s="1"/>
  <c r="D114" i="19"/>
  <c r="R114" i="19" s="1"/>
  <c r="Z4" i="3" s="1"/>
  <c r="D102" i="19"/>
  <c r="D101" i="19"/>
  <c r="D115" i="19"/>
  <c r="D100" i="19"/>
  <c r="R100" i="19" s="1"/>
  <c r="D116" i="19"/>
  <c r="R116" i="19" s="1"/>
  <c r="Z6" i="3" s="1"/>
  <c r="J99" i="19"/>
  <c r="J118" i="19"/>
  <c r="X118" i="19" s="1"/>
  <c r="AF8" i="3" s="1"/>
  <c r="J108" i="19"/>
  <c r="X108" i="19" s="1"/>
  <c r="J107" i="19"/>
  <c r="J109" i="19"/>
  <c r="J106" i="19"/>
  <c r="X106" i="19" s="1"/>
  <c r="J110" i="19"/>
  <c r="X110" i="19" s="1"/>
  <c r="J111" i="19"/>
  <c r="X111" i="19" s="1"/>
  <c r="J105" i="19"/>
  <c r="J112" i="19"/>
  <c r="J104" i="19"/>
  <c r="X104" i="19" s="1"/>
  <c r="J113" i="19"/>
  <c r="J103" i="19"/>
  <c r="J114" i="19"/>
  <c r="X114" i="19" s="1"/>
  <c r="AF4" i="3" s="1"/>
  <c r="J102" i="19"/>
  <c r="J101" i="19"/>
  <c r="J115" i="19"/>
  <c r="J116" i="19"/>
  <c r="X116" i="19" s="1"/>
  <c r="AF6" i="3" s="1"/>
  <c r="J100" i="19"/>
  <c r="X100" i="19" s="1"/>
  <c r="H77" i="19"/>
  <c r="V76" i="19"/>
  <c r="H119" i="19" s="1"/>
  <c r="C99" i="19"/>
  <c r="K105" i="19"/>
  <c r="K118" i="19"/>
  <c r="Y118" i="19" s="1"/>
  <c r="AG8" i="3" s="1"/>
  <c r="K108" i="19"/>
  <c r="K107" i="19"/>
  <c r="Y107" i="19" s="1"/>
  <c r="K109" i="19"/>
  <c r="Y109" i="19" s="1"/>
  <c r="K110" i="19"/>
  <c r="K106" i="19"/>
  <c r="K111" i="19"/>
  <c r="Y111" i="19" s="1"/>
  <c r="K104" i="19"/>
  <c r="K112" i="19"/>
  <c r="Y112" i="19" s="1"/>
  <c r="K113" i="19"/>
  <c r="K103" i="19"/>
  <c r="Y103" i="19" s="1"/>
  <c r="K114" i="19"/>
  <c r="Y114" i="19" s="1"/>
  <c r="AG4" i="3" s="1"/>
  <c r="K102" i="19"/>
  <c r="Y102" i="19" s="1"/>
  <c r="K101" i="19"/>
  <c r="K115" i="19"/>
  <c r="K116" i="19"/>
  <c r="K100" i="19"/>
  <c r="Y100" i="19" s="1"/>
  <c r="I118" i="19"/>
  <c r="W118" i="19" s="1"/>
  <c r="AE8" i="3" s="1"/>
  <c r="I108" i="19"/>
  <c r="I107" i="19"/>
  <c r="W107" i="19" s="1"/>
  <c r="I109" i="19"/>
  <c r="I106" i="19"/>
  <c r="I110" i="19"/>
  <c r="I105" i="19"/>
  <c r="W105" i="19" s="1"/>
  <c r="I111" i="19"/>
  <c r="W111" i="19" s="1"/>
  <c r="I104" i="19"/>
  <c r="I112" i="19"/>
  <c r="I103" i="19"/>
  <c r="W103" i="19" s="1"/>
  <c r="I113" i="19"/>
  <c r="I114" i="19"/>
  <c r="I102" i="19"/>
  <c r="I101" i="19"/>
  <c r="I115" i="19"/>
  <c r="W115" i="19" s="1"/>
  <c r="AE5" i="3" s="1"/>
  <c r="I100" i="19"/>
  <c r="W100" i="19" s="1"/>
  <c r="I116" i="19"/>
  <c r="L99" i="19"/>
  <c r="H34" i="19"/>
  <c r="G35" i="19"/>
  <c r="T112" i="19" l="1"/>
  <c r="Q114" i="19"/>
  <c r="Y4" i="3" s="1"/>
  <c r="V116" i="19"/>
  <c r="AD6" i="3" s="1"/>
  <c r="T104" i="19"/>
  <c r="Q107" i="19"/>
  <c r="Y116" i="19"/>
  <c r="AG6" i="3" s="1"/>
  <c r="P119" i="19"/>
  <c r="P114" i="19"/>
  <c r="P110" i="19"/>
  <c r="Z101" i="19"/>
  <c r="S110" i="19"/>
  <c r="U116" i="19"/>
  <c r="AC6" i="3" s="1"/>
  <c r="S119" i="19"/>
  <c r="AA9" i="3" s="1"/>
  <c r="U115" i="19"/>
  <c r="AC5" i="3" s="1"/>
  <c r="Q100" i="19"/>
  <c r="Z119" i="19"/>
  <c r="AH9" i="3" s="1"/>
  <c r="S113" i="19"/>
  <c r="AA3" i="3" s="1"/>
  <c r="U101" i="19"/>
  <c r="P117" i="19"/>
  <c r="S117" i="19"/>
  <c r="AA7" i="3" s="1"/>
  <c r="P112" i="19"/>
  <c r="Z113" i="19"/>
  <c r="AH3" i="3" s="1"/>
  <c r="Z107" i="19"/>
  <c r="S109" i="19"/>
  <c r="U110" i="19"/>
  <c r="W116" i="19"/>
  <c r="AE6" i="3" s="1"/>
  <c r="W108" i="19"/>
  <c r="X112" i="19"/>
  <c r="F78" i="19"/>
  <c r="T77" i="19"/>
  <c r="F120" i="19" s="1"/>
  <c r="T120" i="19" s="1"/>
  <c r="AB10" i="3" s="1"/>
  <c r="K78" i="19"/>
  <c r="Y77" i="19"/>
  <c r="K120" i="19" s="1"/>
  <c r="Y120" i="19" s="1"/>
  <c r="AG10" i="3" s="1"/>
  <c r="X117" i="19"/>
  <c r="AF7" i="3" s="1"/>
  <c r="B78" i="19"/>
  <c r="P77" i="19"/>
  <c r="B120" i="19" s="1"/>
  <c r="P120" i="19" s="1"/>
  <c r="AA77" i="19"/>
  <c r="P113" i="19"/>
  <c r="P109" i="19"/>
  <c r="Z102" i="19"/>
  <c r="Q113" i="19"/>
  <c r="Y3" i="3" s="1"/>
  <c r="I78" i="19"/>
  <c r="W77" i="19"/>
  <c r="I120" i="19" s="1"/>
  <c r="U119" i="19"/>
  <c r="AC9" i="3" s="1"/>
  <c r="U118" i="19"/>
  <c r="AC8" i="3" s="1"/>
  <c r="W112" i="19"/>
  <c r="W104" i="19"/>
  <c r="Y113" i="19"/>
  <c r="AG3" i="3" s="1"/>
  <c r="Y108" i="19"/>
  <c r="X115" i="19"/>
  <c r="AF5" i="3" s="1"/>
  <c r="X105" i="19"/>
  <c r="R112" i="19"/>
  <c r="R108" i="19"/>
  <c r="V104" i="19"/>
  <c r="V108" i="19"/>
  <c r="T116" i="19"/>
  <c r="AB6" i="3" s="1"/>
  <c r="T108" i="19"/>
  <c r="V117" i="19"/>
  <c r="AD7" i="3" s="1"/>
  <c r="Z114" i="19"/>
  <c r="AH4" i="3" s="1"/>
  <c r="Z109" i="19"/>
  <c r="E78" i="19"/>
  <c r="S77" i="19"/>
  <c r="E120" i="19" s="1"/>
  <c r="S120" i="19" s="1"/>
  <c r="AA10" i="3" s="1"/>
  <c r="S107" i="19"/>
  <c r="U111" i="19"/>
  <c r="Q108" i="19"/>
  <c r="R105" i="19"/>
  <c r="T105" i="19"/>
  <c r="C78" i="19"/>
  <c r="Q77" i="19"/>
  <c r="C120" i="19" s="1"/>
  <c r="Q120" i="19" s="1"/>
  <c r="Y10" i="3" s="1"/>
  <c r="P118" i="19"/>
  <c r="Z108" i="19"/>
  <c r="G78" i="19"/>
  <c r="U77" i="19"/>
  <c r="G120" i="19" s="1"/>
  <c r="U120" i="19" s="1"/>
  <c r="AC10" i="3" s="1"/>
  <c r="S104" i="19"/>
  <c r="U106" i="19"/>
  <c r="Q117" i="19"/>
  <c r="Y7" i="3" s="1"/>
  <c r="Q116" i="19"/>
  <c r="Y6" i="3" s="1"/>
  <c r="Q112" i="19"/>
  <c r="Q111" i="19"/>
  <c r="W102" i="19"/>
  <c r="W101" i="19"/>
  <c r="Y105" i="19"/>
  <c r="R115" i="19"/>
  <c r="Z5" i="3" s="1"/>
  <c r="X119" i="19"/>
  <c r="AF9" i="3" s="1"/>
  <c r="T101" i="19"/>
  <c r="T117" i="19"/>
  <c r="AB7" i="3" s="1"/>
  <c r="P101" i="19"/>
  <c r="P111" i="19"/>
  <c r="Z100" i="19"/>
  <c r="Z118" i="19"/>
  <c r="AH8" i="3" s="1"/>
  <c r="S118" i="19"/>
  <c r="AA8" i="3" s="1"/>
  <c r="U103" i="19"/>
  <c r="Q115" i="19"/>
  <c r="Y5" i="3" s="1"/>
  <c r="Q105" i="19"/>
  <c r="Y117" i="19"/>
  <c r="AG7" i="3" s="1"/>
  <c r="V113" i="19"/>
  <c r="AD3" i="3" s="1"/>
  <c r="V112" i="19"/>
  <c r="Y115" i="19"/>
  <c r="AG5" i="3" s="1"/>
  <c r="W114" i="19"/>
  <c r="AE4" i="3" s="1"/>
  <c r="W106" i="19"/>
  <c r="Y101" i="19"/>
  <c r="Y106" i="19"/>
  <c r="V119" i="19"/>
  <c r="AD9" i="3" s="1"/>
  <c r="X103" i="19"/>
  <c r="X109" i="19"/>
  <c r="R101" i="19"/>
  <c r="R110" i="19"/>
  <c r="J78" i="19"/>
  <c r="X77" i="19"/>
  <c r="J120" i="19" s="1"/>
  <c r="X120" i="19" s="1"/>
  <c r="AF10" i="3" s="1"/>
  <c r="V114" i="19"/>
  <c r="AD4" i="3" s="1"/>
  <c r="V110" i="19"/>
  <c r="T102" i="19"/>
  <c r="T106" i="19"/>
  <c r="R119" i="19"/>
  <c r="Z9" i="3" s="1"/>
  <c r="U117" i="19"/>
  <c r="AC7" i="3" s="1"/>
  <c r="P115" i="19"/>
  <c r="P105" i="19"/>
  <c r="Z116" i="19"/>
  <c r="AH6" i="3" s="1"/>
  <c r="Z104" i="19"/>
  <c r="Z105" i="19"/>
  <c r="S105" i="19"/>
  <c r="S102" i="19"/>
  <c r="U113" i="19"/>
  <c r="AC3" i="3" s="1"/>
  <c r="U107" i="19"/>
  <c r="Q101" i="19"/>
  <c r="Q110" i="19"/>
  <c r="R117" i="19"/>
  <c r="Z7" i="3" s="1"/>
  <c r="X101" i="19"/>
  <c r="Y104" i="19"/>
  <c r="X102" i="19"/>
  <c r="W113" i="19"/>
  <c r="AE3" i="3" s="1"/>
  <c r="W110" i="19"/>
  <c r="W109" i="19"/>
  <c r="Y110" i="19"/>
  <c r="H78" i="19"/>
  <c r="V77" i="19"/>
  <c r="H120" i="19" s="1"/>
  <c r="V120" i="19" s="1"/>
  <c r="AD10" i="3" s="1"/>
  <c r="X113" i="19"/>
  <c r="AF3" i="3" s="1"/>
  <c r="X107" i="19"/>
  <c r="R103" i="19"/>
  <c r="R102" i="19"/>
  <c r="R106" i="19"/>
  <c r="V102" i="19"/>
  <c r="V106" i="19"/>
  <c r="L78" i="19"/>
  <c r="Z77" i="19"/>
  <c r="L120" i="19" s="1"/>
  <c r="Z120" i="19" s="1"/>
  <c r="AH10" i="3" s="1"/>
  <c r="T114" i="19"/>
  <c r="AB4" i="3" s="1"/>
  <c r="T110" i="19"/>
  <c r="D78" i="19"/>
  <c r="R77" i="19"/>
  <c r="D120" i="19" s="1"/>
  <c r="R120" i="19" s="1"/>
  <c r="Z10" i="3" s="1"/>
  <c r="P102" i="19"/>
  <c r="Z115" i="19"/>
  <c r="AH5" i="3" s="1"/>
  <c r="Z111" i="19"/>
  <c r="W119" i="19"/>
  <c r="AE9" i="3" s="1"/>
  <c r="S115" i="19"/>
  <c r="AA5" i="3" s="1"/>
  <c r="S111" i="19"/>
  <c r="U104" i="19"/>
  <c r="U108" i="19"/>
  <c r="Q103" i="19"/>
  <c r="Q102" i="19"/>
  <c r="Q106" i="19"/>
  <c r="W117" i="19"/>
  <c r="AE7" i="3" s="1"/>
  <c r="H35" i="19"/>
  <c r="G36" i="19"/>
  <c r="I79" i="19" l="1"/>
  <c r="W78" i="19"/>
  <c r="I121" i="19" s="1"/>
  <c r="L79" i="19"/>
  <c r="Z78" i="19"/>
  <c r="L121" i="19" s="1"/>
  <c r="Z121" i="19" s="1"/>
  <c r="AH11" i="3" s="1"/>
  <c r="G79" i="19"/>
  <c r="U78" i="19"/>
  <c r="G121" i="19" s="1"/>
  <c r="U121" i="19" s="1"/>
  <c r="AC11" i="3" s="1"/>
  <c r="K79" i="19"/>
  <c r="Y78" i="19"/>
  <c r="K121" i="19" s="1"/>
  <c r="Y121" i="19" s="1"/>
  <c r="AG11" i="3" s="1"/>
  <c r="F79" i="19"/>
  <c r="T78" i="19"/>
  <c r="F121" i="19" s="1"/>
  <c r="T121" i="19" s="1"/>
  <c r="AB11" i="3" s="1"/>
  <c r="E79" i="19"/>
  <c r="S78" i="19"/>
  <c r="E121" i="19" s="1"/>
  <c r="D79" i="19"/>
  <c r="R78" i="19"/>
  <c r="D121" i="19" s="1"/>
  <c r="R121" i="19" s="1"/>
  <c r="Z11" i="3" s="1"/>
  <c r="J79" i="19"/>
  <c r="X78" i="19"/>
  <c r="J121" i="19" s="1"/>
  <c r="X121" i="19" s="1"/>
  <c r="AF11" i="3" s="1"/>
  <c r="C79" i="19"/>
  <c r="Q78" i="19"/>
  <c r="C121" i="19" s="1"/>
  <c r="Q121" i="19" s="1"/>
  <c r="Y11" i="3" s="1"/>
  <c r="H79" i="19"/>
  <c r="V78" i="19"/>
  <c r="H121" i="19" s="1"/>
  <c r="V121" i="19" s="1"/>
  <c r="AD11" i="3" s="1"/>
  <c r="W121" i="19"/>
  <c r="AE11" i="3" s="1"/>
  <c r="W120" i="19"/>
  <c r="AE10" i="3" s="1"/>
  <c r="B79" i="19"/>
  <c r="P78" i="19"/>
  <c r="B121" i="19" s="1"/>
  <c r="P121" i="19" s="1"/>
  <c r="AA78" i="19"/>
  <c r="H36" i="19"/>
  <c r="G37" i="19"/>
  <c r="B80" i="19" l="1"/>
  <c r="P79" i="19"/>
  <c r="B122" i="19" s="1"/>
  <c r="P122" i="19" s="1"/>
  <c r="AA79" i="19"/>
  <c r="J80" i="19"/>
  <c r="X79" i="19"/>
  <c r="J122" i="19" s="1"/>
  <c r="X122" i="19" s="1"/>
  <c r="AF12" i="3" s="1"/>
  <c r="K80" i="19"/>
  <c r="Y79" i="19"/>
  <c r="K122" i="19" s="1"/>
  <c r="Y122" i="19" s="1"/>
  <c r="AG12" i="3" s="1"/>
  <c r="D80" i="19"/>
  <c r="R79" i="19"/>
  <c r="D122" i="19" s="1"/>
  <c r="R122" i="19" s="1"/>
  <c r="Z12" i="3" s="1"/>
  <c r="S121" i="19"/>
  <c r="AA11" i="3" s="1"/>
  <c r="G80" i="19"/>
  <c r="U79" i="19"/>
  <c r="G122" i="19" s="1"/>
  <c r="U122" i="19" s="1"/>
  <c r="AC12" i="3" s="1"/>
  <c r="H80" i="19"/>
  <c r="V79" i="19"/>
  <c r="H122" i="19" s="1"/>
  <c r="V122" i="19" s="1"/>
  <c r="AD12" i="3" s="1"/>
  <c r="E80" i="19"/>
  <c r="S79" i="19"/>
  <c r="E122" i="19" s="1"/>
  <c r="S122" i="19" s="1"/>
  <c r="AA12" i="3" s="1"/>
  <c r="L80" i="19"/>
  <c r="Z79" i="19"/>
  <c r="L122" i="19" s="1"/>
  <c r="Z122" i="19" s="1"/>
  <c r="AH12" i="3" s="1"/>
  <c r="C80" i="19"/>
  <c r="Q79" i="19"/>
  <c r="C122" i="19" s="1"/>
  <c r="Q122" i="19" s="1"/>
  <c r="Y12" i="3" s="1"/>
  <c r="F80" i="19"/>
  <c r="T79" i="19"/>
  <c r="F122" i="19" s="1"/>
  <c r="T122" i="19" s="1"/>
  <c r="AB12" i="3" s="1"/>
  <c r="I80" i="19"/>
  <c r="W79" i="19"/>
  <c r="I122" i="19" s="1"/>
  <c r="W122" i="19" s="1"/>
  <c r="AE12" i="3" s="1"/>
  <c r="H37" i="19"/>
  <c r="G38" i="19"/>
  <c r="H81" i="19" l="1"/>
  <c r="V80" i="19"/>
  <c r="H123" i="19" s="1"/>
  <c r="V123" i="19" s="1"/>
  <c r="AD13" i="3" s="1"/>
  <c r="K81" i="19"/>
  <c r="Y80" i="19"/>
  <c r="K123" i="19" s="1"/>
  <c r="Y123" i="19" s="1"/>
  <c r="AG13" i="3" s="1"/>
  <c r="J81" i="19"/>
  <c r="X80" i="19"/>
  <c r="J123" i="19" s="1"/>
  <c r="X123" i="19" s="1"/>
  <c r="AF13" i="3" s="1"/>
  <c r="E81" i="19"/>
  <c r="S80" i="19"/>
  <c r="E123" i="19" s="1"/>
  <c r="S123" i="19" s="1"/>
  <c r="AA13" i="3" s="1"/>
  <c r="D81" i="19"/>
  <c r="R80" i="19"/>
  <c r="D123" i="19" s="1"/>
  <c r="R123" i="19" s="1"/>
  <c r="Z13" i="3" s="1"/>
  <c r="C81" i="19"/>
  <c r="Q80" i="19"/>
  <c r="C123" i="19" s="1"/>
  <c r="Q123" i="19" s="1"/>
  <c r="Y13" i="3" s="1"/>
  <c r="L81" i="19"/>
  <c r="Z80" i="19"/>
  <c r="L123" i="19" s="1"/>
  <c r="Z123" i="19" s="1"/>
  <c r="AH13" i="3" s="1"/>
  <c r="F81" i="19"/>
  <c r="T80" i="19"/>
  <c r="F123" i="19" s="1"/>
  <c r="G81" i="19"/>
  <c r="U80" i="19"/>
  <c r="G123" i="19" s="1"/>
  <c r="U123" i="19" s="1"/>
  <c r="AC13" i="3" s="1"/>
  <c r="I81" i="19"/>
  <c r="W80" i="19"/>
  <c r="I123" i="19" s="1"/>
  <c r="W123" i="19" s="1"/>
  <c r="AE13" i="3" s="1"/>
  <c r="B81" i="19"/>
  <c r="P80" i="19"/>
  <c r="B123" i="19" s="1"/>
  <c r="P123" i="19" s="1"/>
  <c r="AA80" i="19"/>
  <c r="G39" i="19"/>
  <c r="H38" i="19"/>
  <c r="F82" i="19" l="1"/>
  <c r="T81" i="19"/>
  <c r="F124" i="19" s="1"/>
  <c r="E82" i="19"/>
  <c r="S81" i="19"/>
  <c r="E124" i="19" s="1"/>
  <c r="S124" i="19" s="1"/>
  <c r="AA14" i="3" s="1"/>
  <c r="B82" i="19"/>
  <c r="P81" i="19"/>
  <c r="B124" i="19" s="1"/>
  <c r="P124" i="19" s="1"/>
  <c r="AA81" i="19"/>
  <c r="T124" i="19"/>
  <c r="AB14" i="3" s="1"/>
  <c r="T123" i="19"/>
  <c r="AB13" i="3" s="1"/>
  <c r="L82" i="19"/>
  <c r="Z81" i="19"/>
  <c r="L124" i="19" s="1"/>
  <c r="J82" i="19"/>
  <c r="X81" i="19"/>
  <c r="J124" i="19" s="1"/>
  <c r="X124" i="19" s="1"/>
  <c r="AF14" i="3" s="1"/>
  <c r="I82" i="19"/>
  <c r="W81" i="19"/>
  <c r="I124" i="19" s="1"/>
  <c r="W124" i="19" s="1"/>
  <c r="AE14" i="3" s="1"/>
  <c r="C82" i="19"/>
  <c r="Q81" i="19"/>
  <c r="C124" i="19" s="1"/>
  <c r="K82" i="19"/>
  <c r="Y81" i="19"/>
  <c r="K124" i="19" s="1"/>
  <c r="Y124" i="19" s="1"/>
  <c r="AG14" i="3" s="1"/>
  <c r="G82" i="19"/>
  <c r="U81" i="19"/>
  <c r="G124" i="19" s="1"/>
  <c r="U124" i="19" s="1"/>
  <c r="AC14" i="3" s="1"/>
  <c r="D82" i="19"/>
  <c r="R81" i="19"/>
  <c r="D124" i="19" s="1"/>
  <c r="R124" i="19" s="1"/>
  <c r="Z14" i="3" s="1"/>
  <c r="H82" i="19"/>
  <c r="V81" i="19"/>
  <c r="H124" i="19" s="1"/>
  <c r="V124" i="19" s="1"/>
  <c r="AD14" i="3" s="1"/>
  <c r="H39" i="19"/>
  <c r="G40" i="19"/>
  <c r="D83" i="19" l="1"/>
  <c r="R82" i="19"/>
  <c r="D125" i="19" s="1"/>
  <c r="R125" i="19" s="1"/>
  <c r="Z15" i="3" s="1"/>
  <c r="I83" i="19"/>
  <c r="W82" i="19"/>
  <c r="I125" i="19" s="1"/>
  <c r="W125" i="19" s="1"/>
  <c r="AE15" i="3" s="1"/>
  <c r="H83" i="19"/>
  <c r="V82" i="19"/>
  <c r="H125" i="19" s="1"/>
  <c r="V125" i="19" s="1"/>
  <c r="AD15" i="3" s="1"/>
  <c r="B83" i="19"/>
  <c r="P82" i="19"/>
  <c r="B125" i="19" s="1"/>
  <c r="P125" i="19" s="1"/>
  <c r="AA82" i="19"/>
  <c r="J83" i="19"/>
  <c r="X82" i="19"/>
  <c r="J125" i="19" s="1"/>
  <c r="Z125" i="19"/>
  <c r="AH15" i="3" s="1"/>
  <c r="Z124" i="19"/>
  <c r="AH14" i="3" s="1"/>
  <c r="E83" i="19"/>
  <c r="S82" i="19"/>
  <c r="E125" i="19" s="1"/>
  <c r="S125" i="19" s="1"/>
  <c r="AA15" i="3" s="1"/>
  <c r="K83" i="19"/>
  <c r="Y82" i="19"/>
  <c r="K125" i="19" s="1"/>
  <c r="Y125" i="19" s="1"/>
  <c r="AG15" i="3" s="1"/>
  <c r="L83" i="19"/>
  <c r="Z82" i="19"/>
  <c r="L125" i="19" s="1"/>
  <c r="C83" i="19"/>
  <c r="Q82" i="19"/>
  <c r="C125" i="19" s="1"/>
  <c r="G83" i="19"/>
  <c r="U82" i="19"/>
  <c r="G125" i="19" s="1"/>
  <c r="U125" i="19" s="1"/>
  <c r="AC15" i="3" s="1"/>
  <c r="Q125" i="19"/>
  <c r="Y15" i="3" s="1"/>
  <c r="Q124" i="19"/>
  <c r="Y14" i="3" s="1"/>
  <c r="F83" i="19"/>
  <c r="T82" i="19"/>
  <c r="F125" i="19" s="1"/>
  <c r="T125" i="19" s="1"/>
  <c r="AB15" i="3" s="1"/>
  <c r="H40" i="19"/>
  <c r="G41" i="19"/>
  <c r="B84" i="19" l="1"/>
  <c r="P83" i="19"/>
  <c r="B126" i="19" s="1"/>
  <c r="P126" i="19" s="1"/>
  <c r="AA83" i="19"/>
  <c r="G84" i="19"/>
  <c r="U83" i="19"/>
  <c r="G126" i="19" s="1"/>
  <c r="U126" i="19" s="1"/>
  <c r="AC16" i="3" s="1"/>
  <c r="E84" i="19"/>
  <c r="S83" i="19"/>
  <c r="E126" i="19" s="1"/>
  <c r="S126" i="19" s="1"/>
  <c r="AA16" i="3" s="1"/>
  <c r="K84" i="19"/>
  <c r="Y83" i="19"/>
  <c r="K126" i="19" s="1"/>
  <c r="Y126" i="19" s="1"/>
  <c r="AG16" i="3" s="1"/>
  <c r="H84" i="19"/>
  <c r="V83" i="19"/>
  <c r="H126" i="19" s="1"/>
  <c r="V126" i="19" s="1"/>
  <c r="AD16" i="3" s="1"/>
  <c r="C84" i="19"/>
  <c r="Q83" i="19"/>
  <c r="C126" i="19" s="1"/>
  <c r="Q126" i="19" s="1"/>
  <c r="Y16" i="3" s="1"/>
  <c r="X125" i="19"/>
  <c r="AF15" i="3" s="1"/>
  <c r="I84" i="19"/>
  <c r="W83" i="19"/>
  <c r="I126" i="19" s="1"/>
  <c r="W126" i="19" s="1"/>
  <c r="AE16" i="3" s="1"/>
  <c r="F84" i="19"/>
  <c r="T83" i="19"/>
  <c r="F126" i="19" s="1"/>
  <c r="T126" i="19" s="1"/>
  <c r="AB16" i="3" s="1"/>
  <c r="L84" i="19"/>
  <c r="Z83" i="19"/>
  <c r="L126" i="19" s="1"/>
  <c r="Z126" i="19" s="1"/>
  <c r="AH16" i="3" s="1"/>
  <c r="J84" i="19"/>
  <c r="X83" i="19"/>
  <c r="J126" i="19" s="1"/>
  <c r="X126" i="19" s="1"/>
  <c r="AF16" i="3" s="1"/>
  <c r="D84" i="19"/>
  <c r="R83" i="19"/>
  <c r="D126" i="19" s="1"/>
  <c r="R126" i="19" s="1"/>
  <c r="Z16" i="3" s="1"/>
  <c r="H41" i="19"/>
  <c r="G42" i="19"/>
  <c r="J85" i="19" l="1"/>
  <c r="X84" i="19"/>
  <c r="J127" i="19" s="1"/>
  <c r="X127" i="19" s="1"/>
  <c r="AF17" i="3" s="1"/>
  <c r="E85" i="19"/>
  <c r="S84" i="19"/>
  <c r="E127" i="19" s="1"/>
  <c r="S127" i="19" s="1"/>
  <c r="AA17" i="3" s="1"/>
  <c r="L85" i="19"/>
  <c r="Z84" i="19"/>
  <c r="L127" i="19" s="1"/>
  <c r="Z127" i="19" s="1"/>
  <c r="AH17" i="3" s="1"/>
  <c r="C85" i="19"/>
  <c r="Q84" i="19"/>
  <c r="C127" i="19" s="1"/>
  <c r="Q127" i="19" s="1"/>
  <c r="Y17" i="3" s="1"/>
  <c r="G85" i="19"/>
  <c r="U84" i="19"/>
  <c r="G127" i="19" s="1"/>
  <c r="U127" i="19" s="1"/>
  <c r="AC17" i="3" s="1"/>
  <c r="I85" i="19"/>
  <c r="W84" i="19"/>
  <c r="I127" i="19" s="1"/>
  <c r="W127" i="19" s="1"/>
  <c r="AE17" i="3" s="1"/>
  <c r="K85" i="19"/>
  <c r="Y84" i="19"/>
  <c r="K127" i="19" s="1"/>
  <c r="Y127" i="19" s="1"/>
  <c r="AG17" i="3" s="1"/>
  <c r="F85" i="19"/>
  <c r="T84" i="19"/>
  <c r="F127" i="19" s="1"/>
  <c r="T127" i="19" s="1"/>
  <c r="AB17" i="3" s="1"/>
  <c r="H85" i="19"/>
  <c r="V84" i="19"/>
  <c r="H127" i="19" s="1"/>
  <c r="V127" i="19" s="1"/>
  <c r="AD17" i="3" s="1"/>
  <c r="D85" i="19"/>
  <c r="R84" i="19"/>
  <c r="D127" i="19" s="1"/>
  <c r="R127" i="19" s="1"/>
  <c r="Z17" i="3" s="1"/>
  <c r="B85" i="19"/>
  <c r="P84" i="19"/>
  <c r="B127" i="19" s="1"/>
  <c r="P127" i="19" s="1"/>
  <c r="AA84" i="19"/>
  <c r="H42" i="19"/>
  <c r="G43" i="19"/>
  <c r="H43" i="19" s="1"/>
  <c r="F86" i="19" l="1"/>
  <c r="T85" i="19"/>
  <c r="F128" i="19" s="1"/>
  <c r="T128" i="19" s="1"/>
  <c r="AB18" i="3" s="1"/>
  <c r="B86" i="19"/>
  <c r="P85" i="19"/>
  <c r="B128" i="19" s="1"/>
  <c r="P128" i="19" s="1"/>
  <c r="AA85" i="19"/>
  <c r="K86" i="19"/>
  <c r="Y86" i="19" s="1"/>
  <c r="K129" i="19" s="1"/>
  <c r="Y85" i="19"/>
  <c r="K128" i="19" s="1"/>
  <c r="Y128" i="19" s="1"/>
  <c r="AG18" i="3" s="1"/>
  <c r="L86" i="19"/>
  <c r="Z86" i="19" s="1"/>
  <c r="L129" i="19" s="1"/>
  <c r="Z129" i="19" s="1"/>
  <c r="AH19" i="3" s="1"/>
  <c r="Z85" i="19"/>
  <c r="L128" i="19" s="1"/>
  <c r="Z128" i="19" s="1"/>
  <c r="AH18" i="3" s="1"/>
  <c r="C86" i="19"/>
  <c r="Q86" i="19" s="1"/>
  <c r="C129" i="19" s="1"/>
  <c r="Q129" i="19" s="1"/>
  <c r="Y19" i="3" s="1"/>
  <c r="Q85" i="19"/>
  <c r="C128" i="19" s="1"/>
  <c r="Q128" i="19" s="1"/>
  <c r="Y18" i="3" s="1"/>
  <c r="D86" i="19"/>
  <c r="R86" i="19" s="1"/>
  <c r="D129" i="19" s="1"/>
  <c r="R85" i="19"/>
  <c r="D128" i="19" s="1"/>
  <c r="R128" i="19" s="1"/>
  <c r="Z18" i="3" s="1"/>
  <c r="I86" i="19"/>
  <c r="W86" i="19" s="1"/>
  <c r="I129" i="19" s="1"/>
  <c r="W85" i="19"/>
  <c r="I128" i="19" s="1"/>
  <c r="W128" i="19" s="1"/>
  <c r="AE18" i="3" s="1"/>
  <c r="E86" i="19"/>
  <c r="S86" i="19" s="1"/>
  <c r="E129" i="19" s="1"/>
  <c r="S129" i="19" s="1"/>
  <c r="AA19" i="3" s="1"/>
  <c r="S85" i="19"/>
  <c r="E128" i="19" s="1"/>
  <c r="S128" i="19" s="1"/>
  <c r="AA18" i="3" s="1"/>
  <c r="H86" i="19"/>
  <c r="V86" i="19" s="1"/>
  <c r="H129" i="19" s="1"/>
  <c r="V129" i="19" s="1"/>
  <c r="AD19" i="3" s="1"/>
  <c r="V85" i="19"/>
  <c r="H128" i="19" s="1"/>
  <c r="V128" i="19" s="1"/>
  <c r="AD18" i="3" s="1"/>
  <c r="G86" i="19"/>
  <c r="U86" i="19" s="1"/>
  <c r="G129" i="19" s="1"/>
  <c r="U85" i="19"/>
  <c r="G128" i="19" s="1"/>
  <c r="U128" i="19" s="1"/>
  <c r="AC18" i="3" s="1"/>
  <c r="J86" i="19"/>
  <c r="X86" i="19" s="1"/>
  <c r="J129" i="19" s="1"/>
  <c r="X85" i="19"/>
  <c r="J128" i="19" s="1"/>
  <c r="X128" i="19" s="1"/>
  <c r="AF18" i="3" s="1"/>
  <c r="X129" i="19" l="1"/>
  <c r="AF19" i="3" s="1"/>
  <c r="W129" i="19"/>
  <c r="AE19" i="3" s="1"/>
  <c r="Y129" i="19"/>
  <c r="AG19" i="3" s="1"/>
  <c r="R129" i="19"/>
  <c r="Z19" i="3" s="1"/>
  <c r="U129" i="19"/>
  <c r="AC19" i="3" s="1"/>
  <c r="P86" i="19"/>
  <c r="B129" i="19" s="1"/>
  <c r="P129" i="19" s="1"/>
  <c r="AA86" i="19"/>
  <c r="T86" i="19"/>
  <c r="F129" i="19" s="1"/>
  <c r="T129" i="19" s="1"/>
  <c r="AB1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<sst xmlns="http://schemas.openxmlformats.org/spreadsheetml/2006/main" count="3247" uniqueCount="929">
  <si>
    <t>Section 2: Topical policy issues</t>
  </si>
  <si>
    <t>Chart A.1 - Share of household spending on categories particularly exposed to energy-driven price rises, by income decile</t>
  </si>
  <si>
    <t>Income decile</t>
  </si>
  <si>
    <t>Food and non-alcoholic beverages</t>
  </si>
  <si>
    <t>Electricity, gas and other fuels</t>
  </si>
  <si>
    <t>Motor fuels</t>
  </si>
  <si>
    <t>1
(poorest)</t>
  </si>
  <si>
    <t>10
(richest)</t>
  </si>
  <si>
    <t>Chart E.1 - Actions taken by households in response to higher costs and share of households with deposits worth less than two weeks of income</t>
  </si>
  <si>
    <t>Actions taken by households in response to higher costs, share of households (per cent)</t>
  </si>
  <si>
    <t>Share of households with deposits worth less than two weeks of income (per cent)</t>
  </si>
  <si>
    <t>Income quintile</t>
  </si>
  <si>
    <t>Buying the same or more</t>
  </si>
  <si>
    <t>Cutting back on some things</t>
  </si>
  <si>
    <t>Cutting back completely</t>
  </si>
  <si>
    <t>Date</t>
  </si>
  <si>
    <t>Low income</t>
  </si>
  <si>
    <t>High income</t>
  </si>
  <si>
    <t>1 (lowest)</t>
  </si>
  <si>
    <t>2022 H1</t>
  </si>
  <si>
    <t>2026 H1</t>
  </si>
  <si>
    <t>5 (highest)</t>
  </si>
  <si>
    <t>Share of household spending by income</t>
  </si>
  <si>
    <t>Energy</t>
  </si>
  <si>
    <t>Motor fuel</t>
  </si>
  <si>
    <t>Income deciles</t>
  </si>
  <si>
    <t>Actions taken by households</t>
  </si>
  <si>
    <t>Household deposits</t>
  </si>
  <si>
    <t>Lowest quintile</t>
  </si>
  <si>
    <t>Highest quintile</t>
  </si>
  <si>
    <t>March 2022 survey</t>
  </si>
  <si>
    <t>March 2026 survey</t>
  </si>
  <si>
    <t>Spending on food &amp; non-alcoholic drinks (COICOP 1)</t>
  </si>
  <si>
    <t>Food &amp; non-alcoholic drinks share (COICOP 1)</t>
  </si>
  <si>
    <t>0-10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</si>
  <si>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</si>
  <si>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</si>
  <si>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</si>
  <si>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</si>
  <si>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</si>
  <si>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</si>
  <si>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</si>
  <si>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</si>
  <si>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</si>
  <si>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Total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</si>
  <si>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</si>
  <si>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</si>
  <si>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</si>
  <si>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</si>
  <si>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</si>
  <si>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</si>
  <si>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</si>
  <si>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</si>
  <si>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</si>
  <si>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Spending on electricity, gas and other fuels (COICOP 4.4)</t>
  </si>
  <si>
    <t>Housing share (COICOP 4)</t>
  </si>
  <si>
    <t>Spending on petrol, diesel and other motor oils (COICOP 7.2.2)</t>
  </si>
  <si>
    <t>Spending on housing (COICOP 4)</t>
  </si>
  <si>
    <t>Spending on other housing (inc mortgage interest payments &amp; council tax) (COICOP 13.1)</t>
  </si>
  <si>
    <t>Total non-discretionary spending</t>
  </si>
  <si>
    <t>Total spending</t>
  </si>
  <si>
    <t>Gross income boundaries (lower limit)</t>
  </si>
  <si>
    <t>Non- discretionary spending as a share of total spending</t>
  </si>
  <si>
    <t>Location</t>
  </si>
  <si>
    <t>Indicator</t>
  </si>
  <si>
    <t>Scenario</t>
  </si>
  <si>
    <t>Units</t>
  </si>
  <si>
    <t>Scale</t>
  </si>
  <si>
    <t>Measurement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</si>
  <si>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</si>
  <si>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</si>
  <si>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</si>
  <si>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</si>
  <si>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</si>
  <si>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</si>
  <si>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</si>
  <si>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</si>
  <si>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</si>
  <si>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</si>
  <si>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</si>
  <si>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</si>
  <si>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</si>
  <si>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</si>
  <si>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</si>
  <si>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</si>
  <si>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</si>
  <si>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</si>
  <si>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</si>
  <si>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</si>
  <si>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</si>
  <si>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</si>
  <si>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</si>
  <si>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</si>
  <si>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</si>
  <si>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</si>
  <si>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</si>
  <si>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</si>
  <si>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</si>
  <si>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</si>
  <si>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</si>
  <si>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</si>
  <si>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</si>
  <si>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</si>
  <si>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</si>
  <si>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</si>
  <si>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</si>
  <si>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</si>
  <si>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</si>
  <si>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</si>
  <si>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</si>
  <si>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</si>
  <si>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</si>
  <si>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</si>
  <si>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</si>
  <si>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</si>
  <si>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</si>
  <si>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</si>
  <si>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</si>
  <si>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</si>
  <si>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</si>
  <si>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</si>
  <si>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</si>
  <si>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</si>
  <si>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</si>
  <si>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</si>
  <si>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</si>
  <si>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</si>
  <si>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</si>
  <si>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</si>
  <si>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</si>
  <si>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</si>
  <si>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</si>
  <si>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</si>
  <si>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</si>
  <si>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</si>
  <si>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</si>
  <si>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</si>
  <si>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</si>
  <si>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</si>
  <si>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</si>
  <si>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</si>
  <si>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</si>
  <si>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</si>
  <si>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</si>
  <si>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</si>
  <si>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</si>
  <si>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</si>
  <si>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</si>
  <si>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</si>
  <si>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</si>
  <si>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</si>
  <si>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</si>
  <si>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</si>
  <si>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</si>
  <si>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</si>
  <si>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</si>
  <si>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</si>
  <si>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</si>
  <si>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</si>
  <si>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</si>
  <si>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</si>
  <si>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</si>
  <si>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</si>
  <si>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Consumer price index</t>
  </si>
  <si>
    <t>MAY013E</t>
  </si>
  <si>
    <t>Index</t>
  </si>
  <si>
    <t>2015=100</t>
  </si>
  <si>
    <t>Level</t>
  </si>
  <si>
    <t>Office for National Statistics\Haver Analytics</t>
  </si>
  <si>
    <t>NA</t>
  </si>
  <si>
    <t>D7BT@UK</t>
  </si>
  <si>
    <t xml:space="preserve">UK: Consumer Price Index: All Items (NSA, 2015=100) </t>
  </si>
  <si>
    <t>GBR</t>
  </si>
  <si>
    <t>CPI</t>
  </si>
  <si>
    <t>Desktop</t>
  </si>
  <si>
    <t>CPI ex Energy, Food, Alcoholic Beverages &amp; Tobacco (core CPI)</t>
  </si>
  <si>
    <t>DKC6@UK</t>
  </si>
  <si>
    <t>UK: CPI: All Items ex Energy, Food, Alcoholic Beverages &amp; Tobacco(NSA, 2015=100)</t>
  </si>
  <si>
    <t>CPICORE</t>
  </si>
  <si>
    <t>Consumption, private deflator</t>
  </si>
  <si>
    <t>2023=100</t>
  </si>
  <si>
    <t>Consumption, private, nominal/Consumption, private, real * 100</t>
  </si>
  <si>
    <t>PC</t>
  </si>
  <si>
    <t>Consumption, private, nominal, LCU</t>
  </si>
  <si>
    <t>Pound</t>
  </si>
  <si>
    <t>Millions</t>
  </si>
  <si>
    <t>ABJQQ@UK</t>
  </si>
  <si>
    <t xml:space="preserve">U.K.: Household Final Consumption Expenditure (SA, Mil.Pounds) </t>
  </si>
  <si>
    <t>C!</t>
  </si>
  <si>
    <t>Consumption, private, real, LCU</t>
  </si>
  <si>
    <t>Millions: chained 2023 prices</t>
  </si>
  <si>
    <t>chained 2023</t>
  </si>
  <si>
    <t>ABJRQ@UK</t>
  </si>
  <si>
    <t>U.K.: Household Final Consumption Expenditure (SA, Mil.Chn.2023.GBP)</t>
  </si>
  <si>
    <t>C</t>
  </si>
  <si>
    <t>Earnings, quarterly total, whole economy, Gross, LCU</t>
  </si>
  <si>
    <t>Pound per Employee</t>
  </si>
  <si>
    <t>Oxford Economics calculation using Office for National Statistics data</t>
  </si>
  <si>
    <t>ER</t>
  </si>
  <si>
    <t>Employees</t>
  </si>
  <si>
    <t>Person</t>
  </si>
  <si>
    <t>Thousands</t>
  </si>
  <si>
    <t>MGRNQ@UK</t>
  </si>
  <si>
    <t>UK: LFS: Employees (SA, Thous)</t>
  </si>
  <si>
    <t>EE</t>
  </si>
  <si>
    <t>Energy Component of CPI</t>
  </si>
  <si>
    <t>Office for National Statistics / Haver Analytics</t>
  </si>
  <si>
    <t>D7CH@UK</t>
  </si>
  <si>
    <t>UK: Consumer Price Index: Housing: Electricity, Gas &amp; Other Fuels(NSA, 2015=100)</t>
  </si>
  <si>
    <t>CPIEN</t>
  </si>
  <si>
    <t>Food component of CPI</t>
  </si>
  <si>
    <t>DK9O@UK</t>
  </si>
  <si>
    <t>UK: CPI: Food, Alcoholic Beverages &amp; Tobacco (NSA, 2015=100)</t>
  </si>
  <si>
    <t>CPIFD</t>
  </si>
  <si>
    <t>GDP, real, LCU</t>
  </si>
  <si>
    <t>ABMIQ@UK</t>
  </si>
  <si>
    <t>U.K.: Real Gross Domestic Product (SA, Mil.Chn.2023.GBP)</t>
  </si>
  <si>
    <t>GDP</t>
  </si>
  <si>
    <t>Income, personal disposable, nominal, LCU</t>
  </si>
  <si>
    <t>RPHQQ@UK</t>
  </si>
  <si>
    <t xml:space="preserve">UK: HH &amp; NPISH: Gross Disposable Income (SA, Mil.GBP) </t>
  </si>
  <si>
    <t>PEDY!</t>
  </si>
  <si>
    <t>Income, personal disposable, real, LCU</t>
  </si>
  <si>
    <t>NRJRQ@UK</t>
  </si>
  <si>
    <t>UK: HH &amp; NPISH: Real Household Disposable Income (SA, Mil.Chn.2023.Pounds)</t>
  </si>
  <si>
    <t>PEDY</t>
  </si>
  <si>
    <t>Personal sector dividend receipts</t>
  </si>
  <si>
    <t>ROYNQ@UK</t>
  </si>
  <si>
    <t xml:space="preserve">UK: HH &amp; NPISH: Distributed Income of Corporations (SA, Mil.GBP) </t>
  </si>
  <si>
    <t>PEDIV</t>
  </si>
  <si>
    <t>Personal sector transfers from central government, LCU</t>
  </si>
  <si>
    <t>RPDOQ@UK</t>
  </si>
  <si>
    <t xml:space="preserve">UK: IA: CG: Uses: Social Benefits o/t Social Transfers in Kind (SA, Mil.GBP) </t>
  </si>
  <si>
    <t>GCGPE</t>
  </si>
  <si>
    <t>Government revenue, employee social security contributions, LCU</t>
  </si>
  <si>
    <t>L8PIQ@UK</t>
  </si>
  <si>
    <t>UK: Cen Govt Inc Acct: Res: Households Actual Social Contribution (SA, Mil.GBP)</t>
  </si>
  <si>
    <t>TSS</t>
  </si>
  <si>
    <t>Tax revenue, income, LCU</t>
  </si>
  <si>
    <t>RPHSQ@UK</t>
  </si>
  <si>
    <t xml:space="preserve">UK: HH &amp; NPISH: Taxes on Income (SA, Mil.GBP) </t>
  </si>
  <si>
    <t>TY</t>
  </si>
  <si>
    <t>Wages and salaries, LCU</t>
  </si>
  <si>
    <t>ROYJQ@UK</t>
  </si>
  <si>
    <t xml:space="preserve">UK: HH &amp; NPISH: Income: Wages and Salaries (SA, Mil.GBP) </t>
  </si>
  <si>
    <t>PEWFP</t>
  </si>
  <si>
    <t>1973</t>
  </si>
  <si>
    <t>1974</t>
  </si>
  <si>
    <t>1975</t>
  </si>
  <si>
    <t>1976</t>
  </si>
  <si>
    <t>1977</t>
  </si>
  <si>
    <t>1978</t>
  </si>
  <si>
    <t>1979</t>
  </si>
  <si>
    <t>UK</t>
  </si>
  <si>
    <t>L</t>
  </si>
  <si>
    <t>CHZR@UK</t>
  </si>
  <si>
    <t>CJVF@UK</t>
  </si>
  <si>
    <t>CJXR@UK</t>
  </si>
  <si>
    <t>1987 !Y</t>
  </si>
  <si>
    <t>.LSOURCE</t>
  </si>
  <si>
    <t>.T1</t>
  </si>
  <si>
    <t>.DESC</t>
  </si>
  <si>
    <t>Office for National Statistics</t>
  </si>
  <si>
    <t>1988 &lt;- Jan-1988</t>
  </si>
  <si>
    <t>UK: CPI Weight: Food &amp; Non-Alcoholic Beverages (Parts per 1000)</t>
  </si>
  <si>
    <t>UK: CPI Weight: Housing: Electricity, Gas &amp; Other Fuels (Parts per 1000)</t>
  </si>
  <si>
    <t>UK: CPI Weight: Transport Equipment: Fuels &amp; Lubricants (Parts per 1000)</t>
  </si>
  <si>
    <t>CPI data</t>
  </si>
  <si>
    <t>Weights - food</t>
  </si>
  <si>
    <t>Weights - energy</t>
  </si>
  <si>
    <t>Weights - petrol &amp; oil</t>
  </si>
  <si>
    <t>Weights - other</t>
  </si>
  <si>
    <t>Food</t>
  </si>
  <si>
    <t>Petrol</t>
  </si>
  <si>
    <t>CPI other</t>
  </si>
  <si>
    <t>Check</t>
  </si>
  <si>
    <t>CPI food</t>
  </si>
  <si>
    <t>EFS total</t>
  </si>
  <si>
    <t>CPI energy</t>
  </si>
  <si>
    <t>CPI petrol</t>
  </si>
  <si>
    <t>CPI oth</t>
  </si>
  <si>
    <t>CPI by decile</t>
  </si>
  <si>
    <t>Deflators rebased to 2015=100 by decile</t>
  </si>
  <si>
    <t>Spending by decile (FY ending 2017)</t>
  </si>
  <si>
    <t>Housing</t>
  </si>
  <si>
    <t>Other</t>
  </si>
  <si>
    <t>Constraint</t>
  </si>
  <si>
    <t>Deflators %/year</t>
  </si>
  <si>
    <t>Range</t>
  </si>
  <si>
    <t>Max</t>
  </si>
  <si>
    <t>Min</t>
  </si>
  <si>
    <t>Diff</t>
  </si>
  <si>
    <t>Median</t>
  </si>
  <si>
    <t>HCI</t>
  </si>
  <si>
    <t>Distributional inflation</t>
  </si>
  <si>
    <t>Fuels &amp; lubricants for transport component of CPI</t>
  </si>
  <si>
    <t>D7EC@UK</t>
  </si>
  <si>
    <t>UK: Consumer Price Index: Transport Equipment: Fuels &amp; Lubricants(NSA, 2015=100)</t>
  </si>
  <si>
    <t>CPITRAFU</t>
  </si>
  <si>
    <t>Worksheet SERKS: Annual and quarterly services expenditure in chained volume measures, UK, seasonally adjusted, £ millions</t>
  </si>
  <si>
    <t>This worksheet contains two tables. The first table is stated in annual timeframe. The second table sits underneath the first table and is stated in quarterly timeframe.</t>
  </si>
  <si>
    <t>Throughout these tables Q1 refers to Quarter 1 (January to March), Q2 refers to Quarter 2 (April to June), Q3 refers to Quarter 3 (July to September) and Q4 refers to Quarter 4 (October to December).</t>
  </si>
  <si>
    <t>Table of contents</t>
  </si>
  <si>
    <t>Table 19a: Services, chained volume measures, annual data, UK, seasonally adjusted, £ millions</t>
  </si>
  <si>
    <t>Time period and codes</t>
  </si>
  <si>
    <t>Total Services</t>
  </si>
  <si>
    <t>Clothing and footwear</t>
  </si>
  <si>
    <t>Cleaning and hire of clothing</t>
  </si>
  <si>
    <t>Repair and hire of footwear</t>
  </si>
  <si>
    <t>Housing, water, electricity, gas and other fuel</t>
  </si>
  <si>
    <t>Actual rentals for housing</t>
  </si>
  <si>
    <t>Actual rentals paid by tenants</t>
  </si>
  <si>
    <t>Other actual rentals</t>
  </si>
  <si>
    <t>Imputed rentals for housing</t>
  </si>
  <si>
    <t>Imputed rentals for owner-occupiers</t>
  </si>
  <si>
    <t>Other imputed rentals</t>
  </si>
  <si>
    <t>Maintenance and repair of the dwelling services</t>
  </si>
  <si>
    <t>Refuse collection</t>
  </si>
  <si>
    <t>Sewerage collection</t>
  </si>
  <si>
    <t>Other services relating to the dwelling</t>
  </si>
  <si>
    <t>Household services</t>
  </si>
  <si>
    <t>Repair of furniture, furnishings and floor coverings</t>
  </si>
  <si>
    <t>Repair of household appliances</t>
  </si>
  <si>
    <t>Domestic and household services</t>
  </si>
  <si>
    <t>Health</t>
  </si>
  <si>
    <t>Out-patient services</t>
  </si>
  <si>
    <t>Medical services</t>
  </si>
  <si>
    <t>Dental services</t>
  </si>
  <si>
    <t>Paramedical services</t>
  </si>
  <si>
    <t>Hospital services</t>
  </si>
  <si>
    <t>Transport</t>
  </si>
  <si>
    <t>Maintenance and repair of personal transport equipment</t>
  </si>
  <si>
    <t>Other services in respect of personal transport equipment</t>
  </si>
  <si>
    <t>Transport services</t>
  </si>
  <si>
    <t>Rail</t>
  </si>
  <si>
    <t>Road</t>
  </si>
  <si>
    <t>Air</t>
  </si>
  <si>
    <t>Sea and inland waterway</t>
  </si>
  <si>
    <t>Other purchased transport services</t>
  </si>
  <si>
    <t>Communication</t>
  </si>
  <si>
    <t>Postal services</t>
  </si>
  <si>
    <t>Telephone and telefax services</t>
  </si>
  <si>
    <t>Recreation and culture</t>
  </si>
  <si>
    <t>Repairs of audio-visual etc equipment</t>
  </si>
  <si>
    <t>Maintenance and repairs of other major durables</t>
  </si>
  <si>
    <t>Veterinary and other services for pets</t>
  </si>
  <si>
    <t>Recreational and cultural services</t>
  </si>
  <si>
    <t>Recreational and sporting services</t>
  </si>
  <si>
    <t>Cultural services</t>
  </si>
  <si>
    <t>Games of chance</t>
  </si>
  <si>
    <t>Package holidays
[note 2]</t>
  </si>
  <si>
    <t>Education</t>
  </si>
  <si>
    <t>Restaurant and hotels</t>
  </si>
  <si>
    <t>Catering services</t>
  </si>
  <si>
    <t>Restaurants, cafes etc
[note 3][note 4]</t>
  </si>
  <si>
    <t>Canteens</t>
  </si>
  <si>
    <t>Accommodation</t>
  </si>
  <si>
    <t>Miscellaneous</t>
  </si>
  <si>
    <t>Hairdressing salons and personal grooming establishments</t>
  </si>
  <si>
    <t>Prostitution</t>
  </si>
  <si>
    <t>Social protection</t>
  </si>
  <si>
    <t>Insurance</t>
  </si>
  <si>
    <t>Life insurance</t>
  </si>
  <si>
    <t>Insurance connected with the dwelling</t>
  </si>
  <si>
    <t>Insurance connected with health</t>
  </si>
  <si>
    <t>Insurance connected with transport</t>
  </si>
  <si>
    <t>Other insurance</t>
  </si>
  <si>
    <t>Financial services n.e.c
[note 7]</t>
  </si>
  <si>
    <t>FISIM
[note 5]</t>
  </si>
  <si>
    <t>Other financial services n.e.c
[note 7]</t>
  </si>
  <si>
    <t>Other services n.e.c
[note 7]</t>
  </si>
  <si>
    <t>COICOP identifier code</t>
  </si>
  <si>
    <t>TS</t>
  </si>
  <si>
    <t>TS03</t>
  </si>
  <si>
    <t>03.1.4</t>
  </si>
  <si>
    <t>03.2.2</t>
  </si>
  <si>
    <t>TS04</t>
  </si>
  <si>
    <t>04.1</t>
  </si>
  <si>
    <t>04.1.1</t>
  </si>
  <si>
    <t>04.1.2</t>
  </si>
  <si>
    <t>04.2</t>
  </si>
  <si>
    <t>04.2.1</t>
  </si>
  <si>
    <t>04.2.2</t>
  </si>
  <si>
    <t>04.3.2</t>
  </si>
  <si>
    <t>04.4.2</t>
  </si>
  <si>
    <t>04.4.3</t>
  </si>
  <si>
    <t>04.4.4</t>
  </si>
  <si>
    <t>TS05</t>
  </si>
  <si>
    <t>05.1.3</t>
  </si>
  <si>
    <t>05.3.3</t>
  </si>
  <si>
    <t>05.6.2</t>
  </si>
  <si>
    <t>TS06</t>
  </si>
  <si>
    <t>06.2</t>
  </si>
  <si>
    <t>06.2.1</t>
  </si>
  <si>
    <t>06.2.2</t>
  </si>
  <si>
    <t>06.2.3</t>
  </si>
  <si>
    <t>06.3</t>
  </si>
  <si>
    <t>TS07</t>
  </si>
  <si>
    <t>07.2.3</t>
  </si>
  <si>
    <t>07.2.4</t>
  </si>
  <si>
    <t>07.3</t>
  </si>
  <si>
    <t>07.3.1</t>
  </si>
  <si>
    <t>07.3.2</t>
  </si>
  <si>
    <t>07.3.3</t>
  </si>
  <si>
    <t>07.3.4</t>
  </si>
  <si>
    <t>07.3.6</t>
  </si>
  <si>
    <t>TS08</t>
  </si>
  <si>
    <t>08.1</t>
  </si>
  <si>
    <t>08.3</t>
  </si>
  <si>
    <t>TS09</t>
  </si>
  <si>
    <t>09.1.5</t>
  </si>
  <si>
    <t>09.2.3</t>
  </si>
  <si>
    <t>09.3.5</t>
  </si>
  <si>
    <t>09.4</t>
  </si>
  <si>
    <t>09.4.1</t>
  </si>
  <si>
    <t>09.4.2</t>
  </si>
  <si>
    <t>09.4.3</t>
  </si>
  <si>
    <t>09.6</t>
  </si>
  <si>
    <t>11.1.1</t>
  </si>
  <si>
    <t>11.1.2</t>
  </si>
  <si>
    <t>TS12</t>
  </si>
  <si>
    <t>12.1.1</t>
  </si>
  <si>
    <t>12.5.1</t>
  </si>
  <si>
    <t>12.5.2</t>
  </si>
  <si>
    <t>12.5.3</t>
  </si>
  <si>
    <t>12.5.4</t>
  </si>
  <si>
    <t>12.5.5</t>
  </si>
  <si>
    <t>12.6.1</t>
  </si>
  <si>
    <t>12.6.2</t>
  </si>
  <si>
    <t>CDID identifier code</t>
  </si>
  <si>
    <t>UTIP</t>
  </si>
  <si>
    <t>LLLR</t>
  </si>
  <si>
    <t>UWHI</t>
  </si>
  <si>
    <t>AWUY</t>
  </si>
  <si>
    <t>LLLS</t>
  </si>
  <si>
    <t>ZAVQ</t>
  </si>
  <si>
    <t>GBFG</t>
  </si>
  <si>
    <t>UWHJ</t>
  </si>
  <si>
    <t>GBFK</t>
  </si>
  <si>
    <t>CCUO</t>
  </si>
  <si>
    <t>GBFN</t>
  </si>
  <si>
    <t>AWUZ</t>
  </si>
  <si>
    <t>UWHK</t>
  </si>
  <si>
    <t>UTZX</t>
  </si>
  <si>
    <t>UWHL</t>
  </si>
  <si>
    <t>LLLT</t>
  </si>
  <si>
    <t>UWHM</t>
  </si>
  <si>
    <t>UWHN</t>
  </si>
  <si>
    <t>UWIA</t>
  </si>
  <si>
    <t>LLLU</t>
  </si>
  <si>
    <t>ZAWG</t>
  </si>
  <si>
    <t>ZAWI</t>
  </si>
  <si>
    <t>ZAWK</t>
  </si>
  <si>
    <t>UTMH</t>
  </si>
  <si>
    <t>UTYF</t>
  </si>
  <si>
    <t>LLLV</t>
  </si>
  <si>
    <t>AWVA</t>
  </si>
  <si>
    <t>ZAWQ</t>
  </si>
  <si>
    <t>ZAWS</t>
  </si>
  <si>
    <t>AWVB</t>
  </si>
  <si>
    <t>ZAWU</t>
  </si>
  <si>
    <t>AWVC</t>
  </si>
  <si>
    <t>AWVD</t>
  </si>
  <si>
    <t>AWVE</t>
  </si>
  <si>
    <t>LLLW</t>
  </si>
  <si>
    <t>CCVM</t>
  </si>
  <si>
    <t>ZAWY</t>
  </si>
  <si>
    <t>LLLX</t>
  </si>
  <si>
    <t>UWKO</t>
  </si>
  <si>
    <t>UWKP</t>
  </si>
  <si>
    <t>UWLD</t>
  </si>
  <si>
    <t>ZAXI</t>
  </si>
  <si>
    <t>ZAXK</t>
  </si>
  <si>
    <t>ZAXM</t>
  </si>
  <si>
    <t>CCVA</t>
  </si>
  <si>
    <t>ZAXQ</t>
  </si>
  <si>
    <t>ZWUT</t>
  </si>
  <si>
    <t>ZAXS</t>
  </si>
  <si>
    <t>ZAXU</t>
  </si>
  <si>
    <t>ZAXW</t>
  </si>
  <si>
    <t>ZAYC</t>
  </si>
  <si>
    <t>ZAYE</t>
  </si>
  <si>
    <t>LLLY</t>
  </si>
  <si>
    <t>CCVZ</t>
  </si>
  <si>
    <t>MND3</t>
  </si>
  <si>
    <t>ZAYO</t>
  </si>
  <si>
    <t>ZAYQ</t>
  </si>
  <si>
    <t>UTYH</t>
  </si>
  <si>
    <t>ZAYS</t>
  </si>
  <si>
    <t>ZAYU</t>
  </si>
  <si>
    <t>ZAYW</t>
  </si>
  <si>
    <t>ZAYY</t>
  </si>
  <si>
    <t>ZAZA</t>
  </si>
  <si>
    <t>C696</t>
  </si>
  <si>
    <t>ZAZC</t>
  </si>
  <si>
    <t>ZAZE</t>
  </si>
  <si>
    <t>[x]</t>
  </si>
  <si>
    <t>End of table 19a.</t>
  </si>
  <si>
    <t>Table 19b: Services, chained volume measures, quarterly data, UK, seasonally adjusted, £ millions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</si>
  <si>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</si>
  <si>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</si>
  <si>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</si>
  <si>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</si>
  <si>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</si>
  <si>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</si>
  <si>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</si>
  <si>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</si>
  <si>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</si>
  <si>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</si>
  <si>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</si>
  <si>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</si>
  <si>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</si>
  <si>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</si>
  <si>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</si>
  <si>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</si>
  <si>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</si>
  <si>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</si>
  <si>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</si>
  <si>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</si>
  <si>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</si>
  <si>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</si>
  <si>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</si>
  <si>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</si>
  <si>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</si>
  <si>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</si>
  <si>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</si>
  <si>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</si>
  <si>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</si>
  <si>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</si>
  <si>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</si>
  <si>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</si>
  <si>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</si>
  <si>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</si>
  <si>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</si>
  <si>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</si>
  <si>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</si>
  <si>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</si>
  <si>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</si>
  <si>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</si>
  <si>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</si>
  <si>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</si>
  <si>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</si>
  <si>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</si>
  <si>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</si>
  <si>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</si>
  <si>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</si>
  <si>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</si>
  <si>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</si>
  <si>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</si>
  <si>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</si>
  <si>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</si>
  <si>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</si>
  <si>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</si>
  <si>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</si>
  <si>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</si>
  <si>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</si>
  <si>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</si>
  <si>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</si>
  <si>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</si>
  <si>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</si>
  <si>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</si>
  <si>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</si>
  <si>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</si>
  <si>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</si>
  <si>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</si>
  <si>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</si>
  <si>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</si>
  <si>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</si>
  <si>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</si>
  <si>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</si>
  <si>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</si>
  <si>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</si>
  <si>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</si>
  <si>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</si>
  <si>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</si>
  <si>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</si>
  <si>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</si>
  <si>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</si>
  <si>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</si>
  <si>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</si>
  <si>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</si>
  <si>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</si>
  <si>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</si>
  <si>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</si>
  <si>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</si>
  <si>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</si>
  <si>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</si>
  <si>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</si>
  <si>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</si>
  <si>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</si>
  <si>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</si>
  <si>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</si>
  <si>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</si>
  <si>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</si>
  <si>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</si>
  <si>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</si>
  <si>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</si>
  <si>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</si>
  <si>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</si>
  <si>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</si>
  <si>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</si>
  <si>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</si>
  <si>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</si>
  <si>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</si>
  <si>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</si>
  <si>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</si>
  <si>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</si>
  <si>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</si>
  <si>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</si>
  <si>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</si>
  <si>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</si>
  <si>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</si>
  <si>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</si>
  <si>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</si>
  <si>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</si>
  <si>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End of table 19b.</t>
  </si>
  <si>
    <t>Worksheet NDGKS: Annual and quarterly non-durable goods expenditure in chained volume measures, UK, seasonally adjusted, £ millions</t>
  </si>
  <si>
    <t>Table 18a: Non-durable goods, chained volume measures, annual data, UK, seasonally adjusted, £ millions</t>
  </si>
  <si>
    <t>Total non-durable goods</t>
  </si>
  <si>
    <t>Bread and cereals</t>
  </si>
  <si>
    <t>Meat</t>
  </si>
  <si>
    <t>Fish</t>
  </si>
  <si>
    <t>Milk, cheese and eggs</t>
  </si>
  <si>
    <t>Oils and fats</t>
  </si>
  <si>
    <t>Fruit</t>
  </si>
  <si>
    <t>Vegetables</t>
  </si>
  <si>
    <t>Sugar, confectionery and ice-cream</t>
  </si>
  <si>
    <t>Other food</t>
  </si>
  <si>
    <t>Non-alcoholic beverages</t>
  </si>
  <si>
    <t>Coffee, tea and cocoa</t>
  </si>
  <si>
    <t>Fruit and vegetable juices and other soft drinks</t>
  </si>
  <si>
    <t>Alcoholic beverages, tobacco and narcotics</t>
  </si>
  <si>
    <t>Alcoholic beverages 
[note 1]</t>
  </si>
  <si>
    <t>Spirits</t>
  </si>
  <si>
    <t>Wines, cider and perry</t>
  </si>
  <si>
    <t>Beer</t>
  </si>
  <si>
    <t>Tobacco</t>
  </si>
  <si>
    <t>Narcotics</t>
  </si>
  <si>
    <t>Maintenance and repairs of the dwelling materials</t>
  </si>
  <si>
    <t>Water supply</t>
  </si>
  <si>
    <t>Electricity</t>
  </si>
  <si>
    <t>Gas</t>
  </si>
  <si>
    <t>Liquid fuels</t>
  </si>
  <si>
    <t>Solid fuels</t>
  </si>
  <si>
    <t>Heat energy
[note 6]</t>
  </si>
  <si>
    <t>Household goods</t>
  </si>
  <si>
    <t>Non-durable household goods</t>
  </si>
  <si>
    <t>Pharmaceutical products</t>
  </si>
  <si>
    <t>Other medical products</t>
  </si>
  <si>
    <t>Fuels and lubricants for personal transport equipment</t>
  </si>
  <si>
    <t>Garden, plants and flowers</t>
  </si>
  <si>
    <t>Pets and related products</t>
  </si>
  <si>
    <t>Newspapers</t>
  </si>
  <si>
    <t>Miscellaneous printed matter</t>
  </si>
  <si>
    <t>Stationery and drawing materials</t>
  </si>
  <si>
    <t>Other appliances, articles and products for personal care</t>
  </si>
  <si>
    <t>TND</t>
  </si>
  <si>
    <t>01</t>
  </si>
  <si>
    <t>01.1</t>
  </si>
  <si>
    <t>01.1.1</t>
  </si>
  <si>
    <t>01.1.2</t>
  </si>
  <si>
    <t>01.1.3</t>
  </si>
  <si>
    <t>01.1.4</t>
  </si>
  <si>
    <t>01.1.5</t>
  </si>
  <si>
    <t>01.1.6</t>
  </si>
  <si>
    <t>01.1.7</t>
  </si>
  <si>
    <t>01.1.8</t>
  </si>
  <si>
    <t>01.1.9</t>
  </si>
  <si>
    <t>01.2</t>
  </si>
  <si>
    <t>01.2.1</t>
  </si>
  <si>
    <t>01.2.2</t>
  </si>
  <si>
    <t>02</t>
  </si>
  <si>
    <t>02.1</t>
  </si>
  <si>
    <t>02.1.1</t>
  </si>
  <si>
    <t>02.1.2</t>
  </si>
  <si>
    <t>02.1.3</t>
  </si>
  <si>
    <t>02.2</t>
  </si>
  <si>
    <t>02.3</t>
  </si>
  <si>
    <t>TND04</t>
  </si>
  <si>
    <t>04.3.1</t>
  </si>
  <si>
    <t>04.4.1</t>
  </si>
  <si>
    <t>04.5</t>
  </si>
  <si>
    <t>04.5.1</t>
  </si>
  <si>
    <t>04.5.2</t>
  </si>
  <si>
    <t>04.5.3</t>
  </si>
  <si>
    <t>04.5.4</t>
  </si>
  <si>
    <t>04.5.5</t>
  </si>
  <si>
    <t>TND05</t>
  </si>
  <si>
    <t>05.6.1</t>
  </si>
  <si>
    <t>TND06</t>
  </si>
  <si>
    <t>06.1.1</t>
  </si>
  <si>
    <t>06.1.2</t>
  </si>
  <si>
    <t>TND07</t>
  </si>
  <si>
    <t>07.2.2</t>
  </si>
  <si>
    <t>TND09</t>
  </si>
  <si>
    <t>09.3.3</t>
  </si>
  <si>
    <t>09.3.4</t>
  </si>
  <si>
    <t>09.5.2</t>
  </si>
  <si>
    <t>09.5.3</t>
  </si>
  <si>
    <t>09.5.4</t>
  </si>
  <si>
    <t>TND12</t>
  </si>
  <si>
    <t>12.1.3</t>
  </si>
  <si>
    <t>UTIL</t>
  </si>
  <si>
    <t>ZWUN</t>
  </si>
  <si>
    <t>UWBK</t>
  </si>
  <si>
    <t>UWBL</t>
  </si>
  <si>
    <t>CCTK</t>
  </si>
  <si>
    <t>CCTL</t>
  </si>
  <si>
    <t>CCTM</t>
  </si>
  <si>
    <t>CCTN</t>
  </si>
  <si>
    <t>CCTO</t>
  </si>
  <si>
    <t>UWFD</t>
  </si>
  <si>
    <t>UWFX</t>
  </si>
  <si>
    <t>UWGH</t>
  </si>
  <si>
    <t>UWGI</t>
  </si>
  <si>
    <t>CCTT</t>
  </si>
  <si>
    <t>CCTU</t>
  </si>
  <si>
    <t>ZAKY</t>
  </si>
  <si>
    <t>JRBA</t>
  </si>
  <si>
    <t>UUIS</t>
  </si>
  <si>
    <t>UTHW</t>
  </si>
  <si>
    <t>UUVG</t>
  </si>
  <si>
    <t>ZWUP</t>
  </si>
  <si>
    <t>MNC5</t>
  </si>
  <si>
    <t>LLLL</t>
  </si>
  <si>
    <t>ATUA</t>
  </si>
  <si>
    <t>UTZN</t>
  </si>
  <si>
    <t>ZWUR</t>
  </si>
  <si>
    <t>CCUA</t>
  </si>
  <si>
    <t>LTZA</t>
  </si>
  <si>
    <t>LTZC</t>
  </si>
  <si>
    <t>TTAB</t>
  </si>
  <si>
    <t>ZWIV</t>
  </si>
  <si>
    <t>LLLM</t>
  </si>
  <si>
    <t>UWHO</t>
  </si>
  <si>
    <t>LLLN</t>
  </si>
  <si>
    <t>UTXP</t>
  </si>
  <si>
    <t>UWIB</t>
  </si>
  <si>
    <t>LLLO</t>
  </si>
  <si>
    <t>CCTY</t>
  </si>
  <si>
    <t>LLLP</t>
  </si>
  <si>
    <t>AWUX</t>
  </si>
  <si>
    <t>UWKQ</t>
  </si>
  <si>
    <t>CDZY</t>
  </si>
  <si>
    <t>XYJV</t>
  </si>
  <si>
    <t>XYJW</t>
  </si>
  <si>
    <t>LLLQ</t>
  </si>
  <si>
    <t>ATSP</t>
  </si>
  <si>
    <t>End of table 18a.</t>
  </si>
  <si>
    <t>Table 18b: Non-durable goods, chained volume measures, quarterly data, UK, seasonally adjusted, £ millions</t>
  </si>
  <si>
    <t>End of table 18b.</t>
  </si>
  <si>
    <t>Worksheet SDGKS: Annual and quarterly semi-durable goods expenditure in chained volume measures, UK, seasonally adjusted, £ millions</t>
  </si>
  <si>
    <t>Table 17a: Semi-durable goods, chained volume measures, annual data, UK, seasonally adjusted, £ millions</t>
  </si>
  <si>
    <t>Total semi-durable goods</t>
  </si>
  <si>
    <t>Clothing materials</t>
  </si>
  <si>
    <t>Garments</t>
  </si>
  <si>
    <t>Other articles of clothing and clothing accessories</t>
  </si>
  <si>
    <t>Shoes and other footwear</t>
  </si>
  <si>
    <t>Household textiles</t>
  </si>
  <si>
    <t>Small electric household appliances</t>
  </si>
  <si>
    <t>Glassware, tableware and household appliances</t>
  </si>
  <si>
    <t>Small tools and equipment</t>
  </si>
  <si>
    <t>Spare parts and accessories for personal transport equipment</t>
  </si>
  <si>
    <t>Recording media</t>
  </si>
  <si>
    <t>Games, toys and hobbies</t>
  </si>
  <si>
    <t>Equipment for sport, camping and open-air recreation</t>
  </si>
  <si>
    <t>Books</t>
  </si>
  <si>
    <t>Electrical appliances for personal care</t>
  </si>
  <si>
    <t>Other personal effects</t>
  </si>
  <si>
    <t>TSD</t>
  </si>
  <si>
    <t>TSD03</t>
  </si>
  <si>
    <t>03.1.1</t>
  </si>
  <si>
    <t>03.1.2</t>
  </si>
  <si>
    <t>03.1.3</t>
  </si>
  <si>
    <t>03.2.1</t>
  </si>
  <si>
    <t>TSD05</t>
  </si>
  <si>
    <t>05.2</t>
  </si>
  <si>
    <t>05.3.2</t>
  </si>
  <si>
    <t>05.4</t>
  </si>
  <si>
    <t>05.5.2</t>
  </si>
  <si>
    <t>TSD07</t>
  </si>
  <si>
    <t>07.2.1</t>
  </si>
  <si>
    <t>TSD09</t>
  </si>
  <si>
    <t>09.1.4</t>
  </si>
  <si>
    <t>09.3.1</t>
  </si>
  <si>
    <t>09.3.2</t>
  </si>
  <si>
    <t>09.5.1</t>
  </si>
  <si>
    <t>TSD12</t>
  </si>
  <si>
    <t>12.1.2</t>
  </si>
  <si>
    <t>12.3.2</t>
  </si>
  <si>
    <t>UTIT</t>
  </si>
  <si>
    <t>LLLZ</t>
  </si>
  <si>
    <t>XYJN</t>
  </si>
  <si>
    <t>ZAVK</t>
  </si>
  <si>
    <t>XYJO</t>
  </si>
  <si>
    <t>ATQV</t>
  </si>
  <si>
    <t>LLMA</t>
  </si>
  <si>
    <t>ATRF</t>
  </si>
  <si>
    <t>XYJQ</t>
  </si>
  <si>
    <t>ATRJ</t>
  </si>
  <si>
    <t>XYJS</t>
  </si>
  <si>
    <t>LLMB</t>
  </si>
  <si>
    <t>AWUW</t>
  </si>
  <si>
    <t>LLMC</t>
  </si>
  <si>
    <t>ATSH</t>
  </si>
  <si>
    <t>ATSL</t>
  </si>
  <si>
    <t>XYJU</t>
  </si>
  <si>
    <t>CDZQ</t>
  </si>
  <si>
    <t>LLMD</t>
  </si>
  <si>
    <t>XYJX</t>
  </si>
  <si>
    <t>ATSX</t>
  </si>
  <si>
    <t>End of table 17a.</t>
  </si>
  <si>
    <t>Table 17b: Semi-durable goods, chained volume measures, quarterly data, UK, seasonally adjusted, £ millions</t>
  </si>
  <si>
    <t>End of table 17b.</t>
  </si>
  <si>
    <t>Worksheet DGKS: Annual and quarterly durable goods expenditure in chained volume measures, UK, seasonally adjusted, £ millions</t>
  </si>
  <si>
    <t>Table 16a: Durable goods, chained volume measures, annual data, UK, seasonally adjusted, £ millions</t>
  </si>
  <si>
    <t>Total durable goods</t>
  </si>
  <si>
    <t>Furniture and furnishings</t>
  </si>
  <si>
    <t>Carpets and other floor coverings</t>
  </si>
  <si>
    <t>Major appliances whether electrical or not</t>
  </si>
  <si>
    <t>Major tools and equipment</t>
  </si>
  <si>
    <t>Therapeutic appliances and equipment</t>
  </si>
  <si>
    <t>Purchase of vehicles</t>
  </si>
  <si>
    <t>Motor cars</t>
  </si>
  <si>
    <t>Motor cycles</t>
  </si>
  <si>
    <t>Bicycles</t>
  </si>
  <si>
    <t>Telephone and telefax equipment</t>
  </si>
  <si>
    <t>Audio visual and recording equipment</t>
  </si>
  <si>
    <t>Photographic etc equipment</t>
  </si>
  <si>
    <t>Information processing equipment</t>
  </si>
  <si>
    <t>Major durables for outdoor recreation</t>
  </si>
  <si>
    <t>Musical instruments and major durables for indoor recreation</t>
  </si>
  <si>
    <t>Jewellery clocks and watches</t>
  </si>
  <si>
    <t>TD</t>
  </si>
  <si>
    <t>TD05</t>
  </si>
  <si>
    <t>05.1.1</t>
  </si>
  <si>
    <t>05.1.2</t>
  </si>
  <si>
    <t>05.3.1</t>
  </si>
  <si>
    <t>05.5.1</t>
  </si>
  <si>
    <t>TD06</t>
  </si>
  <si>
    <t>06.1.3</t>
  </si>
  <si>
    <t>TD07</t>
  </si>
  <si>
    <t>07.1</t>
  </si>
  <si>
    <t>07.1.1</t>
  </si>
  <si>
    <t>07.1.2</t>
  </si>
  <si>
    <t>07.1.3</t>
  </si>
  <si>
    <t>TD08</t>
  </si>
  <si>
    <t>08.2</t>
  </si>
  <si>
    <t>TD09</t>
  </si>
  <si>
    <t>09.1.1</t>
  </si>
  <si>
    <t>09.1.2</t>
  </si>
  <si>
    <t>09.1.3</t>
  </si>
  <si>
    <t>09.2.1</t>
  </si>
  <si>
    <t>09.2.2</t>
  </si>
  <si>
    <t>TD12</t>
  </si>
  <si>
    <t>12.3.1</t>
  </si>
  <si>
    <t>UTID</t>
  </si>
  <si>
    <t>LLKX</t>
  </si>
  <si>
    <t>ATQX</t>
  </si>
  <si>
    <t>ATRD</t>
  </si>
  <si>
    <t>XYJP</t>
  </si>
  <si>
    <t>XYJR</t>
  </si>
  <si>
    <t>LLKY</t>
  </si>
  <si>
    <t>UWIC</t>
  </si>
  <si>
    <t>LLKZ</t>
  </si>
  <si>
    <t>TMMI</t>
  </si>
  <si>
    <t>TMML</t>
  </si>
  <si>
    <t>TMMZ</t>
  </si>
  <si>
    <t>TMNO</t>
  </si>
  <si>
    <t>LLLA</t>
  </si>
  <si>
    <t>ATRR</t>
  </si>
  <si>
    <t>LLLB</t>
  </si>
  <si>
    <t>ATRV</t>
  </si>
  <si>
    <t>ATRZ</t>
  </si>
  <si>
    <t>ATSD</t>
  </si>
  <si>
    <t>TMNB</t>
  </si>
  <si>
    <t>XYJT</t>
  </si>
  <si>
    <t>LLLC</t>
  </si>
  <si>
    <t>ZAYM</t>
  </si>
  <si>
    <t>End of table 16a.</t>
  </si>
  <si>
    <t>Table 16b: Durable goods, chained volume measures, quarterly data, UK, seasonally adjusted, £ millions</t>
  </si>
  <si>
    <t>End of table 16b.</t>
  </si>
  <si>
    <t>Total goods</t>
  </si>
  <si>
    <t>Durables</t>
  </si>
  <si>
    <t>Semi-durables</t>
  </si>
  <si>
    <t>Non-durables</t>
  </si>
  <si>
    <t>Services</t>
  </si>
  <si>
    <t>Worksheet TGKS: Annual and quarterly total goods expenditure in chained volume measures, UK, seasonally adjusted, £ millions</t>
  </si>
  <si>
    <t>Table 15a: Total goods, chained volume measures, annual data, UK, seasonally adjusted, £ millions</t>
  </si>
  <si>
    <t>Alcoholic beverages and tobacco
[note 1]</t>
  </si>
  <si>
    <t>TG</t>
  </si>
  <si>
    <t>TG01</t>
  </si>
  <si>
    <t>TG02</t>
  </si>
  <si>
    <t>TG03</t>
  </si>
  <si>
    <t>TG04</t>
  </si>
  <si>
    <t>TG05</t>
  </si>
  <si>
    <t>TG06</t>
  </si>
  <si>
    <t>TG07</t>
  </si>
  <si>
    <t>TG08</t>
  </si>
  <si>
    <t>TG09</t>
  </si>
  <si>
    <t>TG12</t>
  </si>
  <si>
    <t>UTIH</t>
  </si>
  <si>
    <t>LLLD</t>
  </si>
  <si>
    <t>LLLE</t>
  </si>
  <si>
    <t>LLLF</t>
  </si>
  <si>
    <t>LLLG</t>
  </si>
  <si>
    <t>LLLH</t>
  </si>
  <si>
    <t>LLLI</t>
  </si>
  <si>
    <t>LLLJ</t>
  </si>
  <si>
    <t>LLLK</t>
  </si>
  <si>
    <t>End of table 15a.</t>
  </si>
  <si>
    <t>Table 15b: Total goods, chained volume measures, quarterly data, UK, seasonally adjusted, £ millions</t>
  </si>
  <si>
    <t>End of table 15b.</t>
  </si>
  <si>
    <t>Services looked pretty resilient in 2022-2023</t>
  </si>
  <si>
    <t>But semi-durables and non-durables have remained weaker longer-term</t>
  </si>
  <si>
    <t>Durables took the biggest initial hit, but then recovered decently</t>
  </si>
  <si>
    <t>Total &gt;&gt;</t>
  </si>
  <si>
    <t>Durables &gt;&gt;</t>
  </si>
  <si>
    <t>No massive hit to transport (cars) and recreation and culture spending</t>
  </si>
  <si>
    <t xml:space="preserve">Big hit to communication spending </t>
  </si>
  <si>
    <t>Household goods spending persistently weak</t>
  </si>
  <si>
    <t>Health spending volatile</t>
  </si>
  <si>
    <t>Semi-durables &gt;&gt;</t>
  </si>
  <si>
    <t>Household goods weak</t>
  </si>
  <si>
    <t>Non-durables &gt;&gt;</t>
  </si>
  <si>
    <t>Volume of energy expenditure has remained persistently weak</t>
  </si>
  <si>
    <t>Volume of food and drink expenditure only slightly lower and no immediate hit</t>
  </si>
  <si>
    <t>Services &gt;&gt;</t>
  </si>
  <si>
    <t>Restaurant spending moderatly 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</si>
</sst>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"/>
    <numFmt numFmtId="165" formatCode="0.000"/>
    <numFmt numFmtId="166" formatCode="mmm\ yyyy"/>
    <numFmt numFmtId="167" formatCode="###0.0;\-###0.0;0.0;@"/>
    <numFmt numFmtId="168" formatCode="0.0000"/>
    <numFmt numFmtId="169" formatCode="#,##0_ ;\-#,##0\ "/>
    <numFmt numFmtId="170" formatCode="_-* #,##0_-;\-* #,##0_-;_-* &quot;-&quot;??_-;_-@_-"/>
    <numFmt numFmtId="171" formatCode="#,##0.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12273F"/>
      <name val="Arial"/>
      <family val="2"/>
    </font>
    <font>
      <sz val="11"/>
      <color rgb="FF12273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3CD7D9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16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u/>
      <sz val="12"/>
      <color theme="10"/>
      <name val="Arial"/>
      <family val="2"/>
    </font>
    <font>
      <b/>
      <sz val="15"/>
      <name val="Aptos Narrow"/>
      <family val="2"/>
      <scheme val="minor"/>
    </font>
    <font>
      <sz val="11"/>
      <name val="Aptos Narrow"/>
      <family val="2"/>
      <scheme val="minor"/>
    </font>
    <font>
      <b/>
      <sz val="13"/>
      <name val="Aptos Narrow"/>
      <family val="2"/>
      <scheme val="minor"/>
    </font>
    <font>
      <b/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4A80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3" fillId="0" borderId="0"/>
    <xf numFmtId="0" fontId="1" fillId="0" borderId="0"/>
    <xf numFmtId="0" fontId="16" fillId="0" borderId="0"/>
    <xf numFmtId="43" fontId="1" fillId="0" borderId="0" applyFont="0" applyFill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0" applyNumberFormat="0" applyFill="0" applyBorder="0" applyAlignment="0" applyProtection="0"/>
  </cellStyleXfs>
  <cellXfs count="102">
    <xf numFmtId="0" fontId="0" fillId="0" borderId="0" xfId="0"/>
    <xf numFmtId="15" fontId="4" fillId="0" borderId="0" xfId="1" applyNumberFormat="1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0" fontId="5" fillId="0" borderId="0" xfId="2" applyFont="1"/>
    <xf numFmtId="15" fontId="6" fillId="0" borderId="0" xfId="1" applyNumberFormat="1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6" fillId="0" borderId="0" xfId="2" applyFont="1"/>
    <xf numFmtId="15" fontId="6" fillId="0" borderId="0" xfId="1" applyNumberFormat="1" applyFont="1" applyAlignment="1">
      <alignment horizontal="center" vertical="center"/>
    </xf>
    <xf numFmtId="15" fontId="7" fillId="0" borderId="1" xfId="1" applyNumberFormat="1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1" fontId="6" fillId="0" borderId="0" xfId="1" applyNumberFormat="1" applyFont="1" applyAlignment="1">
      <alignment horizontal="center" vertical="center" wrapText="1"/>
    </xf>
    <xf numFmtId="164" fontId="6" fillId="0" borderId="0" xfId="1" applyNumberFormat="1" applyFont="1" applyAlignment="1">
      <alignment horizontal="center" vertical="center" wrapText="1"/>
    </xf>
    <xf numFmtId="164" fontId="6" fillId="0" borderId="0" xfId="2" applyNumberFormat="1" applyFont="1" applyAlignment="1">
      <alignment horizontal="center" vertical="center"/>
    </xf>
    <xf numFmtId="165" fontId="6" fillId="0" borderId="0" xfId="2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 wrapText="1"/>
    </xf>
    <xf numFmtId="166" fontId="4" fillId="0" borderId="0" xfId="3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2" fontId="8" fillId="0" borderId="0" xfId="2" applyNumberFormat="1" applyFont="1" applyAlignment="1">
      <alignment horizontal="left"/>
    </xf>
    <xf numFmtId="15" fontId="6" fillId="0" borderId="0" xfId="3" applyNumberFormat="1" applyFont="1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2" fontId="9" fillId="0" borderId="0" xfId="2" applyNumberFormat="1" applyFont="1" applyAlignment="1">
      <alignment horizontal="left"/>
    </xf>
    <xf numFmtId="166" fontId="6" fillId="0" borderId="0" xfId="2" applyNumberFormat="1" applyFont="1" applyAlignment="1">
      <alignment horizontal="center" vertical="center"/>
    </xf>
    <xf numFmtId="166" fontId="7" fillId="0" borderId="0" xfId="2" applyNumberFormat="1" applyFont="1" applyAlignment="1">
      <alignment vertical="center"/>
    </xf>
    <xf numFmtId="2" fontId="7" fillId="0" borderId="0" xfId="2" applyNumberFormat="1" applyFont="1" applyAlignment="1">
      <alignment vertical="center"/>
    </xf>
    <xf numFmtId="166" fontId="7" fillId="0" borderId="0" xfId="2" applyNumberFormat="1" applyFont="1" applyAlignment="1">
      <alignment horizontal="center" vertical="center" wrapText="1"/>
    </xf>
    <xf numFmtId="2" fontId="7" fillId="0" borderId="0" xfId="4" applyNumberFormat="1" applyFont="1" applyAlignment="1">
      <alignment horizontal="center" vertical="center" wrapText="1"/>
    </xf>
    <xf numFmtId="166" fontId="7" fillId="0" borderId="0" xfId="2" applyNumberFormat="1" applyFont="1" applyAlignment="1">
      <alignment horizontal="center" vertical="center"/>
    </xf>
    <xf numFmtId="2" fontId="6" fillId="0" borderId="0" xfId="2" applyNumberFormat="1" applyFont="1" applyAlignment="1">
      <alignment horizontal="center" vertical="center"/>
    </xf>
    <xf numFmtId="0" fontId="10" fillId="0" borderId="0" xfId="5"/>
    <xf numFmtId="164" fontId="8" fillId="0" borderId="0" xfId="5" applyNumberFormat="1" applyFont="1" applyAlignment="1">
      <alignment horizontal="center"/>
    </xf>
    <xf numFmtId="14" fontId="8" fillId="0" borderId="0" xfId="5" applyNumberFormat="1" applyFont="1" applyAlignment="1">
      <alignment horizontal="center"/>
    </xf>
    <xf numFmtId="0" fontId="2" fillId="0" borderId="0" xfId="0" applyFont="1"/>
    <xf numFmtId="164" fontId="0" fillId="0" borderId="0" xfId="0" applyNumberFormat="1"/>
    <xf numFmtId="0" fontId="11" fillId="0" borderId="0" xfId="6" applyFont="1"/>
    <xf numFmtId="0" fontId="3" fillId="0" borderId="0" xfId="6"/>
    <xf numFmtId="0" fontId="3" fillId="0" borderId="0" xfId="6" applyAlignment="1">
      <alignment horizontal="right" wrapText="1"/>
    </xf>
    <xf numFmtId="17" fontId="3" fillId="0" borderId="0" xfId="6" quotePrefix="1" applyNumberFormat="1" applyAlignment="1">
      <alignment horizontal="right" wrapText="1"/>
    </xf>
    <xf numFmtId="0" fontId="3" fillId="0" borderId="0" xfId="6" quotePrefix="1" applyAlignment="1">
      <alignment horizontal="right" wrapText="1"/>
    </xf>
    <xf numFmtId="164" fontId="3" fillId="0" borderId="0" xfId="6" applyNumberFormat="1"/>
    <xf numFmtId="1" fontId="3" fillId="0" borderId="0" xfId="6" applyNumberFormat="1"/>
    <xf numFmtId="0" fontId="0" fillId="0" borderId="0" xfId="0" quotePrefix="1"/>
    <xf numFmtId="15" fontId="0" fillId="0" borderId="0" xfId="0" applyNumberFormat="1"/>
    <xf numFmtId="167" fontId="0" fillId="0" borderId="0" xfId="0" applyNumberFormat="1"/>
    <xf numFmtId="167" fontId="14" fillId="0" borderId="0" xfId="0" applyNumberFormat="1" applyFont="1"/>
    <xf numFmtId="0" fontId="1" fillId="0" borderId="0" xfId="8"/>
    <xf numFmtId="0" fontId="0" fillId="0" borderId="0" xfId="8" applyFont="1"/>
    <xf numFmtId="0" fontId="1" fillId="0" borderId="0" xfId="8" applyAlignment="1">
      <alignment horizontal="right"/>
    </xf>
    <xf numFmtId="168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5" fontId="11" fillId="0" borderId="0" xfId="6" applyNumberFormat="1" applyFont="1"/>
    <xf numFmtId="0" fontId="3" fillId="0" borderId="0" xfId="6" applyAlignment="1">
      <alignment wrapText="1"/>
    </xf>
    <xf numFmtId="164" fontId="3" fillId="0" borderId="0" xfId="6" applyNumberFormat="1" applyAlignment="1">
      <alignment horizontal="right" wrapText="1"/>
    </xf>
    <xf numFmtId="165" fontId="3" fillId="0" borderId="0" xfId="6" applyNumberFormat="1" applyAlignment="1">
      <alignment horizontal="right" wrapText="1"/>
    </xf>
    <xf numFmtId="165" fontId="3" fillId="0" borderId="0" xfId="6" applyNumberFormat="1"/>
    <xf numFmtId="165" fontId="15" fillId="0" borderId="0" xfId="0" applyNumberFormat="1" applyFont="1"/>
    <xf numFmtId="0" fontId="17" fillId="2" borderId="2" xfId="9" applyFont="1" applyFill="1" applyBorder="1" applyAlignment="1">
      <alignment horizontal="left" wrapText="1"/>
    </xf>
    <xf numFmtId="166" fontId="7" fillId="0" borderId="1" xfId="2" applyNumberFormat="1" applyFont="1" applyBorder="1" applyAlignment="1">
      <alignment horizontal="center" vertical="center" wrapText="1"/>
    </xf>
    <xf numFmtId="2" fontId="7" fillId="0" borderId="1" xfId="2" applyNumberFormat="1" applyFont="1" applyBorder="1" applyAlignment="1">
      <alignment horizontal="center" vertical="center" wrapText="1"/>
    </xf>
    <xf numFmtId="0" fontId="11" fillId="0" borderId="0" xfId="6" applyFont="1" applyAlignment="1">
      <alignment horizontal="center"/>
    </xf>
    <xf numFmtId="169" fontId="21" fillId="0" borderId="0" xfId="10" applyNumberFormat="1" applyFont="1" applyFill="1" applyBorder="1" applyAlignment="1">
      <alignment horizontal="right" wrapText="1"/>
    </xf>
    <xf numFmtId="170" fontId="21" fillId="0" borderId="0" xfId="10" applyNumberFormat="1" applyFont="1" applyFill="1" applyBorder="1" applyAlignment="1">
      <alignment horizontal="right"/>
    </xf>
    <xf numFmtId="0" fontId="22" fillId="0" borderId="0" xfId="0" applyFont="1"/>
    <xf numFmtId="3" fontId="21" fillId="0" borderId="0" xfId="0" applyNumberFormat="1" applyFont="1"/>
    <xf numFmtId="3" fontId="23" fillId="0" borderId="0" xfId="0" applyNumberFormat="1" applyFont="1"/>
    <xf numFmtId="0" fontId="24" fillId="0" borderId="0" xfId="13" applyFont="1" applyAlignment="1" applyProtection="1"/>
    <xf numFmtId="0" fontId="19" fillId="0" borderId="5" xfId="12" applyFill="1" applyBorder="1" applyAlignment="1">
      <alignment horizontal="left"/>
    </xf>
    <xf numFmtId="3" fontId="21" fillId="0" borderId="5" xfId="0" applyNumberFormat="1" applyFont="1" applyBorder="1"/>
    <xf numFmtId="3" fontId="23" fillId="0" borderId="5" xfId="0" applyNumberFormat="1" applyFont="1" applyBorder="1"/>
    <xf numFmtId="0" fontId="23" fillId="0" borderId="5" xfId="0" applyFont="1" applyBorder="1" applyAlignment="1">
      <alignment horizontal="left" wrapText="1"/>
    </xf>
    <xf numFmtId="0" fontId="23" fillId="0" borderId="5" xfId="0" applyFont="1" applyBorder="1" applyAlignment="1">
      <alignment horizontal="right" wrapText="1"/>
    </xf>
    <xf numFmtId="0" fontId="23" fillId="0" borderId="5" xfId="0" quotePrefix="1" applyFont="1" applyBorder="1" applyAlignment="1">
      <alignment horizontal="right" wrapText="1"/>
    </xf>
    <xf numFmtId="0" fontId="23" fillId="0" borderId="5" xfId="0" applyFont="1" applyBorder="1" applyAlignment="1">
      <alignment horizontal="right"/>
    </xf>
    <xf numFmtId="49" fontId="23" fillId="0" borderId="5" xfId="0" applyNumberFormat="1" applyFont="1" applyBorder="1" applyAlignment="1">
      <alignment horizontal="right"/>
    </xf>
    <xf numFmtId="0" fontId="23" fillId="0" borderId="5" xfId="0" quotePrefix="1" applyFont="1" applyBorder="1" applyAlignment="1">
      <alignment horizontal="right"/>
    </xf>
    <xf numFmtId="0" fontId="21" fillId="0" borderId="0" xfId="0" applyFont="1" applyAlignment="1">
      <alignment horizontal="left"/>
    </xf>
    <xf numFmtId="169" fontId="21" fillId="0" borderId="0" xfId="10" applyNumberFormat="1" applyFont="1" applyFill="1" applyAlignment="1">
      <alignment horizontal="right" wrapText="1"/>
    </xf>
    <xf numFmtId="170" fontId="21" fillId="0" borderId="0" xfId="10" applyNumberFormat="1" applyFont="1" applyFill="1" applyAlignment="1">
      <alignment horizontal="right"/>
    </xf>
    <xf numFmtId="0" fontId="21" fillId="0" borderId="5" xfId="0" applyFont="1" applyBorder="1" applyAlignment="1">
      <alignment horizontal="left"/>
    </xf>
    <xf numFmtId="170" fontId="21" fillId="0" borderId="5" xfId="10" applyNumberFormat="1" applyFont="1" applyFill="1" applyBorder="1" applyAlignment="1">
      <alignment horizontal="right"/>
    </xf>
    <xf numFmtId="169" fontId="21" fillId="0" borderId="5" xfId="10" applyNumberFormat="1" applyFont="1" applyFill="1" applyBorder="1" applyAlignment="1">
      <alignment horizontal="right" wrapText="1"/>
    </xf>
    <xf numFmtId="0" fontId="21" fillId="0" borderId="0" xfId="0" applyFont="1"/>
    <xf numFmtId="170" fontId="21" fillId="0" borderId="0" xfId="10" applyNumberFormat="1" applyFont="1" applyFill="1"/>
    <xf numFmtId="3" fontId="25" fillId="0" borderId="3" xfId="11" applyNumberFormat="1" applyFont="1" applyFill="1" applyAlignment="1" applyProtection="1"/>
    <xf numFmtId="0" fontId="26" fillId="0" borderId="0" xfId="0" applyFont="1"/>
    <xf numFmtId="0" fontId="27" fillId="0" borderId="5" xfId="12" applyFont="1" applyFill="1" applyBorder="1" applyAlignment="1">
      <alignment horizontal="left"/>
    </xf>
    <xf numFmtId="3" fontId="21" fillId="0" borderId="0" xfId="0" applyNumberFormat="1" applyFont="1" applyAlignment="1">
      <alignment vertical="top"/>
    </xf>
    <xf numFmtId="3" fontId="21" fillId="0" borderId="0" xfId="0" applyNumberFormat="1" applyFont="1" applyAlignment="1">
      <alignment horizontal="left" vertical="top" wrapText="1"/>
    </xf>
    <xf numFmtId="171" fontId="23" fillId="0" borderId="5" xfId="0" applyNumberFormat="1" applyFont="1" applyBorder="1" applyAlignment="1">
      <alignment horizontal="center" wrapText="1"/>
    </xf>
    <xf numFmtId="0" fontId="21" fillId="0" borderId="5" xfId="0" applyFont="1" applyBorder="1"/>
    <xf numFmtId="171" fontId="23" fillId="0" borderId="5" xfId="0" applyNumberFormat="1" applyFont="1" applyBorder="1" applyAlignment="1">
      <alignment horizontal="right" wrapText="1"/>
    </xf>
    <xf numFmtId="171" fontId="23" fillId="0" borderId="5" xfId="0" quotePrefix="1" applyNumberFormat="1" applyFont="1" applyBorder="1" applyAlignment="1">
      <alignment horizontal="right" wrapText="1"/>
    </xf>
    <xf numFmtId="0" fontId="28" fillId="0" borderId="5" xfId="0" applyFont="1" applyBorder="1" applyAlignment="1">
      <alignment horizontal="right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right" wrapText="1"/>
    </xf>
    <xf numFmtId="0" fontId="23" fillId="0" borderId="0" xfId="0" quotePrefix="1" applyFont="1" applyAlignment="1">
      <alignment horizontal="right" wrapText="1"/>
    </xf>
    <xf numFmtId="0" fontId="23" fillId="0" borderId="5" xfId="0" applyFont="1" applyBorder="1" applyAlignment="1">
      <alignment wrapText="1"/>
    </xf>
    <xf numFmtId="0" fontId="21" fillId="0" borderId="0" xfId="0" applyFont="1" applyAlignment="1">
      <alignment horizontal="right"/>
    </xf>
    <xf numFmtId="0" fontId="6" fillId="0" borderId="0" xfId="0" applyFont="1"/>
  </cellXfs>
  <cellStyles count="14">
    <cellStyle name="Comma" xfId="10" builtinId="3"/>
    <cellStyle name="Heading 1" xfId="11" builtinId="16"/>
    <cellStyle name="Heading 2" xfId="12" builtinId="17"/>
    <cellStyle name="Hyperlink" xfId="13" builtinId="8"/>
    <cellStyle name="Normal" xfId="0" builtinId="0"/>
    <cellStyle name="Normal 2" xfId="7" xr:uid="{B4C96C60-57DC-4D1D-82F8-52AC1D642F74}"/>
    <cellStyle name="Normal 2 5" xfId="8" xr:uid="{E3E050B9-8BD6-4BEB-B73B-4C306E45CE57}"/>
    <cellStyle name="Normal 3" xfId="5" xr:uid="{9E04627E-C83B-480F-BFF2-A695C7D24D53}"/>
    <cellStyle name="Normal 4" xfId="6" xr:uid="{60F8D2A6-04E2-40FF-B377-F292EFA18FB0}"/>
    <cellStyle name="Normal 4 2 2 2" xfId="2" xr:uid="{2B099E03-5AB3-4247-B41D-ECFC24DA03D8}"/>
    <cellStyle name="Normal 5" xfId="9" xr:uid="{EAFD46EF-1ABA-40F9-B655-CEB640BD1EEE}"/>
    <cellStyle name="Normal_Chart 1.1 - Bank Rate and one day forward curves (updated)" xfId="3" xr:uid="{458FE151-270B-41F7-A3AA-6E54FBB956F1}"/>
    <cellStyle name="Normal_Section 1 Data for the web  " xfId="4" xr:uid="{DD7E1F76-91EB-49E7-B80B-7FDE30108D5A}"/>
    <cellStyle name="Normal_Sheet1 2" xfId="1" xr:uid="{E4E76DF6-4B7F-4533-969F-7117196F8702}"/>
  </cellStyles>
  <dxfs count="3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1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1" formatCode="#,##0.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1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1" formatCode="#,##0.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F4130"/>
      <color rgb="FF008AC8"/>
      <color rgb="FF003466"/>
      <color rgb="FF0000FF"/>
      <color rgb="FF3E515A"/>
      <color rgb="FF000000"/>
      <color rgb="FF7D89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chartsheet" Target="chartsheets/sheet7.xml"/><Relationship Id="rId18" Type="http://schemas.openxmlformats.org/officeDocument/2006/relationships/worksheet" Target="worksheets/sheet11.xml"/><Relationship Id="rId26" Type="http://schemas.openxmlformats.org/officeDocument/2006/relationships/externalLink" Target="externalLinks/externalLink2.xml"/><Relationship Id="rId3" Type="http://schemas.openxmlformats.org/officeDocument/2006/relationships/chartsheet" Target="chartsheets/sheet2.xml"/><Relationship Id="rId21" Type="http://schemas.openxmlformats.org/officeDocument/2006/relationships/worksheet" Target="worksheets/sheet14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0.xml"/><Relationship Id="rId25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9.xml"/><Relationship Id="rId20" Type="http://schemas.openxmlformats.org/officeDocument/2006/relationships/worksheet" Target="worksheets/sheet1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5.xml"/><Relationship Id="rId24" Type="http://schemas.openxmlformats.org/officeDocument/2006/relationships/worksheet" Target="worksheets/sheet17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8.xml"/><Relationship Id="rId23" Type="http://schemas.openxmlformats.org/officeDocument/2006/relationships/worksheet" Target="worksheets/sheet16.xml"/><Relationship Id="rId28" Type="http://schemas.openxmlformats.org/officeDocument/2006/relationships/styles" Target="styles.xml"/><Relationship Id="rId10" Type="http://schemas.openxmlformats.org/officeDocument/2006/relationships/worksheet" Target="worksheets/sheet4.xml"/><Relationship Id="rId19" Type="http://schemas.openxmlformats.org/officeDocument/2006/relationships/worksheet" Target="worksheets/sheet12.xml"/><Relationship Id="rId31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7.xml"/><Relationship Id="rId22" Type="http://schemas.openxmlformats.org/officeDocument/2006/relationships/worksheet" Target="worksheets/sheet15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5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9905062982368837E-2"/>
          <c:y val="0.15225563909774437"/>
          <c:w val="0.94534584199279925"/>
          <c:h val="0.6423142501924102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data'!$B$4</c:f>
              <c:strCache>
                <c:ptCount val="1"/>
                <c:pt idx="0">
                  <c:v>Food and non-alcoholic beverages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diamond"/>
            <c:size val="11"/>
            <c:spPr>
              <a:solidFill>
                <a:srgbClr val="003466"/>
              </a:solidFill>
              <a:ln>
                <a:solidFill>
                  <a:srgbClr val="003466"/>
                </a:solidFill>
              </a:ln>
            </c:spPr>
          </c:marker>
          <c:cat>
            <c:numRef>
              <c:f>'Chart data'!$A$5:$A$36</c:f>
              <c:numCache>
                <c:formatCode>General</c:formatCode>
                <c:ptCount val="32"/>
                <c:pt idx="0">
                  <c:v>1</c:v>
                </c:pt>
                <c:pt idx="9">
                  <c:v>10</c:v>
                </c:pt>
                <c:pt idx="11">
                  <c:v>1</c:v>
                </c:pt>
                <c:pt idx="20">
                  <c:v>10</c:v>
                </c:pt>
                <c:pt idx="22">
                  <c:v>1</c:v>
                </c:pt>
                <c:pt idx="31">
                  <c:v>10</c:v>
                </c:pt>
              </c:numCache>
            </c:numRef>
          </c:cat>
          <c:val>
            <c:numRef>
              <c:f>'Chart data'!$B$5:$B$36</c:f>
              <c:numCache>
                <c:formatCode>General</c:formatCode>
                <c:ptCount val="32"/>
                <c:pt idx="0">
                  <c:v>14.6</c:v>
                </c:pt>
                <c:pt idx="1">
                  <c:v>15.4</c:v>
                </c:pt>
                <c:pt idx="2">
                  <c:v>15.2</c:v>
                </c:pt>
                <c:pt idx="3">
                  <c:v>13.8</c:v>
                </c:pt>
                <c:pt idx="4">
                  <c:v>13.2</c:v>
                </c:pt>
                <c:pt idx="5">
                  <c:v>12.4</c:v>
                </c:pt>
                <c:pt idx="6">
                  <c:v>11.3</c:v>
                </c:pt>
                <c:pt idx="7">
                  <c:v>10.9</c:v>
                </c:pt>
                <c:pt idx="8">
                  <c:v>9.5</c:v>
                </c:pt>
                <c:pt idx="9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data'!$C$4</c:f>
              <c:strCache>
                <c:ptCount val="1"/>
                <c:pt idx="0">
                  <c:v>Energy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diamond"/>
            <c:size val="13"/>
            <c:spPr>
              <a:solidFill>
                <a:srgbClr val="EF4130"/>
              </a:solidFill>
              <a:ln>
                <a:solidFill>
                  <a:srgbClr val="EF4130"/>
                </a:solidFill>
              </a:ln>
            </c:spPr>
          </c:marker>
          <c:cat>
            <c:numRef>
              <c:f>'Chart data'!$A$5:$A$36</c:f>
              <c:numCache>
                <c:formatCode>General</c:formatCode>
                <c:ptCount val="32"/>
                <c:pt idx="0">
                  <c:v>1</c:v>
                </c:pt>
                <c:pt idx="9">
                  <c:v>10</c:v>
                </c:pt>
                <c:pt idx="11">
                  <c:v>1</c:v>
                </c:pt>
                <c:pt idx="20">
                  <c:v>10</c:v>
                </c:pt>
                <c:pt idx="22">
                  <c:v>1</c:v>
                </c:pt>
                <c:pt idx="31">
                  <c:v>10</c:v>
                </c:pt>
              </c:numCache>
            </c:numRef>
          </c:cat>
          <c:val>
            <c:numRef>
              <c:f>'Chart data'!$C$5:$C$36</c:f>
              <c:numCache>
                <c:formatCode>General</c:formatCode>
                <c:ptCount val="32"/>
                <c:pt idx="11">
                  <c:v>7.1</c:v>
                </c:pt>
                <c:pt idx="12">
                  <c:v>7.1</c:v>
                </c:pt>
                <c:pt idx="13">
                  <c:v>6.2</c:v>
                </c:pt>
                <c:pt idx="14">
                  <c:v>5.8</c:v>
                </c:pt>
                <c:pt idx="15">
                  <c:v>5.2</c:v>
                </c:pt>
                <c:pt idx="16">
                  <c:v>4.5</c:v>
                </c:pt>
                <c:pt idx="17">
                  <c:v>4.3</c:v>
                </c:pt>
                <c:pt idx="18">
                  <c:v>4.0999999999999996</c:v>
                </c:pt>
                <c:pt idx="19">
                  <c:v>3.4</c:v>
                </c:pt>
                <c:pt idx="20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data'!$D$4</c:f>
              <c:strCache>
                <c:ptCount val="1"/>
                <c:pt idx="0">
                  <c:v>Motor fuel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diamond"/>
            <c:size val="13"/>
            <c:spPr>
              <a:solidFill>
                <a:srgbClr val="008AC8"/>
              </a:solidFill>
              <a:ln>
                <a:solidFill>
                  <a:srgbClr val="008AC8"/>
                </a:solidFill>
              </a:ln>
            </c:spPr>
          </c:marker>
          <c:cat>
            <c:numRef>
              <c:f>'Chart data'!$A$5:$A$36</c:f>
              <c:numCache>
                <c:formatCode>General</c:formatCode>
                <c:ptCount val="32"/>
                <c:pt idx="0">
                  <c:v>1</c:v>
                </c:pt>
                <c:pt idx="9">
                  <c:v>10</c:v>
                </c:pt>
                <c:pt idx="11">
                  <c:v>1</c:v>
                </c:pt>
                <c:pt idx="20">
                  <c:v>10</c:v>
                </c:pt>
                <c:pt idx="22">
                  <c:v>1</c:v>
                </c:pt>
                <c:pt idx="31">
                  <c:v>10</c:v>
                </c:pt>
              </c:numCache>
            </c:numRef>
          </c:cat>
          <c:val>
            <c:numRef>
              <c:f>'Chart data'!$D$5:$D$36</c:f>
              <c:numCache>
                <c:formatCode>General</c:formatCode>
                <c:ptCount val="32"/>
                <c:pt idx="22">
                  <c:v>2.4</c:v>
                </c:pt>
                <c:pt idx="23">
                  <c:v>2.7</c:v>
                </c:pt>
                <c:pt idx="24">
                  <c:v>2.8</c:v>
                </c:pt>
                <c:pt idx="25">
                  <c:v>2.9</c:v>
                </c:pt>
                <c:pt idx="26">
                  <c:v>3.4</c:v>
                </c:pt>
                <c:pt idx="27">
                  <c:v>2.9</c:v>
                </c:pt>
                <c:pt idx="28">
                  <c:v>3.3</c:v>
                </c:pt>
                <c:pt idx="29">
                  <c:v>3.1</c:v>
                </c:pt>
                <c:pt idx="30">
                  <c:v>3.2</c:v>
                </c:pt>
                <c:pt idx="31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  <c:max val="16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9744518923982085"/>
          <c:y val="8.2706766917293228E-2"/>
          <c:w val="0.60553838871360777"/>
          <c:h val="6.3489150325661117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9905062982368837E-2"/>
          <c:y val="0.15225563909774437"/>
          <c:w val="0.94534584199279925"/>
          <c:h val="0.64482051585657063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data'!$H$4</c:f>
              <c:strCache>
                <c:ptCount val="1"/>
                <c:pt idx="0">
                  <c:v>Food and non-alcoholic beverages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circle"/>
            <c:size val="11"/>
            <c:spPr>
              <a:solidFill>
                <a:srgbClr val="003466"/>
              </a:solidFill>
              <a:ln>
                <a:solidFill>
                  <a:srgbClr val="003466"/>
                </a:solidFill>
              </a:ln>
            </c:spPr>
          </c:marker>
          <c:cat>
            <c:numRef>
              <c:f>'Chart data'!$G$5:$G$14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'Chart data'!$H$5:$H$14</c:f>
              <c:numCache>
                <c:formatCode>General</c:formatCode>
                <c:ptCount val="10"/>
                <c:pt idx="0">
                  <c:v>14.6</c:v>
                </c:pt>
                <c:pt idx="1">
                  <c:v>15.4</c:v>
                </c:pt>
                <c:pt idx="2">
                  <c:v>15.2</c:v>
                </c:pt>
                <c:pt idx="3">
                  <c:v>13.8</c:v>
                </c:pt>
                <c:pt idx="4">
                  <c:v>13.2</c:v>
                </c:pt>
                <c:pt idx="5">
                  <c:v>12.4</c:v>
                </c:pt>
                <c:pt idx="6">
                  <c:v>11.3</c:v>
                </c:pt>
                <c:pt idx="7">
                  <c:v>10.9</c:v>
                </c:pt>
                <c:pt idx="8">
                  <c:v>9.5</c:v>
                </c:pt>
                <c:pt idx="9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data'!$I$4</c:f>
              <c:strCache>
                <c:ptCount val="1"/>
                <c:pt idx="0">
                  <c:v>Energy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circle"/>
            <c:size val="11"/>
            <c:spPr>
              <a:solidFill>
                <a:srgbClr val="EF4130"/>
              </a:solidFill>
              <a:ln>
                <a:solidFill>
                  <a:srgbClr val="EF4130"/>
                </a:solidFill>
              </a:ln>
            </c:spPr>
          </c:marker>
          <c:cat>
            <c:numRef>
              <c:f>'Chart data'!$G$5:$G$14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'Chart data'!$I$5:$I$14</c:f>
              <c:numCache>
                <c:formatCode>General</c:formatCode>
                <c:ptCount val="10"/>
                <c:pt idx="0">
                  <c:v>7.1</c:v>
                </c:pt>
                <c:pt idx="1">
                  <c:v>7.1</c:v>
                </c:pt>
                <c:pt idx="2">
                  <c:v>6.2</c:v>
                </c:pt>
                <c:pt idx="3">
                  <c:v>5.8</c:v>
                </c:pt>
                <c:pt idx="4">
                  <c:v>5.2</c:v>
                </c:pt>
                <c:pt idx="5">
                  <c:v>4.5</c:v>
                </c:pt>
                <c:pt idx="6">
                  <c:v>4.3</c:v>
                </c:pt>
                <c:pt idx="7">
                  <c:v>4.0999999999999996</c:v>
                </c:pt>
                <c:pt idx="8">
                  <c:v>3.4</c:v>
                </c:pt>
                <c:pt idx="9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data'!$J$4</c:f>
              <c:strCache>
                <c:ptCount val="1"/>
                <c:pt idx="0">
                  <c:v>Motor fuel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circle"/>
            <c:size val="11"/>
            <c:spPr>
              <a:solidFill>
                <a:srgbClr val="008AC8"/>
              </a:solidFill>
              <a:ln>
                <a:solidFill>
                  <a:srgbClr val="008AC8"/>
                </a:solidFill>
              </a:ln>
            </c:spPr>
          </c:marker>
          <c:cat>
            <c:numRef>
              <c:f>'Chart data'!$G$5:$G$14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'Chart data'!$J$5:$J$14</c:f>
              <c:numCache>
                <c:formatCode>General</c:formatCode>
                <c:ptCount val="10"/>
                <c:pt idx="0">
                  <c:v>2.4</c:v>
                </c:pt>
                <c:pt idx="1">
                  <c:v>2.7</c:v>
                </c:pt>
                <c:pt idx="2">
                  <c:v>2.8</c:v>
                </c:pt>
                <c:pt idx="3">
                  <c:v>2.9</c:v>
                </c:pt>
                <c:pt idx="4">
                  <c:v>3.4</c:v>
                </c:pt>
                <c:pt idx="5">
                  <c:v>2.9</c:v>
                </c:pt>
                <c:pt idx="6">
                  <c:v>3.3</c:v>
                </c:pt>
                <c:pt idx="7">
                  <c:v>3.1</c:v>
                </c:pt>
                <c:pt idx="8">
                  <c:v>3.2</c:v>
                </c:pt>
                <c:pt idx="9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  <c:max val="16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515963664393252"/>
          <c:y val="8.2706766917293228E-2"/>
          <c:w val="0.69556810974836325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5128062523783041E-2"/>
          <c:y val="0.15225563909774437"/>
          <c:w val="0.94246797217262346"/>
          <c:h val="0.6473267815207310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data'!$N$4</c:f>
              <c:strCache>
                <c:ptCount val="1"/>
                <c:pt idx="0">
                  <c:v>Buying the same or more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diamond"/>
            <c:size val="13"/>
            <c:spPr>
              <a:solidFill>
                <a:srgbClr val="003466"/>
              </a:solidFill>
              <a:ln>
                <a:solidFill>
                  <a:srgbClr val="003466"/>
                </a:solidFill>
              </a:ln>
            </c:spPr>
          </c:marker>
          <c:cat>
            <c:numRef>
              <c:f>'Chart data'!$M$5:$M$9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'Chart data'!$N$5:$N$9</c:f>
              <c:numCache>
                <c:formatCode>0.0</c:formatCode>
                <c:ptCount val="5"/>
                <c:pt idx="0">
                  <c:v>26.99</c:v>
                </c:pt>
                <c:pt idx="1">
                  <c:v>36.19</c:v>
                </c:pt>
                <c:pt idx="2">
                  <c:v>38.799999999999997</c:v>
                </c:pt>
                <c:pt idx="3">
                  <c:v>43.78</c:v>
                </c:pt>
                <c:pt idx="4">
                  <c:v>55.06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data'!$O$4</c:f>
              <c:strCache>
                <c:ptCount val="1"/>
                <c:pt idx="0">
                  <c:v>Cutting back on some things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diamond"/>
            <c:size val="13"/>
            <c:spPr>
              <a:solidFill>
                <a:srgbClr val="EF4130"/>
              </a:solidFill>
              <a:ln>
                <a:solidFill>
                  <a:srgbClr val="EF4130"/>
                </a:solidFill>
              </a:ln>
            </c:spPr>
          </c:marker>
          <c:cat>
            <c:numRef>
              <c:f>'Chart data'!$M$5:$M$9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'Chart data'!$O$5:$O$9</c:f>
              <c:numCache>
                <c:formatCode>0.0</c:formatCode>
                <c:ptCount val="5"/>
                <c:pt idx="0">
                  <c:v>26.28</c:v>
                </c:pt>
                <c:pt idx="1">
                  <c:v>27.53</c:v>
                </c:pt>
                <c:pt idx="2">
                  <c:v>30.61</c:v>
                </c:pt>
                <c:pt idx="3">
                  <c:v>26.41</c:v>
                </c:pt>
                <c:pt idx="4">
                  <c:v>24.83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data'!$P$4</c:f>
              <c:strCache>
                <c:ptCount val="1"/>
                <c:pt idx="0">
                  <c:v>Cutting back completely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diamond"/>
            <c:size val="13"/>
            <c:spPr>
              <a:solidFill>
                <a:srgbClr val="008AC8"/>
              </a:solidFill>
              <a:ln>
                <a:solidFill>
                  <a:srgbClr val="008AC8"/>
                </a:solidFill>
              </a:ln>
            </c:spPr>
          </c:marker>
          <c:cat>
            <c:numRef>
              <c:f>'Chart data'!$M$5:$M$9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'Chart data'!$P$5:$P$9</c:f>
              <c:numCache>
                <c:formatCode>0.0</c:formatCode>
                <c:ptCount val="5"/>
                <c:pt idx="0">
                  <c:v>46.73</c:v>
                </c:pt>
                <c:pt idx="1">
                  <c:v>36.29</c:v>
                </c:pt>
                <c:pt idx="2">
                  <c:v>30.59</c:v>
                </c:pt>
                <c:pt idx="3">
                  <c:v>29.8</c:v>
                </c:pt>
                <c:pt idx="4">
                  <c:v>20.11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2196547922216039"/>
          <c:y val="8.2706766917293228E-2"/>
          <c:w val="0.76176916547141638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66294919454771E-3"/>
          <c:y val="0.12781954887218044"/>
          <c:w val="0.99504337050805447"/>
          <c:h val="0.802005012531328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data'!$T$4</c:f>
              <c:strCache>
                <c:ptCount val="1"/>
                <c:pt idx="0">
                  <c:v>March 2022 survey</c:v>
                </c:pt>
              </c:strCache>
            </c:strRef>
          </c:tx>
          <c:spPr>
            <a:solidFill>
              <a:srgbClr val="003466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cat>
            <c:strRef>
              <c:f>'Chart data'!$S$5:$S$6</c:f>
              <c:strCache>
                <c:ptCount val="2"/>
                <c:pt idx="0">
                  <c:v>Lowest quintile</c:v>
                </c:pt>
                <c:pt idx="1">
                  <c:v>Highest quintile</c:v>
                </c:pt>
              </c:strCache>
            </c:strRef>
          </c:cat>
          <c:val>
            <c:numRef>
              <c:f>'Chart data'!$T$5:$T$6</c:f>
              <c:numCache>
                <c:formatCode>0.0</c:formatCode>
                <c:ptCount val="2"/>
                <c:pt idx="0">
                  <c:v>43.548000000000002</c:v>
                </c:pt>
                <c:pt idx="1">
                  <c:v>54.042000000000002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2-45E4-8C9C-E49B4B501853}"/>
            </c:ext>
          </c:extLst>
        </c:ser>
        <c:ser>
          <c:idx val="1"/>
          <c:order val="1"/>
          <c:tx>
            <c:strRef>
              <c:f>'Chart data'!$U$4</c:f>
              <c:strCache>
                <c:ptCount val="1"/>
                <c:pt idx="0">
                  <c:v>March 2026 survey</c:v>
                </c:pt>
              </c:strCache>
            </c:strRef>
          </c:tx>
          <c:spPr>
            <a:solidFill>
              <a:srgbClr val="008AC8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cat>
            <c:strRef>
              <c:f>'Chart data'!$S$5:$S$6</c:f>
              <c:strCache>
                <c:ptCount val="2"/>
                <c:pt idx="0">
                  <c:v>Lowest quintile</c:v>
                </c:pt>
                <c:pt idx="1">
                  <c:v>Highest quintile</c:v>
                </c:pt>
              </c:strCache>
            </c:strRef>
          </c:cat>
          <c:val>
            <c:numRef>
              <c:f>'Chart data'!$U$5:$U$6</c:f>
              <c:numCache>
                <c:formatCode>0.0</c:formatCode>
                <c:ptCount val="2"/>
                <c:pt idx="0">
                  <c:v>25.190999999999999</c:v>
                </c:pt>
                <c:pt idx="1">
                  <c:v>17.141999999999999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2-45E4-8C9C-E49B4B501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9505527422455091"/>
          <c:y val="8.2706766917293228E-2"/>
          <c:w val="0.40988945155089812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5128062523783041E-2"/>
          <c:y val="0.20488721804511281"/>
          <c:w val="0.41334777390744371"/>
          <c:h val="0.594695202573362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data'!$N$4</c:f>
              <c:strCache>
                <c:ptCount val="1"/>
                <c:pt idx="0">
                  <c:v>Buying the same or more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diamond"/>
            <c:size val="13"/>
            <c:spPr>
              <a:solidFill>
                <a:srgbClr val="003466"/>
              </a:solidFill>
              <a:ln>
                <a:solidFill>
                  <a:srgbClr val="003466"/>
                </a:solidFill>
              </a:ln>
            </c:spPr>
          </c:marker>
          <c:cat>
            <c:numRef>
              <c:f>'Chart data'!$M$5:$M$9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'Chart data'!$N$5:$N$9</c:f>
              <c:numCache>
                <c:formatCode>0.0</c:formatCode>
                <c:ptCount val="5"/>
                <c:pt idx="0">
                  <c:v>26.99</c:v>
                </c:pt>
                <c:pt idx="1">
                  <c:v>36.19</c:v>
                </c:pt>
                <c:pt idx="2">
                  <c:v>38.799999999999997</c:v>
                </c:pt>
                <c:pt idx="3">
                  <c:v>43.78</c:v>
                </c:pt>
                <c:pt idx="4">
                  <c:v>55.06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81-45DD-831C-297FDBC1AF68}"/>
            </c:ext>
          </c:extLst>
        </c:ser>
        <c:ser>
          <c:idx val="1"/>
          <c:order val="1"/>
          <c:tx>
            <c:strRef>
              <c:f>'Chart data'!$O$4</c:f>
              <c:strCache>
                <c:ptCount val="1"/>
                <c:pt idx="0">
                  <c:v>Cutting back on some things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diamond"/>
            <c:size val="13"/>
            <c:spPr>
              <a:solidFill>
                <a:srgbClr val="EF4130"/>
              </a:solidFill>
              <a:ln>
                <a:solidFill>
                  <a:srgbClr val="EF4130"/>
                </a:solidFill>
              </a:ln>
            </c:spPr>
          </c:marker>
          <c:cat>
            <c:numRef>
              <c:f>'Chart data'!$M$5:$M$9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'Chart data'!$O$5:$O$9</c:f>
              <c:numCache>
                <c:formatCode>0.0</c:formatCode>
                <c:ptCount val="5"/>
                <c:pt idx="0">
                  <c:v>26.28</c:v>
                </c:pt>
                <c:pt idx="1">
                  <c:v>27.53</c:v>
                </c:pt>
                <c:pt idx="2">
                  <c:v>30.61</c:v>
                </c:pt>
                <c:pt idx="3">
                  <c:v>26.41</c:v>
                </c:pt>
                <c:pt idx="4">
                  <c:v>24.83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1-45DD-831C-297FDBC1AF68}"/>
            </c:ext>
          </c:extLst>
        </c:ser>
        <c:ser>
          <c:idx val="2"/>
          <c:order val="2"/>
          <c:tx>
            <c:strRef>
              <c:f>'Chart data'!$P$4</c:f>
              <c:strCache>
                <c:ptCount val="1"/>
                <c:pt idx="0">
                  <c:v>Cutting back completely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diamond"/>
            <c:size val="13"/>
            <c:spPr>
              <a:solidFill>
                <a:srgbClr val="008AC8"/>
              </a:solidFill>
              <a:ln>
                <a:solidFill>
                  <a:srgbClr val="008AC8"/>
                </a:solidFill>
              </a:ln>
            </c:spPr>
          </c:marker>
          <c:cat>
            <c:numRef>
              <c:f>'Chart data'!$M$5:$M$9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'Chart data'!$P$5:$P$9</c:f>
              <c:numCache>
                <c:formatCode>0.0</c:formatCode>
                <c:ptCount val="5"/>
                <c:pt idx="0">
                  <c:v>46.73</c:v>
                </c:pt>
                <c:pt idx="1">
                  <c:v>36.29</c:v>
                </c:pt>
                <c:pt idx="2">
                  <c:v>30.59</c:v>
                </c:pt>
                <c:pt idx="3">
                  <c:v>29.8</c:v>
                </c:pt>
                <c:pt idx="4">
                  <c:v>20.11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81-45DD-831C-297FDBC1A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  <c:majorUnit val="20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7.6827757125154897E-2"/>
          <c:y val="0.60902255639097747"/>
          <c:w val="0.34045565865605087"/>
          <c:h val="0.18372170583940164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7867974303723548E-2"/>
          <c:y val="0.20739348370927319"/>
          <c:w val="0.91213202569627649"/>
          <c:h val="0.60472026523000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data'!$T$4</c:f>
              <c:strCache>
                <c:ptCount val="1"/>
                <c:pt idx="0">
                  <c:v>March 2022 survey</c:v>
                </c:pt>
              </c:strCache>
            </c:strRef>
          </c:tx>
          <c:spPr>
            <a:solidFill>
              <a:srgbClr val="003466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cat>
            <c:strRef>
              <c:f>'Chart data'!$S$5:$S$6</c:f>
              <c:strCache>
                <c:ptCount val="2"/>
                <c:pt idx="0">
                  <c:v>Lowest quintile</c:v>
                </c:pt>
                <c:pt idx="1">
                  <c:v>Highest quintile</c:v>
                </c:pt>
              </c:strCache>
            </c:strRef>
          </c:cat>
          <c:val>
            <c:numRef>
              <c:f>'Chart data'!$T$5:$T$6</c:f>
              <c:numCache>
                <c:formatCode>0.0</c:formatCode>
                <c:ptCount val="2"/>
                <c:pt idx="0">
                  <c:v>43.548000000000002</c:v>
                </c:pt>
                <c:pt idx="1">
                  <c:v>54.042000000000002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5-4B77-95B8-DBD7AB87F094}"/>
            </c:ext>
          </c:extLst>
        </c:ser>
        <c:ser>
          <c:idx val="1"/>
          <c:order val="1"/>
          <c:tx>
            <c:strRef>
              <c:f>'Chart data'!$U$4</c:f>
              <c:strCache>
                <c:ptCount val="1"/>
                <c:pt idx="0">
                  <c:v>March 2026 survey</c:v>
                </c:pt>
              </c:strCache>
            </c:strRef>
          </c:tx>
          <c:spPr>
            <a:solidFill>
              <a:srgbClr val="008AC8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cat>
            <c:strRef>
              <c:f>'Chart data'!$S$5:$S$6</c:f>
              <c:strCache>
                <c:ptCount val="2"/>
                <c:pt idx="0">
                  <c:v>Lowest quintile</c:v>
                </c:pt>
                <c:pt idx="1">
                  <c:v>Highest quintile</c:v>
                </c:pt>
              </c:strCache>
            </c:strRef>
          </c:cat>
          <c:val>
            <c:numRef>
              <c:f>'Chart data'!$U$5:$U$6</c:f>
              <c:numCache>
                <c:formatCode>0.0</c:formatCode>
                <c:ptCount val="2"/>
                <c:pt idx="0">
                  <c:v>25.190999999999999</c:v>
                </c:pt>
                <c:pt idx="1">
                  <c:v>17.141999999999999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5-4B77-95B8-DBD7AB87F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792738183941841"/>
          <c:y val="0.23308270676691728"/>
          <c:w val="0.43677950742090743"/>
          <c:h val="0.1060274702504292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9905062982368837E-2"/>
          <c:y val="0.15225563909774437"/>
          <c:w val="0.94534584199279925"/>
          <c:h val="0.6473267815207310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data'!$H$4</c:f>
              <c:strCache>
                <c:ptCount val="1"/>
                <c:pt idx="0">
                  <c:v>Food and non-alcoholic beverages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diamond"/>
            <c:size val="13"/>
            <c:spPr>
              <a:solidFill>
                <a:srgbClr val="003466"/>
              </a:solidFill>
              <a:ln>
                <a:solidFill>
                  <a:srgbClr val="003466"/>
                </a:solidFill>
              </a:ln>
            </c:spPr>
          </c:marker>
          <c:cat>
            <c:numRef>
              <c:f>'Chart data'!$G$5:$G$14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'Chart data'!$H$5:$H$14</c:f>
              <c:numCache>
                <c:formatCode>General</c:formatCode>
                <c:ptCount val="10"/>
                <c:pt idx="0">
                  <c:v>14.6</c:v>
                </c:pt>
                <c:pt idx="1">
                  <c:v>15.4</c:v>
                </c:pt>
                <c:pt idx="2">
                  <c:v>15.2</c:v>
                </c:pt>
                <c:pt idx="3">
                  <c:v>13.8</c:v>
                </c:pt>
                <c:pt idx="4">
                  <c:v>13.2</c:v>
                </c:pt>
                <c:pt idx="5">
                  <c:v>12.4</c:v>
                </c:pt>
                <c:pt idx="6">
                  <c:v>11.3</c:v>
                </c:pt>
                <c:pt idx="7">
                  <c:v>10.9</c:v>
                </c:pt>
                <c:pt idx="8">
                  <c:v>9.5</c:v>
                </c:pt>
                <c:pt idx="9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data'!$I$4</c:f>
              <c:strCache>
                <c:ptCount val="1"/>
                <c:pt idx="0">
                  <c:v>Energy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diamond"/>
            <c:size val="13"/>
            <c:spPr>
              <a:solidFill>
                <a:srgbClr val="EF4130"/>
              </a:solidFill>
              <a:ln>
                <a:solidFill>
                  <a:srgbClr val="EF4130"/>
                </a:solidFill>
              </a:ln>
            </c:spPr>
          </c:marker>
          <c:cat>
            <c:numRef>
              <c:f>'Chart data'!$G$5:$G$14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'Chart data'!$I$5:$I$14</c:f>
              <c:numCache>
                <c:formatCode>General</c:formatCode>
                <c:ptCount val="10"/>
                <c:pt idx="0">
                  <c:v>7.1</c:v>
                </c:pt>
                <c:pt idx="1">
                  <c:v>7.1</c:v>
                </c:pt>
                <c:pt idx="2">
                  <c:v>6.2</c:v>
                </c:pt>
                <c:pt idx="3">
                  <c:v>5.8</c:v>
                </c:pt>
                <c:pt idx="4">
                  <c:v>5.2</c:v>
                </c:pt>
                <c:pt idx="5">
                  <c:v>4.5</c:v>
                </c:pt>
                <c:pt idx="6">
                  <c:v>4.3</c:v>
                </c:pt>
                <c:pt idx="7">
                  <c:v>4.0999999999999996</c:v>
                </c:pt>
                <c:pt idx="8">
                  <c:v>3.4</c:v>
                </c:pt>
                <c:pt idx="9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data'!$J$4</c:f>
              <c:strCache>
                <c:ptCount val="1"/>
                <c:pt idx="0">
                  <c:v>Motor fuel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diamond"/>
            <c:size val="13"/>
            <c:spPr>
              <a:solidFill>
                <a:srgbClr val="008AC8"/>
              </a:solidFill>
              <a:ln>
                <a:solidFill>
                  <a:srgbClr val="008AC8"/>
                </a:solidFill>
              </a:ln>
            </c:spPr>
          </c:marker>
          <c:cat>
            <c:numRef>
              <c:f>'Chart data'!$G$5:$G$14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'Chart data'!$J$5:$J$14</c:f>
              <c:numCache>
                <c:formatCode>General</c:formatCode>
                <c:ptCount val="10"/>
                <c:pt idx="0">
                  <c:v>2.4</c:v>
                </c:pt>
                <c:pt idx="1">
                  <c:v>2.7</c:v>
                </c:pt>
                <c:pt idx="2">
                  <c:v>2.8</c:v>
                </c:pt>
                <c:pt idx="3">
                  <c:v>2.9</c:v>
                </c:pt>
                <c:pt idx="4">
                  <c:v>3.4</c:v>
                </c:pt>
                <c:pt idx="5">
                  <c:v>2.9</c:v>
                </c:pt>
                <c:pt idx="6">
                  <c:v>3.3</c:v>
                </c:pt>
                <c:pt idx="7">
                  <c:v>3.1</c:v>
                </c:pt>
                <c:pt idx="8">
                  <c:v>3.2</c:v>
                </c:pt>
                <c:pt idx="9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  <c:max val="16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7761867127203895"/>
          <c:y val="8.2706766917293228E-2"/>
          <c:w val="0.65839338855877216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901911424640693E-2"/>
          <c:y val="0.15225563909774437"/>
          <c:w val="0.96098088575359308"/>
          <c:h val="0.66487064116985384"/>
        </c:manualLayout>
      </c:layout>
      <c:barChart>
        <c:barDir val="col"/>
        <c:grouping val="clustered"/>
        <c:varyColors val="0"/>
        <c:ser>
          <c:idx val="15"/>
          <c:order val="15"/>
          <c:tx>
            <c:strRef>
              <c:f>'Chart data'!$X$18</c:f>
              <c:strCache>
                <c:ptCount val="1"/>
                <c:pt idx="0">
                  <c:v>2025</c:v>
                </c:pt>
              </c:strCache>
              <c:extLst xmlns:c15="http://schemas.microsoft.com/office/drawing/2012/chart"/>
            </c:strRef>
          </c:tx>
          <c:invertIfNegative val="0"/>
          <c:cat>
            <c:strRef>
              <c:f>'Chart data'!$Y$2:$AI$2</c:f>
              <c:strCache>
                <c:ptCount val="11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81-90</c:v>
                </c:pt>
                <c:pt idx="9">
                  <c:v>91-100</c:v>
                </c:pt>
                <c:pt idx="10">
                  <c:v>CPI</c:v>
                </c:pt>
              </c:strCache>
              <c:extLst xmlns:c15="http://schemas.microsoft.com/office/drawing/2012/chart"/>
            </c:strRef>
          </c:cat>
          <c:val>
            <c:numRef>
              <c:f>'Chart data'!$Y$18:$AI$18</c:f>
              <c:numCache>
                <c:formatCode>0.0</c:formatCode>
                <c:ptCount val="11"/>
                <c:pt idx="0">
                  <c:v>3.3462260035198144</c:v>
                </c:pt>
                <c:pt idx="1">
                  <c:v>3.3729235880823882</c:v>
                </c:pt>
                <c:pt idx="2">
                  <c:v>3.3672607871622073</c:v>
                </c:pt>
                <c:pt idx="3">
                  <c:v>3.3246415064678958</c:v>
                </c:pt>
                <c:pt idx="4">
                  <c:v>3.3406240378983654</c:v>
                </c:pt>
                <c:pt idx="5">
                  <c:v>3.3603711275440817</c:v>
                </c:pt>
                <c:pt idx="6">
                  <c:v>3.3519709011503362</c:v>
                </c:pt>
                <c:pt idx="7">
                  <c:v>3.3652102613086265</c:v>
                </c:pt>
                <c:pt idx="8">
                  <c:v>3.3656222579730777</c:v>
                </c:pt>
                <c:pt idx="9">
                  <c:v>3.4198014365584894</c:v>
                </c:pt>
                <c:pt idx="10">
                  <c:v>3.3680391877081828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D-11B9-40AC-A4BC-FEF4C1D740E3}"/>
            </c:ext>
          </c:extLst>
        </c:ser>
        <c:ser>
          <c:idx val="16"/>
          <c:order val="16"/>
          <c:tx>
            <c:strRef>
              <c:f>'Chart data'!$X$19</c:f>
              <c:strCache>
                <c:ptCount val="1"/>
                <c:pt idx="0">
                  <c:v>2026</c:v>
                </c:pt>
              </c:strCache>
              <c:extLst xmlns:c15="http://schemas.microsoft.com/office/drawing/2012/chart"/>
            </c:strRef>
          </c:tx>
          <c:spPr>
            <a:solidFill>
              <a:srgbClr val="003466"/>
            </a:solidFill>
          </c:spPr>
          <c:invertIfNegative val="0"/>
          <c:dPt>
            <c:idx val="10"/>
            <c:invertIfNegative val="0"/>
            <c:bubble3D val="0"/>
            <c:spPr>
              <a:solidFill>
                <a:srgbClr val="008AC8"/>
              </a:solidFill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F-11B9-40AC-A4BC-FEF4C1D740E3}"/>
              </c:ext>
            </c:extLst>
          </c:dPt>
          <c:cat>
            <c:strRef>
              <c:f>'Chart data'!$Y$2:$AI$2</c:f>
              <c:strCache>
                <c:ptCount val="11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81-90</c:v>
                </c:pt>
                <c:pt idx="9">
                  <c:v>91-100</c:v>
                </c:pt>
                <c:pt idx="10">
                  <c:v>CPI</c:v>
                </c:pt>
              </c:strCache>
              <c:extLst xmlns:c15="http://schemas.microsoft.com/office/drawing/2012/chart"/>
            </c:strRef>
          </c:cat>
          <c:val>
            <c:numRef>
              <c:f>'Chart data'!$Y$19:$AI$19</c:f>
              <c:numCache>
                <c:formatCode>0.0</c:formatCode>
                <c:ptCount val="11"/>
                <c:pt idx="0">
                  <c:v>3.9768501004912915</c:v>
                </c:pt>
                <c:pt idx="1">
                  <c:v>3.9689382349247238</c:v>
                </c:pt>
                <c:pt idx="2">
                  <c:v>3.9652022776580642</c:v>
                </c:pt>
                <c:pt idx="3">
                  <c:v>4.0031997850144441</c:v>
                </c:pt>
                <c:pt idx="4">
                  <c:v>3.9831629472494523</c:v>
                </c:pt>
                <c:pt idx="5">
                  <c:v>3.9655499081055146</c:v>
                </c:pt>
                <c:pt idx="6">
                  <c:v>3.9684312127184151</c:v>
                </c:pt>
                <c:pt idx="7">
                  <c:v>3.9615185058832214</c:v>
                </c:pt>
                <c:pt idx="8">
                  <c:v>3.9542459240712535</c:v>
                </c:pt>
                <c:pt idx="9">
                  <c:v>3.8879027480796857</c:v>
                </c:pt>
                <c:pt idx="10">
                  <c:v>3.9541305819969619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E-11B9-40AC-A4BC-FEF4C1D74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data'!$X$3</c15:sqref>
                        </c15:formulaRef>
                      </c:ext>
                    </c:extLst>
                    <c:strCache>
                      <c:ptCount val="1"/>
                      <c:pt idx="0">
                        <c:v>2010</c:v>
                      </c:pt>
                    </c:strCache>
                  </c:strRef>
                </c:tx>
                <c:spPr>
                  <a:ln w="25400">
                    <a:solidFill>
                      <a:srgbClr val="003466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data'!$Y$3:$AI$3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2.9813551687537077</c:v>
                      </c:pt>
                      <c:pt idx="1">
                        <c:v>3.0382523078446022</c:v>
                      </c:pt>
                      <c:pt idx="2">
                        <c:v>3.0878782160421947</c:v>
                      </c:pt>
                      <c:pt idx="3">
                        <c:v>3.2147625547935821</c:v>
                      </c:pt>
                      <c:pt idx="4">
                        <c:v>3.3017874245369505</c:v>
                      </c:pt>
                      <c:pt idx="5">
                        <c:v>3.3501306322801794</c:v>
                      </c:pt>
                      <c:pt idx="6">
                        <c:v>3.3844233700303761</c:v>
                      </c:pt>
                      <c:pt idx="7">
                        <c:v>3.4118183307618732</c:v>
                      </c:pt>
                      <c:pt idx="8">
                        <c:v>3.4279327086572442</c:v>
                      </c:pt>
                      <c:pt idx="9">
                        <c:v>3.2874136287892375</c:v>
                      </c:pt>
                      <c:pt idx="10">
                        <c:v>3.3015651169506111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60-458C-B8F1-D78C817EEA4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data'!$X$4</c15:sqref>
                        </c15:formulaRef>
                      </c:ext>
                    </c:extLst>
                    <c:strCache>
                      <c:ptCount val="1"/>
                      <c:pt idx="0">
                        <c:v>2011</c:v>
                      </c:pt>
                    </c:strCache>
                  </c:strRef>
                </c:tx>
                <c:spPr>
                  <a:ln w="25400">
                    <a:solidFill>
                      <a:srgbClr val="EF4130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data'!$Y$4:$AI$4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4.5767998875924309</c:v>
                      </c:pt>
                      <c:pt idx="1">
                        <c:v>4.6167533663955096</c:v>
                      </c:pt>
                      <c:pt idx="2">
                        <c:v>4.5269989539665323</c:v>
                      </c:pt>
                      <c:pt idx="3">
                        <c:v>4.5833306448812339</c:v>
                      </c:pt>
                      <c:pt idx="4">
                        <c:v>4.5721223279457268</c:v>
                      </c:pt>
                      <c:pt idx="5">
                        <c:v>4.5216133993517982</c:v>
                      </c:pt>
                      <c:pt idx="6">
                        <c:v>4.5188635016509382</c:v>
                      </c:pt>
                      <c:pt idx="7">
                        <c:v>4.4954366226088949</c:v>
                      </c:pt>
                      <c:pt idx="8">
                        <c:v>4.4394707094205454</c:v>
                      </c:pt>
                      <c:pt idx="9">
                        <c:v>4.2480547237944366</c:v>
                      </c:pt>
                      <c:pt idx="10">
                        <c:v>4.4632912584156248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D60-458C-B8F1-D78C817EEA4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data'!$X$5</c15:sqref>
                        </c15:formulaRef>
                      </c:ext>
                    </c:extLst>
                    <c:strCache>
                      <c:ptCount val="1"/>
                      <c:pt idx="0">
                        <c:v>2012</c:v>
                      </c:pt>
                    </c:strCache>
                  </c:strRef>
                </c:tx>
                <c:spPr>
                  <a:ln w="25400">
                    <a:solidFill>
                      <a:srgbClr val="008AC8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data'!$Y$5:$AI$5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3.0388989666057853</c:v>
                      </c:pt>
                      <c:pt idx="1">
                        <c:v>3.0740111911218504</c:v>
                      </c:pt>
                      <c:pt idx="2">
                        <c:v>2.955029300470402</c:v>
                      </c:pt>
                      <c:pt idx="3">
                        <c:v>2.896558758982315</c:v>
                      </c:pt>
                      <c:pt idx="4">
                        <c:v>2.8655040662532105</c:v>
                      </c:pt>
                      <c:pt idx="5">
                        <c:v>2.8160429505633688</c:v>
                      </c:pt>
                      <c:pt idx="6">
                        <c:v>2.7913757210335843</c:v>
                      </c:pt>
                      <c:pt idx="7">
                        <c:v>2.7676168463328876</c:v>
                      </c:pt>
                      <c:pt idx="8">
                        <c:v>2.7297946077252222</c:v>
                      </c:pt>
                      <c:pt idx="9">
                        <c:v>2.6641959559562833</c:v>
                      </c:pt>
                      <c:pt idx="10">
                        <c:v>2.8008241905271625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D60-458C-B8F1-D78C817EEA4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data'!$X$6</c15:sqref>
                        </c15:formulaRef>
                      </c:ext>
                    </c:extLst>
                    <c:strCache>
                      <c:ptCount val="1"/>
                      <c:pt idx="0">
                        <c:v>2013</c:v>
                      </c:pt>
                    </c:strCache>
                  </c:strRef>
                </c:tx>
                <c:spPr>
                  <a:ln w="25400">
                    <a:solidFill>
                      <a:srgbClr val="E7A800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data'!$Y$6:$AI$6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2.9739702444411265</c:v>
                      </c:pt>
                      <c:pt idx="1">
                        <c:v>2.9389112260777672</c:v>
                      </c:pt>
                      <c:pt idx="2">
                        <c:v>2.7226475871716005</c:v>
                      </c:pt>
                      <c:pt idx="3">
                        <c:v>2.6749426418134714</c:v>
                      </c:pt>
                      <c:pt idx="4">
                        <c:v>2.6199840392670426</c:v>
                      </c:pt>
                      <c:pt idx="5">
                        <c:v>2.5658926109162428</c:v>
                      </c:pt>
                      <c:pt idx="6">
                        <c:v>2.5404892235757037</c:v>
                      </c:pt>
                      <c:pt idx="7">
                        <c:v>2.5016419125368561</c:v>
                      </c:pt>
                      <c:pt idx="8">
                        <c:v>2.4796249203034026</c:v>
                      </c:pt>
                      <c:pt idx="9">
                        <c:v>2.4394133697095866</c:v>
                      </c:pt>
                      <c:pt idx="10">
                        <c:v>2.5683226874334775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D60-458C-B8F1-D78C817EEA4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data'!$X$7</c15:sqref>
                        </c15:formulaRef>
                      </c:ext>
                    </c:extLst>
                    <c:strCache>
                      <c:ptCount val="1"/>
                      <c:pt idx="0">
                        <c:v>2014</c:v>
                      </c:pt>
                    </c:strCache>
                  </c:strRef>
                </c:tx>
                <c:spPr>
                  <a:ln w="25400">
                    <a:solidFill>
                      <a:srgbClr val="7D8992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data'!$Y$7:$AI$7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1.6526725605603421</c:v>
                      </c:pt>
                      <c:pt idx="1">
                        <c:v>1.6443428442187491</c:v>
                      </c:pt>
                      <c:pt idx="2">
                        <c:v>1.5139332286987273</c:v>
                      </c:pt>
                      <c:pt idx="3">
                        <c:v>1.4743028151373849</c:v>
                      </c:pt>
                      <c:pt idx="4">
                        <c:v>1.422992424757008</c:v>
                      </c:pt>
                      <c:pt idx="5">
                        <c:v>1.4377905068044372</c:v>
                      </c:pt>
                      <c:pt idx="6">
                        <c:v>1.4259670369888289</c:v>
                      </c:pt>
                      <c:pt idx="7">
                        <c:v>1.4250675840661753</c:v>
                      </c:pt>
                      <c:pt idx="8">
                        <c:v>1.428527768762633</c:v>
                      </c:pt>
                      <c:pt idx="9">
                        <c:v>1.5084225479038649</c:v>
                      </c:pt>
                      <c:pt idx="10">
                        <c:v>1.4719567370597098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D60-458C-B8F1-D78C817EEA4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data'!$X$8</c15:sqref>
                        </c15:formulaRef>
                      </c:ext>
                    </c:extLst>
                    <c:strCache>
                      <c:ptCount val="1"/>
                      <c:pt idx="0">
                        <c:v>2015</c:v>
                      </c:pt>
                    </c:strCache>
                  </c:strRef>
                </c:tx>
                <c:spPr>
                  <a:ln w="25400">
                    <a:solidFill>
                      <a:srgbClr val="8BA612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data'!$Y$8:$AI$8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-0.1164760129309439</c:v>
                      </c:pt>
                      <c:pt idx="1">
                        <c:v>-5.6553226846267624E-2</c:v>
                      </c:pt>
                      <c:pt idx="2">
                        <c:v>-0.11385870989836233</c:v>
                      </c:pt>
                      <c:pt idx="3">
                        <c:v>-4.6916613133174412E-2</c:v>
                      </c:pt>
                      <c:pt idx="4">
                        <c:v>-2.7784788963591822E-2</c:v>
                      </c:pt>
                      <c:pt idx="5">
                        <c:v>4.6917797073686707E-2</c:v>
                      </c:pt>
                      <c:pt idx="6">
                        <c:v>1.5410862761244815E-2</c:v>
                      </c:pt>
                      <c:pt idx="7">
                        <c:v>-1.3084908814597895E-2</c:v>
                      </c:pt>
                      <c:pt idx="8">
                        <c:v>8.7556264179622367E-2</c:v>
                      </c:pt>
                      <c:pt idx="9">
                        <c:v>0.24057354478870252</c:v>
                      </c:pt>
                      <c:pt idx="10">
                        <c:v>4.999083117935843E-2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D60-458C-B8F1-D78C817EEA4B}"/>
                  </c:ext>
                </c:extLst>
              </c15:ser>
            </c15:filteredBarSeries>
            <c15:filteredBarSeries>
              <c15:ser>
                <c:idx val="8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data'!$X$9</c15:sqref>
                        </c15:formulaRef>
                      </c:ext>
                    </c:extLst>
                    <c:strCache>
                      <c:ptCount val="1"/>
                      <c:pt idx="0">
                        <c:v>2016</c:v>
                      </c:pt>
                    </c:strCache>
                  </c:strRef>
                </c:tx>
                <c:spPr>
                  <a:ln w="25400">
                    <a:solidFill>
                      <a:srgbClr val="B3107A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data'!$Y$9:$AI$9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0.41385278884393806</c:v>
                      </c:pt>
                      <c:pt idx="1">
                        <c:v>0.43541138882523533</c:v>
                      </c:pt>
                      <c:pt idx="2">
                        <c:v>0.50533475458249821</c:v>
                      </c:pt>
                      <c:pt idx="3">
                        <c:v>0.56193472989320981</c:v>
                      </c:pt>
                      <c:pt idx="4">
                        <c:v>0.59785595735879493</c:v>
                      </c:pt>
                      <c:pt idx="5">
                        <c:v>0.61336119823847124</c:v>
                      </c:pt>
                      <c:pt idx="6">
                        <c:v>0.64888621071603758</c:v>
                      </c:pt>
                      <c:pt idx="7">
                        <c:v>0.6542176089265217</c:v>
                      </c:pt>
                      <c:pt idx="8">
                        <c:v>0.69453165912638504</c:v>
                      </c:pt>
                      <c:pt idx="9">
                        <c:v>0.78531561169958852</c:v>
                      </c:pt>
                      <c:pt idx="10">
                        <c:v>0.64164674332030103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D60-458C-B8F1-D78C817EEA4B}"/>
                  </c:ext>
                </c:extLst>
              </c15:ser>
            </c15:filteredBarSeries>
            <c15:filteredBarSeries>
              <c15:ser>
                <c:idx val="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data'!$X$10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25400">
                    <a:solidFill>
                      <a:srgbClr val="B38D2F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data'!$Y$10:$AI$10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2.6775344786656552</c:v>
                      </c:pt>
                      <c:pt idx="1">
                        <c:v>2.7010581657553212</c:v>
                      </c:pt>
                      <c:pt idx="2">
                        <c:v>2.718628772269982</c:v>
                      </c:pt>
                      <c:pt idx="3">
                        <c:v>2.7228943478079248</c:v>
                      </c:pt>
                      <c:pt idx="4">
                        <c:v>2.7084349217791015</c:v>
                      </c:pt>
                      <c:pt idx="5">
                        <c:v>2.7026215411311227</c:v>
                      </c:pt>
                      <c:pt idx="6">
                        <c:v>2.7064210139254641</c:v>
                      </c:pt>
                      <c:pt idx="7">
                        <c:v>2.7087023636409802</c:v>
                      </c:pt>
                      <c:pt idx="8">
                        <c:v>2.7133339070025242</c:v>
                      </c:pt>
                      <c:pt idx="9">
                        <c:v>2.627297744575352</c:v>
                      </c:pt>
                      <c:pt idx="10">
                        <c:v>2.6909090909090772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D60-458C-B8F1-D78C817EEA4B}"/>
                  </c:ext>
                </c:extLst>
              </c15:ser>
            </c15:filteredBarSeries>
            <c15:filteredBarSeries>
              <c15:ser>
                <c:idx val="7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data'!$X$11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ln w="25400">
                    <a:solidFill>
                      <a:srgbClr val="F9B299"/>
                    </a:solidFill>
                  </a:ln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data'!$Y$11:$AI$11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2.6114710777141115</c:v>
                      </c:pt>
                      <c:pt idx="1">
                        <c:v>2.6002523282786294</c:v>
                      </c:pt>
                      <c:pt idx="2">
                        <c:v>2.5686729507258921</c:v>
                      </c:pt>
                      <c:pt idx="3">
                        <c:v>2.5423536629194166</c:v>
                      </c:pt>
                      <c:pt idx="4">
                        <c:v>2.4970951631654081</c:v>
                      </c:pt>
                      <c:pt idx="5">
                        <c:v>2.505508417773572</c:v>
                      </c:pt>
                      <c:pt idx="6">
                        <c:v>2.4830722096513602</c:v>
                      </c:pt>
                      <c:pt idx="7">
                        <c:v>2.4700968869075579</c:v>
                      </c:pt>
                      <c:pt idx="8">
                        <c:v>2.4425743670469346</c:v>
                      </c:pt>
                      <c:pt idx="9">
                        <c:v>2.3658153271531202</c:v>
                      </c:pt>
                      <c:pt idx="10">
                        <c:v>2.4751737642997762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D60-458C-B8F1-D78C817EEA4B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data'!$X$12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ln w="25400">
                    <a:solidFill>
                      <a:srgbClr val="9BCEEC"/>
                    </a:solidFill>
                  </a:ln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data'!$Y$12:$AI$12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1.8760809012194013</c:v>
                      </c:pt>
                      <c:pt idx="1">
                        <c:v>1.8623672765929689</c:v>
                      </c:pt>
                      <c:pt idx="2">
                        <c:v>1.8277128694335953</c:v>
                      </c:pt>
                      <c:pt idx="3">
                        <c:v>1.8067401321555376</c:v>
                      </c:pt>
                      <c:pt idx="4">
                        <c:v>1.7845731635260265</c:v>
                      </c:pt>
                      <c:pt idx="5">
                        <c:v>1.7726978141877181</c:v>
                      </c:pt>
                      <c:pt idx="6">
                        <c:v>1.7729592193614474</c:v>
                      </c:pt>
                      <c:pt idx="7">
                        <c:v>1.7491977405922787</c:v>
                      </c:pt>
                      <c:pt idx="8">
                        <c:v>1.753516547712386</c:v>
                      </c:pt>
                      <c:pt idx="9">
                        <c:v>1.7504738790403485</c:v>
                      </c:pt>
                      <c:pt idx="10">
                        <c:v>1.7780954278220351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D60-458C-B8F1-D78C817EEA4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data'!$X$13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25400">
                    <a:solidFill>
                      <a:srgbClr val="FFDF00"/>
                    </a:solidFill>
                  </a:ln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data'!$Y$13:$AI$13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0.73536295976841526</c:v>
                      </c:pt>
                      <c:pt idx="1">
                        <c:v>0.71637155850736711</c:v>
                      </c:pt>
                      <c:pt idx="2">
                        <c:v>0.7821945884118664</c:v>
                      </c:pt>
                      <c:pt idx="3">
                        <c:v>0.76246951422169751</c:v>
                      </c:pt>
                      <c:pt idx="4">
                        <c:v>0.84178484993002733</c:v>
                      </c:pt>
                      <c:pt idx="5">
                        <c:v>0.83976224929960264</c:v>
                      </c:pt>
                      <c:pt idx="6">
                        <c:v>0.85248868686451651</c:v>
                      </c:pt>
                      <c:pt idx="7">
                        <c:v>0.91937171553142516</c:v>
                      </c:pt>
                      <c:pt idx="8">
                        <c:v>0.95013338986387197</c:v>
                      </c:pt>
                      <c:pt idx="9">
                        <c:v>1.0202916254264727</c:v>
                      </c:pt>
                      <c:pt idx="10">
                        <c:v>0.88126159554733352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D60-458C-B8F1-D78C817EEA4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data'!$X$14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data'!$Y$14:$AI$14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2.5349601101755992</c:v>
                      </c:pt>
                      <c:pt idx="1">
                        <c:v>2.5194748073075424</c:v>
                      </c:pt>
                      <c:pt idx="2">
                        <c:v>2.5676655702531193</c:v>
                      </c:pt>
                      <c:pt idx="3">
                        <c:v>2.5863432910843365</c:v>
                      </c:pt>
                      <c:pt idx="4">
                        <c:v>2.6125217208022633</c:v>
                      </c:pt>
                      <c:pt idx="5">
                        <c:v>2.6292925998415262</c:v>
                      </c:pt>
                      <c:pt idx="6">
                        <c:v>2.60699240083897</c:v>
                      </c:pt>
                      <c:pt idx="7">
                        <c:v>2.6108351925279383</c:v>
                      </c:pt>
                      <c:pt idx="8">
                        <c:v>2.5894739473575568</c:v>
                      </c:pt>
                      <c:pt idx="9">
                        <c:v>2.5349943765535565</c:v>
                      </c:pt>
                      <c:pt idx="10">
                        <c:v>2.5823448275861915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11B9-40AC-A4BC-FEF4C1D740E3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data'!$X$15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data'!$Y$15:$AI$15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11.513325754598691</c:v>
                      </c:pt>
                      <c:pt idx="1">
                        <c:v>10.653360446705019</c:v>
                      </c:pt>
                      <c:pt idx="2">
                        <c:v>9.9287379687885249</c:v>
                      </c:pt>
                      <c:pt idx="3">
                        <c:v>9.6549860207036495</c:v>
                      </c:pt>
                      <c:pt idx="4">
                        <c:v>9.4473331742236155</c:v>
                      </c:pt>
                      <c:pt idx="5">
                        <c:v>8.973874486804112</c:v>
                      </c:pt>
                      <c:pt idx="6">
                        <c:v>8.8500634199276451</c:v>
                      </c:pt>
                      <c:pt idx="7">
                        <c:v>8.9075284087035467</c:v>
                      </c:pt>
                      <c:pt idx="8">
                        <c:v>8.3375223494099657</c:v>
                      </c:pt>
                      <c:pt idx="9">
                        <c:v>7.9271242864921598</c:v>
                      </c:pt>
                      <c:pt idx="10">
                        <c:v>9.0535621285014134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11B9-40AC-A4BC-FEF4C1D740E3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data'!$X$16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data'!$Y$16:$AI$16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7.9134942030918642</c:v>
                      </c:pt>
                      <c:pt idx="1">
                        <c:v>7.9332342771569975</c:v>
                      </c:pt>
                      <c:pt idx="2">
                        <c:v>7.6490148788522783</c:v>
                      </c:pt>
                      <c:pt idx="3">
                        <c:v>7.4158542897188484</c:v>
                      </c:pt>
                      <c:pt idx="4">
                        <c:v>7.3449449171999914</c:v>
                      </c:pt>
                      <c:pt idx="5">
                        <c:v>7.2798218773848067</c:v>
                      </c:pt>
                      <c:pt idx="6">
                        <c:v>7.1971090844735519</c:v>
                      </c:pt>
                      <c:pt idx="7">
                        <c:v>7.1997000895087648</c:v>
                      </c:pt>
                      <c:pt idx="8">
                        <c:v>7.1131719138182614</c:v>
                      </c:pt>
                      <c:pt idx="9">
                        <c:v>7.0656122365247764</c:v>
                      </c:pt>
                      <c:pt idx="10">
                        <c:v>7.3019267900340745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11B9-40AC-A4BC-FEF4C1D740E3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data'!$X$17</c15:sqref>
                        </c15:formulaRef>
                      </c:ext>
                    </c:extLst>
                    <c:strCache>
                      <c:ptCount val="1"/>
                      <c:pt idx="0">
                        <c:v>2024</c:v>
                      </c:pt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data'!$Y$2:$AI$2</c15:sqref>
                        </c15:formulaRef>
                      </c:ext>
                    </c:extLst>
                    <c:strCache>
                      <c:ptCount val="11"/>
                      <c:pt idx="0">
                        <c:v>0-10</c:v>
                      </c:pt>
                      <c:pt idx="1">
                        <c:v>11-20</c:v>
                      </c:pt>
                      <c:pt idx="2">
                        <c:v>21-30</c:v>
                      </c:pt>
                      <c:pt idx="3">
                        <c:v>31-40</c:v>
                      </c:pt>
                      <c:pt idx="4">
                        <c:v>41-50</c:v>
                      </c:pt>
                      <c:pt idx="5">
                        <c:v>51-60</c:v>
                      </c:pt>
                      <c:pt idx="6">
                        <c:v>61-70</c:v>
                      </c:pt>
                      <c:pt idx="7">
                        <c:v>71-80</c:v>
                      </c:pt>
                      <c:pt idx="8">
                        <c:v>81-90</c:v>
                      </c:pt>
                      <c:pt idx="9">
                        <c:v>91-100</c:v>
                      </c:pt>
                      <c:pt idx="10">
                        <c:v>CPI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data'!$Y$17:$AI$17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1.6065476684368196</c:v>
                      </c:pt>
                      <c:pt idx="1">
                        <c:v>1.7955064874263904</c:v>
                      </c:pt>
                      <c:pt idx="2">
                        <c:v>2.1140165882568729</c:v>
                      </c:pt>
                      <c:pt idx="3">
                        <c:v>2.2416324600329718</c:v>
                      </c:pt>
                      <c:pt idx="4">
                        <c:v>2.3806101285846815</c:v>
                      </c:pt>
                      <c:pt idx="5">
                        <c:v>2.5627344784427741</c:v>
                      </c:pt>
                      <c:pt idx="6">
                        <c:v>2.6121776417821208</c:v>
                      </c:pt>
                      <c:pt idx="7">
                        <c:v>2.6984425534192891</c:v>
                      </c:pt>
                      <c:pt idx="8">
                        <c:v>2.7805708366937854</c:v>
                      </c:pt>
                      <c:pt idx="9">
                        <c:v>2.9922289999988694</c:v>
                      </c:pt>
                      <c:pt idx="10">
                        <c:v>2.5406441006973202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11B9-40AC-A4BC-FEF4C1D740E3}"/>
                  </c:ext>
                </c:extLst>
              </c15:ser>
            </c15:filteredBarSeries>
          </c:ext>
        </c:extLst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UK: Goods expenditure</a:t>
            </a:r>
          </a:p>
        </c:rich>
      </c:tx>
      <c:layout>
        <c:manualLayout>
          <c:xMode val="edge"/>
          <c:yMode val="edge"/>
          <c:x val="1.1368858208275053E-2"/>
          <c:y val="2.2471949875165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426509186351705E-2"/>
          <c:y val="0.13891410347831576"/>
          <c:w val="0.92142957130358705"/>
          <c:h val="0.75253688943794728"/>
        </c:manualLayout>
      </c:layout>
      <c:lineChart>
        <c:grouping val="standard"/>
        <c:varyColors val="0"/>
        <c:ser>
          <c:idx val="1"/>
          <c:order val="1"/>
          <c:tx>
            <c:strRef>
              <c:f>'Spending analysis &gt;&gt;'!$I$3</c:f>
              <c:strCache>
                <c:ptCount val="1"/>
                <c:pt idx="0">
                  <c:v>Durables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&gt;&gt;'!$I$4:$I$119</c15:sqref>
                  </c15:fullRef>
                </c:ext>
              </c:extLst>
              <c:f>'Spending analysis &gt;&gt;'!$I$102:$I$119</c:f>
              <c:numCache>
                <c:formatCode>0.0</c:formatCode>
                <c:ptCount val="18"/>
                <c:pt idx="0">
                  <c:v>95.332465531440107</c:v>
                </c:pt>
                <c:pt idx="1">
                  <c:v>99.641367584942756</c:v>
                </c:pt>
                <c:pt idx="2">
                  <c:v>100</c:v>
                </c:pt>
                <c:pt idx="3">
                  <c:v>97.518794995085415</c:v>
                </c:pt>
                <c:pt idx="4">
                  <c:v>98.228090215976408</c:v>
                </c:pt>
                <c:pt idx="5">
                  <c:v>99.346492043673464</c:v>
                </c:pt>
                <c:pt idx="6">
                  <c:v>96.063013043593756</c:v>
                </c:pt>
                <c:pt idx="7">
                  <c:v>96.867943575166692</c:v>
                </c:pt>
                <c:pt idx="8">
                  <c:v>97.022022686820918</c:v>
                </c:pt>
                <c:pt idx="9">
                  <c:v>96.094891480487746</c:v>
                </c:pt>
                <c:pt idx="10">
                  <c:v>96.674016417395009</c:v>
                </c:pt>
                <c:pt idx="11">
                  <c:v>97.019366150413092</c:v>
                </c:pt>
                <c:pt idx="12">
                  <c:v>97.986345402863748</c:v>
                </c:pt>
                <c:pt idx="13">
                  <c:v>99.075525330074655</c:v>
                </c:pt>
                <c:pt idx="14">
                  <c:v>100.01328268203915</c:v>
                </c:pt>
                <c:pt idx="15">
                  <c:v>100.91384852429404</c:v>
                </c:pt>
                <c:pt idx="16">
                  <c:v>101.53813458013443</c:v>
                </c:pt>
                <c:pt idx="17">
                  <c:v>101.30170283983742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E6-4D92-B0FF-348949815964}"/>
            </c:ext>
          </c:extLst>
        </c:ser>
        <c:ser>
          <c:idx val="2"/>
          <c:order val="2"/>
          <c:tx>
            <c:strRef>
              <c:f>'Spending analysis &gt;&gt;'!$J$3</c:f>
              <c:strCache>
                <c:ptCount val="1"/>
                <c:pt idx="0">
                  <c:v>Semi-durables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&gt;&gt;'!$J$4:$J$119</c15:sqref>
                  </c15:fullRef>
                </c:ext>
              </c:extLst>
              <c:f>'Spending analysis &gt;&gt;'!$J$102:$J$119</c:f>
              <c:numCache>
                <c:formatCode>0.0</c:formatCode>
                <c:ptCount val="18"/>
                <c:pt idx="0">
                  <c:v>91.545856859453693</c:v>
                </c:pt>
                <c:pt idx="1">
                  <c:v>95.139630703494589</c:v>
                </c:pt>
                <c:pt idx="2">
                  <c:v>100</c:v>
                </c:pt>
                <c:pt idx="3">
                  <c:v>99.704969733964091</c:v>
                </c:pt>
                <c:pt idx="4">
                  <c:v>99.453176662088623</c:v>
                </c:pt>
                <c:pt idx="5">
                  <c:v>99.860114960069183</c:v>
                </c:pt>
                <c:pt idx="6">
                  <c:v>96.436746528307651</c:v>
                </c:pt>
                <c:pt idx="7">
                  <c:v>94.725062312426871</c:v>
                </c:pt>
                <c:pt idx="8">
                  <c:v>93.206673788086874</c:v>
                </c:pt>
                <c:pt idx="9">
                  <c:v>91.283890330128685</c:v>
                </c:pt>
                <c:pt idx="10">
                  <c:v>92.507248588432773</c:v>
                </c:pt>
                <c:pt idx="11">
                  <c:v>92.51996541024468</c:v>
                </c:pt>
                <c:pt idx="12">
                  <c:v>93.410142937077168</c:v>
                </c:pt>
                <c:pt idx="13">
                  <c:v>92.756498295945875</c:v>
                </c:pt>
                <c:pt idx="14">
                  <c:v>93.763670583447791</c:v>
                </c:pt>
                <c:pt idx="15">
                  <c:v>94.068874306933211</c:v>
                </c:pt>
                <c:pt idx="16">
                  <c:v>95.371076860471021</c:v>
                </c:pt>
                <c:pt idx="17">
                  <c:v>95.996744493616163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E6-4D92-B0FF-348949815964}"/>
            </c:ext>
          </c:extLst>
        </c:ser>
        <c:ser>
          <c:idx val="3"/>
          <c:order val="3"/>
          <c:tx>
            <c:strRef>
              <c:f>'Spending analysis &gt;&gt;'!$K$3</c:f>
              <c:strCache>
                <c:ptCount val="1"/>
                <c:pt idx="0">
                  <c:v>Non-durables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&gt;&gt;'!$K$4:$K$119</c15:sqref>
                  </c15:fullRef>
                </c:ext>
              </c:extLst>
              <c:f>'Spending analysis &gt;&gt;'!$K$102:$K$119</c:f>
              <c:numCache>
                <c:formatCode>0.0</c:formatCode>
                <c:ptCount val="18"/>
                <c:pt idx="0">
                  <c:v>99.93217393147448</c:v>
                </c:pt>
                <c:pt idx="1">
                  <c:v>100.85206498585191</c:v>
                </c:pt>
                <c:pt idx="2">
                  <c:v>100</c:v>
                </c:pt>
                <c:pt idx="3">
                  <c:v>100.04874998675272</c:v>
                </c:pt>
                <c:pt idx="4">
                  <c:v>99.264511069426348</c:v>
                </c:pt>
                <c:pt idx="5">
                  <c:v>99.800760923706264</c:v>
                </c:pt>
                <c:pt idx="6">
                  <c:v>97.835924501107471</c:v>
                </c:pt>
                <c:pt idx="7">
                  <c:v>96.428533579202835</c:v>
                </c:pt>
                <c:pt idx="8">
                  <c:v>93.53956697294376</c:v>
                </c:pt>
                <c:pt idx="9">
                  <c:v>93.799213641518037</c:v>
                </c:pt>
                <c:pt idx="10">
                  <c:v>94.268697209593142</c:v>
                </c:pt>
                <c:pt idx="11">
                  <c:v>94.080055956506541</c:v>
                </c:pt>
                <c:pt idx="12">
                  <c:v>94.60676776990006</c:v>
                </c:pt>
                <c:pt idx="13">
                  <c:v>94.427664557699856</c:v>
                </c:pt>
                <c:pt idx="14">
                  <c:v>93.690056062484757</c:v>
                </c:pt>
                <c:pt idx="15">
                  <c:v>94.258099386386036</c:v>
                </c:pt>
                <c:pt idx="16">
                  <c:v>94.382093917909259</c:v>
                </c:pt>
                <c:pt idx="17">
                  <c:v>94.103371167562173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E6-4D92-B0FF-348949815964}"/>
            </c:ext>
          </c:extLst>
        </c:ser>
        <c:ser>
          <c:idx val="4"/>
          <c:order val="4"/>
          <c:tx>
            <c:strRef>
              <c:f>'Spending analysis &gt;&gt;'!$L$3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&gt;&gt;'!$L$4:$L$119</c15:sqref>
                  </c15:fullRef>
                </c:ext>
              </c:extLst>
              <c:f>'Spending analysis &gt;&gt;'!$L$102:$L$119</c:f>
              <c:numCache>
                <c:formatCode>0.0</c:formatCode>
                <c:ptCount val="18"/>
                <c:pt idx="0">
                  <c:v>99.625946848666104</c:v>
                </c:pt>
                <c:pt idx="1">
                  <c:v>98.094373865698728</c:v>
                </c:pt>
                <c:pt idx="2">
                  <c:v>100</c:v>
                </c:pt>
                <c:pt idx="3">
                  <c:v>102.78154103081891</c:v>
                </c:pt>
                <c:pt idx="4">
                  <c:v>102.84118504128217</c:v>
                </c:pt>
                <c:pt idx="5">
                  <c:v>104.7195453422288</c:v>
                </c:pt>
                <c:pt idx="6">
                  <c:v>104.273919378339</c:v>
                </c:pt>
                <c:pt idx="7">
                  <c:v>104.58193808951715</c:v>
                </c:pt>
                <c:pt idx="8">
                  <c:v>103.67151487266004</c:v>
                </c:pt>
                <c:pt idx="9">
                  <c:v>103.78824672170957</c:v>
                </c:pt>
                <c:pt idx="10">
                  <c:v>104.28627420907782</c:v>
                </c:pt>
                <c:pt idx="11">
                  <c:v>104.60110937859461</c:v>
                </c:pt>
                <c:pt idx="12">
                  <c:v>104.8856965142336</c:v>
                </c:pt>
                <c:pt idx="13">
                  <c:v>105.12597667067134</c:v>
                </c:pt>
                <c:pt idx="14">
                  <c:v>105.44720226988062</c:v>
                </c:pt>
                <c:pt idx="15">
                  <c:v>105.5796971788383</c:v>
                </c:pt>
                <c:pt idx="16">
                  <c:v>105.52644359806753</c:v>
                </c:pt>
                <c:pt idx="17">
                  <c:v>105.7309373482273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E6-4D92-B0FF-348949815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618304"/>
        <c:axId val="8356111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'Spending analysis &gt;&gt;'!$H$3</c15:sqref>
                        </c15:formulaRef>
                      </c:ext>
                    </c:extLst>
                    <c:strCache>
                      <c:ptCount val="1"/>
                      <c:pt idx="0">
                        <c:v>Total goods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'Spending analysis &gt;&gt;'!$A$4:$A$119</c15:sqref>
                        </c15:fullRef>
                        <c15:formulaRef>
                          <c15:sqref>'Spending analysis &gt;&gt;'!$A$102:$A$119</c15:sqref>
                        </c15:formulaRef>
                      </c:ext>
                    </c:extLst>
                    <c:strCache>
                      <c:ptCount val="18"/>
                      <c:pt idx="0">
                        <c:v>2021 Q3</c:v>
                      </c:pt>
                      <c:pt idx="1">
                        <c:v>2021 Q4</c:v>
                      </c:pt>
                      <c:pt idx="2">
                        <c:v>2022 Q1</c:v>
                      </c:pt>
                      <c:pt idx="3">
                        <c:v>2022 Q2</c:v>
                      </c:pt>
                      <c:pt idx="4">
                        <c:v>2022 Q3</c:v>
                      </c:pt>
                      <c:pt idx="5">
                        <c:v>2022 Q4</c:v>
                      </c:pt>
                      <c:pt idx="6">
                        <c:v>2023 Q1</c:v>
                      </c:pt>
                      <c:pt idx="7">
                        <c:v>2023 Q2</c:v>
                      </c:pt>
                      <c:pt idx="8">
                        <c:v>2023 Q3</c:v>
                      </c:pt>
                      <c:pt idx="9">
                        <c:v>2023 Q4</c:v>
                      </c:pt>
                      <c:pt idx="10">
                        <c:v>2024 Q1</c:v>
                      </c:pt>
                      <c:pt idx="11">
                        <c:v>2024 Q2</c:v>
                      </c:pt>
                      <c:pt idx="12">
                        <c:v>2024 Q3</c:v>
                      </c:pt>
                      <c:pt idx="13">
                        <c:v>2024 Q4</c:v>
                      </c:pt>
                      <c:pt idx="14">
                        <c:v>2025 Q1</c:v>
                      </c:pt>
                      <c:pt idx="15">
                        <c:v>2025 Q2</c:v>
                      </c:pt>
                      <c:pt idx="16">
                        <c:v>2025 Q3</c:v>
                      </c:pt>
                      <c:pt idx="17">
                        <c:v>2025 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'Spending analysis &gt;&gt;'!$H$4:$H$119</c15:sqref>
                        </c15:fullRef>
                        <c15:formulaRef>
                          <c15:sqref>'Spending analysis &gt;&gt;'!$H$102:$H$119</c15:sqref>
                        </c15:formulaRef>
                      </c:ext>
                    </c:extLst>
                    <c:numCache>
                      <c:formatCode>0.0</c:formatCode>
                      <c:ptCount val="18"/>
                      <c:pt idx="0">
                        <c:v>96.819893179231244</c:v>
                      </c:pt>
                      <c:pt idx="1">
                        <c:v>99.186877973323988</c:v>
                      </c:pt>
                      <c:pt idx="2">
                        <c:v>100</c:v>
                      </c:pt>
                      <c:pt idx="3">
                        <c:v>99.365496307970702</c:v>
                      </c:pt>
                      <c:pt idx="4">
                        <c:v>99.064880483320195</c:v>
                      </c:pt>
                      <c:pt idx="5">
                        <c:v>99.706972535971744</c:v>
                      </c:pt>
                      <c:pt idx="6">
                        <c:v>97.102997402445794</c:v>
                      </c:pt>
                      <c:pt idx="7">
                        <c:v>96.131687242798364</c:v>
                      </c:pt>
                      <c:pt idx="8">
                        <c:v>94.253276128768633</c:v>
                      </c:pt>
                      <c:pt idx="9">
                        <c:v>93.737267606455944</c:v>
                      </c:pt>
                      <c:pt idx="10">
                        <c:v>94.395703820447721</c:v>
                      </c:pt>
                      <c:pt idx="11">
                        <c:v>94.370603858389515</c:v>
                      </c:pt>
                      <c:pt idx="12">
                        <c:v>95.077488836354078</c:v>
                      </c:pt>
                      <c:pt idx="13">
                        <c:v>95.068149315588244</c:v>
                      </c:pt>
                      <c:pt idx="14">
                        <c:v>95.099086478125088</c:v>
                      </c:pt>
                      <c:pt idx="15">
                        <c:v>95.679887925750805</c:v>
                      </c:pt>
                      <c:pt idx="16">
                        <c:v>96.184222047106203</c:v>
                      </c:pt>
                      <c:pt idx="17">
                        <c:v>96.122347722032515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3E6-4D92-B0FF-348949815964}"/>
                  </c:ext>
                </c:extLst>
              </c15:ser>
            </c15:filteredLineSeries>
          </c:ext>
        </c:extLst>
      </c:lineChart>
      <c:catAx>
        <c:axId val="83561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11104"/>
        <c:crosses val="autoZero"/>
        <c:auto val="1"/>
        <c:lblAlgn val="ctr"/>
        <c:lblOffset val="100"/>
        <c:noMultiLvlLbl val="0"/>
      </c:catAx>
      <c:valAx>
        <c:axId val="835611104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406476744508593"/>
          <c:y val="3.7919203608252024E-2"/>
          <c:w val="0.69584614957855984"/>
          <c:h val="6.32028013851214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UK: Durable</a:t>
            </a:r>
            <a:r>
              <a:rPr lang="en-GB" b="1" baseline="0"/>
              <a:t> g</a:t>
            </a:r>
            <a:r>
              <a:rPr lang="en-GB" b="1"/>
              <a:t>oods expenditure</a:t>
            </a:r>
          </a:p>
        </c:rich>
      </c:tx>
      <c:layout>
        <c:manualLayout>
          <c:xMode val="edge"/>
          <c:yMode val="edge"/>
          <c:x val="1.1368858208275053E-2"/>
          <c:y val="2.2471949875165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426509186351705E-2"/>
          <c:y val="0.13891410347831576"/>
          <c:w val="0.92142957130358705"/>
          <c:h val="0.75253688943794728"/>
        </c:manualLayout>
      </c:layout>
      <c:lineChart>
        <c:grouping val="standard"/>
        <c:varyColors val="0"/>
        <c:ser>
          <c:idx val="0"/>
          <c:order val="0"/>
          <c:tx>
            <c:strRef>
              <c:f>'Spending analysis &gt;&gt;'!$U$3</c:f>
              <c:strCache>
                <c:ptCount val="1"/>
                <c:pt idx="0">
                  <c:v>Household goods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&gt;&gt;'!$U$4:$U$119</c15:sqref>
                  </c15:fullRef>
                </c:ext>
              </c:extLst>
              <c:f>'Spending analysis &gt;&gt;'!$U$102:$U$119</c:f>
              <c:numCache>
                <c:formatCode>0.0</c:formatCode>
                <c:ptCount val="18"/>
                <c:pt idx="0">
                  <c:v>96.421358752726391</c:v>
                </c:pt>
                <c:pt idx="1">
                  <c:v>96.970676145084425</c:v>
                </c:pt>
                <c:pt idx="2">
                  <c:v>100</c:v>
                </c:pt>
                <c:pt idx="3">
                  <c:v>92.794248323774127</c:v>
                </c:pt>
                <c:pt idx="4">
                  <c:v>90.992810404717673</c:v>
                </c:pt>
                <c:pt idx="5">
                  <c:v>87.923095565069872</c:v>
                </c:pt>
                <c:pt idx="6">
                  <c:v>85.378463526940777</c:v>
                </c:pt>
                <c:pt idx="7">
                  <c:v>82.946926246061878</c:v>
                </c:pt>
                <c:pt idx="8">
                  <c:v>81.597867356006134</c:v>
                </c:pt>
                <c:pt idx="9">
                  <c:v>79.941836981985631</c:v>
                </c:pt>
                <c:pt idx="10">
                  <c:v>79.376363195734712</c:v>
                </c:pt>
                <c:pt idx="11">
                  <c:v>78.802811212537364</c:v>
                </c:pt>
                <c:pt idx="12">
                  <c:v>79.885289603360533</c:v>
                </c:pt>
                <c:pt idx="13">
                  <c:v>80.814282252201309</c:v>
                </c:pt>
                <c:pt idx="14">
                  <c:v>80.329590435414815</c:v>
                </c:pt>
                <c:pt idx="15">
                  <c:v>79.691412876645927</c:v>
                </c:pt>
                <c:pt idx="16">
                  <c:v>80.014540754503599</c:v>
                </c:pt>
                <c:pt idx="17">
                  <c:v>78.99668793925197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3E-48E8-A070-62D81ACACABF}"/>
            </c:ext>
          </c:extLst>
        </c:ser>
        <c:ser>
          <c:idx val="1"/>
          <c:order val="1"/>
          <c:tx>
            <c:strRef>
              <c:f>'Spending analysis &gt;&gt;'!$V$3</c:f>
              <c:strCache>
                <c:ptCount val="1"/>
                <c:pt idx="0">
                  <c:v>Health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&gt;&gt;'!$V$4:$V$119</c15:sqref>
                  </c15:fullRef>
                </c:ext>
              </c:extLst>
              <c:f>'Spending analysis &gt;&gt;'!$V$102:$V$119</c:f>
              <c:numCache>
                <c:formatCode>0.0</c:formatCode>
                <c:ptCount val="18"/>
                <c:pt idx="0">
                  <c:v>92.007797270955166</c:v>
                </c:pt>
                <c:pt idx="1">
                  <c:v>90.5458089668616</c:v>
                </c:pt>
                <c:pt idx="2">
                  <c:v>100</c:v>
                </c:pt>
                <c:pt idx="3">
                  <c:v>75.438596491228068</c:v>
                </c:pt>
                <c:pt idx="4">
                  <c:v>106.82261208576998</c:v>
                </c:pt>
                <c:pt idx="5">
                  <c:v>94.444444444444443</c:v>
                </c:pt>
                <c:pt idx="6">
                  <c:v>83.820662768031184</c:v>
                </c:pt>
                <c:pt idx="7">
                  <c:v>86.062378167641327</c:v>
                </c:pt>
                <c:pt idx="8">
                  <c:v>88.206627680311883</c:v>
                </c:pt>
                <c:pt idx="9">
                  <c:v>78.654970760233923</c:v>
                </c:pt>
                <c:pt idx="10">
                  <c:v>82.456140350877192</c:v>
                </c:pt>
                <c:pt idx="11">
                  <c:v>82.358674463937618</c:v>
                </c:pt>
                <c:pt idx="12">
                  <c:v>83.528265107212476</c:v>
                </c:pt>
                <c:pt idx="13">
                  <c:v>89.376218323586741</c:v>
                </c:pt>
                <c:pt idx="14">
                  <c:v>93.079922027290451</c:v>
                </c:pt>
                <c:pt idx="15">
                  <c:v>98.245614035087712</c:v>
                </c:pt>
                <c:pt idx="16">
                  <c:v>104.77582846003899</c:v>
                </c:pt>
                <c:pt idx="17">
                  <c:v>111.98830409356727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E-48E8-A070-62D81ACACABF}"/>
            </c:ext>
          </c:extLst>
        </c:ser>
        <c:ser>
          <c:idx val="2"/>
          <c:order val="2"/>
          <c:tx>
            <c:strRef>
              <c:f>'Spending analysis &gt;&gt;'!$W$3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&gt;&gt;'!$W$4:$W$119</c15:sqref>
                  </c15:fullRef>
                </c:ext>
              </c:extLst>
              <c:f>'Spending analysis &gt;&gt;'!$W$102:$W$119</c:f>
              <c:numCache>
                <c:formatCode>0.0</c:formatCode>
                <c:ptCount val="18"/>
                <c:pt idx="0">
                  <c:v>95.573181479221745</c:v>
                </c:pt>
                <c:pt idx="1">
                  <c:v>103.49806792759813</c:v>
                </c:pt>
                <c:pt idx="2">
                  <c:v>100</c:v>
                </c:pt>
                <c:pt idx="3">
                  <c:v>99.606806318215718</c:v>
                </c:pt>
                <c:pt idx="4">
                  <c:v>100.9355297945902</c:v>
                </c:pt>
                <c:pt idx="5">
                  <c:v>106.78598061148396</c:v>
                </c:pt>
                <c:pt idx="6">
                  <c:v>105.4572571351095</c:v>
                </c:pt>
                <c:pt idx="7">
                  <c:v>110.35184055318284</c:v>
                </c:pt>
                <c:pt idx="8">
                  <c:v>112.50084740017626</c:v>
                </c:pt>
                <c:pt idx="9">
                  <c:v>111.46362958443497</c:v>
                </c:pt>
                <c:pt idx="10">
                  <c:v>109.49766117551351</c:v>
                </c:pt>
                <c:pt idx="11">
                  <c:v>110.5416581926649</c:v>
                </c:pt>
                <c:pt idx="12">
                  <c:v>110.97552708290964</c:v>
                </c:pt>
                <c:pt idx="13">
                  <c:v>111.40261677174428</c:v>
                </c:pt>
                <c:pt idx="14">
                  <c:v>114.73798386550065</c:v>
                </c:pt>
                <c:pt idx="15">
                  <c:v>116.88699071249407</c:v>
                </c:pt>
                <c:pt idx="16">
                  <c:v>116.82597789980341</c:v>
                </c:pt>
                <c:pt idx="17">
                  <c:v>116.04636973764491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E-48E8-A070-62D81ACACABF}"/>
            </c:ext>
          </c:extLst>
        </c:ser>
        <c:ser>
          <c:idx val="3"/>
          <c:order val="3"/>
          <c:tx>
            <c:strRef>
              <c:f>'Spending analysis &gt;&gt;'!$X$3</c:f>
              <c:strCache>
                <c:ptCount val="1"/>
                <c:pt idx="0">
                  <c:v>Communication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&gt;&gt;'!$X$4:$X$119</c15:sqref>
                  </c15:fullRef>
                </c:ext>
              </c:extLst>
              <c:f>'Spending analysis &gt;&gt;'!$X$102:$X$119</c:f>
              <c:numCache>
                <c:formatCode>0.0</c:formatCode>
                <c:ptCount val="18"/>
                <c:pt idx="0">
                  <c:v>92.155525238744886</c:v>
                </c:pt>
                <c:pt idx="1">
                  <c:v>92.837653478854023</c:v>
                </c:pt>
                <c:pt idx="2">
                  <c:v>100</c:v>
                </c:pt>
                <c:pt idx="3">
                  <c:v>94.542974079126878</c:v>
                </c:pt>
                <c:pt idx="4">
                  <c:v>91.746248294679404</c:v>
                </c:pt>
                <c:pt idx="5">
                  <c:v>84.993178717598909</c:v>
                </c:pt>
                <c:pt idx="6">
                  <c:v>76.057298772169162</c:v>
                </c:pt>
                <c:pt idx="7">
                  <c:v>69.577080491132335</c:v>
                </c:pt>
                <c:pt idx="8">
                  <c:v>69.304229195088681</c:v>
                </c:pt>
                <c:pt idx="9">
                  <c:v>78.240109140518427</c:v>
                </c:pt>
                <c:pt idx="10">
                  <c:v>98.499317871759899</c:v>
                </c:pt>
                <c:pt idx="11">
                  <c:v>98.294679399727144</c:v>
                </c:pt>
                <c:pt idx="12">
                  <c:v>96.793997271487044</c:v>
                </c:pt>
                <c:pt idx="13">
                  <c:v>93.383356070941332</c:v>
                </c:pt>
                <c:pt idx="14">
                  <c:v>92.701227830832195</c:v>
                </c:pt>
                <c:pt idx="15">
                  <c:v>88.608458390177361</c:v>
                </c:pt>
                <c:pt idx="16">
                  <c:v>90.45020463847203</c:v>
                </c:pt>
                <c:pt idx="17">
                  <c:v>92.155525238744886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3E-48E8-A070-62D81ACACABF}"/>
            </c:ext>
          </c:extLst>
        </c:ser>
        <c:ser>
          <c:idx val="4"/>
          <c:order val="4"/>
          <c:tx>
            <c:strRef>
              <c:f>'Spending analysis &gt;&gt;'!$Y$3</c:f>
              <c:strCache>
                <c:ptCount val="1"/>
                <c:pt idx="0">
                  <c:v>Recreation and culture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&gt;&gt;'!$Y$4:$Y$119</c15:sqref>
                  </c15:fullRef>
                </c:ext>
              </c:extLst>
              <c:f>'Spending analysis &gt;&gt;'!$Y$102:$Y$119</c:f>
              <c:numCache>
                <c:formatCode>0.0</c:formatCode>
                <c:ptCount val="18"/>
                <c:pt idx="0">
                  <c:v>94.958470156461274</c:v>
                </c:pt>
                <c:pt idx="1">
                  <c:v>100.03863241259417</c:v>
                </c:pt>
                <c:pt idx="2">
                  <c:v>100</c:v>
                </c:pt>
                <c:pt idx="3">
                  <c:v>105.17674328761831</c:v>
                </c:pt>
                <c:pt idx="4">
                  <c:v>105.93007533320456</c:v>
                </c:pt>
                <c:pt idx="5">
                  <c:v>108.01622561328954</c:v>
                </c:pt>
                <c:pt idx="6">
                  <c:v>104.65520571759706</c:v>
                </c:pt>
                <c:pt idx="7">
                  <c:v>103.49623333977208</c:v>
                </c:pt>
                <c:pt idx="8">
                  <c:v>103.63144678385166</c:v>
                </c:pt>
                <c:pt idx="9">
                  <c:v>104.57794089240873</c:v>
                </c:pt>
                <c:pt idx="10">
                  <c:v>108.47981456441956</c:v>
                </c:pt>
                <c:pt idx="11">
                  <c:v>110.87502414525787</c:v>
                </c:pt>
                <c:pt idx="12">
                  <c:v>113.25091751979912</c:v>
                </c:pt>
                <c:pt idx="13">
                  <c:v>115.85860536990535</c:v>
                </c:pt>
                <c:pt idx="14">
                  <c:v>114.31330886613868</c:v>
                </c:pt>
                <c:pt idx="15">
                  <c:v>116.99826154143327</c:v>
                </c:pt>
                <c:pt idx="16">
                  <c:v>119.70253042302492</c:v>
                </c:pt>
                <c:pt idx="17">
                  <c:v>120.55244350009657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3E-48E8-A070-62D81ACAC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618304"/>
        <c:axId val="835611104"/>
        <c:extLst/>
      </c:lineChart>
      <c:catAx>
        <c:axId val="83561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11104"/>
        <c:crosses val="autoZero"/>
        <c:auto val="1"/>
        <c:lblAlgn val="ctr"/>
        <c:lblOffset val="100"/>
        <c:noMultiLvlLbl val="0"/>
      </c:catAx>
      <c:valAx>
        <c:axId val="8356111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202583747496333"/>
          <c:y val="3.7919203608252024E-2"/>
          <c:w val="0.61788507321142583"/>
          <c:h val="0.10029707103295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UK: Semi-</a:t>
            </a:r>
            <a:r>
              <a:rPr lang="en-GB" b="1" baseline="0"/>
              <a:t> d</a:t>
            </a:r>
            <a:r>
              <a:rPr lang="en-GB" b="1"/>
              <a:t>urable</a:t>
            </a:r>
            <a:r>
              <a:rPr lang="en-GB" b="1" baseline="0"/>
              <a:t> g</a:t>
            </a:r>
            <a:r>
              <a:rPr lang="en-GB" b="1"/>
              <a:t>oods expenditure</a:t>
            </a:r>
          </a:p>
        </c:rich>
      </c:tx>
      <c:layout>
        <c:manualLayout>
          <c:xMode val="edge"/>
          <c:yMode val="edge"/>
          <c:x val="1.3738012883322119E-3"/>
          <c:y val="2.2457401766361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426509186351705E-2"/>
          <c:y val="0.13891410347831576"/>
          <c:w val="0.92142957130358705"/>
          <c:h val="0.75253688943794728"/>
        </c:manualLayout>
      </c:layout>
      <c:lineChart>
        <c:grouping val="standard"/>
        <c:varyColors val="0"/>
        <c:ser>
          <c:idx val="0"/>
          <c:order val="0"/>
          <c:tx>
            <c:strRef>
              <c:f>'Spending analysis &gt;&gt;'!$AH$3</c:f>
              <c:strCache>
                <c:ptCount val="1"/>
                <c:pt idx="0">
                  <c:v>Clothing and footwear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&gt;&gt;'!$AH$4:$AH$119</c15:sqref>
                  </c15:fullRef>
                </c:ext>
              </c:extLst>
              <c:f>'Spending analysis &gt;&gt;'!$AH$102:$AH$119</c:f>
              <c:numCache>
                <c:formatCode>0.0</c:formatCode>
                <c:ptCount val="18"/>
                <c:pt idx="0">
                  <c:v>88.871046228710455</c:v>
                </c:pt>
                <c:pt idx="1">
                  <c:v>94.569343065693431</c:v>
                </c:pt>
                <c:pt idx="2">
                  <c:v>100</c:v>
                </c:pt>
                <c:pt idx="3">
                  <c:v>99.430656934306569</c:v>
                </c:pt>
                <c:pt idx="4">
                  <c:v>98.700729927007302</c:v>
                </c:pt>
                <c:pt idx="5">
                  <c:v>97.800486618004868</c:v>
                </c:pt>
                <c:pt idx="6">
                  <c:v>100.84671532846716</c:v>
                </c:pt>
                <c:pt idx="7">
                  <c:v>96.978102189781026</c:v>
                </c:pt>
                <c:pt idx="8">
                  <c:v>94.253041362530411</c:v>
                </c:pt>
                <c:pt idx="9">
                  <c:v>92.666666666666657</c:v>
                </c:pt>
                <c:pt idx="10">
                  <c:v>90.93917274939173</c:v>
                </c:pt>
                <c:pt idx="11">
                  <c:v>91.372262773722625</c:v>
                </c:pt>
                <c:pt idx="12">
                  <c:v>93.206812652068123</c:v>
                </c:pt>
                <c:pt idx="13">
                  <c:v>92.880778588807786</c:v>
                </c:pt>
                <c:pt idx="14">
                  <c:v>93.610705596107053</c:v>
                </c:pt>
                <c:pt idx="15">
                  <c:v>94.676399026763988</c:v>
                </c:pt>
                <c:pt idx="16">
                  <c:v>96.783454987834546</c:v>
                </c:pt>
                <c:pt idx="17">
                  <c:v>97.240875912408768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EC-409C-B920-784922566AD9}"/>
            </c:ext>
          </c:extLst>
        </c:ser>
        <c:ser>
          <c:idx val="1"/>
          <c:order val="1"/>
          <c:tx>
            <c:strRef>
              <c:f>'Spending analysis &gt;&gt;'!$AI$3</c:f>
              <c:strCache>
                <c:ptCount val="1"/>
                <c:pt idx="0">
                  <c:v>Household goods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&gt;&gt;'!$AI$4:$AI$119</c15:sqref>
                  </c15:fullRef>
                </c:ext>
              </c:extLst>
              <c:f>'Spending analysis &gt;&gt;'!$AI$102:$AI$119</c:f>
              <c:numCache>
                <c:formatCode>0.0</c:formatCode>
                <c:ptCount val="18"/>
                <c:pt idx="0">
                  <c:v>98.807749627421757</c:v>
                </c:pt>
                <c:pt idx="1">
                  <c:v>100.19374068554396</c:v>
                </c:pt>
                <c:pt idx="2">
                  <c:v>100</c:v>
                </c:pt>
                <c:pt idx="3">
                  <c:v>97.198211624441129</c:v>
                </c:pt>
                <c:pt idx="4">
                  <c:v>94.575260804769002</c:v>
                </c:pt>
                <c:pt idx="5">
                  <c:v>96.333830104321905</c:v>
                </c:pt>
                <c:pt idx="6">
                  <c:v>84.828614008941884</c:v>
                </c:pt>
                <c:pt idx="7">
                  <c:v>89.001490312965728</c:v>
                </c:pt>
                <c:pt idx="8">
                  <c:v>90.879284649776451</c:v>
                </c:pt>
                <c:pt idx="9">
                  <c:v>89.016393442622956</c:v>
                </c:pt>
                <c:pt idx="10">
                  <c:v>88.956780923994046</c:v>
                </c:pt>
                <c:pt idx="11">
                  <c:v>88.777943368107302</c:v>
                </c:pt>
                <c:pt idx="12">
                  <c:v>86.587183308494787</c:v>
                </c:pt>
                <c:pt idx="13">
                  <c:v>86.24441132637854</c:v>
                </c:pt>
                <c:pt idx="14">
                  <c:v>86.825633383010441</c:v>
                </c:pt>
                <c:pt idx="15">
                  <c:v>87.049180327868854</c:v>
                </c:pt>
                <c:pt idx="16">
                  <c:v>86.154992548435175</c:v>
                </c:pt>
                <c:pt idx="17">
                  <c:v>89.090909090909093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EC-409C-B920-784922566AD9}"/>
            </c:ext>
          </c:extLst>
        </c:ser>
        <c:ser>
          <c:idx val="2"/>
          <c:order val="2"/>
          <c:tx>
            <c:strRef>
              <c:f>'Spending analysis &gt;&gt;'!$AJ$3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&gt;&gt;'!$AJ$4:$AJ$119</c15:sqref>
                  </c15:fullRef>
                </c:ext>
              </c:extLst>
              <c:f>'Spending analysis &gt;&gt;'!$AJ$102:$AJ$119</c:f>
              <c:numCache>
                <c:formatCode>0.0</c:formatCode>
                <c:ptCount val="18"/>
                <c:pt idx="0">
                  <c:v>100.15408320493067</c:v>
                </c:pt>
                <c:pt idx="1">
                  <c:v>94.375963020030824</c:v>
                </c:pt>
                <c:pt idx="2">
                  <c:v>100</c:v>
                </c:pt>
                <c:pt idx="3">
                  <c:v>101.77195685670262</c:v>
                </c:pt>
                <c:pt idx="4">
                  <c:v>103.31278890600923</c:v>
                </c:pt>
                <c:pt idx="5">
                  <c:v>102.92758089368259</c:v>
                </c:pt>
                <c:pt idx="6">
                  <c:v>113.09707241910631</c:v>
                </c:pt>
                <c:pt idx="7">
                  <c:v>111.7873651771957</c:v>
                </c:pt>
                <c:pt idx="8">
                  <c:v>109.32203389830508</c:v>
                </c:pt>
                <c:pt idx="9">
                  <c:v>105.46995377503852</c:v>
                </c:pt>
                <c:pt idx="10">
                  <c:v>110.40061633281972</c:v>
                </c:pt>
                <c:pt idx="11">
                  <c:v>109.78428351309708</c:v>
                </c:pt>
                <c:pt idx="12">
                  <c:v>111.94144838212634</c:v>
                </c:pt>
                <c:pt idx="13">
                  <c:v>104.1602465331279</c:v>
                </c:pt>
                <c:pt idx="14">
                  <c:v>107.24191063174113</c:v>
                </c:pt>
                <c:pt idx="15">
                  <c:v>99.614791987673343</c:v>
                </c:pt>
                <c:pt idx="16">
                  <c:v>100.77041602465331</c:v>
                </c:pt>
                <c:pt idx="17">
                  <c:v>98.151001540832056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EC-409C-B920-784922566AD9}"/>
            </c:ext>
          </c:extLst>
        </c:ser>
        <c:ser>
          <c:idx val="3"/>
          <c:order val="3"/>
          <c:tx>
            <c:strRef>
              <c:f>'Spending analysis &gt;&gt;'!$AK$3</c:f>
              <c:strCache>
                <c:ptCount val="1"/>
                <c:pt idx="0">
                  <c:v>Recreation and culture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&gt;&gt;'!$AK$4:$AK$119</c15:sqref>
                  </c15:fullRef>
                </c:ext>
              </c:extLst>
              <c:f>'Spending analysis &gt;&gt;'!$AK$102:$AK$119</c:f>
              <c:numCache>
                <c:formatCode>0.0</c:formatCode>
                <c:ptCount val="18"/>
                <c:pt idx="0">
                  <c:v>94.379239797566498</c:v>
                </c:pt>
                <c:pt idx="1">
                  <c:v>94.034672122321524</c:v>
                </c:pt>
                <c:pt idx="2">
                  <c:v>100</c:v>
                </c:pt>
                <c:pt idx="3">
                  <c:v>99.300096909658663</c:v>
                </c:pt>
                <c:pt idx="4">
                  <c:v>102.5088833853774</c:v>
                </c:pt>
                <c:pt idx="5">
                  <c:v>103.98406374501991</c:v>
                </c:pt>
                <c:pt idx="6">
                  <c:v>92.193388607731237</c:v>
                </c:pt>
                <c:pt idx="7">
                  <c:v>90.0506083773016</c:v>
                </c:pt>
                <c:pt idx="8">
                  <c:v>87.886292667169158</c:v>
                </c:pt>
                <c:pt idx="9">
                  <c:v>86.680305803811777</c:v>
                </c:pt>
                <c:pt idx="10">
                  <c:v>92.204156347582639</c:v>
                </c:pt>
                <c:pt idx="11">
                  <c:v>93.507052869602674</c:v>
                </c:pt>
                <c:pt idx="12">
                  <c:v>93.787014105739203</c:v>
                </c:pt>
                <c:pt idx="13">
                  <c:v>93.87315602455044</c:v>
                </c:pt>
                <c:pt idx="14">
                  <c:v>95.100678367610641</c:v>
                </c:pt>
                <c:pt idx="15">
                  <c:v>95.089910627759238</c:v>
                </c:pt>
                <c:pt idx="16">
                  <c:v>96.672768385915802</c:v>
                </c:pt>
                <c:pt idx="17">
                  <c:v>96.425110369333481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EC-409C-B920-784922566AD9}"/>
            </c:ext>
          </c:extLst>
        </c:ser>
        <c:ser>
          <c:idx val="4"/>
          <c:order val="4"/>
          <c:tx>
            <c:strRef>
              <c:f>'Spending analysis &gt;&gt;'!$AL$3</c:f>
              <c:strCache>
                <c:ptCount val="1"/>
                <c:pt idx="0">
                  <c:v>Miscellaneous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&gt;&gt;'!$AL$4:$AL$119</c15:sqref>
                  </c15:fullRef>
                </c:ext>
              </c:extLst>
              <c:f>'Spending analysis &gt;&gt;'!$AL$102:$AL$119</c:f>
              <c:numCache>
                <c:formatCode>0.0</c:formatCode>
                <c:ptCount val="18"/>
                <c:pt idx="0">
                  <c:v>69.663692518874399</c:v>
                </c:pt>
                <c:pt idx="1">
                  <c:v>87.439945092656146</c:v>
                </c:pt>
                <c:pt idx="2">
                  <c:v>100</c:v>
                </c:pt>
                <c:pt idx="3">
                  <c:v>115.442690459849</c:v>
                </c:pt>
                <c:pt idx="4">
                  <c:v>108.78517501715854</c:v>
                </c:pt>
                <c:pt idx="5">
                  <c:v>114.7563486616335</c:v>
                </c:pt>
                <c:pt idx="6">
                  <c:v>102.33356211393274</c:v>
                </c:pt>
                <c:pt idx="7">
                  <c:v>104.94166094715168</c:v>
                </c:pt>
                <c:pt idx="8">
                  <c:v>108.78517501715854</c:v>
                </c:pt>
                <c:pt idx="9">
                  <c:v>99.519560741249151</c:v>
                </c:pt>
                <c:pt idx="10">
                  <c:v>117.98215511324639</c:v>
                </c:pt>
                <c:pt idx="11">
                  <c:v>105.28483184625944</c:v>
                </c:pt>
                <c:pt idx="12">
                  <c:v>109.81468771448182</c:v>
                </c:pt>
                <c:pt idx="13">
                  <c:v>104.73575840768703</c:v>
                </c:pt>
                <c:pt idx="14">
                  <c:v>108.37336993822923</c:v>
                </c:pt>
                <c:pt idx="15">
                  <c:v>107.41249142072753</c:v>
                </c:pt>
                <c:pt idx="16">
                  <c:v>105.83390528483186</c:v>
                </c:pt>
                <c:pt idx="17">
                  <c:v>106.65751544269047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EC-409C-B920-784922566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618304"/>
        <c:axId val="835611104"/>
        <c:extLst/>
      </c:lineChart>
      <c:catAx>
        <c:axId val="83561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11104"/>
        <c:crosses val="autoZero"/>
        <c:auto val="1"/>
        <c:lblAlgn val="ctr"/>
        <c:lblOffset val="100"/>
        <c:noMultiLvlLbl val="0"/>
      </c:catAx>
      <c:valAx>
        <c:axId val="835611104"/>
        <c:scaling>
          <c:orientation val="minMax"/>
          <c:max val="12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202583747496333"/>
          <c:y val="3.7919203608252024E-2"/>
          <c:w val="0.61788507321142583"/>
          <c:h val="0.10029707103295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UK: Non-</a:t>
            </a:r>
            <a:r>
              <a:rPr lang="en-GB" b="1" baseline="0"/>
              <a:t>d</a:t>
            </a:r>
            <a:r>
              <a:rPr lang="en-GB" b="1"/>
              <a:t>urable</a:t>
            </a:r>
            <a:r>
              <a:rPr lang="en-GB" b="1" baseline="0"/>
              <a:t> g</a:t>
            </a:r>
            <a:r>
              <a:rPr lang="en-GB" b="1"/>
              <a:t>oods expenditure</a:t>
            </a:r>
          </a:p>
        </c:rich>
      </c:tx>
      <c:layout>
        <c:manualLayout>
          <c:xMode val="edge"/>
          <c:yMode val="edge"/>
          <c:x val="1.3738012883322119E-3"/>
          <c:y val="2.2457401766361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708439766137769E-2"/>
          <c:y val="0.13891410347831576"/>
          <c:w val="0.93814759631810174"/>
          <c:h val="0.71418538280665422"/>
        </c:manualLayout>
      </c:layout>
      <c:lineChart>
        <c:grouping val="standard"/>
        <c:varyColors val="0"/>
        <c:ser>
          <c:idx val="0"/>
          <c:order val="0"/>
          <c:tx>
            <c:strRef>
              <c:f>'Spending analysis &gt;&gt;'!$AX$3</c:f>
              <c:strCache>
                <c:ptCount val="1"/>
                <c:pt idx="0">
                  <c:v>Food and non-alcoholic beverages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&gt;&gt;'!$AX$4:$AX$119</c15:sqref>
                  </c15:fullRef>
                </c:ext>
              </c:extLst>
              <c:f>'Spending analysis &gt;&gt;'!$AX$102:$AX$119</c:f>
              <c:numCache>
                <c:formatCode>0.0</c:formatCode>
                <c:ptCount val="18"/>
                <c:pt idx="0">
                  <c:v>99.895311036420736</c:v>
                </c:pt>
                <c:pt idx="1">
                  <c:v>101.066174444873</c:v>
                </c:pt>
                <c:pt idx="2">
                  <c:v>100</c:v>
                </c:pt>
                <c:pt idx="3">
                  <c:v>101.22596286296766</c:v>
                </c:pt>
                <c:pt idx="4">
                  <c:v>101.2948371811119</c:v>
                </c:pt>
                <c:pt idx="5">
                  <c:v>100.92842580858449</c:v>
                </c:pt>
                <c:pt idx="6">
                  <c:v>99.54267452752218</c:v>
                </c:pt>
                <c:pt idx="7">
                  <c:v>97.369001046889636</c:v>
                </c:pt>
                <c:pt idx="8">
                  <c:v>94.024464157804829</c:v>
                </c:pt>
                <c:pt idx="9">
                  <c:v>94.509339357540355</c:v>
                </c:pt>
                <c:pt idx="10">
                  <c:v>95.269711829852895</c:v>
                </c:pt>
                <c:pt idx="11">
                  <c:v>95.501129538817565</c:v>
                </c:pt>
                <c:pt idx="12">
                  <c:v>95.655408011460679</c:v>
                </c:pt>
                <c:pt idx="13">
                  <c:v>94.773816739214283</c:v>
                </c:pt>
                <c:pt idx="14">
                  <c:v>94.696677502892726</c:v>
                </c:pt>
                <c:pt idx="15">
                  <c:v>95.082373684500524</c:v>
                </c:pt>
                <c:pt idx="16">
                  <c:v>95.542454129704112</c:v>
                </c:pt>
                <c:pt idx="17">
                  <c:v>95.407460466141387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B-42EA-89B9-8585772CEF90}"/>
            </c:ext>
          </c:extLst>
        </c:ser>
        <c:ser>
          <c:idx val="1"/>
          <c:order val="1"/>
          <c:tx>
            <c:strRef>
              <c:f>'Spending analysis &gt;&gt;'!$AY$3</c:f>
              <c:strCache>
                <c:ptCount val="1"/>
                <c:pt idx="0">
                  <c:v>Alcoholic beverages, tobacco and narcotics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&gt;&gt;'!$AY$4:$AY$119</c15:sqref>
                  </c15:fullRef>
                </c:ext>
              </c:extLst>
              <c:f>'Spending analysis &gt;&gt;'!$AY$102:$AY$119</c:f>
              <c:numCache>
                <c:formatCode>0.0</c:formatCode>
                <c:ptCount val="18"/>
                <c:pt idx="0">
                  <c:v>104.84261501210655</c:v>
                </c:pt>
                <c:pt idx="1">
                  <c:v>102.843083652269</c:v>
                </c:pt>
                <c:pt idx="2">
                  <c:v>100</c:v>
                </c:pt>
                <c:pt idx="3">
                  <c:v>100.93728032492383</c:v>
                </c:pt>
                <c:pt idx="4">
                  <c:v>101.32000312426774</c:v>
                </c:pt>
                <c:pt idx="5">
                  <c:v>100.80449894555963</c:v>
                </c:pt>
                <c:pt idx="6">
                  <c:v>100.02343200812309</c:v>
                </c:pt>
                <c:pt idx="7">
                  <c:v>100.51550417870811</c:v>
                </c:pt>
                <c:pt idx="8">
                  <c:v>96.977270952120591</c:v>
                </c:pt>
                <c:pt idx="9">
                  <c:v>95.735374521596512</c:v>
                </c:pt>
                <c:pt idx="10">
                  <c:v>94.641880809185352</c:v>
                </c:pt>
                <c:pt idx="11">
                  <c:v>94.587206123564798</c:v>
                </c:pt>
                <c:pt idx="12">
                  <c:v>94.704366164180271</c:v>
                </c:pt>
                <c:pt idx="13">
                  <c:v>93.845192533000073</c:v>
                </c:pt>
                <c:pt idx="14">
                  <c:v>92.767320159337658</c:v>
                </c:pt>
                <c:pt idx="15">
                  <c:v>92.58767476372725</c:v>
                </c:pt>
                <c:pt idx="16">
                  <c:v>91.986253221901109</c:v>
                </c:pt>
                <c:pt idx="17">
                  <c:v>92.017495899398583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1B-42EA-89B9-8585772CEF90}"/>
            </c:ext>
          </c:extLst>
        </c:ser>
        <c:ser>
          <c:idx val="2"/>
          <c:order val="2"/>
          <c:tx>
            <c:strRef>
              <c:f>'Spending analysis &gt;&gt;'!$AZ$3</c:f>
              <c:strCache>
                <c:ptCount val="1"/>
                <c:pt idx="0">
                  <c:v>Housing, water, electricity, gas and other fuel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&gt;&gt;'!$AZ$4:$AZ$119</c15:sqref>
                  </c15:fullRef>
                </c:ext>
              </c:extLst>
              <c:f>'Spending analysis &gt;&gt;'!$AZ$102:$AZ$119</c:f>
              <c:numCache>
                <c:formatCode>0.0</c:formatCode>
                <c:ptCount val="18"/>
                <c:pt idx="0">
                  <c:v>95.560342248549034</c:v>
                </c:pt>
                <c:pt idx="1">
                  <c:v>100.37096870699456</c:v>
                </c:pt>
                <c:pt idx="2">
                  <c:v>100</c:v>
                </c:pt>
                <c:pt idx="3">
                  <c:v>97.253634894991919</c:v>
                </c:pt>
                <c:pt idx="4">
                  <c:v>94.399569197630584</c:v>
                </c:pt>
                <c:pt idx="5">
                  <c:v>91.838688446119789</c:v>
                </c:pt>
                <c:pt idx="6">
                  <c:v>91.892538742296409</c:v>
                </c:pt>
                <c:pt idx="7">
                  <c:v>90.073595404774736</c:v>
                </c:pt>
                <c:pt idx="8">
                  <c:v>86.860527732902526</c:v>
                </c:pt>
                <c:pt idx="9">
                  <c:v>88.805121761503031</c:v>
                </c:pt>
                <c:pt idx="10">
                  <c:v>86.812660802967741</c:v>
                </c:pt>
                <c:pt idx="11">
                  <c:v>86.89642793035361</c:v>
                </c:pt>
                <c:pt idx="12">
                  <c:v>88.344402560880752</c:v>
                </c:pt>
                <c:pt idx="13">
                  <c:v>89.606892837910607</c:v>
                </c:pt>
                <c:pt idx="14">
                  <c:v>89.804343923891579</c:v>
                </c:pt>
                <c:pt idx="15">
                  <c:v>89.642793035361692</c:v>
                </c:pt>
                <c:pt idx="16">
                  <c:v>90.869383114940462</c:v>
                </c:pt>
                <c:pt idx="17">
                  <c:v>90.199246095853525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1B-42EA-89B9-8585772CEF90}"/>
            </c:ext>
          </c:extLst>
        </c:ser>
        <c:ser>
          <c:idx val="3"/>
          <c:order val="3"/>
          <c:tx>
            <c:strRef>
              <c:f>'Spending analysis &gt;&gt;'!$BA$3</c:f>
              <c:strCache>
                <c:ptCount val="1"/>
                <c:pt idx="0">
                  <c:v>Household goods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&gt;&gt;'!$BA$4:$BA$119</c15:sqref>
                  </c15:fullRef>
                </c:ext>
              </c:extLst>
              <c:f>'Spending analysis &gt;&gt;'!$BA$102:$BA$119</c:f>
              <c:numCache>
                <c:formatCode>0.0</c:formatCode>
                <c:ptCount val="18"/>
                <c:pt idx="0">
                  <c:v>100.95454545454545</c:v>
                </c:pt>
                <c:pt idx="1">
                  <c:v>102.86363636363636</c:v>
                </c:pt>
                <c:pt idx="2">
                  <c:v>100</c:v>
                </c:pt>
                <c:pt idx="3">
                  <c:v>92.681818181818173</c:v>
                </c:pt>
                <c:pt idx="4">
                  <c:v>89.818181818181813</c:v>
                </c:pt>
                <c:pt idx="5">
                  <c:v>92.72727272727272</c:v>
                </c:pt>
                <c:pt idx="6">
                  <c:v>90.22727272727272</c:v>
                </c:pt>
                <c:pt idx="7">
                  <c:v>87.727272727272734</c:v>
                </c:pt>
                <c:pt idx="8">
                  <c:v>87.36363636363636</c:v>
                </c:pt>
                <c:pt idx="9">
                  <c:v>83.454545454545453</c:v>
                </c:pt>
                <c:pt idx="10">
                  <c:v>90.681818181818187</c:v>
                </c:pt>
                <c:pt idx="11">
                  <c:v>95.181818181818173</c:v>
                </c:pt>
                <c:pt idx="12">
                  <c:v>95.090909090909093</c:v>
                </c:pt>
                <c:pt idx="13">
                  <c:v>92.272727272727266</c:v>
                </c:pt>
                <c:pt idx="14">
                  <c:v>91.090909090909093</c:v>
                </c:pt>
                <c:pt idx="15">
                  <c:v>92.86363636363636</c:v>
                </c:pt>
                <c:pt idx="16">
                  <c:v>94.681818181818173</c:v>
                </c:pt>
                <c:pt idx="17">
                  <c:v>97.045454545454547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1B-42EA-89B9-8585772CEF90}"/>
            </c:ext>
          </c:extLst>
        </c:ser>
        <c:ser>
          <c:idx val="4"/>
          <c:order val="4"/>
          <c:tx>
            <c:strRef>
              <c:f>'Spending analysis &gt;&gt;'!$BB$3</c:f>
              <c:strCache>
                <c:ptCount val="1"/>
                <c:pt idx="0">
                  <c:v>Health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&gt;&gt;'!$BB$4:$BB$119</c15:sqref>
                  </c15:fullRef>
                </c:ext>
              </c:extLst>
              <c:f>'Spending analysis &gt;&gt;'!$BB$102:$BB$119</c:f>
              <c:numCache>
                <c:formatCode>0.0</c:formatCode>
                <c:ptCount val="18"/>
                <c:pt idx="0">
                  <c:v>102.1216973578863</c:v>
                </c:pt>
                <c:pt idx="1">
                  <c:v>98.518815052041631</c:v>
                </c:pt>
                <c:pt idx="2">
                  <c:v>100</c:v>
                </c:pt>
                <c:pt idx="3">
                  <c:v>101.88150520416332</c:v>
                </c:pt>
                <c:pt idx="4">
                  <c:v>105.28422738190552</c:v>
                </c:pt>
                <c:pt idx="5">
                  <c:v>106.20496397117694</c:v>
                </c:pt>
                <c:pt idx="6">
                  <c:v>93.634907926341072</c:v>
                </c:pt>
                <c:pt idx="7">
                  <c:v>88.55084067253803</c:v>
                </c:pt>
                <c:pt idx="8">
                  <c:v>85.588470776621293</c:v>
                </c:pt>
                <c:pt idx="9">
                  <c:v>81.625300240192161</c:v>
                </c:pt>
                <c:pt idx="10">
                  <c:v>84.387510008006402</c:v>
                </c:pt>
                <c:pt idx="11">
                  <c:v>83.226581265012015</c:v>
                </c:pt>
                <c:pt idx="12">
                  <c:v>81.024819855884715</c:v>
                </c:pt>
                <c:pt idx="13">
                  <c:v>80.544435548438756</c:v>
                </c:pt>
                <c:pt idx="14">
                  <c:v>79.023218574859882</c:v>
                </c:pt>
                <c:pt idx="15">
                  <c:v>79.383506805444355</c:v>
                </c:pt>
                <c:pt idx="16">
                  <c:v>78.182546036829464</c:v>
                </c:pt>
                <c:pt idx="17">
                  <c:v>78.26261008807046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1B-42EA-89B9-8585772CEF90}"/>
            </c:ext>
          </c:extLst>
        </c:ser>
        <c:ser>
          <c:idx val="5"/>
          <c:order val="5"/>
          <c:tx>
            <c:strRef>
              <c:f>'Spending analysis &gt;&gt;'!$BC$3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&gt;&gt;'!$BC$4:$BC$119</c15:sqref>
                  </c15:fullRef>
                </c:ext>
              </c:extLst>
              <c:f>'Spending analysis &gt;&gt;'!$BC$102:$BC$119</c:f>
              <c:numCache>
                <c:formatCode>0.0</c:formatCode>
                <c:ptCount val="18"/>
                <c:pt idx="0">
                  <c:v>104.69841952478227</c:v>
                </c:pt>
                <c:pt idx="1">
                  <c:v>101.52671755725191</c:v>
                </c:pt>
                <c:pt idx="2">
                  <c:v>100</c:v>
                </c:pt>
                <c:pt idx="3">
                  <c:v>100.45156434791957</c:v>
                </c:pt>
                <c:pt idx="4">
                  <c:v>95.204816686377811</c:v>
                </c:pt>
                <c:pt idx="5">
                  <c:v>107.42930867648639</c:v>
                </c:pt>
                <c:pt idx="6">
                  <c:v>103.59101171916998</c:v>
                </c:pt>
                <c:pt idx="7">
                  <c:v>104.94570476292873</c:v>
                </c:pt>
                <c:pt idx="8">
                  <c:v>102.44059778518439</c:v>
                </c:pt>
                <c:pt idx="9">
                  <c:v>102.9996774540372</c:v>
                </c:pt>
                <c:pt idx="10">
                  <c:v>104.90269863455541</c:v>
                </c:pt>
                <c:pt idx="11">
                  <c:v>103.07493817869047</c:v>
                </c:pt>
                <c:pt idx="12">
                  <c:v>105.75206966992796</c:v>
                </c:pt>
                <c:pt idx="13">
                  <c:v>105.55854209224816</c:v>
                </c:pt>
                <c:pt idx="14">
                  <c:v>103.19320503171703</c:v>
                </c:pt>
                <c:pt idx="15">
                  <c:v>106.52617998064724</c:v>
                </c:pt>
                <c:pt idx="16">
                  <c:v>104.07483066336954</c:v>
                </c:pt>
                <c:pt idx="17">
                  <c:v>103.08568971078378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1B-42EA-89B9-8585772CEF90}"/>
            </c:ext>
          </c:extLst>
        </c:ser>
        <c:ser>
          <c:idx val="6"/>
          <c:order val="6"/>
          <c:tx>
            <c:strRef>
              <c:f>'Spending analysis &gt;&gt;'!$BD$3</c:f>
              <c:strCache>
                <c:ptCount val="1"/>
                <c:pt idx="0">
                  <c:v>Recreation and culture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&gt;&gt;'!$BD$4:$BD$119</c15:sqref>
                  </c15:fullRef>
                </c:ext>
              </c:extLst>
              <c:f>'Spending analysis &gt;&gt;'!$BD$102:$BD$119</c:f>
              <c:numCache>
                <c:formatCode>0.0</c:formatCode>
                <c:ptCount val="18"/>
                <c:pt idx="0">
                  <c:v>97.24310776942356</c:v>
                </c:pt>
                <c:pt idx="1">
                  <c:v>97.932330827067673</c:v>
                </c:pt>
                <c:pt idx="2">
                  <c:v>100</c:v>
                </c:pt>
                <c:pt idx="3">
                  <c:v>98.258145363408516</c:v>
                </c:pt>
                <c:pt idx="4">
                  <c:v>99.924812030075188</c:v>
                </c:pt>
                <c:pt idx="5">
                  <c:v>99.511278195488714</c:v>
                </c:pt>
                <c:pt idx="6">
                  <c:v>94.360902255639104</c:v>
                </c:pt>
                <c:pt idx="7">
                  <c:v>90.827067669172934</c:v>
                </c:pt>
                <c:pt idx="8">
                  <c:v>89.874686716791985</c:v>
                </c:pt>
                <c:pt idx="9">
                  <c:v>89.624060150375939</c:v>
                </c:pt>
                <c:pt idx="10">
                  <c:v>90.300751879699249</c:v>
                </c:pt>
                <c:pt idx="11">
                  <c:v>89.924812030075188</c:v>
                </c:pt>
                <c:pt idx="12">
                  <c:v>88.94736842105263</c:v>
                </c:pt>
                <c:pt idx="13">
                  <c:v>90.012531328320804</c:v>
                </c:pt>
                <c:pt idx="14">
                  <c:v>88.909774436090231</c:v>
                </c:pt>
                <c:pt idx="15">
                  <c:v>89.686716791979947</c:v>
                </c:pt>
                <c:pt idx="16">
                  <c:v>89.699248120300751</c:v>
                </c:pt>
                <c:pt idx="17">
                  <c:v>89.060150375939855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1B-42EA-89B9-8585772CEF90}"/>
            </c:ext>
          </c:extLst>
        </c:ser>
        <c:ser>
          <c:idx val="7"/>
          <c:order val="7"/>
          <c:tx>
            <c:strRef>
              <c:f>'Spending analysis &gt;&gt;'!$BE$3</c:f>
              <c:strCache>
                <c:ptCount val="1"/>
                <c:pt idx="0">
                  <c:v>Miscellaneous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&gt;&gt;'!$BE$4:$BE$119</c15:sqref>
                  </c15:fullRef>
                </c:ext>
              </c:extLst>
              <c:f>'Spending analysis &gt;&gt;'!$BE$102:$BE$119</c:f>
              <c:numCache>
                <c:formatCode>0.0</c:formatCode>
                <c:ptCount val="18"/>
                <c:pt idx="0">
                  <c:v>94.443646805455856</c:v>
                </c:pt>
                <c:pt idx="1">
                  <c:v>99.827709978463758</c:v>
                </c:pt>
                <c:pt idx="2">
                  <c:v>100</c:v>
                </c:pt>
                <c:pt idx="3">
                  <c:v>99.899497487437188</c:v>
                </c:pt>
                <c:pt idx="4">
                  <c:v>98.578607322325922</c:v>
                </c:pt>
                <c:pt idx="5">
                  <c:v>94.960516870064609</c:v>
                </c:pt>
                <c:pt idx="6">
                  <c:v>94.501076812634594</c:v>
                </c:pt>
                <c:pt idx="7">
                  <c:v>94.127781765972713</c:v>
                </c:pt>
                <c:pt idx="8">
                  <c:v>92.103374012921762</c:v>
                </c:pt>
                <c:pt idx="9">
                  <c:v>93.165829145728637</c:v>
                </c:pt>
                <c:pt idx="10">
                  <c:v>95.879396984924625</c:v>
                </c:pt>
                <c:pt idx="11">
                  <c:v>93.883704235463028</c:v>
                </c:pt>
                <c:pt idx="12">
                  <c:v>94.88872936109118</c:v>
                </c:pt>
                <c:pt idx="13">
                  <c:v>95.70710696338837</c:v>
                </c:pt>
                <c:pt idx="14">
                  <c:v>92.964824120603012</c:v>
                </c:pt>
                <c:pt idx="15">
                  <c:v>93.338119167264892</c:v>
                </c:pt>
                <c:pt idx="16">
                  <c:v>93.89806173725772</c:v>
                </c:pt>
                <c:pt idx="17">
                  <c:v>93.653984206748035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1B-42EA-89B9-8585772CE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618304"/>
        <c:axId val="835611104"/>
        <c:extLst/>
      </c:lineChart>
      <c:catAx>
        <c:axId val="83561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11104"/>
        <c:crosses val="autoZero"/>
        <c:auto val="1"/>
        <c:lblAlgn val="ctr"/>
        <c:lblOffset val="100"/>
        <c:noMultiLvlLbl val="0"/>
      </c:catAx>
      <c:valAx>
        <c:axId val="835611104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202583747496333"/>
          <c:y val="3.7919203608252024E-2"/>
          <c:w val="0.61797417042336789"/>
          <c:h val="0.133316979232286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UK: Non-</a:t>
            </a:r>
            <a:r>
              <a:rPr lang="en-GB" b="1" baseline="0"/>
              <a:t>d</a:t>
            </a:r>
            <a:r>
              <a:rPr lang="en-GB" b="1"/>
              <a:t>urable</a:t>
            </a:r>
            <a:r>
              <a:rPr lang="en-GB" b="1" baseline="0"/>
              <a:t> g</a:t>
            </a:r>
            <a:r>
              <a:rPr lang="en-GB" b="1"/>
              <a:t>oods expenditure</a:t>
            </a:r>
          </a:p>
        </c:rich>
      </c:tx>
      <c:layout>
        <c:manualLayout>
          <c:xMode val="edge"/>
          <c:yMode val="edge"/>
          <c:x val="1.3738012883322119E-3"/>
          <c:y val="2.2457401766361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708439766137769E-2"/>
          <c:y val="0.13891410347831576"/>
          <c:w val="0.93814759631810174"/>
          <c:h val="0.71418538280665422"/>
        </c:manualLayout>
      </c:layout>
      <c:lineChart>
        <c:grouping val="standard"/>
        <c:varyColors val="0"/>
        <c:ser>
          <c:idx val="0"/>
          <c:order val="0"/>
          <c:tx>
            <c:strRef>
              <c:f>'Spending analysis &gt;&gt;'!$BR$3</c:f>
              <c:strCache>
                <c:ptCount val="1"/>
                <c:pt idx="0">
                  <c:v>Housing, water, electricity, gas and other fuel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&gt;&gt;'!$BR$4:$BR$119</c15:sqref>
                  </c15:fullRef>
                </c:ext>
              </c:extLst>
              <c:f>'Spending analysis &gt;&gt;'!$BR$102:$BR$119</c:f>
              <c:numCache>
                <c:formatCode>0.0</c:formatCode>
                <c:ptCount val="18"/>
                <c:pt idx="0">
                  <c:v>99.519341311464643</c:v>
                </c:pt>
                <c:pt idx="1">
                  <c:v>99.633210340183723</c:v>
                </c:pt>
                <c:pt idx="2">
                  <c:v>100</c:v>
                </c:pt>
                <c:pt idx="3">
                  <c:v>100.65365202062782</c:v>
                </c:pt>
                <c:pt idx="4">
                  <c:v>100.81241172413038</c:v>
                </c:pt>
                <c:pt idx="5">
                  <c:v>101.24270526534769</c:v>
                </c:pt>
                <c:pt idx="6">
                  <c:v>101.4135088084263</c:v>
                </c:pt>
                <c:pt idx="7">
                  <c:v>101.66095496698892</c:v>
                </c:pt>
                <c:pt idx="8">
                  <c:v>101.84161256062978</c:v>
                </c:pt>
                <c:pt idx="9">
                  <c:v>102.27081120734016</c:v>
                </c:pt>
                <c:pt idx="10">
                  <c:v>102.51387778787513</c:v>
                </c:pt>
                <c:pt idx="11">
                  <c:v>102.82044824981114</c:v>
                </c:pt>
                <c:pt idx="12">
                  <c:v>103.20147153821728</c:v>
                </c:pt>
                <c:pt idx="13">
                  <c:v>103.50585221113946</c:v>
                </c:pt>
                <c:pt idx="14">
                  <c:v>103.87483165996956</c:v>
                </c:pt>
                <c:pt idx="15">
                  <c:v>104.21096427359224</c:v>
                </c:pt>
                <c:pt idx="16">
                  <c:v>104.51315515750056</c:v>
                </c:pt>
                <c:pt idx="17">
                  <c:v>104.72228000832121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23-4925-9C7A-E3245A495F86}"/>
            </c:ext>
          </c:extLst>
        </c:ser>
        <c:ser>
          <c:idx val="1"/>
          <c:order val="1"/>
          <c:tx>
            <c:strRef>
              <c:f>'Spending analysis &gt;&gt;'!$BS$3</c:f>
              <c:strCache>
                <c:ptCount val="1"/>
                <c:pt idx="0">
                  <c:v>Household services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&gt;&gt;'!$BS$4:$BS$119</c15:sqref>
                  </c15:fullRef>
                </c:ext>
              </c:extLst>
              <c:f>'Spending analysis &gt;&gt;'!$BS$102:$BS$119</c:f>
              <c:numCache>
                <c:formatCode>0.0</c:formatCode>
                <c:ptCount val="18"/>
                <c:pt idx="0">
                  <c:v>94.310344827586206</c:v>
                </c:pt>
                <c:pt idx="1">
                  <c:v>102.67241379310346</c:v>
                </c:pt>
                <c:pt idx="2">
                  <c:v>100</c:v>
                </c:pt>
                <c:pt idx="3">
                  <c:v>109.13793103448275</c:v>
                </c:pt>
                <c:pt idx="4">
                  <c:v>102.06896551724138</c:v>
                </c:pt>
                <c:pt idx="5">
                  <c:v>98.534482758620683</c:v>
                </c:pt>
                <c:pt idx="6">
                  <c:v>106.89655172413792</c:v>
                </c:pt>
                <c:pt idx="7">
                  <c:v>106.55172413793103</c:v>
                </c:pt>
                <c:pt idx="8">
                  <c:v>107.24137931034483</c:v>
                </c:pt>
                <c:pt idx="9">
                  <c:v>98.534482758620683</c:v>
                </c:pt>
                <c:pt idx="10">
                  <c:v>111.63793103448276</c:v>
                </c:pt>
                <c:pt idx="11">
                  <c:v>115.94827586206897</c:v>
                </c:pt>
                <c:pt idx="12">
                  <c:v>115.43103448275862</c:v>
                </c:pt>
                <c:pt idx="13">
                  <c:v>116.0344827586207</c:v>
                </c:pt>
                <c:pt idx="14">
                  <c:v>112.93103448275863</c:v>
                </c:pt>
                <c:pt idx="15">
                  <c:v>115.51724137931035</c:v>
                </c:pt>
                <c:pt idx="16">
                  <c:v>112.41379310344828</c:v>
                </c:pt>
                <c:pt idx="17">
                  <c:v>105.86206896551724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23-4925-9C7A-E3245A495F86}"/>
            </c:ext>
          </c:extLst>
        </c:ser>
        <c:ser>
          <c:idx val="2"/>
          <c:order val="2"/>
          <c:tx>
            <c:strRef>
              <c:f>'Spending analysis &gt;&gt;'!$BT$3</c:f>
              <c:strCache>
                <c:ptCount val="1"/>
                <c:pt idx="0">
                  <c:v>Health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&gt;&gt;'!$BT$4:$BT$119</c15:sqref>
                  </c15:fullRef>
                </c:ext>
              </c:extLst>
              <c:f>'Spending analysis &gt;&gt;'!$BT$102:$BT$119</c:f>
              <c:numCache>
                <c:formatCode>0.0</c:formatCode>
                <c:ptCount val="18"/>
                <c:pt idx="0">
                  <c:v>95.873153779322323</c:v>
                </c:pt>
                <c:pt idx="1">
                  <c:v>102.12858384013902</c:v>
                </c:pt>
                <c:pt idx="2">
                  <c:v>100</c:v>
                </c:pt>
                <c:pt idx="3">
                  <c:v>100.43440486533449</c:v>
                </c:pt>
                <c:pt idx="4">
                  <c:v>102.06342311033885</c:v>
                </c:pt>
                <c:pt idx="5">
                  <c:v>104.82189400521287</c:v>
                </c:pt>
                <c:pt idx="6">
                  <c:v>106.3640312771503</c:v>
                </c:pt>
                <c:pt idx="7">
                  <c:v>106.12510860121634</c:v>
                </c:pt>
                <c:pt idx="8">
                  <c:v>105.60382276281494</c:v>
                </c:pt>
                <c:pt idx="9">
                  <c:v>104.93049522154647</c:v>
                </c:pt>
                <c:pt idx="10">
                  <c:v>103.12771503040834</c:v>
                </c:pt>
                <c:pt idx="11">
                  <c:v>105.16941789748044</c:v>
                </c:pt>
                <c:pt idx="12">
                  <c:v>108.99218071242399</c:v>
                </c:pt>
                <c:pt idx="13">
                  <c:v>108.97046046915726</c:v>
                </c:pt>
                <c:pt idx="14">
                  <c:v>108.40573414422241</c:v>
                </c:pt>
                <c:pt idx="15">
                  <c:v>109.53518679409208</c:v>
                </c:pt>
                <c:pt idx="16">
                  <c:v>110.77324066029539</c:v>
                </c:pt>
                <c:pt idx="17">
                  <c:v>109.49174630755864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23-4925-9C7A-E3245A495F86}"/>
            </c:ext>
          </c:extLst>
        </c:ser>
        <c:ser>
          <c:idx val="3"/>
          <c:order val="3"/>
          <c:tx>
            <c:strRef>
              <c:f>'Spending analysis &gt;&gt;'!$BU$3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&gt;&gt;'!$BU$4:$BU$119</c15:sqref>
                  </c15:fullRef>
                </c:ext>
              </c:extLst>
              <c:f>'Spending analysis &gt;&gt;'!$BU$102:$BU$119</c:f>
              <c:numCache>
                <c:formatCode>0.0</c:formatCode>
                <c:ptCount val="18"/>
                <c:pt idx="0">
                  <c:v>85.075633490702387</c:v>
                </c:pt>
                <c:pt idx="1">
                  <c:v>95.129588592349933</c:v>
                </c:pt>
                <c:pt idx="2">
                  <c:v>100</c:v>
                </c:pt>
                <c:pt idx="3">
                  <c:v>108.56537238654977</c:v>
                </c:pt>
                <c:pt idx="4">
                  <c:v>111.12823971480874</c:v>
                </c:pt>
                <c:pt idx="5">
                  <c:v>125.38298487330187</c:v>
                </c:pt>
                <c:pt idx="6">
                  <c:v>121.46160516427402</c:v>
                </c:pt>
                <c:pt idx="7">
                  <c:v>124.26052606224107</c:v>
                </c:pt>
                <c:pt idx="8">
                  <c:v>123.25368532613932</c:v>
                </c:pt>
                <c:pt idx="9">
                  <c:v>121.66875421524233</c:v>
                </c:pt>
                <c:pt idx="10">
                  <c:v>124.66037190480779</c:v>
                </c:pt>
                <c:pt idx="11">
                  <c:v>127.48337990172465</c:v>
                </c:pt>
                <c:pt idx="12">
                  <c:v>124.60256286732825</c:v>
                </c:pt>
                <c:pt idx="13">
                  <c:v>124.50139705173908</c:v>
                </c:pt>
                <c:pt idx="14">
                  <c:v>126.19712881780518</c:v>
                </c:pt>
                <c:pt idx="15">
                  <c:v>124.85788611619617</c:v>
                </c:pt>
                <c:pt idx="16">
                  <c:v>124.14490798728201</c:v>
                </c:pt>
                <c:pt idx="17">
                  <c:v>126.2934772136044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23-4925-9C7A-E3245A495F86}"/>
            </c:ext>
          </c:extLst>
        </c:ser>
        <c:ser>
          <c:idx val="4"/>
          <c:order val="4"/>
          <c:tx>
            <c:strRef>
              <c:f>'Spending analysis &gt;&gt;'!$BV$3</c:f>
              <c:strCache>
                <c:ptCount val="1"/>
                <c:pt idx="0">
                  <c:v>Communication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&gt;&gt;'!$BV$4:$BV$119</c15:sqref>
                  </c15:fullRef>
                </c:ext>
              </c:extLst>
              <c:f>'Spending analysis &gt;&gt;'!$BV$102:$BV$119</c:f>
              <c:numCache>
                <c:formatCode>0.0</c:formatCode>
                <c:ptCount val="18"/>
                <c:pt idx="0">
                  <c:v>100.44754744002864</c:v>
                </c:pt>
                <c:pt idx="1">
                  <c:v>102.47046186895813</c:v>
                </c:pt>
                <c:pt idx="2">
                  <c:v>100</c:v>
                </c:pt>
                <c:pt idx="3">
                  <c:v>100.78768349445042</c:v>
                </c:pt>
                <c:pt idx="4">
                  <c:v>101.8796992481203</c:v>
                </c:pt>
                <c:pt idx="5">
                  <c:v>105.88972431077694</c:v>
                </c:pt>
                <c:pt idx="6">
                  <c:v>110.29359112065879</c:v>
                </c:pt>
                <c:pt idx="7">
                  <c:v>111.02756892230576</c:v>
                </c:pt>
                <c:pt idx="8">
                  <c:v>112.49552452559972</c:v>
                </c:pt>
                <c:pt idx="9">
                  <c:v>114.14249910490513</c:v>
                </c:pt>
                <c:pt idx="10">
                  <c:v>113.76655925528105</c:v>
                </c:pt>
                <c:pt idx="11">
                  <c:v>112.03007518796993</c:v>
                </c:pt>
                <c:pt idx="12">
                  <c:v>111.15288220551378</c:v>
                </c:pt>
                <c:pt idx="13">
                  <c:v>109.97135696383818</c:v>
                </c:pt>
                <c:pt idx="14">
                  <c:v>106.82062298603651</c:v>
                </c:pt>
                <c:pt idx="15">
                  <c:v>106.03293949158609</c:v>
                </c:pt>
                <c:pt idx="16">
                  <c:v>106.15825277479414</c:v>
                </c:pt>
                <c:pt idx="17">
                  <c:v>106.37307554600788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23-4925-9C7A-E3245A495F86}"/>
            </c:ext>
          </c:extLst>
        </c:ser>
        <c:ser>
          <c:idx val="5"/>
          <c:order val="5"/>
          <c:tx>
            <c:strRef>
              <c:f>'Spending analysis &gt;&gt;'!$BW$3</c:f>
              <c:strCache>
                <c:ptCount val="1"/>
                <c:pt idx="0">
                  <c:v>Recreation and culture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&gt;&gt;'!$BW$4:$BW$119</c15:sqref>
                  </c15:fullRef>
                </c:ext>
              </c:extLst>
              <c:f>'Spending analysis &gt;&gt;'!$BW$102:$BW$119</c:f>
              <c:numCache>
                <c:formatCode>0.0</c:formatCode>
                <c:ptCount val="18"/>
                <c:pt idx="0">
                  <c:v>95.344951062306038</c:v>
                </c:pt>
                <c:pt idx="1">
                  <c:v>97.994748149916447</c:v>
                </c:pt>
                <c:pt idx="2">
                  <c:v>100</c:v>
                </c:pt>
                <c:pt idx="3">
                  <c:v>102.86464550011935</c:v>
                </c:pt>
                <c:pt idx="4">
                  <c:v>104.43423251372643</c:v>
                </c:pt>
                <c:pt idx="5">
                  <c:v>107.72857483886369</c:v>
                </c:pt>
                <c:pt idx="6">
                  <c:v>109.68011458582001</c:v>
                </c:pt>
                <c:pt idx="7">
                  <c:v>107.98519933158272</c:v>
                </c:pt>
                <c:pt idx="8">
                  <c:v>107.33468608259729</c:v>
                </c:pt>
                <c:pt idx="9">
                  <c:v>106.89902124612078</c:v>
                </c:pt>
                <c:pt idx="10">
                  <c:v>107.0004774409167</c:v>
                </c:pt>
                <c:pt idx="11">
                  <c:v>106.43351635235139</c:v>
                </c:pt>
                <c:pt idx="12">
                  <c:v>107.97326330866555</c:v>
                </c:pt>
                <c:pt idx="13">
                  <c:v>108.92814514203867</c:v>
                </c:pt>
                <c:pt idx="14">
                  <c:v>110.31869181188827</c:v>
                </c:pt>
                <c:pt idx="15">
                  <c:v>110.08593936500357</c:v>
                </c:pt>
                <c:pt idx="16">
                  <c:v>108.05681546908571</c:v>
                </c:pt>
                <c:pt idx="17">
                  <c:v>107.41823824301741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823-4925-9C7A-E3245A495F86}"/>
            </c:ext>
          </c:extLst>
        </c:ser>
        <c:ser>
          <c:idx val="6"/>
          <c:order val="6"/>
          <c:tx>
            <c:strRef>
              <c:f>'Spending analysis &gt;&gt;'!$BX$3</c:f>
              <c:strCache>
                <c:ptCount val="1"/>
                <c:pt idx="0">
                  <c:v>Education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&gt;&gt;'!$BX$4:$BX$119</c15:sqref>
                  </c15:fullRef>
                </c:ext>
              </c:extLst>
              <c:f>'Spending analysis &gt;&gt;'!$BX$102:$BX$119</c:f>
              <c:numCache>
                <c:formatCode>0.0</c:formatCode>
                <c:ptCount val="18"/>
                <c:pt idx="0">
                  <c:v>99.129451667608819</c:v>
                </c:pt>
                <c:pt idx="1">
                  <c:v>97.840587902769926</c:v>
                </c:pt>
                <c:pt idx="2">
                  <c:v>100</c:v>
                </c:pt>
                <c:pt idx="3">
                  <c:v>104.39796495195026</c:v>
                </c:pt>
                <c:pt idx="4">
                  <c:v>107.63143018654605</c:v>
                </c:pt>
                <c:pt idx="5">
                  <c:v>108.95421141888073</c:v>
                </c:pt>
                <c:pt idx="6">
                  <c:v>109.42905596382137</c:v>
                </c:pt>
                <c:pt idx="7">
                  <c:v>112.00678349349916</c:v>
                </c:pt>
                <c:pt idx="8">
                  <c:v>113.02430751837196</c:v>
                </c:pt>
                <c:pt idx="9">
                  <c:v>111.61107970604863</c:v>
                </c:pt>
                <c:pt idx="10">
                  <c:v>113.87224420576597</c:v>
                </c:pt>
                <c:pt idx="11">
                  <c:v>114.25664217071791</c:v>
                </c:pt>
                <c:pt idx="12">
                  <c:v>114.58451102317693</c:v>
                </c:pt>
                <c:pt idx="13">
                  <c:v>114.4601469756925</c:v>
                </c:pt>
                <c:pt idx="14">
                  <c:v>113.96269078575467</c:v>
                </c:pt>
                <c:pt idx="15">
                  <c:v>114.42622950819671</c:v>
                </c:pt>
                <c:pt idx="16">
                  <c:v>114.51667608818541</c:v>
                </c:pt>
                <c:pt idx="17">
                  <c:v>113.84963256076878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23-4925-9C7A-E3245A495F86}"/>
            </c:ext>
          </c:extLst>
        </c:ser>
        <c:ser>
          <c:idx val="7"/>
          <c:order val="7"/>
          <c:tx>
            <c:strRef>
              <c:f>'Spending analysis &gt;&gt;'!$BY$3</c:f>
              <c:strCache>
                <c:ptCount val="1"/>
                <c:pt idx="0">
                  <c:v>Restaurant and hotels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&gt;&gt;'!$BY$4:$BY$119</c15:sqref>
                  </c15:fullRef>
                </c:ext>
              </c:extLst>
              <c:f>'Spending analysis &gt;&gt;'!$BY$102:$BY$119</c:f>
              <c:numCache>
                <c:formatCode>0.0</c:formatCode>
                <c:ptCount val="18"/>
                <c:pt idx="0">
                  <c:v>107.6184512627844</c:v>
                </c:pt>
                <c:pt idx="1">
                  <c:v>94.167304436559292</c:v>
                </c:pt>
                <c:pt idx="2">
                  <c:v>100</c:v>
                </c:pt>
                <c:pt idx="3">
                  <c:v>105.33639462881791</c:v>
                </c:pt>
                <c:pt idx="4">
                  <c:v>103.88691760012986</c:v>
                </c:pt>
                <c:pt idx="5">
                  <c:v>104.93749855052297</c:v>
                </c:pt>
                <c:pt idx="6">
                  <c:v>103.11231707599897</c:v>
                </c:pt>
                <c:pt idx="7">
                  <c:v>102.32380157239267</c:v>
                </c:pt>
                <c:pt idx="8">
                  <c:v>100.69342981052436</c:v>
                </c:pt>
                <c:pt idx="9">
                  <c:v>100.18089473318025</c:v>
                </c:pt>
                <c:pt idx="10">
                  <c:v>99.914190959901674</c:v>
                </c:pt>
                <c:pt idx="11">
                  <c:v>99.501379902131319</c:v>
                </c:pt>
                <c:pt idx="12">
                  <c:v>100.41281105777036</c:v>
                </c:pt>
                <c:pt idx="13">
                  <c:v>100.98564437950787</c:v>
                </c:pt>
                <c:pt idx="14">
                  <c:v>101.90635218813054</c:v>
                </c:pt>
                <c:pt idx="15">
                  <c:v>101.89939469839283</c:v>
                </c:pt>
                <c:pt idx="16">
                  <c:v>102.18233261439273</c:v>
                </c:pt>
                <c:pt idx="17">
                  <c:v>102.02694867691737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823-4925-9C7A-E3245A495F86}"/>
            </c:ext>
          </c:extLst>
        </c:ser>
        <c:ser>
          <c:idx val="8"/>
          <c:order val="8"/>
          <c:tx>
            <c:strRef>
              <c:f>'Spending analysis &gt;&gt;'!$BZ$3</c:f>
              <c:strCache>
                <c:ptCount val="1"/>
                <c:pt idx="0">
                  <c:v>Miscellaneous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'Spending analysis &gt;&gt;'!$A$4:$A$119</c15:sqref>
                  </c15:fullRef>
                </c:ext>
              </c:extLst>
              <c:f>'Spending analysis &gt;&gt;'!$A$102:$A$119</c:f>
              <c:strCache>
                <c:ptCount val="18"/>
                <c:pt idx="0">
                  <c:v>2021 Q3</c:v>
                </c:pt>
                <c:pt idx="1">
                  <c:v>2021 Q4</c:v>
                </c:pt>
                <c:pt idx="2">
                  <c:v>2022 Q1</c:v>
                </c:pt>
                <c:pt idx="3">
                  <c:v>2022 Q2</c:v>
                </c:pt>
                <c:pt idx="4">
                  <c:v>2022 Q3</c:v>
                </c:pt>
                <c:pt idx="5">
                  <c:v>2022 Q4</c:v>
                </c:pt>
                <c:pt idx="6">
                  <c:v>2023 Q1</c:v>
                </c:pt>
                <c:pt idx="7">
                  <c:v>2023 Q2</c:v>
                </c:pt>
                <c:pt idx="8">
                  <c:v>2023 Q3</c:v>
                </c:pt>
                <c:pt idx="9">
                  <c:v>2023 Q4</c:v>
                </c:pt>
                <c:pt idx="10">
                  <c:v>2024 Q1</c:v>
                </c:pt>
                <c:pt idx="11">
                  <c:v>2024 Q2</c:v>
                </c:pt>
                <c:pt idx="12">
                  <c:v>2024 Q3</c:v>
                </c:pt>
                <c:pt idx="13">
                  <c:v>2024 Q4</c:v>
                </c:pt>
                <c:pt idx="14">
                  <c:v>2025 Q1</c:v>
                </c:pt>
                <c:pt idx="15">
                  <c:v>2025 Q2</c:v>
                </c:pt>
                <c:pt idx="16">
                  <c:v>2025 Q3</c:v>
                </c:pt>
                <c:pt idx="17">
                  <c:v>2025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'Spending analysis &gt;&gt;'!$BZ$4:$BZ$119</c15:sqref>
                  </c15:fullRef>
                </c:ext>
              </c:extLst>
              <c:f>'Spending analysis &gt;&gt;'!$BZ$102:$BZ$119</c:f>
              <c:numCache>
                <c:formatCode>0.0</c:formatCode>
                <c:ptCount val="18"/>
                <c:pt idx="0">
                  <c:v>102.12094284912543</c:v>
                </c:pt>
                <c:pt idx="1">
                  <c:v>99.485548592273872</c:v>
                </c:pt>
                <c:pt idx="2">
                  <c:v>100</c:v>
                </c:pt>
                <c:pt idx="3">
                  <c:v>101.66729024413057</c:v>
                </c:pt>
                <c:pt idx="4">
                  <c:v>100.29230193620802</c:v>
                </c:pt>
                <c:pt idx="5">
                  <c:v>98.910298381816489</c:v>
                </c:pt>
                <c:pt idx="6">
                  <c:v>98.105883453372002</c:v>
                </c:pt>
                <c:pt idx="7">
                  <c:v>98.706856234215707</c:v>
                </c:pt>
                <c:pt idx="8">
                  <c:v>95.08465064072584</c:v>
                </c:pt>
                <c:pt idx="9">
                  <c:v>96.808062856608359</c:v>
                </c:pt>
                <c:pt idx="10">
                  <c:v>97.362267327658785</c:v>
                </c:pt>
                <c:pt idx="11">
                  <c:v>97.511925918997292</c:v>
                </c:pt>
                <c:pt idx="12">
                  <c:v>97.77382845383967</c:v>
                </c:pt>
                <c:pt idx="13">
                  <c:v>97.668599756804781</c:v>
                </c:pt>
                <c:pt idx="14">
                  <c:v>96.94602937049855</c:v>
                </c:pt>
                <c:pt idx="15">
                  <c:v>97.507249088017957</c:v>
                </c:pt>
                <c:pt idx="16">
                  <c:v>97.352913665700129</c:v>
                </c:pt>
                <c:pt idx="17">
                  <c:v>97.858011411467601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23-4925-9C7A-E3245A495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618304"/>
        <c:axId val="835611104"/>
        <c:extLst/>
      </c:lineChart>
      <c:catAx>
        <c:axId val="83561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11104"/>
        <c:crosses val="autoZero"/>
        <c:auto val="1"/>
        <c:lblAlgn val="ctr"/>
        <c:lblOffset val="100"/>
        <c:noMultiLvlLbl val="0"/>
      </c:catAx>
      <c:valAx>
        <c:axId val="835611104"/>
        <c:scaling>
          <c:orientation val="minMax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202583747496333"/>
          <c:y val="3.7919203608252024E-2"/>
          <c:w val="0.61797420273742698"/>
          <c:h val="0.133498123641517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A61F0A-2941-41E5-A0F5-A16220F496B9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470A44-2E48-4BC3-8543-DB2B5D4655CC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CF8BB78-830B-4D37-A60E-9D1C48A95823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C6E448-E7C1-455D-BAFA-23A3194178D1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42B6E1-DC10-4823-A47C-781CF6D14A14}">
  <sheetPr/>
  <sheetViews>
    <sheetView zoomScale="85" workbookViewId="0"/>
  </sheetViews>
  <pageMargins left="0.1" right="0.1" top="1.3" bottom="1.3" header="1.3" footer="1.3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E47056-B0DD-4E5A-A9E2-4416DEDB4493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7BFC1D-5270-43E1-B8E7-F5F2BB2D2FF6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50714" cy="50618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3134A-C36C-365B-AEC1-99B73C05C1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44A6477-BF2A-DFC1-5EAE-154BDB194C9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Share of household spending by income decile, 2025</a:t>
          </a:r>
        </a:p>
      </cdr:txBody>
    </cdr:sp>
  </cdr:relSizeAnchor>
  <cdr:relSizeAnchor xmlns:cdr="http://schemas.openxmlformats.org/drawingml/2006/chartDrawing">
    <cdr:from>
      <cdr:x>5.81132E-17</cdr:x>
      <cdr:y>0.92456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D7B4611A-29DA-8BF0-EC83-B9ED2DC3CA09}"/>
            </a:ext>
          </a:extLst>
        </cdr:cNvPr>
        <cdr:cNvSpPr/>
      </cdr:nvSpPr>
      <cdr:spPr>
        <a:xfrm xmlns:a="http://schemas.openxmlformats.org/drawingml/2006/main">
          <a:off x="50800" y="4685030"/>
          <a:ext cx="102489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Office for National Statistics</a:t>
          </a:r>
        </a:p>
      </cdr:txBody>
    </cdr:sp>
  </cdr:relSizeAnchor>
  <cdr:relSizeAnchor xmlns:cdr="http://schemas.openxmlformats.org/drawingml/2006/chartDrawing">
    <cdr:from>
      <cdr:x>0.13115</cdr:x>
      <cdr:y>0.79019</cdr:y>
    </cdr:from>
    <cdr:to>
      <cdr:x>0.22232</cdr:x>
      <cdr:y>0.91658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FF97C63-7075-16EA-5A9E-23025549E9FE}"/>
            </a:ext>
          </a:extLst>
        </cdr:cNvPr>
        <cdr:cNvSpPr txBox="1"/>
      </cdr:nvSpPr>
      <cdr:spPr>
        <a:xfrm xmlns:a="http://schemas.openxmlformats.org/drawingml/2006/main">
          <a:off x="1344171" y="4004128"/>
          <a:ext cx="934358" cy="6404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300" kern="1200">
              <a:solidFill>
                <a:srgbClr val="3E515A"/>
              </a:solidFill>
              <a:latin typeface="Poppins Light" panose="00000400000000000000" pitchFamily="2" charset="0"/>
            </a:rPr>
            <a:t>Income decile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C0063F14-222F-3CF5-5B82-E567111C4A1A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  <cdr:relSizeAnchor xmlns:cdr="http://schemas.openxmlformats.org/drawingml/2006/chartDrawing">
    <cdr:from>
      <cdr:x>0.46787</cdr:x>
      <cdr:y>0.79234</cdr:y>
    </cdr:from>
    <cdr:to>
      <cdr:x>0.55904</cdr:x>
      <cdr:y>0.91873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3F6F5378-F33F-F82B-CE07-1933386E8766}"/>
            </a:ext>
          </a:extLst>
        </cdr:cNvPr>
        <cdr:cNvSpPr txBox="1"/>
      </cdr:nvSpPr>
      <cdr:spPr>
        <a:xfrm xmlns:a="http://schemas.openxmlformats.org/drawingml/2006/main">
          <a:off x="4795158" y="4015013"/>
          <a:ext cx="934358" cy="6404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300" kern="1200">
              <a:solidFill>
                <a:srgbClr val="3E515A"/>
              </a:solidFill>
              <a:latin typeface="Poppins Light" panose="00000400000000000000" pitchFamily="2" charset="0"/>
            </a:rPr>
            <a:t>Income decile</a:t>
          </a:r>
        </a:p>
      </cdr:txBody>
    </cdr:sp>
  </cdr:relSizeAnchor>
  <cdr:relSizeAnchor xmlns:cdr="http://schemas.openxmlformats.org/drawingml/2006/chartDrawing">
    <cdr:from>
      <cdr:x>0.80333</cdr:x>
      <cdr:y>0.78876</cdr:y>
    </cdr:from>
    <cdr:to>
      <cdr:x>0.88615</cdr:x>
      <cdr:y>0.91515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82AFD53-8738-9680-B523-66B0B0164A40}"/>
            </a:ext>
          </a:extLst>
        </cdr:cNvPr>
        <cdr:cNvSpPr txBox="1"/>
      </cdr:nvSpPr>
      <cdr:spPr>
        <a:xfrm xmlns:a="http://schemas.openxmlformats.org/drawingml/2006/main">
          <a:off x="8233228" y="3996871"/>
          <a:ext cx="848872" cy="6404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300" kern="1200">
              <a:solidFill>
                <a:srgbClr val="3E515A"/>
              </a:solidFill>
              <a:latin typeface="Poppins Light" panose="00000400000000000000" pitchFamily="2" charset="0"/>
            </a:rPr>
            <a:t>Income decile</a:t>
          </a:r>
        </a:p>
      </cdr:txBody>
    </cdr:sp>
  </cdr:relSizeAnchor>
  <cdr:relSizeAnchor xmlns:cdr="http://schemas.openxmlformats.org/drawingml/2006/chartDrawing">
    <cdr:from>
      <cdr:x>0.22039</cdr:x>
      <cdr:y>0.84452</cdr:y>
    </cdr:from>
    <cdr:to>
      <cdr:x>0.29652</cdr:x>
      <cdr:y>0.84518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7A8D03DE-712B-905A-6E3A-516344B70F28}"/>
            </a:ext>
          </a:extLst>
        </cdr:cNvPr>
        <cdr:cNvCxnSpPr/>
      </cdr:nvCxnSpPr>
      <cdr:spPr>
        <a:xfrm xmlns:a="http://schemas.openxmlformats.org/drawingml/2006/main">
          <a:off x="2258786" y="4279446"/>
          <a:ext cx="780229" cy="334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3E515A"/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0.89205</cdr:x>
      <cdr:y>0.84446</cdr:y>
    </cdr:from>
    <cdr:to>
      <cdr:x>0.96818</cdr:x>
      <cdr:y>0.84512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E70CB6AC-8129-20E5-7542-D7E6297A26B0}"/>
            </a:ext>
          </a:extLst>
        </cdr:cNvPr>
        <cdr:cNvCxnSpPr/>
      </cdr:nvCxnSpPr>
      <cdr:spPr>
        <a:xfrm xmlns:a="http://schemas.openxmlformats.org/drawingml/2006/main">
          <a:off x="9142506" y="4279153"/>
          <a:ext cx="780229" cy="334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3E515A"/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0.55456</cdr:x>
      <cdr:y>0.84446</cdr:y>
    </cdr:from>
    <cdr:to>
      <cdr:x>0.63069</cdr:x>
      <cdr:y>0.84512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E70CB6AC-8129-20E5-7542-D7E6297A26B0}"/>
            </a:ext>
          </a:extLst>
        </cdr:cNvPr>
        <cdr:cNvCxnSpPr/>
      </cdr:nvCxnSpPr>
      <cdr:spPr>
        <a:xfrm xmlns:a="http://schemas.openxmlformats.org/drawingml/2006/main">
          <a:off x="5683624" y="4279153"/>
          <a:ext cx="780229" cy="334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3E515A"/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0.05537</cdr:x>
      <cdr:y>0.84413</cdr:y>
    </cdr:from>
    <cdr:to>
      <cdr:x>0.13095</cdr:x>
      <cdr:y>0.84459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FBBDCBBB-C84C-0DC4-718C-A3BE609742DD}"/>
            </a:ext>
          </a:extLst>
        </cdr:cNvPr>
        <cdr:cNvCxnSpPr/>
      </cdr:nvCxnSpPr>
      <cdr:spPr>
        <a:xfrm xmlns:a="http://schemas.openxmlformats.org/drawingml/2006/main" flipH="1" flipV="1">
          <a:off x="567448" y="4277468"/>
          <a:ext cx="774652" cy="23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3E515A"/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0.72367</cdr:x>
      <cdr:y>0.84604</cdr:y>
    </cdr:from>
    <cdr:to>
      <cdr:x>0.79925</cdr:x>
      <cdr:y>0.8465</cdr:y>
    </cdr:to>
    <cdr:cxnSp macro="">
      <cdr:nvCxnSpPr>
        <cdr:cNvPr id="21" name="Straight Arrow Connector 20">
          <a:extLst xmlns:a="http://schemas.openxmlformats.org/drawingml/2006/main">
            <a:ext uri="{FF2B5EF4-FFF2-40B4-BE49-F238E27FC236}">
              <a16:creationId xmlns:a16="http://schemas.microsoft.com/office/drawing/2014/main" id="{D3114B93-3BFE-347E-4B2E-B9DDF6A3487C}"/>
            </a:ext>
          </a:extLst>
        </cdr:cNvPr>
        <cdr:cNvCxnSpPr/>
      </cdr:nvCxnSpPr>
      <cdr:spPr>
        <a:xfrm xmlns:a="http://schemas.openxmlformats.org/drawingml/2006/main" flipH="1" flipV="1">
          <a:off x="7416800" y="4287158"/>
          <a:ext cx="774652" cy="23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3E515A"/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0.38998</cdr:x>
      <cdr:y>0.84425</cdr:y>
    </cdr:from>
    <cdr:to>
      <cdr:x>0.46556</cdr:x>
      <cdr:y>0.84471</cdr:y>
    </cdr:to>
    <cdr:cxnSp macro="">
      <cdr:nvCxnSpPr>
        <cdr:cNvPr id="22" name="Straight Arrow Connector 21">
          <a:extLst xmlns:a="http://schemas.openxmlformats.org/drawingml/2006/main">
            <a:ext uri="{FF2B5EF4-FFF2-40B4-BE49-F238E27FC236}">
              <a16:creationId xmlns:a16="http://schemas.microsoft.com/office/drawing/2014/main" id="{D3114B93-3BFE-347E-4B2E-B9DDF6A3487C}"/>
            </a:ext>
          </a:extLst>
        </cdr:cNvPr>
        <cdr:cNvCxnSpPr/>
      </cdr:nvCxnSpPr>
      <cdr:spPr>
        <a:xfrm xmlns:a="http://schemas.openxmlformats.org/drawingml/2006/main" flipH="1" flipV="1">
          <a:off x="3996871" y="4278086"/>
          <a:ext cx="774652" cy="23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3E515A"/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</cdr:x>
      <cdr:y>0.8532</cdr:y>
    </cdr:from>
    <cdr:to>
      <cdr:x>0.99841</cdr:x>
      <cdr:y>0.92732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0E58E782-C9D7-306D-09A0-F6176A64CD50}"/>
            </a:ext>
          </a:extLst>
        </cdr:cNvPr>
        <cdr:cNvSpPr txBox="1"/>
      </cdr:nvSpPr>
      <cdr:spPr>
        <a:xfrm xmlns:a="http://schemas.openxmlformats.org/drawingml/2006/main">
          <a:off x="0" y="4323443"/>
          <a:ext cx="10232571" cy="375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GB" sz="1300" kern="1200">
              <a:solidFill>
                <a:srgbClr val="3E515A"/>
              </a:solidFill>
              <a:latin typeface="Poppins Light" panose="00000400000000000000" pitchFamily="2" charset="0"/>
            </a:rPr>
            <a:t>(poorest)                                             (richest) 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248900" cy="5067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57648-DB87-492D-AD3A-B2615B7C8E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2EAD011-6C50-E649-DC29-BFA62B2816D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Share of household spending by income decile, 2025</a:t>
          </a:r>
        </a:p>
      </cdr:txBody>
    </cdr:sp>
  </cdr:relSizeAnchor>
  <cdr:relSizeAnchor xmlns:cdr="http://schemas.openxmlformats.org/drawingml/2006/chartDrawing">
    <cdr:from>
      <cdr:x>5.81132E-17</cdr:x>
      <cdr:y>0.92456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0B5F1F3D-624B-1525-0497-468B9A692235}"/>
            </a:ext>
          </a:extLst>
        </cdr:cNvPr>
        <cdr:cNvSpPr/>
      </cdr:nvSpPr>
      <cdr:spPr>
        <a:xfrm xmlns:a="http://schemas.openxmlformats.org/drawingml/2006/main">
          <a:off x="50800" y="4685030"/>
          <a:ext cx="102489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Office for National Statistics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A1683553-5746-EBEF-C594-AD1FEAFAB2CF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  <cdr:relSizeAnchor xmlns:cdr="http://schemas.openxmlformats.org/drawingml/2006/chartDrawing">
    <cdr:from>
      <cdr:x>0.43512</cdr:x>
      <cdr:y>0.86574</cdr:y>
    </cdr:from>
    <cdr:to>
      <cdr:x>0.57621</cdr:x>
      <cdr:y>0.93448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3FB33BF-B3F1-FD5D-2DEF-B3EAA1B72A8A}"/>
            </a:ext>
          </a:extLst>
        </cdr:cNvPr>
        <cdr:cNvSpPr txBox="1"/>
      </cdr:nvSpPr>
      <cdr:spPr>
        <a:xfrm xmlns:a="http://schemas.openxmlformats.org/drawingml/2006/main">
          <a:off x="4459514" y="4386943"/>
          <a:ext cx="1445985" cy="348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300" kern="1200">
              <a:solidFill>
                <a:srgbClr val="3E515A"/>
              </a:solidFill>
              <a:latin typeface="Poppins Light" panose="00000400000000000000" pitchFamily="2" charset="0"/>
            </a:rPr>
            <a:t>Income decile</a:t>
          </a:r>
        </a:p>
      </cdr:txBody>
    </cdr:sp>
  </cdr:relSizeAnchor>
  <cdr:relSizeAnchor xmlns:cdr="http://schemas.openxmlformats.org/drawingml/2006/chartDrawing">
    <cdr:from>
      <cdr:x>0.35812</cdr:x>
      <cdr:y>0.89796</cdr:y>
    </cdr:from>
    <cdr:to>
      <cdr:x>0.43371</cdr:x>
      <cdr:y>0.89842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58F5CA07-EEB7-0902-25A7-78530FFFF80C}"/>
            </a:ext>
          </a:extLst>
        </cdr:cNvPr>
        <cdr:cNvCxnSpPr/>
      </cdr:nvCxnSpPr>
      <cdr:spPr>
        <a:xfrm xmlns:a="http://schemas.openxmlformats.org/drawingml/2006/main" flipH="1" flipV="1">
          <a:off x="3670300" y="4550229"/>
          <a:ext cx="774749" cy="232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3E515A"/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0.5732</cdr:x>
      <cdr:y>0.90691</cdr:y>
    </cdr:from>
    <cdr:to>
      <cdr:x>0.64934</cdr:x>
      <cdr:y>0.90757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BE14F7B9-48B8-9AAA-5E65-17ABD6FCDB9E}"/>
            </a:ext>
          </a:extLst>
        </cdr:cNvPr>
        <cdr:cNvCxnSpPr/>
      </cdr:nvCxnSpPr>
      <cdr:spPr>
        <a:xfrm xmlns:a="http://schemas.openxmlformats.org/drawingml/2006/main">
          <a:off x="5874657" y="4595586"/>
          <a:ext cx="780387" cy="334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3E515A"/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0250714" cy="50618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59E69-5577-1A39-F47A-C8847DCE53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912BD6C-B061-B554-D97D-8678B946039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Actions taken by consumers in response to 2022  -23 energy price shock</a:t>
          </a:r>
        </a:p>
      </cdr:txBody>
    </cdr:sp>
  </cdr:relSizeAnchor>
  <cdr:relSizeAnchor xmlns:cdr="http://schemas.openxmlformats.org/drawingml/2006/chartDrawing">
    <cdr:from>
      <cdr:x>0</cdr:x>
      <cdr:y>0.93627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377D1C23-57B2-A7DA-5C77-C4D241C4BB59}"/>
            </a:ext>
          </a:extLst>
        </cdr:cNvPr>
        <cdr:cNvSpPr/>
      </cdr:nvSpPr>
      <cdr:spPr>
        <a:xfrm xmlns:a="http://schemas.openxmlformats.org/drawingml/2006/main">
          <a:off x="0" y="4744356"/>
          <a:ext cx="10248900" cy="3229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Bank of England/NMG survey of household finances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3A1E4FC5-D0B4-5802-B8AB-0B1D23B0C48C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Share of households (%)</a:t>
          </a:r>
        </a:p>
      </cdr:txBody>
    </cdr:sp>
  </cdr:relSizeAnchor>
  <cdr:relSizeAnchor xmlns:cdr="http://schemas.openxmlformats.org/drawingml/2006/chartDrawing">
    <cdr:from>
      <cdr:x>0.44751</cdr:x>
      <cdr:y>0.86574</cdr:y>
    </cdr:from>
    <cdr:to>
      <cdr:x>0.58948</cdr:x>
      <cdr:y>0.93985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A8548672-4386-BD76-7890-5C7083B41C7F}"/>
            </a:ext>
          </a:extLst>
        </cdr:cNvPr>
        <cdr:cNvSpPr txBox="1"/>
      </cdr:nvSpPr>
      <cdr:spPr>
        <a:xfrm xmlns:a="http://schemas.openxmlformats.org/drawingml/2006/main">
          <a:off x="4586514" y="4386943"/>
          <a:ext cx="1455058" cy="375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300" kern="1200">
              <a:solidFill>
                <a:srgbClr val="3E515A"/>
              </a:solidFill>
              <a:latin typeface="Poppins Light" panose="00000400000000000000" pitchFamily="2" charset="0"/>
            </a:rPr>
            <a:t>Income quintile</a:t>
          </a:r>
        </a:p>
      </cdr:txBody>
    </cdr:sp>
  </cdr:relSizeAnchor>
  <cdr:relSizeAnchor xmlns:cdr="http://schemas.openxmlformats.org/drawingml/2006/chartDrawing">
    <cdr:from>
      <cdr:x>0</cdr:x>
      <cdr:y>0.86574</cdr:y>
    </cdr:from>
    <cdr:to>
      <cdr:x>1</cdr:x>
      <cdr:y>0.93985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03ED3-F0AC-2BCA-9513-30A95FD122C8}"/>
            </a:ext>
          </a:extLst>
        </cdr:cNvPr>
        <cdr:cNvSpPr txBox="1"/>
      </cdr:nvSpPr>
      <cdr:spPr>
        <a:xfrm xmlns:a="http://schemas.openxmlformats.org/drawingml/2006/main">
          <a:off x="0" y="4386943"/>
          <a:ext cx="10248900" cy="375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GB" sz="1300" kern="1200">
              <a:solidFill>
                <a:srgbClr val="3E515A"/>
              </a:solidFill>
              <a:latin typeface="Poppins Light" panose="00000400000000000000" pitchFamily="2" charset="0"/>
            </a:rPr>
            <a:t>(poorest)                                                                                                                                                                                              (richest)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5376071" cy="7592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45996-A09C-22FD-58D7-51FCFB38C2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A7A0081-9BEE-79BE-F9B2-6CBC697BBE3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Households with deposits</a:t>
          </a:r>
          <a:r>
            <a:rPr lang="en-GB" sz="1400" b="0" kern="1200" baseline="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 worth less than two weeks income</a:t>
          </a:r>
          <a:endParaRPr lang="en-GB" sz="1400" b="0" kern="1200">
            <a:solidFill>
              <a:srgbClr val="000000"/>
            </a:solidFill>
            <a:latin typeface="Poppins Medium" panose="00000600000000000000" pitchFamily="2" charset="0"/>
            <a:cs typeface="Poppins Medium" panose="00000600000000000000" pitchFamily="2" charset="0"/>
          </a:endParaRPr>
        </a:p>
      </cdr:txBody>
    </cdr:sp>
  </cdr:relSizeAnchor>
  <cdr:relSizeAnchor xmlns:cdr="http://schemas.openxmlformats.org/drawingml/2006/chartDrawing">
    <cdr:from>
      <cdr:x>0</cdr:x>
      <cdr:y>0.93269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001FB0C-7220-2790-FB6B-065DCF72D4A2}"/>
            </a:ext>
          </a:extLst>
        </cdr:cNvPr>
        <cdr:cNvSpPr/>
      </cdr:nvSpPr>
      <cdr:spPr>
        <a:xfrm xmlns:a="http://schemas.openxmlformats.org/drawingml/2006/main">
          <a:off x="0" y="4726214"/>
          <a:ext cx="10248900" cy="3410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Bank of England, NMG survey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B776F8A-66CD-F60F-C05F-1D23301C3989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Share of households (%)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15385676" cy="759758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3236F-C895-A61A-7981-523C86FE3C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0.93627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377D1C23-57B2-A7DA-5C77-C4D241C4BB59}"/>
            </a:ext>
          </a:extLst>
        </cdr:cNvPr>
        <cdr:cNvSpPr/>
      </cdr:nvSpPr>
      <cdr:spPr>
        <a:xfrm xmlns:a="http://schemas.openxmlformats.org/drawingml/2006/main">
          <a:off x="0" y="4744356"/>
          <a:ext cx="10248900" cy="3229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Bank of England, NMG survey</a:t>
          </a:r>
        </a:p>
      </cdr:txBody>
    </cdr:sp>
  </cdr:relSizeAnchor>
  <cdr:relSizeAnchor xmlns:cdr="http://schemas.openxmlformats.org/drawingml/2006/chartDrawing">
    <cdr:from>
      <cdr:x>0</cdr:x>
      <cdr:y>0.11994</cdr:y>
    </cdr:from>
    <cdr:to>
      <cdr:x>1</cdr:x>
      <cdr:y>0.17508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3A1E4FC5-D0B4-5802-B8AB-0B1D23B0C48C}"/>
            </a:ext>
          </a:extLst>
        </cdr:cNvPr>
        <cdr:cNvSpPr txBox="1"/>
      </cdr:nvSpPr>
      <cdr:spPr>
        <a:xfrm xmlns:a="http://schemas.openxmlformats.org/drawingml/2006/main">
          <a:off x="0" y="607796"/>
          <a:ext cx="10248900" cy="2794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of households                                                                                      % of households</a:t>
          </a:r>
        </a:p>
      </cdr:txBody>
    </cdr:sp>
  </cdr:relSizeAnchor>
  <cdr:relSizeAnchor xmlns:cdr="http://schemas.openxmlformats.org/drawingml/2006/chartDrawing">
    <cdr:from>
      <cdr:x>0</cdr:x>
      <cdr:y>0.86574</cdr:y>
    </cdr:from>
    <cdr:to>
      <cdr:x>1</cdr:x>
      <cdr:y>0.93985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03ED3-F0AC-2BCA-9513-30A95FD122C8}"/>
            </a:ext>
          </a:extLst>
        </cdr:cNvPr>
        <cdr:cNvSpPr txBox="1"/>
      </cdr:nvSpPr>
      <cdr:spPr>
        <a:xfrm xmlns:a="http://schemas.openxmlformats.org/drawingml/2006/main">
          <a:off x="0" y="4386943"/>
          <a:ext cx="10248900" cy="375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GB" sz="1300" kern="1200">
              <a:solidFill>
                <a:srgbClr val="3E515A"/>
              </a:solidFill>
              <a:latin typeface="Poppins Light" panose="00000400000000000000" pitchFamily="2" charset="0"/>
            </a:rPr>
            <a:t>(poorest)                         Income quintile                         (richest)</a:t>
          </a:r>
        </a:p>
      </cdr:txBody>
    </cdr:sp>
  </cdr:relSizeAnchor>
  <cdr:relSizeAnchor xmlns:cdr="http://schemas.openxmlformats.org/drawingml/2006/chartDrawing">
    <cdr:from>
      <cdr:x>0.51425</cdr:x>
      <cdr:y>0</cdr:y>
    </cdr:from>
    <cdr:to>
      <cdr:x>0.99876</cdr:x>
      <cdr:y>1</cdr:y>
    </cdr:to>
    <cdr:graphicFrame macro="">
      <cdr:nvGraphicFramePr>
        <cdr:cNvPr id="5" name="Chart 1">
          <a:extLst xmlns:a="http://schemas.openxmlformats.org/drawingml/2006/main">
            <a:ext uri="{FF2B5EF4-FFF2-40B4-BE49-F238E27FC236}">
              <a16:creationId xmlns:a16="http://schemas.microsoft.com/office/drawing/2014/main" id="{06C6EF5A-D984-0B56-C747-A6EBF8172CBC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912BD6C-B061-B554-D97D-8678B946039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Household spending and saving behaviour</a:t>
          </a:r>
        </a:p>
      </cdr:txBody>
    </cdr:sp>
  </cdr:relSizeAnchor>
  <cdr:relSizeAnchor xmlns:cdr="http://schemas.openxmlformats.org/drawingml/2006/chartDrawing">
    <cdr:from>
      <cdr:x>0</cdr:x>
      <cdr:y>0.07447</cdr:y>
    </cdr:from>
    <cdr:to>
      <cdr:x>1</cdr:x>
      <cdr:y>0.12961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AFFA5734-7B90-972E-A2FB-3547B5D8E1E7}"/>
            </a:ext>
          </a:extLst>
        </cdr:cNvPr>
        <cdr:cNvSpPr txBox="1"/>
      </cdr:nvSpPr>
      <cdr:spPr>
        <a:xfrm xmlns:a="http://schemas.openxmlformats.org/drawingml/2006/main">
          <a:off x="0" y="377371"/>
          <a:ext cx="10248900" cy="2794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          Consumer response to 2022-2023 energy shock                           </a:t>
          </a:r>
          <a:r>
            <a:rPr lang="en-GB" sz="1300" b="0" kern="1200" baseline="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  </a:t>
          </a:r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       Deposits</a:t>
          </a:r>
          <a:r>
            <a:rPr lang="en-GB" sz="1300" b="0" kern="1200" baseline="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 worth less than two weeks of income</a:t>
          </a:r>
          <a:endParaRPr lang="en-GB" sz="1300" b="0" kern="1200">
            <a:solidFill>
              <a:srgbClr val="7D8992"/>
            </a:solidFill>
            <a:latin typeface="Poppins Light" panose="00000400000000000000" pitchFamily="2" charset="0"/>
            <a:cs typeface="Poppins Light" panose="00000400000000000000" pitchFamily="2" charset="0"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15376071" cy="7592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FCE36-3CB8-8CBF-8469-C94D508889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F5B5E4B-530B-8FEA-0B69-D4E556867CF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Share of household spending by income decile</a:t>
          </a:r>
        </a:p>
      </cdr:txBody>
    </cdr:sp>
  </cdr:relSizeAnchor>
  <cdr:relSizeAnchor xmlns:cdr="http://schemas.openxmlformats.org/drawingml/2006/chartDrawing">
    <cdr:from>
      <cdr:x>5.81132E-17</cdr:x>
      <cdr:y>0.92456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3F522ECF-C813-AE88-0103-66636573E69C}"/>
            </a:ext>
          </a:extLst>
        </cdr:cNvPr>
        <cdr:cNvSpPr/>
      </cdr:nvSpPr>
      <cdr:spPr>
        <a:xfrm xmlns:a="http://schemas.openxmlformats.org/drawingml/2006/main">
          <a:off x="50800" y="4685030"/>
          <a:ext cx="102489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Office for National Statitsics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48A2509-DD1D-10CC-9686-E7F89E06F396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  <cdr:relSizeAnchor xmlns:cdr="http://schemas.openxmlformats.org/drawingml/2006/chartDrawing">
    <cdr:from>
      <cdr:x>0</cdr:x>
      <cdr:y>0.87182</cdr:y>
    </cdr:from>
    <cdr:to>
      <cdr:x>1</cdr:x>
      <cdr:y>0.9309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D88579DD-725C-590B-5A9E-E676E7CDE4B5}"/>
            </a:ext>
          </a:extLst>
        </cdr:cNvPr>
        <cdr:cNvSpPr txBox="1"/>
      </cdr:nvSpPr>
      <cdr:spPr>
        <a:xfrm xmlns:a="http://schemas.openxmlformats.org/drawingml/2006/main">
          <a:off x="0" y="4417786"/>
          <a:ext cx="10248900" cy="299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GB" sz="1300" kern="1200">
              <a:solidFill>
                <a:srgbClr val="3E515A"/>
              </a:solidFill>
              <a:latin typeface="Poppins Light" panose="00000400000000000000" pitchFamily="2" charset="0"/>
            </a:rPr>
            <a:t>(poorest)                                                                        Income deciles                                                                                         (richest)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10250714" cy="50618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D8459-7D55-0778-546E-EA58917CEE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4DB23E4-40B8-417D-9D85-77C786D5C05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CPI inflation forecast by income decile,</a:t>
          </a:r>
          <a:r>
            <a:rPr lang="en-GB" sz="1400" b="0" kern="1200" baseline="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 2026</a:t>
          </a:r>
          <a:endParaRPr lang="en-GB" sz="1400" b="0" kern="1200">
            <a:solidFill>
              <a:srgbClr val="000000"/>
            </a:solidFill>
            <a:latin typeface="Poppins Medium" panose="00000600000000000000" pitchFamily="2" charset="0"/>
            <a:cs typeface="Poppins Medium" panose="00000600000000000000" pitchFamily="2" charset="0"/>
          </a:endParaRPr>
        </a:p>
      </cdr:txBody>
    </cdr:sp>
  </cdr:relSizeAnchor>
  <cdr:relSizeAnchor xmlns:cdr="http://schemas.openxmlformats.org/drawingml/2006/chartDrawing">
    <cdr:from>
      <cdr:x>0</cdr:x>
      <cdr:y>0.94522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2A895FA1-0312-E0B6-E032-3C4B1DEC65BF}"/>
            </a:ext>
          </a:extLst>
        </cdr:cNvPr>
        <cdr:cNvSpPr/>
      </cdr:nvSpPr>
      <cdr:spPr>
        <a:xfrm xmlns:a="http://schemas.openxmlformats.org/drawingml/2006/main">
          <a:off x="0" y="4789714"/>
          <a:ext cx="10248900" cy="2775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</a:t>
          </a:r>
        </a:p>
      </cdr:txBody>
    </cdr:sp>
  </cdr:relSizeAnchor>
  <cdr:relSizeAnchor xmlns:cdr="http://schemas.openxmlformats.org/drawingml/2006/chartDrawing">
    <cdr:from>
      <cdr:x>0.46522</cdr:x>
      <cdr:y>0.88328</cdr:y>
    </cdr:from>
    <cdr:to>
      <cdr:x>0.66029</cdr:x>
      <cdr:y>0.98854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6962A6AF-4EA3-D108-5413-951231630C07}"/>
            </a:ext>
          </a:extLst>
        </cdr:cNvPr>
        <cdr:cNvSpPr txBox="1"/>
      </cdr:nvSpPr>
      <cdr:spPr>
        <a:xfrm xmlns:a="http://schemas.openxmlformats.org/drawingml/2006/main">
          <a:off x="4767943" y="4475843"/>
          <a:ext cx="1999342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Income deciles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D3DCDFF0-093D-E0E1-9423-E713A40075A2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year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120</xdr:row>
      <xdr:rowOff>25405</xdr:rowOff>
    </xdr:from>
    <xdr:to>
      <xdr:col>12</xdr:col>
      <xdr:colOff>590550</xdr:colOff>
      <xdr:row>142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675C14-A79A-696A-2789-4E51A9D32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228600</xdr:colOff>
      <xdr:row>120</xdr:row>
      <xdr:rowOff>76200</xdr:rowOff>
    </xdr:from>
    <xdr:to>
      <xdr:col>25</xdr:col>
      <xdr:colOff>0</xdr:colOff>
      <xdr:row>143</xdr:row>
      <xdr:rowOff>22220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66C1FC-D826-4153-84BF-9A48C4BB8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257175</xdr:colOff>
      <xdr:row>120</xdr:row>
      <xdr:rowOff>19050</xdr:rowOff>
    </xdr:from>
    <xdr:to>
      <xdr:col>38</xdr:col>
      <xdr:colOff>28575</xdr:colOff>
      <xdr:row>142</xdr:row>
      <xdr:rowOff>142870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575721-62ED-4082-8A1B-9C0FD4A86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265765</xdr:colOff>
      <xdr:row>120</xdr:row>
      <xdr:rowOff>56028</xdr:rowOff>
    </xdr:from>
    <xdr:to>
      <xdr:col>56</xdr:col>
      <xdr:colOff>574674</xdr:colOff>
      <xdr:row>146</xdr:row>
      <xdr:rowOff>27267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D75575-8A61-47C8-BA96-9F340A478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47998</xdr:colOff>
      <xdr:row>120</xdr:row>
      <xdr:rowOff>78442</xdr:rowOff>
    </xdr:from>
    <xdr:to>
      <xdr:col>78</xdr:col>
      <xdr:colOff>67235</xdr:colOff>
      <xdr:row>146</xdr:row>
      <xdr:rowOff>49681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53F6BD-B3C4-4382-BE3E-10DA897A5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xecon-my.sharepoint.com/personal/eallenby_oxfordeconomics_com/Documents/Documents/2026-05/Consumer%20spending%20RB/20220412%20RB%20UK%20Consumer%20outlook%20-%20Charts.xlsx" TargetMode="External"/><Relationship Id="rId1" Type="http://schemas.openxmlformats.org/officeDocument/2006/relationships/externalLinkPath" Target="20220412%20RB%20UK%20Consumer%20outlook%20-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ALOKASI"/>
      <sheetName val="In"/>
      <sheetName val="BUDG98 (summary)"/>
      <sheetName val="Rango Valor"/>
      <sheetName val="FCD"/>
      <sheetName val="A Sc1"/>
      <sheetName val="SIS Data"/>
      <sheetName val="A"/>
      <sheetName val="ICIS Price History"/>
      <sheetName val="Lookup"/>
      <sheetName val="Divisional List"/>
      <sheetName val="FY16 and FY17 FX rates"/>
      <sheetName val="Divisional_List"/>
      <sheetName val="FY16_and_FY17_FX_rates"/>
      <sheetName val="Tableau de saisie"/>
      <sheetName val="EXPORT n-1"/>
      <sheetName val="EXPORT n-2"/>
      <sheetName val="nominal codes"/>
      <sheetName val="FAQs about AdCertifier"/>
      <sheetName val="Instructions for BF"/>
      <sheetName val="Booking Form"/>
      <sheetName val="CS Module Brief- WIP"/>
      <sheetName val="FC RateCard 2"/>
      <sheetName val="Form 40R dropdown"/>
      <sheetName val="Change Log"/>
      <sheetName val="Sheet1"/>
      <sheetName val="Briefing for special markets"/>
      <sheetName val="Original Source"/>
      <sheetName val="FC Rate Card"/>
      <sheetName val="CS module Rate Card"/>
      <sheetName val="India Test Bed"/>
      <sheetName val="China CAWI Test Beds"/>
      <sheetName val="Summary"/>
      <sheetName val="India Test Bed Sample Calc"/>
      <sheetName val="Sectors (M)"/>
      <sheetName val="FS-97"/>
      <sheetName val="name"/>
      <sheetName val="Brooklyn"/>
      <sheetName val="Train.set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>
        <row r="2">
          <cell r="C2" t="str">
            <v>CMI BPI/Marketing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Chart2"/>
      <sheetName val="Chart3"/>
      <sheetName val="Chart4"/>
      <sheetName val="Chart5"/>
      <sheetName val="Chart6"/>
      <sheetName val="Chart Data"/>
      <sheetName val="DataA"/>
      <sheetName val="DataQ"/>
      <sheetName val="GMWQ"/>
      <sheetName val="GMWA"/>
      <sheetName val="HAVERM"/>
      <sheetName val="HAVERQ"/>
      <sheetName val="HAVERA"/>
      <sheetName val="CPI by decile"/>
      <sheetName val="FES Spending data"/>
      <sheetName val="BoE A11. GDP(E) comp - values"/>
      <sheetName val="BoE A12. GDP(E) comp - vols"/>
      <sheetName val="BoE A57. Household sav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>
        <row r="2">
          <cell r="A2" t="str">
            <v>United Kingdom</v>
          </cell>
          <cell r="B2" t="str">
            <v>Consumption, private, real, LCU</v>
          </cell>
          <cell r="C2" t="str">
            <v>APR007B</v>
          </cell>
          <cell r="D2" t="str">
            <v>Pound</v>
          </cell>
          <cell r="E2" t="str">
            <v>Millions</v>
          </cell>
          <cell r="F2" t="str">
            <v>Level</v>
          </cell>
          <cell r="G2">
            <v>462047</v>
          </cell>
          <cell r="H2">
            <v>456118</v>
          </cell>
          <cell r="I2">
            <v>455464</v>
          </cell>
          <cell r="J2">
            <v>457986</v>
          </cell>
          <cell r="K2">
            <v>456952</v>
          </cell>
          <cell r="L2">
            <v>481617</v>
          </cell>
          <cell r="M2">
            <v>504497</v>
          </cell>
          <cell r="N2">
            <v>505123</v>
          </cell>
          <cell r="O2">
            <v>506613</v>
          </cell>
          <cell r="P2">
            <v>512592</v>
          </cell>
          <cell r="Q2">
            <v>535117</v>
          </cell>
          <cell r="R2">
            <v>548417</v>
          </cell>
          <cell r="S2">
            <v>576284</v>
          </cell>
          <cell r="T2">
            <v>610848</v>
          </cell>
          <cell r="U2">
            <v>642191</v>
          </cell>
          <cell r="V2">
            <v>688838</v>
          </cell>
          <cell r="W2">
            <v>715391</v>
          </cell>
          <cell r="X2">
            <v>722698</v>
          </cell>
          <cell r="Y2">
            <v>718606</v>
          </cell>
          <cell r="Z2">
            <v>725654</v>
          </cell>
          <cell r="AA2">
            <v>746444</v>
          </cell>
          <cell r="AB2">
            <v>770180</v>
          </cell>
          <cell r="AC2">
            <v>786765</v>
          </cell>
          <cell r="AD2">
            <v>816356</v>
          </cell>
          <cell r="AE2">
            <v>855526</v>
          </cell>
          <cell r="AF2">
            <v>891534</v>
          </cell>
          <cell r="AG2">
            <v>931531</v>
          </cell>
          <cell r="AH2">
            <v>973575</v>
          </cell>
          <cell r="AI2">
            <v>1002941</v>
          </cell>
          <cell r="AJ2">
            <v>1034345</v>
          </cell>
          <cell r="AK2">
            <v>1067742</v>
          </cell>
          <cell r="AL2">
            <v>1098859</v>
          </cell>
          <cell r="AM2">
            <v>1121723</v>
          </cell>
          <cell r="AN2">
            <v>1142011</v>
          </cell>
          <cell r="AO2">
            <v>1169329</v>
          </cell>
          <cell r="AP2">
            <v>1165633</v>
          </cell>
          <cell r="AQ2">
            <v>1130969</v>
          </cell>
          <cell r="AR2">
            <v>1149971</v>
          </cell>
          <cell r="AS2">
            <v>1147827</v>
          </cell>
          <cell r="AT2">
            <v>1168772</v>
          </cell>
          <cell r="AU2">
            <v>1199663</v>
          </cell>
          <cell r="AV2">
            <v>1233453</v>
          </cell>
          <cell r="AW2">
            <v>1277846</v>
          </cell>
          <cell r="AX2">
            <v>1328211</v>
          </cell>
          <cell r="AY2">
            <v>1348903</v>
          </cell>
          <cell r="AZ2">
            <v>1377461</v>
          </cell>
          <cell r="BA2">
            <v>1394457</v>
          </cell>
          <cell r="BB2">
            <v>1248453</v>
          </cell>
          <cell r="BC2">
            <v>1325545</v>
          </cell>
          <cell r="BD2">
            <v>1380058</v>
          </cell>
          <cell r="BE2">
            <v>1389953</v>
          </cell>
          <cell r="BF2">
            <v>1431504</v>
          </cell>
          <cell r="BG2">
            <v>1466311</v>
          </cell>
          <cell r="BH2">
            <v>1495250</v>
          </cell>
          <cell r="BI2">
            <v>1521012</v>
          </cell>
          <cell r="BJ2">
            <v>1543089</v>
          </cell>
          <cell r="BK2">
            <v>1565079</v>
          </cell>
          <cell r="BL2">
            <v>1586907</v>
          </cell>
          <cell r="BM2">
            <v>1608646</v>
          </cell>
          <cell r="BN2">
            <v>1630696</v>
          </cell>
          <cell r="BO2">
            <v>1653717</v>
          </cell>
          <cell r="BP2">
            <v>1677119</v>
          </cell>
          <cell r="BQ2">
            <v>1700830</v>
          </cell>
          <cell r="BR2">
            <v>1725568</v>
          </cell>
          <cell r="BS2">
            <v>1751122</v>
          </cell>
          <cell r="BT2">
            <v>1777096</v>
          </cell>
          <cell r="BU2">
            <v>1803515</v>
          </cell>
          <cell r="BV2">
            <v>1830856</v>
          </cell>
          <cell r="BW2">
            <v>1858136</v>
          </cell>
          <cell r="BX2">
            <v>1885287</v>
          </cell>
          <cell r="BY2">
            <v>1912727</v>
          </cell>
          <cell r="BZ2">
            <v>1940431</v>
          </cell>
          <cell r="CA2">
            <v>1968387</v>
          </cell>
          <cell r="CB2">
            <v>1996590</v>
          </cell>
          <cell r="CC2">
            <v>2025036</v>
          </cell>
          <cell r="CD2">
            <v>2053725</v>
          </cell>
          <cell r="CE2">
            <v>2082654</v>
          </cell>
          <cell r="CF2">
            <v>2111817</v>
          </cell>
          <cell r="CG2" t="str">
            <v>Office for National Statistics\Haver Analytics</v>
          </cell>
          <cell r="CH2" t="str">
            <v>True</v>
          </cell>
          <cell r="CI2" t="str">
            <v>chained 2019</v>
          </cell>
          <cell r="CJ2" t="str">
            <v>NA</v>
          </cell>
          <cell r="CK2" t="str">
            <v>2021</v>
          </cell>
          <cell r="CL2" t="str">
            <v>4</v>
          </cell>
          <cell r="CM2" t="str">
            <v>NA</v>
          </cell>
          <cell r="CN2" t="str">
            <v>ABJRQ@UK</v>
          </cell>
          <cell r="CO2" t="str">
            <v>U.K.: Household Final Consumption Expenditure (SA, Mil.Chn.2019.GBP)</v>
          </cell>
          <cell r="CP2" t="str">
            <v>GBR</v>
          </cell>
          <cell r="CQ2" t="str">
            <v>C</v>
          </cell>
          <cell r="CR2" t="str">
            <v>APR007B.db</v>
          </cell>
        </row>
        <row r="3">
          <cell r="A3" t="str">
            <v>United Kingdom</v>
          </cell>
          <cell r="B3" t="str">
            <v>Consumption, private, nominal, LCU</v>
          </cell>
          <cell r="C3" t="str">
            <v>APR007B</v>
          </cell>
          <cell r="D3" t="str">
            <v>Pound</v>
          </cell>
          <cell r="E3" t="str">
            <v>Millions</v>
          </cell>
          <cell r="F3" t="str">
            <v>Level</v>
          </cell>
          <cell r="G3">
            <v>49071</v>
          </cell>
          <cell r="H3">
            <v>57326</v>
          </cell>
          <cell r="I3">
            <v>70582</v>
          </cell>
          <cell r="J3">
            <v>82695</v>
          </cell>
          <cell r="K3">
            <v>94952</v>
          </cell>
          <cell r="L3">
            <v>110083</v>
          </cell>
          <cell r="M3">
            <v>131197</v>
          </cell>
          <cell r="N3">
            <v>153485</v>
          </cell>
          <cell r="O3">
            <v>173024</v>
          </cell>
          <cell r="P3">
            <v>191262</v>
          </cell>
          <cell r="Q3">
            <v>211266</v>
          </cell>
          <cell r="R3">
            <v>228021</v>
          </cell>
          <cell r="S3">
            <v>249538</v>
          </cell>
          <cell r="T3">
            <v>275334</v>
          </cell>
          <cell r="U3">
            <v>302061</v>
          </cell>
          <cell r="V3">
            <v>340251</v>
          </cell>
          <cell r="W3">
            <v>372683</v>
          </cell>
          <cell r="X3">
            <v>405149</v>
          </cell>
          <cell r="Y3">
            <v>433835</v>
          </cell>
          <cell r="Z3">
            <v>456134</v>
          </cell>
          <cell r="AA3">
            <v>484022</v>
          </cell>
          <cell r="AB3">
            <v>507900</v>
          </cell>
          <cell r="AC3">
            <v>534119</v>
          </cell>
          <cell r="AD3">
            <v>573017</v>
          </cell>
          <cell r="AE3">
            <v>612844</v>
          </cell>
          <cell r="AF3">
            <v>647962</v>
          </cell>
          <cell r="AG3">
            <v>679621</v>
          </cell>
          <cell r="AH3">
            <v>713590</v>
          </cell>
          <cell r="AI3">
            <v>740141</v>
          </cell>
          <cell r="AJ3">
            <v>765472</v>
          </cell>
          <cell r="AK3">
            <v>800162</v>
          </cell>
          <cell r="AL3">
            <v>838238</v>
          </cell>
          <cell r="AM3">
            <v>877230</v>
          </cell>
          <cell r="AN3">
            <v>914532</v>
          </cell>
          <cell r="AO3">
            <v>958991</v>
          </cell>
          <cell r="AP3">
            <v>989509</v>
          </cell>
          <cell r="AQ3">
            <v>964249</v>
          </cell>
          <cell r="AR3">
            <v>991737</v>
          </cell>
          <cell r="AS3">
            <v>1028011</v>
          </cell>
          <cell r="AT3">
            <v>1065733</v>
          </cell>
          <cell r="AU3">
            <v>1117309</v>
          </cell>
          <cell r="AV3">
            <v>1163740</v>
          </cell>
          <cell r="AW3">
            <v>1200606</v>
          </cell>
          <cell r="AX3">
            <v>1262341</v>
          </cell>
          <cell r="AY3">
            <v>1305204</v>
          </cell>
          <cell r="AZ3">
            <v>1359732</v>
          </cell>
          <cell r="BA3">
            <v>1394457</v>
          </cell>
          <cell r="BB3">
            <v>1256630</v>
          </cell>
          <cell r="BC3">
            <v>1368622</v>
          </cell>
          <cell r="BD3">
            <v>1514472</v>
          </cell>
          <cell r="BE3">
            <v>1562258</v>
          </cell>
          <cell r="BF3">
            <v>1626493</v>
          </cell>
          <cell r="BG3">
            <v>1689402</v>
          </cell>
          <cell r="BH3">
            <v>1749827</v>
          </cell>
          <cell r="BI3">
            <v>1813486</v>
          </cell>
          <cell r="BJ3">
            <v>1876595</v>
          </cell>
          <cell r="BK3">
            <v>1941397</v>
          </cell>
          <cell r="BL3">
            <v>2007834</v>
          </cell>
          <cell r="BM3">
            <v>2076038</v>
          </cell>
          <cell r="BN3">
            <v>2146578</v>
          </cell>
          <cell r="BO3">
            <v>2220411</v>
          </cell>
          <cell r="BP3">
            <v>2296861</v>
          </cell>
          <cell r="BQ3">
            <v>2375912</v>
          </cell>
          <cell r="BR3">
            <v>2458671</v>
          </cell>
          <cell r="BS3">
            <v>2544975</v>
          </cell>
          <cell r="BT3">
            <v>2634368</v>
          </cell>
          <cell r="BU3">
            <v>2726993</v>
          </cell>
          <cell r="BV3">
            <v>2823691</v>
          </cell>
          <cell r="BW3">
            <v>2923066</v>
          </cell>
          <cell r="BX3">
            <v>3025082</v>
          </cell>
          <cell r="BY3">
            <v>3130481</v>
          </cell>
          <cell r="BZ3">
            <v>3239327</v>
          </cell>
          <cell r="CA3">
            <v>3351704</v>
          </cell>
          <cell r="CB3">
            <v>3467708</v>
          </cell>
          <cell r="CC3">
            <v>3587442</v>
          </cell>
          <cell r="CD3">
            <v>3711017</v>
          </cell>
          <cell r="CE3">
            <v>3838542</v>
          </cell>
          <cell r="CF3">
            <v>3970123</v>
          </cell>
          <cell r="CG3" t="str">
            <v>Office for National Statistics\Haver Analytics</v>
          </cell>
          <cell r="CH3" t="str">
            <v>True</v>
          </cell>
          <cell r="CI3" t="str">
            <v>NA</v>
          </cell>
          <cell r="CJ3" t="str">
            <v>NA</v>
          </cell>
          <cell r="CK3" t="str">
            <v>2021</v>
          </cell>
          <cell r="CL3" t="str">
            <v>4</v>
          </cell>
          <cell r="CM3" t="str">
            <v>NA</v>
          </cell>
          <cell r="CN3" t="str">
            <v>ABJQQ@UK</v>
          </cell>
          <cell r="CO3" t="str">
            <v xml:space="preserve">U.K.: Household Final Consumption Expenditure (SA, Mil.Pounds) </v>
          </cell>
          <cell r="CP3" t="str">
            <v>GBR</v>
          </cell>
          <cell r="CQ3" t="str">
            <v>C!</v>
          </cell>
          <cell r="CR3" t="str">
            <v>APR007B.db</v>
          </cell>
        </row>
        <row r="4">
          <cell r="A4" t="str">
            <v>United Kingdom</v>
          </cell>
          <cell r="B4" t="str">
            <v>Income, personal disposable, real, LCU</v>
          </cell>
          <cell r="C4" t="str">
            <v>APR007B</v>
          </cell>
          <cell r="D4" t="str">
            <v>Pound</v>
          </cell>
          <cell r="E4" t="str">
            <v>Millions</v>
          </cell>
          <cell r="F4" t="str">
            <v>Level</v>
          </cell>
          <cell r="G4">
            <v>503988</v>
          </cell>
          <cell r="H4">
            <v>499798</v>
          </cell>
          <cell r="I4">
            <v>504159</v>
          </cell>
          <cell r="J4">
            <v>502424</v>
          </cell>
          <cell r="K4">
            <v>493374</v>
          </cell>
          <cell r="L4">
            <v>529491</v>
          </cell>
          <cell r="M4">
            <v>561046</v>
          </cell>
          <cell r="N4">
            <v>570153</v>
          </cell>
          <cell r="O4">
            <v>567822</v>
          </cell>
          <cell r="P4">
            <v>568701</v>
          </cell>
          <cell r="Q4">
            <v>583209</v>
          </cell>
          <cell r="R4">
            <v>604495</v>
          </cell>
          <cell r="S4">
            <v>631360</v>
          </cell>
          <cell r="T4">
            <v>658199</v>
          </cell>
          <cell r="U4">
            <v>673334</v>
          </cell>
          <cell r="V4">
            <v>710127</v>
          </cell>
          <cell r="W4">
            <v>747061</v>
          </cell>
          <cell r="X4">
            <v>776729</v>
          </cell>
          <cell r="Y4">
            <v>792003</v>
          </cell>
          <cell r="Z4">
            <v>813834</v>
          </cell>
          <cell r="AA4">
            <v>835213</v>
          </cell>
          <cell r="AB4">
            <v>851456</v>
          </cell>
          <cell r="AC4">
            <v>876257</v>
          </cell>
          <cell r="AD4">
            <v>899125</v>
          </cell>
          <cell r="AE4">
            <v>920221</v>
          </cell>
          <cell r="AF4">
            <v>929602</v>
          </cell>
          <cell r="AG4">
            <v>972864</v>
          </cell>
          <cell r="AH4">
            <v>1033590</v>
          </cell>
          <cell r="AI4">
            <v>1065749</v>
          </cell>
          <cell r="AJ4">
            <v>1097723</v>
          </cell>
          <cell r="AK4">
            <v>1116508</v>
          </cell>
          <cell r="AL4">
            <v>1145938</v>
          </cell>
          <cell r="AM4">
            <v>1171205</v>
          </cell>
          <cell r="AN4">
            <v>1198646</v>
          </cell>
          <cell r="AO4">
            <v>1236354</v>
          </cell>
          <cell r="AP4">
            <v>1235851</v>
          </cell>
          <cell r="AQ4">
            <v>1257670</v>
          </cell>
          <cell r="AR4">
            <v>1266795</v>
          </cell>
          <cell r="AS4">
            <v>1243668</v>
          </cell>
          <cell r="AT4">
            <v>1275010</v>
          </cell>
          <cell r="AU4">
            <v>1297185</v>
          </cell>
          <cell r="AV4">
            <v>1321786</v>
          </cell>
          <cell r="AW4">
            <v>1407853</v>
          </cell>
          <cell r="AX4">
            <v>1414622</v>
          </cell>
          <cell r="AY4">
            <v>1427252</v>
          </cell>
          <cell r="AZ4">
            <v>1467433</v>
          </cell>
          <cell r="BA4">
            <v>1487131</v>
          </cell>
          <cell r="BB4">
            <v>1483192</v>
          </cell>
          <cell r="BC4">
            <v>1503102</v>
          </cell>
          <cell r="BD4">
            <v>1474773</v>
          </cell>
          <cell r="BE4">
            <v>1509596</v>
          </cell>
          <cell r="BF4">
            <v>1562804</v>
          </cell>
          <cell r="BG4">
            <v>1601267</v>
          </cell>
          <cell r="BH4">
            <v>1632086</v>
          </cell>
          <cell r="BI4">
            <v>1659835</v>
          </cell>
          <cell r="BJ4">
            <v>1684350</v>
          </cell>
          <cell r="BK4">
            <v>1707927</v>
          </cell>
          <cell r="BL4">
            <v>1731971</v>
          </cell>
          <cell r="BM4">
            <v>1755661</v>
          </cell>
          <cell r="BN4">
            <v>1779593</v>
          </cell>
          <cell r="BO4">
            <v>1804589</v>
          </cell>
          <cell r="BP4">
            <v>1830127</v>
          </cell>
          <cell r="BQ4">
            <v>1856008</v>
          </cell>
          <cell r="BR4">
            <v>1882689</v>
          </cell>
          <cell r="BS4">
            <v>1910563</v>
          </cell>
          <cell r="BT4">
            <v>1938886</v>
          </cell>
          <cell r="BU4">
            <v>1967693</v>
          </cell>
          <cell r="BV4">
            <v>1997303</v>
          </cell>
          <cell r="BW4">
            <v>2027392</v>
          </cell>
          <cell r="BX4">
            <v>2057035</v>
          </cell>
          <cell r="BY4">
            <v>2086998</v>
          </cell>
          <cell r="BZ4">
            <v>2117257</v>
          </cell>
          <cell r="CA4">
            <v>2147794</v>
          </cell>
          <cell r="CB4">
            <v>2178602</v>
          </cell>
          <cell r="CC4">
            <v>2209676</v>
          </cell>
          <cell r="CD4">
            <v>2241017</v>
          </cell>
          <cell r="CE4">
            <v>2272621</v>
          </cell>
          <cell r="CF4">
            <v>2304483</v>
          </cell>
          <cell r="CG4" t="str">
            <v>Office for National Statistics\Haver Analytics</v>
          </cell>
          <cell r="CH4" t="str">
            <v>True</v>
          </cell>
          <cell r="CI4" t="str">
            <v>chained 2019</v>
          </cell>
          <cell r="CJ4" t="str">
            <v>NA</v>
          </cell>
          <cell r="CK4" t="str">
            <v>2021</v>
          </cell>
          <cell r="CL4" t="str">
            <v>4</v>
          </cell>
          <cell r="CM4" t="str">
            <v>NA</v>
          </cell>
          <cell r="CN4" t="str">
            <v>NRJRQ@UK</v>
          </cell>
          <cell r="CO4" t="str">
            <v>UK: HH &amp; NPISH: Real Household Disposable Income (SA, Mil.Chn.2019.Pounds)</v>
          </cell>
          <cell r="CP4" t="str">
            <v>GBR</v>
          </cell>
          <cell r="CQ4" t="str">
            <v>PEDY</v>
          </cell>
          <cell r="CR4" t="str">
            <v>APR007B.db</v>
          </cell>
        </row>
        <row r="5">
          <cell r="A5" t="str">
            <v>United Kingdom</v>
          </cell>
          <cell r="B5" t="str">
            <v>Income, personal disposable, nominal, LCU</v>
          </cell>
          <cell r="C5" t="str">
            <v>APR007B</v>
          </cell>
          <cell r="D5" t="str">
            <v>Pound</v>
          </cell>
          <cell r="E5" t="str">
            <v>Millions</v>
          </cell>
          <cell r="F5" t="str">
            <v>Level</v>
          </cell>
          <cell r="G5">
            <v>52527</v>
          </cell>
          <cell r="H5">
            <v>61691</v>
          </cell>
          <cell r="I5">
            <v>76772</v>
          </cell>
          <cell r="J5">
            <v>89200</v>
          </cell>
          <cell r="K5">
            <v>100807</v>
          </cell>
          <cell r="L5">
            <v>118931</v>
          </cell>
          <cell r="M5">
            <v>143361</v>
          </cell>
          <cell r="N5">
            <v>170373</v>
          </cell>
          <cell r="O5">
            <v>190670</v>
          </cell>
          <cell r="P5">
            <v>208492</v>
          </cell>
          <cell r="Q5">
            <v>226268</v>
          </cell>
          <cell r="R5">
            <v>247003</v>
          </cell>
          <cell r="S5">
            <v>268748</v>
          </cell>
          <cell r="T5">
            <v>292167</v>
          </cell>
          <cell r="U5">
            <v>312044</v>
          </cell>
          <cell r="V5">
            <v>345623</v>
          </cell>
          <cell r="W5">
            <v>383927</v>
          </cell>
          <cell r="X5">
            <v>429343</v>
          </cell>
          <cell r="Y5">
            <v>470259</v>
          </cell>
          <cell r="Z5">
            <v>502552</v>
          </cell>
          <cell r="AA5">
            <v>533321</v>
          </cell>
          <cell r="AB5">
            <v>552917</v>
          </cell>
          <cell r="AC5">
            <v>585835</v>
          </cell>
          <cell r="AD5">
            <v>622395</v>
          </cell>
          <cell r="AE5">
            <v>649098</v>
          </cell>
          <cell r="AF5">
            <v>665598</v>
          </cell>
          <cell r="AG5">
            <v>699895</v>
          </cell>
          <cell r="AH5">
            <v>747882</v>
          </cell>
          <cell r="AI5">
            <v>777744</v>
          </cell>
          <cell r="AJ5">
            <v>804849</v>
          </cell>
          <cell r="AK5">
            <v>830174</v>
          </cell>
          <cell r="AL5">
            <v>867976</v>
          </cell>
          <cell r="AM5">
            <v>910535</v>
          </cell>
          <cell r="AN5">
            <v>956255</v>
          </cell>
          <cell r="AO5">
            <v>1011372</v>
          </cell>
          <cell r="AP5">
            <v>1047385</v>
          </cell>
          <cell r="AQ5">
            <v>1072486</v>
          </cell>
          <cell r="AR5">
            <v>1093250</v>
          </cell>
          <cell r="AS5">
            <v>1113470</v>
          </cell>
          <cell r="AT5">
            <v>1162180</v>
          </cell>
          <cell r="AU5">
            <v>1207906</v>
          </cell>
          <cell r="AV5">
            <v>1247703</v>
          </cell>
          <cell r="AW5">
            <v>1323655</v>
          </cell>
          <cell r="AX5">
            <v>1344974</v>
          </cell>
          <cell r="AY5">
            <v>1381058</v>
          </cell>
          <cell r="AZ5">
            <v>1448291</v>
          </cell>
          <cell r="BA5">
            <v>1487132</v>
          </cell>
          <cell r="BB5">
            <v>1498735</v>
          </cell>
          <cell r="BC5">
            <v>1555743</v>
          </cell>
          <cell r="BD5">
            <v>1621369</v>
          </cell>
          <cell r="BE5">
            <v>1699681</v>
          </cell>
          <cell r="BF5">
            <v>1778624</v>
          </cell>
          <cell r="BG5">
            <v>1847829</v>
          </cell>
          <cell r="BH5">
            <v>1912897</v>
          </cell>
          <cell r="BI5">
            <v>1981943</v>
          </cell>
          <cell r="BJ5">
            <v>2051325</v>
          </cell>
          <cell r="BK5">
            <v>2121529</v>
          </cell>
          <cell r="BL5">
            <v>2194316</v>
          </cell>
          <cell r="BM5">
            <v>2268707</v>
          </cell>
          <cell r="BN5">
            <v>2345518</v>
          </cell>
          <cell r="BO5">
            <v>2425924</v>
          </cell>
          <cell r="BP5">
            <v>2509349</v>
          </cell>
          <cell r="BQ5">
            <v>2595621</v>
          </cell>
          <cell r="BR5">
            <v>2685484</v>
          </cell>
          <cell r="BS5">
            <v>2779634</v>
          </cell>
          <cell r="BT5">
            <v>2877145</v>
          </cell>
          <cell r="BU5">
            <v>2978175</v>
          </cell>
          <cell r="BV5">
            <v>3083336</v>
          </cell>
          <cell r="BW5">
            <v>3192264</v>
          </cell>
          <cell r="BX5">
            <v>3303603</v>
          </cell>
          <cell r="BY5">
            <v>3418643</v>
          </cell>
          <cell r="BZ5">
            <v>3537457</v>
          </cell>
          <cell r="CA5">
            <v>3660130</v>
          </cell>
          <cell r="CB5">
            <v>3786768</v>
          </cell>
          <cell r="CC5">
            <v>3917479</v>
          </cell>
          <cell r="CD5">
            <v>4052386</v>
          </cell>
          <cell r="CE5">
            <v>4191609</v>
          </cell>
          <cell r="CF5">
            <v>4335265</v>
          </cell>
          <cell r="CG5" t="str">
            <v>Office for National Statistics\Haver Analytics</v>
          </cell>
          <cell r="CH5" t="str">
            <v>True</v>
          </cell>
          <cell r="CI5" t="str">
            <v>NA</v>
          </cell>
          <cell r="CJ5" t="str">
            <v>NA</v>
          </cell>
          <cell r="CK5" t="str">
            <v>2021</v>
          </cell>
          <cell r="CL5" t="str">
            <v>4</v>
          </cell>
          <cell r="CM5" t="str">
            <v>NA</v>
          </cell>
          <cell r="CN5" t="str">
            <v>RPHQQ@UK</v>
          </cell>
          <cell r="CO5" t="str">
            <v xml:space="preserve">UK: HH &amp; NPISH: Gross Disposable Income (SA, Mil.GBP) </v>
          </cell>
          <cell r="CP5" t="str">
            <v>GBR</v>
          </cell>
          <cell r="CQ5" t="str">
            <v>PEDY!</v>
          </cell>
          <cell r="CR5" t="str">
            <v>APR007B.db</v>
          </cell>
        </row>
        <row r="6">
          <cell r="A6" t="str">
            <v>United Kingdom</v>
          </cell>
          <cell r="B6" t="str">
            <v>Wages and salaries, LCU</v>
          </cell>
          <cell r="C6" t="str">
            <v>APR007B</v>
          </cell>
          <cell r="D6" t="str">
            <v>Pound</v>
          </cell>
          <cell r="E6" t="str">
            <v>Millions</v>
          </cell>
          <cell r="F6" t="str">
            <v>Level</v>
          </cell>
          <cell r="G6">
            <v>39433</v>
          </cell>
          <cell r="H6">
            <v>46658</v>
          </cell>
          <cell r="I6">
            <v>60399</v>
          </cell>
          <cell r="J6">
            <v>67817</v>
          </cell>
          <cell r="K6">
            <v>75021</v>
          </cell>
          <cell r="L6">
            <v>85775</v>
          </cell>
          <cell r="M6">
            <v>100619</v>
          </cell>
          <cell r="N6">
            <v>119363</v>
          </cell>
          <cell r="O6">
            <v>128299</v>
          </cell>
          <cell r="P6">
            <v>136763</v>
          </cell>
          <cell r="Q6">
            <v>146418</v>
          </cell>
          <cell r="R6">
            <v>156973</v>
          </cell>
          <cell r="S6">
            <v>171478</v>
          </cell>
          <cell r="T6">
            <v>185058</v>
          </cell>
          <cell r="U6">
            <v>201013</v>
          </cell>
          <cell r="V6">
            <v>225072</v>
          </cell>
          <cell r="W6">
            <v>251141</v>
          </cell>
          <cell r="X6">
            <v>277739</v>
          </cell>
          <cell r="Y6">
            <v>294226</v>
          </cell>
          <cell r="Z6">
            <v>303793</v>
          </cell>
          <cell r="AA6">
            <v>311501</v>
          </cell>
          <cell r="AB6">
            <v>322987</v>
          </cell>
          <cell r="AC6">
            <v>337550</v>
          </cell>
          <cell r="AD6">
            <v>352588</v>
          </cell>
          <cell r="AE6">
            <v>381363</v>
          </cell>
          <cell r="AF6">
            <v>400689</v>
          </cell>
          <cell r="AG6">
            <v>432491</v>
          </cell>
          <cell r="AH6">
            <v>461818</v>
          </cell>
          <cell r="AI6">
            <v>490127</v>
          </cell>
          <cell r="AJ6">
            <v>502926</v>
          </cell>
          <cell r="AK6">
            <v>524587</v>
          </cell>
          <cell r="AL6">
            <v>555306</v>
          </cell>
          <cell r="AM6">
            <v>579874</v>
          </cell>
          <cell r="AN6">
            <v>615679</v>
          </cell>
          <cell r="AO6">
            <v>653759</v>
          </cell>
          <cell r="AP6">
            <v>667461</v>
          </cell>
          <cell r="AQ6">
            <v>657418</v>
          </cell>
          <cell r="AR6">
            <v>664420</v>
          </cell>
          <cell r="AS6">
            <v>680179</v>
          </cell>
          <cell r="AT6">
            <v>687138</v>
          </cell>
          <cell r="AU6">
            <v>720091</v>
          </cell>
          <cell r="AV6">
            <v>745855</v>
          </cell>
          <cell r="AW6">
            <v>772936</v>
          </cell>
          <cell r="AX6">
            <v>800759</v>
          </cell>
          <cell r="AY6">
            <v>828963</v>
          </cell>
          <cell r="AZ6">
            <v>865545</v>
          </cell>
          <cell r="BA6">
            <v>897244</v>
          </cell>
          <cell r="BB6">
            <v>914645</v>
          </cell>
          <cell r="BC6">
            <v>978769</v>
          </cell>
          <cell r="BD6">
            <v>1032812</v>
          </cell>
          <cell r="BE6">
            <v>1070654</v>
          </cell>
          <cell r="BF6">
            <v>1109013</v>
          </cell>
          <cell r="BG6">
            <v>1149965</v>
          </cell>
          <cell r="BH6">
            <v>1190993</v>
          </cell>
          <cell r="BI6">
            <v>1233761</v>
          </cell>
          <cell r="BJ6">
            <v>1276272</v>
          </cell>
          <cell r="BK6">
            <v>1319746</v>
          </cell>
          <cell r="BL6">
            <v>1364936</v>
          </cell>
          <cell r="BM6">
            <v>1411401</v>
          </cell>
          <cell r="BN6">
            <v>1459369</v>
          </cell>
          <cell r="BO6">
            <v>1509632</v>
          </cell>
          <cell r="BP6">
            <v>1562022</v>
          </cell>
          <cell r="BQ6">
            <v>1616309</v>
          </cell>
          <cell r="BR6">
            <v>1672852</v>
          </cell>
          <cell r="BS6">
            <v>1732104</v>
          </cell>
          <cell r="BT6">
            <v>1793585</v>
          </cell>
          <cell r="BU6">
            <v>1857308</v>
          </cell>
          <cell r="BV6">
            <v>1923548</v>
          </cell>
          <cell r="BW6">
            <v>1991370</v>
          </cell>
          <cell r="BX6">
            <v>2061352</v>
          </cell>
          <cell r="BY6">
            <v>2133756</v>
          </cell>
          <cell r="BZ6">
            <v>2208560</v>
          </cell>
          <cell r="CA6">
            <v>2285815</v>
          </cell>
          <cell r="CB6">
            <v>2365588</v>
          </cell>
          <cell r="CC6">
            <v>2447952</v>
          </cell>
          <cell r="CD6">
            <v>2532981</v>
          </cell>
          <cell r="CE6">
            <v>2620754</v>
          </cell>
          <cell r="CF6">
            <v>2711346</v>
          </cell>
          <cell r="CG6" t="str">
            <v>Office for National Statistics\Haver Analytics</v>
          </cell>
          <cell r="CH6" t="str">
            <v>True</v>
          </cell>
          <cell r="CI6" t="str">
            <v>NA</v>
          </cell>
          <cell r="CJ6" t="str">
            <v>NA</v>
          </cell>
          <cell r="CK6" t="str">
            <v>2021</v>
          </cell>
          <cell r="CL6" t="str">
            <v>4</v>
          </cell>
          <cell r="CM6" t="str">
            <v>NA</v>
          </cell>
          <cell r="CN6" t="str">
            <v>ROYJQ@UK</v>
          </cell>
          <cell r="CO6" t="str">
            <v xml:space="preserve">UK: HH &amp; NPISH: Income: Wages and Salaries (SA, Mil.GBP) </v>
          </cell>
          <cell r="CP6" t="str">
            <v>GBR</v>
          </cell>
          <cell r="CQ6" t="str">
            <v>PEWFP</v>
          </cell>
          <cell r="CR6" t="str">
            <v>APR007B.db</v>
          </cell>
        </row>
        <row r="7">
          <cell r="A7" t="str">
            <v>United Kingdom</v>
          </cell>
          <cell r="B7" t="str">
            <v>Employees in employment</v>
          </cell>
          <cell r="C7" t="str">
            <v>APR007B</v>
          </cell>
          <cell r="D7" t="str">
            <v>Person</v>
          </cell>
          <cell r="E7" t="str">
            <v>Thousands</v>
          </cell>
          <cell r="F7" t="str">
            <v>Level</v>
          </cell>
          <cell r="G7">
            <v>22202.71</v>
          </cell>
          <cell r="H7">
            <v>22309.279999999999</v>
          </cell>
          <cell r="I7">
            <v>22185.84</v>
          </cell>
          <cell r="J7">
            <v>22058.47</v>
          </cell>
          <cell r="K7">
            <v>22123.75</v>
          </cell>
          <cell r="L7">
            <v>22270.9</v>
          </cell>
          <cell r="M7">
            <v>22555.68</v>
          </cell>
          <cell r="N7">
            <v>22218.77</v>
          </cell>
          <cell r="O7">
            <v>21314.93</v>
          </cell>
          <cell r="P7">
            <v>20837.580000000002</v>
          </cell>
          <cell r="Q7">
            <v>20626.47</v>
          </cell>
          <cell r="R7">
            <v>20832.63</v>
          </cell>
          <cell r="S7">
            <v>20984.09</v>
          </cell>
          <cell r="T7">
            <v>20964.509999999998</v>
          </cell>
          <cell r="U7">
            <v>21260.46</v>
          </cell>
          <cell r="V7">
            <v>21915.16</v>
          </cell>
          <cell r="W7">
            <v>22347.96</v>
          </cell>
          <cell r="X7">
            <v>22486.81</v>
          </cell>
          <cell r="Y7">
            <v>21892.880000000001</v>
          </cell>
          <cell r="Z7">
            <v>21560.91</v>
          </cell>
          <cell r="AA7">
            <v>21402.75</v>
          </cell>
          <cell r="AB7">
            <v>21525.75</v>
          </cell>
          <cell r="AC7">
            <v>21863.25</v>
          </cell>
          <cell r="AD7">
            <v>22196.25</v>
          </cell>
          <cell r="AE7">
            <v>22742.75</v>
          </cell>
          <cell r="AF7">
            <v>23182.25</v>
          </cell>
          <cell r="AG7">
            <v>23604.25</v>
          </cell>
          <cell r="AH7">
            <v>23976.75</v>
          </cell>
          <cell r="AI7">
            <v>24186.25</v>
          </cell>
          <cell r="AJ7">
            <v>24407</v>
          </cell>
          <cell r="AK7">
            <v>24458.75</v>
          </cell>
          <cell r="AL7">
            <v>24686.75</v>
          </cell>
          <cell r="AM7">
            <v>24997</v>
          </cell>
          <cell r="AN7">
            <v>25195.25</v>
          </cell>
          <cell r="AO7">
            <v>25345</v>
          </cell>
          <cell r="AP7">
            <v>25574</v>
          </cell>
          <cell r="AQ7">
            <v>25092</v>
          </cell>
          <cell r="AR7">
            <v>25016.75</v>
          </cell>
          <cell r="AS7">
            <v>25117.5</v>
          </cell>
          <cell r="AT7">
            <v>25213.25</v>
          </cell>
          <cell r="AU7">
            <v>25513.5</v>
          </cell>
          <cell r="AV7">
            <v>25959.5</v>
          </cell>
          <cell r="AW7">
            <v>26503.5</v>
          </cell>
          <cell r="AX7">
            <v>26771</v>
          </cell>
          <cell r="AY7">
            <v>27065</v>
          </cell>
          <cell r="AZ7">
            <v>27494.25</v>
          </cell>
          <cell r="BA7">
            <v>27652</v>
          </cell>
          <cell r="BB7">
            <v>27769.5</v>
          </cell>
          <cell r="BC7">
            <v>27986.5</v>
          </cell>
          <cell r="BD7">
            <v>28199.42</v>
          </cell>
          <cell r="BE7">
            <v>28320.28</v>
          </cell>
          <cell r="BF7">
            <v>28573.45</v>
          </cell>
          <cell r="BG7">
            <v>28868.98</v>
          </cell>
          <cell r="BH7">
            <v>29076.82</v>
          </cell>
          <cell r="BI7">
            <v>29208.75</v>
          </cell>
          <cell r="BJ7">
            <v>29261.37</v>
          </cell>
          <cell r="BK7">
            <v>29296.94</v>
          </cell>
          <cell r="BL7">
            <v>29331.62</v>
          </cell>
          <cell r="BM7">
            <v>29355.96</v>
          </cell>
          <cell r="BN7">
            <v>29376.83</v>
          </cell>
          <cell r="BO7">
            <v>29397.69</v>
          </cell>
          <cell r="BP7">
            <v>29418.560000000001</v>
          </cell>
          <cell r="BQ7">
            <v>29439.43</v>
          </cell>
          <cell r="BR7">
            <v>29460.3</v>
          </cell>
          <cell r="BS7">
            <v>29481.16</v>
          </cell>
          <cell r="BT7">
            <v>29502.04</v>
          </cell>
          <cell r="BU7">
            <v>29522.91</v>
          </cell>
          <cell r="BV7">
            <v>29543.78</v>
          </cell>
          <cell r="BW7">
            <v>29541.67</v>
          </cell>
          <cell r="BX7">
            <v>29525.79</v>
          </cell>
          <cell r="BY7">
            <v>29509.91</v>
          </cell>
          <cell r="BZ7">
            <v>29494.03</v>
          </cell>
          <cell r="CA7">
            <v>29478.15</v>
          </cell>
          <cell r="CB7">
            <v>29462.27</v>
          </cell>
          <cell r="CC7">
            <v>29446.39</v>
          </cell>
          <cell r="CD7">
            <v>29430.51</v>
          </cell>
          <cell r="CE7">
            <v>29414.63</v>
          </cell>
          <cell r="CF7">
            <v>29398.75</v>
          </cell>
          <cell r="CG7" t="str">
            <v>Office for National Statistics\Haver Analytics</v>
          </cell>
          <cell r="CH7" t="str">
            <v>True</v>
          </cell>
          <cell r="CI7" t="str">
            <v>NA</v>
          </cell>
          <cell r="CJ7" t="str">
            <v>NA</v>
          </cell>
          <cell r="CK7" t="str">
            <v>2021</v>
          </cell>
          <cell r="CL7" t="str">
            <v>4</v>
          </cell>
          <cell r="CM7" t="str">
            <v>NA</v>
          </cell>
          <cell r="CN7" t="str">
            <v>MGRNQ@UK</v>
          </cell>
          <cell r="CO7" t="str">
            <v>UK: LFS: Employees (SA, Thous)</v>
          </cell>
          <cell r="CP7" t="str">
            <v>GBR</v>
          </cell>
          <cell r="CQ7" t="str">
            <v>EE</v>
          </cell>
          <cell r="CR7" t="str">
            <v>APR007B.db</v>
          </cell>
        </row>
        <row r="8">
          <cell r="A8" t="str">
            <v>United Kingdom</v>
          </cell>
          <cell r="B8" t="str">
            <v>Earnings, quarterly total, LCU</v>
          </cell>
          <cell r="C8" t="str">
            <v>APR007B</v>
          </cell>
          <cell r="D8" t="str">
            <v>Pound per Employee</v>
          </cell>
          <cell r="E8" t="str">
            <v>NA</v>
          </cell>
          <cell r="F8" t="str">
            <v>Level</v>
          </cell>
          <cell r="G8">
            <v>443.98829999999998</v>
          </cell>
          <cell r="H8">
            <v>522.77049999999997</v>
          </cell>
          <cell r="I8">
            <v>680.6662</v>
          </cell>
          <cell r="J8">
            <v>768.59320000000002</v>
          </cell>
          <cell r="K8">
            <v>847.73059999999998</v>
          </cell>
          <cell r="L8">
            <v>962.75559999999996</v>
          </cell>
          <cell r="M8">
            <v>1115.0840000000001</v>
          </cell>
          <cell r="N8">
            <v>1343.74</v>
          </cell>
          <cell r="O8">
            <v>1505.163</v>
          </cell>
          <cell r="P8">
            <v>1641.0440000000001</v>
          </cell>
          <cell r="Q8">
            <v>1774.5530000000001</v>
          </cell>
          <cell r="R8">
            <v>1883.616</v>
          </cell>
          <cell r="S8">
            <v>2042.923</v>
          </cell>
          <cell r="T8">
            <v>2206.7759999999998</v>
          </cell>
          <cell r="U8">
            <v>2363.1999999999998</v>
          </cell>
          <cell r="V8">
            <v>2567.0819999999999</v>
          </cell>
          <cell r="W8">
            <v>2809.145</v>
          </cell>
          <cell r="X8">
            <v>3087.924</v>
          </cell>
          <cell r="Y8">
            <v>3360.3989999999999</v>
          </cell>
          <cell r="Z8">
            <v>3522.587</v>
          </cell>
          <cell r="AA8">
            <v>3638.5390000000002</v>
          </cell>
          <cell r="AB8">
            <v>3751.0720000000001</v>
          </cell>
          <cell r="AC8">
            <v>3859.5920000000001</v>
          </cell>
          <cell r="AD8">
            <v>3971.1260000000002</v>
          </cell>
          <cell r="AE8">
            <v>4191.8029999999999</v>
          </cell>
          <cell r="AF8">
            <v>4320.7960000000003</v>
          </cell>
          <cell r="AG8">
            <v>4580.2709999999997</v>
          </cell>
          <cell r="AH8">
            <v>4814.8710000000001</v>
          </cell>
          <cell r="AI8">
            <v>5066.1149999999998</v>
          </cell>
          <cell r="AJ8">
            <v>5151.3490000000002</v>
          </cell>
          <cell r="AK8">
            <v>5362.06</v>
          </cell>
          <cell r="AL8">
            <v>5623.3109999999997</v>
          </cell>
          <cell r="AM8">
            <v>5799.3959999999997</v>
          </cell>
          <cell r="AN8">
            <v>6109.0119999999997</v>
          </cell>
          <cell r="AO8">
            <v>6448.4769999999999</v>
          </cell>
          <cell r="AP8">
            <v>6524.7610000000004</v>
          </cell>
          <cell r="AQ8">
            <v>6550.6480000000001</v>
          </cell>
          <cell r="AR8">
            <v>6639.6639999999998</v>
          </cell>
          <cell r="AS8">
            <v>6770.04</v>
          </cell>
          <cell r="AT8">
            <v>6813.1610000000001</v>
          </cell>
          <cell r="AU8">
            <v>7055.52</v>
          </cell>
          <cell r="AV8">
            <v>7183.0259999999998</v>
          </cell>
          <cell r="AW8">
            <v>7290.6970000000001</v>
          </cell>
          <cell r="AX8">
            <v>7477.7629999999999</v>
          </cell>
          <cell r="AY8">
            <v>7656.9629999999997</v>
          </cell>
          <cell r="AZ8">
            <v>7870.0069999999996</v>
          </cell>
          <cell r="BA8">
            <v>8111.884</v>
          </cell>
          <cell r="BB8">
            <v>8234.4570000000003</v>
          </cell>
          <cell r="BC8">
            <v>8742.5889999999999</v>
          </cell>
          <cell r="BD8">
            <v>9156.2090000000007</v>
          </cell>
          <cell r="BE8">
            <v>9451.2189999999991</v>
          </cell>
          <cell r="BF8">
            <v>9702.9419999999991</v>
          </cell>
          <cell r="BG8">
            <v>9958.3140000000003</v>
          </cell>
          <cell r="BH8">
            <v>10239.91</v>
          </cell>
          <cell r="BI8">
            <v>10559.79</v>
          </cell>
          <cell r="BJ8">
            <v>10904.04</v>
          </cell>
          <cell r="BK8">
            <v>11261.78</v>
          </cell>
          <cell r="BL8">
            <v>11633.62</v>
          </cell>
          <cell r="BM8">
            <v>12019.7</v>
          </cell>
          <cell r="BN8">
            <v>12419.37</v>
          </cell>
          <cell r="BO8">
            <v>12837.99</v>
          </cell>
          <cell r="BP8">
            <v>13274.09</v>
          </cell>
          <cell r="BQ8">
            <v>13725.69</v>
          </cell>
          <cell r="BR8">
            <v>14195.79</v>
          </cell>
          <cell r="BS8">
            <v>14688.2</v>
          </cell>
          <cell r="BT8">
            <v>15198.8</v>
          </cell>
          <cell r="BU8">
            <v>15727.66</v>
          </cell>
          <cell r="BV8">
            <v>16277.07</v>
          </cell>
          <cell r="BW8">
            <v>16852.240000000002</v>
          </cell>
          <cell r="BX8">
            <v>17453.849999999999</v>
          </cell>
          <cell r="BY8">
            <v>18076.63</v>
          </cell>
          <cell r="BZ8">
            <v>18720.419999999998</v>
          </cell>
          <cell r="CA8">
            <v>19385.7</v>
          </cell>
          <cell r="CB8">
            <v>20073.060000000001</v>
          </cell>
          <cell r="CC8">
            <v>20783.150000000001</v>
          </cell>
          <cell r="CD8">
            <v>21516.65</v>
          </cell>
          <cell r="CE8">
            <v>22274.27</v>
          </cell>
          <cell r="CF8">
            <v>23056.68</v>
          </cell>
          <cell r="CG8" t="str">
            <v>Oxford Economics calculation using Office for National Statistics data</v>
          </cell>
          <cell r="CH8" t="str">
            <v>True</v>
          </cell>
          <cell r="CI8" t="str">
            <v>NA</v>
          </cell>
          <cell r="CJ8" t="str">
            <v>NA</v>
          </cell>
          <cell r="CK8" t="str">
            <v>2021</v>
          </cell>
          <cell r="CL8" t="str">
            <v>4</v>
          </cell>
          <cell r="CM8" t="str">
            <v>NA</v>
          </cell>
          <cell r="CN8" t="str">
            <v>Oxford Economics calculation using Office for National Statistics data</v>
          </cell>
          <cell r="CO8" t="str">
            <v>NA</v>
          </cell>
          <cell r="CP8" t="str">
            <v>GBR</v>
          </cell>
          <cell r="CQ8" t="str">
            <v>ER</v>
          </cell>
          <cell r="CR8" t="str">
            <v>APR007B.db</v>
          </cell>
        </row>
        <row r="9">
          <cell r="A9" t="str">
            <v>United Kingdom</v>
          </cell>
          <cell r="B9" t="str">
            <v>Personal sector transfers from central gov't, LCU</v>
          </cell>
          <cell r="C9" t="str">
            <v>APR007B</v>
          </cell>
          <cell r="D9" t="str">
            <v>Pound</v>
          </cell>
          <cell r="E9" t="str">
            <v>Millions</v>
          </cell>
          <cell r="F9" t="str">
            <v>Level</v>
          </cell>
          <cell r="G9">
            <v>6345.0140000000001</v>
          </cell>
          <cell r="H9">
            <v>7784.1009999999997</v>
          </cell>
          <cell r="I9">
            <v>10258.120000000001</v>
          </cell>
          <cell r="J9">
            <v>12714.1</v>
          </cell>
          <cell r="K9">
            <v>15054.74</v>
          </cell>
          <cell r="L9">
            <v>17914.86</v>
          </cell>
          <cell r="M9">
            <v>21329.55</v>
          </cell>
          <cell r="N9">
            <v>26093.08</v>
          </cell>
          <cell r="O9">
            <v>32309.73</v>
          </cell>
          <cell r="P9">
            <v>37661.919999999998</v>
          </cell>
          <cell r="Q9">
            <v>39099.01</v>
          </cell>
          <cell r="R9">
            <v>41850.83</v>
          </cell>
          <cell r="S9">
            <v>45652.61</v>
          </cell>
          <cell r="T9">
            <v>49537.63</v>
          </cell>
          <cell r="U9">
            <v>51410</v>
          </cell>
          <cell r="V9">
            <v>52868</v>
          </cell>
          <cell r="W9">
            <v>54915</v>
          </cell>
          <cell r="X9">
            <v>60001</v>
          </cell>
          <cell r="Y9">
            <v>73901</v>
          </cell>
          <cell r="Z9">
            <v>83744</v>
          </cell>
          <cell r="AA9">
            <v>89311</v>
          </cell>
          <cell r="AB9">
            <v>91396</v>
          </cell>
          <cell r="AC9">
            <v>95013</v>
          </cell>
          <cell r="AD9">
            <v>98127</v>
          </cell>
          <cell r="AE9">
            <v>101402</v>
          </cell>
          <cell r="AF9">
            <v>102439</v>
          </cell>
          <cell r="AG9">
            <v>104492</v>
          </cell>
          <cell r="AH9">
            <v>108290</v>
          </cell>
          <cell r="AI9">
            <v>116664</v>
          </cell>
          <cell r="AJ9">
            <v>122046</v>
          </cell>
          <cell r="AK9">
            <v>132780</v>
          </cell>
          <cell r="AL9">
            <v>142187</v>
          </cell>
          <cell r="AM9">
            <v>148253</v>
          </cell>
          <cell r="AN9">
            <v>152644</v>
          </cell>
          <cell r="AO9">
            <v>162919</v>
          </cell>
          <cell r="AP9">
            <v>174267</v>
          </cell>
          <cell r="AQ9">
            <v>192524</v>
          </cell>
          <cell r="AR9">
            <v>200240</v>
          </cell>
          <cell r="AS9">
            <v>205785</v>
          </cell>
          <cell r="AT9">
            <v>215186</v>
          </cell>
          <cell r="AU9">
            <v>218992</v>
          </cell>
          <cell r="AV9">
            <v>223973</v>
          </cell>
          <cell r="AW9">
            <v>228754</v>
          </cell>
          <cell r="AX9">
            <v>232110</v>
          </cell>
          <cell r="AY9">
            <v>234387</v>
          </cell>
          <cell r="AZ9">
            <v>241517</v>
          </cell>
          <cell r="BA9">
            <v>248978</v>
          </cell>
          <cell r="BB9">
            <v>270405</v>
          </cell>
          <cell r="BC9">
            <v>278257</v>
          </cell>
          <cell r="BD9">
            <v>283715.59999999998</v>
          </cell>
          <cell r="BE9">
            <v>299936.09999999998</v>
          </cell>
          <cell r="BF9">
            <v>315635.90000000002</v>
          </cell>
          <cell r="BG9">
            <v>331353.2</v>
          </cell>
          <cell r="BH9">
            <v>346683.9</v>
          </cell>
          <cell r="BI9">
            <v>363136.1</v>
          </cell>
          <cell r="BJ9">
            <v>380108.79999999999</v>
          </cell>
          <cell r="BK9">
            <v>396539.4</v>
          </cell>
          <cell r="BL9">
            <v>412697.8</v>
          </cell>
          <cell r="BM9">
            <v>428975.3</v>
          </cell>
          <cell r="BN9">
            <v>446078.3</v>
          </cell>
          <cell r="BO9">
            <v>463802.8</v>
          </cell>
          <cell r="BP9">
            <v>482136.2</v>
          </cell>
          <cell r="BQ9">
            <v>500903.6</v>
          </cell>
          <cell r="BR9">
            <v>520511.4</v>
          </cell>
          <cell r="BS9">
            <v>540164.4</v>
          </cell>
          <cell r="BT9">
            <v>559653.30000000005</v>
          </cell>
          <cell r="BU9">
            <v>579143.1</v>
          </cell>
          <cell r="BV9">
            <v>599022.69999999995</v>
          </cell>
          <cell r="BW9">
            <v>619087.6</v>
          </cell>
          <cell r="BX9">
            <v>639233.1</v>
          </cell>
          <cell r="BY9">
            <v>660362.4</v>
          </cell>
          <cell r="BZ9">
            <v>683633.8</v>
          </cell>
          <cell r="CA9">
            <v>708696.4</v>
          </cell>
          <cell r="CB9">
            <v>734026.4</v>
          </cell>
          <cell r="CC9">
            <v>759185.4</v>
          </cell>
          <cell r="CD9">
            <v>784920.4</v>
          </cell>
          <cell r="CE9">
            <v>811382</v>
          </cell>
          <cell r="CF9">
            <v>839124.8</v>
          </cell>
          <cell r="CG9" t="str">
            <v>Office for National Statistics\Haver Analytics</v>
          </cell>
          <cell r="CH9" t="str">
            <v>True</v>
          </cell>
          <cell r="CI9" t="str">
            <v>NA</v>
          </cell>
          <cell r="CJ9" t="str">
            <v>NA</v>
          </cell>
          <cell r="CK9" t="str">
            <v>2021</v>
          </cell>
          <cell r="CL9" t="str">
            <v>4</v>
          </cell>
          <cell r="CM9" t="str">
            <v>NA</v>
          </cell>
          <cell r="CN9" t="str">
            <v>RPDOQ@UK</v>
          </cell>
          <cell r="CO9" t="str">
            <v xml:space="preserve">UK: IA: CG: Uses: Social Benefits o/t Social Transfers in Kind (SA, Mil.GBP) </v>
          </cell>
          <cell r="CP9" t="str">
            <v>GBR</v>
          </cell>
          <cell r="CQ9" t="str">
            <v>GCGPE</v>
          </cell>
          <cell r="CR9" t="str">
            <v>APR007B.db</v>
          </cell>
        </row>
        <row r="10">
          <cell r="A10" t="str">
            <v>United Kingdom</v>
          </cell>
          <cell r="B10" t="str">
            <v>Tax revenue, income, LCU</v>
          </cell>
          <cell r="C10" t="str">
            <v>APR007B</v>
          </cell>
          <cell r="D10" t="str">
            <v>Pound</v>
          </cell>
          <cell r="E10" t="str">
            <v>Millions</v>
          </cell>
          <cell r="F10" t="str">
            <v>Level</v>
          </cell>
          <cell r="G10">
            <v>7641.5309999999999</v>
          </cell>
          <cell r="H10">
            <v>10304.1</v>
          </cell>
          <cell r="I10">
            <v>14877.54</v>
          </cell>
          <cell r="J10">
            <v>17231.52</v>
          </cell>
          <cell r="K10">
            <v>17950.57</v>
          </cell>
          <cell r="L10">
            <v>19247.240000000002</v>
          </cell>
          <cell r="M10">
            <v>21350</v>
          </cell>
          <cell r="N10">
            <v>25402.2</v>
          </cell>
          <cell r="O10">
            <v>28632.5</v>
          </cell>
          <cell r="P10">
            <v>31023.07</v>
          </cell>
          <cell r="Q10">
            <v>32817.24</v>
          </cell>
          <cell r="R10">
            <v>34356.22</v>
          </cell>
          <cell r="S10">
            <v>37361.01</v>
          </cell>
          <cell r="T10">
            <v>40358.879999999997</v>
          </cell>
          <cell r="U10">
            <v>43468</v>
          </cell>
          <cell r="V10">
            <v>48427</v>
          </cell>
          <cell r="W10">
            <v>52575</v>
          </cell>
          <cell r="X10">
            <v>59428</v>
          </cell>
          <cell r="Y10">
            <v>64309</v>
          </cell>
          <cell r="Z10">
            <v>66881</v>
          </cell>
          <cell r="AA10">
            <v>65381</v>
          </cell>
          <cell r="AB10">
            <v>69515</v>
          </cell>
          <cell r="AC10">
            <v>74361</v>
          </cell>
          <cell r="AD10">
            <v>74213</v>
          </cell>
          <cell r="AE10">
            <v>75259</v>
          </cell>
          <cell r="AF10">
            <v>89276</v>
          </cell>
          <cell r="AG10">
            <v>96527</v>
          </cell>
          <cell r="AH10">
            <v>105299</v>
          </cell>
          <cell r="AI10">
            <v>111887</v>
          </cell>
          <cell r="AJ10">
            <v>112170</v>
          </cell>
          <cell r="AK10">
            <v>115973</v>
          </cell>
          <cell r="AL10">
            <v>123898</v>
          </cell>
          <cell r="AM10">
            <v>134381</v>
          </cell>
          <cell r="AN10">
            <v>143582</v>
          </cell>
          <cell r="AO10">
            <v>155326</v>
          </cell>
          <cell r="AP10">
            <v>159860</v>
          </cell>
          <cell r="AQ10">
            <v>151348</v>
          </cell>
          <cell r="AR10">
            <v>152420</v>
          </cell>
          <cell r="AS10">
            <v>157594</v>
          </cell>
          <cell r="AT10">
            <v>153730</v>
          </cell>
          <cell r="AU10">
            <v>158986</v>
          </cell>
          <cell r="AV10">
            <v>162609</v>
          </cell>
          <cell r="AW10">
            <v>171392</v>
          </cell>
          <cell r="AX10">
            <v>178961</v>
          </cell>
          <cell r="AY10">
            <v>188174</v>
          </cell>
          <cell r="AZ10">
            <v>194691</v>
          </cell>
          <cell r="BA10">
            <v>201946</v>
          </cell>
          <cell r="BB10">
            <v>198506</v>
          </cell>
          <cell r="BC10">
            <v>230954</v>
          </cell>
          <cell r="BD10">
            <v>245672.8</v>
          </cell>
          <cell r="BE10">
            <v>258822.3</v>
          </cell>
          <cell r="BF10">
            <v>266479.8</v>
          </cell>
          <cell r="BG10">
            <v>276911.59999999998</v>
          </cell>
          <cell r="BH10">
            <v>287942.7</v>
          </cell>
          <cell r="BI10">
            <v>298746.5</v>
          </cell>
          <cell r="BJ10">
            <v>309202.40000000002</v>
          </cell>
          <cell r="BK10">
            <v>319740.5</v>
          </cell>
          <cell r="BL10">
            <v>330645.09999999998</v>
          </cell>
          <cell r="BM10">
            <v>341753.8</v>
          </cell>
          <cell r="BN10">
            <v>353212.1</v>
          </cell>
          <cell r="BO10">
            <v>365218.4</v>
          </cell>
          <cell r="BP10">
            <v>377654.5</v>
          </cell>
          <cell r="BQ10">
            <v>390482</v>
          </cell>
          <cell r="BR10">
            <v>403833.4</v>
          </cell>
          <cell r="BS10">
            <v>419101.4</v>
          </cell>
          <cell r="BT10">
            <v>435718.7</v>
          </cell>
          <cell r="BU10">
            <v>452994.9</v>
          </cell>
          <cell r="BV10">
            <v>471046.9</v>
          </cell>
          <cell r="BW10">
            <v>489898.1</v>
          </cell>
          <cell r="BX10">
            <v>509260.6</v>
          </cell>
          <cell r="BY10">
            <v>529328.80000000005</v>
          </cell>
          <cell r="BZ10">
            <v>550120.5</v>
          </cell>
          <cell r="CA10">
            <v>571653.1</v>
          </cell>
          <cell r="CB10">
            <v>593949</v>
          </cell>
          <cell r="CC10">
            <v>617031.4</v>
          </cell>
          <cell r="CD10">
            <v>640925.5</v>
          </cell>
          <cell r="CE10">
            <v>665656.80000000005</v>
          </cell>
          <cell r="CF10">
            <v>691249.5</v>
          </cell>
          <cell r="CG10" t="str">
            <v>Office for National Statistics\Haver Analytics</v>
          </cell>
          <cell r="CH10" t="str">
            <v>True</v>
          </cell>
          <cell r="CI10" t="str">
            <v>NA</v>
          </cell>
          <cell r="CJ10" t="str">
            <v>NA</v>
          </cell>
          <cell r="CK10" t="str">
            <v>2021</v>
          </cell>
          <cell r="CL10" t="str">
            <v>4</v>
          </cell>
          <cell r="CM10" t="str">
            <v>NA</v>
          </cell>
          <cell r="CN10" t="str">
            <v>RPHSQ@UK</v>
          </cell>
          <cell r="CO10" t="str">
            <v xml:space="preserve">UK: HH &amp; NPISH: Taxes on Income (SA, Mil.GBP) </v>
          </cell>
          <cell r="CP10" t="str">
            <v>GBR</v>
          </cell>
          <cell r="CQ10" t="str">
            <v>TY</v>
          </cell>
          <cell r="CR10" t="str">
            <v>APR007B.db</v>
          </cell>
        </row>
        <row r="11">
          <cell r="A11" t="str">
            <v>United Kingdom</v>
          </cell>
          <cell r="B11" t="str">
            <v>Tax revenue, employee social security, LCU</v>
          </cell>
          <cell r="C11" t="str">
            <v>APR007B</v>
          </cell>
          <cell r="D11" t="str">
            <v>Pound</v>
          </cell>
          <cell r="E11" t="str">
            <v>Millions</v>
          </cell>
          <cell r="F11" t="str">
            <v>Level</v>
          </cell>
          <cell r="G11">
            <v>1988.171</v>
          </cell>
          <cell r="H11">
            <v>2332.3789999999999</v>
          </cell>
          <cell r="I11">
            <v>2935.27</v>
          </cell>
          <cell r="J11">
            <v>3544.4969999999998</v>
          </cell>
          <cell r="K11">
            <v>4021.7429999999999</v>
          </cell>
          <cell r="L11">
            <v>4257.1980000000003</v>
          </cell>
          <cell r="M11">
            <v>4895.9880000000003</v>
          </cell>
          <cell r="N11">
            <v>6048.98</v>
          </cell>
          <cell r="O11">
            <v>7498.6660000000002</v>
          </cell>
          <cell r="P11">
            <v>9239.7659999999996</v>
          </cell>
          <cell r="Q11">
            <v>10816.16</v>
          </cell>
          <cell r="R11">
            <v>11670.34</v>
          </cell>
          <cell r="S11">
            <v>12633.28</v>
          </cell>
          <cell r="T11">
            <v>13330.14</v>
          </cell>
          <cell r="U11">
            <v>14539</v>
          </cell>
          <cell r="V11">
            <v>15941</v>
          </cell>
          <cell r="W11">
            <v>16732</v>
          </cell>
          <cell r="X11">
            <v>16087</v>
          </cell>
          <cell r="Y11">
            <v>16809</v>
          </cell>
          <cell r="Z11">
            <v>17345</v>
          </cell>
          <cell r="AA11">
            <v>18236</v>
          </cell>
          <cell r="AB11">
            <v>20640</v>
          </cell>
          <cell r="AC11">
            <v>22139</v>
          </cell>
          <cell r="AD11">
            <v>22935</v>
          </cell>
          <cell r="AE11">
            <v>25451</v>
          </cell>
          <cell r="AF11">
            <v>26412</v>
          </cell>
          <cell r="AG11">
            <v>28043</v>
          </cell>
          <cell r="AH11">
            <v>29184</v>
          </cell>
          <cell r="AI11">
            <v>31509</v>
          </cell>
          <cell r="AJ11">
            <v>32332</v>
          </cell>
          <cell r="AK11">
            <v>38095</v>
          </cell>
          <cell r="AL11">
            <v>41782</v>
          </cell>
          <cell r="AM11">
            <v>44252</v>
          </cell>
          <cell r="AN11">
            <v>46524</v>
          </cell>
          <cell r="AO11">
            <v>46150</v>
          </cell>
          <cell r="AP11">
            <v>47871</v>
          </cell>
          <cell r="AQ11">
            <v>46193</v>
          </cell>
          <cell r="AR11">
            <v>47029</v>
          </cell>
          <cell r="AS11">
            <v>49399</v>
          </cell>
          <cell r="AT11">
            <v>49960</v>
          </cell>
          <cell r="AU11">
            <v>51670</v>
          </cell>
          <cell r="AV11">
            <v>53315</v>
          </cell>
          <cell r="AW11">
            <v>55863</v>
          </cell>
          <cell r="AX11">
            <v>58957</v>
          </cell>
          <cell r="AY11">
            <v>62266</v>
          </cell>
          <cell r="AZ11">
            <v>64631</v>
          </cell>
          <cell r="BA11">
            <v>69500</v>
          </cell>
          <cell r="BB11">
            <v>70288</v>
          </cell>
          <cell r="BC11">
            <v>74879</v>
          </cell>
          <cell r="BD11">
            <v>84953.63</v>
          </cell>
          <cell r="BE11">
            <v>87793.66</v>
          </cell>
          <cell r="BF11">
            <v>90939.06</v>
          </cell>
          <cell r="BG11">
            <v>94297.13</v>
          </cell>
          <cell r="BH11">
            <v>97661.440000000002</v>
          </cell>
          <cell r="BI11">
            <v>101168.4</v>
          </cell>
          <cell r="BJ11">
            <v>104654.3</v>
          </cell>
          <cell r="BK11">
            <v>108219.2</v>
          </cell>
          <cell r="BL11">
            <v>111924.7</v>
          </cell>
          <cell r="BM11">
            <v>115734.9</v>
          </cell>
          <cell r="BN11">
            <v>119668.3</v>
          </cell>
          <cell r="BO11">
            <v>123789.8</v>
          </cell>
          <cell r="BP11">
            <v>128085.8</v>
          </cell>
          <cell r="BQ11">
            <v>132537.29999999999</v>
          </cell>
          <cell r="BR11">
            <v>137173.79999999999</v>
          </cell>
          <cell r="BS11">
            <v>142032.6</v>
          </cell>
          <cell r="BT11">
            <v>147074</v>
          </cell>
          <cell r="BU11">
            <v>152299.29999999999</v>
          </cell>
          <cell r="BV11">
            <v>157731</v>
          </cell>
          <cell r="BW11">
            <v>163292.4</v>
          </cell>
          <cell r="BX11">
            <v>169030.9</v>
          </cell>
          <cell r="BY11">
            <v>174968</v>
          </cell>
          <cell r="BZ11">
            <v>181101.9</v>
          </cell>
          <cell r="CA11">
            <v>187436.79999999999</v>
          </cell>
          <cell r="CB11">
            <v>193978.3</v>
          </cell>
          <cell r="CC11">
            <v>200732.1</v>
          </cell>
          <cell r="CD11">
            <v>207704.4</v>
          </cell>
          <cell r="CE11">
            <v>214901.8</v>
          </cell>
          <cell r="CF11">
            <v>222330.4</v>
          </cell>
          <cell r="CG11" t="str">
            <v>Office for National Statistics\Haver Analytics</v>
          </cell>
          <cell r="CH11" t="str">
            <v>True</v>
          </cell>
          <cell r="CI11" t="str">
            <v>NA</v>
          </cell>
          <cell r="CJ11" t="str">
            <v>NA</v>
          </cell>
          <cell r="CK11" t="str">
            <v>2021</v>
          </cell>
          <cell r="CL11" t="str">
            <v>4</v>
          </cell>
          <cell r="CM11" t="str">
            <v>NA</v>
          </cell>
          <cell r="CN11" t="str">
            <v>L8PIQ@UK</v>
          </cell>
          <cell r="CO11" t="str">
            <v>UK: Cen Govt Inc Acct: Res: Households Actual Social Contribution (SA, Mil.GBP)</v>
          </cell>
          <cell r="CP11" t="str">
            <v>GBR</v>
          </cell>
          <cell r="CQ11" t="str">
            <v>TSS</v>
          </cell>
          <cell r="CR11" t="str">
            <v>APR007B.db</v>
          </cell>
        </row>
        <row r="12">
          <cell r="A12" t="str">
            <v>United Kingdom</v>
          </cell>
          <cell r="B12" t="str">
            <v>Personal sector dividend receipts</v>
          </cell>
          <cell r="C12" t="str">
            <v>APR007B</v>
          </cell>
          <cell r="D12" t="str">
            <v>Pound</v>
          </cell>
          <cell r="E12" t="str">
            <v>Millions</v>
          </cell>
          <cell r="F12" t="str">
            <v>Level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3324.067</v>
          </cell>
          <cell r="M12">
            <v>4804.6559999999999</v>
          </cell>
          <cell r="N12">
            <v>3941.471</v>
          </cell>
          <cell r="O12">
            <v>4009.9169999999999</v>
          </cell>
          <cell r="P12">
            <v>4771.875</v>
          </cell>
          <cell r="Q12">
            <v>5948.7960000000003</v>
          </cell>
          <cell r="R12">
            <v>6943.8890000000001</v>
          </cell>
          <cell r="S12">
            <v>7967.9319999999998</v>
          </cell>
          <cell r="T12">
            <v>9440.8080000000009</v>
          </cell>
          <cell r="U12">
            <v>11208</v>
          </cell>
          <cell r="V12">
            <v>16658</v>
          </cell>
          <cell r="W12">
            <v>22590</v>
          </cell>
          <cell r="X12">
            <v>28306</v>
          </cell>
          <cell r="Y12">
            <v>25937</v>
          </cell>
          <cell r="Z12">
            <v>25963</v>
          </cell>
          <cell r="AA12">
            <v>25461</v>
          </cell>
          <cell r="AB12">
            <v>29017</v>
          </cell>
          <cell r="AC12">
            <v>34011</v>
          </cell>
          <cell r="AD12">
            <v>36501</v>
          </cell>
          <cell r="AE12">
            <v>35178</v>
          </cell>
          <cell r="AF12">
            <v>36171</v>
          </cell>
          <cell r="AG12">
            <v>34496</v>
          </cell>
          <cell r="AH12">
            <v>40827</v>
          </cell>
          <cell r="AI12">
            <v>40771</v>
          </cell>
          <cell r="AJ12">
            <v>41111</v>
          </cell>
          <cell r="AK12">
            <v>40609</v>
          </cell>
          <cell r="AL12">
            <v>45748</v>
          </cell>
          <cell r="AM12">
            <v>52466</v>
          </cell>
          <cell r="AN12">
            <v>58876</v>
          </cell>
          <cell r="AO12">
            <v>65498</v>
          </cell>
          <cell r="AP12">
            <v>68709</v>
          </cell>
          <cell r="AQ12">
            <v>79617</v>
          </cell>
          <cell r="AR12">
            <v>70618</v>
          </cell>
          <cell r="AS12">
            <v>69737</v>
          </cell>
          <cell r="AT12">
            <v>75141</v>
          </cell>
          <cell r="AU12">
            <v>86814</v>
          </cell>
          <cell r="AV12">
            <v>91782</v>
          </cell>
          <cell r="AW12">
            <v>117562</v>
          </cell>
          <cell r="AX12">
            <v>104881</v>
          </cell>
          <cell r="AY12">
            <v>106797</v>
          </cell>
          <cell r="AZ12">
            <v>120872</v>
          </cell>
          <cell r="BA12">
            <v>125035</v>
          </cell>
          <cell r="BB12">
            <v>102718</v>
          </cell>
          <cell r="BC12">
            <v>120032</v>
          </cell>
          <cell r="BD12">
            <v>133708.6</v>
          </cell>
          <cell r="BE12">
            <v>147378.9</v>
          </cell>
          <cell r="BF12">
            <v>158958.6</v>
          </cell>
          <cell r="BG12">
            <v>167467.79999999999</v>
          </cell>
          <cell r="BH12">
            <v>172954</v>
          </cell>
          <cell r="BI12">
            <v>176305.9</v>
          </cell>
          <cell r="BJ12">
            <v>177550.2</v>
          </cell>
          <cell r="BK12">
            <v>178544.8</v>
          </cell>
          <cell r="BL12">
            <v>180056.5</v>
          </cell>
          <cell r="BM12">
            <v>181980.79999999999</v>
          </cell>
          <cell r="BN12">
            <v>184240.8</v>
          </cell>
          <cell r="BO12">
            <v>186768.7</v>
          </cell>
          <cell r="BP12">
            <v>189529.4</v>
          </cell>
          <cell r="BQ12">
            <v>192513.7</v>
          </cell>
          <cell r="BR12">
            <v>195725.1</v>
          </cell>
          <cell r="BS12">
            <v>199152.8</v>
          </cell>
          <cell r="BT12">
            <v>202758.5</v>
          </cell>
          <cell r="BU12">
            <v>206499</v>
          </cell>
          <cell r="BV12">
            <v>210829.8</v>
          </cell>
          <cell r="BW12">
            <v>215437.7</v>
          </cell>
          <cell r="BX12">
            <v>220046.3</v>
          </cell>
          <cell r="BY12">
            <v>224671.3</v>
          </cell>
          <cell r="BZ12">
            <v>229311.1</v>
          </cell>
          <cell r="CA12">
            <v>233978.8</v>
          </cell>
          <cell r="CB12">
            <v>238677.8</v>
          </cell>
          <cell r="CC12">
            <v>243412.4</v>
          </cell>
          <cell r="CD12">
            <v>248186.9</v>
          </cell>
          <cell r="CE12">
            <v>253006</v>
          </cell>
          <cell r="CF12">
            <v>257879.5</v>
          </cell>
          <cell r="CG12" t="str">
            <v>Office for National Statistics\Haver Analytics</v>
          </cell>
          <cell r="CH12" t="str">
            <v>True</v>
          </cell>
          <cell r="CI12" t="str">
            <v>NA</v>
          </cell>
          <cell r="CJ12" t="str">
            <v>NA</v>
          </cell>
          <cell r="CK12" t="str">
            <v>2021</v>
          </cell>
          <cell r="CL12" t="str">
            <v>4</v>
          </cell>
          <cell r="CM12" t="str">
            <v>NA</v>
          </cell>
          <cell r="CN12" t="str">
            <v>ROYNQ@UK</v>
          </cell>
          <cell r="CO12" t="str">
            <v xml:space="preserve">UK: HH &amp; NPISH: Distributed Income of Corporations (SA, Mil.GBP) </v>
          </cell>
          <cell r="CP12" t="str">
            <v>GBR</v>
          </cell>
          <cell r="CQ12" t="str">
            <v>PEDIV</v>
          </cell>
          <cell r="CR12" t="str">
            <v>APR007B.db</v>
          </cell>
        </row>
        <row r="13">
          <cell r="A13" t="str">
            <v>United Kingdom</v>
          </cell>
          <cell r="B13" t="str">
            <v>Consumption, private deflator</v>
          </cell>
          <cell r="C13" t="str">
            <v>APR007B</v>
          </cell>
          <cell r="D13" t="str">
            <v>Index</v>
          </cell>
          <cell r="E13" t="str">
            <v>NA</v>
          </cell>
          <cell r="F13" t="str">
            <v>Level</v>
          </cell>
          <cell r="G13">
            <v>10.62096</v>
          </cell>
          <cell r="H13">
            <v>12.5639</v>
          </cell>
          <cell r="I13">
            <v>15.50231</v>
          </cell>
          <cell r="J13">
            <v>18.05162</v>
          </cell>
          <cell r="K13">
            <v>20.77383</v>
          </cell>
          <cell r="L13">
            <v>22.853110000000001</v>
          </cell>
          <cell r="M13">
            <v>26.005389999999998</v>
          </cell>
          <cell r="N13">
            <v>30.397030000000001</v>
          </cell>
          <cell r="O13">
            <v>34.153880000000001</v>
          </cell>
          <cell r="P13">
            <v>37.305759999999999</v>
          </cell>
          <cell r="Q13">
            <v>39.475610000000003</v>
          </cell>
          <cell r="R13">
            <v>41.57394</v>
          </cell>
          <cell r="S13">
            <v>43.293039999999998</v>
          </cell>
          <cell r="T13">
            <v>45.068629999999999</v>
          </cell>
          <cell r="U13">
            <v>47.02458</v>
          </cell>
          <cell r="V13">
            <v>49.383609999999997</v>
          </cell>
          <cell r="W13">
            <v>52.091760000000001</v>
          </cell>
          <cell r="X13">
            <v>56.060290000000002</v>
          </cell>
          <cell r="Y13">
            <v>60.373600000000003</v>
          </cell>
          <cell r="Z13">
            <v>62.855359999999997</v>
          </cell>
          <cell r="AA13">
            <v>64.838520000000003</v>
          </cell>
          <cell r="AB13">
            <v>65.943219999999997</v>
          </cell>
          <cell r="AC13">
            <v>67.882599999999996</v>
          </cell>
          <cell r="AD13">
            <v>70.185419999999993</v>
          </cell>
          <cell r="AE13">
            <v>71.629589999999993</v>
          </cell>
          <cell r="AF13">
            <v>72.675929999999994</v>
          </cell>
          <cell r="AG13">
            <v>72.962289999999996</v>
          </cell>
          <cell r="AH13">
            <v>73.298180000000002</v>
          </cell>
          <cell r="AI13">
            <v>73.799859999999995</v>
          </cell>
          <cell r="AJ13">
            <v>74.003320000000002</v>
          </cell>
          <cell r="AK13">
            <v>74.936899999999994</v>
          </cell>
          <cell r="AL13">
            <v>76.278300000000002</v>
          </cell>
          <cell r="AM13">
            <v>78.201599999999999</v>
          </cell>
          <cell r="AN13">
            <v>80.077240000000003</v>
          </cell>
          <cell r="AO13">
            <v>82.008049999999997</v>
          </cell>
          <cell r="AP13">
            <v>84.907060000000001</v>
          </cell>
          <cell r="AQ13">
            <v>85.261769999999999</v>
          </cell>
          <cell r="AR13">
            <v>86.236059999999995</v>
          </cell>
          <cell r="AS13">
            <v>89.559979999999996</v>
          </cell>
          <cell r="AT13">
            <v>91.181960000000004</v>
          </cell>
          <cell r="AU13">
            <v>93.132230000000007</v>
          </cell>
          <cell r="AV13">
            <v>94.346310000000003</v>
          </cell>
          <cell r="AW13">
            <v>93.956149999999994</v>
          </cell>
          <cell r="AX13">
            <v>95.036069999999995</v>
          </cell>
          <cell r="AY13">
            <v>96.759630000000001</v>
          </cell>
          <cell r="AZ13">
            <v>98.710499999999996</v>
          </cell>
          <cell r="BA13">
            <v>99.999889999999994</v>
          </cell>
          <cell r="BB13">
            <v>100.6395</v>
          </cell>
          <cell r="BC13">
            <v>103.1947</v>
          </cell>
          <cell r="BD13">
            <v>109.7475</v>
          </cell>
          <cell r="BE13">
            <v>112.39360000000001</v>
          </cell>
          <cell r="BF13">
            <v>113.6182</v>
          </cell>
          <cell r="BG13">
            <v>115.2118</v>
          </cell>
          <cell r="BH13">
            <v>117.0228</v>
          </cell>
          <cell r="BI13">
            <v>119.2261</v>
          </cell>
          <cell r="BJ13">
            <v>121.61020000000001</v>
          </cell>
          <cell r="BK13">
            <v>124.0419</v>
          </cell>
          <cell r="BL13">
            <v>126.5223</v>
          </cell>
          <cell r="BM13">
            <v>129.0523</v>
          </cell>
          <cell r="BN13">
            <v>131.63290000000001</v>
          </cell>
          <cell r="BO13">
            <v>134.26499999999999</v>
          </cell>
          <cell r="BP13">
            <v>136.94980000000001</v>
          </cell>
          <cell r="BQ13">
            <v>139.6883</v>
          </cell>
          <cell r="BR13">
            <v>142.48150000000001</v>
          </cell>
          <cell r="BS13">
            <v>145.3306</v>
          </cell>
          <cell r="BT13">
            <v>148.23670000000001</v>
          </cell>
          <cell r="BU13">
            <v>151.20089999999999</v>
          </cell>
          <cell r="BV13">
            <v>154.2243</v>
          </cell>
          <cell r="BW13">
            <v>157.3082</v>
          </cell>
          <cell r="BX13">
            <v>160.4538</v>
          </cell>
          <cell r="BY13">
            <v>163.66220000000001</v>
          </cell>
          <cell r="BZ13">
            <v>166.9348</v>
          </cell>
          <cell r="CA13">
            <v>170.27289999999999</v>
          </cell>
          <cell r="CB13">
            <v>173.67769999999999</v>
          </cell>
          <cell r="CC13">
            <v>177.1506</v>
          </cell>
          <cell r="CD13">
            <v>180.69290000000001</v>
          </cell>
          <cell r="CE13">
            <v>184.30619999999999</v>
          </cell>
          <cell r="CF13">
            <v>187.9915</v>
          </cell>
          <cell r="CG13" t="str">
            <v>Office for National Statistics\Haver Analytics</v>
          </cell>
          <cell r="CH13" t="str">
            <v>True</v>
          </cell>
          <cell r="CI13" t="str">
            <v>NA</v>
          </cell>
          <cell r="CJ13" t="str">
            <v>2019</v>
          </cell>
          <cell r="CK13" t="str">
            <v>2021</v>
          </cell>
          <cell r="CL13" t="str">
            <v>4</v>
          </cell>
          <cell r="CM13" t="str">
            <v>NA</v>
          </cell>
          <cell r="CN13" t="str">
            <v>Consumption, private, nominal/Consumption, private, real * 100</v>
          </cell>
          <cell r="CO13" t="str">
            <v>NA</v>
          </cell>
          <cell r="CP13" t="str">
            <v>GBR</v>
          </cell>
          <cell r="CQ13" t="str">
            <v>PC</v>
          </cell>
          <cell r="CR13" t="str">
            <v>APR007B.db</v>
          </cell>
        </row>
        <row r="14">
          <cell r="A14" t="str">
            <v>United Kingdom</v>
          </cell>
          <cell r="B14" t="str">
            <v>GDP, real, LCU</v>
          </cell>
          <cell r="C14" t="str">
            <v>APR007B</v>
          </cell>
          <cell r="D14" t="str">
            <v>Pound</v>
          </cell>
          <cell r="E14" t="str">
            <v>Millions</v>
          </cell>
          <cell r="F14" t="str">
            <v>Level</v>
          </cell>
          <cell r="G14">
            <v>896657</v>
          </cell>
          <cell r="H14">
            <v>874193</v>
          </cell>
          <cell r="I14">
            <v>861030</v>
          </cell>
          <cell r="J14">
            <v>886970</v>
          </cell>
          <cell r="K14">
            <v>908576</v>
          </cell>
          <cell r="L14">
            <v>946515</v>
          </cell>
          <cell r="M14">
            <v>981743</v>
          </cell>
          <cell r="N14">
            <v>961530</v>
          </cell>
          <cell r="O14">
            <v>954866</v>
          </cell>
          <cell r="P14">
            <v>973684</v>
          </cell>
          <cell r="Q14">
            <v>1014561</v>
          </cell>
          <cell r="R14">
            <v>1037295</v>
          </cell>
          <cell r="S14">
            <v>1080084</v>
          </cell>
          <cell r="T14">
            <v>1114157</v>
          </cell>
          <cell r="U14">
            <v>1174273</v>
          </cell>
          <cell r="V14">
            <v>1240052</v>
          </cell>
          <cell r="W14">
            <v>1270365</v>
          </cell>
          <cell r="X14">
            <v>1278416</v>
          </cell>
          <cell r="Y14">
            <v>1263249</v>
          </cell>
          <cell r="Z14">
            <v>1267206</v>
          </cell>
          <cell r="AA14">
            <v>1297628</v>
          </cell>
          <cell r="AB14">
            <v>1346524</v>
          </cell>
          <cell r="AC14">
            <v>1379430</v>
          </cell>
          <cell r="AD14">
            <v>1412926</v>
          </cell>
          <cell r="AE14">
            <v>1482289</v>
          </cell>
          <cell r="AF14">
            <v>1529040</v>
          </cell>
          <cell r="AG14">
            <v>1574760</v>
          </cell>
          <cell r="AH14">
            <v>1632591</v>
          </cell>
          <cell r="AI14">
            <v>1666429</v>
          </cell>
          <cell r="AJ14">
            <v>1701811</v>
          </cell>
          <cell r="AK14">
            <v>1753374</v>
          </cell>
          <cell r="AL14">
            <v>1794677</v>
          </cell>
          <cell r="AM14">
            <v>1841218</v>
          </cell>
          <cell r="AN14">
            <v>1888797</v>
          </cell>
          <cell r="AO14">
            <v>1931663</v>
          </cell>
          <cell r="AP14">
            <v>1927034</v>
          </cell>
          <cell r="AQ14">
            <v>1845186</v>
          </cell>
          <cell r="AR14">
            <v>1884515</v>
          </cell>
          <cell r="AS14">
            <v>1911983</v>
          </cell>
          <cell r="AT14">
            <v>1940087</v>
          </cell>
          <cell r="AU14">
            <v>1976755</v>
          </cell>
          <cell r="AV14">
            <v>2035883</v>
          </cell>
          <cell r="AW14">
            <v>2089276</v>
          </cell>
          <cell r="AX14">
            <v>2136566</v>
          </cell>
          <cell r="AY14">
            <v>2182170</v>
          </cell>
          <cell r="AZ14">
            <v>2218196</v>
          </cell>
          <cell r="BA14">
            <v>2255283</v>
          </cell>
          <cell r="BB14">
            <v>2046209</v>
          </cell>
          <cell r="BC14">
            <v>2198473</v>
          </cell>
          <cell r="BD14">
            <v>2278585</v>
          </cell>
          <cell r="BE14">
            <v>2318011</v>
          </cell>
          <cell r="BF14">
            <v>2369059</v>
          </cell>
          <cell r="BG14">
            <v>2420391</v>
          </cell>
          <cell r="BH14">
            <v>2466273</v>
          </cell>
          <cell r="BI14">
            <v>2507863</v>
          </cell>
          <cell r="BJ14">
            <v>2544105</v>
          </cell>
          <cell r="BK14">
            <v>2579910</v>
          </cell>
          <cell r="BL14">
            <v>2616153</v>
          </cell>
          <cell r="BM14">
            <v>2652058</v>
          </cell>
          <cell r="BN14">
            <v>2688588</v>
          </cell>
          <cell r="BO14">
            <v>2727008</v>
          </cell>
          <cell r="BP14">
            <v>2766096</v>
          </cell>
          <cell r="BQ14">
            <v>2805705</v>
          </cell>
          <cell r="BR14">
            <v>2847023</v>
          </cell>
          <cell r="BS14">
            <v>2889740</v>
          </cell>
          <cell r="BT14">
            <v>2933188</v>
          </cell>
          <cell r="BU14">
            <v>2977387</v>
          </cell>
          <cell r="BV14">
            <v>3022937</v>
          </cell>
          <cell r="BW14">
            <v>3068284</v>
          </cell>
          <cell r="BX14">
            <v>3113429</v>
          </cell>
          <cell r="BY14">
            <v>3159058</v>
          </cell>
          <cell r="BZ14">
            <v>3205133</v>
          </cell>
          <cell r="CA14">
            <v>3251634</v>
          </cell>
          <cell r="CB14">
            <v>3298552</v>
          </cell>
          <cell r="CC14">
            <v>3345881</v>
          </cell>
          <cell r="CD14">
            <v>3393621</v>
          </cell>
          <cell r="CE14">
            <v>3441767</v>
          </cell>
          <cell r="CF14">
            <v>3490309</v>
          </cell>
          <cell r="CG14" t="str">
            <v>Office for National Statistics\Haver Analytics</v>
          </cell>
          <cell r="CH14" t="str">
            <v>True</v>
          </cell>
          <cell r="CI14" t="str">
            <v>chained 2019</v>
          </cell>
          <cell r="CJ14" t="str">
            <v>NA</v>
          </cell>
          <cell r="CK14" t="str">
            <v>2021</v>
          </cell>
          <cell r="CL14" t="str">
            <v>4</v>
          </cell>
          <cell r="CM14" t="str">
            <v>NA</v>
          </cell>
          <cell r="CN14" t="str">
            <v>ABMIQ@UK</v>
          </cell>
          <cell r="CO14" t="str">
            <v>U.K.: Real Gross Domestic Product (SA, Mil.Chn.2019.GBP)</v>
          </cell>
          <cell r="CP14" t="str">
            <v>GBR</v>
          </cell>
          <cell r="CQ14" t="str">
            <v>GDP</v>
          </cell>
          <cell r="CR14" t="str">
            <v>APR007B.db</v>
          </cell>
        </row>
        <row r="15">
          <cell r="A15" t="str">
            <v>United Kingdom</v>
          </cell>
          <cell r="B15" t="str">
            <v>Consumer price index</v>
          </cell>
          <cell r="C15" t="str">
            <v>APR007B</v>
          </cell>
          <cell r="D15" t="str">
            <v>Index</v>
          </cell>
          <cell r="E15" t="str">
            <v>NA</v>
          </cell>
          <cell r="F15" t="str">
            <v>Level</v>
          </cell>
          <cell r="G15">
            <v>12.428419999999999</v>
          </cell>
          <cell r="H15">
            <v>14.383609999999999</v>
          </cell>
          <cell r="I15">
            <v>17.648759999999999</v>
          </cell>
          <cell r="J15">
            <v>20.41208</v>
          </cell>
          <cell r="K15">
            <v>23.462160000000001</v>
          </cell>
          <cell r="L15">
            <v>25.215299999999999</v>
          </cell>
          <cell r="M15">
            <v>28.082899999999999</v>
          </cell>
          <cell r="N15">
            <v>32.33867</v>
          </cell>
          <cell r="O15">
            <v>36.157789999999999</v>
          </cell>
          <cell r="P15">
            <v>39.090560000000004</v>
          </cell>
          <cell r="Q15">
            <v>41.019669999999998</v>
          </cell>
          <cell r="R15">
            <v>42.766300000000001</v>
          </cell>
          <cell r="S15">
            <v>44.871380000000002</v>
          </cell>
          <cell r="T15">
            <v>46.36383</v>
          </cell>
          <cell r="U15">
            <v>47.849769999999999</v>
          </cell>
          <cell r="V15">
            <v>49.608339999999998</v>
          </cell>
          <cell r="W15">
            <v>52.216670000000001</v>
          </cell>
          <cell r="X15">
            <v>55.85</v>
          </cell>
          <cell r="Y15">
            <v>60.058329999999998</v>
          </cell>
          <cell r="Z15">
            <v>62.6</v>
          </cell>
          <cell r="AA15">
            <v>64.2</v>
          </cell>
          <cell r="AB15">
            <v>65.475009999999997</v>
          </cell>
          <cell r="AC15">
            <v>67.183329999999998</v>
          </cell>
          <cell r="AD15">
            <v>68.816670000000002</v>
          </cell>
          <cell r="AE15">
            <v>70.066670000000002</v>
          </cell>
          <cell r="AF15">
            <v>71.158330000000007</v>
          </cell>
          <cell r="AG15">
            <v>72.116659999999996</v>
          </cell>
          <cell r="AH15">
            <v>72.691670000000002</v>
          </cell>
          <cell r="AI15">
            <v>73.591669999999993</v>
          </cell>
          <cell r="AJ15">
            <v>74.5</v>
          </cell>
          <cell r="AK15">
            <v>75.525000000000006</v>
          </cell>
          <cell r="AL15">
            <v>76.541669999999996</v>
          </cell>
          <cell r="AM15">
            <v>78.099999999999994</v>
          </cell>
          <cell r="AN15">
            <v>79.933329999999998</v>
          </cell>
          <cell r="AO15">
            <v>81.783330000000007</v>
          </cell>
          <cell r="AP15">
            <v>84.724999999999994</v>
          </cell>
          <cell r="AQ15">
            <v>86.575000000000003</v>
          </cell>
          <cell r="AR15">
            <v>89.433329999999998</v>
          </cell>
          <cell r="AS15">
            <v>93.424999999999997</v>
          </cell>
          <cell r="AT15">
            <v>96.041669999999996</v>
          </cell>
          <cell r="AU15">
            <v>98.508330000000001</v>
          </cell>
          <cell r="AV15">
            <v>99.958330000000004</v>
          </cell>
          <cell r="AW15">
            <v>100.00830000000001</v>
          </cell>
          <cell r="AX15">
            <v>100.65</v>
          </cell>
          <cell r="AY15">
            <v>103.3584</v>
          </cell>
          <cell r="AZ15">
            <v>105.91670000000001</v>
          </cell>
          <cell r="BA15">
            <v>107.8</v>
          </cell>
          <cell r="BB15">
            <v>108.75</v>
          </cell>
          <cell r="BC15">
            <v>111.5583</v>
          </cell>
          <cell r="BD15">
            <v>119.3652</v>
          </cell>
          <cell r="BE15">
            <v>122.4766</v>
          </cell>
          <cell r="BF15">
            <v>123.80970000000001</v>
          </cell>
          <cell r="BG15">
            <v>125.4439</v>
          </cell>
          <cell r="BH15">
            <v>127.4023</v>
          </cell>
          <cell r="BI15">
            <v>129.8013</v>
          </cell>
          <cell r="BJ15">
            <v>132.34909999999999</v>
          </cell>
          <cell r="BK15">
            <v>134.9462</v>
          </cell>
          <cell r="BL15">
            <v>137.6216</v>
          </cell>
          <cell r="BM15">
            <v>140.35830000000001</v>
          </cell>
          <cell r="BN15">
            <v>143.1463</v>
          </cell>
          <cell r="BO15">
            <v>145.99279999999999</v>
          </cell>
          <cell r="BP15">
            <v>148.90289999999999</v>
          </cell>
          <cell r="BQ15">
            <v>151.8802</v>
          </cell>
          <cell r="BR15">
            <v>154.9177</v>
          </cell>
          <cell r="BS15">
            <v>158.01609999999999</v>
          </cell>
          <cell r="BT15">
            <v>161.1764</v>
          </cell>
          <cell r="BU15">
            <v>164.4</v>
          </cell>
          <cell r="BV15">
            <v>167.68799999999999</v>
          </cell>
          <cell r="BW15">
            <v>171.04169999999999</v>
          </cell>
          <cell r="BX15">
            <v>174.46250000000001</v>
          </cell>
          <cell r="BY15">
            <v>177.95179999999999</v>
          </cell>
          <cell r="BZ15">
            <v>181.51089999999999</v>
          </cell>
          <cell r="CA15">
            <v>185.14109999999999</v>
          </cell>
          <cell r="CB15">
            <v>188.84389999999999</v>
          </cell>
          <cell r="CC15">
            <v>192.6208</v>
          </cell>
          <cell r="CD15">
            <v>196.47309999999999</v>
          </cell>
          <cell r="CE15">
            <v>200.40260000000001</v>
          </cell>
          <cell r="CF15">
            <v>204.41069999999999</v>
          </cell>
          <cell r="CG15" t="str">
            <v>Office for National Statistics\Haver Analytics</v>
          </cell>
          <cell r="CH15" t="str">
            <v>False</v>
          </cell>
          <cell r="CI15" t="str">
            <v>NA</v>
          </cell>
          <cell r="CJ15" t="str">
            <v>2015</v>
          </cell>
          <cell r="CK15" t="str">
            <v>2021</v>
          </cell>
          <cell r="CL15" t="str">
            <v>4</v>
          </cell>
          <cell r="CM15" t="str">
            <v>NA</v>
          </cell>
          <cell r="CN15" t="str">
            <v>D7BT@UK</v>
          </cell>
          <cell r="CO15" t="str">
            <v xml:space="preserve">UK: Consumer Price Index: All Items (NSA, 2015=100) </v>
          </cell>
          <cell r="CP15" t="str">
            <v>GBR</v>
          </cell>
          <cell r="CQ15" t="str">
            <v>CPI</v>
          </cell>
          <cell r="CR15" t="str">
            <v>APR007B.db</v>
          </cell>
        </row>
        <row r="16">
          <cell r="A16" t="str">
            <v>United Kingdom</v>
          </cell>
          <cell r="B16" t="str">
            <v>Food component of CPI</v>
          </cell>
          <cell r="C16" t="str">
            <v>APR007B</v>
          </cell>
          <cell r="D16" t="str">
            <v>Index</v>
          </cell>
          <cell r="E16" t="str">
            <v>NA</v>
          </cell>
          <cell r="F16" t="str">
            <v>Level</v>
          </cell>
          <cell r="G16">
            <v>1E-3</v>
          </cell>
          <cell r="H16">
            <v>1E-3</v>
          </cell>
          <cell r="I16">
            <v>1E-3</v>
          </cell>
          <cell r="J16">
            <v>1E-3</v>
          </cell>
          <cell r="K16">
            <v>1E-3</v>
          </cell>
          <cell r="L16">
            <v>1E-3</v>
          </cell>
          <cell r="M16">
            <v>1E-3</v>
          </cell>
          <cell r="N16">
            <v>1E-3</v>
          </cell>
          <cell r="O16">
            <v>1E-3</v>
          </cell>
          <cell r="P16">
            <v>1E-3</v>
          </cell>
          <cell r="Q16">
            <v>1E-3</v>
          </cell>
          <cell r="R16">
            <v>1E-3</v>
          </cell>
          <cell r="S16">
            <v>1E-3</v>
          </cell>
          <cell r="T16">
            <v>1E-3</v>
          </cell>
          <cell r="U16">
            <v>1E-3</v>
          </cell>
          <cell r="V16">
            <v>41.158329999999999</v>
          </cell>
          <cell r="W16">
            <v>43.241669999999999</v>
          </cell>
          <cell r="X16">
            <v>46.641669999999998</v>
          </cell>
          <cell r="Y16">
            <v>50.05</v>
          </cell>
          <cell r="Z16">
            <v>52.05</v>
          </cell>
          <cell r="AA16">
            <v>53.616669999999999</v>
          </cell>
          <cell r="AB16">
            <v>54.641669999999998</v>
          </cell>
          <cell r="AC16">
            <v>56.875</v>
          </cell>
          <cell r="AD16">
            <v>58.908329999999999</v>
          </cell>
          <cell r="AE16">
            <v>59.608330000000002</v>
          </cell>
          <cell r="AF16">
            <v>61.066659999999999</v>
          </cell>
          <cell r="AG16">
            <v>62.375</v>
          </cell>
          <cell r="AH16">
            <v>63.075000000000003</v>
          </cell>
          <cell r="AI16">
            <v>65.366669999999999</v>
          </cell>
          <cell r="AJ16">
            <v>66.091669999999993</v>
          </cell>
          <cell r="AK16">
            <v>67.016670000000005</v>
          </cell>
          <cell r="AL16">
            <v>67.733339999999998</v>
          </cell>
          <cell r="AM16">
            <v>68.900000000000006</v>
          </cell>
          <cell r="AN16">
            <v>70.666659999999993</v>
          </cell>
          <cell r="AO16">
            <v>73.658330000000007</v>
          </cell>
          <cell r="AP16">
            <v>79.224999999999994</v>
          </cell>
          <cell r="AQ16">
            <v>83.325000000000003</v>
          </cell>
          <cell r="AR16">
            <v>86.625</v>
          </cell>
          <cell r="AS16">
            <v>92.100009999999997</v>
          </cell>
          <cell r="AT16">
            <v>95.8</v>
          </cell>
          <cell r="AU16">
            <v>100.1417</v>
          </cell>
          <cell r="AV16">
            <v>101.27500000000001</v>
          </cell>
          <cell r="AW16">
            <v>99.999979999999994</v>
          </cell>
          <cell r="AX16">
            <v>98.724999999999994</v>
          </cell>
          <cell r="AY16">
            <v>101.5333</v>
          </cell>
          <cell r="AZ16">
            <v>104.3083</v>
          </cell>
          <cell r="BA16">
            <v>106.36669999999999</v>
          </cell>
          <cell r="BB16">
            <v>107.50830000000001</v>
          </cell>
          <cell r="BC16">
            <v>108.52500000000001</v>
          </cell>
          <cell r="BD16">
            <v>115.12730000000001</v>
          </cell>
          <cell r="BE16">
            <v>120.79259999999999</v>
          </cell>
          <cell r="BF16">
            <v>125.0338</v>
          </cell>
          <cell r="BG16">
            <v>128.12629999999999</v>
          </cell>
          <cell r="BH16">
            <v>130.46899999999999</v>
          </cell>
          <cell r="BI16">
            <v>132.71270000000001</v>
          </cell>
          <cell r="BJ16">
            <v>135.01419999999999</v>
          </cell>
          <cell r="BK16">
            <v>137.4084</v>
          </cell>
          <cell r="BL16">
            <v>139.89340000000001</v>
          </cell>
          <cell r="BM16">
            <v>142.45920000000001</v>
          </cell>
          <cell r="BN16">
            <v>145.1011</v>
          </cell>
          <cell r="BO16">
            <v>147.816</v>
          </cell>
          <cell r="BP16">
            <v>150.60169999999999</v>
          </cell>
          <cell r="BQ16">
            <v>153.45650000000001</v>
          </cell>
          <cell r="BR16">
            <v>156.37100000000001</v>
          </cell>
          <cell r="BS16">
            <v>159.34100000000001</v>
          </cell>
          <cell r="BT16">
            <v>162.3673</v>
          </cell>
          <cell r="BU16">
            <v>165.45099999999999</v>
          </cell>
          <cell r="BV16">
            <v>168.5934</v>
          </cell>
          <cell r="BW16">
            <v>171.7955</v>
          </cell>
          <cell r="BX16">
            <v>175.0583</v>
          </cell>
          <cell r="BY16">
            <v>178.38319999999999</v>
          </cell>
          <cell r="BZ16">
            <v>181.77109999999999</v>
          </cell>
          <cell r="CA16">
            <v>185.2235</v>
          </cell>
          <cell r="CB16">
            <v>188.7414</v>
          </cell>
          <cell r="CC16">
            <v>192.3261</v>
          </cell>
          <cell r="CD16">
            <v>195.97890000000001</v>
          </cell>
          <cell r="CE16">
            <v>199.70099999999999</v>
          </cell>
          <cell r="CF16">
            <v>203.4939</v>
          </cell>
          <cell r="CG16" t="str">
            <v>Office for National Statistics / Haver Analytics</v>
          </cell>
          <cell r="CH16" t="str">
            <v>False</v>
          </cell>
          <cell r="CI16" t="str">
            <v>NA</v>
          </cell>
          <cell r="CJ16" t="str">
            <v>2015</v>
          </cell>
          <cell r="CK16" t="str">
            <v>2021</v>
          </cell>
          <cell r="CL16" t="str">
            <v>4</v>
          </cell>
          <cell r="CM16" t="str">
            <v>NA</v>
          </cell>
          <cell r="CN16" t="str">
            <v>DK9O@UK</v>
          </cell>
          <cell r="CO16" t="str">
            <v>UK: CPI: Food, Alcoholic Beverages &amp; Tobacco (NSA, 2015=100)</v>
          </cell>
          <cell r="CP16" t="str">
            <v>GBR</v>
          </cell>
          <cell r="CQ16" t="str">
            <v>CPIFD</v>
          </cell>
          <cell r="CR16" t="str">
            <v>APR007B.db</v>
          </cell>
        </row>
        <row r="17">
          <cell r="A17" t="str">
            <v>United Kingdom</v>
          </cell>
          <cell r="B17" t="str">
            <v>Fuel component of CPI</v>
          </cell>
          <cell r="C17" t="str">
            <v>APR007B</v>
          </cell>
          <cell r="D17" t="str">
            <v>Index</v>
          </cell>
          <cell r="E17" t="str">
            <v>NA</v>
          </cell>
          <cell r="F17" t="str">
            <v>Level</v>
          </cell>
          <cell r="G17">
            <v>1E-3</v>
          </cell>
          <cell r="H17">
            <v>1E-3</v>
          </cell>
          <cell r="I17">
            <v>1E-3</v>
          </cell>
          <cell r="J17">
            <v>1E-3</v>
          </cell>
          <cell r="K17">
            <v>1E-3</v>
          </cell>
          <cell r="L17">
            <v>1E-3</v>
          </cell>
          <cell r="M17">
            <v>1E-3</v>
          </cell>
          <cell r="N17">
            <v>1E-3</v>
          </cell>
          <cell r="O17">
            <v>1E-3</v>
          </cell>
          <cell r="P17">
            <v>1E-3</v>
          </cell>
          <cell r="Q17">
            <v>1E-3</v>
          </cell>
          <cell r="R17">
            <v>1E-3</v>
          </cell>
          <cell r="S17">
            <v>1E-3</v>
          </cell>
          <cell r="T17">
            <v>1E-3</v>
          </cell>
          <cell r="U17">
            <v>1E-3</v>
          </cell>
          <cell r="V17">
            <v>30.675000000000001</v>
          </cell>
          <cell r="W17">
            <v>32.891669999999998</v>
          </cell>
          <cell r="X17">
            <v>36.691670000000002</v>
          </cell>
          <cell r="Y17">
            <v>39.424999999999997</v>
          </cell>
          <cell r="Z17">
            <v>40.566670000000002</v>
          </cell>
          <cell r="AA17">
            <v>43.775010000000002</v>
          </cell>
          <cell r="AB17">
            <v>45.774999999999999</v>
          </cell>
          <cell r="AC17">
            <v>48.15</v>
          </cell>
          <cell r="AD17">
            <v>50.466670000000001</v>
          </cell>
          <cell r="AE17">
            <v>55.483330000000002</v>
          </cell>
          <cell r="AF17">
            <v>58.258339999999997</v>
          </cell>
          <cell r="AG17">
            <v>63.166670000000003</v>
          </cell>
          <cell r="AH17">
            <v>71.474999999999994</v>
          </cell>
          <cell r="AI17">
            <v>67.808329999999998</v>
          </cell>
          <cell r="AJ17">
            <v>65.674999999999997</v>
          </cell>
          <cell r="AK17">
            <v>68.05</v>
          </cell>
          <cell r="AL17">
            <v>71.849999999999994</v>
          </cell>
          <cell r="AM17">
            <v>78.141660000000002</v>
          </cell>
          <cell r="AN17">
            <v>82.441670000000002</v>
          </cell>
          <cell r="AO17">
            <v>84.833340000000007</v>
          </cell>
          <cell r="AP17">
            <v>97.424980000000005</v>
          </cell>
          <cell r="AQ17">
            <v>89.791669999999996</v>
          </cell>
          <cell r="AR17">
            <v>104.8167</v>
          </cell>
          <cell r="AS17">
            <v>120.1917</v>
          </cell>
          <cell r="AT17">
            <v>122.5333</v>
          </cell>
          <cell r="AU17">
            <v>121.2</v>
          </cell>
          <cell r="AV17">
            <v>115.1416</v>
          </cell>
          <cell r="AW17">
            <v>100</v>
          </cell>
          <cell r="AX17">
            <v>97.616659999999996</v>
          </cell>
          <cell r="AY17">
            <v>105.6</v>
          </cell>
          <cell r="AZ17">
            <v>113.00830000000001</v>
          </cell>
          <cell r="BA17">
            <v>113.4333</v>
          </cell>
          <cell r="BB17">
            <v>103.575</v>
          </cell>
          <cell r="BC17">
            <v>118.1</v>
          </cell>
          <cell r="BD17">
            <v>135.5403</v>
          </cell>
          <cell r="BE17">
            <v>124.73390000000001</v>
          </cell>
          <cell r="BF17">
            <v>119.3995</v>
          </cell>
          <cell r="BG17">
            <v>118.2013</v>
          </cell>
          <cell r="BH17">
            <v>120.1426</v>
          </cell>
          <cell r="BI17">
            <v>122.7961</v>
          </cell>
          <cell r="BJ17">
            <v>125.7792</v>
          </cell>
          <cell r="BK17">
            <v>128.9032</v>
          </cell>
          <cell r="BL17">
            <v>132.12870000000001</v>
          </cell>
          <cell r="BM17">
            <v>134.9049</v>
          </cell>
          <cell r="BN17">
            <v>137.27869999999999</v>
          </cell>
          <cell r="BO17">
            <v>139.48159999999999</v>
          </cell>
          <cell r="BP17">
            <v>141.6524</v>
          </cell>
          <cell r="BQ17">
            <v>143.86609999999999</v>
          </cell>
          <cell r="BR17">
            <v>146.1172</v>
          </cell>
          <cell r="BS17">
            <v>148.40360000000001</v>
          </cell>
          <cell r="BT17">
            <v>150.72569999999999</v>
          </cell>
          <cell r="BU17">
            <v>153.08420000000001</v>
          </cell>
          <cell r="BV17">
            <v>155.4795</v>
          </cell>
          <cell r="BW17">
            <v>157.91239999999999</v>
          </cell>
          <cell r="BX17">
            <v>160.38329999999999</v>
          </cell>
          <cell r="BY17">
            <v>162.89279999999999</v>
          </cell>
          <cell r="BZ17">
            <v>165.4417</v>
          </cell>
          <cell r="CA17">
            <v>168.03030000000001</v>
          </cell>
          <cell r="CB17">
            <v>170.65960000000001</v>
          </cell>
          <cell r="CC17">
            <v>173.33</v>
          </cell>
          <cell r="CD17">
            <v>176.0421</v>
          </cell>
          <cell r="CE17">
            <v>178.79669999999999</v>
          </cell>
          <cell r="CF17">
            <v>181.59440000000001</v>
          </cell>
          <cell r="CG17" t="str">
            <v>Office for National Statistics\Haver Analytics</v>
          </cell>
          <cell r="CH17" t="str">
            <v>False</v>
          </cell>
          <cell r="CI17" t="str">
            <v>NA</v>
          </cell>
          <cell r="CJ17" t="str">
            <v>2015</v>
          </cell>
          <cell r="CK17" t="str">
            <v>2021</v>
          </cell>
          <cell r="CL17" t="str">
            <v>4</v>
          </cell>
          <cell r="CM17" t="str">
            <v>NA</v>
          </cell>
          <cell r="CN17" t="str">
            <v>D7EC@UK</v>
          </cell>
          <cell r="CO17" t="str">
            <v xml:space="preserve">UK: Consumer Price Index: Transport Equipment: Fuels &amp; Lubricants(NSA, 2015=100)  </v>
          </cell>
          <cell r="CP17" t="str">
            <v>GBR</v>
          </cell>
          <cell r="CQ17" t="str">
            <v>CPIFU</v>
          </cell>
          <cell r="CR17" t="str">
            <v>APR007B.db</v>
          </cell>
        </row>
        <row r="18">
          <cell r="A18" t="str">
            <v>United Kingdom</v>
          </cell>
          <cell r="B18" t="str">
            <v>Energy Component of CPI</v>
          </cell>
          <cell r="C18" t="str">
            <v>APR007B</v>
          </cell>
          <cell r="D18" t="str">
            <v>Index</v>
          </cell>
          <cell r="E18" t="str">
            <v>NA</v>
          </cell>
          <cell r="F18" t="str">
            <v>Level</v>
          </cell>
          <cell r="G18">
            <v>1E-3</v>
          </cell>
          <cell r="H18">
            <v>1E-3</v>
          </cell>
          <cell r="I18">
            <v>1E-3</v>
          </cell>
          <cell r="J18">
            <v>1E-3</v>
          </cell>
          <cell r="K18">
            <v>1E-3</v>
          </cell>
          <cell r="L18">
            <v>1E-3</v>
          </cell>
          <cell r="M18">
            <v>1E-3</v>
          </cell>
          <cell r="N18">
            <v>1E-3</v>
          </cell>
          <cell r="O18">
            <v>1E-3</v>
          </cell>
          <cell r="P18">
            <v>1E-3</v>
          </cell>
          <cell r="Q18">
            <v>1E-3</v>
          </cell>
          <cell r="R18">
            <v>1E-3</v>
          </cell>
          <cell r="S18">
            <v>1E-3</v>
          </cell>
          <cell r="T18">
            <v>1E-3</v>
          </cell>
          <cell r="U18">
            <v>1E-3</v>
          </cell>
          <cell r="V18">
            <v>30.233329999999999</v>
          </cell>
          <cell r="W18">
            <v>31.883330000000001</v>
          </cell>
          <cell r="X18">
            <v>34.5</v>
          </cell>
          <cell r="Y18">
            <v>37.241669999999999</v>
          </cell>
          <cell r="Z18">
            <v>38.08334</v>
          </cell>
          <cell r="AA18">
            <v>37.583329999999997</v>
          </cell>
          <cell r="AB18">
            <v>39.208329999999997</v>
          </cell>
          <cell r="AC18">
            <v>40.04166</v>
          </cell>
          <cell r="AD18">
            <v>40.200000000000003</v>
          </cell>
          <cell r="AE18">
            <v>39.016669999999998</v>
          </cell>
          <cell r="AF18">
            <v>37.383339999999997</v>
          </cell>
          <cell r="AG18">
            <v>37.366660000000003</v>
          </cell>
          <cell r="AH18">
            <v>37.391669999999998</v>
          </cell>
          <cell r="AI18">
            <v>37.583329999999997</v>
          </cell>
          <cell r="AJ18">
            <v>38.424999999999997</v>
          </cell>
          <cell r="AK18">
            <v>39.125</v>
          </cell>
          <cell r="AL18">
            <v>41.79166</v>
          </cell>
          <cell r="AM18">
            <v>47.283340000000003</v>
          </cell>
          <cell r="AN18">
            <v>58.966670000000001</v>
          </cell>
          <cell r="AO18">
            <v>63.233330000000002</v>
          </cell>
          <cell r="AP18">
            <v>74.933329999999998</v>
          </cell>
          <cell r="AQ18">
            <v>80.141670000000005</v>
          </cell>
          <cell r="AR18">
            <v>77.908339999999995</v>
          </cell>
          <cell r="AS18">
            <v>85.666659999999993</v>
          </cell>
          <cell r="AT18">
            <v>92.483339999999998</v>
          </cell>
          <cell r="AU18">
            <v>99.124989999999997</v>
          </cell>
          <cell r="AV18">
            <v>103.4417</v>
          </cell>
          <cell r="AW18">
            <v>100</v>
          </cell>
          <cell r="AX18">
            <v>97.05</v>
          </cell>
          <cell r="AY18">
            <v>100.7</v>
          </cell>
          <cell r="AZ18">
            <v>107.5333</v>
          </cell>
          <cell r="BA18">
            <v>111.6083</v>
          </cell>
          <cell r="BB18">
            <v>106.45</v>
          </cell>
          <cell r="BC18">
            <v>111.45829999999999</v>
          </cell>
          <cell r="BD18">
            <v>174.9469</v>
          </cell>
          <cell r="BE18">
            <v>190.1491</v>
          </cell>
          <cell r="BF18">
            <v>162.28489999999999</v>
          </cell>
          <cell r="BG18">
            <v>145.0222</v>
          </cell>
          <cell r="BH18">
            <v>137.81700000000001</v>
          </cell>
          <cell r="BI18">
            <v>142.8152</v>
          </cell>
          <cell r="BJ18">
            <v>150.54599999999999</v>
          </cell>
          <cell r="BK18">
            <v>157.99469999999999</v>
          </cell>
          <cell r="BL18">
            <v>165.8158</v>
          </cell>
          <cell r="BM18">
            <v>174.0215</v>
          </cell>
          <cell r="BN18">
            <v>182.62129999999999</v>
          </cell>
          <cell r="BO18">
            <v>191.63040000000001</v>
          </cell>
          <cell r="BP18">
            <v>201.08199999999999</v>
          </cell>
          <cell r="BQ18">
            <v>211.00700000000001</v>
          </cell>
          <cell r="BR18">
            <v>221.4264</v>
          </cell>
          <cell r="BS18">
            <v>232.3603</v>
          </cell>
          <cell r="BT18">
            <v>243.83410000000001</v>
          </cell>
          <cell r="BU18">
            <v>255.87450000000001</v>
          </cell>
          <cell r="BV18">
            <v>268.50940000000003</v>
          </cell>
          <cell r="BW18">
            <v>281.76819999999998</v>
          </cell>
          <cell r="BX18">
            <v>295.68169999999998</v>
          </cell>
          <cell r="BY18">
            <v>310.28230000000002</v>
          </cell>
          <cell r="BZ18">
            <v>325.60379999999998</v>
          </cell>
          <cell r="CA18">
            <v>341.68189999999998</v>
          </cell>
          <cell r="CB18">
            <v>358.5539</v>
          </cell>
          <cell r="CC18">
            <v>376.25909999999999</v>
          </cell>
          <cell r="CD18">
            <v>394.83850000000001</v>
          </cell>
          <cell r="CE18">
            <v>414.33530000000002</v>
          </cell>
          <cell r="CF18">
            <v>434.79489999999998</v>
          </cell>
          <cell r="CG18" t="str">
            <v>Office for National Statistics / Haver Analytics</v>
          </cell>
          <cell r="CH18" t="str">
            <v>False</v>
          </cell>
          <cell r="CI18" t="str">
            <v>NA</v>
          </cell>
          <cell r="CJ18" t="str">
            <v>2015</v>
          </cell>
          <cell r="CK18" t="str">
            <v>2021</v>
          </cell>
          <cell r="CL18" t="str">
            <v>4</v>
          </cell>
          <cell r="CM18" t="str">
            <v>NA</v>
          </cell>
          <cell r="CN18" t="str">
            <v>D7CH@UK</v>
          </cell>
          <cell r="CO18" t="str">
            <v>UK: Consumer Price Index: Housing: Electricity, Gas &amp; Other Fuels(NSA, 2015=100)</v>
          </cell>
          <cell r="CP18" t="str">
            <v>GBR</v>
          </cell>
          <cell r="CQ18" t="str">
            <v>CPIEN</v>
          </cell>
          <cell r="CR18" t="str">
            <v>APR007B.db</v>
          </cell>
        </row>
        <row r="19">
          <cell r="A19" t="str">
            <v>United Kingdom</v>
          </cell>
          <cell r="B19" t="str">
            <v>Consumer price index, total except food and energy</v>
          </cell>
          <cell r="C19" t="str">
            <v>APR007B</v>
          </cell>
          <cell r="D19" t="str">
            <v>Index</v>
          </cell>
          <cell r="E19" t="str">
            <v>NA</v>
          </cell>
          <cell r="F19" t="str">
            <v>Level</v>
          </cell>
          <cell r="G19">
            <v>1E-3</v>
          </cell>
          <cell r="H19">
            <v>1E-3</v>
          </cell>
          <cell r="I19">
            <v>1E-3</v>
          </cell>
          <cell r="J19">
            <v>1E-3</v>
          </cell>
          <cell r="K19">
            <v>1E-3</v>
          </cell>
          <cell r="L19">
            <v>1E-3</v>
          </cell>
          <cell r="M19">
            <v>1E-3</v>
          </cell>
          <cell r="N19">
            <v>1E-3</v>
          </cell>
          <cell r="O19">
            <v>1E-3</v>
          </cell>
          <cell r="P19">
            <v>1E-3</v>
          </cell>
          <cell r="Q19">
            <v>1E-3</v>
          </cell>
          <cell r="R19">
            <v>1E-3</v>
          </cell>
          <cell r="S19">
            <v>1E-3</v>
          </cell>
          <cell r="T19">
            <v>1E-3</v>
          </cell>
          <cell r="U19">
            <v>1E-3</v>
          </cell>
          <cell r="V19">
            <v>54.45</v>
          </cell>
          <cell r="W19">
            <v>57.25</v>
          </cell>
          <cell r="X19">
            <v>60.849989999999998</v>
          </cell>
          <cell r="Y19">
            <v>65.474999999999994</v>
          </cell>
          <cell r="Z19">
            <v>68.408339999999995</v>
          </cell>
          <cell r="AA19">
            <v>70.058329999999998</v>
          </cell>
          <cell r="AB19">
            <v>71.233339999999998</v>
          </cell>
          <cell r="AC19">
            <v>72.691670000000002</v>
          </cell>
          <cell r="AD19">
            <v>74.158330000000007</v>
          </cell>
          <cell r="AE19">
            <v>75.55</v>
          </cell>
          <cell r="AF19">
            <v>76.641660000000002</v>
          </cell>
          <cell r="AG19">
            <v>77.208340000000007</v>
          </cell>
          <cell r="AH19">
            <v>77.266660000000002</v>
          </cell>
          <cell r="AI19">
            <v>78.091660000000005</v>
          </cell>
          <cell r="AJ19">
            <v>79.25</v>
          </cell>
          <cell r="AK19">
            <v>80.266660000000002</v>
          </cell>
          <cell r="AL19">
            <v>81.125</v>
          </cell>
          <cell r="AM19">
            <v>82.35</v>
          </cell>
          <cell r="AN19">
            <v>83.441670000000002</v>
          </cell>
          <cell r="AO19">
            <v>84.85</v>
          </cell>
          <cell r="AP19">
            <v>86.224999999999994</v>
          </cell>
          <cell r="AQ19">
            <v>87.741659999999996</v>
          </cell>
          <cell r="AR19">
            <v>90.266670000000005</v>
          </cell>
          <cell r="AS19">
            <v>93.166659999999993</v>
          </cell>
          <cell r="AT19">
            <v>95.35</v>
          </cell>
          <cell r="AU19">
            <v>97.325000000000003</v>
          </cell>
          <cell r="AV19">
            <v>98.924999999999997</v>
          </cell>
          <cell r="AW19">
            <v>100.00830000000001</v>
          </cell>
          <cell r="AX19">
            <v>101.33329999999999</v>
          </cell>
          <cell r="AY19">
            <v>103.75</v>
          </cell>
          <cell r="AZ19">
            <v>105.875</v>
          </cell>
          <cell r="BA19">
            <v>107.72499999999999</v>
          </cell>
          <cell r="BB19">
            <v>109.22499999999999</v>
          </cell>
          <cell r="BC19">
            <v>111.8417</v>
          </cell>
          <cell r="BD19">
            <v>117.0189</v>
          </cell>
          <cell r="BE19">
            <v>119.5736</v>
          </cell>
          <cell r="BF19">
            <v>121.91719999999999</v>
          </cell>
          <cell r="BG19">
            <v>124.2371</v>
          </cell>
          <cell r="BH19">
            <v>126.5432</v>
          </cell>
          <cell r="BI19">
            <v>128.84350000000001</v>
          </cell>
          <cell r="BJ19">
            <v>131.18379999999999</v>
          </cell>
          <cell r="BK19">
            <v>133.57570000000001</v>
          </cell>
          <cell r="BL19">
            <v>136.02860000000001</v>
          </cell>
          <cell r="BM19">
            <v>138.54400000000001</v>
          </cell>
          <cell r="BN19">
            <v>141.10759999999999</v>
          </cell>
          <cell r="BO19">
            <v>143.7193</v>
          </cell>
          <cell r="BP19">
            <v>146.3792</v>
          </cell>
          <cell r="BQ19">
            <v>149.08770000000001</v>
          </cell>
          <cell r="BR19">
            <v>151.8372</v>
          </cell>
          <cell r="BS19">
            <v>154.6285</v>
          </cell>
          <cell r="BT19">
            <v>157.4614</v>
          </cell>
          <cell r="BU19">
            <v>160.3364</v>
          </cell>
          <cell r="BV19">
            <v>163.2533</v>
          </cell>
          <cell r="BW19">
            <v>166.2122</v>
          </cell>
          <cell r="BX19">
            <v>169.2131</v>
          </cell>
          <cell r="BY19">
            <v>172.256</v>
          </cell>
          <cell r="BZ19">
            <v>175.3409</v>
          </cell>
          <cell r="CA19">
            <v>178.4674</v>
          </cell>
          <cell r="CB19">
            <v>181.63550000000001</v>
          </cell>
          <cell r="CC19">
            <v>184.8449</v>
          </cell>
          <cell r="CD19">
            <v>188.09540000000001</v>
          </cell>
          <cell r="CE19">
            <v>191.38659999999999</v>
          </cell>
          <cell r="CF19">
            <v>194.71789999999999</v>
          </cell>
          <cell r="CG19" t="str">
            <v>Office for National Statistics\Haver Analytics</v>
          </cell>
          <cell r="CH19" t="str">
            <v>False</v>
          </cell>
          <cell r="CI19" t="str">
            <v>NA</v>
          </cell>
          <cell r="CJ19" t="str">
            <v>2015</v>
          </cell>
          <cell r="CK19" t="str">
            <v>2021</v>
          </cell>
          <cell r="CL19" t="str">
            <v>4</v>
          </cell>
          <cell r="CM19" t="str">
            <v>NA</v>
          </cell>
          <cell r="CN19" t="str">
            <v>DKC6@UK</v>
          </cell>
          <cell r="CO19" t="str">
            <v>UK: CPI: All Items ex Energy, Food, Alcoholic Beverages &amp; Tobacco(NSA, 2015=100)</v>
          </cell>
          <cell r="CP19" t="str">
            <v>GBR</v>
          </cell>
          <cell r="CQ19" t="str">
            <v>CPICORE</v>
          </cell>
          <cell r="CR19" t="str">
            <v>APR007B.db</v>
          </cell>
        </row>
        <row r="20">
          <cell r="A20"/>
        </row>
        <row r="21">
          <cell r="A21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A0CCC8-071E-44D0-9BA6-DC87B2204175}" name="Table_15a_TGKS" displayName="Table_15a_TGKS" ref="A6:L37" totalsRowShown="0" headerRowDxfId="29" dataDxfId="28" headerRowBorderDxfId="27" dataCellStyle="Comma">
  <autoFilter ref="A6:L37" xr:uid="{E7A0CCC8-071E-44D0-9BA6-DC87B2204175}"/>
  <tableColumns count="12">
    <tableColumn id="1" xr3:uid="{4284A57B-3F87-430D-BB93-820E19F4BCC7}" name="Time period and codes" dataDxfId="26"/>
    <tableColumn id="2" xr3:uid="{DEB88DC6-6934-4FB8-BA29-5AB3D47ACCE6}" name="Total goods" dataDxfId="25" dataCellStyle="Comma"/>
    <tableColumn id="3" xr3:uid="{931B90CF-89F8-480D-BD15-D162B8C657C7}" name="Food and non-alcoholic beverages" dataDxfId="24" dataCellStyle="Comma"/>
    <tableColumn id="4" xr3:uid="{9CE94D3F-248B-429C-B2BE-23F4F1A378D8}" name="Alcoholic beverages and tobacco_x000a_[note 1]" dataDxfId="23" dataCellStyle="Comma"/>
    <tableColumn id="5" xr3:uid="{1947AFA3-B6EE-4334-ABA8-1846C5AC300C}" name="Clothing and footwear" dataDxfId="22" dataCellStyle="Comma"/>
    <tableColumn id="6" xr3:uid="{DAD9D6FC-CA18-43E6-B4F2-F00882D6AB21}" name="Housing, water, electricity, gas and other fuel" dataDxfId="21" dataCellStyle="Comma"/>
    <tableColumn id="7" xr3:uid="{C99104BA-8F5B-465D-A903-6DD9E7D4AC50}" name="Household goods" dataDxfId="20" dataCellStyle="Comma"/>
    <tableColumn id="8" xr3:uid="{BC175418-AEEC-4F89-9543-C16CDAD2BC29}" name="Health" dataDxfId="19" dataCellStyle="Comma"/>
    <tableColumn id="9" xr3:uid="{0C9DF291-0006-4B24-AC51-38AA4AFC7F33}" name="Transport" dataDxfId="18" dataCellStyle="Comma"/>
    <tableColumn id="10" xr3:uid="{88590CBA-6DCF-4F4E-8841-08146A2E122D}" name="Communication" dataDxfId="17" dataCellStyle="Comma"/>
    <tableColumn id="11" xr3:uid="{E120C223-CF71-4450-B623-1D3BCBC1F88B}" name="Recreation and culture" dataDxfId="16" dataCellStyle="Comma"/>
    <tableColumn id="12" xr3:uid="{77667727-F8D4-4120-981F-DD8E02992B91}" name="Miscellaneous" dataDxfId="15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6B3CEA6-D582-4452-806E-4BAFCF325B7D}" name="Table_15b_TGKS" displayName="Table_15b_TGKS" ref="A40:L158" totalsRowShown="0" headerRowDxfId="14" dataDxfId="13" headerRowBorderDxfId="12" dataCellStyle="Comma">
  <autoFilter ref="A40:L158" xr:uid="{06B3CEA6-D582-4452-806E-4BAFCF325B7D}"/>
  <tableColumns count="12">
    <tableColumn id="1" xr3:uid="{0E21D18D-09C3-47F3-81EC-277769819467}" name="Time period and codes" dataDxfId="11"/>
    <tableColumn id="2" xr3:uid="{2BF4A562-C463-41CC-85A9-3A1C7C0AD559}" name="Total goods" dataDxfId="10" dataCellStyle="Comma"/>
    <tableColumn id="3" xr3:uid="{2E17F459-0406-4133-88E7-EBF78D7FE02D}" name="Food and non-alcoholic beverages" dataDxfId="9" dataCellStyle="Comma"/>
    <tableColumn id="4" xr3:uid="{95581B71-3ECA-4366-B9D1-3B2FCAA090CE}" name="Alcoholic beverages and tobacco_x000a_[note 1]" dataDxfId="8" dataCellStyle="Comma"/>
    <tableColumn id="5" xr3:uid="{03232EC0-DD5A-4702-922B-6281351BBEF8}" name="Clothing and footwear" dataDxfId="7" dataCellStyle="Comma"/>
    <tableColumn id="6" xr3:uid="{2B89CC04-56AF-494F-8C4F-F9FB25DBEC4D}" name="Housing, water, electricity, gas and other fuel" dataDxfId="6" dataCellStyle="Comma"/>
    <tableColumn id="7" xr3:uid="{37B752D9-FC56-4372-9C40-EB134E39AE1E}" name="Household goods" dataDxfId="5" dataCellStyle="Comma"/>
    <tableColumn id="8" xr3:uid="{9DA3D1E9-6B73-473F-B726-C124F1E6FD78}" name="Health" dataDxfId="4" dataCellStyle="Comma"/>
    <tableColumn id="9" xr3:uid="{7DA456A3-EFC3-42AB-ADAD-9C03EC41D9B6}" name="Transport" dataDxfId="3" dataCellStyle="Comma"/>
    <tableColumn id="10" xr3:uid="{47E7C647-2EA6-40B4-B081-64E7E29CAC91}" name="Communication" dataDxfId="2" dataCellStyle="Comma"/>
    <tableColumn id="11" xr3:uid="{70BFADE6-F620-4ECB-AEA1-4AB22C67647E}" name="Recreation and culture" dataDxfId="1" dataCellStyle="Comma"/>
    <tableColumn id="12" xr3:uid="{FF25CDF7-0F7E-4DF5-B6BF-D7B7C265A29A}" name="Miscellaneous" dataDxfId="0" dataCellStyle="Comm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5761264-E0D2-4AC7-944D-A99660DB3643}" name="Table_16a_DGKS" displayName="Table_16a_DGKS" ref="A6:X37" totalsRowShown="0" headerRowDxfId="82" dataDxfId="81" headerRowBorderDxfId="80" dataCellStyle="Comma">
  <autoFilter ref="A6:X37" xr:uid="{E5761264-E0D2-4AC7-944D-A99660DB3643}"/>
  <tableColumns count="24">
    <tableColumn id="1" xr3:uid="{A732569B-8977-4B9B-B005-E950DC3D4BDA}" name="Time period and codes" dataDxfId="79"/>
    <tableColumn id="2" xr3:uid="{54A7957C-204C-430E-8FD1-2B05A526FD41}" name="Total durable goods" dataDxfId="78" dataCellStyle="Comma"/>
    <tableColumn id="3" xr3:uid="{2CA25462-1777-431A-A957-4E63F56A1DBC}" name="Household goods" dataDxfId="77" dataCellStyle="Comma"/>
    <tableColumn id="4" xr3:uid="{025C1354-3BA6-4A7C-84B7-24E88B546492}" name="Furniture and furnishings" dataDxfId="76" dataCellStyle="Comma"/>
    <tableColumn id="5" xr3:uid="{AAE7DC41-A436-4855-85F9-B108030F02EA}" name="Carpets and other floor coverings" dataDxfId="75" dataCellStyle="Comma"/>
    <tableColumn id="6" xr3:uid="{ECFA2F11-0770-4DCD-85A3-111725791D11}" name="Major appliances whether electrical or not" dataDxfId="74" dataCellStyle="Comma"/>
    <tableColumn id="7" xr3:uid="{E2809BA9-A8FD-4B23-8FCF-64810333A507}" name="Major tools and equipment" dataDxfId="73" dataCellStyle="Comma"/>
    <tableColumn id="8" xr3:uid="{76DF5D9B-5509-4C24-AD54-9688340D7E18}" name="Health" dataDxfId="72" dataCellStyle="Comma"/>
    <tableColumn id="9" xr3:uid="{34ED6886-1A2F-4D38-87B1-1077DA47A948}" name="Therapeutic appliances and equipment" dataDxfId="71" dataCellStyle="Comma"/>
    <tableColumn id="10" xr3:uid="{6203E86E-3ACF-4A5D-A9DF-C14D8DC97E70}" name="Transport" dataDxfId="70" dataCellStyle="Comma"/>
    <tableColumn id="11" xr3:uid="{52F66F20-0218-47EF-B948-6C4D71D4D2D6}" name="Purchase of vehicles" dataDxfId="69" dataCellStyle="Comma"/>
    <tableColumn id="12" xr3:uid="{16A14D6C-FB7F-4E0B-8EFC-291A2B4EEC8E}" name="Motor cars" dataDxfId="68" dataCellStyle="Comma"/>
    <tableColumn id="13" xr3:uid="{79164300-7835-4FED-A106-1247B8933202}" name="Motor cycles" dataDxfId="67" dataCellStyle="Comma"/>
    <tableColumn id="14" xr3:uid="{C582B6AE-390B-494D-9ABD-DBA0622E6C2D}" name="Bicycles" dataDxfId="66" dataCellStyle="Comma"/>
    <tableColumn id="15" xr3:uid="{87DAAA18-8DE8-4530-BF0E-A2D0770CDD54}" name="Communication" dataDxfId="65" dataCellStyle="Comma"/>
    <tableColumn id="16" xr3:uid="{DC66DA53-FBA0-496C-9A06-90CA97C93E1B}" name="Telephone and telefax equipment" dataDxfId="64" dataCellStyle="Comma"/>
    <tableColumn id="17" xr3:uid="{D6CBCFDA-B3C7-47A7-AF14-13F52B4A3AFA}" name="Recreation and culture" dataDxfId="63" dataCellStyle="Comma"/>
    <tableColumn id="18" xr3:uid="{CE04D7F7-3A3B-43C8-8EE3-F4227F400CE5}" name="Audio visual and recording equipment" dataDxfId="62" dataCellStyle="Comma"/>
    <tableColumn id="19" xr3:uid="{E651F022-B822-4203-8A4C-E0BE31C2F0B0}" name="Photographic etc equipment" dataDxfId="61" dataCellStyle="Comma"/>
    <tableColumn id="20" xr3:uid="{C83F1252-2A3C-48A2-BC3C-59D70C6E55D1}" name="Information processing equipment" dataDxfId="60" dataCellStyle="Comma"/>
    <tableColumn id="21" xr3:uid="{88224DDB-C543-4F9E-9FBE-A989F423B2D1}" name="Major durables for outdoor recreation" dataDxfId="59" dataCellStyle="Comma"/>
    <tableColumn id="22" xr3:uid="{3B45DADF-F9FD-4434-B3FE-84DE2A87BB64}" name="Musical instruments and major durables for indoor recreation" dataDxfId="58" dataCellStyle="Comma"/>
    <tableColumn id="23" xr3:uid="{50DE63EE-34DE-4FEE-AF3F-8104F850BE35}" name="Miscellaneous" dataDxfId="57" dataCellStyle="Comma"/>
    <tableColumn id="24" xr3:uid="{EE5E92D5-5466-454A-AA09-94A3B5EEEC7E}" name="Jewellery clocks and watches" dataDxfId="56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BD9DB97-2FBA-4092-AEB2-42EFBF565BDE}" name="Table_16b_DGKS" displayName="Table_16b_DGKS" ref="A40:X158" totalsRowShown="0" headerRowDxfId="55" dataDxfId="54" dataCellStyle="Comma">
  <autoFilter ref="A40:X158" xr:uid="{6BD9DB97-2FBA-4092-AEB2-42EFBF565BDE}"/>
  <tableColumns count="24">
    <tableColumn id="1" xr3:uid="{353CC73A-9FE3-4DBF-BED7-F709BA165CC3}" name="Time period and codes" dataDxfId="53"/>
    <tableColumn id="2" xr3:uid="{C78555D4-41B1-4C54-B811-5DD2C1DC2209}" name="Total durable goods" dataDxfId="52" dataCellStyle="Comma"/>
    <tableColumn id="3" xr3:uid="{E9A9F134-FD2D-4711-B941-2602E033A9CB}" name="Household goods" dataDxfId="51" dataCellStyle="Comma"/>
    <tableColumn id="4" xr3:uid="{FC0D4FA2-8967-478A-A22C-E7B7A3068539}" name="Furniture and furnishings" dataDxfId="50" dataCellStyle="Comma"/>
    <tableColumn id="5" xr3:uid="{C532EACB-5D36-4256-8615-CEFCAE5B3DC8}" name="Carpets and other floor coverings" dataDxfId="49" dataCellStyle="Comma"/>
    <tableColumn id="6" xr3:uid="{6882FA52-FBC9-493A-85A9-4C09FFE579AF}" name="Major appliances whether electrical or not" dataDxfId="48" dataCellStyle="Comma"/>
    <tableColumn id="7" xr3:uid="{E069E82F-E535-4D25-A871-F1C11B31ED0B}" name="Major tools and equipment" dataDxfId="47" dataCellStyle="Comma"/>
    <tableColumn id="8" xr3:uid="{FF3ACC3B-394C-4F7E-939C-87A173604206}" name="Health" dataDxfId="46" dataCellStyle="Comma"/>
    <tableColumn id="9" xr3:uid="{5D627648-AEF5-4857-BE59-D67511BFC146}" name="Therapeutic appliances and equipment" dataDxfId="45" dataCellStyle="Comma"/>
    <tableColumn id="10" xr3:uid="{51DCA7F1-A6C6-40EA-BF19-BFEC1F7B592A}" name="Transport" dataDxfId="44" dataCellStyle="Comma"/>
    <tableColumn id="11" xr3:uid="{5A0E2C93-D9D0-477C-81D9-D3C4E68FBF61}" name="Purchase of vehicles" dataDxfId="43" dataCellStyle="Comma"/>
    <tableColumn id="12" xr3:uid="{13C98E0F-A87A-4B5B-B0C9-9057D2FA8371}" name="Motor cars" dataDxfId="42" dataCellStyle="Comma"/>
    <tableColumn id="13" xr3:uid="{34C9D335-7839-4724-956A-075BE54B8EEA}" name="Motor cycles" dataDxfId="41" dataCellStyle="Comma"/>
    <tableColumn id="14" xr3:uid="{865B73E8-302F-4A4B-9AAA-4FBA320B6B25}" name="Bicycles" dataDxfId="40" dataCellStyle="Comma"/>
    <tableColumn id="15" xr3:uid="{A2A70E4C-D73C-4DC6-88DE-D3159285E41D}" name="Communication" dataDxfId="39" dataCellStyle="Comma"/>
    <tableColumn id="16" xr3:uid="{0A7247AD-C964-455C-9F15-ECEFA5D21B90}" name="Telephone and telefax equipment" dataDxfId="38" dataCellStyle="Comma"/>
    <tableColumn id="17" xr3:uid="{4AD51083-B652-4E77-A401-6C4C8308CCBE}" name="Recreation and culture" dataDxfId="37" dataCellStyle="Comma"/>
    <tableColumn id="18" xr3:uid="{1445FD1D-52E4-4289-ACC6-A1558CF5BD01}" name="Audio visual and recording equipment" dataDxfId="36" dataCellStyle="Comma"/>
    <tableColumn id="19" xr3:uid="{B98D01C7-0E96-4D1B-AB57-002BFB5A5991}" name="Photographic etc equipment" dataDxfId="35" dataCellStyle="Comma"/>
    <tableColumn id="20" xr3:uid="{5DEE724E-8999-4F57-9FBB-D7ACADF1C43B}" name="Information processing equipment" dataDxfId="34" dataCellStyle="Comma"/>
    <tableColumn id="21" xr3:uid="{55C866B7-AB2B-470E-A7B0-B7C7AB233589}" name="Major durables for outdoor recreation" dataDxfId="33" dataCellStyle="Comma"/>
    <tableColumn id="22" xr3:uid="{7276E892-7EFB-482E-B8E0-69E2BF62B30E}" name="Musical instruments and major durables for indoor recreation" dataDxfId="32" dataCellStyle="Comma"/>
    <tableColumn id="23" xr3:uid="{D0D21B88-6B52-41B6-B9B4-FE7A16E558BD}" name="Miscellaneous" dataDxfId="31" dataCellStyle="Comma"/>
    <tableColumn id="24" xr3:uid="{5F77393E-A266-4630-BF97-FD118031E9FD}" name="Jewellery clocks and watches" dataDxfId="30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46412B-F910-4283-B806-388E8077E0EC}" name="Table_17a_SDGKS" displayName="Table_17a_SDGKS" ref="A6:V37" totalsRowShown="0" headerRowDxfId="131" dataDxfId="130" headerRowBorderDxfId="129" dataCellStyle="Comma">
  <autoFilter ref="A6:V37" xr:uid="{0346412B-F910-4283-B806-388E8077E0EC}"/>
  <tableColumns count="22">
    <tableColumn id="1" xr3:uid="{E915D557-A263-4CBA-9DA0-C5F1A1B7D31C}" name="Time period and codes" dataDxfId="128"/>
    <tableColumn id="2" xr3:uid="{2E8594F4-F652-46B5-A744-0EFCD67B1EE2}" name="Total semi-durable goods" dataDxfId="127" dataCellStyle="Comma"/>
    <tableColumn id="3" xr3:uid="{8539CEC1-C827-47BD-9DE6-2DEAAD330A2C}" name="Clothing and footwear" dataDxfId="126" dataCellStyle="Comma"/>
    <tableColumn id="4" xr3:uid="{D1BFC5F6-2169-4A1E-A3BD-66ECAD9634F5}" name="Clothing materials" dataDxfId="125" dataCellStyle="Comma"/>
    <tableColumn id="5" xr3:uid="{16594654-AFE6-4BBE-97D7-5DFFE575CC3B}" name="Garments" dataDxfId="124" dataCellStyle="Comma"/>
    <tableColumn id="6" xr3:uid="{CB80A4F4-CB4F-41B2-A96E-5D1B35179CE3}" name="Other articles of clothing and clothing accessories" dataDxfId="123" dataCellStyle="Comma"/>
    <tableColumn id="7" xr3:uid="{3AC45D4B-BEAA-49FF-B752-55665443E4AF}" name="Shoes and other footwear" dataDxfId="122" dataCellStyle="Comma"/>
    <tableColumn id="8" xr3:uid="{F741BC30-BCC3-4154-B604-332F2B2437CB}" name="Household goods" dataDxfId="121" dataCellStyle="Comma"/>
    <tableColumn id="9" xr3:uid="{AF791C5E-8127-4061-A6BF-35E8FA5059D3}" name="Household textiles" dataDxfId="120" dataCellStyle="Comma"/>
    <tableColumn id="10" xr3:uid="{509D35A3-FB7F-4315-B691-9CB4C1C38023}" name="Small electric household appliances" dataDxfId="119" dataCellStyle="Comma"/>
    <tableColumn id="11" xr3:uid="{BE83CB65-D1C3-4C5D-8E1C-C9C7E9FEDE4B}" name="Glassware, tableware and household appliances" dataDxfId="118" dataCellStyle="Comma"/>
    <tableColumn id="12" xr3:uid="{6E009EC0-339B-48CB-8D55-665393001073}" name="Small tools and equipment" dataDxfId="117" dataCellStyle="Comma"/>
    <tableColumn id="13" xr3:uid="{AA6C7C16-8F74-4EF5-8F65-D21DFF3F5704}" name="Transport" dataDxfId="116" dataCellStyle="Comma"/>
    <tableColumn id="14" xr3:uid="{47834C0A-4C6E-4957-9769-786978A52E8E}" name="Spare parts and accessories for personal transport equipment" dataDxfId="115" dataCellStyle="Comma"/>
    <tableColumn id="15" xr3:uid="{F6B97805-EB45-4266-A312-95B5B0442341}" name="Recreation and culture" dataDxfId="114" dataCellStyle="Comma"/>
    <tableColumn id="16" xr3:uid="{DB53493E-741F-4525-94D5-124110AACFED}" name="Recording media" dataDxfId="113" dataCellStyle="Comma"/>
    <tableColumn id="17" xr3:uid="{05AB210A-C42B-4792-AFD1-DD3E3D50D250}" name="Games, toys and hobbies" dataDxfId="112" dataCellStyle="Comma"/>
    <tableColumn id="18" xr3:uid="{BA06A444-E1DC-4345-BB65-4D587278B485}" name="Equipment for sport, camping and open-air recreation" dataDxfId="111" dataCellStyle="Comma"/>
    <tableColumn id="19" xr3:uid="{A9732D39-AC96-4531-87C7-46E8F80499C5}" name="Books" dataDxfId="110" dataCellStyle="Comma"/>
    <tableColumn id="20" xr3:uid="{248D83AF-A298-46A0-A366-8F6EAE5501D6}" name="Miscellaneous" dataDxfId="109" dataCellStyle="Comma"/>
    <tableColumn id="21" xr3:uid="{A7A04C64-D9E0-4B35-A70F-1A754D131EED}" name="Electrical appliances for personal care" dataDxfId="108" dataCellStyle="Comma"/>
    <tableColumn id="22" xr3:uid="{F19DFE5B-C08E-44D1-844F-B1EFD191F7DF}" name="Other personal effects" dataDxfId="107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DC729B-B940-428E-8C70-F638756EE00F}" name="Table_17b_SDGKS" displayName="Table_17b_SDGKS" ref="A40:V158" totalsRowShown="0" headerRowDxfId="106" dataDxfId="105" dataCellStyle="Comma">
  <autoFilter ref="A40:V158" xr:uid="{A4DC729B-B940-428E-8C70-F638756EE00F}"/>
  <tableColumns count="22">
    <tableColumn id="1" xr3:uid="{3F6DD306-7BA7-4714-AE01-A97341635A5E}" name="Time period and codes" dataDxfId="104"/>
    <tableColumn id="2" xr3:uid="{B2F3EBD3-274E-4E59-861C-D1CB2F48E351}" name="Total semi-durable goods" dataDxfId="103" dataCellStyle="Comma"/>
    <tableColumn id="3" xr3:uid="{10B83BF7-3FDE-4FF2-9D4B-8D491D884239}" name="Clothing and footwear" dataDxfId="102" dataCellStyle="Comma"/>
    <tableColumn id="4" xr3:uid="{F7987ACD-732A-4FA6-946B-122CB3A141D3}" name="Clothing materials" dataDxfId="101" dataCellStyle="Comma"/>
    <tableColumn id="5" xr3:uid="{C3F62E1A-75BB-45AA-86BD-5ECD2CF5C28F}" name="Garments" dataDxfId="100" dataCellStyle="Comma"/>
    <tableColumn id="6" xr3:uid="{B0F6B31C-385E-45C0-B267-3708B7187174}" name="Other articles of clothing and clothing accessories" dataDxfId="99" dataCellStyle="Comma"/>
    <tableColumn id="7" xr3:uid="{DC9E233E-030C-4BC2-B33C-0BBEB15779D6}" name="Shoes and other footwear" dataDxfId="98" dataCellStyle="Comma"/>
    <tableColumn id="8" xr3:uid="{69E41F8D-0A48-430C-9AA0-52066967600D}" name="Household goods" dataDxfId="97" dataCellStyle="Comma"/>
    <tableColumn id="9" xr3:uid="{2CA3F91C-DFBD-49DD-B0D5-A8D7FA96B42C}" name="Household textiles" dataDxfId="96" dataCellStyle="Comma"/>
    <tableColumn id="10" xr3:uid="{ACB0ADD5-687D-40AE-BE39-EC0B9A1E8CA6}" name="Small electric household appliances" dataDxfId="95" dataCellStyle="Comma"/>
    <tableColumn id="11" xr3:uid="{CEAC099F-0994-474D-8C15-46EF0CDEE0A3}" name="Glassware, tableware and household appliances" dataDxfId="94" dataCellStyle="Comma"/>
    <tableColumn id="12" xr3:uid="{D94FDF7D-2967-48CC-9897-7FC47C843BFB}" name="Small tools and equipment" dataDxfId="93" dataCellStyle="Comma"/>
    <tableColumn id="13" xr3:uid="{D6391715-6918-443A-B10D-7C16446B8A93}" name="Transport" dataDxfId="92" dataCellStyle="Comma"/>
    <tableColumn id="14" xr3:uid="{6BC99503-5F00-4C37-822C-278923CD3D35}" name="Spare parts and accessories for personal transport equipment" dataDxfId="91" dataCellStyle="Comma"/>
    <tableColumn id="15" xr3:uid="{C43977A0-48E6-480F-AF69-679A0ABDBEAD}" name="Recreation and culture" dataDxfId="90" dataCellStyle="Comma"/>
    <tableColumn id="16" xr3:uid="{3110CA4F-0D2F-4ABC-B701-B33473892352}" name="Recording media" dataDxfId="89" dataCellStyle="Comma"/>
    <tableColumn id="17" xr3:uid="{C3F55094-C796-40A4-AA39-1ADC150079E6}" name="Games, toys and hobbies" dataDxfId="88" dataCellStyle="Comma"/>
    <tableColumn id="18" xr3:uid="{23321655-8D99-49D8-A322-AB476549F1EE}" name="Equipment for sport, camping and open-air recreation" dataDxfId="87" dataCellStyle="Comma"/>
    <tableColumn id="19" xr3:uid="{44743C7D-F5C2-4C48-8E00-574DE6A5B028}" name="Books" dataDxfId="86" dataCellStyle="Comma"/>
    <tableColumn id="20" xr3:uid="{2F9B0C86-7DF3-4409-B08A-A3CE888DD14D}" name="Miscellaneous" dataDxfId="85" dataCellStyle="Comma"/>
    <tableColumn id="21" xr3:uid="{0E28B256-38B7-47FD-9E91-09166AF90F00}" name="Electrical appliances for personal care" dataDxfId="84" dataCellStyle="Comma"/>
    <tableColumn id="22" xr3:uid="{479C2576-F495-482F-944E-0FAFA3989883}" name="Other personal effects" dataDxfId="83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113C02-4ADF-4108-AC41-A5A0E83828B2}" name="Table_18a_NDGKS" displayName="Table_18a_NDGKS" ref="A6:AU37" totalsRowShown="0" headerRowDxfId="231" dataDxfId="230" headerRowBorderDxfId="229" dataCellStyle="Comma">
  <autoFilter ref="A6:AU37" xr:uid="{F0113C02-4ADF-4108-AC41-A5A0E83828B2}"/>
  <tableColumns count="47">
    <tableColumn id="1" xr3:uid="{02B708A3-17EB-4FFD-8490-DF86595FB88E}" name="Time period and codes" dataDxfId="228"/>
    <tableColumn id="2" xr3:uid="{959427F2-723E-4C30-8DB2-84358181C4B0}" name="Total non-durable goods" dataDxfId="227" dataCellStyle="Comma"/>
    <tableColumn id="3" xr3:uid="{0F246D6F-78E0-45D5-A289-DEEC19402876}" name="Food and non-alcoholic beverages" dataDxfId="226" dataCellStyle="Comma"/>
    <tableColumn id="4" xr3:uid="{A5D9CE2F-2021-42DF-8C5F-04E54FBCD25D}" name="Food" dataDxfId="225" dataCellStyle="Comma"/>
    <tableColumn id="5" xr3:uid="{031D66F8-E0DE-4132-89EE-4D0A639F9424}" name="Bread and cereals" dataDxfId="224" dataCellStyle="Comma"/>
    <tableColumn id="6" xr3:uid="{D8293088-D56C-409B-BE23-437034770F31}" name="Meat" dataDxfId="223" dataCellStyle="Comma"/>
    <tableColumn id="7" xr3:uid="{E2D187FE-E711-4443-8FEF-03E7CF270F08}" name="Fish" dataDxfId="222" dataCellStyle="Comma"/>
    <tableColumn id="8" xr3:uid="{4824FC0D-706C-45DF-852C-E16AF05F4C7E}" name="Milk, cheese and eggs" dataDxfId="221" dataCellStyle="Comma"/>
    <tableColumn id="9" xr3:uid="{B7BC05E6-A7BC-4928-8408-A0CB55FCCB73}" name="Oils and fats" dataDxfId="220" dataCellStyle="Comma"/>
    <tableColumn id="10" xr3:uid="{2E9EEC08-7945-4013-BF5A-DDFDD4007DEE}" name="Fruit" dataDxfId="219" dataCellStyle="Comma"/>
    <tableColumn id="11" xr3:uid="{C9647544-180F-49E9-B5BF-9EC0ABB69609}" name="Vegetables" dataDxfId="218" dataCellStyle="Comma"/>
    <tableColumn id="12" xr3:uid="{27F98BEB-6843-49C7-8E90-19B99AC2310D}" name="Sugar, confectionery and ice-cream" dataDxfId="217" dataCellStyle="Comma"/>
    <tableColumn id="13" xr3:uid="{102C7FA3-C1B5-4443-A0E2-EB5E2245DB80}" name="Other food" dataDxfId="216" dataCellStyle="Comma"/>
    <tableColumn id="14" xr3:uid="{FDEF3BC7-7780-444A-9A47-EFE5913007EC}" name="Non-alcoholic beverages" dataDxfId="215" dataCellStyle="Comma"/>
    <tableColumn id="15" xr3:uid="{48853B5C-C0FB-49BB-BD6E-A72BBF6188D4}" name="Coffee, tea and cocoa" dataDxfId="214" dataCellStyle="Comma"/>
    <tableColumn id="16" xr3:uid="{BCE97914-C586-477E-BAF6-935FBF1A7D20}" name="Fruit and vegetable juices and other soft drinks" dataDxfId="213" dataCellStyle="Comma"/>
    <tableColumn id="17" xr3:uid="{6E7CD043-5264-4B4F-8E51-10F378129A99}" name="Alcoholic beverages, tobacco and narcotics" dataDxfId="212" dataCellStyle="Comma"/>
    <tableColumn id="18" xr3:uid="{91BA6BE6-9227-4310-B4EB-6830B1E735EA}" name="Alcoholic beverages _x000a_[note 1]" dataDxfId="211" dataCellStyle="Comma"/>
    <tableColumn id="19" xr3:uid="{D891F089-8878-4EAE-871C-CCE4E21B48A5}" name="Spirits" dataDxfId="210" dataCellStyle="Comma"/>
    <tableColumn id="20" xr3:uid="{B2782646-BBB0-4274-8C71-4F1082329B4D}" name="Wines, cider and perry" dataDxfId="209" dataCellStyle="Comma"/>
    <tableColumn id="21" xr3:uid="{97681750-ED87-4A3C-A9D7-DBFD1226D40A}" name="Beer" dataDxfId="208" dataCellStyle="Comma"/>
    <tableColumn id="22" xr3:uid="{55D1C201-EA5D-4B9D-AA91-50F0951FF396}" name="Tobacco" dataDxfId="207" dataCellStyle="Comma"/>
    <tableColumn id="23" xr3:uid="{5FCEBB8E-7426-4E23-9283-A49F271871FC}" name="Narcotics" dataDxfId="206" dataCellStyle="Comma"/>
    <tableColumn id="24" xr3:uid="{F12F0B09-25F4-41FE-8506-5B1BF4BEFABD}" name="Housing, water, electricity, gas and other fuel" dataDxfId="205" dataCellStyle="Comma"/>
    <tableColumn id="25" xr3:uid="{2E3AE460-6B97-4191-A1BC-6E5EBA3F5F20}" name="Maintenance and repairs of the dwelling materials" dataDxfId="204" dataCellStyle="Comma"/>
    <tableColumn id="26" xr3:uid="{E2FC120F-96CA-488B-A79B-C455888778C8}" name="Water supply" dataDxfId="203" dataCellStyle="Comma"/>
    <tableColumn id="27" xr3:uid="{054CE7B3-E50D-46DA-87A0-B738ADDC340A}" name="Electricity, gas and other fuels" dataDxfId="202" dataCellStyle="Comma"/>
    <tableColumn id="28" xr3:uid="{25B48050-31CC-40CA-A5EF-46A79E770CEA}" name="Electricity" dataDxfId="201" dataCellStyle="Comma"/>
    <tableColumn id="29" xr3:uid="{0F70E89D-34E5-4A0E-A5D7-024E054F28B7}" name="Gas" dataDxfId="200" dataCellStyle="Comma"/>
    <tableColumn id="30" xr3:uid="{ED3B6E2F-837B-4176-8505-D4132483FB59}" name="Liquid fuels" dataDxfId="199" dataCellStyle="Comma"/>
    <tableColumn id="31" xr3:uid="{D3088551-F200-4C88-A4A2-7C12C0987B99}" name="Solid fuels" dataDxfId="198" dataCellStyle="Comma"/>
    <tableColumn id="32" xr3:uid="{06E40BCB-8811-409F-ACF0-EE8B96F20FF8}" name="Heat energy_x000a_[note 6]" dataDxfId="197" dataCellStyle="Comma"/>
    <tableColumn id="33" xr3:uid="{FB82A0DF-AC6A-4722-A9F6-3A02B2DF0287}" name="Household goods" dataDxfId="196" dataCellStyle="Comma"/>
    <tableColumn id="34" xr3:uid="{33D46F67-9DA6-4E38-8039-CC02FF10842C}" name="Non-durable household goods" dataDxfId="195" dataCellStyle="Comma"/>
    <tableColumn id="35" xr3:uid="{9349F4CF-F7FA-4127-915C-B1FCB27B59F5}" name="Health" dataDxfId="194" dataCellStyle="Comma"/>
    <tableColumn id="36" xr3:uid="{3950C3CF-2F77-4B04-8D67-FAF0D12F7644}" name="Pharmaceutical products" dataDxfId="193" dataCellStyle="Comma"/>
    <tableColumn id="37" xr3:uid="{4489B7C6-A6E3-47BD-9E82-53E750655237}" name="Other medical products" dataDxfId="192" dataCellStyle="Comma"/>
    <tableColumn id="38" xr3:uid="{77C0E2A6-BE27-4F3A-83F8-5672F2A23FE4}" name="Transport" dataDxfId="191" dataCellStyle="Comma"/>
    <tableColumn id="39" xr3:uid="{34B5BEC5-EDD9-4E45-81F8-59DFD1EEE156}" name="Fuels and lubricants for personal transport equipment" dataDxfId="190" dataCellStyle="Comma"/>
    <tableColumn id="40" xr3:uid="{90A709FE-55FB-453C-9976-FD78ECEAEE0A}" name="Recreation and culture" dataDxfId="189" dataCellStyle="Comma"/>
    <tableColumn id="41" xr3:uid="{3792F6A6-FE0B-4CC8-BF72-AB63A024238F}" name="Garden, plants and flowers" dataDxfId="188" dataCellStyle="Comma"/>
    <tableColumn id="42" xr3:uid="{3388B493-33A9-4566-8FB1-5DD4F3B9E1BF}" name="Pets and related products" dataDxfId="187" dataCellStyle="Comma"/>
    <tableColumn id="43" xr3:uid="{FC474274-A73D-4E82-8DAD-510DEAD9C078}" name="Newspapers" dataDxfId="186" dataCellStyle="Comma"/>
    <tableColumn id="44" xr3:uid="{1C724AC2-8CD2-4F12-94D3-ACAE4E4B23F2}" name="Miscellaneous printed matter" dataDxfId="185" dataCellStyle="Comma"/>
    <tableColumn id="45" xr3:uid="{2A1AC30C-B5B1-41B2-AC22-25BE088DE010}" name="Stationery and drawing materials" dataDxfId="184" dataCellStyle="Comma"/>
    <tableColumn id="46" xr3:uid="{8987FF4F-8BF5-4AAD-B6A0-ADB002213894}" name="Miscellaneous" dataDxfId="183" dataCellStyle="Comma"/>
    <tableColumn id="47" xr3:uid="{06E259BC-BFCB-4BC7-A2EE-DCABDF8EAFEA}" name="Other appliances, articles and products for personal care" dataDxfId="182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267702-40BF-455E-8C72-AF15A92EE5FD}" name="Table_18b_NDGKS" displayName="Table_18b_NDGKS" ref="A40:AU158" totalsRowShown="0" headerRowDxfId="181" dataDxfId="180" headerRowBorderDxfId="179" dataCellStyle="Comma">
  <autoFilter ref="A40:AU158" xr:uid="{72267702-40BF-455E-8C72-AF15A92EE5FD}"/>
  <tableColumns count="47">
    <tableColumn id="1" xr3:uid="{FC1983F5-A39F-47AE-AC68-0CB5112D81F4}" name="Time period and codes" dataDxfId="178"/>
    <tableColumn id="2" xr3:uid="{88B190C3-C1F9-4A94-85E7-92FA72F03BFA}" name="Total non-durable goods" dataDxfId="177" dataCellStyle="Comma"/>
    <tableColumn id="3" xr3:uid="{014DE68A-4138-4D8A-916A-B001C4D0EE0A}" name="Food and non-alcoholic beverages" dataDxfId="176" dataCellStyle="Comma"/>
    <tableColumn id="4" xr3:uid="{1350E543-DADD-4356-976B-726721663DB8}" name="Food" dataDxfId="175" dataCellStyle="Comma"/>
    <tableColumn id="5" xr3:uid="{FDF41582-ADBD-4648-90C3-F22468D44981}" name="Bread and cereals" dataDxfId="174" dataCellStyle="Comma"/>
    <tableColumn id="6" xr3:uid="{26D57344-B3BE-4B1F-951E-0C5218A5F2E2}" name="Meat" dataDxfId="173" dataCellStyle="Comma"/>
    <tableColumn id="7" xr3:uid="{90C2F316-5151-4594-BC23-668CD1244529}" name="Fish" dataDxfId="172" dataCellStyle="Comma"/>
    <tableColumn id="8" xr3:uid="{5D444262-C9C3-4F9E-AFBD-7A81E024E4F3}" name="Milk, cheese and eggs" dataDxfId="171" dataCellStyle="Comma"/>
    <tableColumn id="9" xr3:uid="{768D39AD-4B6C-429B-B574-8C3C2F40BE01}" name="Oils and fats" dataDxfId="170" dataCellStyle="Comma"/>
    <tableColumn id="10" xr3:uid="{0134EA20-AAE5-45B9-9CEB-1799B30F822A}" name="Fruit" dataDxfId="169" dataCellStyle="Comma"/>
    <tableColumn id="11" xr3:uid="{6E1BCAEB-38D2-4E1A-B016-D79A88B1F23E}" name="Vegetables" dataDxfId="168" dataCellStyle="Comma"/>
    <tableColumn id="12" xr3:uid="{42572E2A-789C-4255-8034-4647D1642000}" name="Sugar, confectionery and ice-cream" dataDxfId="167" dataCellStyle="Comma"/>
    <tableColumn id="13" xr3:uid="{E4215AF9-9767-4E5D-8B84-A0A5CAB5725B}" name="Other food" dataDxfId="166" dataCellStyle="Comma"/>
    <tableColumn id="14" xr3:uid="{252CB3FB-903D-43A9-AEAD-5E5684695918}" name="Non-alcoholic beverages" dataDxfId="165" dataCellStyle="Comma"/>
    <tableColumn id="15" xr3:uid="{9C31580B-CA2A-4558-B12D-C0EAF43F1D96}" name="Coffee, tea and cocoa" dataDxfId="164" dataCellStyle="Comma"/>
    <tableColumn id="16" xr3:uid="{4F27933B-09AC-4D79-9955-2D617A6B129A}" name="Fruit and vegetable juices and other soft drinks" dataDxfId="163" dataCellStyle="Comma"/>
    <tableColumn id="17" xr3:uid="{879AB464-AEBA-497C-846E-64BFC34E5D98}" name="Alcoholic beverages, tobacco and narcotics" dataDxfId="162" dataCellStyle="Comma"/>
    <tableColumn id="18" xr3:uid="{963DDB79-633D-4483-B74C-03E56CF1BC1E}" name="Alcoholic beverages _x000a_[note 1]" dataDxfId="161" dataCellStyle="Comma"/>
    <tableColumn id="19" xr3:uid="{63256AD0-3097-4D0C-B3EC-AA1036CCE752}" name="Spirits" dataDxfId="160" dataCellStyle="Comma"/>
    <tableColumn id="20" xr3:uid="{3CB76413-371E-4E41-BE70-F3CE46311F98}" name="Wines, cider and perry" dataDxfId="159" dataCellStyle="Comma"/>
    <tableColumn id="21" xr3:uid="{12FE36DC-860F-44AA-B2F5-3ABE8A37A1C0}" name="Beer" dataDxfId="158" dataCellStyle="Comma"/>
    <tableColumn id="22" xr3:uid="{6226D333-45CD-4A01-9A91-004848ED5F13}" name="Tobacco" dataDxfId="157" dataCellStyle="Comma"/>
    <tableColumn id="23" xr3:uid="{5B172A21-B581-4259-A733-FDA3246351C2}" name="Narcotics" dataDxfId="156" dataCellStyle="Comma"/>
    <tableColumn id="24" xr3:uid="{8A0F39BF-5436-43CC-BDDC-CA53A7056127}" name="Housing, water, electricity, gas and other fuel" dataDxfId="155" dataCellStyle="Comma"/>
    <tableColumn id="25" xr3:uid="{7F2EAE19-E115-4FB8-95C2-571E1CB9B570}" name="Maintenance and repairs of the dwelling materials" dataDxfId="154" dataCellStyle="Comma"/>
    <tableColumn id="26" xr3:uid="{128FDE52-25BE-4885-8B79-82983501158B}" name="Water supply" dataDxfId="153" dataCellStyle="Comma"/>
    <tableColumn id="27" xr3:uid="{4A8813C0-E94B-45C9-8E7F-6056CEC6634A}" name="Electricity, gas and other fuels" dataDxfId="152" dataCellStyle="Comma"/>
    <tableColumn id="28" xr3:uid="{947841BC-E633-4C05-84E2-C0B38FB31BD0}" name="Electricity" dataDxfId="151" dataCellStyle="Comma"/>
    <tableColumn id="29" xr3:uid="{2E56BB14-5775-43BC-AA87-84D7D48E450A}" name="Gas" dataDxfId="150" dataCellStyle="Comma"/>
    <tableColumn id="30" xr3:uid="{ECB80C4E-1BEB-47F1-83E9-59DC8C965EAD}" name="Liquid fuels" dataDxfId="149" dataCellStyle="Comma"/>
    <tableColumn id="31" xr3:uid="{0C4FE8F5-D5CE-499C-A422-5F462DCC36A4}" name="Solid fuels" dataDxfId="148" dataCellStyle="Comma"/>
    <tableColumn id="32" xr3:uid="{B46C463E-65C9-474B-81AA-EE4446938DEE}" name="Heat energy_x000a_[note 6]" dataDxfId="147" dataCellStyle="Comma"/>
    <tableColumn id="33" xr3:uid="{6EBB95FF-57D9-42F4-A442-9947B2B7EB5E}" name="Household goods" dataDxfId="146" dataCellStyle="Comma"/>
    <tableColumn id="34" xr3:uid="{0FD477AA-0AD0-48CF-9E99-687D8C4FEDC8}" name="Non-durable household goods" dataDxfId="145" dataCellStyle="Comma"/>
    <tableColumn id="35" xr3:uid="{5F59BE02-FB40-474F-ADBF-65F7CB53B462}" name="Health" dataDxfId="144" dataCellStyle="Comma"/>
    <tableColumn id="36" xr3:uid="{3A219302-DD92-43BD-A05A-700BCB60B40B}" name="Pharmaceutical products" dataDxfId="143" dataCellStyle="Comma"/>
    <tableColumn id="37" xr3:uid="{F037DDF4-858A-464E-939C-A300077F1603}" name="Other medical products" dataDxfId="142" dataCellStyle="Comma"/>
    <tableColumn id="38" xr3:uid="{7EAF0DC8-165D-46F6-8C75-B84A5910A3F1}" name="Transport" dataDxfId="141" dataCellStyle="Comma"/>
    <tableColumn id="39" xr3:uid="{5269E2F6-D10F-42DE-8D13-5F74F4E0CC72}" name="Fuels and lubricants for personal transport equipment" dataDxfId="140" dataCellStyle="Comma"/>
    <tableColumn id="40" xr3:uid="{6B38A77D-C83B-46C8-9FA2-6F213EC0E3C7}" name="Recreation and culture" dataDxfId="139" dataCellStyle="Comma"/>
    <tableColumn id="41" xr3:uid="{23CA59E8-672D-4E4B-9819-D762B7FA9C42}" name="Garden, plants and flowers" dataDxfId="138" dataCellStyle="Comma"/>
    <tableColumn id="42" xr3:uid="{EAEC3B95-53B0-452C-942E-61F5D1366E7B}" name="Pets and related products" dataDxfId="137" dataCellStyle="Comma"/>
    <tableColumn id="43" xr3:uid="{7C69DC91-C631-43A3-96CF-30373DB77883}" name="Newspapers" dataDxfId="136" dataCellStyle="Comma"/>
    <tableColumn id="44" xr3:uid="{17B99129-AA41-466D-A7E1-FE03993FC595}" name="Miscellaneous printed matter" dataDxfId="135" dataCellStyle="Comma"/>
    <tableColumn id="45" xr3:uid="{34EA7F13-34F3-4EC3-A92C-72DF7038505D}" name="Stationery and drawing materials" dataDxfId="134" dataCellStyle="Comma"/>
    <tableColumn id="46" xr3:uid="{51DE3F36-5D5A-4C28-AAB3-6BA4952FAFAB}" name="Miscellaneous" dataDxfId="133" dataCellStyle="Comma"/>
    <tableColumn id="47" xr3:uid="{31073721-33F4-414E-8D0B-10FD56114980}" name="Other appliances, articles and products for personal care" dataDxfId="132" dataCellStyle="Comma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DEEB00-8DAB-4DE9-9ABD-949B0EB98916}" name="Table_19a_SERKS" displayName="Table_19a_SERKS" ref="A6:BO37" totalsRowShown="0" headerRowDxfId="371" dataDxfId="370" headerRowBorderDxfId="369" dataCellStyle="Comma">
  <autoFilter ref="A6:BO37" xr:uid="{60DEEB00-8DAB-4DE9-9ABD-949B0EB98916}"/>
  <tableColumns count="67">
    <tableColumn id="1" xr3:uid="{CF35B782-D4CF-4587-BF8E-E87C2B10AE40}" name="Time period and codes" dataDxfId="368"/>
    <tableColumn id="2" xr3:uid="{BD1B83F9-53B6-483B-B8F2-4A418C2FCE64}" name="Total Services" dataDxfId="367" dataCellStyle="Comma"/>
    <tableColumn id="3" xr3:uid="{7CC98F7E-5B76-4864-83F0-66AE782FE7A3}" name="Clothing and footwear" dataDxfId="366" dataCellStyle="Comma"/>
    <tableColumn id="4" xr3:uid="{6F7283EA-F14B-496A-8A8D-CC6BF2BEF9B1}" name="Cleaning and hire of clothing" dataDxfId="365" dataCellStyle="Comma"/>
    <tableColumn id="5" xr3:uid="{EF97176A-B1CB-4A94-8313-6FF1171009B9}" name="Repair and hire of footwear" dataDxfId="364" dataCellStyle="Comma"/>
    <tableColumn id="6" xr3:uid="{EA9ABF66-9CB1-46F0-9750-138DF884D9E1}" name="Housing, water, electricity, gas and other fuel" dataDxfId="363" dataCellStyle="Comma"/>
    <tableColumn id="7" xr3:uid="{BB34A9AD-D0B4-42EB-A389-134E18C5482A}" name="Actual rentals for housing" dataDxfId="362" dataCellStyle="Comma"/>
    <tableColumn id="8" xr3:uid="{4D0DBE6E-677C-4FC2-8655-3D2B760BECF9}" name="Actual rentals paid by tenants" dataDxfId="361" dataCellStyle="Comma"/>
    <tableColumn id="9" xr3:uid="{1920E857-4373-4A86-9A03-7D3F8FE6EE79}" name="Other actual rentals" dataDxfId="360" dataCellStyle="Comma"/>
    <tableColumn id="10" xr3:uid="{E2576BDA-68E8-4BAF-8E79-FC02ED0E8D21}" name="Imputed rentals for housing" dataDxfId="359" dataCellStyle="Comma"/>
    <tableColumn id="11" xr3:uid="{34F07BF6-72AD-4AB8-A7A4-35BC7AF8EB21}" name="Imputed rentals for owner-occupiers" dataDxfId="358" dataCellStyle="Comma"/>
    <tableColumn id="12" xr3:uid="{89D8B8BB-F64F-4C3E-BDC3-BF18BA0CC97F}" name="Other imputed rentals" dataDxfId="357" dataCellStyle="Comma"/>
    <tableColumn id="13" xr3:uid="{924DC182-D523-4F49-B28C-D6B16644E91B}" name="Maintenance and repair of the dwelling services" dataDxfId="356" dataCellStyle="Comma"/>
    <tableColumn id="14" xr3:uid="{AF1D69E6-E452-44D6-8303-802F4BE41676}" name="Refuse collection" dataDxfId="355" dataCellStyle="Comma"/>
    <tableColumn id="15" xr3:uid="{D524E084-805A-453F-9432-7585A86B6C01}" name="Sewerage collection" dataDxfId="354" dataCellStyle="Comma"/>
    <tableColumn id="16" xr3:uid="{14180A06-06B4-4FD7-B1B4-B5F28C74C64E}" name="Other services relating to the dwelling" dataDxfId="353" dataCellStyle="Comma"/>
    <tableColumn id="17" xr3:uid="{97BE8EF2-AB40-4138-8D83-2EADAD7C2C7D}" name="Household services" dataDxfId="352" dataCellStyle="Comma"/>
    <tableColumn id="18" xr3:uid="{7AAC8C07-1CCC-44F8-8593-66DE9830F231}" name="Repair of furniture, furnishings and floor coverings" dataDxfId="351" dataCellStyle="Comma"/>
    <tableColumn id="19" xr3:uid="{DDA7613F-7EE3-4998-9805-4A5B15629A93}" name="Repair of household appliances" dataDxfId="350" dataCellStyle="Comma"/>
    <tableColumn id="20" xr3:uid="{03A0A480-76BF-4350-A090-41FEDDB485D8}" name="Domestic and household services" dataDxfId="349" dataCellStyle="Comma"/>
    <tableColumn id="21" xr3:uid="{23304BE8-1258-4831-B77B-4D83D94AF9AA}" name="Health" dataDxfId="348" dataCellStyle="Comma"/>
    <tableColumn id="22" xr3:uid="{ACEBDD0C-F287-425F-B80A-B7A70D6236E3}" name="Out-patient services" dataDxfId="347" dataCellStyle="Comma"/>
    <tableColumn id="23" xr3:uid="{ADC698FE-7BED-482A-A072-E6C4F7F872F8}" name="Medical services" dataDxfId="346" dataCellStyle="Comma"/>
    <tableColumn id="24" xr3:uid="{5F63B318-FB9F-410E-8C61-5EC70E375785}" name="Dental services" dataDxfId="345" dataCellStyle="Comma"/>
    <tableColumn id="25" xr3:uid="{781881FA-1D8F-4A98-9BB6-DCB225AAC506}" name="Paramedical services" dataDxfId="344" dataCellStyle="Comma"/>
    <tableColumn id="26" xr3:uid="{D764D055-4F89-4ED7-A27D-CD84DFB4CF10}" name="Hospital services" dataDxfId="343" dataCellStyle="Comma"/>
    <tableColumn id="27" xr3:uid="{85F9A42A-2FB8-4119-AC30-1929879BD877}" name="Transport" dataDxfId="342" dataCellStyle="Comma"/>
    <tableColumn id="28" xr3:uid="{36937CBD-754C-4BAF-B894-97CAF305C179}" name="Maintenance and repair of personal transport equipment" dataDxfId="341" dataCellStyle="Comma"/>
    <tableColumn id="29" xr3:uid="{70316781-29F9-430B-840D-69588D368AD4}" name="Other services in respect of personal transport equipment" dataDxfId="340" dataCellStyle="Comma"/>
    <tableColumn id="30" xr3:uid="{51BC4A2C-B24E-4BB6-A608-1FCEBD6B8CCB}" name="Transport services" dataDxfId="339" dataCellStyle="Comma"/>
    <tableColumn id="31" xr3:uid="{17D73E03-967C-4AA5-9EDD-10C6BA53B4F1}" name="Rail" dataDxfId="338" dataCellStyle="Comma"/>
    <tableColumn id="32" xr3:uid="{7CA68777-C988-4887-B6AD-801E7E3F62B5}" name="Road" dataDxfId="337" dataCellStyle="Comma"/>
    <tableColumn id="33" xr3:uid="{3B135169-1B1E-4CC7-8CD5-C2E90763F13D}" name="Air" dataDxfId="336" dataCellStyle="Comma"/>
    <tableColumn id="34" xr3:uid="{DB4FC169-6C8A-45F4-A6D1-E17B50D8AEDF}" name="Sea and inland waterway" dataDxfId="335" dataCellStyle="Comma"/>
    <tableColumn id="35" xr3:uid="{7D1E3505-1C90-4315-975A-34B987C2BF57}" name="Other purchased transport services" dataDxfId="334" dataCellStyle="Comma"/>
    <tableColumn id="36" xr3:uid="{8F4A1386-EF32-459D-BD8B-79924BD176C0}" name="Communication" dataDxfId="333" dataCellStyle="Comma"/>
    <tableColumn id="37" xr3:uid="{5B5AD569-216F-4CB7-BEA8-D6A86DE26356}" name="Postal services" dataDxfId="332" dataCellStyle="Comma"/>
    <tableColumn id="38" xr3:uid="{027BE46E-0CE0-4F11-AB41-B7C4D2BFAEF6}" name="Telephone and telefax services" dataDxfId="331" dataCellStyle="Comma"/>
    <tableColumn id="39" xr3:uid="{37F39F89-54B4-46A6-8579-B0A6944042FE}" name="Recreation and culture" dataDxfId="330" dataCellStyle="Comma"/>
    <tableColumn id="40" xr3:uid="{8F770461-0975-40C7-A440-D8D8FEEF0EEF}" name="Repairs of audio-visual etc equipment" dataDxfId="329" dataCellStyle="Comma"/>
    <tableColumn id="41" xr3:uid="{86AD8F7A-F3D3-4CEF-9B32-E1CF002FB74B}" name="Maintenance and repairs of other major durables" dataDxfId="328" dataCellStyle="Comma"/>
    <tableColumn id="42" xr3:uid="{B11A57F8-7728-473E-8E32-C2B2DA4A66AA}" name="Veterinary and other services for pets" dataDxfId="327" dataCellStyle="Comma"/>
    <tableColumn id="43" xr3:uid="{F0D4BB6C-D47B-49C2-8514-9750DD9D2B1F}" name="Recreational and cultural services" dataDxfId="326" dataCellStyle="Comma"/>
    <tableColumn id="44" xr3:uid="{02CD6A58-73EF-48CF-8C73-AD624424EA89}" name="Recreational and sporting services" dataDxfId="325" dataCellStyle="Comma"/>
    <tableColumn id="45" xr3:uid="{9DBD8060-C8CC-43D6-9183-C17838B79D62}" name="Cultural services" dataDxfId="324" dataCellStyle="Comma"/>
    <tableColumn id="46" xr3:uid="{2012E9CB-8541-49C9-85A4-714BB49D1012}" name="Games of chance" dataDxfId="323" dataCellStyle="Comma"/>
    <tableColumn id="47" xr3:uid="{F168F7CD-783E-42CA-867F-811E97996B94}" name="Package holidays_x000a_[note 2]" dataDxfId="322" dataCellStyle="Comma"/>
    <tableColumn id="48" xr3:uid="{1D80D829-0C44-4D26-93BC-4EEBFDB8CACF}" name="Education" dataDxfId="321" dataCellStyle="Comma"/>
    <tableColumn id="49" xr3:uid="{CB1DD678-E3FC-4EEC-A488-2257A1ABFC72}" name="Restaurant and hotels" dataDxfId="320" dataCellStyle="Comma"/>
    <tableColumn id="50" xr3:uid="{7A197464-902C-4AE9-866B-03871F897182}" name="Catering services" dataDxfId="319" dataCellStyle="Comma"/>
    <tableColumn id="51" xr3:uid="{6BFC8AF8-5B2E-4DB1-8358-5DF99DF622C4}" name="Restaurants, cafes etc_x000a_[note 3][note 4]" dataDxfId="318" dataCellStyle="Comma"/>
    <tableColumn id="52" xr3:uid="{5B998581-B0B1-4E08-9B99-432AF3286E0F}" name="Canteens" dataDxfId="317" dataCellStyle="Comma"/>
    <tableColumn id="53" xr3:uid="{E38C3913-E8FC-43CA-A502-64EA15993F02}" name="Accommodation" dataDxfId="316" dataCellStyle="Comma"/>
    <tableColumn id="54" xr3:uid="{84323692-677B-46A7-8956-F71C8207E4FD}" name="Miscellaneous" dataDxfId="315" dataCellStyle="Comma"/>
    <tableColumn id="55" xr3:uid="{2FE2A344-DBF2-4550-AC80-990838AAADC2}" name="Hairdressing salons and personal grooming establishments" dataDxfId="314" dataCellStyle="Comma"/>
    <tableColumn id="56" xr3:uid="{C6C90FD9-9EC3-4279-ABC2-5F23D165B3B0}" name="Prostitution" dataDxfId="313" dataCellStyle="Comma"/>
    <tableColumn id="57" xr3:uid="{1B13D650-4BAB-4760-B92A-921A88D0DC18}" name="Social protection" dataDxfId="312" dataCellStyle="Comma"/>
    <tableColumn id="58" xr3:uid="{EE43C41E-A690-4534-9784-3B730DA29ED3}" name="Insurance" dataDxfId="311" dataCellStyle="Comma"/>
    <tableColumn id="59" xr3:uid="{687A1BC5-445F-4491-9E7D-B0607E563540}" name="Life insurance" dataDxfId="310" dataCellStyle="Comma"/>
    <tableColumn id="60" xr3:uid="{89227701-9890-45A3-9E80-0A0F44F54E80}" name="Insurance connected with the dwelling" dataDxfId="309" dataCellStyle="Comma"/>
    <tableColumn id="61" xr3:uid="{95581FF0-6329-457A-9A77-DCA60F1DA621}" name="Insurance connected with health" dataDxfId="308" dataCellStyle="Comma"/>
    <tableColumn id="62" xr3:uid="{7664EF47-CB28-4F04-876F-374ED31E0DAA}" name="Insurance connected with transport" dataDxfId="307" dataCellStyle="Comma"/>
    <tableColumn id="63" xr3:uid="{3A95C510-04DA-49E3-A0EF-39D31AAF971A}" name="Other insurance" dataDxfId="306" dataCellStyle="Comma"/>
    <tableColumn id="64" xr3:uid="{F8446C68-59A7-4F36-B152-647B72AE8FC6}" name="Financial services n.e.c_x000a_[note 7]" dataDxfId="305" dataCellStyle="Comma"/>
    <tableColumn id="65" xr3:uid="{369F1212-4E44-45E2-8024-F7AF2053E344}" name="FISIM_x000a_[note 5]" dataDxfId="304" dataCellStyle="Comma"/>
    <tableColumn id="66" xr3:uid="{FB2A5A4D-73C2-476D-B7EE-39220E2D0312}" name="Other financial services n.e.c_x000a_[note 7]" dataDxfId="303" dataCellStyle="Comma"/>
    <tableColumn id="67" xr3:uid="{B2F1D3A0-6B32-4098-A968-F229502D6231}" name="Other services n.e.c_x000a_[note 7]" dataDxfId="302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3E8069-0FA0-46EA-A224-A9020C3A9C75}" name="Table_19b_SERKS" displayName="Table_19b_SERKS" ref="A40:BO158" totalsRowShown="0" headerRowDxfId="301" dataDxfId="300" headerRowBorderDxfId="299" dataCellStyle="Comma">
  <autoFilter ref="A40:BO158" xr:uid="{6F3E8069-0FA0-46EA-A224-A9020C3A9C75}"/>
  <tableColumns count="67">
    <tableColumn id="1" xr3:uid="{A2EF52AE-601C-4F7C-AF96-817116308FFB}" name="Time period and codes" dataDxfId="298"/>
    <tableColumn id="2" xr3:uid="{84A8FF81-B676-485E-B7B2-5FBFAD28BE19}" name="Total Services" dataDxfId="297" dataCellStyle="Comma"/>
    <tableColumn id="3" xr3:uid="{F41247F6-7533-4C80-8432-0AA5BBAAB973}" name="Clothing and footwear" dataDxfId="296" dataCellStyle="Comma"/>
    <tableColumn id="4" xr3:uid="{25557F02-75FE-4C62-91B0-2ACB557521BB}" name="Cleaning and hire of clothing" dataDxfId="295" dataCellStyle="Comma"/>
    <tableColumn id="5" xr3:uid="{A9062E69-8685-4332-8B44-09732DB867D1}" name="Repair and hire of footwear" dataDxfId="294" dataCellStyle="Comma"/>
    <tableColumn id="6" xr3:uid="{DF42F15E-4665-4495-9D33-925C8E4774E2}" name="Housing, water, electricity, gas and other fuel" dataDxfId="293" dataCellStyle="Comma"/>
    <tableColumn id="7" xr3:uid="{68A759A8-4531-4E1A-95FE-3C0C912AC601}" name="Actual rentals for housing" dataDxfId="292" dataCellStyle="Comma"/>
    <tableColumn id="8" xr3:uid="{ED8186E0-CFBF-4F7B-854C-E251D411FDE8}" name="Actual rentals paid by tenants" dataDxfId="291" dataCellStyle="Comma"/>
    <tableColumn id="9" xr3:uid="{0BDEF040-187B-4111-875C-86E310D45154}" name="Other actual rentals" dataDxfId="290" dataCellStyle="Comma"/>
    <tableColumn id="10" xr3:uid="{06D5D619-6267-4770-A801-C25E92BED90E}" name="Imputed rentals for housing" dataDxfId="289" dataCellStyle="Comma"/>
    <tableColumn id="11" xr3:uid="{86E11D58-FB91-46AB-9E2A-F3189396E2D6}" name="Imputed rentals for owner-occupiers" dataDxfId="288" dataCellStyle="Comma"/>
    <tableColumn id="12" xr3:uid="{49A4803D-4EF9-46D1-B9C7-B7E5D668022B}" name="Other imputed rentals" dataDxfId="287" dataCellStyle="Comma"/>
    <tableColumn id="13" xr3:uid="{7BDAD7EB-49D4-4D21-AABB-79E7F441D3CC}" name="Maintenance and repair of the dwelling services" dataDxfId="286" dataCellStyle="Comma"/>
    <tableColumn id="14" xr3:uid="{AAA443B1-F583-47C2-950F-B0FEDC534FEF}" name="Refuse collection" dataDxfId="285" dataCellStyle="Comma"/>
    <tableColumn id="15" xr3:uid="{F92FDF8D-B561-4EB3-A674-9F0039595876}" name="Sewerage collection" dataDxfId="284" dataCellStyle="Comma"/>
    <tableColumn id="16" xr3:uid="{DFE08A8B-B9CC-4A61-9C4F-D24D5BE3B469}" name="Other services relating to the dwelling" dataDxfId="283" dataCellStyle="Comma"/>
    <tableColumn id="17" xr3:uid="{1B93EED3-0E27-4DB9-BB4D-38E7A44916C0}" name="Household services" dataDxfId="282" dataCellStyle="Comma"/>
    <tableColumn id="18" xr3:uid="{75F6A60F-1D5A-4F92-A985-E43B669B9F1E}" name="Repair of furniture, furnishings and floor coverings" dataDxfId="281" dataCellStyle="Comma"/>
    <tableColumn id="19" xr3:uid="{4A1120B2-D292-471E-85FE-626D8649BFC3}" name="Repair of household appliances" dataDxfId="280" dataCellStyle="Comma"/>
    <tableColumn id="20" xr3:uid="{B95F4988-9713-4163-BCE4-C32B49E8831F}" name="Domestic and household services" dataDxfId="279" dataCellStyle="Comma"/>
    <tableColumn id="21" xr3:uid="{6166A142-8DDC-464E-AB66-09917A812151}" name="Health" dataDxfId="278" dataCellStyle="Comma"/>
    <tableColumn id="22" xr3:uid="{0036C053-938B-4459-91DA-613E1DD3018E}" name="Out-patient services" dataDxfId="277" dataCellStyle="Comma"/>
    <tableColumn id="23" xr3:uid="{D8141F03-8D1B-4641-9C94-055384751DF1}" name="Medical services" dataDxfId="276" dataCellStyle="Comma"/>
    <tableColumn id="24" xr3:uid="{5BDB8BAB-E18F-44E3-A4A1-74598F14E123}" name="Dental services" dataDxfId="275" dataCellStyle="Comma"/>
    <tableColumn id="25" xr3:uid="{2D643163-F594-4000-B680-300B4F2CDFA3}" name="Paramedical services" dataDxfId="274" dataCellStyle="Comma"/>
    <tableColumn id="26" xr3:uid="{8D2D51D2-8230-41F5-AB63-33BB915BF7E9}" name="Hospital services" dataDxfId="273" dataCellStyle="Comma"/>
    <tableColumn id="27" xr3:uid="{E4968292-DF5A-4E5B-97C6-63CA2B53087C}" name="Transport" dataDxfId="272" dataCellStyle="Comma"/>
    <tableColumn id="28" xr3:uid="{A5A3F567-52EB-45A6-B3D7-4796A256786D}" name="Maintenance and repair of personal transport equipment" dataDxfId="271" dataCellStyle="Comma"/>
    <tableColumn id="29" xr3:uid="{C6F9ED0B-B9DB-4241-B33F-2A045992B16B}" name="Other services in respect of personal transport equipment" dataDxfId="270" dataCellStyle="Comma"/>
    <tableColumn id="30" xr3:uid="{5DEEFE9B-3872-4470-A134-CAA141CD087D}" name="Transport services" dataDxfId="269" dataCellStyle="Comma"/>
    <tableColumn id="31" xr3:uid="{1FA5316F-CB13-40F3-B56C-850AA45219DA}" name="Rail" dataDxfId="268" dataCellStyle="Comma"/>
    <tableColumn id="32" xr3:uid="{19087052-0F82-459F-AC12-6AFBF5FE487E}" name="Road" dataDxfId="267" dataCellStyle="Comma"/>
    <tableColumn id="33" xr3:uid="{88E5CAD4-717A-4095-B12A-7D3494E80F7A}" name="Air" dataDxfId="266" dataCellStyle="Comma"/>
    <tableColumn id="34" xr3:uid="{A7C1ABA2-C216-4AEF-BE75-FF19E51E8366}" name="Sea and inland waterway" dataDxfId="265" dataCellStyle="Comma"/>
    <tableColumn id="35" xr3:uid="{E2C3928B-5C80-45D7-B492-DBE00DFBD99C}" name="Other purchased transport services" dataDxfId="264" dataCellStyle="Comma"/>
    <tableColumn id="36" xr3:uid="{0EDBF8C2-16C2-4564-BF37-4DFBEFEC8542}" name="Communication" dataDxfId="263" dataCellStyle="Comma"/>
    <tableColumn id="37" xr3:uid="{279BD2DB-9413-4BBD-A8A1-C051C1F36233}" name="Postal services" dataDxfId="262" dataCellStyle="Comma"/>
    <tableColumn id="38" xr3:uid="{18B58F01-0FBD-4B64-A4DA-65EF8143F113}" name="Telephone and telefax services" dataDxfId="261" dataCellStyle="Comma"/>
    <tableColumn id="39" xr3:uid="{FA2A04C5-B716-4E97-9BE9-23EB3DC16437}" name="Recreation and culture" dataDxfId="260" dataCellStyle="Comma"/>
    <tableColumn id="40" xr3:uid="{DAD1FCF6-7642-4147-B98C-EEA8991A35C1}" name="Repairs of audio-visual etc equipment" dataDxfId="259" dataCellStyle="Comma"/>
    <tableColumn id="41" xr3:uid="{7ADAFCFF-FE13-4F49-99B5-DF6E8C5E00C2}" name="Maintenance and repairs of other major durables" dataDxfId="258" dataCellStyle="Comma"/>
    <tableColumn id="42" xr3:uid="{566E5AD6-BBF0-4619-9243-479535FCF84B}" name="Veterinary and other services for pets" dataDxfId="257" dataCellStyle="Comma"/>
    <tableColumn id="43" xr3:uid="{59472CC1-4BE7-45D8-865C-D95061BC5E90}" name="Recreational and cultural services" dataDxfId="256" dataCellStyle="Comma"/>
    <tableColumn id="44" xr3:uid="{660181E9-5644-4969-A29D-B98A7DFCD468}" name="Recreational and sporting services" dataDxfId="255" dataCellStyle="Comma"/>
    <tableColumn id="45" xr3:uid="{00E4065E-5A34-42A7-A862-B70ACF219694}" name="Cultural services" dataDxfId="254" dataCellStyle="Comma"/>
    <tableColumn id="46" xr3:uid="{92FDA832-CBF3-425F-B78B-745D0955F867}" name="Games of chance" dataDxfId="253" dataCellStyle="Comma"/>
    <tableColumn id="47" xr3:uid="{F124E0CD-76B9-4E77-8726-97AEFAF5BCEF}" name="Package holidays_x000a_[note 2]" dataDxfId="252" dataCellStyle="Comma"/>
    <tableColumn id="48" xr3:uid="{4F46C18A-8D37-405B-8C2C-FC18DE9ADF75}" name="Education" dataDxfId="251" dataCellStyle="Comma"/>
    <tableColumn id="49" xr3:uid="{13C67CF9-A8CC-47B3-8FE5-9E8292E33FF5}" name="Restaurant and hotels" dataDxfId="250" dataCellStyle="Comma"/>
    <tableColumn id="50" xr3:uid="{C4175D2D-6BC2-419F-8F9D-DA03FA935CC5}" name="Catering services" dataDxfId="249" dataCellStyle="Comma"/>
    <tableColumn id="51" xr3:uid="{2D126908-586D-4E6D-8F3C-5B5A11716988}" name="Restaurants, cafes etc_x000a_[note 3][note 4]" dataDxfId="248" dataCellStyle="Comma"/>
    <tableColumn id="52" xr3:uid="{AD85FD7B-7C1E-4550-B557-EA6A1EF478B6}" name="Canteens" dataDxfId="247" dataCellStyle="Comma"/>
    <tableColumn id="53" xr3:uid="{620E06A9-653A-433E-A980-3E271F526F32}" name="Accommodation" dataDxfId="246" dataCellStyle="Comma"/>
    <tableColumn id="54" xr3:uid="{5AA861BA-05CE-4EB7-AAEC-545C366BB6F3}" name="Miscellaneous" dataDxfId="245" dataCellStyle="Comma"/>
    <tableColumn id="55" xr3:uid="{7CEB57E9-8C9A-47F8-8C62-B4A2DD593FD4}" name="Hairdressing salons and personal grooming establishments" dataDxfId="244" dataCellStyle="Comma"/>
    <tableColumn id="56" xr3:uid="{862F48F7-D024-4BE4-BA14-20DAB1067741}" name="Prostitution" dataDxfId="243" dataCellStyle="Comma"/>
    <tableColumn id="57" xr3:uid="{B42F227B-C488-40BE-B676-AC682D25D827}" name="Social protection" dataDxfId="242" dataCellStyle="Comma"/>
    <tableColumn id="58" xr3:uid="{0236060A-CF0E-40D7-A22E-02D708963839}" name="Insurance" dataDxfId="241" dataCellStyle="Comma"/>
    <tableColumn id="59" xr3:uid="{681732E4-0CC1-4EEA-B56F-9B34BA5A42B9}" name="Life insurance" dataDxfId="240" dataCellStyle="Comma"/>
    <tableColumn id="60" xr3:uid="{A6B979B1-FF78-41AE-BE46-38DE00F3F4C3}" name="Insurance connected with the dwelling" dataDxfId="239" dataCellStyle="Comma"/>
    <tableColumn id="61" xr3:uid="{AAEBDA13-942F-45F3-BFC2-FBD6967D287E}" name="Insurance connected with health" dataDxfId="238" dataCellStyle="Comma"/>
    <tableColumn id="62" xr3:uid="{719A7163-FBCC-4F8A-AF97-87ED7EBC1B6E}" name="Insurance connected with transport" dataDxfId="237" dataCellStyle="Comma"/>
    <tableColumn id="63" xr3:uid="{2D738674-B1C4-4F43-9FB7-65CB737BE49F}" name="Other insurance" dataDxfId="236" dataCellStyle="Comma"/>
    <tableColumn id="64" xr3:uid="{0940EB33-9032-414A-AB83-F8396B377FF6}" name="Financial services n.e.c_x000a_[note 7]" dataDxfId="235" dataCellStyle="Comma"/>
    <tableColumn id="65" xr3:uid="{B4C73474-29DF-4A9C-9E75-207FF42C2EC5}" name="FISIM_x000a_[note 5]" dataDxfId="234" dataCellStyle="Comma"/>
    <tableColumn id="66" xr3:uid="{86024051-1583-46C7-A83A-125134352142}" name="Other financial services n.e.c_x000a_[note 7]" dataDxfId="233" dataCellStyle="Comma"/>
    <tableColumn id="67" xr3:uid="{64A8FAE8-7D83-43D8-9B52-2A4675672512}" name="Other services n.e.c_x000a_[note 7]" dataDxfId="232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E 2025 Line">
      <a:dk1>
        <a:sysClr val="windowText" lastClr="000000"/>
      </a:dk1>
      <a:lt1>
        <a:sysClr val="window" lastClr="FFFFFF"/>
      </a:lt1>
      <a:dk2>
        <a:srgbClr val="E6F2F9"/>
      </a:dk2>
      <a:lt2>
        <a:srgbClr val="ECEDEF"/>
      </a:lt2>
      <a:accent1>
        <a:srgbClr val="003466"/>
      </a:accent1>
      <a:accent2>
        <a:srgbClr val="EF4130"/>
      </a:accent2>
      <a:accent3>
        <a:srgbClr val="008AC8"/>
      </a:accent3>
      <a:accent4>
        <a:srgbClr val="E7A800"/>
      </a:accent4>
      <a:accent5>
        <a:srgbClr val="7D8992"/>
      </a:accent5>
      <a:accent6>
        <a:srgbClr val="8BA612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DEAE-06F1-4DDE-B70A-69EADFE4FE76}">
  <sheetPr>
    <tabColor rgb="FFEF413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D8CD-4BBC-4345-92FC-C18E7012D159}">
  <sheetPr>
    <tabColor rgb="FFEF413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2EF1-6D7C-4527-8A4A-E9E753E86C93}">
  <dimension ref="A1:AI36"/>
  <sheetViews>
    <sheetView workbookViewId="0">
      <selection activeCell="G4" sqref="G4:J14"/>
    </sheetView>
  </sheetViews>
  <sheetFormatPr defaultRowHeight="14.5" x14ac:dyDescent="0.35"/>
  <cols>
    <col min="1" max="1" width="14.08984375" customWidth="1"/>
    <col min="5" max="6" width="2.453125" customWidth="1"/>
    <col min="11" max="12" width="2.453125" customWidth="1"/>
    <col min="17" max="18" width="2.453125" customWidth="1"/>
    <col min="22" max="23" width="2.453125" customWidth="1"/>
  </cols>
  <sheetData>
    <row r="1" spans="1:35" x14ac:dyDescent="0.35">
      <c r="A1" s="33" t="s">
        <v>22</v>
      </c>
      <c r="M1" s="33" t="s">
        <v>26</v>
      </c>
      <c r="S1" s="33" t="s">
        <v>27</v>
      </c>
      <c r="X1" t="s">
        <v>294</v>
      </c>
    </row>
    <row r="2" spans="1:35" x14ac:dyDescent="0.35"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173</v>
      </c>
    </row>
    <row r="3" spans="1:35" x14ac:dyDescent="0.35">
      <c r="X3" s="36">
        <v>2010</v>
      </c>
      <c r="Y3" s="34">
        <f>'CPI by declile'!Q113</f>
        <v>2.9813551687537077</v>
      </c>
      <c r="Z3" s="34">
        <f>'CPI by declile'!R113</f>
        <v>3.0382523078446022</v>
      </c>
      <c r="AA3" s="34">
        <f>'CPI by declile'!S113</f>
        <v>3.0878782160421947</v>
      </c>
      <c r="AB3" s="34">
        <f>'CPI by declile'!T113</f>
        <v>3.2147625547935821</v>
      </c>
      <c r="AC3" s="34">
        <f>'CPI by declile'!U113</f>
        <v>3.3017874245369505</v>
      </c>
      <c r="AD3" s="34">
        <f>'CPI by declile'!V113</f>
        <v>3.3501306322801794</v>
      </c>
      <c r="AE3" s="34">
        <f>'CPI by declile'!W113</f>
        <v>3.3844233700303761</v>
      </c>
      <c r="AF3" s="34">
        <f>'CPI by declile'!X113</f>
        <v>3.4118183307618732</v>
      </c>
      <c r="AG3" s="34">
        <f>'CPI by declile'!Y113</f>
        <v>3.4279327086572442</v>
      </c>
      <c r="AH3" s="34">
        <f>'CPI by declile'!Z113</f>
        <v>3.2874136287892375</v>
      </c>
      <c r="AI3" s="34">
        <f>'CPI by declile'!AA113</f>
        <v>3.3015651169506111</v>
      </c>
    </row>
    <row r="4" spans="1:35" x14ac:dyDescent="0.35">
      <c r="A4" t="s">
        <v>25</v>
      </c>
      <c r="B4" t="s">
        <v>3</v>
      </c>
      <c r="C4" t="s">
        <v>23</v>
      </c>
      <c r="D4" t="s">
        <v>24</v>
      </c>
      <c r="H4" t="s">
        <v>3</v>
      </c>
      <c r="I4" t="s">
        <v>23</v>
      </c>
      <c r="J4" t="s">
        <v>24</v>
      </c>
      <c r="N4" t="s">
        <v>12</v>
      </c>
      <c r="O4" t="s">
        <v>13</v>
      </c>
      <c r="P4" t="s">
        <v>14</v>
      </c>
      <c r="T4" t="s">
        <v>30</v>
      </c>
      <c r="U4" t="s">
        <v>31</v>
      </c>
      <c r="X4" s="36">
        <v>2011</v>
      </c>
      <c r="Y4" s="34">
        <f>'CPI by declile'!Q114</f>
        <v>4.5767998875924309</v>
      </c>
      <c r="Z4" s="34">
        <f>'CPI by declile'!R114</f>
        <v>4.6167533663955096</v>
      </c>
      <c r="AA4" s="34">
        <f>'CPI by declile'!S114</f>
        <v>4.5269989539665323</v>
      </c>
      <c r="AB4" s="34">
        <f>'CPI by declile'!T114</f>
        <v>4.5833306448812339</v>
      </c>
      <c r="AC4" s="34">
        <f>'CPI by declile'!U114</f>
        <v>4.5721223279457268</v>
      </c>
      <c r="AD4" s="34">
        <f>'CPI by declile'!V114</f>
        <v>4.5216133993517982</v>
      </c>
      <c r="AE4" s="34">
        <f>'CPI by declile'!W114</f>
        <v>4.5188635016509382</v>
      </c>
      <c r="AF4" s="34">
        <f>'CPI by declile'!X114</f>
        <v>4.4954366226088949</v>
      </c>
      <c r="AG4" s="34">
        <f>'CPI by declile'!Y114</f>
        <v>4.4394707094205454</v>
      </c>
      <c r="AH4" s="34">
        <f>'CPI by declile'!Z114</f>
        <v>4.2480547237944366</v>
      </c>
      <c r="AI4" s="34">
        <f>'CPI by declile'!AA114</f>
        <v>4.4632912584156248</v>
      </c>
    </row>
    <row r="5" spans="1:35" x14ac:dyDescent="0.35">
      <c r="A5">
        <v>1</v>
      </c>
      <c r="B5">
        <f>'Apr26 MPR A.1'!B6</f>
        <v>14.6</v>
      </c>
      <c r="G5">
        <v>1</v>
      </c>
      <c r="H5">
        <f>'Apr26 MPR A.1'!B6</f>
        <v>14.6</v>
      </c>
      <c r="I5">
        <f>'Apr26 MPR A.1'!C6</f>
        <v>7.1</v>
      </c>
      <c r="J5">
        <f>'Apr26 MPR A.1'!D6</f>
        <v>2.4</v>
      </c>
      <c r="M5">
        <v>1</v>
      </c>
      <c r="N5" s="34">
        <f>'Apr26 MPR E.1'!B7</f>
        <v>26.99</v>
      </c>
      <c r="O5" s="34">
        <f>'Apr26 MPR E.1'!C7</f>
        <v>26.28</v>
      </c>
      <c r="P5" s="34">
        <f>'Apr26 MPR E.1'!D7</f>
        <v>46.73</v>
      </c>
      <c r="S5" t="s">
        <v>28</v>
      </c>
      <c r="T5" s="34">
        <f>'Apr26 MPR E.1'!G7</f>
        <v>43.548000000000002</v>
      </c>
      <c r="U5" s="34">
        <f>'Apr26 MPR E.1'!H7</f>
        <v>25.190999999999999</v>
      </c>
      <c r="X5" s="36">
        <v>2012</v>
      </c>
      <c r="Y5" s="34">
        <f>'CPI by declile'!Q115</f>
        <v>3.0388989666057853</v>
      </c>
      <c r="Z5" s="34">
        <f>'CPI by declile'!R115</f>
        <v>3.0740111911218504</v>
      </c>
      <c r="AA5" s="34">
        <f>'CPI by declile'!S115</f>
        <v>2.955029300470402</v>
      </c>
      <c r="AB5" s="34">
        <f>'CPI by declile'!T115</f>
        <v>2.896558758982315</v>
      </c>
      <c r="AC5" s="34">
        <f>'CPI by declile'!U115</f>
        <v>2.8655040662532105</v>
      </c>
      <c r="AD5" s="34">
        <f>'CPI by declile'!V115</f>
        <v>2.8160429505633688</v>
      </c>
      <c r="AE5" s="34">
        <f>'CPI by declile'!W115</f>
        <v>2.7913757210335843</v>
      </c>
      <c r="AF5" s="34">
        <f>'CPI by declile'!X115</f>
        <v>2.7676168463328876</v>
      </c>
      <c r="AG5" s="34">
        <f>'CPI by declile'!Y115</f>
        <v>2.7297946077252222</v>
      </c>
      <c r="AH5" s="34">
        <f>'CPI by declile'!Z115</f>
        <v>2.6641959559562833</v>
      </c>
      <c r="AI5" s="34">
        <f>'CPI by declile'!AA115</f>
        <v>2.8008241905271625</v>
      </c>
    </row>
    <row r="6" spans="1:35" x14ac:dyDescent="0.35">
      <c r="B6">
        <f>'Apr26 MPR A.1'!B7</f>
        <v>15.4</v>
      </c>
      <c r="G6">
        <v>2</v>
      </c>
      <c r="H6">
        <f>'Apr26 MPR A.1'!B7</f>
        <v>15.4</v>
      </c>
      <c r="I6">
        <f>'Apr26 MPR A.1'!C7</f>
        <v>7.1</v>
      </c>
      <c r="J6">
        <f>'Apr26 MPR A.1'!D7</f>
        <v>2.7</v>
      </c>
      <c r="M6">
        <v>2</v>
      </c>
      <c r="N6" s="34">
        <f>'Apr26 MPR E.1'!B8</f>
        <v>36.19</v>
      </c>
      <c r="O6" s="34">
        <f>'Apr26 MPR E.1'!C8</f>
        <v>27.53</v>
      </c>
      <c r="P6" s="34">
        <f>'Apr26 MPR E.1'!D8</f>
        <v>36.29</v>
      </c>
      <c r="S6" t="s">
        <v>29</v>
      </c>
      <c r="T6" s="34">
        <f>'Apr26 MPR E.1'!G8</f>
        <v>54.042000000000002</v>
      </c>
      <c r="U6" s="34">
        <f>'Apr26 MPR E.1'!H8</f>
        <v>17.141999999999999</v>
      </c>
      <c r="X6" s="36">
        <v>2013</v>
      </c>
      <c r="Y6" s="34">
        <f>'CPI by declile'!Q116</f>
        <v>2.9739702444411265</v>
      </c>
      <c r="Z6" s="34">
        <f>'CPI by declile'!R116</f>
        <v>2.9389112260777672</v>
      </c>
      <c r="AA6" s="34">
        <f>'CPI by declile'!S116</f>
        <v>2.7226475871716005</v>
      </c>
      <c r="AB6" s="34">
        <f>'CPI by declile'!T116</f>
        <v>2.6749426418134714</v>
      </c>
      <c r="AC6" s="34">
        <f>'CPI by declile'!U116</f>
        <v>2.6199840392670426</v>
      </c>
      <c r="AD6" s="34">
        <f>'CPI by declile'!V116</f>
        <v>2.5658926109162428</v>
      </c>
      <c r="AE6" s="34">
        <f>'CPI by declile'!W116</f>
        <v>2.5404892235757037</v>
      </c>
      <c r="AF6" s="34">
        <f>'CPI by declile'!X116</f>
        <v>2.5016419125368561</v>
      </c>
      <c r="AG6" s="34">
        <f>'CPI by declile'!Y116</f>
        <v>2.4796249203034026</v>
      </c>
      <c r="AH6" s="34">
        <f>'CPI by declile'!Z116</f>
        <v>2.4394133697095866</v>
      </c>
      <c r="AI6" s="34">
        <f>'CPI by declile'!AA116</f>
        <v>2.5683226874334775</v>
      </c>
    </row>
    <row r="7" spans="1:35" x14ac:dyDescent="0.35">
      <c r="B7">
        <f>'Apr26 MPR A.1'!B8</f>
        <v>15.2</v>
      </c>
      <c r="G7">
        <v>3</v>
      </c>
      <c r="H7">
        <f>'Apr26 MPR A.1'!B8</f>
        <v>15.2</v>
      </c>
      <c r="I7">
        <f>'Apr26 MPR A.1'!C8</f>
        <v>6.2</v>
      </c>
      <c r="J7">
        <f>'Apr26 MPR A.1'!D8</f>
        <v>2.8</v>
      </c>
      <c r="M7">
        <v>3</v>
      </c>
      <c r="N7" s="34">
        <f>'Apr26 MPR E.1'!B9</f>
        <v>38.799999999999997</v>
      </c>
      <c r="O7" s="34">
        <f>'Apr26 MPR E.1'!C9</f>
        <v>30.61</v>
      </c>
      <c r="P7" s="34">
        <f>'Apr26 MPR E.1'!D9</f>
        <v>30.59</v>
      </c>
      <c r="X7" s="36">
        <v>2014</v>
      </c>
      <c r="Y7" s="34">
        <f>'CPI by declile'!Q117</f>
        <v>1.6526725605603421</v>
      </c>
      <c r="Z7" s="34">
        <f>'CPI by declile'!R117</f>
        <v>1.6443428442187491</v>
      </c>
      <c r="AA7" s="34">
        <f>'CPI by declile'!S117</f>
        <v>1.5139332286987273</v>
      </c>
      <c r="AB7" s="34">
        <f>'CPI by declile'!T117</f>
        <v>1.4743028151373849</v>
      </c>
      <c r="AC7" s="34">
        <f>'CPI by declile'!U117</f>
        <v>1.422992424757008</v>
      </c>
      <c r="AD7" s="34">
        <f>'CPI by declile'!V117</f>
        <v>1.4377905068044372</v>
      </c>
      <c r="AE7" s="34">
        <f>'CPI by declile'!W117</f>
        <v>1.4259670369888289</v>
      </c>
      <c r="AF7" s="34">
        <f>'CPI by declile'!X117</f>
        <v>1.4250675840661753</v>
      </c>
      <c r="AG7" s="34">
        <f>'CPI by declile'!Y117</f>
        <v>1.428527768762633</v>
      </c>
      <c r="AH7" s="34">
        <f>'CPI by declile'!Z117</f>
        <v>1.5084225479038649</v>
      </c>
      <c r="AI7" s="34">
        <f>'CPI by declile'!AA117</f>
        <v>1.4719567370597098</v>
      </c>
    </row>
    <row r="8" spans="1:35" x14ac:dyDescent="0.35">
      <c r="B8">
        <f>'Apr26 MPR A.1'!B9</f>
        <v>13.8</v>
      </c>
      <c r="G8">
        <v>4</v>
      </c>
      <c r="H8">
        <f>'Apr26 MPR A.1'!B9</f>
        <v>13.8</v>
      </c>
      <c r="I8">
        <f>'Apr26 MPR A.1'!C9</f>
        <v>5.8</v>
      </c>
      <c r="J8">
        <f>'Apr26 MPR A.1'!D9</f>
        <v>2.9</v>
      </c>
      <c r="M8">
        <v>4</v>
      </c>
      <c r="N8" s="34">
        <f>'Apr26 MPR E.1'!B10</f>
        <v>43.78</v>
      </c>
      <c r="O8" s="34">
        <f>'Apr26 MPR E.1'!C10</f>
        <v>26.41</v>
      </c>
      <c r="P8" s="34">
        <f>'Apr26 MPR E.1'!D10</f>
        <v>29.8</v>
      </c>
      <c r="X8" s="36">
        <v>2015</v>
      </c>
      <c r="Y8" s="34">
        <f>'CPI by declile'!Q118</f>
        <v>-0.1164760129309439</v>
      </c>
      <c r="Z8" s="34">
        <f>'CPI by declile'!R118</f>
        <v>-5.6553226846267624E-2</v>
      </c>
      <c r="AA8" s="34">
        <f>'CPI by declile'!S118</f>
        <v>-0.11385870989836233</v>
      </c>
      <c r="AB8" s="34">
        <f>'CPI by declile'!T118</f>
        <v>-4.6916613133174412E-2</v>
      </c>
      <c r="AC8" s="34">
        <f>'CPI by declile'!U118</f>
        <v>-2.7784788963591822E-2</v>
      </c>
      <c r="AD8" s="34">
        <f>'CPI by declile'!V118</f>
        <v>4.6917797073686707E-2</v>
      </c>
      <c r="AE8" s="34">
        <f>'CPI by declile'!W118</f>
        <v>1.5410862761244815E-2</v>
      </c>
      <c r="AF8" s="34">
        <f>'CPI by declile'!X118</f>
        <v>-1.3084908814597895E-2</v>
      </c>
      <c r="AG8" s="34">
        <f>'CPI by declile'!Y118</f>
        <v>8.7556264179622367E-2</v>
      </c>
      <c r="AH8" s="34">
        <f>'CPI by declile'!Z118</f>
        <v>0.24057354478870252</v>
      </c>
      <c r="AI8" s="34">
        <f>'CPI by declile'!AA118</f>
        <v>4.999083117935843E-2</v>
      </c>
    </row>
    <row r="9" spans="1:35" x14ac:dyDescent="0.35">
      <c r="B9">
        <f>'Apr26 MPR A.1'!B10</f>
        <v>13.2</v>
      </c>
      <c r="G9">
        <v>5</v>
      </c>
      <c r="H9">
        <f>'Apr26 MPR A.1'!B10</f>
        <v>13.2</v>
      </c>
      <c r="I9">
        <f>'Apr26 MPR A.1'!C10</f>
        <v>5.2</v>
      </c>
      <c r="J9">
        <f>'Apr26 MPR A.1'!D10</f>
        <v>3.4</v>
      </c>
      <c r="M9">
        <v>5</v>
      </c>
      <c r="N9" s="34">
        <f>'Apr26 MPR E.1'!B11</f>
        <v>55.06</v>
      </c>
      <c r="O9" s="34">
        <f>'Apr26 MPR E.1'!C11</f>
        <v>24.83</v>
      </c>
      <c r="P9" s="34">
        <f>'Apr26 MPR E.1'!D11</f>
        <v>20.11</v>
      </c>
      <c r="X9" s="36">
        <v>2016</v>
      </c>
      <c r="Y9" s="34">
        <f>'CPI by declile'!Q119</f>
        <v>0.41385278884393806</v>
      </c>
      <c r="Z9" s="34">
        <f>'CPI by declile'!R119</f>
        <v>0.43541138882523533</v>
      </c>
      <c r="AA9" s="34">
        <f>'CPI by declile'!S119</f>
        <v>0.50533475458249821</v>
      </c>
      <c r="AB9" s="34">
        <f>'CPI by declile'!T119</f>
        <v>0.56193472989320981</v>
      </c>
      <c r="AC9" s="34">
        <f>'CPI by declile'!U119</f>
        <v>0.59785595735879493</v>
      </c>
      <c r="AD9" s="34">
        <f>'CPI by declile'!V119</f>
        <v>0.61336119823847124</v>
      </c>
      <c r="AE9" s="34">
        <f>'CPI by declile'!W119</f>
        <v>0.64888621071603758</v>
      </c>
      <c r="AF9" s="34">
        <f>'CPI by declile'!X119</f>
        <v>0.6542176089265217</v>
      </c>
      <c r="AG9" s="34">
        <f>'CPI by declile'!Y119</f>
        <v>0.69453165912638504</v>
      </c>
      <c r="AH9" s="34">
        <f>'CPI by declile'!Z119</f>
        <v>0.78531561169958852</v>
      </c>
      <c r="AI9" s="34">
        <f>'CPI by declile'!AA119</f>
        <v>0.64164674332030103</v>
      </c>
    </row>
    <row r="10" spans="1:35" x14ac:dyDescent="0.35">
      <c r="B10">
        <f>'Apr26 MPR A.1'!B11</f>
        <v>12.4</v>
      </c>
      <c r="G10">
        <v>6</v>
      </c>
      <c r="H10">
        <f>'Apr26 MPR A.1'!B11</f>
        <v>12.4</v>
      </c>
      <c r="I10">
        <f>'Apr26 MPR A.1'!C11</f>
        <v>4.5</v>
      </c>
      <c r="J10">
        <f>'Apr26 MPR A.1'!D11</f>
        <v>2.9</v>
      </c>
      <c r="X10" s="36">
        <v>2017</v>
      </c>
      <c r="Y10" s="34">
        <f>'CPI by declile'!Q120</f>
        <v>2.6775344786656552</v>
      </c>
      <c r="Z10" s="34">
        <f>'CPI by declile'!R120</f>
        <v>2.7010581657553212</v>
      </c>
      <c r="AA10" s="34">
        <f>'CPI by declile'!S120</f>
        <v>2.718628772269982</v>
      </c>
      <c r="AB10" s="34">
        <f>'CPI by declile'!T120</f>
        <v>2.7228943478079248</v>
      </c>
      <c r="AC10" s="34">
        <f>'CPI by declile'!U120</f>
        <v>2.7084349217791015</v>
      </c>
      <c r="AD10" s="34">
        <f>'CPI by declile'!V120</f>
        <v>2.7026215411311227</v>
      </c>
      <c r="AE10" s="34">
        <f>'CPI by declile'!W120</f>
        <v>2.7064210139254641</v>
      </c>
      <c r="AF10" s="34">
        <f>'CPI by declile'!X120</f>
        <v>2.7087023636409802</v>
      </c>
      <c r="AG10" s="34">
        <f>'CPI by declile'!Y120</f>
        <v>2.7133339070025242</v>
      </c>
      <c r="AH10" s="34">
        <f>'CPI by declile'!Z120</f>
        <v>2.627297744575352</v>
      </c>
      <c r="AI10" s="34">
        <f>'CPI by declile'!AA120</f>
        <v>2.6909090909090772</v>
      </c>
    </row>
    <row r="11" spans="1:35" x14ac:dyDescent="0.35">
      <c r="B11">
        <f>'Apr26 MPR A.1'!B12</f>
        <v>11.3</v>
      </c>
      <c r="G11">
        <v>7</v>
      </c>
      <c r="H11">
        <f>'Apr26 MPR A.1'!B12</f>
        <v>11.3</v>
      </c>
      <c r="I11">
        <f>'Apr26 MPR A.1'!C12</f>
        <v>4.3</v>
      </c>
      <c r="J11">
        <f>'Apr26 MPR A.1'!D12</f>
        <v>3.3</v>
      </c>
      <c r="X11" s="36">
        <v>2018</v>
      </c>
      <c r="Y11" s="34">
        <f>'CPI by declile'!Q121</f>
        <v>2.6114710777141115</v>
      </c>
      <c r="Z11" s="34">
        <f>'CPI by declile'!R121</f>
        <v>2.6002523282786294</v>
      </c>
      <c r="AA11" s="34">
        <f>'CPI by declile'!S121</f>
        <v>2.5686729507258921</v>
      </c>
      <c r="AB11" s="34">
        <f>'CPI by declile'!T121</f>
        <v>2.5423536629194166</v>
      </c>
      <c r="AC11" s="34">
        <f>'CPI by declile'!U121</f>
        <v>2.4970951631654081</v>
      </c>
      <c r="AD11" s="34">
        <f>'CPI by declile'!V121</f>
        <v>2.505508417773572</v>
      </c>
      <c r="AE11" s="34">
        <f>'CPI by declile'!W121</f>
        <v>2.4830722096513602</v>
      </c>
      <c r="AF11" s="34">
        <f>'CPI by declile'!X121</f>
        <v>2.4700968869075579</v>
      </c>
      <c r="AG11" s="34">
        <f>'CPI by declile'!Y121</f>
        <v>2.4425743670469346</v>
      </c>
      <c r="AH11" s="34">
        <f>'CPI by declile'!Z121</f>
        <v>2.3658153271531202</v>
      </c>
      <c r="AI11" s="34">
        <f>'CPI by declile'!AA121</f>
        <v>2.4751737642997762</v>
      </c>
    </row>
    <row r="12" spans="1:35" x14ac:dyDescent="0.35">
      <c r="B12">
        <f>'Apr26 MPR A.1'!B13</f>
        <v>10.9</v>
      </c>
      <c r="G12">
        <v>8</v>
      </c>
      <c r="H12">
        <f>'Apr26 MPR A.1'!B13</f>
        <v>10.9</v>
      </c>
      <c r="I12">
        <f>'Apr26 MPR A.1'!C13</f>
        <v>4.0999999999999996</v>
      </c>
      <c r="J12">
        <f>'Apr26 MPR A.1'!D13</f>
        <v>3.1</v>
      </c>
      <c r="X12" s="36">
        <v>2019</v>
      </c>
      <c r="Y12" s="34">
        <f>'CPI by declile'!Q122</f>
        <v>1.8760809012194013</v>
      </c>
      <c r="Z12" s="34">
        <f>'CPI by declile'!R122</f>
        <v>1.8623672765929689</v>
      </c>
      <c r="AA12" s="34">
        <f>'CPI by declile'!S122</f>
        <v>1.8277128694335953</v>
      </c>
      <c r="AB12" s="34">
        <f>'CPI by declile'!T122</f>
        <v>1.8067401321555376</v>
      </c>
      <c r="AC12" s="34">
        <f>'CPI by declile'!U122</f>
        <v>1.7845731635260265</v>
      </c>
      <c r="AD12" s="34">
        <f>'CPI by declile'!V122</f>
        <v>1.7726978141877181</v>
      </c>
      <c r="AE12" s="34">
        <f>'CPI by declile'!W122</f>
        <v>1.7729592193614474</v>
      </c>
      <c r="AF12" s="34">
        <f>'CPI by declile'!X122</f>
        <v>1.7491977405922787</v>
      </c>
      <c r="AG12" s="34">
        <f>'CPI by declile'!Y122</f>
        <v>1.753516547712386</v>
      </c>
      <c r="AH12" s="34">
        <f>'CPI by declile'!Z122</f>
        <v>1.7504738790403485</v>
      </c>
      <c r="AI12" s="34">
        <f>'CPI by declile'!AA122</f>
        <v>1.7780954278220351</v>
      </c>
    </row>
    <row r="13" spans="1:35" x14ac:dyDescent="0.35">
      <c r="B13">
        <f>'Apr26 MPR A.1'!B14</f>
        <v>9.5</v>
      </c>
      <c r="G13">
        <v>9</v>
      </c>
      <c r="H13">
        <f>'Apr26 MPR A.1'!B14</f>
        <v>9.5</v>
      </c>
      <c r="I13">
        <f>'Apr26 MPR A.1'!C14</f>
        <v>3.4</v>
      </c>
      <c r="J13">
        <f>'Apr26 MPR A.1'!D14</f>
        <v>3.2</v>
      </c>
      <c r="X13" s="36">
        <v>2020</v>
      </c>
      <c r="Y13" s="34">
        <f>'CPI by declile'!Q123</f>
        <v>0.73536295976841526</v>
      </c>
      <c r="Z13" s="34">
        <f>'CPI by declile'!R123</f>
        <v>0.71637155850736711</v>
      </c>
      <c r="AA13" s="34">
        <f>'CPI by declile'!S123</f>
        <v>0.7821945884118664</v>
      </c>
      <c r="AB13" s="34">
        <f>'CPI by declile'!T123</f>
        <v>0.76246951422169751</v>
      </c>
      <c r="AC13" s="34">
        <f>'CPI by declile'!U123</f>
        <v>0.84178484993002733</v>
      </c>
      <c r="AD13" s="34">
        <f>'CPI by declile'!V123</f>
        <v>0.83976224929960264</v>
      </c>
      <c r="AE13" s="34">
        <f>'CPI by declile'!W123</f>
        <v>0.85248868686451651</v>
      </c>
      <c r="AF13" s="34">
        <f>'CPI by declile'!X123</f>
        <v>0.91937171553142516</v>
      </c>
      <c r="AG13" s="34">
        <f>'CPI by declile'!Y123</f>
        <v>0.95013338986387197</v>
      </c>
      <c r="AH13" s="34">
        <f>'CPI by declile'!Z123</f>
        <v>1.0202916254264727</v>
      </c>
      <c r="AI13" s="34">
        <f>'CPI by declile'!AA123</f>
        <v>0.88126159554733352</v>
      </c>
    </row>
    <row r="14" spans="1:35" x14ac:dyDescent="0.35">
      <c r="A14">
        <v>10</v>
      </c>
      <c r="B14">
        <f>'Apr26 MPR A.1'!B15</f>
        <v>8.9</v>
      </c>
      <c r="G14">
        <v>10</v>
      </c>
      <c r="H14">
        <f>'Apr26 MPR A.1'!B15</f>
        <v>8.9</v>
      </c>
      <c r="I14">
        <f>'Apr26 MPR A.1'!C15</f>
        <v>3.3</v>
      </c>
      <c r="J14">
        <f>'Apr26 MPR A.1'!D15</f>
        <v>2.2000000000000002</v>
      </c>
      <c r="X14" s="36">
        <v>2021</v>
      </c>
      <c r="Y14" s="34">
        <f>'CPI by declile'!Q124</f>
        <v>2.5349601101755992</v>
      </c>
      <c r="Z14" s="34">
        <f>'CPI by declile'!R124</f>
        <v>2.5194748073075424</v>
      </c>
      <c r="AA14" s="34">
        <f>'CPI by declile'!S124</f>
        <v>2.5676655702531193</v>
      </c>
      <c r="AB14" s="34">
        <f>'CPI by declile'!T124</f>
        <v>2.5863432910843365</v>
      </c>
      <c r="AC14" s="34">
        <f>'CPI by declile'!U124</f>
        <v>2.6125217208022633</v>
      </c>
      <c r="AD14" s="34">
        <f>'CPI by declile'!V124</f>
        <v>2.6292925998415262</v>
      </c>
      <c r="AE14" s="34">
        <f>'CPI by declile'!W124</f>
        <v>2.60699240083897</v>
      </c>
      <c r="AF14" s="34">
        <f>'CPI by declile'!X124</f>
        <v>2.6108351925279383</v>
      </c>
      <c r="AG14" s="34">
        <f>'CPI by declile'!Y124</f>
        <v>2.5894739473575568</v>
      </c>
      <c r="AH14" s="34">
        <f>'CPI by declile'!Z124</f>
        <v>2.5349943765535565</v>
      </c>
      <c r="AI14" s="34">
        <f>'CPI by declile'!AA124</f>
        <v>2.5823448275861915</v>
      </c>
    </row>
    <row r="15" spans="1:35" x14ac:dyDescent="0.35">
      <c r="X15" s="36">
        <v>2022</v>
      </c>
      <c r="Y15" s="34">
        <f>'CPI by declile'!Q125</f>
        <v>11.513325754598691</v>
      </c>
      <c r="Z15" s="34">
        <f>'CPI by declile'!R125</f>
        <v>10.653360446705019</v>
      </c>
      <c r="AA15" s="34">
        <f>'CPI by declile'!S125</f>
        <v>9.9287379687885249</v>
      </c>
      <c r="AB15" s="34">
        <f>'CPI by declile'!T125</f>
        <v>9.6549860207036495</v>
      </c>
      <c r="AC15" s="34">
        <f>'CPI by declile'!U125</f>
        <v>9.4473331742236155</v>
      </c>
      <c r="AD15" s="34">
        <f>'CPI by declile'!V125</f>
        <v>8.973874486804112</v>
      </c>
      <c r="AE15" s="34">
        <f>'CPI by declile'!W125</f>
        <v>8.8500634199276451</v>
      </c>
      <c r="AF15" s="34">
        <f>'CPI by declile'!X125</f>
        <v>8.9075284087035467</v>
      </c>
      <c r="AG15" s="34">
        <f>'CPI by declile'!Y125</f>
        <v>8.3375223494099657</v>
      </c>
      <c r="AH15" s="34">
        <f>'CPI by declile'!Z125</f>
        <v>7.9271242864921598</v>
      </c>
      <c r="AI15" s="34">
        <f>'CPI by declile'!AA125</f>
        <v>9.0535621285014134</v>
      </c>
    </row>
    <row r="16" spans="1:35" x14ac:dyDescent="0.35">
      <c r="A16">
        <v>1</v>
      </c>
      <c r="C16">
        <f>'Apr26 MPR A.1'!C6</f>
        <v>7.1</v>
      </c>
      <c r="X16" s="36">
        <v>2023</v>
      </c>
      <c r="Y16" s="34">
        <f>'CPI by declile'!Q126</f>
        <v>7.9134942030918642</v>
      </c>
      <c r="Z16" s="34">
        <f>'CPI by declile'!R126</f>
        <v>7.9332342771569975</v>
      </c>
      <c r="AA16" s="34">
        <f>'CPI by declile'!S126</f>
        <v>7.6490148788522783</v>
      </c>
      <c r="AB16" s="34">
        <f>'CPI by declile'!T126</f>
        <v>7.4158542897188484</v>
      </c>
      <c r="AC16" s="34">
        <f>'CPI by declile'!U126</f>
        <v>7.3449449171999914</v>
      </c>
      <c r="AD16" s="34">
        <f>'CPI by declile'!V126</f>
        <v>7.2798218773848067</v>
      </c>
      <c r="AE16" s="34">
        <f>'CPI by declile'!W126</f>
        <v>7.1971090844735519</v>
      </c>
      <c r="AF16" s="34">
        <f>'CPI by declile'!X126</f>
        <v>7.1997000895087648</v>
      </c>
      <c r="AG16" s="34">
        <f>'CPI by declile'!Y126</f>
        <v>7.1131719138182614</v>
      </c>
      <c r="AH16" s="34">
        <f>'CPI by declile'!Z126</f>
        <v>7.0656122365247764</v>
      </c>
      <c r="AI16" s="34">
        <f>'CPI by declile'!AA126</f>
        <v>7.3019267900340745</v>
      </c>
    </row>
    <row r="17" spans="1:35" x14ac:dyDescent="0.35">
      <c r="C17">
        <f>'Apr26 MPR A.1'!C7</f>
        <v>7.1</v>
      </c>
      <c r="X17" s="36">
        <v>2024</v>
      </c>
      <c r="Y17" s="34">
        <f>'CPI by declile'!Q127</f>
        <v>1.6065476684368196</v>
      </c>
      <c r="Z17" s="34">
        <f>'CPI by declile'!R127</f>
        <v>1.7955064874263904</v>
      </c>
      <c r="AA17" s="34">
        <f>'CPI by declile'!S127</f>
        <v>2.1140165882568729</v>
      </c>
      <c r="AB17" s="34">
        <f>'CPI by declile'!T127</f>
        <v>2.2416324600329718</v>
      </c>
      <c r="AC17" s="34">
        <f>'CPI by declile'!U127</f>
        <v>2.3806101285846815</v>
      </c>
      <c r="AD17" s="34">
        <f>'CPI by declile'!V127</f>
        <v>2.5627344784427741</v>
      </c>
      <c r="AE17" s="34">
        <f>'CPI by declile'!W127</f>
        <v>2.6121776417821208</v>
      </c>
      <c r="AF17" s="34">
        <f>'CPI by declile'!X127</f>
        <v>2.6984425534192891</v>
      </c>
      <c r="AG17" s="34">
        <f>'CPI by declile'!Y127</f>
        <v>2.7805708366937854</v>
      </c>
      <c r="AH17" s="34">
        <f>'CPI by declile'!Z127</f>
        <v>2.9922289999988694</v>
      </c>
      <c r="AI17" s="34">
        <f>'CPI by declile'!AA127</f>
        <v>2.5406441006973202</v>
      </c>
    </row>
    <row r="18" spans="1:35" x14ac:dyDescent="0.35">
      <c r="C18">
        <f>'Apr26 MPR A.1'!C8</f>
        <v>6.2</v>
      </c>
      <c r="X18" s="36">
        <v>2025</v>
      </c>
      <c r="Y18" s="34">
        <f>'CPI by declile'!Q128</f>
        <v>3.3462260035198144</v>
      </c>
      <c r="Z18" s="34">
        <f>'CPI by declile'!R128</f>
        <v>3.3729235880823882</v>
      </c>
      <c r="AA18" s="34">
        <f>'CPI by declile'!S128</f>
        <v>3.3672607871622073</v>
      </c>
      <c r="AB18" s="34">
        <f>'CPI by declile'!T128</f>
        <v>3.3246415064678958</v>
      </c>
      <c r="AC18" s="34">
        <f>'CPI by declile'!U128</f>
        <v>3.3406240378983654</v>
      </c>
      <c r="AD18" s="34">
        <f>'CPI by declile'!V128</f>
        <v>3.3603711275440817</v>
      </c>
      <c r="AE18" s="34">
        <f>'CPI by declile'!W128</f>
        <v>3.3519709011503362</v>
      </c>
      <c r="AF18" s="34">
        <f>'CPI by declile'!X128</f>
        <v>3.3652102613086265</v>
      </c>
      <c r="AG18" s="34">
        <f>'CPI by declile'!Y128</f>
        <v>3.3656222579730777</v>
      </c>
      <c r="AH18" s="34">
        <f>'CPI by declile'!Z128</f>
        <v>3.4198014365584894</v>
      </c>
      <c r="AI18" s="34">
        <f>'CPI by declile'!AA128</f>
        <v>3.3680391877081828</v>
      </c>
    </row>
    <row r="19" spans="1:35" x14ac:dyDescent="0.35">
      <c r="C19">
        <f>'Apr26 MPR A.1'!C9</f>
        <v>5.8</v>
      </c>
      <c r="X19" s="36">
        <v>2026</v>
      </c>
      <c r="Y19" s="34">
        <f>'CPI by declile'!Q129</f>
        <v>3.9768501004912915</v>
      </c>
      <c r="Z19" s="34">
        <f>'CPI by declile'!R129</f>
        <v>3.9689382349247238</v>
      </c>
      <c r="AA19" s="34">
        <f>'CPI by declile'!S129</f>
        <v>3.9652022776580642</v>
      </c>
      <c r="AB19" s="34">
        <f>'CPI by declile'!T129</f>
        <v>4.0031997850144441</v>
      </c>
      <c r="AC19" s="34">
        <f>'CPI by declile'!U129</f>
        <v>3.9831629472494523</v>
      </c>
      <c r="AD19" s="34">
        <f>'CPI by declile'!V129</f>
        <v>3.9655499081055146</v>
      </c>
      <c r="AE19" s="34">
        <f>'CPI by declile'!W129</f>
        <v>3.9684312127184151</v>
      </c>
      <c r="AF19" s="34">
        <f>'CPI by declile'!X129</f>
        <v>3.9615185058832214</v>
      </c>
      <c r="AG19" s="34">
        <f>'CPI by declile'!Y129</f>
        <v>3.9542459240712535</v>
      </c>
      <c r="AH19" s="34">
        <f>'CPI by declile'!Z129</f>
        <v>3.8879027480796857</v>
      </c>
      <c r="AI19" s="34">
        <f>'CPI by declile'!AA129</f>
        <v>3.9541305819969619</v>
      </c>
    </row>
    <row r="20" spans="1:35" x14ac:dyDescent="0.35">
      <c r="C20">
        <f>'Apr26 MPR A.1'!C10</f>
        <v>5.2</v>
      </c>
    </row>
    <row r="21" spans="1:35" x14ac:dyDescent="0.35">
      <c r="C21">
        <f>'Apr26 MPR A.1'!C11</f>
        <v>4.5</v>
      </c>
    </row>
    <row r="22" spans="1:35" x14ac:dyDescent="0.35">
      <c r="C22">
        <f>'Apr26 MPR A.1'!C12</f>
        <v>4.3</v>
      </c>
    </row>
    <row r="23" spans="1:35" x14ac:dyDescent="0.35">
      <c r="C23">
        <f>'Apr26 MPR A.1'!C13</f>
        <v>4.0999999999999996</v>
      </c>
    </row>
    <row r="24" spans="1:35" x14ac:dyDescent="0.35">
      <c r="C24">
        <f>'Apr26 MPR A.1'!C14</f>
        <v>3.4</v>
      </c>
    </row>
    <row r="25" spans="1:35" x14ac:dyDescent="0.35">
      <c r="A25">
        <v>10</v>
      </c>
      <c r="C25">
        <f>'Apr26 MPR A.1'!C15</f>
        <v>3.3</v>
      </c>
    </row>
    <row r="27" spans="1:35" x14ac:dyDescent="0.35">
      <c r="A27">
        <v>1</v>
      </c>
      <c r="D27">
        <f>'Apr26 MPR A.1'!D6</f>
        <v>2.4</v>
      </c>
    </row>
    <row r="28" spans="1:35" x14ac:dyDescent="0.35">
      <c r="D28">
        <f>'Apr26 MPR A.1'!D7</f>
        <v>2.7</v>
      </c>
    </row>
    <row r="29" spans="1:35" x14ac:dyDescent="0.35">
      <c r="D29">
        <f>'Apr26 MPR A.1'!D8</f>
        <v>2.8</v>
      </c>
    </row>
    <row r="30" spans="1:35" x14ac:dyDescent="0.35">
      <c r="D30">
        <f>'Apr26 MPR A.1'!D9</f>
        <v>2.9</v>
      </c>
    </row>
    <row r="31" spans="1:35" x14ac:dyDescent="0.35">
      <c r="D31">
        <f>'Apr26 MPR A.1'!D10</f>
        <v>3.4</v>
      </c>
    </row>
    <row r="32" spans="1:35" x14ac:dyDescent="0.35">
      <c r="D32">
        <f>'Apr26 MPR A.1'!D11</f>
        <v>2.9</v>
      </c>
    </row>
    <row r="33" spans="1:4" x14ac:dyDescent="0.35">
      <c r="D33">
        <f>'Apr26 MPR A.1'!D12</f>
        <v>3.3</v>
      </c>
    </row>
    <row r="34" spans="1:4" x14ac:dyDescent="0.35">
      <c r="D34">
        <f>'Apr26 MPR A.1'!D13</f>
        <v>3.1</v>
      </c>
    </row>
    <row r="35" spans="1:4" x14ac:dyDescent="0.35">
      <c r="D35">
        <f>'Apr26 MPR A.1'!D14</f>
        <v>3.2</v>
      </c>
    </row>
    <row r="36" spans="1:4" x14ac:dyDescent="0.35">
      <c r="A36">
        <v>10</v>
      </c>
      <c r="D36">
        <f>'Apr26 MPR A.1'!D15</f>
        <v>2.2000000000000002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B081-44A3-4F75-B074-92EE5A607C25}">
  <dimension ref="A1:S138"/>
  <sheetViews>
    <sheetView workbookViewId="0">
      <selection activeCell="F7" sqref="F7"/>
    </sheetView>
  </sheetViews>
  <sheetFormatPr defaultColWidth="9.7265625" defaultRowHeight="14" x14ac:dyDescent="0.3"/>
  <cols>
    <col min="1" max="1" width="19.08984375" style="5" customWidth="1"/>
    <col min="2" max="3" width="16.26953125" style="5" bestFit="1" customWidth="1"/>
    <col min="4" max="4" width="12.6328125" style="5" bestFit="1" customWidth="1"/>
    <col min="5" max="5" width="14" style="5" bestFit="1" customWidth="1"/>
    <col min="6" max="7" width="11.36328125" style="5" bestFit="1" customWidth="1"/>
    <col min="8" max="8" width="10.7265625" style="5" bestFit="1" customWidth="1"/>
    <col min="9" max="9" width="7.7265625" style="5" bestFit="1" customWidth="1"/>
    <col min="10" max="10" width="13.08984375" style="5" bestFit="1" customWidth="1"/>
    <col min="11" max="11" width="16.26953125" style="5" bestFit="1" customWidth="1"/>
    <col min="12" max="12" width="8.08984375" style="5" bestFit="1" customWidth="1"/>
    <col min="13" max="13" width="16.7265625" style="5" bestFit="1" customWidth="1"/>
    <col min="14" max="14" width="13" style="5" bestFit="1" customWidth="1"/>
    <col min="15" max="15" width="12.36328125" style="5" bestFit="1" customWidth="1"/>
    <col min="16" max="16" width="11.36328125" style="5" bestFit="1" customWidth="1"/>
    <col min="17" max="17" width="11" style="5" bestFit="1" customWidth="1"/>
    <col min="18" max="18" width="15.26953125" style="5" bestFit="1" customWidth="1"/>
    <col min="19" max="19" width="23.81640625" style="5" bestFit="1" customWidth="1"/>
    <col min="20" max="16384" width="9.7265625" style="6"/>
  </cols>
  <sheetData>
    <row r="1" spans="1:19" s="3" customForma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4"/>
    </row>
    <row r="3" spans="1:19" s="3" customFormat="1" x14ac:dyDescent="0.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7"/>
    </row>
    <row r="5" spans="1:19" ht="42" x14ac:dyDescent="0.3">
      <c r="A5" s="8" t="s">
        <v>2</v>
      </c>
      <c r="B5" s="9" t="s">
        <v>3</v>
      </c>
      <c r="C5" s="9" t="s">
        <v>4</v>
      </c>
      <c r="D5" s="5" t="s">
        <v>5</v>
      </c>
    </row>
    <row r="6" spans="1:19" ht="28" x14ac:dyDescent="0.3">
      <c r="A6" s="10" t="s">
        <v>6</v>
      </c>
      <c r="B6" s="11">
        <v>14.6</v>
      </c>
      <c r="C6" s="11">
        <v>7.1</v>
      </c>
      <c r="D6" s="11">
        <v>2.4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x14ac:dyDescent="0.3">
      <c r="A7" s="10">
        <v>2</v>
      </c>
      <c r="B7" s="11">
        <v>15.4</v>
      </c>
      <c r="C7" s="11">
        <v>7.1</v>
      </c>
      <c r="D7" s="11">
        <v>2.7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x14ac:dyDescent="0.3">
      <c r="A8" s="10">
        <v>3</v>
      </c>
      <c r="B8" s="11">
        <v>15.2</v>
      </c>
      <c r="C8" s="11">
        <v>6.2</v>
      </c>
      <c r="D8" s="11">
        <v>2.8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x14ac:dyDescent="0.3">
      <c r="A9" s="10">
        <v>4</v>
      </c>
      <c r="B9" s="11">
        <v>13.8</v>
      </c>
      <c r="C9" s="11">
        <v>5.8</v>
      </c>
      <c r="D9" s="11">
        <v>2.9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x14ac:dyDescent="0.3">
      <c r="A10" s="10">
        <v>5</v>
      </c>
      <c r="B10" s="12">
        <v>13.2</v>
      </c>
      <c r="C10" s="12">
        <v>5.2</v>
      </c>
      <c r="D10" s="12">
        <v>3.4</v>
      </c>
    </row>
    <row r="11" spans="1:19" x14ac:dyDescent="0.3">
      <c r="A11" s="10">
        <v>6</v>
      </c>
      <c r="B11" s="12">
        <v>12.4</v>
      </c>
      <c r="C11" s="12">
        <v>4.5</v>
      </c>
      <c r="D11" s="12">
        <v>2.9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x14ac:dyDescent="0.3">
      <c r="A12" s="10">
        <v>7</v>
      </c>
      <c r="B12" s="12">
        <v>11.3</v>
      </c>
      <c r="C12" s="12">
        <v>4.3</v>
      </c>
      <c r="D12" s="12">
        <v>3.3</v>
      </c>
    </row>
    <row r="13" spans="1:19" x14ac:dyDescent="0.3">
      <c r="A13" s="10">
        <v>8</v>
      </c>
      <c r="B13" s="12">
        <v>10.9</v>
      </c>
      <c r="C13" s="12">
        <v>4.0999999999999996</v>
      </c>
      <c r="D13" s="12">
        <v>3.1</v>
      </c>
    </row>
    <row r="14" spans="1:19" x14ac:dyDescent="0.3">
      <c r="A14" s="10">
        <v>9</v>
      </c>
      <c r="B14" s="12">
        <v>9.5</v>
      </c>
      <c r="C14" s="12">
        <v>3.4</v>
      </c>
      <c r="D14" s="12">
        <v>3.2</v>
      </c>
    </row>
    <row r="15" spans="1:19" ht="28" x14ac:dyDescent="0.3">
      <c r="A15" s="10" t="s">
        <v>7</v>
      </c>
      <c r="B15" s="12">
        <v>8.9</v>
      </c>
      <c r="C15" s="12">
        <v>3.3</v>
      </c>
      <c r="D15" s="12">
        <v>2.2000000000000002</v>
      </c>
    </row>
    <row r="16" spans="1:19" s="5" customFormat="1" x14ac:dyDescent="0.35">
      <c r="A16" s="14"/>
    </row>
    <row r="17" spans="1:1" s="5" customFormat="1" x14ac:dyDescent="0.35">
      <c r="A17" s="14"/>
    </row>
    <row r="18" spans="1:1" s="5" customFormat="1" x14ac:dyDescent="0.35">
      <c r="A18" s="14"/>
    </row>
    <row r="19" spans="1:1" s="5" customFormat="1" x14ac:dyDescent="0.35">
      <c r="A19" s="14"/>
    </row>
    <row r="20" spans="1:1" s="5" customFormat="1" x14ac:dyDescent="0.35">
      <c r="A20" s="14"/>
    </row>
    <row r="21" spans="1:1" s="5" customFormat="1" x14ac:dyDescent="0.35">
      <c r="A21" s="14"/>
    </row>
    <row r="22" spans="1:1" s="5" customFormat="1" x14ac:dyDescent="0.35">
      <c r="A22" s="14"/>
    </row>
    <row r="23" spans="1:1" s="5" customFormat="1" x14ac:dyDescent="0.35">
      <c r="A23" s="14"/>
    </row>
    <row r="24" spans="1:1" s="5" customFormat="1" x14ac:dyDescent="0.35">
      <c r="A24" s="14"/>
    </row>
    <row r="25" spans="1:1" s="5" customFormat="1" x14ac:dyDescent="0.35">
      <c r="A25" s="14"/>
    </row>
    <row r="26" spans="1:1" s="5" customFormat="1" x14ac:dyDescent="0.35">
      <c r="A26" s="14"/>
    </row>
    <row r="27" spans="1:1" s="5" customFormat="1" x14ac:dyDescent="0.35">
      <c r="A27" s="14"/>
    </row>
    <row r="28" spans="1:1" s="5" customFormat="1" x14ac:dyDescent="0.35">
      <c r="A28" s="14"/>
    </row>
    <row r="29" spans="1:1" s="5" customFormat="1" x14ac:dyDescent="0.35">
      <c r="A29" s="14"/>
    </row>
    <row r="30" spans="1:1" s="5" customFormat="1" x14ac:dyDescent="0.35">
      <c r="A30" s="14"/>
    </row>
    <row r="31" spans="1:1" s="5" customFormat="1" x14ac:dyDescent="0.35">
      <c r="A31" s="14"/>
    </row>
    <row r="32" spans="1:1" s="5" customFormat="1" x14ac:dyDescent="0.35">
      <c r="A32" s="14"/>
    </row>
    <row r="33" spans="1:1" s="5" customFormat="1" x14ac:dyDescent="0.35">
      <c r="A33" s="14"/>
    </row>
    <row r="34" spans="1:1" s="5" customFormat="1" x14ac:dyDescent="0.35">
      <c r="A34" s="14"/>
    </row>
    <row r="35" spans="1:1" s="5" customFormat="1" x14ac:dyDescent="0.35">
      <c r="A35" s="14"/>
    </row>
    <row r="36" spans="1:1" s="5" customFormat="1" x14ac:dyDescent="0.35">
      <c r="A36" s="14"/>
    </row>
    <row r="37" spans="1:1" s="5" customFormat="1" x14ac:dyDescent="0.35">
      <c r="A37" s="14"/>
    </row>
    <row r="38" spans="1:1" s="5" customFormat="1" x14ac:dyDescent="0.35">
      <c r="A38" s="14"/>
    </row>
    <row r="39" spans="1:1" s="5" customFormat="1" x14ac:dyDescent="0.35">
      <c r="A39" s="14"/>
    </row>
    <row r="40" spans="1:1" s="5" customFormat="1" x14ac:dyDescent="0.35">
      <c r="A40" s="14"/>
    </row>
    <row r="41" spans="1:1" s="5" customFormat="1" x14ac:dyDescent="0.35">
      <c r="A41" s="14"/>
    </row>
    <row r="42" spans="1:1" s="5" customFormat="1" x14ac:dyDescent="0.35">
      <c r="A42" s="14"/>
    </row>
    <row r="43" spans="1:1" s="5" customFormat="1" x14ac:dyDescent="0.35">
      <c r="A43" s="14"/>
    </row>
    <row r="44" spans="1:1" s="5" customFormat="1" x14ac:dyDescent="0.35">
      <c r="A44" s="14"/>
    </row>
    <row r="45" spans="1:1" s="5" customFormat="1" x14ac:dyDescent="0.35">
      <c r="A45" s="14"/>
    </row>
    <row r="46" spans="1:1" s="5" customFormat="1" x14ac:dyDescent="0.35">
      <c r="A46" s="14"/>
    </row>
    <row r="47" spans="1:1" s="5" customFormat="1" x14ac:dyDescent="0.35">
      <c r="A47" s="14"/>
    </row>
    <row r="48" spans="1:1" s="5" customFormat="1" x14ac:dyDescent="0.35">
      <c r="A48" s="14"/>
    </row>
    <row r="49" spans="1:1" s="5" customFormat="1" x14ac:dyDescent="0.35">
      <c r="A49" s="14"/>
    </row>
    <row r="50" spans="1:1" s="5" customFormat="1" x14ac:dyDescent="0.35">
      <c r="A50" s="14"/>
    </row>
    <row r="51" spans="1:1" s="5" customFormat="1" x14ac:dyDescent="0.35">
      <c r="A51" s="14"/>
    </row>
    <row r="52" spans="1:1" s="5" customFormat="1" x14ac:dyDescent="0.35">
      <c r="A52" s="14"/>
    </row>
    <row r="53" spans="1:1" s="5" customFormat="1" x14ac:dyDescent="0.35">
      <c r="A53" s="14"/>
    </row>
    <row r="54" spans="1:1" s="5" customFormat="1" x14ac:dyDescent="0.35">
      <c r="A54" s="14"/>
    </row>
    <row r="55" spans="1:1" s="5" customFormat="1" x14ac:dyDescent="0.35">
      <c r="A55" s="14"/>
    </row>
    <row r="56" spans="1:1" s="5" customFormat="1" x14ac:dyDescent="0.35">
      <c r="A56" s="14"/>
    </row>
    <row r="57" spans="1:1" s="5" customFormat="1" x14ac:dyDescent="0.35">
      <c r="A57" s="14"/>
    </row>
    <row r="58" spans="1:1" s="5" customFormat="1" x14ac:dyDescent="0.35">
      <c r="A58" s="14"/>
    </row>
    <row r="59" spans="1:1" s="5" customFormat="1" x14ac:dyDescent="0.35">
      <c r="A59" s="14"/>
    </row>
    <row r="60" spans="1:1" s="5" customFormat="1" x14ac:dyDescent="0.35">
      <c r="A60" s="14"/>
    </row>
    <row r="61" spans="1:1" s="5" customFormat="1" x14ac:dyDescent="0.35">
      <c r="A61" s="14"/>
    </row>
    <row r="62" spans="1:1" s="5" customFormat="1" x14ac:dyDescent="0.35">
      <c r="A62" s="14"/>
    </row>
    <row r="63" spans="1:1" s="5" customFormat="1" x14ac:dyDescent="0.35">
      <c r="A63" s="14"/>
    </row>
    <row r="64" spans="1:1" s="5" customFormat="1" x14ac:dyDescent="0.35">
      <c r="A64" s="14"/>
    </row>
    <row r="65" spans="1:1" s="5" customFormat="1" x14ac:dyDescent="0.35">
      <c r="A65" s="14"/>
    </row>
    <row r="66" spans="1:1" s="5" customFormat="1" x14ac:dyDescent="0.35">
      <c r="A66" s="14"/>
    </row>
    <row r="67" spans="1:1" s="5" customFormat="1" x14ac:dyDescent="0.35">
      <c r="A67" s="14"/>
    </row>
    <row r="68" spans="1:1" s="5" customFormat="1" x14ac:dyDescent="0.35">
      <c r="A68" s="14"/>
    </row>
    <row r="69" spans="1:1" s="5" customFormat="1" x14ac:dyDescent="0.35">
      <c r="A69" s="14"/>
    </row>
    <row r="70" spans="1:1" s="5" customFormat="1" x14ac:dyDescent="0.35">
      <c r="A70" s="14"/>
    </row>
    <row r="71" spans="1:1" s="5" customFormat="1" x14ac:dyDescent="0.35">
      <c r="A71" s="14"/>
    </row>
    <row r="72" spans="1:1" s="5" customFormat="1" x14ac:dyDescent="0.35">
      <c r="A72" s="14"/>
    </row>
    <row r="73" spans="1:1" s="5" customFormat="1" x14ac:dyDescent="0.35">
      <c r="A73" s="14"/>
    </row>
    <row r="74" spans="1:1" s="5" customFormat="1" x14ac:dyDescent="0.35">
      <c r="A74" s="14"/>
    </row>
    <row r="75" spans="1:1" s="5" customFormat="1" x14ac:dyDescent="0.35">
      <c r="A75" s="14"/>
    </row>
    <row r="76" spans="1:1" s="5" customFormat="1" x14ac:dyDescent="0.35">
      <c r="A76" s="14"/>
    </row>
    <row r="77" spans="1:1" s="5" customFormat="1" x14ac:dyDescent="0.35">
      <c r="A77" s="14"/>
    </row>
    <row r="78" spans="1:1" s="5" customFormat="1" x14ac:dyDescent="0.35">
      <c r="A78" s="14"/>
    </row>
    <row r="79" spans="1:1" s="5" customFormat="1" x14ac:dyDescent="0.35">
      <c r="A79" s="14"/>
    </row>
    <row r="80" spans="1:1" s="5" customFormat="1" x14ac:dyDescent="0.35">
      <c r="A80" s="14"/>
    </row>
    <row r="81" spans="1:1" s="5" customFormat="1" x14ac:dyDescent="0.35">
      <c r="A81" s="14"/>
    </row>
    <row r="82" spans="1:1" s="5" customFormat="1" x14ac:dyDescent="0.35">
      <c r="A82" s="14"/>
    </row>
    <row r="83" spans="1:1" s="5" customFormat="1" x14ac:dyDescent="0.35">
      <c r="A83" s="14"/>
    </row>
    <row r="84" spans="1:1" s="5" customFormat="1" x14ac:dyDescent="0.35">
      <c r="A84" s="14"/>
    </row>
    <row r="85" spans="1:1" s="5" customFormat="1" x14ac:dyDescent="0.35">
      <c r="A85" s="14"/>
    </row>
    <row r="86" spans="1:1" s="5" customFormat="1" x14ac:dyDescent="0.35">
      <c r="A86" s="14"/>
    </row>
    <row r="87" spans="1:1" s="5" customFormat="1" x14ac:dyDescent="0.35">
      <c r="A87" s="14"/>
    </row>
    <row r="88" spans="1:1" s="5" customFormat="1" x14ac:dyDescent="0.35">
      <c r="A88" s="14"/>
    </row>
    <row r="89" spans="1:1" s="5" customFormat="1" x14ac:dyDescent="0.35">
      <c r="A89" s="14"/>
    </row>
    <row r="90" spans="1:1" s="5" customFormat="1" x14ac:dyDescent="0.35">
      <c r="A90" s="14"/>
    </row>
    <row r="91" spans="1:1" s="5" customFormat="1" x14ac:dyDescent="0.35">
      <c r="A91" s="14"/>
    </row>
    <row r="92" spans="1:1" s="5" customFormat="1" x14ac:dyDescent="0.35">
      <c r="A92" s="14"/>
    </row>
    <row r="93" spans="1:1" s="5" customFormat="1" x14ac:dyDescent="0.35">
      <c r="A93" s="14"/>
    </row>
    <row r="94" spans="1:1" s="5" customFormat="1" x14ac:dyDescent="0.35">
      <c r="A94" s="14"/>
    </row>
    <row r="95" spans="1:1" s="5" customFormat="1" x14ac:dyDescent="0.35">
      <c r="A95" s="14"/>
    </row>
    <row r="96" spans="1:1" s="5" customFormat="1" x14ac:dyDescent="0.35">
      <c r="A96" s="14"/>
    </row>
    <row r="97" spans="1:1" s="5" customFormat="1" x14ac:dyDescent="0.35">
      <c r="A97" s="14"/>
    </row>
    <row r="98" spans="1:1" s="5" customFormat="1" x14ac:dyDescent="0.35">
      <c r="A98" s="14"/>
    </row>
    <row r="99" spans="1:1" s="5" customFormat="1" x14ac:dyDescent="0.35">
      <c r="A99" s="14"/>
    </row>
    <row r="100" spans="1:1" s="5" customFormat="1" x14ac:dyDescent="0.35">
      <c r="A100" s="14"/>
    </row>
    <row r="101" spans="1:1" s="5" customFormat="1" x14ac:dyDescent="0.35">
      <c r="A101" s="14"/>
    </row>
    <row r="102" spans="1:1" s="5" customFormat="1" x14ac:dyDescent="0.35">
      <c r="A102" s="14"/>
    </row>
    <row r="103" spans="1:1" s="5" customFormat="1" x14ac:dyDescent="0.35">
      <c r="A103" s="14"/>
    </row>
    <row r="104" spans="1:1" s="5" customFormat="1" x14ac:dyDescent="0.35">
      <c r="A104" s="14"/>
    </row>
    <row r="105" spans="1:1" s="5" customFormat="1" x14ac:dyDescent="0.35">
      <c r="A105" s="14"/>
    </row>
    <row r="106" spans="1:1" s="5" customFormat="1" x14ac:dyDescent="0.35">
      <c r="A106" s="14"/>
    </row>
    <row r="107" spans="1:1" s="5" customFormat="1" x14ac:dyDescent="0.35">
      <c r="A107" s="14"/>
    </row>
    <row r="108" spans="1:1" s="5" customFormat="1" x14ac:dyDescent="0.35">
      <c r="A108" s="14"/>
    </row>
    <row r="109" spans="1:1" s="5" customFormat="1" x14ac:dyDescent="0.35">
      <c r="A109" s="14"/>
    </row>
    <row r="110" spans="1:1" s="5" customFormat="1" x14ac:dyDescent="0.35">
      <c r="A110" s="14"/>
    </row>
    <row r="111" spans="1:1" s="5" customFormat="1" x14ac:dyDescent="0.35">
      <c r="A111" s="14"/>
    </row>
    <row r="112" spans="1:1" s="5" customFormat="1" x14ac:dyDescent="0.35">
      <c r="A112" s="14"/>
    </row>
    <row r="113" spans="1:1" s="5" customFormat="1" x14ac:dyDescent="0.35">
      <c r="A113" s="14"/>
    </row>
    <row r="114" spans="1:1" s="5" customFormat="1" x14ac:dyDescent="0.35">
      <c r="A114" s="14"/>
    </row>
    <row r="115" spans="1:1" s="5" customFormat="1" x14ac:dyDescent="0.35">
      <c r="A115" s="14"/>
    </row>
    <row r="128" spans="1:1" s="5" customFormat="1" x14ac:dyDescent="0.35">
      <c r="A128" s="14"/>
    </row>
    <row r="129" spans="1:1" s="5" customFormat="1" x14ac:dyDescent="0.35">
      <c r="A129" s="14"/>
    </row>
    <row r="130" spans="1:1" s="5" customFormat="1" x14ac:dyDescent="0.35">
      <c r="A130" s="14"/>
    </row>
    <row r="131" spans="1:1" s="5" customFormat="1" x14ac:dyDescent="0.35">
      <c r="A131" s="14"/>
    </row>
    <row r="132" spans="1:1" s="5" customFormat="1" x14ac:dyDescent="0.35">
      <c r="A132" s="14"/>
    </row>
    <row r="133" spans="1:1" s="5" customFormat="1" x14ac:dyDescent="0.35">
      <c r="A133" s="14"/>
    </row>
    <row r="134" spans="1:1" s="5" customFormat="1" x14ac:dyDescent="0.35">
      <c r="A134" s="14"/>
    </row>
    <row r="135" spans="1:1" s="5" customFormat="1" x14ac:dyDescent="0.35">
      <c r="A135" s="14"/>
    </row>
    <row r="136" spans="1:1" s="5" customFormat="1" x14ac:dyDescent="0.35">
      <c r="A136" s="14"/>
    </row>
    <row r="137" spans="1:1" s="5" customFormat="1" x14ac:dyDescent="0.35">
      <c r="A137" s="14"/>
    </row>
    <row r="138" spans="1:1" s="5" customFormat="1" x14ac:dyDescent="0.35">
      <c r="A138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0EB3-7EC4-40F0-94C1-BF278D172192}">
  <dimension ref="A1:M235"/>
  <sheetViews>
    <sheetView topLeftCell="C1" workbookViewId="0">
      <selection activeCell="D17" sqref="D17"/>
    </sheetView>
  </sheetViews>
  <sheetFormatPr defaultRowHeight="15.5" x14ac:dyDescent="0.35"/>
  <cols>
    <col min="1" max="1" width="17.7265625" style="30" customWidth="1"/>
    <col min="2" max="2" width="41.81640625" style="30" customWidth="1"/>
    <col min="3" max="3" width="38.6328125" style="30" customWidth="1"/>
    <col min="4" max="4" width="25.26953125" style="30" customWidth="1"/>
    <col min="5" max="5" width="9.08984375" style="30" customWidth="1"/>
    <col min="6" max="6" width="8.81640625" style="30" customWidth="1"/>
    <col min="7" max="7" width="42.81640625" style="30" customWidth="1"/>
    <col min="8" max="8" width="38.08984375" style="30" customWidth="1"/>
  </cols>
  <sheetData>
    <row r="1" spans="1:13" ht="14.5" x14ac:dyDescent="0.35">
      <c r="A1" s="15" t="s">
        <v>0</v>
      </c>
      <c r="B1" s="15"/>
      <c r="C1" s="16"/>
      <c r="D1" s="16"/>
      <c r="E1" s="16"/>
      <c r="F1" s="16"/>
      <c r="G1" s="17"/>
      <c r="H1" s="18"/>
    </row>
    <row r="2" spans="1:13" ht="14.5" x14ac:dyDescent="0.35">
      <c r="A2" s="19"/>
      <c r="B2" s="19"/>
      <c r="C2" s="16"/>
      <c r="D2" s="16"/>
      <c r="E2" s="16"/>
      <c r="F2" s="16"/>
      <c r="G2" s="17"/>
      <c r="H2" s="18"/>
    </row>
    <row r="3" spans="1:13" ht="14.5" x14ac:dyDescent="0.35">
      <c r="A3" s="15" t="s">
        <v>8</v>
      </c>
      <c r="B3" s="15"/>
      <c r="C3" s="20"/>
      <c r="D3" s="20"/>
      <c r="E3" s="20"/>
      <c r="F3" s="20"/>
      <c r="G3" s="21"/>
      <c r="H3" s="22"/>
    </row>
    <row r="4" spans="1:13" ht="14.5" x14ac:dyDescent="0.35">
      <c r="A4" s="17"/>
      <c r="B4" s="17"/>
      <c r="C4" s="16"/>
      <c r="D4" s="16"/>
      <c r="E4" s="20"/>
      <c r="F4" s="20"/>
      <c r="G4" s="21"/>
      <c r="H4" s="16"/>
      <c r="I4" s="16"/>
      <c r="J4" s="17"/>
      <c r="K4" s="18"/>
      <c r="M4" s="23"/>
    </row>
    <row r="5" spans="1:13" ht="14.5" x14ac:dyDescent="0.35">
      <c r="A5" s="24"/>
      <c r="B5" s="60" t="s">
        <v>9</v>
      </c>
      <c r="C5" s="60"/>
      <c r="D5" s="60"/>
      <c r="E5"/>
      <c r="F5" s="25"/>
      <c r="G5" s="61" t="s">
        <v>10</v>
      </c>
      <c r="H5" s="61"/>
      <c r="I5" s="25"/>
    </row>
    <row r="6" spans="1:13" ht="14.5" x14ac:dyDescent="0.35">
      <c r="A6" s="26" t="s">
        <v>11</v>
      </c>
      <c r="B6" s="26" t="s">
        <v>12</v>
      </c>
      <c r="C6" s="27" t="s">
        <v>13</v>
      </c>
      <c r="D6" s="27" t="s">
        <v>14</v>
      </c>
      <c r="E6"/>
      <c r="F6" s="28" t="s">
        <v>15</v>
      </c>
      <c r="G6" s="27" t="s">
        <v>16</v>
      </c>
      <c r="H6" s="27" t="s">
        <v>17</v>
      </c>
    </row>
    <row r="7" spans="1:13" ht="14.5" x14ac:dyDescent="0.35">
      <c r="A7" s="5" t="s">
        <v>18</v>
      </c>
      <c r="B7" s="12">
        <v>26.99</v>
      </c>
      <c r="C7" s="12">
        <v>26.28</v>
      </c>
      <c r="D7" s="12">
        <v>46.73</v>
      </c>
      <c r="E7"/>
      <c r="F7" s="23" t="s">
        <v>19</v>
      </c>
      <c r="G7" s="12">
        <v>43.548000000000002</v>
      </c>
      <c r="H7" s="12">
        <v>25.190999999999999</v>
      </c>
    </row>
    <row r="8" spans="1:13" ht="14.5" x14ac:dyDescent="0.35">
      <c r="A8" s="5">
        <v>2</v>
      </c>
      <c r="B8" s="12">
        <v>36.19</v>
      </c>
      <c r="C8" s="12">
        <v>27.53</v>
      </c>
      <c r="D8" s="12">
        <v>36.29</v>
      </c>
      <c r="E8"/>
      <c r="F8" s="23" t="s">
        <v>20</v>
      </c>
      <c r="G8" s="12">
        <v>54.042000000000002</v>
      </c>
      <c r="H8" s="12">
        <v>17.141999999999999</v>
      </c>
    </row>
    <row r="9" spans="1:13" ht="14.5" x14ac:dyDescent="0.35">
      <c r="A9" s="5">
        <v>3</v>
      </c>
      <c r="B9" s="12">
        <v>38.799999999999997</v>
      </c>
      <c r="C9" s="12">
        <v>30.61</v>
      </c>
      <c r="D9" s="12">
        <v>30.59</v>
      </c>
      <c r="E9"/>
      <c r="F9" s="23"/>
      <c r="G9" s="12"/>
      <c r="H9" s="12"/>
    </row>
    <row r="10" spans="1:13" ht="14.5" x14ac:dyDescent="0.35">
      <c r="A10" s="5">
        <v>4</v>
      </c>
      <c r="B10" s="12">
        <v>43.78</v>
      </c>
      <c r="C10" s="12">
        <v>26.41</v>
      </c>
      <c r="D10" s="12">
        <v>29.8</v>
      </c>
      <c r="E10"/>
      <c r="F10" s="23"/>
      <c r="G10" s="12"/>
      <c r="H10" s="12"/>
    </row>
    <row r="11" spans="1:13" ht="14.5" x14ac:dyDescent="0.35">
      <c r="A11" s="5" t="s">
        <v>21</v>
      </c>
      <c r="B11" s="12">
        <v>55.06</v>
      </c>
      <c r="C11" s="12">
        <v>24.83</v>
      </c>
      <c r="D11" s="12">
        <v>20.11</v>
      </c>
      <c r="E11"/>
      <c r="F11" s="23"/>
      <c r="G11" s="12"/>
      <c r="H11" s="12"/>
    </row>
    <row r="12" spans="1:13" ht="14.5" x14ac:dyDescent="0.35">
      <c r="A12" s="23"/>
      <c r="B12" s="29"/>
      <c r="C12" s="12"/>
      <c r="D12" s="12"/>
      <c r="E12"/>
      <c r="F12"/>
      <c r="G12"/>
      <c r="H12" s="12"/>
    </row>
    <row r="13" spans="1:13" ht="14.5" x14ac:dyDescent="0.35">
      <c r="A13" s="23"/>
      <c r="B13" s="29"/>
      <c r="C13" s="12"/>
      <c r="D13" s="12"/>
      <c r="E13" s="12"/>
      <c r="F13" s="23"/>
      <c r="G13" s="12"/>
      <c r="H13" s="12"/>
    </row>
    <row r="14" spans="1:13" ht="14.5" x14ac:dyDescent="0.35">
      <c r="A14" s="23"/>
      <c r="B14" s="29"/>
      <c r="C14" s="12"/>
      <c r="D14" s="12"/>
      <c r="E14" s="12"/>
      <c r="F14" s="23"/>
      <c r="G14" s="12"/>
      <c r="H14" s="12"/>
    </row>
    <row r="15" spans="1:13" ht="14.5" x14ac:dyDescent="0.35">
      <c r="A15" s="23"/>
      <c r="B15" s="29"/>
      <c r="C15" s="12"/>
      <c r="D15" s="12"/>
      <c r="E15" s="12"/>
      <c r="F15" s="23"/>
      <c r="G15" s="12"/>
      <c r="H15" s="12"/>
    </row>
    <row r="16" spans="1:13" ht="14.5" x14ac:dyDescent="0.35">
      <c r="A16" s="23"/>
      <c r="B16" s="29"/>
      <c r="C16" s="12"/>
      <c r="D16" s="12"/>
      <c r="E16" s="12"/>
      <c r="F16" s="23"/>
      <c r="G16" s="12"/>
      <c r="H16" s="12"/>
    </row>
    <row r="17" spans="1:8" ht="14.5" x14ac:dyDescent="0.35">
      <c r="A17" s="23"/>
      <c r="B17" s="29"/>
      <c r="C17" s="12"/>
      <c r="D17" s="12"/>
      <c r="E17" s="12"/>
      <c r="F17" s="23"/>
      <c r="G17" s="12"/>
      <c r="H17" s="12"/>
    </row>
    <row r="18" spans="1:8" ht="14.5" x14ac:dyDescent="0.35">
      <c r="A18" s="23"/>
      <c r="B18" s="29"/>
      <c r="C18" s="12"/>
      <c r="D18" s="12"/>
      <c r="E18" s="12"/>
      <c r="F18" s="23"/>
      <c r="G18" s="12"/>
      <c r="H18" s="12"/>
    </row>
    <row r="19" spans="1:8" ht="14.5" x14ac:dyDescent="0.35">
      <c r="A19" s="23"/>
      <c r="B19" s="29"/>
      <c r="C19" s="12"/>
      <c r="D19" s="12"/>
      <c r="E19" s="12"/>
      <c r="F19" s="23"/>
      <c r="G19" s="12"/>
      <c r="H19" s="12"/>
    </row>
    <row r="20" spans="1:8" ht="14.5" x14ac:dyDescent="0.35">
      <c r="A20" s="23"/>
      <c r="B20" s="29"/>
      <c r="C20" s="12"/>
      <c r="D20" s="12"/>
      <c r="E20" s="12"/>
      <c r="F20" s="23"/>
      <c r="G20" s="12"/>
      <c r="H20" s="12"/>
    </row>
    <row r="21" spans="1:8" ht="14.5" x14ac:dyDescent="0.35">
      <c r="A21" s="23"/>
      <c r="B21" s="29"/>
      <c r="C21" s="12"/>
      <c r="D21" s="12"/>
      <c r="E21" s="12"/>
      <c r="F21" s="23"/>
      <c r="G21" s="12"/>
      <c r="H21" s="12"/>
    </row>
    <row r="22" spans="1:8" ht="14.5" x14ac:dyDescent="0.35">
      <c r="A22" s="23"/>
      <c r="B22" s="29"/>
      <c r="C22" s="12"/>
      <c r="D22" s="12"/>
      <c r="E22" s="12"/>
      <c r="F22" s="23"/>
      <c r="G22" s="12"/>
      <c r="H22" s="12"/>
    </row>
    <row r="23" spans="1:8" ht="14.5" x14ac:dyDescent="0.35">
      <c r="A23" s="23"/>
      <c r="B23" s="29"/>
      <c r="C23" s="12"/>
      <c r="D23" s="12"/>
      <c r="E23" s="12"/>
      <c r="F23" s="23"/>
      <c r="G23" s="12"/>
      <c r="H23" s="12"/>
    </row>
    <row r="24" spans="1:8" ht="14.5" x14ac:dyDescent="0.35">
      <c r="A24" s="23"/>
      <c r="B24" s="29"/>
      <c r="C24" s="12"/>
      <c r="D24" s="12"/>
      <c r="E24" s="12"/>
      <c r="F24" s="23"/>
      <c r="G24" s="12"/>
      <c r="H24" s="12"/>
    </row>
    <row r="25" spans="1:8" ht="14.5" x14ac:dyDescent="0.35">
      <c r="A25" s="23"/>
      <c r="B25" s="29"/>
      <c r="C25" s="12"/>
      <c r="D25" s="12"/>
      <c r="E25" s="12"/>
      <c r="F25" s="23"/>
      <c r="G25" s="12"/>
      <c r="H25" s="12"/>
    </row>
    <row r="26" spans="1:8" ht="14.5" x14ac:dyDescent="0.35">
      <c r="A26" s="23"/>
      <c r="B26" s="29"/>
      <c r="C26" s="12"/>
      <c r="D26" s="12"/>
      <c r="E26" s="12"/>
      <c r="F26" s="23"/>
      <c r="G26" s="12"/>
      <c r="H26" s="12"/>
    </row>
    <row r="27" spans="1:8" ht="14.5" x14ac:dyDescent="0.35">
      <c r="A27" s="23"/>
      <c r="B27" s="29"/>
      <c r="C27" s="12"/>
      <c r="D27" s="12"/>
      <c r="E27" s="12"/>
      <c r="F27" s="23"/>
      <c r="G27" s="12"/>
      <c r="H27" s="12"/>
    </row>
    <row r="28" spans="1:8" ht="14.5" x14ac:dyDescent="0.35">
      <c r="A28" s="23"/>
      <c r="B28" s="29"/>
      <c r="C28" s="12"/>
      <c r="D28" s="12"/>
      <c r="E28" s="12"/>
      <c r="F28" s="23"/>
      <c r="G28" s="12"/>
      <c r="H28" s="12"/>
    </row>
    <row r="29" spans="1:8" ht="14.5" x14ac:dyDescent="0.35">
      <c r="A29" s="23"/>
      <c r="B29" s="29"/>
      <c r="C29" s="12"/>
      <c r="D29" s="12"/>
      <c r="E29" s="12"/>
      <c r="F29" s="23"/>
      <c r="G29" s="12"/>
      <c r="H29" s="12"/>
    </row>
    <row r="30" spans="1:8" ht="14.5" x14ac:dyDescent="0.35">
      <c r="A30" s="23"/>
      <c r="B30" s="29"/>
      <c r="C30" s="12"/>
      <c r="D30" s="12"/>
      <c r="E30" s="12"/>
      <c r="F30" s="23"/>
      <c r="G30" s="12"/>
      <c r="H30" s="12"/>
    </row>
    <row r="31" spans="1:8" ht="14.5" x14ac:dyDescent="0.35">
      <c r="A31" s="23"/>
      <c r="B31" s="29"/>
      <c r="C31" s="12"/>
      <c r="D31" s="12"/>
      <c r="E31" s="12"/>
      <c r="F31" s="23"/>
      <c r="G31" s="12"/>
      <c r="H31" s="12"/>
    </row>
    <row r="32" spans="1:8" ht="14.5" x14ac:dyDescent="0.35">
      <c r="A32" s="23"/>
      <c r="B32" s="29"/>
      <c r="C32" s="12"/>
      <c r="D32" s="12"/>
      <c r="E32" s="12"/>
      <c r="F32" s="23"/>
      <c r="G32" s="12"/>
      <c r="H32" s="12"/>
    </row>
    <row r="33" spans="1:8" ht="14.5" x14ac:dyDescent="0.35">
      <c r="A33" s="23"/>
      <c r="B33" s="29"/>
      <c r="C33" s="12"/>
      <c r="D33" s="12"/>
      <c r="E33" s="12"/>
      <c r="F33" s="23"/>
      <c r="G33" s="12"/>
      <c r="H33" s="12"/>
    </row>
    <row r="34" spans="1:8" ht="14.5" x14ac:dyDescent="0.35">
      <c r="A34" s="23"/>
      <c r="B34" s="29"/>
      <c r="C34" s="12"/>
      <c r="D34" s="12"/>
      <c r="E34" s="12"/>
      <c r="F34" s="23"/>
      <c r="G34" s="12"/>
      <c r="H34" s="12"/>
    </row>
    <row r="35" spans="1:8" ht="14.5" x14ac:dyDescent="0.35">
      <c r="A35" s="23"/>
      <c r="B35" s="29"/>
      <c r="C35" s="12"/>
      <c r="D35" s="12"/>
      <c r="E35" s="12"/>
      <c r="F35" s="23"/>
      <c r="G35" s="12"/>
      <c r="H35" s="12"/>
    </row>
    <row r="36" spans="1:8" ht="14.5" x14ac:dyDescent="0.35">
      <c r="A36" s="23"/>
      <c r="B36" s="29"/>
      <c r="C36" s="12"/>
      <c r="D36" s="12"/>
      <c r="E36" s="12"/>
      <c r="F36" s="23"/>
      <c r="G36" s="12"/>
      <c r="H36" s="12"/>
    </row>
    <row r="37" spans="1:8" ht="14.5" x14ac:dyDescent="0.35">
      <c r="A37" s="23"/>
      <c r="B37" s="29"/>
      <c r="C37" s="12"/>
      <c r="D37" s="12"/>
      <c r="E37" s="12"/>
      <c r="F37" s="23"/>
      <c r="G37" s="12"/>
      <c r="H37" s="12"/>
    </row>
    <row r="38" spans="1:8" ht="14.5" x14ac:dyDescent="0.35">
      <c r="A38" s="23"/>
      <c r="B38" s="29"/>
      <c r="C38" s="12"/>
      <c r="D38" s="12"/>
      <c r="E38" s="12"/>
      <c r="F38" s="23"/>
      <c r="G38" s="12"/>
      <c r="H38" s="12"/>
    </row>
    <row r="39" spans="1:8" ht="14.5" x14ac:dyDescent="0.35">
      <c r="A39" s="23"/>
      <c r="B39" s="29"/>
      <c r="C39" s="12"/>
      <c r="D39" s="12"/>
      <c r="E39" s="12"/>
      <c r="F39" s="23"/>
      <c r="G39" s="12"/>
      <c r="H39" s="12"/>
    </row>
    <row r="40" spans="1:8" ht="14.5" x14ac:dyDescent="0.35">
      <c r="A40" s="23"/>
      <c r="B40" s="29"/>
      <c r="C40" s="12"/>
      <c r="D40" s="12"/>
      <c r="E40" s="12"/>
      <c r="F40" s="23"/>
      <c r="G40" s="12"/>
      <c r="H40" s="12"/>
    </row>
    <row r="41" spans="1:8" ht="14.5" x14ac:dyDescent="0.35">
      <c r="A41" s="23"/>
      <c r="B41" s="29"/>
      <c r="C41" s="12"/>
      <c r="D41" s="12"/>
      <c r="E41" s="12"/>
      <c r="F41" s="23"/>
      <c r="G41" s="12"/>
      <c r="H41" s="12"/>
    </row>
    <row r="42" spans="1:8" ht="14.5" x14ac:dyDescent="0.35">
      <c r="A42" s="23"/>
      <c r="B42" s="29"/>
      <c r="C42" s="12"/>
      <c r="D42" s="12"/>
      <c r="E42" s="12"/>
      <c r="F42" s="23"/>
      <c r="G42" s="12"/>
      <c r="H42" s="12"/>
    </row>
    <row r="43" spans="1:8" ht="14.5" x14ac:dyDescent="0.35">
      <c r="A43" s="23"/>
      <c r="B43" s="29"/>
      <c r="C43" s="12"/>
      <c r="D43" s="12"/>
      <c r="E43" s="12"/>
      <c r="F43" s="23"/>
      <c r="G43" s="12"/>
      <c r="H43" s="12"/>
    </row>
    <row r="44" spans="1:8" ht="14.5" x14ac:dyDescent="0.35">
      <c r="A44" s="23"/>
      <c r="B44" s="29"/>
      <c r="C44" s="12"/>
      <c r="D44" s="12"/>
      <c r="E44" s="12"/>
      <c r="F44" s="12"/>
      <c r="G44" s="12"/>
      <c r="H44" s="12"/>
    </row>
    <row r="45" spans="1:8" ht="14.5" x14ac:dyDescent="0.35">
      <c r="A45" s="23"/>
      <c r="B45" s="29"/>
      <c r="C45" s="12"/>
      <c r="D45" s="12"/>
      <c r="E45" s="12"/>
      <c r="F45" s="12"/>
      <c r="G45" s="12"/>
      <c r="H45" s="12"/>
    </row>
    <row r="46" spans="1:8" ht="14.5" x14ac:dyDescent="0.35">
      <c r="A46" s="23"/>
      <c r="B46" s="29"/>
      <c r="C46" s="12"/>
      <c r="D46" s="12"/>
      <c r="E46" s="12"/>
      <c r="F46" s="12"/>
      <c r="G46" s="12"/>
      <c r="H46" s="12"/>
    </row>
    <row r="47" spans="1:8" ht="14.5" x14ac:dyDescent="0.35">
      <c r="A47" s="23"/>
      <c r="B47" s="29"/>
      <c r="C47" s="12"/>
      <c r="D47" s="12"/>
      <c r="E47" s="12"/>
      <c r="F47" s="12"/>
      <c r="G47" s="12"/>
      <c r="H47" s="12"/>
    </row>
    <row r="48" spans="1:8" ht="14.5" x14ac:dyDescent="0.35">
      <c r="A48" s="23"/>
      <c r="B48" s="29"/>
      <c r="C48" s="12"/>
      <c r="D48" s="12"/>
      <c r="E48" s="12"/>
      <c r="F48" s="12"/>
      <c r="G48" s="12"/>
      <c r="H48" s="12"/>
    </row>
    <row r="49" spans="1:8" ht="14.5" x14ac:dyDescent="0.35">
      <c r="A49" s="23"/>
      <c r="B49" s="29"/>
      <c r="C49" s="12"/>
      <c r="D49" s="12"/>
      <c r="E49" s="12"/>
      <c r="F49" s="12"/>
      <c r="G49" s="12"/>
      <c r="H49" s="12"/>
    </row>
    <row r="50" spans="1:8" ht="14.5" x14ac:dyDescent="0.35">
      <c r="A50" s="23"/>
      <c r="B50" s="29"/>
      <c r="C50" s="12"/>
      <c r="D50" s="12"/>
      <c r="E50" s="12"/>
      <c r="F50" s="12"/>
      <c r="G50" s="12"/>
      <c r="H50" s="12"/>
    </row>
    <row r="51" spans="1:8" ht="14.5" x14ac:dyDescent="0.35">
      <c r="A51" s="23"/>
      <c r="B51" s="29"/>
      <c r="C51" s="12"/>
      <c r="D51" s="12"/>
      <c r="E51" s="12"/>
      <c r="F51" s="12"/>
      <c r="G51" s="12"/>
      <c r="H51" s="12"/>
    </row>
    <row r="52" spans="1:8" ht="14.5" x14ac:dyDescent="0.35">
      <c r="A52" s="23"/>
      <c r="B52" s="29"/>
      <c r="C52" s="12"/>
      <c r="D52" s="12"/>
      <c r="E52" s="12"/>
      <c r="F52" s="12"/>
      <c r="G52" s="12"/>
      <c r="H52" s="12"/>
    </row>
    <row r="53" spans="1:8" ht="14.5" x14ac:dyDescent="0.35">
      <c r="A53" s="23"/>
      <c r="B53" s="29"/>
      <c r="C53" s="12"/>
      <c r="D53" s="12"/>
      <c r="E53" s="12"/>
      <c r="F53" s="12"/>
      <c r="G53" s="12"/>
      <c r="H53" s="12"/>
    </row>
    <row r="54" spans="1:8" ht="14.5" x14ac:dyDescent="0.35">
      <c r="A54" s="23"/>
      <c r="B54" s="29"/>
      <c r="C54" s="12"/>
      <c r="D54" s="12"/>
      <c r="E54" s="12"/>
      <c r="F54" s="12"/>
      <c r="G54" s="12"/>
      <c r="H54" s="12"/>
    </row>
    <row r="55" spans="1:8" ht="14.5" x14ac:dyDescent="0.35">
      <c r="A55" s="23"/>
      <c r="B55" s="29"/>
      <c r="C55" s="12"/>
      <c r="D55" s="12"/>
      <c r="E55" s="12"/>
      <c r="F55" s="12"/>
      <c r="G55" s="12"/>
      <c r="H55" s="12"/>
    </row>
    <row r="56" spans="1:8" ht="14.5" x14ac:dyDescent="0.35">
      <c r="A56" s="23"/>
      <c r="B56" s="29"/>
      <c r="C56" s="12"/>
      <c r="D56" s="12"/>
      <c r="E56" s="12"/>
      <c r="F56" s="12"/>
      <c r="G56" s="12"/>
      <c r="H56" s="12"/>
    </row>
    <row r="57" spans="1:8" ht="14.5" x14ac:dyDescent="0.35">
      <c r="A57" s="23"/>
      <c r="B57" s="29"/>
      <c r="C57" s="12"/>
      <c r="D57" s="12"/>
      <c r="E57" s="12"/>
      <c r="F57" s="12"/>
      <c r="G57" s="12"/>
      <c r="H57" s="12"/>
    </row>
    <row r="58" spans="1:8" ht="14.5" x14ac:dyDescent="0.35">
      <c r="A58" s="23"/>
      <c r="B58" s="29"/>
      <c r="C58" s="12"/>
      <c r="D58" s="12"/>
      <c r="E58" s="12"/>
      <c r="F58" s="12"/>
      <c r="G58" s="12"/>
      <c r="H58" s="12"/>
    </row>
    <row r="59" spans="1:8" ht="14.5" x14ac:dyDescent="0.35">
      <c r="A59" s="23"/>
      <c r="B59" s="29"/>
      <c r="C59" s="12"/>
      <c r="D59" s="12"/>
      <c r="E59" s="12"/>
      <c r="F59" s="12"/>
      <c r="G59" s="12"/>
      <c r="H59" s="12"/>
    </row>
    <row r="60" spans="1:8" ht="14.5" x14ac:dyDescent="0.35">
      <c r="A60" s="23"/>
      <c r="B60" s="29"/>
      <c r="C60" s="12"/>
      <c r="D60" s="12"/>
      <c r="E60" s="12"/>
      <c r="F60" s="12"/>
      <c r="G60" s="12"/>
      <c r="H60" s="12"/>
    </row>
    <row r="61" spans="1:8" ht="14.5" x14ac:dyDescent="0.35">
      <c r="A61" s="23"/>
      <c r="B61" s="29"/>
      <c r="C61" s="12"/>
      <c r="D61" s="12"/>
      <c r="E61" s="12"/>
      <c r="F61" s="12"/>
      <c r="G61" s="12"/>
      <c r="H61" s="12"/>
    </row>
    <row r="62" spans="1:8" ht="14.5" x14ac:dyDescent="0.35">
      <c r="A62" s="23"/>
      <c r="B62" s="29"/>
      <c r="C62" s="12"/>
      <c r="D62" s="12"/>
      <c r="E62" s="12"/>
      <c r="F62" s="12"/>
      <c r="G62" s="12"/>
      <c r="H62" s="12"/>
    </row>
    <row r="63" spans="1:8" ht="14.5" x14ac:dyDescent="0.35">
      <c r="A63" s="23"/>
      <c r="B63" s="29"/>
      <c r="C63" s="12"/>
      <c r="D63" s="12"/>
      <c r="E63" s="12"/>
      <c r="F63" s="12"/>
      <c r="G63" s="12"/>
      <c r="H63" s="12"/>
    </row>
    <row r="64" spans="1:8" ht="14.5" x14ac:dyDescent="0.35">
      <c r="A64" s="23"/>
      <c r="B64" s="29"/>
      <c r="C64" s="12"/>
      <c r="D64" s="12"/>
      <c r="E64" s="12"/>
      <c r="F64" s="12"/>
      <c r="G64" s="12"/>
      <c r="H64" s="12"/>
    </row>
    <row r="65" spans="1:8" ht="14.5" x14ac:dyDescent="0.35">
      <c r="A65" s="23"/>
      <c r="B65" s="29"/>
      <c r="C65" s="12"/>
      <c r="D65" s="12"/>
      <c r="E65" s="12"/>
      <c r="F65" s="12"/>
      <c r="G65" s="12"/>
      <c r="H65" s="12"/>
    </row>
    <row r="66" spans="1:8" ht="14.5" x14ac:dyDescent="0.35">
      <c r="A66" s="23"/>
      <c r="B66" s="29"/>
      <c r="C66" s="12"/>
      <c r="D66" s="12"/>
      <c r="E66" s="12"/>
      <c r="F66" s="12"/>
      <c r="G66" s="12"/>
      <c r="H66" s="12"/>
    </row>
    <row r="67" spans="1:8" ht="14.5" x14ac:dyDescent="0.35">
      <c r="A67" s="23"/>
      <c r="B67" s="29"/>
      <c r="C67" s="12"/>
      <c r="D67" s="12"/>
      <c r="E67" s="12"/>
      <c r="F67" s="12"/>
      <c r="G67" s="12"/>
      <c r="H67" s="12"/>
    </row>
    <row r="68" spans="1:8" ht="14.5" x14ac:dyDescent="0.35">
      <c r="A68" s="23"/>
      <c r="B68" s="29"/>
      <c r="C68" s="12"/>
      <c r="D68" s="12"/>
      <c r="E68" s="12"/>
      <c r="F68" s="12"/>
      <c r="G68" s="12"/>
      <c r="H68" s="12"/>
    </row>
    <row r="69" spans="1:8" ht="14.5" x14ac:dyDescent="0.35">
      <c r="A69" s="23"/>
      <c r="B69" s="29"/>
      <c r="C69" s="12"/>
      <c r="D69" s="12"/>
      <c r="E69" s="12"/>
      <c r="F69" s="12"/>
      <c r="G69" s="12"/>
      <c r="H69" s="12"/>
    </row>
    <row r="70" spans="1:8" ht="14.5" x14ac:dyDescent="0.35">
      <c r="A70" s="23"/>
      <c r="B70" s="29"/>
      <c r="C70" s="12"/>
      <c r="D70" s="12"/>
      <c r="E70" s="12"/>
      <c r="F70" s="12"/>
      <c r="G70" s="12"/>
      <c r="H70" s="12"/>
    </row>
    <row r="71" spans="1:8" ht="14.5" x14ac:dyDescent="0.35">
      <c r="A71" s="23"/>
      <c r="B71" s="29"/>
      <c r="C71" s="12"/>
      <c r="D71" s="12"/>
      <c r="E71" s="12"/>
      <c r="F71" s="12"/>
      <c r="G71" s="12"/>
      <c r="H71" s="12"/>
    </row>
    <row r="72" spans="1:8" ht="14.5" x14ac:dyDescent="0.35">
      <c r="A72" s="23"/>
      <c r="B72" s="29"/>
      <c r="C72" s="12"/>
      <c r="D72" s="12"/>
      <c r="E72" s="12"/>
      <c r="F72" s="12"/>
      <c r="G72" s="12"/>
      <c r="H72" s="12"/>
    </row>
    <row r="73" spans="1:8" ht="14.5" x14ac:dyDescent="0.35">
      <c r="A73" s="23"/>
      <c r="B73" s="29"/>
      <c r="C73" s="12"/>
      <c r="D73" s="12"/>
      <c r="E73" s="12"/>
      <c r="F73" s="12"/>
      <c r="G73" s="12"/>
      <c r="H73" s="12"/>
    </row>
    <row r="74" spans="1:8" ht="14.5" x14ac:dyDescent="0.35">
      <c r="A74" s="23"/>
      <c r="B74" s="29"/>
      <c r="C74" s="12"/>
      <c r="D74" s="12"/>
      <c r="E74" s="12"/>
      <c r="F74" s="12"/>
      <c r="G74" s="12"/>
      <c r="H74" s="12"/>
    </row>
    <row r="75" spans="1:8" ht="14.5" x14ac:dyDescent="0.35">
      <c r="A75" s="23"/>
      <c r="B75" s="29"/>
      <c r="C75" s="12"/>
      <c r="D75" s="12"/>
      <c r="E75" s="12"/>
      <c r="F75" s="12"/>
      <c r="G75" s="12"/>
      <c r="H75" s="12"/>
    </row>
    <row r="76" spans="1:8" ht="14.5" x14ac:dyDescent="0.35">
      <c r="A76" s="23"/>
      <c r="B76" s="29"/>
      <c r="C76" s="12"/>
      <c r="D76" s="12"/>
      <c r="E76" s="12"/>
      <c r="F76" s="12"/>
      <c r="G76" s="12"/>
      <c r="H76" s="12"/>
    </row>
    <row r="77" spans="1:8" ht="14.5" x14ac:dyDescent="0.35">
      <c r="A77" s="23"/>
      <c r="B77" s="29"/>
      <c r="C77" s="12"/>
      <c r="D77" s="12"/>
      <c r="E77" s="12"/>
      <c r="F77" s="12"/>
      <c r="G77" s="12"/>
      <c r="H77" s="12"/>
    </row>
    <row r="78" spans="1:8" ht="14.5" x14ac:dyDescent="0.35">
      <c r="A78" s="23"/>
      <c r="B78" s="29"/>
      <c r="C78" s="12"/>
      <c r="D78" s="12"/>
      <c r="E78" s="12"/>
      <c r="F78" s="12"/>
      <c r="G78" s="12"/>
      <c r="H78" s="12"/>
    </row>
    <row r="79" spans="1:8" ht="14.5" x14ac:dyDescent="0.35">
      <c r="A79" s="23"/>
      <c r="B79" s="29"/>
      <c r="C79" s="12"/>
      <c r="D79" s="12"/>
      <c r="E79" s="12"/>
      <c r="F79" s="12"/>
      <c r="G79" s="12"/>
      <c r="H79" s="12"/>
    </row>
    <row r="80" spans="1:8" ht="14.5" x14ac:dyDescent="0.35">
      <c r="A80" s="23"/>
      <c r="B80" s="29"/>
      <c r="C80" s="12"/>
      <c r="D80" s="12"/>
      <c r="E80" s="12"/>
      <c r="F80" s="12"/>
      <c r="G80" s="12"/>
      <c r="H80" s="12"/>
    </row>
    <row r="81" spans="1:8" ht="14.5" x14ac:dyDescent="0.35">
      <c r="A81" s="23"/>
      <c r="B81" s="29"/>
      <c r="C81" s="12"/>
      <c r="D81" s="12"/>
      <c r="E81" s="12"/>
      <c r="F81" s="12"/>
      <c r="G81" s="12"/>
      <c r="H81" s="12"/>
    </row>
    <row r="82" spans="1:8" ht="14.5" x14ac:dyDescent="0.35">
      <c r="A82" s="23"/>
      <c r="B82" s="29"/>
      <c r="C82" s="12"/>
      <c r="D82" s="12"/>
      <c r="E82" s="12"/>
      <c r="F82" s="12"/>
      <c r="G82" s="12"/>
      <c r="H82" s="12"/>
    </row>
    <row r="83" spans="1:8" ht="14.5" x14ac:dyDescent="0.35">
      <c r="A83" s="23"/>
      <c r="B83" s="29"/>
      <c r="C83" s="12"/>
      <c r="D83" s="12"/>
      <c r="E83" s="12"/>
      <c r="F83" s="12"/>
      <c r="G83" s="12"/>
      <c r="H83" s="12"/>
    </row>
    <row r="84" spans="1:8" ht="14.5" x14ac:dyDescent="0.35">
      <c r="A84" s="23"/>
      <c r="B84" s="29"/>
      <c r="C84" s="12"/>
      <c r="D84" s="12"/>
      <c r="E84" s="12"/>
      <c r="F84" s="12"/>
      <c r="G84" s="12"/>
      <c r="H84" s="12"/>
    </row>
    <row r="85" spans="1:8" ht="14.5" x14ac:dyDescent="0.35">
      <c r="A85" s="23"/>
      <c r="B85" s="29"/>
      <c r="C85" s="12"/>
      <c r="D85" s="12"/>
      <c r="E85" s="12"/>
      <c r="F85" s="12"/>
      <c r="G85" s="12"/>
      <c r="H85" s="12"/>
    </row>
    <row r="86" spans="1:8" ht="14.5" x14ac:dyDescent="0.35">
      <c r="A86" s="23"/>
      <c r="B86" s="29"/>
      <c r="C86" s="12"/>
      <c r="D86" s="12"/>
      <c r="E86" s="12"/>
      <c r="F86" s="12"/>
      <c r="G86" s="12"/>
      <c r="H86" s="12"/>
    </row>
    <row r="87" spans="1:8" ht="14.5" x14ac:dyDescent="0.35">
      <c r="A87" s="23"/>
      <c r="B87" s="29"/>
      <c r="C87" s="12"/>
      <c r="D87" s="12"/>
      <c r="E87" s="12"/>
      <c r="F87" s="12"/>
      <c r="G87" s="12"/>
      <c r="H87" s="12"/>
    </row>
    <row r="88" spans="1:8" ht="14.5" x14ac:dyDescent="0.35">
      <c r="A88" s="23"/>
      <c r="B88" s="12"/>
      <c r="C88" s="12"/>
      <c r="D88" s="12"/>
      <c r="E88" s="12"/>
      <c r="F88" s="12"/>
      <c r="G88" s="12"/>
      <c r="H88" s="12"/>
    </row>
    <row r="89" spans="1:8" ht="14.5" x14ac:dyDescent="0.35">
      <c r="A89" s="23"/>
      <c r="B89" s="12"/>
      <c r="C89" s="12"/>
      <c r="D89" s="12"/>
      <c r="E89" s="12"/>
      <c r="F89" s="12"/>
      <c r="G89" s="12"/>
      <c r="H89" s="12"/>
    </row>
    <row r="90" spans="1:8" ht="14.5" x14ac:dyDescent="0.35">
      <c r="A90" s="23"/>
      <c r="B90" s="12"/>
      <c r="C90" s="12"/>
      <c r="D90" s="12"/>
      <c r="E90" s="12"/>
      <c r="F90" s="12"/>
      <c r="G90" s="12"/>
      <c r="H90" s="12"/>
    </row>
    <row r="91" spans="1:8" ht="14.5" x14ac:dyDescent="0.35">
      <c r="A91" s="23"/>
      <c r="B91" s="12"/>
      <c r="C91" s="12"/>
      <c r="D91" s="12"/>
      <c r="E91" s="12"/>
      <c r="F91" s="12"/>
      <c r="G91" s="12"/>
      <c r="H91" s="12"/>
    </row>
    <row r="92" spans="1:8" x14ac:dyDescent="0.35">
      <c r="A92" s="23"/>
      <c r="E92" s="12"/>
      <c r="F92" s="12"/>
      <c r="G92" s="12"/>
    </row>
    <row r="93" spans="1:8" x14ac:dyDescent="0.35">
      <c r="A93" s="23"/>
    </row>
    <row r="94" spans="1:8" x14ac:dyDescent="0.35">
      <c r="A94" s="23"/>
    </row>
    <row r="95" spans="1:8" x14ac:dyDescent="0.35">
      <c r="A95" s="23"/>
    </row>
    <row r="96" spans="1:8" x14ac:dyDescent="0.35">
      <c r="A96" s="23"/>
    </row>
    <row r="97" spans="1:1" x14ac:dyDescent="0.35">
      <c r="A97" s="23"/>
    </row>
    <row r="98" spans="1:1" x14ac:dyDescent="0.35">
      <c r="A98" s="23"/>
    </row>
    <row r="99" spans="1:1" x14ac:dyDescent="0.35">
      <c r="A99" s="23"/>
    </row>
    <row r="100" spans="1:1" x14ac:dyDescent="0.35">
      <c r="A100" s="23"/>
    </row>
    <row r="101" spans="1:1" x14ac:dyDescent="0.35">
      <c r="A101" s="23"/>
    </row>
    <row r="102" spans="1:1" x14ac:dyDescent="0.35">
      <c r="A102" s="23"/>
    </row>
    <row r="103" spans="1:1" x14ac:dyDescent="0.35">
      <c r="A103" s="23"/>
    </row>
    <row r="104" spans="1:1" x14ac:dyDescent="0.35">
      <c r="A104" s="23"/>
    </row>
    <row r="105" spans="1:1" x14ac:dyDescent="0.35">
      <c r="A105" s="23"/>
    </row>
    <row r="106" spans="1:1" x14ac:dyDescent="0.35">
      <c r="A106" s="23"/>
    </row>
    <row r="107" spans="1:1" x14ac:dyDescent="0.35">
      <c r="A107" s="23"/>
    </row>
    <row r="108" spans="1:1" x14ac:dyDescent="0.35">
      <c r="A108" s="23"/>
    </row>
    <row r="109" spans="1:1" x14ac:dyDescent="0.35">
      <c r="A109" s="23"/>
    </row>
    <row r="110" spans="1:1" x14ac:dyDescent="0.35">
      <c r="A110" s="23"/>
    </row>
    <row r="111" spans="1:1" x14ac:dyDescent="0.35">
      <c r="A111" s="23"/>
    </row>
    <row r="112" spans="1:1" x14ac:dyDescent="0.35">
      <c r="A112" s="23"/>
    </row>
    <row r="113" spans="1:1" x14ac:dyDescent="0.35">
      <c r="A113" s="23"/>
    </row>
    <row r="114" spans="1:1" x14ac:dyDescent="0.35">
      <c r="A114" s="23"/>
    </row>
    <row r="115" spans="1:1" x14ac:dyDescent="0.35">
      <c r="A115" s="23"/>
    </row>
    <row r="116" spans="1:1" x14ac:dyDescent="0.35">
      <c r="A116" s="23"/>
    </row>
    <row r="117" spans="1:1" x14ac:dyDescent="0.35">
      <c r="A117" s="23"/>
    </row>
    <row r="118" spans="1:1" x14ac:dyDescent="0.35">
      <c r="A118" s="23"/>
    </row>
    <row r="119" spans="1:1" x14ac:dyDescent="0.35">
      <c r="A119" s="23"/>
    </row>
    <row r="120" spans="1:1" x14ac:dyDescent="0.35">
      <c r="A120" s="23"/>
    </row>
    <row r="121" spans="1:1" x14ac:dyDescent="0.35">
      <c r="A121" s="23"/>
    </row>
    <row r="122" spans="1:1" x14ac:dyDescent="0.35">
      <c r="A122" s="23"/>
    </row>
    <row r="123" spans="1:1" x14ac:dyDescent="0.35">
      <c r="A123" s="23"/>
    </row>
    <row r="124" spans="1:1" x14ac:dyDescent="0.35">
      <c r="A124" s="23"/>
    </row>
    <row r="125" spans="1:1" x14ac:dyDescent="0.35">
      <c r="A125" s="23"/>
    </row>
    <row r="126" spans="1:1" x14ac:dyDescent="0.35">
      <c r="A126" s="23"/>
    </row>
    <row r="127" spans="1:1" x14ac:dyDescent="0.35">
      <c r="A127" s="23"/>
    </row>
    <row r="128" spans="1:1" x14ac:dyDescent="0.35">
      <c r="A128" s="23"/>
    </row>
    <row r="129" spans="1:8" x14ac:dyDescent="0.35">
      <c r="A129" s="23"/>
    </row>
    <row r="130" spans="1:8" x14ac:dyDescent="0.35">
      <c r="A130" s="23"/>
    </row>
    <row r="131" spans="1:8" x14ac:dyDescent="0.35">
      <c r="A131" s="23"/>
    </row>
    <row r="132" spans="1:8" x14ac:dyDescent="0.35">
      <c r="A132" s="23"/>
    </row>
    <row r="133" spans="1:8" x14ac:dyDescent="0.35">
      <c r="A133" s="23"/>
    </row>
    <row r="134" spans="1:8" x14ac:dyDescent="0.35">
      <c r="A134" s="23"/>
    </row>
    <row r="135" spans="1:8" x14ac:dyDescent="0.35">
      <c r="A135" s="23"/>
    </row>
    <row r="136" spans="1:8" x14ac:dyDescent="0.35">
      <c r="A136" s="23"/>
    </row>
    <row r="137" spans="1:8" x14ac:dyDescent="0.35">
      <c r="A137" s="23"/>
    </row>
    <row r="138" spans="1:8" x14ac:dyDescent="0.35">
      <c r="A138" s="23"/>
    </row>
    <row r="139" spans="1:8" x14ac:dyDescent="0.35">
      <c r="A139" s="23"/>
      <c r="C139" s="31"/>
      <c r="D139" s="31"/>
      <c r="H139" s="31"/>
    </row>
    <row r="140" spans="1:8" ht="14.5" x14ac:dyDescent="0.35">
      <c r="A140" s="23"/>
      <c r="B140" s="32"/>
      <c r="C140" s="31"/>
      <c r="D140" s="31"/>
      <c r="E140" s="31"/>
      <c r="F140" s="31"/>
      <c r="G140" s="31"/>
      <c r="H140" s="31"/>
    </row>
    <row r="141" spans="1:8" ht="14.5" x14ac:dyDescent="0.35">
      <c r="A141" s="23"/>
      <c r="B141" s="32"/>
      <c r="C141" s="31"/>
      <c r="D141" s="31"/>
      <c r="E141" s="31"/>
      <c r="F141" s="31"/>
      <c r="G141" s="31"/>
      <c r="H141" s="31"/>
    </row>
    <row r="142" spans="1:8" ht="14.5" x14ac:dyDescent="0.35">
      <c r="A142" s="23"/>
      <c r="B142" s="32"/>
      <c r="C142" s="31"/>
      <c r="D142" s="31"/>
      <c r="E142" s="31"/>
      <c r="F142" s="31"/>
      <c r="G142" s="31"/>
      <c r="H142" s="31"/>
    </row>
    <row r="143" spans="1:8" ht="14.5" x14ac:dyDescent="0.35">
      <c r="A143" s="23"/>
      <c r="B143" s="32"/>
      <c r="C143" s="31"/>
      <c r="D143" s="31"/>
      <c r="E143" s="31"/>
      <c r="F143" s="31"/>
      <c r="G143" s="31"/>
      <c r="H143" s="31"/>
    </row>
    <row r="144" spans="1:8" ht="14.5" x14ac:dyDescent="0.35">
      <c r="A144" s="23"/>
      <c r="B144" s="32"/>
      <c r="C144" s="31"/>
      <c r="D144" s="31"/>
      <c r="E144" s="31"/>
      <c r="F144" s="31"/>
      <c r="G144" s="31"/>
      <c r="H144" s="31"/>
    </row>
    <row r="145" spans="1:8" ht="14.5" x14ac:dyDescent="0.35">
      <c r="A145" s="23"/>
      <c r="B145" s="32"/>
      <c r="C145" s="31"/>
      <c r="D145" s="31"/>
      <c r="E145" s="31"/>
      <c r="F145" s="31"/>
      <c r="G145" s="31"/>
      <c r="H145" s="31"/>
    </row>
    <row r="146" spans="1:8" ht="14.5" x14ac:dyDescent="0.35">
      <c r="A146" s="23"/>
      <c r="B146" s="32"/>
      <c r="C146" s="31"/>
      <c r="D146" s="31"/>
      <c r="E146" s="31"/>
      <c r="F146" s="31"/>
      <c r="G146" s="31"/>
      <c r="H146" s="31"/>
    </row>
    <row r="147" spans="1:8" ht="14.5" x14ac:dyDescent="0.35">
      <c r="A147" s="23"/>
      <c r="B147" s="32"/>
      <c r="C147" s="31"/>
      <c r="D147" s="31"/>
      <c r="E147" s="31"/>
      <c r="F147" s="31"/>
      <c r="G147" s="31"/>
      <c r="H147" s="31"/>
    </row>
    <row r="148" spans="1:8" ht="14.5" x14ac:dyDescent="0.35">
      <c r="A148" s="23"/>
      <c r="B148" s="32"/>
      <c r="C148" s="31"/>
      <c r="D148" s="31"/>
      <c r="E148" s="31"/>
      <c r="F148" s="31"/>
      <c r="G148" s="31"/>
      <c r="H148" s="31"/>
    </row>
    <row r="149" spans="1:8" ht="14.5" x14ac:dyDescent="0.35">
      <c r="A149" s="23"/>
      <c r="B149" s="32"/>
      <c r="C149" s="31"/>
      <c r="D149" s="31"/>
      <c r="E149" s="31"/>
      <c r="F149" s="31"/>
      <c r="G149" s="31"/>
      <c r="H149" s="31"/>
    </row>
    <row r="150" spans="1:8" ht="14.5" x14ac:dyDescent="0.35">
      <c r="A150" s="23"/>
      <c r="B150" s="32"/>
      <c r="C150" s="31"/>
      <c r="D150" s="31"/>
      <c r="E150" s="31"/>
      <c r="F150" s="31"/>
      <c r="G150" s="31"/>
      <c r="H150" s="31"/>
    </row>
    <row r="151" spans="1:8" ht="14.5" x14ac:dyDescent="0.35">
      <c r="A151" s="23"/>
      <c r="B151" s="32"/>
      <c r="C151" s="31"/>
      <c r="D151" s="31"/>
      <c r="E151" s="31"/>
      <c r="F151" s="31"/>
      <c r="G151" s="31"/>
      <c r="H151" s="31"/>
    </row>
    <row r="152" spans="1:8" ht="14.5" x14ac:dyDescent="0.35">
      <c r="A152" s="23"/>
      <c r="B152" s="32"/>
      <c r="C152" s="31"/>
      <c r="D152" s="31"/>
      <c r="E152" s="31"/>
      <c r="F152" s="31"/>
      <c r="G152" s="31"/>
      <c r="H152" s="31"/>
    </row>
    <row r="153" spans="1:8" ht="14.5" x14ac:dyDescent="0.35">
      <c r="A153" s="23"/>
      <c r="B153" s="32"/>
      <c r="C153" s="31"/>
      <c r="D153" s="31"/>
      <c r="E153" s="31"/>
      <c r="F153" s="31"/>
      <c r="G153" s="31"/>
      <c r="H153" s="31"/>
    </row>
    <row r="154" spans="1:8" ht="14.5" x14ac:dyDescent="0.35">
      <c r="A154" s="23"/>
      <c r="B154" s="32"/>
      <c r="C154" s="31"/>
      <c r="D154" s="31"/>
      <c r="E154" s="31"/>
      <c r="F154" s="31"/>
      <c r="G154" s="31"/>
      <c r="H154" s="31"/>
    </row>
    <row r="155" spans="1:8" ht="14.5" x14ac:dyDescent="0.35">
      <c r="A155" s="23"/>
      <c r="B155" s="32"/>
      <c r="C155" s="31"/>
      <c r="D155" s="31"/>
      <c r="E155" s="31"/>
      <c r="F155" s="31"/>
      <c r="G155" s="31"/>
      <c r="H155" s="31"/>
    </row>
    <row r="156" spans="1:8" ht="14.5" x14ac:dyDescent="0.35">
      <c r="A156" s="23"/>
      <c r="B156" s="32"/>
      <c r="C156" s="31"/>
      <c r="D156" s="31"/>
      <c r="E156" s="31"/>
      <c r="F156" s="31"/>
      <c r="G156" s="31"/>
      <c r="H156" s="31"/>
    </row>
    <row r="157" spans="1:8" ht="14.5" x14ac:dyDescent="0.35">
      <c r="A157" s="23"/>
      <c r="B157" s="32"/>
      <c r="C157" s="31"/>
      <c r="D157" s="31"/>
      <c r="E157" s="31"/>
      <c r="F157" s="31"/>
      <c r="G157" s="31"/>
      <c r="H157" s="31"/>
    </row>
    <row r="158" spans="1:8" ht="14.5" x14ac:dyDescent="0.35">
      <c r="A158" s="23"/>
      <c r="B158" s="32"/>
      <c r="C158" s="31"/>
      <c r="D158" s="31"/>
      <c r="E158" s="31"/>
      <c r="F158" s="31"/>
      <c r="G158" s="31"/>
      <c r="H158" s="31"/>
    </row>
    <row r="159" spans="1:8" ht="14.5" x14ac:dyDescent="0.35">
      <c r="A159" s="23"/>
      <c r="B159" s="32"/>
      <c r="C159" s="31"/>
      <c r="D159" s="31"/>
      <c r="E159" s="31"/>
      <c r="F159" s="31"/>
      <c r="G159" s="31"/>
      <c r="H159" s="31"/>
    </row>
    <row r="160" spans="1:8" ht="14.5" x14ac:dyDescent="0.35">
      <c r="A160" s="23"/>
      <c r="B160" s="32"/>
      <c r="C160" s="31"/>
      <c r="D160" s="31"/>
      <c r="E160" s="31"/>
      <c r="F160" s="31"/>
      <c r="G160" s="31"/>
      <c r="H160" s="31"/>
    </row>
    <row r="161" spans="1:8" ht="14.5" x14ac:dyDescent="0.35">
      <c r="A161" s="23"/>
      <c r="B161" s="32"/>
      <c r="C161" s="31"/>
      <c r="D161" s="31"/>
      <c r="E161" s="31"/>
      <c r="F161" s="31"/>
      <c r="G161" s="31"/>
      <c r="H161" s="31"/>
    </row>
    <row r="162" spans="1:8" ht="14.5" x14ac:dyDescent="0.35">
      <c r="A162" s="23"/>
      <c r="B162" s="32"/>
      <c r="C162" s="31"/>
      <c r="D162" s="31"/>
      <c r="E162" s="31"/>
      <c r="F162" s="31"/>
      <c r="G162" s="31"/>
      <c r="H162" s="31"/>
    </row>
    <row r="163" spans="1:8" ht="14.5" x14ac:dyDescent="0.35">
      <c r="A163" s="23"/>
      <c r="B163" s="32"/>
      <c r="C163" s="31"/>
      <c r="D163" s="31"/>
      <c r="E163" s="31"/>
      <c r="F163" s="31"/>
      <c r="G163" s="31"/>
      <c r="H163" s="31"/>
    </row>
    <row r="164" spans="1:8" ht="14.5" x14ac:dyDescent="0.35">
      <c r="A164" s="23"/>
      <c r="B164" s="32"/>
      <c r="C164" s="31"/>
      <c r="D164" s="31"/>
      <c r="E164" s="31"/>
      <c r="F164" s="31"/>
      <c r="G164" s="31"/>
      <c r="H164" s="31"/>
    </row>
    <row r="165" spans="1:8" ht="14.5" x14ac:dyDescent="0.35">
      <c r="A165" s="23"/>
      <c r="B165" s="32"/>
      <c r="C165" s="31"/>
      <c r="D165" s="31"/>
      <c r="E165" s="31"/>
      <c r="F165" s="31"/>
      <c r="G165" s="31"/>
      <c r="H165" s="31"/>
    </row>
    <row r="166" spans="1:8" ht="14.5" x14ac:dyDescent="0.35">
      <c r="A166" s="23"/>
      <c r="B166" s="32"/>
      <c r="C166" s="31"/>
      <c r="D166" s="31"/>
      <c r="E166" s="31"/>
      <c r="F166" s="31"/>
      <c r="G166" s="31"/>
      <c r="H166" s="31"/>
    </row>
    <row r="167" spans="1:8" ht="14.5" x14ac:dyDescent="0.35">
      <c r="A167" s="23"/>
      <c r="B167" s="32"/>
      <c r="C167" s="31"/>
      <c r="D167" s="31"/>
      <c r="E167" s="31"/>
      <c r="F167" s="31"/>
      <c r="G167" s="31"/>
      <c r="H167" s="31"/>
    </row>
    <row r="168" spans="1:8" ht="14.5" x14ac:dyDescent="0.35">
      <c r="A168" s="23"/>
      <c r="B168" s="32"/>
      <c r="C168" s="31"/>
      <c r="D168" s="31"/>
      <c r="E168" s="31"/>
      <c r="F168" s="31"/>
      <c r="G168" s="31"/>
      <c r="H168" s="31"/>
    </row>
    <row r="169" spans="1:8" ht="14.5" x14ac:dyDescent="0.35">
      <c r="A169" s="23"/>
      <c r="B169" s="32"/>
      <c r="C169" s="31"/>
      <c r="D169" s="31"/>
      <c r="E169" s="31"/>
      <c r="F169" s="31"/>
      <c r="G169" s="31"/>
      <c r="H169" s="31"/>
    </row>
    <row r="170" spans="1:8" ht="14.5" x14ac:dyDescent="0.35">
      <c r="A170" s="23"/>
      <c r="B170" s="32"/>
      <c r="C170" s="31"/>
      <c r="D170" s="31"/>
      <c r="E170" s="31"/>
      <c r="F170" s="31"/>
      <c r="G170" s="31"/>
      <c r="H170" s="31"/>
    </row>
    <row r="171" spans="1:8" ht="14.5" x14ac:dyDescent="0.35">
      <c r="A171" s="23"/>
      <c r="B171" s="32"/>
      <c r="C171" s="31"/>
      <c r="D171" s="31"/>
      <c r="E171" s="31"/>
      <c r="F171" s="31"/>
      <c r="G171" s="31"/>
      <c r="H171" s="31"/>
    </row>
    <row r="172" spans="1:8" ht="14.5" x14ac:dyDescent="0.35">
      <c r="A172" s="23"/>
      <c r="B172" s="32"/>
      <c r="C172" s="31"/>
      <c r="D172" s="31"/>
      <c r="E172" s="31"/>
      <c r="F172" s="31"/>
      <c r="G172" s="31"/>
      <c r="H172" s="31"/>
    </row>
    <row r="173" spans="1:8" ht="14.5" x14ac:dyDescent="0.35">
      <c r="A173" s="23"/>
      <c r="B173" s="32"/>
      <c r="C173" s="31"/>
      <c r="D173" s="31"/>
      <c r="E173" s="31"/>
      <c r="F173" s="31"/>
      <c r="G173" s="31"/>
      <c r="H173" s="31"/>
    </row>
    <row r="174" spans="1:8" ht="14.5" x14ac:dyDescent="0.35">
      <c r="A174" s="23"/>
      <c r="B174" s="32"/>
      <c r="C174" s="31"/>
      <c r="D174" s="31"/>
      <c r="E174" s="31"/>
      <c r="F174" s="31"/>
      <c r="G174" s="31"/>
      <c r="H174" s="31"/>
    </row>
    <row r="175" spans="1:8" ht="14.5" x14ac:dyDescent="0.35">
      <c r="A175" s="23"/>
      <c r="B175" s="32"/>
      <c r="C175" s="31"/>
      <c r="D175" s="31"/>
      <c r="E175" s="31"/>
      <c r="F175" s="31"/>
      <c r="G175" s="31"/>
      <c r="H175" s="31"/>
    </row>
    <row r="176" spans="1:8" ht="14.5" x14ac:dyDescent="0.35">
      <c r="A176" s="23"/>
      <c r="B176" s="32"/>
      <c r="C176" s="31"/>
      <c r="D176" s="31"/>
      <c r="E176" s="31"/>
      <c r="F176" s="31"/>
      <c r="G176" s="31"/>
      <c r="H176" s="31"/>
    </row>
    <row r="177" spans="1:8" ht="14.5" x14ac:dyDescent="0.35">
      <c r="A177" s="23"/>
      <c r="B177" s="32"/>
      <c r="C177" s="31"/>
      <c r="D177" s="31"/>
      <c r="E177" s="31"/>
      <c r="F177" s="31"/>
      <c r="G177" s="31"/>
      <c r="H177" s="31"/>
    </row>
    <row r="178" spans="1:8" ht="14.5" x14ac:dyDescent="0.35">
      <c r="A178" s="23"/>
      <c r="B178" s="32"/>
      <c r="C178" s="31"/>
      <c r="D178" s="31"/>
      <c r="E178" s="31"/>
      <c r="F178" s="31"/>
      <c r="G178" s="31"/>
      <c r="H178" s="31"/>
    </row>
    <row r="179" spans="1:8" ht="14.5" x14ac:dyDescent="0.35">
      <c r="A179" s="23"/>
      <c r="B179" s="32"/>
      <c r="C179" s="31"/>
      <c r="D179" s="31"/>
      <c r="E179" s="31"/>
      <c r="F179" s="31"/>
      <c r="G179" s="31"/>
      <c r="H179" s="31"/>
    </row>
    <row r="180" spans="1:8" ht="14.5" x14ac:dyDescent="0.35">
      <c r="A180" s="23"/>
      <c r="B180" s="32"/>
      <c r="C180" s="31"/>
      <c r="D180" s="31"/>
      <c r="E180" s="31"/>
      <c r="F180" s="31"/>
      <c r="G180" s="31"/>
      <c r="H180" s="31"/>
    </row>
    <row r="181" spans="1:8" ht="14.5" x14ac:dyDescent="0.35">
      <c r="A181" s="23"/>
      <c r="B181" s="32"/>
      <c r="C181" s="31"/>
      <c r="D181" s="31"/>
      <c r="E181" s="31"/>
      <c r="F181" s="31"/>
      <c r="G181" s="31"/>
      <c r="H181" s="31"/>
    </row>
    <row r="182" spans="1:8" ht="14.5" x14ac:dyDescent="0.35">
      <c r="A182" s="23"/>
      <c r="B182" s="32"/>
      <c r="C182" s="31"/>
      <c r="D182" s="31"/>
      <c r="E182" s="31"/>
      <c r="F182" s="31"/>
      <c r="G182" s="31"/>
      <c r="H182" s="31"/>
    </row>
    <row r="183" spans="1:8" ht="14.5" x14ac:dyDescent="0.35">
      <c r="A183" s="23"/>
      <c r="B183" s="32"/>
      <c r="C183" s="31"/>
      <c r="D183" s="31"/>
      <c r="E183" s="31"/>
      <c r="F183" s="31"/>
      <c r="G183" s="31"/>
      <c r="H183" s="31"/>
    </row>
    <row r="184" spans="1:8" ht="14.5" x14ac:dyDescent="0.35">
      <c r="A184" s="23"/>
      <c r="B184" s="32"/>
      <c r="C184" s="31"/>
      <c r="D184" s="31"/>
      <c r="E184" s="31"/>
      <c r="F184" s="31"/>
      <c r="G184" s="31"/>
      <c r="H184" s="31"/>
    </row>
    <row r="185" spans="1:8" ht="14.5" x14ac:dyDescent="0.35">
      <c r="A185" s="23"/>
      <c r="B185" s="32"/>
      <c r="C185" s="31"/>
      <c r="D185" s="31"/>
      <c r="E185" s="31"/>
      <c r="F185" s="31"/>
      <c r="G185" s="31"/>
      <c r="H185" s="31"/>
    </row>
    <row r="186" spans="1:8" ht="14.5" x14ac:dyDescent="0.35">
      <c r="A186" s="23"/>
      <c r="B186" s="32"/>
      <c r="C186" s="31"/>
      <c r="D186" s="31"/>
      <c r="E186" s="31"/>
      <c r="F186" s="31"/>
      <c r="G186" s="31"/>
      <c r="H186" s="31"/>
    </row>
    <row r="187" spans="1:8" ht="14.5" x14ac:dyDescent="0.35">
      <c r="A187" s="23"/>
      <c r="B187" s="32"/>
      <c r="C187" s="31"/>
      <c r="D187" s="31"/>
      <c r="E187" s="31"/>
      <c r="F187" s="31"/>
      <c r="G187" s="31"/>
      <c r="H187" s="31"/>
    </row>
    <row r="188" spans="1:8" ht="14.5" x14ac:dyDescent="0.35">
      <c r="A188" s="23"/>
      <c r="B188" s="32"/>
      <c r="C188" s="31"/>
      <c r="D188" s="31"/>
      <c r="E188" s="31"/>
      <c r="F188" s="31"/>
      <c r="G188" s="31"/>
      <c r="H188" s="31"/>
    </row>
    <row r="189" spans="1:8" ht="14.5" x14ac:dyDescent="0.35">
      <c r="A189" s="23"/>
      <c r="B189" s="32"/>
      <c r="C189" s="31"/>
      <c r="D189" s="31"/>
      <c r="E189" s="31"/>
      <c r="F189" s="31"/>
      <c r="G189" s="31"/>
      <c r="H189" s="31"/>
    </row>
    <row r="190" spans="1:8" ht="14.5" x14ac:dyDescent="0.35">
      <c r="A190" s="23"/>
      <c r="B190" s="32"/>
      <c r="C190" s="31"/>
      <c r="D190" s="31"/>
      <c r="E190" s="31"/>
      <c r="F190" s="31"/>
      <c r="G190" s="31"/>
      <c r="H190" s="31"/>
    </row>
    <row r="191" spans="1:8" ht="14.5" x14ac:dyDescent="0.35">
      <c r="A191" s="23"/>
      <c r="B191" s="32"/>
      <c r="C191" s="31"/>
      <c r="D191" s="31"/>
      <c r="E191" s="31"/>
      <c r="F191" s="31"/>
      <c r="G191" s="31"/>
      <c r="H191" s="31"/>
    </row>
    <row r="192" spans="1:8" ht="14.5" x14ac:dyDescent="0.35">
      <c r="A192" s="23"/>
      <c r="B192" s="32"/>
      <c r="C192" s="31"/>
      <c r="D192" s="31"/>
      <c r="E192" s="31"/>
      <c r="F192" s="31"/>
      <c r="G192" s="31"/>
      <c r="H192" s="31"/>
    </row>
    <row r="193" spans="1:8" ht="14.5" x14ac:dyDescent="0.35">
      <c r="A193" s="23"/>
      <c r="B193" s="32"/>
      <c r="C193" s="31"/>
      <c r="D193" s="31"/>
      <c r="E193" s="31"/>
      <c r="F193" s="31"/>
      <c r="G193" s="31"/>
      <c r="H193" s="31"/>
    </row>
    <row r="194" spans="1:8" ht="14.5" x14ac:dyDescent="0.35">
      <c r="A194" s="23"/>
      <c r="B194" s="32"/>
      <c r="C194" s="31"/>
      <c r="D194" s="31"/>
      <c r="E194" s="31"/>
      <c r="F194" s="31"/>
      <c r="G194" s="31"/>
      <c r="H194" s="31"/>
    </row>
    <row r="195" spans="1:8" ht="14.5" x14ac:dyDescent="0.35">
      <c r="A195" s="23"/>
      <c r="B195" s="32"/>
      <c r="C195" s="31"/>
      <c r="D195" s="31"/>
      <c r="E195" s="31"/>
      <c r="F195" s="31"/>
      <c r="G195" s="31"/>
      <c r="H195" s="31"/>
    </row>
    <row r="196" spans="1:8" ht="14.5" x14ac:dyDescent="0.35">
      <c r="A196" s="23"/>
      <c r="B196" s="32"/>
      <c r="C196" s="31"/>
      <c r="D196" s="31"/>
      <c r="E196" s="31"/>
      <c r="F196" s="31"/>
      <c r="G196" s="31"/>
      <c r="H196" s="31"/>
    </row>
    <row r="197" spans="1:8" ht="14.5" x14ac:dyDescent="0.35">
      <c r="A197" s="23"/>
      <c r="B197" s="32"/>
      <c r="C197" s="31"/>
      <c r="D197" s="31"/>
      <c r="E197" s="31"/>
      <c r="F197" s="31"/>
      <c r="G197" s="31"/>
      <c r="H197" s="31"/>
    </row>
    <row r="198" spans="1:8" ht="14.5" x14ac:dyDescent="0.35">
      <c r="A198" s="23"/>
      <c r="B198" s="32"/>
      <c r="C198" s="31"/>
      <c r="D198" s="31"/>
      <c r="E198" s="31"/>
      <c r="F198" s="31"/>
      <c r="G198" s="31"/>
      <c r="H198" s="31"/>
    </row>
    <row r="199" spans="1:8" ht="14.5" x14ac:dyDescent="0.35">
      <c r="A199" s="23"/>
      <c r="B199" s="32"/>
      <c r="C199" s="31"/>
      <c r="D199" s="31"/>
      <c r="E199" s="31"/>
      <c r="F199" s="31"/>
      <c r="G199" s="31"/>
      <c r="H199" s="31"/>
    </row>
    <row r="200" spans="1:8" ht="14.5" x14ac:dyDescent="0.35">
      <c r="A200" s="23"/>
      <c r="B200" s="32"/>
      <c r="C200" s="31"/>
      <c r="D200" s="31"/>
      <c r="E200" s="31"/>
      <c r="F200" s="31"/>
      <c r="G200" s="31"/>
      <c r="H200" s="31"/>
    </row>
    <row r="201" spans="1:8" ht="14.5" x14ac:dyDescent="0.35">
      <c r="A201" s="23"/>
      <c r="B201" s="32"/>
      <c r="C201" s="31"/>
      <c r="D201" s="31"/>
      <c r="E201" s="31"/>
      <c r="F201" s="31"/>
      <c r="G201" s="31"/>
      <c r="H201" s="31"/>
    </row>
    <row r="202" spans="1:8" ht="14.5" x14ac:dyDescent="0.35">
      <c r="A202" s="23"/>
      <c r="B202" s="32"/>
      <c r="C202" s="31"/>
      <c r="D202" s="31"/>
      <c r="E202" s="31"/>
      <c r="F202" s="31"/>
      <c r="G202" s="31"/>
      <c r="H202" s="31"/>
    </row>
    <row r="203" spans="1:8" ht="14.5" x14ac:dyDescent="0.35">
      <c r="A203" s="23"/>
      <c r="B203" s="32"/>
      <c r="C203" s="31"/>
      <c r="D203" s="31"/>
      <c r="E203" s="31"/>
      <c r="F203" s="31"/>
      <c r="G203" s="31"/>
      <c r="H203" s="31"/>
    </row>
    <row r="204" spans="1:8" ht="14.5" x14ac:dyDescent="0.35">
      <c r="A204" s="23"/>
      <c r="B204" s="32"/>
      <c r="C204" s="31"/>
      <c r="D204" s="31"/>
      <c r="E204" s="31"/>
      <c r="F204" s="31"/>
      <c r="G204" s="31"/>
      <c r="H204" s="31"/>
    </row>
    <row r="205" spans="1:8" ht="14.5" x14ac:dyDescent="0.35">
      <c r="A205" s="23"/>
      <c r="B205" s="32"/>
      <c r="C205" s="31"/>
      <c r="D205" s="31"/>
      <c r="E205" s="31"/>
      <c r="F205" s="31"/>
      <c r="G205" s="31"/>
      <c r="H205" s="31"/>
    </row>
    <row r="206" spans="1:8" ht="14.5" x14ac:dyDescent="0.35">
      <c r="A206" s="23"/>
      <c r="B206" s="32"/>
      <c r="C206" s="31"/>
      <c r="D206" s="31"/>
      <c r="E206" s="31"/>
      <c r="F206" s="31"/>
      <c r="G206" s="31"/>
      <c r="H206" s="31"/>
    </row>
    <row r="207" spans="1:8" ht="14.5" x14ac:dyDescent="0.35">
      <c r="A207" s="23"/>
      <c r="B207" s="32"/>
      <c r="C207" s="31"/>
      <c r="D207" s="31"/>
      <c r="E207" s="31"/>
      <c r="F207" s="31"/>
      <c r="G207" s="31"/>
      <c r="H207" s="31"/>
    </row>
    <row r="208" spans="1:8" ht="14.5" x14ac:dyDescent="0.35">
      <c r="A208" s="23"/>
      <c r="B208" s="32"/>
      <c r="C208" s="31"/>
      <c r="D208" s="31"/>
      <c r="E208" s="31"/>
      <c r="F208" s="31"/>
      <c r="G208" s="31"/>
      <c r="H208" s="31"/>
    </row>
    <row r="209" spans="1:8" ht="14.5" x14ac:dyDescent="0.35">
      <c r="A209" s="23"/>
      <c r="B209" s="32"/>
      <c r="C209" s="31"/>
      <c r="D209" s="31"/>
      <c r="E209" s="31"/>
      <c r="F209" s="31"/>
      <c r="G209" s="31"/>
      <c r="H209" s="31"/>
    </row>
    <row r="210" spans="1:8" ht="14.5" x14ac:dyDescent="0.35">
      <c r="A210" s="23"/>
      <c r="B210" s="32"/>
      <c r="C210" s="31"/>
      <c r="D210" s="31"/>
      <c r="E210" s="31"/>
      <c r="F210" s="31"/>
      <c r="G210" s="31"/>
      <c r="H210" s="31"/>
    </row>
    <row r="211" spans="1:8" ht="14.5" x14ac:dyDescent="0.35">
      <c r="A211" s="23"/>
      <c r="B211" s="32"/>
      <c r="C211" s="31"/>
      <c r="D211" s="31"/>
      <c r="E211" s="31"/>
      <c r="F211" s="31"/>
      <c r="G211" s="31"/>
      <c r="H211" s="31"/>
    </row>
    <row r="212" spans="1:8" ht="14.5" x14ac:dyDescent="0.35">
      <c r="A212" s="23"/>
      <c r="B212" s="32"/>
      <c r="C212" s="31"/>
      <c r="D212" s="31"/>
      <c r="E212" s="31"/>
      <c r="F212" s="31"/>
      <c r="G212" s="31"/>
      <c r="H212" s="31"/>
    </row>
    <row r="213" spans="1:8" ht="14.5" x14ac:dyDescent="0.35">
      <c r="A213" s="23"/>
      <c r="B213" s="32"/>
      <c r="C213" s="31"/>
      <c r="D213" s="31"/>
      <c r="E213" s="31"/>
      <c r="F213" s="31"/>
      <c r="G213" s="31"/>
      <c r="H213" s="31"/>
    </row>
    <row r="214" spans="1:8" ht="14.5" x14ac:dyDescent="0.35">
      <c r="A214" s="23"/>
      <c r="B214" s="32"/>
      <c r="C214" s="31"/>
      <c r="D214" s="31"/>
      <c r="E214" s="31"/>
      <c r="F214" s="31"/>
      <c r="G214" s="31"/>
      <c r="H214" s="31"/>
    </row>
    <row r="215" spans="1:8" ht="14.5" x14ac:dyDescent="0.35">
      <c r="A215" s="23"/>
      <c r="B215" s="32"/>
      <c r="C215" s="31"/>
      <c r="D215" s="31"/>
      <c r="E215" s="31"/>
      <c r="F215" s="31"/>
      <c r="G215" s="31"/>
      <c r="H215" s="31"/>
    </row>
    <row r="216" spans="1:8" ht="14.5" x14ac:dyDescent="0.35">
      <c r="A216" s="23"/>
      <c r="B216" s="32"/>
      <c r="C216" s="31"/>
      <c r="D216" s="31"/>
      <c r="E216" s="31"/>
      <c r="F216" s="31"/>
      <c r="G216" s="31"/>
      <c r="H216" s="31"/>
    </row>
    <row r="217" spans="1:8" ht="14.5" x14ac:dyDescent="0.35">
      <c r="A217" s="23"/>
      <c r="B217" s="32"/>
      <c r="C217" s="31"/>
      <c r="D217" s="31"/>
      <c r="E217" s="31"/>
      <c r="F217" s="31"/>
      <c r="G217" s="31"/>
      <c r="H217" s="31"/>
    </row>
    <row r="218" spans="1:8" ht="14.5" x14ac:dyDescent="0.35">
      <c r="A218" s="23"/>
      <c r="B218" s="32"/>
      <c r="C218" s="31"/>
      <c r="D218" s="31"/>
      <c r="E218" s="31"/>
      <c r="F218" s="31"/>
      <c r="G218" s="31"/>
      <c r="H218" s="31"/>
    </row>
    <row r="219" spans="1:8" ht="14.5" x14ac:dyDescent="0.35">
      <c r="A219" s="23"/>
      <c r="B219" s="32"/>
      <c r="C219" s="31"/>
      <c r="D219" s="31"/>
      <c r="E219" s="31"/>
      <c r="F219" s="31"/>
      <c r="G219" s="31"/>
      <c r="H219" s="31"/>
    </row>
    <row r="220" spans="1:8" ht="14.5" x14ac:dyDescent="0.35">
      <c r="A220" s="23"/>
      <c r="B220" s="32"/>
      <c r="C220" s="31"/>
      <c r="D220" s="31"/>
      <c r="E220" s="31"/>
      <c r="F220" s="31"/>
      <c r="G220" s="31"/>
      <c r="H220" s="31"/>
    </row>
    <row r="221" spans="1:8" ht="14.5" x14ac:dyDescent="0.35">
      <c r="A221" s="23"/>
      <c r="B221" s="32"/>
      <c r="C221" s="31"/>
      <c r="D221" s="31"/>
      <c r="E221" s="31"/>
      <c r="F221" s="31"/>
      <c r="G221" s="31"/>
      <c r="H221" s="31"/>
    </row>
    <row r="222" spans="1:8" ht="14.5" x14ac:dyDescent="0.35">
      <c r="A222" s="23"/>
      <c r="B222" s="32"/>
      <c r="C222" s="31"/>
      <c r="D222" s="31"/>
      <c r="E222" s="31"/>
      <c r="F222" s="31"/>
      <c r="G222" s="31"/>
      <c r="H222" s="31"/>
    </row>
    <row r="223" spans="1:8" ht="14.5" x14ac:dyDescent="0.35">
      <c r="A223" s="23"/>
      <c r="B223" s="32"/>
      <c r="C223" s="31"/>
      <c r="D223" s="31"/>
      <c r="E223" s="31"/>
      <c r="F223" s="31"/>
      <c r="G223" s="31"/>
      <c r="H223" s="31"/>
    </row>
    <row r="224" spans="1:8" ht="14.5" x14ac:dyDescent="0.35">
      <c r="A224" s="23"/>
      <c r="B224" s="32"/>
      <c r="C224" s="31"/>
      <c r="D224" s="31"/>
      <c r="E224" s="31"/>
      <c r="F224" s="31"/>
      <c r="G224" s="31"/>
      <c r="H224" s="31"/>
    </row>
    <row r="225" spans="1:8" ht="14.5" x14ac:dyDescent="0.35">
      <c r="A225" s="32"/>
      <c r="B225" s="32"/>
      <c r="C225" s="31"/>
      <c r="D225" s="31"/>
      <c r="E225" s="31"/>
      <c r="F225" s="31"/>
      <c r="G225" s="31"/>
      <c r="H225" s="31"/>
    </row>
    <row r="226" spans="1:8" ht="14.5" x14ac:dyDescent="0.35">
      <c r="A226" s="32"/>
      <c r="B226" s="32"/>
      <c r="C226" s="31"/>
      <c r="D226" s="31"/>
      <c r="E226" s="31"/>
      <c r="F226" s="31"/>
      <c r="G226" s="31"/>
      <c r="H226" s="31"/>
    </row>
    <row r="227" spans="1:8" ht="14.5" x14ac:dyDescent="0.35">
      <c r="A227" s="32"/>
      <c r="B227" s="32"/>
      <c r="C227" s="31"/>
      <c r="D227" s="31"/>
      <c r="E227" s="31"/>
      <c r="F227" s="31"/>
      <c r="G227" s="31"/>
      <c r="H227" s="31"/>
    </row>
    <row r="228" spans="1:8" ht="14.5" x14ac:dyDescent="0.35">
      <c r="A228" s="32"/>
      <c r="B228" s="32"/>
      <c r="C228" s="31"/>
      <c r="D228" s="31"/>
      <c r="E228" s="31"/>
      <c r="F228" s="31"/>
      <c r="G228" s="31"/>
      <c r="H228" s="31"/>
    </row>
    <row r="229" spans="1:8" ht="14.5" x14ac:dyDescent="0.35">
      <c r="A229" s="32"/>
      <c r="B229" s="32"/>
      <c r="C229" s="31"/>
      <c r="D229" s="31"/>
      <c r="E229" s="31"/>
      <c r="F229" s="31"/>
      <c r="G229" s="31"/>
      <c r="H229" s="31"/>
    </row>
    <row r="230" spans="1:8" ht="14.5" x14ac:dyDescent="0.35">
      <c r="A230" s="32"/>
      <c r="B230" s="32"/>
      <c r="C230" s="31"/>
      <c r="D230" s="31"/>
      <c r="E230" s="31"/>
      <c r="F230" s="31"/>
      <c r="G230" s="31"/>
      <c r="H230" s="31"/>
    </row>
    <row r="231" spans="1:8" ht="14.5" x14ac:dyDescent="0.35">
      <c r="A231" s="32"/>
      <c r="B231" s="32"/>
      <c r="C231" s="31"/>
      <c r="D231" s="31"/>
      <c r="E231" s="31"/>
      <c r="F231" s="31"/>
      <c r="G231" s="31"/>
      <c r="H231" s="31"/>
    </row>
    <row r="232" spans="1:8" ht="14.5" x14ac:dyDescent="0.35">
      <c r="A232" s="32"/>
      <c r="B232" s="32"/>
      <c r="C232" s="31"/>
      <c r="D232" s="31"/>
      <c r="E232" s="31"/>
      <c r="F232" s="31"/>
      <c r="G232" s="31"/>
      <c r="H232" s="31"/>
    </row>
    <row r="233" spans="1:8" ht="14.5" x14ac:dyDescent="0.35">
      <c r="A233" s="32"/>
      <c r="B233" s="32"/>
      <c r="C233" s="31"/>
      <c r="D233" s="31"/>
      <c r="E233" s="31"/>
      <c r="F233" s="31"/>
      <c r="G233" s="31"/>
      <c r="H233" s="31"/>
    </row>
    <row r="234" spans="1:8" ht="14.5" x14ac:dyDescent="0.35">
      <c r="A234" s="32"/>
      <c r="B234" s="32"/>
      <c r="C234" s="31"/>
      <c r="D234" s="31"/>
      <c r="E234" s="31"/>
      <c r="F234" s="31"/>
      <c r="G234" s="31"/>
      <c r="H234" s="31"/>
    </row>
    <row r="235" spans="1:8" x14ac:dyDescent="0.35">
      <c r="B235" s="32"/>
      <c r="E235" s="31"/>
      <c r="F235" s="31"/>
      <c r="G235" s="31"/>
    </row>
  </sheetData>
  <mergeCells count="2">
    <mergeCell ref="B5:D5"/>
    <mergeCell ref="G5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9244-40F1-4B69-8226-E55AE6AC5D88}">
  <sheetPr>
    <tabColor rgb="FFEF4130"/>
  </sheetPr>
  <dimension ref="A1"/>
  <sheetViews>
    <sheetView workbookViewId="0">
      <selection activeCell="P37" sqref="P37"/>
    </sheetView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F313-CD5A-4F51-8C2C-D74C5E6B1B00}">
  <dimension ref="A1:BQ139"/>
  <sheetViews>
    <sheetView zoomScale="85" zoomScaleNormal="85" workbookViewId="0">
      <pane xSplit="1" ySplit="3" topLeftCell="B43" activePane="bottomRight" state="frozen"/>
      <selection pane="topRight" activeCell="B1" sqref="B1"/>
      <selection pane="bottomLeft" activeCell="A4" sqref="A4"/>
      <selection pane="bottomRight" activeCell="K52" sqref="K52"/>
    </sheetView>
  </sheetViews>
  <sheetFormatPr defaultRowHeight="14.5" x14ac:dyDescent="0.35"/>
  <cols>
    <col min="1" max="1" width="8.7265625" style="36"/>
    <col min="14" max="14" width="3.81640625" customWidth="1"/>
    <col min="28" max="28" width="4.36328125" customWidth="1"/>
    <col min="42" max="42" width="3.90625" customWidth="1"/>
    <col min="56" max="56" width="3.54296875" customWidth="1"/>
  </cols>
  <sheetData>
    <row r="1" spans="1:69" s="36" customFormat="1" ht="13" x14ac:dyDescent="0.3">
      <c r="A1" s="35" t="s">
        <v>267</v>
      </c>
      <c r="H1" s="40"/>
      <c r="I1" s="40"/>
      <c r="J1" s="40"/>
      <c r="K1" s="40"/>
      <c r="L1" s="40"/>
      <c r="M1" s="40"/>
      <c r="O1" s="35" t="s">
        <v>268</v>
      </c>
      <c r="P1" s="53"/>
      <c r="AC1" s="35" t="s">
        <v>269</v>
      </c>
      <c r="AD1" s="35"/>
      <c r="AQ1" s="35" t="s">
        <v>270</v>
      </c>
      <c r="AR1" s="35"/>
      <c r="BE1" s="35" t="s">
        <v>271</v>
      </c>
      <c r="BF1" s="35"/>
    </row>
    <row r="2" spans="1:69" s="36" customFormat="1" ht="13" x14ac:dyDescent="0.3">
      <c r="A2" s="35"/>
      <c r="H2" s="40"/>
      <c r="I2" s="40"/>
      <c r="J2" s="40"/>
      <c r="K2" s="40"/>
      <c r="L2" s="40"/>
      <c r="M2" s="40"/>
      <c r="O2" s="35"/>
      <c r="P2" s="53"/>
      <c r="AC2" s="35"/>
      <c r="AD2" s="35"/>
      <c r="AQ2" s="35"/>
      <c r="AR2" s="35"/>
      <c r="BE2" s="35"/>
      <c r="BF2" s="35"/>
    </row>
    <row r="3" spans="1:69" s="54" customFormat="1" ht="25" x14ac:dyDescent="0.25">
      <c r="B3" s="37" t="s">
        <v>173</v>
      </c>
      <c r="C3" s="37" t="s">
        <v>272</v>
      </c>
      <c r="D3" s="37" t="s">
        <v>23</v>
      </c>
      <c r="E3" s="37" t="s">
        <v>273</v>
      </c>
      <c r="F3" s="55" t="s">
        <v>274</v>
      </c>
      <c r="G3" s="55" t="s">
        <v>275</v>
      </c>
      <c r="H3" s="55"/>
      <c r="I3" s="55"/>
      <c r="M3" s="55"/>
      <c r="N3" s="37"/>
      <c r="O3" s="37"/>
      <c r="P3" s="56" t="s">
        <v>276</v>
      </c>
      <c r="Q3" s="37" t="s">
        <v>277</v>
      </c>
      <c r="R3" s="37" t="s">
        <v>34</v>
      </c>
      <c r="S3" s="37" t="s">
        <v>35</v>
      </c>
      <c r="T3" s="37" t="s">
        <v>36</v>
      </c>
      <c r="U3" s="37" t="s">
        <v>37</v>
      </c>
      <c r="V3" s="37" t="s">
        <v>38</v>
      </c>
      <c r="W3" s="37" t="s">
        <v>39</v>
      </c>
      <c r="X3" s="37" t="s">
        <v>40</v>
      </c>
      <c r="Y3" s="37" t="s">
        <v>41</v>
      </c>
      <c r="Z3" s="37" t="s">
        <v>42</v>
      </c>
      <c r="AA3" s="37" t="s">
        <v>43</v>
      </c>
      <c r="AC3" s="37"/>
      <c r="AD3" s="37" t="s">
        <v>278</v>
      </c>
      <c r="AE3" s="37" t="s">
        <v>277</v>
      </c>
      <c r="AF3" s="37" t="s">
        <v>34</v>
      </c>
      <c r="AG3" s="37" t="s">
        <v>35</v>
      </c>
      <c r="AH3" s="37" t="s">
        <v>36</v>
      </c>
      <c r="AI3" s="37" t="s">
        <v>37</v>
      </c>
      <c r="AJ3" s="37" t="s">
        <v>38</v>
      </c>
      <c r="AK3" s="37" t="s">
        <v>39</v>
      </c>
      <c r="AL3" s="37" t="s">
        <v>40</v>
      </c>
      <c r="AM3" s="37" t="s">
        <v>41</v>
      </c>
      <c r="AN3" s="37" t="s">
        <v>42</v>
      </c>
      <c r="AO3" s="37" t="s">
        <v>43</v>
      </c>
      <c r="AQ3" s="37"/>
      <c r="AR3" s="37" t="s">
        <v>279</v>
      </c>
      <c r="AS3" s="37" t="s">
        <v>277</v>
      </c>
      <c r="AT3" s="37" t="s">
        <v>34</v>
      </c>
      <c r="AU3" s="37" t="s">
        <v>35</v>
      </c>
      <c r="AV3" s="37" t="s">
        <v>36</v>
      </c>
      <c r="AW3" s="37" t="s">
        <v>37</v>
      </c>
      <c r="AX3" s="37" t="s">
        <v>38</v>
      </c>
      <c r="AY3" s="37" t="s">
        <v>39</v>
      </c>
      <c r="AZ3" s="37" t="s">
        <v>40</v>
      </c>
      <c r="BA3" s="37" t="s">
        <v>41</v>
      </c>
      <c r="BB3" s="37" t="s">
        <v>42</v>
      </c>
      <c r="BC3" s="37" t="s">
        <v>43</v>
      </c>
      <c r="BE3" s="37"/>
      <c r="BF3" s="37" t="s">
        <v>280</v>
      </c>
      <c r="BG3" s="37" t="s">
        <v>277</v>
      </c>
      <c r="BH3" s="37" t="s">
        <v>34</v>
      </c>
      <c r="BI3" s="37" t="s">
        <v>35</v>
      </c>
      <c r="BJ3" s="37" t="s">
        <v>36</v>
      </c>
      <c r="BK3" s="37" t="s">
        <v>37</v>
      </c>
      <c r="BL3" s="37" t="s">
        <v>38</v>
      </c>
      <c r="BM3" s="37" t="s">
        <v>39</v>
      </c>
      <c r="BN3" s="37" t="s">
        <v>40</v>
      </c>
      <c r="BO3" s="37" t="s">
        <v>41</v>
      </c>
      <c r="BP3" s="37" t="s">
        <v>42</v>
      </c>
      <c r="BQ3" s="37" t="s">
        <v>43</v>
      </c>
    </row>
    <row r="4" spans="1:69" x14ac:dyDescent="0.35">
      <c r="A4" s="36">
        <v>1987</v>
      </c>
      <c r="P4" t="e">
        <f>HAVERA!B5/1000</f>
        <v>#N/A</v>
      </c>
      <c r="Q4" s="58">
        <f t="shared" ref="Q4:Q16" si="0">Q5</f>
        <v>0.10488419175242823</v>
      </c>
      <c r="R4" s="58">
        <f t="shared" ref="R4:R17" si="1">R5</f>
        <v>0.16946117277881081</v>
      </c>
      <c r="S4" s="58">
        <f t="shared" ref="S4:S17" si="2">S5</f>
        <v>0.16582996405126327</v>
      </c>
      <c r="T4" s="58">
        <f t="shared" ref="T4:T17" si="3">T5</f>
        <v>0.14847209787848367</v>
      </c>
      <c r="U4" s="58">
        <f t="shared" ref="U4:U17" si="4">U5</f>
        <v>0.129996600161045</v>
      </c>
      <c r="V4" s="58">
        <f t="shared" ref="V4:V17" si="5">V5</f>
        <v>0.12155375045300952</v>
      </c>
      <c r="W4" s="58">
        <f t="shared" ref="W4:W17" si="6">W5</f>
        <v>0.10751168554976781</v>
      </c>
      <c r="X4" s="58">
        <f t="shared" ref="X4:X17" si="7">X5</f>
        <v>0.10524166838553463</v>
      </c>
      <c r="Y4" s="58">
        <f t="shared" ref="Y4:Y17" si="8">Y5</f>
        <v>9.5514060147892266E-2</v>
      </c>
      <c r="Z4" s="58">
        <f t="shared" ref="Z4:Z17" si="9">Z5</f>
        <v>9.3441882498099649E-2</v>
      </c>
      <c r="AA4" s="58">
        <f t="shared" ref="AA4:AA17" si="10">AA5</f>
        <v>7.1317946905985904E-2</v>
      </c>
      <c r="AD4" t="e">
        <f>HAVERA!C5/1000</f>
        <v>#N/A</v>
      </c>
      <c r="AE4" s="58">
        <f t="shared" ref="AE4:AE16" si="11">AE5</f>
        <v>2.9417273223912011E-2</v>
      </c>
      <c r="AF4" s="58">
        <f t="shared" ref="AF4:AF17" si="12">AF5</f>
        <v>5.9160640691518232E-2</v>
      </c>
      <c r="AG4" s="58">
        <f t="shared" ref="AG4:AG17" si="13">AG5</f>
        <v>5.7823242413789278E-2</v>
      </c>
      <c r="AH4" s="58">
        <f t="shared" ref="AH4:AH17" si="14">AH5</f>
        <v>4.6293902285297339E-2</v>
      </c>
      <c r="AI4" s="58">
        <f t="shared" ref="AI4:AI17" si="15">AI5</f>
        <v>3.8459694014494054E-2</v>
      </c>
      <c r="AJ4" s="58">
        <f t="shared" ref="AJ4:AJ17" si="16">AJ5</f>
        <v>3.4945783261612649E-2</v>
      </c>
      <c r="AK4" s="58">
        <f t="shared" ref="AK4:AK17" si="17">AK5</f>
        <v>2.8826884181618162E-2</v>
      </c>
      <c r="AL4" s="58">
        <f t="shared" ref="AL4:AL17" si="18">AL5</f>
        <v>2.7915083249948767E-2</v>
      </c>
      <c r="AM4" s="58">
        <f t="shared" ref="AM4:AM17" si="19">AM5</f>
        <v>2.4749824218657832E-2</v>
      </c>
      <c r="AN4" s="58">
        <f t="shared" ref="AN4:AN17" si="20">AN5</f>
        <v>2.3429282591263E-2</v>
      </c>
      <c r="AO4" s="58">
        <f t="shared" ref="AO4:AO17" si="21">AO5</f>
        <v>1.8580417306348272E-2</v>
      </c>
      <c r="AR4" t="e">
        <f>HAVERA!D5/1000</f>
        <v>#N/A</v>
      </c>
      <c r="AS4" s="58">
        <f t="shared" ref="AS4:AS16" si="22">AS5</f>
        <v>3.706074811404883E-2</v>
      </c>
      <c r="AT4" s="58">
        <f t="shared" ref="AT4:AT16" si="23">AT5</f>
        <v>2.4340279703130747E-2</v>
      </c>
      <c r="AU4" s="58">
        <f t="shared" ref="AU4:AU16" si="24">AU5</f>
        <v>2.4861770424211435E-2</v>
      </c>
      <c r="AV4" s="58">
        <f t="shared" ref="AV4:AV16" si="25">AV5</f>
        <v>3.3343239938278479E-2</v>
      </c>
      <c r="AW4" s="58">
        <f t="shared" ref="AW4:AW16" si="26">AW5</f>
        <v>3.8079985684888608E-2</v>
      </c>
      <c r="AX4" s="58">
        <f t="shared" ref="AX4:AX16" si="27">AX5</f>
        <v>4.2426534821098899E-2</v>
      </c>
      <c r="AY4" s="58">
        <f t="shared" ref="AY4:AY16" si="28">AY5</f>
        <v>3.8179694588152659E-2</v>
      </c>
      <c r="AZ4" s="58">
        <f t="shared" ref="AZ4:AZ16" si="29">AZ5</f>
        <v>4.0970914528984562E-2</v>
      </c>
      <c r="BA4" s="58">
        <f t="shared" ref="BA4:BA16" si="30">BA5</f>
        <v>4.212164540774193E-2</v>
      </c>
      <c r="BB4" s="58">
        <f t="shared" ref="BB4:BB16" si="31">BB5</f>
        <v>3.8661144389868049E-2</v>
      </c>
      <c r="BC4" s="58">
        <f t="shared" ref="BC4:BC16" si="32">BC5</f>
        <v>3.3307380241979462E-2</v>
      </c>
      <c r="BF4" t="e">
        <f>1-P4-AD4-AR4</f>
        <v>#N/A</v>
      </c>
      <c r="BG4" s="58">
        <f t="shared" ref="BG4:BG16" si="33">BG5</f>
        <v>0.82863778690961098</v>
      </c>
      <c r="BH4" s="58">
        <f t="shared" ref="BH4:BH17" si="34">BH5</f>
        <v>0.74703790682654014</v>
      </c>
      <c r="BI4" s="58">
        <f t="shared" ref="BI4:BI17" si="35">BI5</f>
        <v>0.75148502311073606</v>
      </c>
      <c r="BJ4" s="58">
        <f t="shared" ref="BJ4:BJ17" si="36">BJ5</f>
        <v>0.77189075989794054</v>
      </c>
      <c r="BK4" s="58">
        <f t="shared" ref="BK4:BK17" si="37">BK5</f>
        <v>0.79346372013957245</v>
      </c>
      <c r="BL4" s="58">
        <f t="shared" ref="BL4:BL17" si="38">BL5</f>
        <v>0.80107393146427885</v>
      </c>
      <c r="BM4" s="58">
        <f t="shared" ref="BM4:BM17" si="39">BM5</f>
        <v>0.82548173568046146</v>
      </c>
      <c r="BN4" s="58">
        <f t="shared" ref="BN4:BN17" si="40">BN5</f>
        <v>0.82587233383553205</v>
      </c>
      <c r="BO4" s="58">
        <f t="shared" ref="BO4:BO17" si="41">BO5</f>
        <v>0.83761447022570801</v>
      </c>
      <c r="BP4" s="58">
        <f t="shared" ref="BP4:BP17" si="42">BP5</f>
        <v>0.84446769052076942</v>
      </c>
      <c r="BQ4" s="58">
        <f t="shared" ref="BQ4:BQ17" si="43">BQ5</f>
        <v>0.87679425554568635</v>
      </c>
    </row>
    <row r="5" spans="1:69" x14ac:dyDescent="0.35">
      <c r="A5" s="36">
        <v>1988</v>
      </c>
      <c r="P5" s="50">
        <f>HAVERA!B6/1000</f>
        <v>0.184</v>
      </c>
      <c r="Q5" s="58">
        <f t="shared" si="0"/>
        <v>0.10488419175242823</v>
      </c>
      <c r="R5" s="58">
        <f t="shared" si="1"/>
        <v>0.16946117277881081</v>
      </c>
      <c r="S5" s="58">
        <f t="shared" si="2"/>
        <v>0.16582996405126327</v>
      </c>
      <c r="T5" s="58">
        <f t="shared" si="3"/>
        <v>0.14847209787848367</v>
      </c>
      <c r="U5" s="58">
        <f t="shared" si="4"/>
        <v>0.129996600161045</v>
      </c>
      <c r="V5" s="58">
        <f t="shared" si="5"/>
        <v>0.12155375045300952</v>
      </c>
      <c r="W5" s="58">
        <f t="shared" si="6"/>
        <v>0.10751168554976781</v>
      </c>
      <c r="X5" s="58">
        <f t="shared" si="7"/>
        <v>0.10524166838553463</v>
      </c>
      <c r="Y5" s="58">
        <f t="shared" si="8"/>
        <v>9.5514060147892266E-2</v>
      </c>
      <c r="Z5" s="58">
        <f t="shared" si="9"/>
        <v>9.3441882498099649E-2</v>
      </c>
      <c r="AA5" s="58">
        <f t="shared" si="10"/>
        <v>7.1317946905985904E-2</v>
      </c>
      <c r="AD5" s="50">
        <f>HAVERA!C6/1000</f>
        <v>6.2E-2</v>
      </c>
      <c r="AE5" s="58">
        <f t="shared" si="11"/>
        <v>2.9417273223912011E-2</v>
      </c>
      <c r="AF5" s="58">
        <f t="shared" si="12"/>
        <v>5.9160640691518232E-2</v>
      </c>
      <c r="AG5" s="58">
        <f t="shared" si="13"/>
        <v>5.7823242413789278E-2</v>
      </c>
      <c r="AH5" s="58">
        <f t="shared" si="14"/>
        <v>4.6293902285297339E-2</v>
      </c>
      <c r="AI5" s="58">
        <f t="shared" si="15"/>
        <v>3.8459694014494054E-2</v>
      </c>
      <c r="AJ5" s="58">
        <f t="shared" si="16"/>
        <v>3.4945783261612649E-2</v>
      </c>
      <c r="AK5" s="58">
        <f t="shared" si="17"/>
        <v>2.8826884181618162E-2</v>
      </c>
      <c r="AL5" s="58">
        <f t="shared" si="18"/>
        <v>2.7915083249948767E-2</v>
      </c>
      <c r="AM5" s="58">
        <f t="shared" si="19"/>
        <v>2.4749824218657832E-2</v>
      </c>
      <c r="AN5" s="58">
        <f t="shared" si="20"/>
        <v>2.3429282591263E-2</v>
      </c>
      <c r="AO5" s="58">
        <f t="shared" si="21"/>
        <v>1.8580417306348272E-2</v>
      </c>
      <c r="AR5" s="50">
        <f>HAVERA!D6/1000</f>
        <v>4.1000000000000002E-2</v>
      </c>
      <c r="AS5" s="58">
        <f t="shared" si="22"/>
        <v>3.706074811404883E-2</v>
      </c>
      <c r="AT5" s="58">
        <f t="shared" si="23"/>
        <v>2.4340279703130747E-2</v>
      </c>
      <c r="AU5" s="58">
        <f t="shared" si="24"/>
        <v>2.4861770424211435E-2</v>
      </c>
      <c r="AV5" s="58">
        <f t="shared" si="25"/>
        <v>3.3343239938278479E-2</v>
      </c>
      <c r="AW5" s="58">
        <f t="shared" si="26"/>
        <v>3.8079985684888608E-2</v>
      </c>
      <c r="AX5" s="58">
        <f t="shared" si="27"/>
        <v>4.2426534821098899E-2</v>
      </c>
      <c r="AY5" s="58">
        <f t="shared" si="28"/>
        <v>3.8179694588152659E-2</v>
      </c>
      <c r="AZ5" s="58">
        <f t="shared" si="29"/>
        <v>4.0970914528984562E-2</v>
      </c>
      <c r="BA5" s="58">
        <f t="shared" si="30"/>
        <v>4.212164540774193E-2</v>
      </c>
      <c r="BB5" s="58">
        <f t="shared" si="31"/>
        <v>3.8661144389868049E-2</v>
      </c>
      <c r="BC5" s="58">
        <f t="shared" si="32"/>
        <v>3.3307380241979462E-2</v>
      </c>
      <c r="BF5" s="50">
        <f t="shared" ref="BF5:BG43" si="44">1-P5-AD5-AR5</f>
        <v>0.71299999999999997</v>
      </c>
      <c r="BG5" s="58">
        <f t="shared" si="33"/>
        <v>0.82863778690961098</v>
      </c>
      <c r="BH5" s="58">
        <f t="shared" si="34"/>
        <v>0.74703790682654014</v>
      </c>
      <c r="BI5" s="58">
        <f t="shared" si="35"/>
        <v>0.75148502311073606</v>
      </c>
      <c r="BJ5" s="58">
        <f t="shared" si="36"/>
        <v>0.77189075989794054</v>
      </c>
      <c r="BK5" s="58">
        <f t="shared" si="37"/>
        <v>0.79346372013957245</v>
      </c>
      <c r="BL5" s="58">
        <f t="shared" si="38"/>
        <v>0.80107393146427885</v>
      </c>
      <c r="BM5" s="58">
        <f t="shared" si="39"/>
        <v>0.82548173568046146</v>
      </c>
      <c r="BN5" s="58">
        <f t="shared" si="40"/>
        <v>0.82587233383553205</v>
      </c>
      <c r="BO5" s="58">
        <f t="shared" si="41"/>
        <v>0.83761447022570801</v>
      </c>
      <c r="BP5" s="58">
        <f t="shared" si="42"/>
        <v>0.84446769052076942</v>
      </c>
      <c r="BQ5" s="58">
        <f t="shared" si="43"/>
        <v>0.87679425554568635</v>
      </c>
    </row>
    <row r="6" spans="1:69" x14ac:dyDescent="0.35">
      <c r="A6" s="36">
        <v>1989</v>
      </c>
      <c r="P6" s="50">
        <f>HAVERA!B7/1000</f>
        <v>0.17699999999999999</v>
      </c>
      <c r="Q6" s="58">
        <f t="shared" si="0"/>
        <v>0.10488419175242823</v>
      </c>
      <c r="R6" s="58">
        <f t="shared" si="1"/>
        <v>0.16946117277881081</v>
      </c>
      <c r="S6" s="58">
        <f t="shared" si="2"/>
        <v>0.16582996405126327</v>
      </c>
      <c r="T6" s="58">
        <f t="shared" si="3"/>
        <v>0.14847209787848367</v>
      </c>
      <c r="U6" s="58">
        <f t="shared" si="4"/>
        <v>0.129996600161045</v>
      </c>
      <c r="V6" s="58">
        <f t="shared" si="5"/>
        <v>0.12155375045300952</v>
      </c>
      <c r="W6" s="58">
        <f t="shared" si="6"/>
        <v>0.10751168554976781</v>
      </c>
      <c r="X6" s="58">
        <f t="shared" si="7"/>
        <v>0.10524166838553463</v>
      </c>
      <c r="Y6" s="58">
        <f t="shared" si="8"/>
        <v>9.5514060147892266E-2</v>
      </c>
      <c r="Z6" s="58">
        <f t="shared" si="9"/>
        <v>9.3441882498099649E-2</v>
      </c>
      <c r="AA6" s="58">
        <f t="shared" si="10"/>
        <v>7.1317946905985904E-2</v>
      </c>
      <c r="AD6" s="50">
        <f>HAVERA!C7/1000</f>
        <v>6.2E-2</v>
      </c>
      <c r="AE6" s="58">
        <f t="shared" si="11"/>
        <v>2.9417273223912011E-2</v>
      </c>
      <c r="AF6" s="58">
        <f t="shared" si="12"/>
        <v>5.9160640691518232E-2</v>
      </c>
      <c r="AG6" s="58">
        <f t="shared" si="13"/>
        <v>5.7823242413789278E-2</v>
      </c>
      <c r="AH6" s="58">
        <f t="shared" si="14"/>
        <v>4.6293902285297339E-2</v>
      </c>
      <c r="AI6" s="58">
        <f t="shared" si="15"/>
        <v>3.8459694014494054E-2</v>
      </c>
      <c r="AJ6" s="58">
        <f t="shared" si="16"/>
        <v>3.4945783261612649E-2</v>
      </c>
      <c r="AK6" s="58">
        <f t="shared" si="17"/>
        <v>2.8826884181618162E-2</v>
      </c>
      <c r="AL6" s="58">
        <f t="shared" si="18"/>
        <v>2.7915083249948767E-2</v>
      </c>
      <c r="AM6" s="58">
        <f t="shared" si="19"/>
        <v>2.4749824218657832E-2</v>
      </c>
      <c r="AN6" s="58">
        <f t="shared" si="20"/>
        <v>2.3429282591263E-2</v>
      </c>
      <c r="AO6" s="58">
        <f t="shared" si="21"/>
        <v>1.8580417306348272E-2</v>
      </c>
      <c r="AR6" s="50">
        <f>HAVERA!D7/1000</f>
        <v>3.9E-2</v>
      </c>
      <c r="AS6" s="58">
        <f t="shared" si="22"/>
        <v>3.706074811404883E-2</v>
      </c>
      <c r="AT6" s="58">
        <f t="shared" si="23"/>
        <v>2.4340279703130747E-2</v>
      </c>
      <c r="AU6" s="58">
        <f t="shared" si="24"/>
        <v>2.4861770424211435E-2</v>
      </c>
      <c r="AV6" s="58">
        <f t="shared" si="25"/>
        <v>3.3343239938278479E-2</v>
      </c>
      <c r="AW6" s="58">
        <f t="shared" si="26"/>
        <v>3.8079985684888608E-2</v>
      </c>
      <c r="AX6" s="58">
        <f t="shared" si="27"/>
        <v>4.2426534821098899E-2</v>
      </c>
      <c r="AY6" s="58">
        <f t="shared" si="28"/>
        <v>3.8179694588152659E-2</v>
      </c>
      <c r="AZ6" s="58">
        <f t="shared" si="29"/>
        <v>4.0970914528984562E-2</v>
      </c>
      <c r="BA6" s="58">
        <f t="shared" si="30"/>
        <v>4.212164540774193E-2</v>
      </c>
      <c r="BB6" s="58">
        <f t="shared" si="31"/>
        <v>3.8661144389868049E-2</v>
      </c>
      <c r="BC6" s="58">
        <f t="shared" si="32"/>
        <v>3.3307380241979462E-2</v>
      </c>
      <c r="BF6" s="50">
        <f t="shared" si="44"/>
        <v>0.72199999999999986</v>
      </c>
      <c r="BG6" s="58">
        <f t="shared" si="33"/>
        <v>0.82863778690961098</v>
      </c>
      <c r="BH6" s="58">
        <f t="shared" si="34"/>
        <v>0.74703790682654014</v>
      </c>
      <c r="BI6" s="58">
        <f t="shared" si="35"/>
        <v>0.75148502311073606</v>
      </c>
      <c r="BJ6" s="58">
        <f t="shared" si="36"/>
        <v>0.77189075989794054</v>
      </c>
      <c r="BK6" s="58">
        <f t="shared" si="37"/>
        <v>0.79346372013957245</v>
      </c>
      <c r="BL6" s="58">
        <f t="shared" si="38"/>
        <v>0.80107393146427885</v>
      </c>
      <c r="BM6" s="58">
        <f t="shared" si="39"/>
        <v>0.82548173568046146</v>
      </c>
      <c r="BN6" s="58">
        <f t="shared" si="40"/>
        <v>0.82587233383553205</v>
      </c>
      <c r="BO6" s="58">
        <f t="shared" si="41"/>
        <v>0.83761447022570801</v>
      </c>
      <c r="BP6" s="58">
        <f t="shared" si="42"/>
        <v>0.84446769052076942</v>
      </c>
      <c r="BQ6" s="58">
        <f t="shared" si="43"/>
        <v>0.87679425554568635</v>
      </c>
    </row>
    <row r="7" spans="1:69" x14ac:dyDescent="0.35">
      <c r="A7" s="36">
        <v>1990</v>
      </c>
      <c r="P7" s="50">
        <f>HAVERA!B8/1000</f>
        <v>0.185</v>
      </c>
      <c r="Q7" s="58">
        <f t="shared" si="0"/>
        <v>0.10488419175242823</v>
      </c>
      <c r="R7" s="58">
        <f t="shared" si="1"/>
        <v>0.16946117277881081</v>
      </c>
      <c r="S7" s="58">
        <f t="shared" si="2"/>
        <v>0.16582996405126327</v>
      </c>
      <c r="T7" s="58">
        <f t="shared" si="3"/>
        <v>0.14847209787848367</v>
      </c>
      <c r="U7" s="58">
        <f t="shared" si="4"/>
        <v>0.129996600161045</v>
      </c>
      <c r="V7" s="58">
        <f t="shared" si="5"/>
        <v>0.12155375045300952</v>
      </c>
      <c r="W7" s="58">
        <f t="shared" si="6"/>
        <v>0.10751168554976781</v>
      </c>
      <c r="X7" s="58">
        <f t="shared" si="7"/>
        <v>0.10524166838553463</v>
      </c>
      <c r="Y7" s="58">
        <f t="shared" si="8"/>
        <v>9.5514060147892266E-2</v>
      </c>
      <c r="Z7" s="58">
        <f t="shared" si="9"/>
        <v>9.3441882498099649E-2</v>
      </c>
      <c r="AA7" s="58">
        <f t="shared" si="10"/>
        <v>7.1317946905985904E-2</v>
      </c>
      <c r="AD7" s="50">
        <f>HAVERA!C8/1000</f>
        <v>5.8000000000000003E-2</v>
      </c>
      <c r="AE7" s="58">
        <f t="shared" si="11"/>
        <v>2.9417273223912011E-2</v>
      </c>
      <c r="AF7" s="58">
        <f t="shared" si="12"/>
        <v>5.9160640691518232E-2</v>
      </c>
      <c r="AG7" s="58">
        <f t="shared" si="13"/>
        <v>5.7823242413789278E-2</v>
      </c>
      <c r="AH7" s="58">
        <f t="shared" si="14"/>
        <v>4.6293902285297339E-2</v>
      </c>
      <c r="AI7" s="58">
        <f t="shared" si="15"/>
        <v>3.8459694014494054E-2</v>
      </c>
      <c r="AJ7" s="58">
        <f t="shared" si="16"/>
        <v>3.4945783261612649E-2</v>
      </c>
      <c r="AK7" s="58">
        <f t="shared" si="17"/>
        <v>2.8826884181618162E-2</v>
      </c>
      <c r="AL7" s="58">
        <f t="shared" si="18"/>
        <v>2.7915083249948767E-2</v>
      </c>
      <c r="AM7" s="58">
        <f t="shared" si="19"/>
        <v>2.4749824218657832E-2</v>
      </c>
      <c r="AN7" s="58">
        <f t="shared" si="20"/>
        <v>2.3429282591263E-2</v>
      </c>
      <c r="AO7" s="58">
        <f t="shared" si="21"/>
        <v>1.8580417306348272E-2</v>
      </c>
      <c r="AR7" s="50">
        <f>HAVERA!D8/1000</f>
        <v>3.7999999999999999E-2</v>
      </c>
      <c r="AS7" s="58">
        <f t="shared" si="22"/>
        <v>3.706074811404883E-2</v>
      </c>
      <c r="AT7" s="58">
        <f t="shared" si="23"/>
        <v>2.4340279703130747E-2</v>
      </c>
      <c r="AU7" s="58">
        <f t="shared" si="24"/>
        <v>2.4861770424211435E-2</v>
      </c>
      <c r="AV7" s="58">
        <f t="shared" si="25"/>
        <v>3.3343239938278479E-2</v>
      </c>
      <c r="AW7" s="58">
        <f t="shared" si="26"/>
        <v>3.8079985684888608E-2</v>
      </c>
      <c r="AX7" s="58">
        <f t="shared" si="27"/>
        <v>4.2426534821098899E-2</v>
      </c>
      <c r="AY7" s="58">
        <f t="shared" si="28"/>
        <v>3.8179694588152659E-2</v>
      </c>
      <c r="AZ7" s="58">
        <f t="shared" si="29"/>
        <v>4.0970914528984562E-2</v>
      </c>
      <c r="BA7" s="58">
        <f t="shared" si="30"/>
        <v>4.212164540774193E-2</v>
      </c>
      <c r="BB7" s="58">
        <f t="shared" si="31"/>
        <v>3.8661144389868049E-2</v>
      </c>
      <c r="BC7" s="58">
        <f t="shared" si="32"/>
        <v>3.3307380241979462E-2</v>
      </c>
      <c r="BF7" s="50">
        <f t="shared" si="44"/>
        <v>0.71899999999999986</v>
      </c>
      <c r="BG7" s="58">
        <f t="shared" si="33"/>
        <v>0.82863778690961098</v>
      </c>
      <c r="BH7" s="58">
        <f t="shared" si="34"/>
        <v>0.74703790682654014</v>
      </c>
      <c r="BI7" s="58">
        <f t="shared" si="35"/>
        <v>0.75148502311073606</v>
      </c>
      <c r="BJ7" s="58">
        <f t="shared" si="36"/>
        <v>0.77189075989794054</v>
      </c>
      <c r="BK7" s="58">
        <f t="shared" si="37"/>
        <v>0.79346372013957245</v>
      </c>
      <c r="BL7" s="58">
        <f t="shared" si="38"/>
        <v>0.80107393146427885</v>
      </c>
      <c r="BM7" s="58">
        <f t="shared" si="39"/>
        <v>0.82548173568046146</v>
      </c>
      <c r="BN7" s="58">
        <f t="shared" si="40"/>
        <v>0.82587233383553205</v>
      </c>
      <c r="BO7" s="58">
        <f t="shared" si="41"/>
        <v>0.83761447022570801</v>
      </c>
      <c r="BP7" s="58">
        <f t="shared" si="42"/>
        <v>0.84446769052076942</v>
      </c>
      <c r="BQ7" s="58">
        <f t="shared" si="43"/>
        <v>0.87679425554568635</v>
      </c>
    </row>
    <row r="8" spans="1:69" x14ac:dyDescent="0.35">
      <c r="A8" s="36">
        <v>1991</v>
      </c>
      <c r="P8" s="50">
        <f>HAVERA!B9/1000</f>
        <v>0.17699999999999999</v>
      </c>
      <c r="Q8" s="58">
        <f t="shared" si="0"/>
        <v>0.10488419175242823</v>
      </c>
      <c r="R8" s="58">
        <f t="shared" si="1"/>
        <v>0.16946117277881081</v>
      </c>
      <c r="S8" s="58">
        <f t="shared" si="2"/>
        <v>0.16582996405126327</v>
      </c>
      <c r="T8" s="58">
        <f t="shared" si="3"/>
        <v>0.14847209787848367</v>
      </c>
      <c r="U8" s="58">
        <f t="shared" si="4"/>
        <v>0.129996600161045</v>
      </c>
      <c r="V8" s="58">
        <f t="shared" si="5"/>
        <v>0.12155375045300952</v>
      </c>
      <c r="W8" s="58">
        <f t="shared" si="6"/>
        <v>0.10751168554976781</v>
      </c>
      <c r="X8" s="58">
        <f t="shared" si="7"/>
        <v>0.10524166838553463</v>
      </c>
      <c r="Y8" s="58">
        <f t="shared" si="8"/>
        <v>9.5514060147892266E-2</v>
      </c>
      <c r="Z8" s="58">
        <f t="shared" si="9"/>
        <v>9.3441882498099649E-2</v>
      </c>
      <c r="AA8" s="58">
        <f t="shared" si="10"/>
        <v>7.1317946905985904E-2</v>
      </c>
      <c r="AD8" s="50">
        <f>HAVERA!C9/1000</f>
        <v>5.3999999999999999E-2</v>
      </c>
      <c r="AE8" s="58">
        <f t="shared" si="11"/>
        <v>2.9417273223912011E-2</v>
      </c>
      <c r="AF8" s="58">
        <f t="shared" si="12"/>
        <v>5.9160640691518232E-2</v>
      </c>
      <c r="AG8" s="58">
        <f t="shared" si="13"/>
        <v>5.7823242413789278E-2</v>
      </c>
      <c r="AH8" s="58">
        <f t="shared" si="14"/>
        <v>4.6293902285297339E-2</v>
      </c>
      <c r="AI8" s="58">
        <f t="shared" si="15"/>
        <v>3.8459694014494054E-2</v>
      </c>
      <c r="AJ8" s="58">
        <f t="shared" si="16"/>
        <v>3.4945783261612649E-2</v>
      </c>
      <c r="AK8" s="58">
        <f t="shared" si="17"/>
        <v>2.8826884181618162E-2</v>
      </c>
      <c r="AL8" s="58">
        <f t="shared" si="18"/>
        <v>2.7915083249948767E-2</v>
      </c>
      <c r="AM8" s="58">
        <f t="shared" si="19"/>
        <v>2.4749824218657832E-2</v>
      </c>
      <c r="AN8" s="58">
        <f t="shared" si="20"/>
        <v>2.3429282591263E-2</v>
      </c>
      <c r="AO8" s="58">
        <f t="shared" si="21"/>
        <v>1.8580417306348272E-2</v>
      </c>
      <c r="AR8" s="50">
        <f>HAVERA!D9/1000</f>
        <v>3.9E-2</v>
      </c>
      <c r="AS8" s="58">
        <f t="shared" si="22"/>
        <v>3.706074811404883E-2</v>
      </c>
      <c r="AT8" s="58">
        <f t="shared" si="23"/>
        <v>2.4340279703130747E-2</v>
      </c>
      <c r="AU8" s="58">
        <f t="shared" si="24"/>
        <v>2.4861770424211435E-2</v>
      </c>
      <c r="AV8" s="58">
        <f t="shared" si="25"/>
        <v>3.3343239938278479E-2</v>
      </c>
      <c r="AW8" s="58">
        <f t="shared" si="26"/>
        <v>3.8079985684888608E-2</v>
      </c>
      <c r="AX8" s="58">
        <f t="shared" si="27"/>
        <v>4.2426534821098899E-2</v>
      </c>
      <c r="AY8" s="58">
        <f t="shared" si="28"/>
        <v>3.8179694588152659E-2</v>
      </c>
      <c r="AZ8" s="58">
        <f t="shared" si="29"/>
        <v>4.0970914528984562E-2</v>
      </c>
      <c r="BA8" s="58">
        <f t="shared" si="30"/>
        <v>4.212164540774193E-2</v>
      </c>
      <c r="BB8" s="58">
        <f t="shared" si="31"/>
        <v>3.8661144389868049E-2</v>
      </c>
      <c r="BC8" s="58">
        <f t="shared" si="32"/>
        <v>3.3307380241979462E-2</v>
      </c>
      <c r="BF8" s="50">
        <f t="shared" si="44"/>
        <v>0.72999999999999987</v>
      </c>
      <c r="BG8" s="58">
        <f t="shared" si="33"/>
        <v>0.82863778690961098</v>
      </c>
      <c r="BH8" s="58">
        <f t="shared" si="34"/>
        <v>0.74703790682654014</v>
      </c>
      <c r="BI8" s="58">
        <f t="shared" si="35"/>
        <v>0.75148502311073606</v>
      </c>
      <c r="BJ8" s="58">
        <f t="shared" si="36"/>
        <v>0.77189075989794054</v>
      </c>
      <c r="BK8" s="58">
        <f t="shared" si="37"/>
        <v>0.79346372013957245</v>
      </c>
      <c r="BL8" s="58">
        <f t="shared" si="38"/>
        <v>0.80107393146427885</v>
      </c>
      <c r="BM8" s="58">
        <f t="shared" si="39"/>
        <v>0.82548173568046146</v>
      </c>
      <c r="BN8" s="58">
        <f t="shared" si="40"/>
        <v>0.82587233383553205</v>
      </c>
      <c r="BO8" s="58">
        <f t="shared" si="41"/>
        <v>0.83761447022570801</v>
      </c>
      <c r="BP8" s="58">
        <f t="shared" si="42"/>
        <v>0.84446769052076942</v>
      </c>
      <c r="BQ8" s="58">
        <f t="shared" si="43"/>
        <v>0.87679425554568635</v>
      </c>
    </row>
    <row r="9" spans="1:69" x14ac:dyDescent="0.35">
      <c r="A9" s="36">
        <v>1992</v>
      </c>
      <c r="P9" s="50">
        <f>HAVERA!B10/1000</f>
        <v>0.17199999999999999</v>
      </c>
      <c r="Q9" s="58">
        <f t="shared" si="0"/>
        <v>0.10488419175242823</v>
      </c>
      <c r="R9" s="58">
        <f t="shared" si="1"/>
        <v>0.16946117277881081</v>
      </c>
      <c r="S9" s="58">
        <f t="shared" si="2"/>
        <v>0.16582996405126327</v>
      </c>
      <c r="T9" s="58">
        <f t="shared" si="3"/>
        <v>0.14847209787848367</v>
      </c>
      <c r="U9" s="58">
        <f t="shared" si="4"/>
        <v>0.129996600161045</v>
      </c>
      <c r="V9" s="58">
        <f t="shared" si="5"/>
        <v>0.12155375045300952</v>
      </c>
      <c r="W9" s="58">
        <f t="shared" si="6"/>
        <v>0.10751168554976781</v>
      </c>
      <c r="X9" s="58">
        <f t="shared" si="7"/>
        <v>0.10524166838553463</v>
      </c>
      <c r="Y9" s="58">
        <f t="shared" si="8"/>
        <v>9.5514060147892266E-2</v>
      </c>
      <c r="Z9" s="58">
        <f t="shared" si="9"/>
        <v>9.3441882498099649E-2</v>
      </c>
      <c r="AA9" s="58">
        <f t="shared" si="10"/>
        <v>7.1317946905985904E-2</v>
      </c>
      <c r="AD9" s="50">
        <f>HAVERA!C10/1000</f>
        <v>5.2999999999999999E-2</v>
      </c>
      <c r="AE9" s="58">
        <f t="shared" si="11"/>
        <v>2.9417273223912011E-2</v>
      </c>
      <c r="AF9" s="58">
        <f t="shared" si="12"/>
        <v>5.9160640691518232E-2</v>
      </c>
      <c r="AG9" s="58">
        <f t="shared" si="13"/>
        <v>5.7823242413789278E-2</v>
      </c>
      <c r="AH9" s="58">
        <f t="shared" si="14"/>
        <v>4.6293902285297339E-2</v>
      </c>
      <c r="AI9" s="58">
        <f t="shared" si="15"/>
        <v>3.8459694014494054E-2</v>
      </c>
      <c r="AJ9" s="58">
        <f t="shared" si="16"/>
        <v>3.4945783261612649E-2</v>
      </c>
      <c r="AK9" s="58">
        <f t="shared" si="17"/>
        <v>2.8826884181618162E-2</v>
      </c>
      <c r="AL9" s="58">
        <f t="shared" si="18"/>
        <v>2.7915083249948767E-2</v>
      </c>
      <c r="AM9" s="58">
        <f t="shared" si="19"/>
        <v>2.4749824218657832E-2</v>
      </c>
      <c r="AN9" s="58">
        <f t="shared" si="20"/>
        <v>2.3429282591263E-2</v>
      </c>
      <c r="AO9" s="58">
        <f t="shared" si="21"/>
        <v>1.8580417306348272E-2</v>
      </c>
      <c r="AR9" s="50">
        <f>HAVERA!D10/1000</f>
        <v>3.7999999999999999E-2</v>
      </c>
      <c r="AS9" s="58">
        <f t="shared" si="22"/>
        <v>3.706074811404883E-2</v>
      </c>
      <c r="AT9" s="58">
        <f t="shared" si="23"/>
        <v>2.4340279703130747E-2</v>
      </c>
      <c r="AU9" s="58">
        <f t="shared" si="24"/>
        <v>2.4861770424211435E-2</v>
      </c>
      <c r="AV9" s="58">
        <f t="shared" si="25"/>
        <v>3.3343239938278479E-2</v>
      </c>
      <c r="AW9" s="58">
        <f t="shared" si="26"/>
        <v>3.8079985684888608E-2</v>
      </c>
      <c r="AX9" s="58">
        <f t="shared" si="27"/>
        <v>4.2426534821098899E-2</v>
      </c>
      <c r="AY9" s="58">
        <f t="shared" si="28"/>
        <v>3.8179694588152659E-2</v>
      </c>
      <c r="AZ9" s="58">
        <f t="shared" si="29"/>
        <v>4.0970914528984562E-2</v>
      </c>
      <c r="BA9" s="58">
        <f t="shared" si="30"/>
        <v>4.212164540774193E-2</v>
      </c>
      <c r="BB9" s="58">
        <f t="shared" si="31"/>
        <v>3.8661144389868049E-2</v>
      </c>
      <c r="BC9" s="58">
        <f t="shared" si="32"/>
        <v>3.3307380241979462E-2</v>
      </c>
      <c r="BF9" s="50">
        <f t="shared" si="44"/>
        <v>0.73699999999999999</v>
      </c>
      <c r="BG9" s="58">
        <f t="shared" si="33"/>
        <v>0.82863778690961098</v>
      </c>
      <c r="BH9" s="58">
        <f t="shared" si="34"/>
        <v>0.74703790682654014</v>
      </c>
      <c r="BI9" s="58">
        <f t="shared" si="35"/>
        <v>0.75148502311073606</v>
      </c>
      <c r="BJ9" s="58">
        <f t="shared" si="36"/>
        <v>0.77189075989794054</v>
      </c>
      <c r="BK9" s="58">
        <f t="shared" si="37"/>
        <v>0.79346372013957245</v>
      </c>
      <c r="BL9" s="58">
        <f t="shared" si="38"/>
        <v>0.80107393146427885</v>
      </c>
      <c r="BM9" s="58">
        <f t="shared" si="39"/>
        <v>0.82548173568046146</v>
      </c>
      <c r="BN9" s="58">
        <f t="shared" si="40"/>
        <v>0.82587233383553205</v>
      </c>
      <c r="BO9" s="58">
        <f t="shared" si="41"/>
        <v>0.83761447022570801</v>
      </c>
      <c r="BP9" s="58">
        <f t="shared" si="42"/>
        <v>0.84446769052076942</v>
      </c>
      <c r="BQ9" s="58">
        <f t="shared" si="43"/>
        <v>0.87679425554568635</v>
      </c>
    </row>
    <row r="10" spans="1:69" x14ac:dyDescent="0.35">
      <c r="A10" s="36">
        <v>1993</v>
      </c>
      <c r="P10" s="50">
        <f>HAVERA!B11/1000</f>
        <v>0.159</v>
      </c>
      <c r="Q10" s="58">
        <f t="shared" si="0"/>
        <v>0.10488419175242823</v>
      </c>
      <c r="R10" s="58">
        <f t="shared" si="1"/>
        <v>0.16946117277881081</v>
      </c>
      <c r="S10" s="58">
        <f t="shared" si="2"/>
        <v>0.16582996405126327</v>
      </c>
      <c r="T10" s="58">
        <f t="shared" si="3"/>
        <v>0.14847209787848367</v>
      </c>
      <c r="U10" s="58">
        <f t="shared" si="4"/>
        <v>0.129996600161045</v>
      </c>
      <c r="V10" s="58">
        <f t="shared" si="5"/>
        <v>0.12155375045300952</v>
      </c>
      <c r="W10" s="58">
        <f t="shared" si="6"/>
        <v>0.10751168554976781</v>
      </c>
      <c r="X10" s="58">
        <f t="shared" si="7"/>
        <v>0.10524166838553463</v>
      </c>
      <c r="Y10" s="58">
        <f t="shared" si="8"/>
        <v>9.5514060147892266E-2</v>
      </c>
      <c r="Z10" s="58">
        <f t="shared" si="9"/>
        <v>9.3441882498099649E-2</v>
      </c>
      <c r="AA10" s="58">
        <f t="shared" si="10"/>
        <v>7.1317946905985904E-2</v>
      </c>
      <c r="AD10" s="50">
        <f>HAVERA!C11/1000</f>
        <v>5.1999999999999998E-2</v>
      </c>
      <c r="AE10" s="58">
        <f t="shared" si="11"/>
        <v>2.9417273223912011E-2</v>
      </c>
      <c r="AF10" s="58">
        <f t="shared" si="12"/>
        <v>5.9160640691518232E-2</v>
      </c>
      <c r="AG10" s="58">
        <f t="shared" si="13"/>
        <v>5.7823242413789278E-2</v>
      </c>
      <c r="AH10" s="58">
        <f t="shared" si="14"/>
        <v>4.6293902285297339E-2</v>
      </c>
      <c r="AI10" s="58">
        <f t="shared" si="15"/>
        <v>3.8459694014494054E-2</v>
      </c>
      <c r="AJ10" s="58">
        <f t="shared" si="16"/>
        <v>3.4945783261612649E-2</v>
      </c>
      <c r="AK10" s="58">
        <f t="shared" si="17"/>
        <v>2.8826884181618162E-2</v>
      </c>
      <c r="AL10" s="58">
        <f t="shared" si="18"/>
        <v>2.7915083249948767E-2</v>
      </c>
      <c r="AM10" s="58">
        <f t="shared" si="19"/>
        <v>2.4749824218657832E-2</v>
      </c>
      <c r="AN10" s="58">
        <f t="shared" si="20"/>
        <v>2.3429282591263E-2</v>
      </c>
      <c r="AO10" s="58">
        <f t="shared" si="21"/>
        <v>1.8580417306348272E-2</v>
      </c>
      <c r="AR10" s="50">
        <f>HAVERA!D11/1000</f>
        <v>3.9E-2</v>
      </c>
      <c r="AS10" s="58">
        <f t="shared" si="22"/>
        <v>3.706074811404883E-2</v>
      </c>
      <c r="AT10" s="58">
        <f t="shared" si="23"/>
        <v>2.4340279703130747E-2</v>
      </c>
      <c r="AU10" s="58">
        <f t="shared" si="24"/>
        <v>2.4861770424211435E-2</v>
      </c>
      <c r="AV10" s="58">
        <f t="shared" si="25"/>
        <v>3.3343239938278479E-2</v>
      </c>
      <c r="AW10" s="58">
        <f t="shared" si="26"/>
        <v>3.8079985684888608E-2</v>
      </c>
      <c r="AX10" s="58">
        <f t="shared" si="27"/>
        <v>4.2426534821098899E-2</v>
      </c>
      <c r="AY10" s="58">
        <f t="shared" si="28"/>
        <v>3.8179694588152659E-2</v>
      </c>
      <c r="AZ10" s="58">
        <f t="shared" si="29"/>
        <v>4.0970914528984562E-2</v>
      </c>
      <c r="BA10" s="58">
        <f t="shared" si="30"/>
        <v>4.212164540774193E-2</v>
      </c>
      <c r="BB10" s="58">
        <f t="shared" si="31"/>
        <v>3.8661144389868049E-2</v>
      </c>
      <c r="BC10" s="58">
        <f t="shared" si="32"/>
        <v>3.3307380241979462E-2</v>
      </c>
      <c r="BF10" s="50">
        <f t="shared" si="44"/>
        <v>0.74999999999999989</v>
      </c>
      <c r="BG10" s="58">
        <f t="shared" si="33"/>
        <v>0.82863778690961098</v>
      </c>
      <c r="BH10" s="58">
        <f t="shared" si="34"/>
        <v>0.74703790682654014</v>
      </c>
      <c r="BI10" s="58">
        <f t="shared" si="35"/>
        <v>0.75148502311073606</v>
      </c>
      <c r="BJ10" s="58">
        <f t="shared" si="36"/>
        <v>0.77189075989794054</v>
      </c>
      <c r="BK10" s="58">
        <f t="shared" si="37"/>
        <v>0.79346372013957245</v>
      </c>
      <c r="BL10" s="58">
        <f t="shared" si="38"/>
        <v>0.80107393146427885</v>
      </c>
      <c r="BM10" s="58">
        <f t="shared" si="39"/>
        <v>0.82548173568046146</v>
      </c>
      <c r="BN10" s="58">
        <f t="shared" si="40"/>
        <v>0.82587233383553205</v>
      </c>
      <c r="BO10" s="58">
        <f t="shared" si="41"/>
        <v>0.83761447022570801</v>
      </c>
      <c r="BP10" s="58">
        <f t="shared" si="42"/>
        <v>0.84446769052076942</v>
      </c>
      <c r="BQ10" s="58">
        <f t="shared" si="43"/>
        <v>0.87679425554568635</v>
      </c>
    </row>
    <row r="11" spans="1:69" x14ac:dyDescent="0.35">
      <c r="A11" s="36">
        <v>1994</v>
      </c>
      <c r="P11" s="50">
        <f>HAVERA!B12/1000</f>
        <v>0.157</v>
      </c>
      <c r="Q11" s="58">
        <f t="shared" si="0"/>
        <v>0.10488419175242823</v>
      </c>
      <c r="R11" s="58">
        <f t="shared" si="1"/>
        <v>0.16946117277881081</v>
      </c>
      <c r="S11" s="58">
        <f t="shared" si="2"/>
        <v>0.16582996405126327</v>
      </c>
      <c r="T11" s="58">
        <f t="shared" si="3"/>
        <v>0.14847209787848367</v>
      </c>
      <c r="U11" s="58">
        <f t="shared" si="4"/>
        <v>0.129996600161045</v>
      </c>
      <c r="V11" s="58">
        <f t="shared" si="5"/>
        <v>0.12155375045300952</v>
      </c>
      <c r="W11" s="58">
        <f t="shared" si="6"/>
        <v>0.10751168554976781</v>
      </c>
      <c r="X11" s="58">
        <f t="shared" si="7"/>
        <v>0.10524166838553463</v>
      </c>
      <c r="Y11" s="58">
        <f t="shared" si="8"/>
        <v>9.5514060147892266E-2</v>
      </c>
      <c r="Z11" s="58">
        <f t="shared" si="9"/>
        <v>9.3441882498099649E-2</v>
      </c>
      <c r="AA11" s="58">
        <f t="shared" si="10"/>
        <v>7.1317946905985904E-2</v>
      </c>
      <c r="AD11" s="50">
        <f>HAVERA!C12/1000</f>
        <v>4.9000000000000002E-2</v>
      </c>
      <c r="AE11" s="58">
        <f t="shared" si="11"/>
        <v>2.9417273223912011E-2</v>
      </c>
      <c r="AF11" s="58">
        <f t="shared" si="12"/>
        <v>5.9160640691518232E-2</v>
      </c>
      <c r="AG11" s="58">
        <f t="shared" si="13"/>
        <v>5.7823242413789278E-2</v>
      </c>
      <c r="AH11" s="58">
        <f t="shared" si="14"/>
        <v>4.6293902285297339E-2</v>
      </c>
      <c r="AI11" s="58">
        <f t="shared" si="15"/>
        <v>3.8459694014494054E-2</v>
      </c>
      <c r="AJ11" s="58">
        <f t="shared" si="16"/>
        <v>3.4945783261612649E-2</v>
      </c>
      <c r="AK11" s="58">
        <f t="shared" si="17"/>
        <v>2.8826884181618162E-2</v>
      </c>
      <c r="AL11" s="58">
        <f t="shared" si="18"/>
        <v>2.7915083249948767E-2</v>
      </c>
      <c r="AM11" s="58">
        <f t="shared" si="19"/>
        <v>2.4749824218657832E-2</v>
      </c>
      <c r="AN11" s="58">
        <f t="shared" si="20"/>
        <v>2.3429282591263E-2</v>
      </c>
      <c r="AO11" s="58">
        <f t="shared" si="21"/>
        <v>1.8580417306348272E-2</v>
      </c>
      <c r="AR11" s="50">
        <f>HAVERA!D12/1000</f>
        <v>4.1000000000000002E-2</v>
      </c>
      <c r="AS11" s="58">
        <f t="shared" si="22"/>
        <v>3.706074811404883E-2</v>
      </c>
      <c r="AT11" s="58">
        <f t="shared" si="23"/>
        <v>2.4340279703130747E-2</v>
      </c>
      <c r="AU11" s="58">
        <f t="shared" si="24"/>
        <v>2.4861770424211435E-2</v>
      </c>
      <c r="AV11" s="58">
        <f t="shared" si="25"/>
        <v>3.3343239938278479E-2</v>
      </c>
      <c r="AW11" s="58">
        <f t="shared" si="26"/>
        <v>3.8079985684888608E-2</v>
      </c>
      <c r="AX11" s="58">
        <f t="shared" si="27"/>
        <v>4.2426534821098899E-2</v>
      </c>
      <c r="AY11" s="58">
        <f t="shared" si="28"/>
        <v>3.8179694588152659E-2</v>
      </c>
      <c r="AZ11" s="58">
        <f t="shared" si="29"/>
        <v>4.0970914528984562E-2</v>
      </c>
      <c r="BA11" s="58">
        <f t="shared" si="30"/>
        <v>4.212164540774193E-2</v>
      </c>
      <c r="BB11" s="58">
        <f t="shared" si="31"/>
        <v>3.8661144389868049E-2</v>
      </c>
      <c r="BC11" s="58">
        <f t="shared" si="32"/>
        <v>3.3307380241979462E-2</v>
      </c>
      <c r="BF11" s="50">
        <f t="shared" si="44"/>
        <v>0.75299999999999989</v>
      </c>
      <c r="BG11" s="58">
        <f t="shared" si="33"/>
        <v>0.82863778690961098</v>
      </c>
      <c r="BH11" s="58">
        <f t="shared" si="34"/>
        <v>0.74703790682654014</v>
      </c>
      <c r="BI11" s="58">
        <f t="shared" si="35"/>
        <v>0.75148502311073606</v>
      </c>
      <c r="BJ11" s="58">
        <f t="shared" si="36"/>
        <v>0.77189075989794054</v>
      </c>
      <c r="BK11" s="58">
        <f t="shared" si="37"/>
        <v>0.79346372013957245</v>
      </c>
      <c r="BL11" s="58">
        <f t="shared" si="38"/>
        <v>0.80107393146427885</v>
      </c>
      <c r="BM11" s="58">
        <f t="shared" si="39"/>
        <v>0.82548173568046146</v>
      </c>
      <c r="BN11" s="58">
        <f t="shared" si="40"/>
        <v>0.82587233383553205</v>
      </c>
      <c r="BO11" s="58">
        <f t="shared" si="41"/>
        <v>0.83761447022570801</v>
      </c>
      <c r="BP11" s="58">
        <f t="shared" si="42"/>
        <v>0.84446769052076942</v>
      </c>
      <c r="BQ11" s="58">
        <f t="shared" si="43"/>
        <v>0.87679425554568635</v>
      </c>
    </row>
    <row r="12" spans="1:69" x14ac:dyDescent="0.35">
      <c r="A12" s="36">
        <v>1995</v>
      </c>
      <c r="P12" s="50">
        <f>HAVERA!B13/1000</f>
        <v>0.158</v>
      </c>
      <c r="Q12" s="58">
        <f t="shared" si="0"/>
        <v>0.10488419175242823</v>
      </c>
      <c r="R12" s="58">
        <f t="shared" si="1"/>
        <v>0.16946117277881081</v>
      </c>
      <c r="S12" s="58">
        <f t="shared" si="2"/>
        <v>0.16582996405126327</v>
      </c>
      <c r="T12" s="58">
        <f t="shared" si="3"/>
        <v>0.14847209787848367</v>
      </c>
      <c r="U12" s="58">
        <f t="shared" si="4"/>
        <v>0.129996600161045</v>
      </c>
      <c r="V12" s="58">
        <f t="shared" si="5"/>
        <v>0.12155375045300952</v>
      </c>
      <c r="W12" s="58">
        <f t="shared" si="6"/>
        <v>0.10751168554976781</v>
      </c>
      <c r="X12" s="58">
        <f t="shared" si="7"/>
        <v>0.10524166838553463</v>
      </c>
      <c r="Y12" s="58">
        <f t="shared" si="8"/>
        <v>9.5514060147892266E-2</v>
      </c>
      <c r="Z12" s="58">
        <f t="shared" si="9"/>
        <v>9.3441882498099649E-2</v>
      </c>
      <c r="AA12" s="58">
        <f t="shared" si="10"/>
        <v>7.1317946905985904E-2</v>
      </c>
      <c r="AD12" s="50">
        <f>HAVERA!C13/1000</f>
        <v>4.9000000000000002E-2</v>
      </c>
      <c r="AE12" s="58">
        <f t="shared" si="11"/>
        <v>2.9417273223912011E-2</v>
      </c>
      <c r="AF12" s="58">
        <f t="shared" si="12"/>
        <v>5.9160640691518232E-2</v>
      </c>
      <c r="AG12" s="58">
        <f t="shared" si="13"/>
        <v>5.7823242413789278E-2</v>
      </c>
      <c r="AH12" s="58">
        <f t="shared" si="14"/>
        <v>4.6293902285297339E-2</v>
      </c>
      <c r="AI12" s="58">
        <f t="shared" si="15"/>
        <v>3.8459694014494054E-2</v>
      </c>
      <c r="AJ12" s="58">
        <f t="shared" si="16"/>
        <v>3.4945783261612649E-2</v>
      </c>
      <c r="AK12" s="58">
        <f t="shared" si="17"/>
        <v>2.8826884181618162E-2</v>
      </c>
      <c r="AL12" s="58">
        <f t="shared" si="18"/>
        <v>2.7915083249948767E-2</v>
      </c>
      <c r="AM12" s="58">
        <f t="shared" si="19"/>
        <v>2.4749824218657832E-2</v>
      </c>
      <c r="AN12" s="58">
        <f t="shared" si="20"/>
        <v>2.3429282591263E-2</v>
      </c>
      <c r="AO12" s="58">
        <f t="shared" si="21"/>
        <v>1.8580417306348272E-2</v>
      </c>
      <c r="AR12" s="50">
        <f>HAVERA!D13/1000</f>
        <v>4.1000000000000002E-2</v>
      </c>
      <c r="AS12" s="58">
        <f t="shared" si="22"/>
        <v>3.706074811404883E-2</v>
      </c>
      <c r="AT12" s="58">
        <f t="shared" si="23"/>
        <v>2.4340279703130747E-2</v>
      </c>
      <c r="AU12" s="58">
        <f t="shared" si="24"/>
        <v>2.4861770424211435E-2</v>
      </c>
      <c r="AV12" s="58">
        <f t="shared" si="25"/>
        <v>3.3343239938278479E-2</v>
      </c>
      <c r="AW12" s="58">
        <f t="shared" si="26"/>
        <v>3.8079985684888608E-2</v>
      </c>
      <c r="AX12" s="58">
        <f t="shared" si="27"/>
        <v>4.2426534821098899E-2</v>
      </c>
      <c r="AY12" s="58">
        <f t="shared" si="28"/>
        <v>3.8179694588152659E-2</v>
      </c>
      <c r="AZ12" s="58">
        <f t="shared" si="29"/>
        <v>4.0970914528984562E-2</v>
      </c>
      <c r="BA12" s="58">
        <f t="shared" si="30"/>
        <v>4.212164540774193E-2</v>
      </c>
      <c r="BB12" s="58">
        <f t="shared" si="31"/>
        <v>3.8661144389868049E-2</v>
      </c>
      <c r="BC12" s="58">
        <f t="shared" si="32"/>
        <v>3.3307380241979462E-2</v>
      </c>
      <c r="BF12" s="50">
        <f t="shared" si="44"/>
        <v>0.75199999999999989</v>
      </c>
      <c r="BG12" s="58">
        <f t="shared" si="33"/>
        <v>0.82863778690961098</v>
      </c>
      <c r="BH12" s="58">
        <f t="shared" si="34"/>
        <v>0.74703790682654014</v>
      </c>
      <c r="BI12" s="58">
        <f t="shared" si="35"/>
        <v>0.75148502311073606</v>
      </c>
      <c r="BJ12" s="58">
        <f t="shared" si="36"/>
        <v>0.77189075989794054</v>
      </c>
      <c r="BK12" s="58">
        <f t="shared" si="37"/>
        <v>0.79346372013957245</v>
      </c>
      <c r="BL12" s="58">
        <f t="shared" si="38"/>
        <v>0.80107393146427885</v>
      </c>
      <c r="BM12" s="58">
        <f t="shared" si="39"/>
        <v>0.82548173568046146</v>
      </c>
      <c r="BN12" s="58">
        <f t="shared" si="40"/>
        <v>0.82587233383553205</v>
      </c>
      <c r="BO12" s="58">
        <f t="shared" si="41"/>
        <v>0.83761447022570801</v>
      </c>
      <c r="BP12" s="58">
        <f t="shared" si="42"/>
        <v>0.84446769052076942</v>
      </c>
      <c r="BQ12" s="58">
        <f t="shared" si="43"/>
        <v>0.87679425554568635</v>
      </c>
    </row>
    <row r="13" spans="1:69" x14ac:dyDescent="0.35">
      <c r="A13" s="36">
        <v>1996</v>
      </c>
      <c r="B13" s="34">
        <f>DataA!N30</f>
        <v>68.816670000000002</v>
      </c>
      <c r="C13" s="34">
        <f>DataA!O30</f>
        <v>58.908329999999999</v>
      </c>
      <c r="D13" s="34">
        <f>DataA!P30</f>
        <v>40.200000000000003</v>
      </c>
      <c r="E13" s="34">
        <f>DataA!Q30</f>
        <v>50.466670000000001</v>
      </c>
      <c r="F13" s="34">
        <f>$F$32*(1*B13/$B$32-P13*C13/$C$32-AD13*D13/$D$32-AR13*E13/$E$32)/(1-P13-AD13-AR13)</f>
        <v>73.509341992738371</v>
      </c>
      <c r="G13" s="55">
        <f t="shared" ref="G13:G21" si="45">G14*(P13*C13/C14+AD13*D13/D14+AR13*E13/E14+BF13*F13/F14)</f>
        <v>69.999736594239238</v>
      </c>
      <c r="H13" t="e">
        <f>100*((G13/G12)-1)</f>
        <v>#DIV/0!</v>
      </c>
      <c r="I13" t="e">
        <f>100*((B13/B12)-1)</f>
        <v>#DIV/0!</v>
      </c>
      <c r="P13" s="50">
        <f>HAVERA!B14/1000</f>
        <v>0.156</v>
      </c>
      <c r="Q13" s="58">
        <f t="shared" si="0"/>
        <v>0.10488419175242823</v>
      </c>
      <c r="R13" s="58">
        <f t="shared" si="1"/>
        <v>0.16946117277881081</v>
      </c>
      <c r="S13" s="58">
        <f t="shared" si="2"/>
        <v>0.16582996405126327</v>
      </c>
      <c r="T13" s="58">
        <f t="shared" si="3"/>
        <v>0.14847209787848367</v>
      </c>
      <c r="U13" s="58">
        <f t="shared" si="4"/>
        <v>0.129996600161045</v>
      </c>
      <c r="V13" s="58">
        <f t="shared" si="5"/>
        <v>0.12155375045300952</v>
      </c>
      <c r="W13" s="58">
        <f t="shared" si="6"/>
        <v>0.10751168554976781</v>
      </c>
      <c r="X13" s="58">
        <f t="shared" si="7"/>
        <v>0.10524166838553463</v>
      </c>
      <c r="Y13" s="58">
        <f t="shared" si="8"/>
        <v>9.5514060147892266E-2</v>
      </c>
      <c r="Z13" s="58">
        <f t="shared" si="9"/>
        <v>9.3441882498099649E-2</v>
      </c>
      <c r="AA13" s="58">
        <f t="shared" si="10"/>
        <v>7.1317946905985904E-2</v>
      </c>
      <c r="AD13" s="50">
        <f>HAVERA!C14/1000</f>
        <v>4.4999999999999998E-2</v>
      </c>
      <c r="AE13" s="58">
        <f t="shared" si="11"/>
        <v>2.9417273223912011E-2</v>
      </c>
      <c r="AF13" s="58">
        <f t="shared" si="12"/>
        <v>5.9160640691518232E-2</v>
      </c>
      <c r="AG13" s="58">
        <f t="shared" si="13"/>
        <v>5.7823242413789278E-2</v>
      </c>
      <c r="AH13" s="58">
        <f t="shared" si="14"/>
        <v>4.6293902285297339E-2</v>
      </c>
      <c r="AI13" s="58">
        <f t="shared" si="15"/>
        <v>3.8459694014494054E-2</v>
      </c>
      <c r="AJ13" s="58">
        <f t="shared" si="16"/>
        <v>3.4945783261612649E-2</v>
      </c>
      <c r="AK13" s="58">
        <f t="shared" si="17"/>
        <v>2.8826884181618162E-2</v>
      </c>
      <c r="AL13" s="58">
        <f t="shared" si="18"/>
        <v>2.7915083249948767E-2</v>
      </c>
      <c r="AM13" s="58">
        <f t="shared" si="19"/>
        <v>2.4749824218657832E-2</v>
      </c>
      <c r="AN13" s="58">
        <f t="shared" si="20"/>
        <v>2.3429282591263E-2</v>
      </c>
      <c r="AO13" s="58">
        <f t="shared" si="21"/>
        <v>1.8580417306348272E-2</v>
      </c>
      <c r="AR13" s="50">
        <f>HAVERA!D14/1000</f>
        <v>0.04</v>
      </c>
      <c r="AS13" s="58">
        <f t="shared" si="22"/>
        <v>3.706074811404883E-2</v>
      </c>
      <c r="AT13" s="58">
        <f t="shared" si="23"/>
        <v>2.4340279703130747E-2</v>
      </c>
      <c r="AU13" s="58">
        <f t="shared" si="24"/>
        <v>2.4861770424211435E-2</v>
      </c>
      <c r="AV13" s="58">
        <f t="shared" si="25"/>
        <v>3.3343239938278479E-2</v>
      </c>
      <c r="AW13" s="58">
        <f t="shared" si="26"/>
        <v>3.8079985684888608E-2</v>
      </c>
      <c r="AX13" s="58">
        <f t="shared" si="27"/>
        <v>4.2426534821098899E-2</v>
      </c>
      <c r="AY13" s="58">
        <f t="shared" si="28"/>
        <v>3.8179694588152659E-2</v>
      </c>
      <c r="AZ13" s="58">
        <f t="shared" si="29"/>
        <v>4.0970914528984562E-2</v>
      </c>
      <c r="BA13" s="58">
        <f t="shared" si="30"/>
        <v>4.212164540774193E-2</v>
      </c>
      <c r="BB13" s="58">
        <f t="shared" si="31"/>
        <v>3.8661144389868049E-2</v>
      </c>
      <c r="BC13" s="58">
        <f t="shared" si="32"/>
        <v>3.3307380241979462E-2</v>
      </c>
      <c r="BF13" s="50">
        <f t="shared" si="44"/>
        <v>0.7589999999999999</v>
      </c>
      <c r="BG13" s="58">
        <f t="shared" si="33"/>
        <v>0.82863778690961098</v>
      </c>
      <c r="BH13" s="58">
        <f t="shared" si="34"/>
        <v>0.74703790682654014</v>
      </c>
      <c r="BI13" s="58">
        <f t="shared" si="35"/>
        <v>0.75148502311073606</v>
      </c>
      <c r="BJ13" s="58">
        <f t="shared" si="36"/>
        <v>0.77189075989794054</v>
      </c>
      <c r="BK13" s="58">
        <f t="shared" si="37"/>
        <v>0.79346372013957245</v>
      </c>
      <c r="BL13" s="58">
        <f t="shared" si="38"/>
        <v>0.80107393146427885</v>
      </c>
      <c r="BM13" s="58">
        <f t="shared" si="39"/>
        <v>0.82548173568046146</v>
      </c>
      <c r="BN13" s="58">
        <f t="shared" si="40"/>
        <v>0.82587233383553205</v>
      </c>
      <c r="BO13" s="58">
        <f t="shared" si="41"/>
        <v>0.83761447022570801</v>
      </c>
      <c r="BP13" s="58">
        <f t="shared" si="42"/>
        <v>0.84446769052076942</v>
      </c>
      <c r="BQ13" s="58">
        <f t="shared" si="43"/>
        <v>0.87679425554568635</v>
      </c>
    </row>
    <row r="14" spans="1:69" x14ac:dyDescent="0.35">
      <c r="A14" s="36">
        <v>1997</v>
      </c>
      <c r="B14" s="34">
        <f>DataA!N31</f>
        <v>70.066670000000002</v>
      </c>
      <c r="C14" s="34">
        <f>DataA!O31</f>
        <v>59.608330000000002</v>
      </c>
      <c r="D14" s="34">
        <f>DataA!P31</f>
        <v>39.016669999999998</v>
      </c>
      <c r="E14" s="34">
        <f>DataA!Q31</f>
        <v>55.483330000000002</v>
      </c>
      <c r="F14" s="34">
        <f t="shared" ref="F14:F31" si="46">$F$32*(1*B14/$B$32-P14*C14/$C$32-AD14*D14/$D$32-AR14*E14/$E$32)/(1-P14-AD14-AR14)</f>
        <v>74.767240876406873</v>
      </c>
      <c r="G14" s="55">
        <f t="shared" si="45"/>
        <v>71.199695313247318</v>
      </c>
      <c r="H14" s="34">
        <f>100*((G14/G13)-1)</f>
        <v>1.7142331919957954</v>
      </c>
      <c r="I14" s="34">
        <f>100*((B14/B13)-1)</f>
        <v>1.8164203528011402</v>
      </c>
      <c r="P14" s="50">
        <f>HAVERA!B15/1000</f>
        <v>0.152</v>
      </c>
      <c r="Q14" s="58">
        <f t="shared" si="0"/>
        <v>0.10488419175242823</v>
      </c>
      <c r="R14" s="58">
        <f t="shared" si="1"/>
        <v>0.16946117277881081</v>
      </c>
      <c r="S14" s="58">
        <f t="shared" si="2"/>
        <v>0.16582996405126327</v>
      </c>
      <c r="T14" s="58">
        <f t="shared" si="3"/>
        <v>0.14847209787848367</v>
      </c>
      <c r="U14" s="58">
        <f t="shared" si="4"/>
        <v>0.129996600161045</v>
      </c>
      <c r="V14" s="58">
        <f t="shared" si="5"/>
        <v>0.12155375045300952</v>
      </c>
      <c r="W14" s="58">
        <f t="shared" si="6"/>
        <v>0.10751168554976781</v>
      </c>
      <c r="X14" s="58">
        <f t="shared" si="7"/>
        <v>0.10524166838553463</v>
      </c>
      <c r="Y14" s="58">
        <f t="shared" si="8"/>
        <v>9.5514060147892266E-2</v>
      </c>
      <c r="Z14" s="58">
        <f t="shared" si="9"/>
        <v>9.3441882498099649E-2</v>
      </c>
      <c r="AA14" s="58">
        <f t="shared" si="10"/>
        <v>7.1317946905985904E-2</v>
      </c>
      <c r="AD14" s="50">
        <f>HAVERA!C15/1000</f>
        <v>4.3999999999999997E-2</v>
      </c>
      <c r="AE14" s="58">
        <f t="shared" si="11"/>
        <v>2.9417273223912011E-2</v>
      </c>
      <c r="AF14" s="58">
        <f t="shared" si="12"/>
        <v>5.9160640691518232E-2</v>
      </c>
      <c r="AG14" s="58">
        <f t="shared" si="13"/>
        <v>5.7823242413789278E-2</v>
      </c>
      <c r="AH14" s="58">
        <f t="shared" si="14"/>
        <v>4.6293902285297339E-2</v>
      </c>
      <c r="AI14" s="58">
        <f t="shared" si="15"/>
        <v>3.8459694014494054E-2</v>
      </c>
      <c r="AJ14" s="58">
        <f t="shared" si="16"/>
        <v>3.4945783261612649E-2</v>
      </c>
      <c r="AK14" s="58">
        <f t="shared" si="17"/>
        <v>2.8826884181618162E-2</v>
      </c>
      <c r="AL14" s="58">
        <f t="shared" si="18"/>
        <v>2.7915083249948767E-2</v>
      </c>
      <c r="AM14" s="58">
        <f t="shared" si="19"/>
        <v>2.4749824218657832E-2</v>
      </c>
      <c r="AN14" s="58">
        <f t="shared" si="20"/>
        <v>2.3429282591263E-2</v>
      </c>
      <c r="AO14" s="58">
        <f t="shared" si="21"/>
        <v>1.8580417306348272E-2</v>
      </c>
      <c r="AR14" s="50">
        <f>HAVERA!D15/1000</f>
        <v>4.2999999999999997E-2</v>
      </c>
      <c r="AS14" s="58">
        <f t="shared" si="22"/>
        <v>3.706074811404883E-2</v>
      </c>
      <c r="AT14" s="58">
        <f t="shared" si="23"/>
        <v>2.4340279703130747E-2</v>
      </c>
      <c r="AU14" s="58">
        <f t="shared" si="24"/>
        <v>2.4861770424211435E-2</v>
      </c>
      <c r="AV14" s="58">
        <f t="shared" si="25"/>
        <v>3.3343239938278479E-2</v>
      </c>
      <c r="AW14" s="58">
        <f t="shared" si="26"/>
        <v>3.8079985684888608E-2</v>
      </c>
      <c r="AX14" s="58">
        <f t="shared" si="27"/>
        <v>4.2426534821098899E-2</v>
      </c>
      <c r="AY14" s="58">
        <f t="shared" si="28"/>
        <v>3.8179694588152659E-2</v>
      </c>
      <c r="AZ14" s="58">
        <f t="shared" si="29"/>
        <v>4.0970914528984562E-2</v>
      </c>
      <c r="BA14" s="58">
        <f t="shared" si="30"/>
        <v>4.212164540774193E-2</v>
      </c>
      <c r="BB14" s="58">
        <f t="shared" si="31"/>
        <v>3.8661144389868049E-2</v>
      </c>
      <c r="BC14" s="58">
        <f t="shared" si="32"/>
        <v>3.3307380241979462E-2</v>
      </c>
      <c r="BF14" s="50">
        <f t="shared" si="44"/>
        <v>0.7609999999999999</v>
      </c>
      <c r="BG14" s="58">
        <f t="shared" si="33"/>
        <v>0.82863778690961098</v>
      </c>
      <c r="BH14" s="58">
        <f t="shared" si="34"/>
        <v>0.74703790682654014</v>
      </c>
      <c r="BI14" s="58">
        <f t="shared" si="35"/>
        <v>0.75148502311073606</v>
      </c>
      <c r="BJ14" s="58">
        <f t="shared" si="36"/>
        <v>0.77189075989794054</v>
      </c>
      <c r="BK14" s="58">
        <f t="shared" si="37"/>
        <v>0.79346372013957245</v>
      </c>
      <c r="BL14" s="58">
        <f t="shared" si="38"/>
        <v>0.80107393146427885</v>
      </c>
      <c r="BM14" s="58">
        <f t="shared" si="39"/>
        <v>0.82548173568046146</v>
      </c>
      <c r="BN14" s="58">
        <f t="shared" si="40"/>
        <v>0.82587233383553205</v>
      </c>
      <c r="BO14" s="58">
        <f t="shared" si="41"/>
        <v>0.83761447022570801</v>
      </c>
      <c r="BP14" s="58">
        <f t="shared" si="42"/>
        <v>0.84446769052076942</v>
      </c>
      <c r="BQ14" s="58">
        <f t="shared" si="43"/>
        <v>0.87679425554568635</v>
      </c>
    </row>
    <row r="15" spans="1:69" x14ac:dyDescent="0.35">
      <c r="A15" s="36">
        <v>1998</v>
      </c>
      <c r="B15" s="34">
        <f>DataA!N32</f>
        <v>71.158330000000007</v>
      </c>
      <c r="C15" s="34">
        <f>DataA!O32</f>
        <v>61.066659999999999</v>
      </c>
      <c r="D15" s="34">
        <f>DataA!P32</f>
        <v>37.383339999999997</v>
      </c>
      <c r="E15" s="34">
        <f>DataA!Q32</f>
        <v>58.258339999999997</v>
      </c>
      <c r="F15" s="34">
        <f t="shared" si="46"/>
        <v>75.644456246829748</v>
      </c>
      <c r="G15" s="55">
        <f t="shared" si="45"/>
        <v>72.106848265614971</v>
      </c>
      <c r="H15" s="34">
        <f t="shared" ref="H15:H43" si="47">100*((G15/G14)-1)</f>
        <v>1.2740966774879903</v>
      </c>
      <c r="I15" s="34">
        <f t="shared" ref="I15:I40" si="48">100*((B15/B14)-1)</f>
        <v>1.5580303730718281</v>
      </c>
      <c r="P15" s="50">
        <f>HAVERA!B16/1000</f>
        <v>0.14399999999999999</v>
      </c>
      <c r="Q15" s="58">
        <f t="shared" si="0"/>
        <v>0.10488419175242823</v>
      </c>
      <c r="R15" s="58">
        <f t="shared" si="1"/>
        <v>0.16946117277881081</v>
      </c>
      <c r="S15" s="58">
        <f t="shared" si="2"/>
        <v>0.16582996405126327</v>
      </c>
      <c r="T15" s="58">
        <f t="shared" si="3"/>
        <v>0.14847209787848367</v>
      </c>
      <c r="U15" s="58">
        <f t="shared" si="4"/>
        <v>0.129996600161045</v>
      </c>
      <c r="V15" s="58">
        <f t="shared" si="5"/>
        <v>0.12155375045300952</v>
      </c>
      <c r="W15" s="58">
        <f t="shared" si="6"/>
        <v>0.10751168554976781</v>
      </c>
      <c r="X15" s="58">
        <f t="shared" si="7"/>
        <v>0.10524166838553463</v>
      </c>
      <c r="Y15" s="58">
        <f t="shared" si="8"/>
        <v>9.5514060147892266E-2</v>
      </c>
      <c r="Z15" s="58">
        <f t="shared" si="9"/>
        <v>9.3441882498099649E-2</v>
      </c>
      <c r="AA15" s="58">
        <f t="shared" si="10"/>
        <v>7.1317946905985904E-2</v>
      </c>
      <c r="AD15" s="50">
        <f>HAVERA!C16/1000</f>
        <v>4.2999999999999997E-2</v>
      </c>
      <c r="AE15" s="58">
        <f t="shared" si="11"/>
        <v>2.9417273223912011E-2</v>
      </c>
      <c r="AF15" s="58">
        <f t="shared" si="12"/>
        <v>5.9160640691518232E-2</v>
      </c>
      <c r="AG15" s="58">
        <f t="shared" si="13"/>
        <v>5.7823242413789278E-2</v>
      </c>
      <c r="AH15" s="58">
        <f t="shared" si="14"/>
        <v>4.6293902285297339E-2</v>
      </c>
      <c r="AI15" s="58">
        <f t="shared" si="15"/>
        <v>3.8459694014494054E-2</v>
      </c>
      <c r="AJ15" s="58">
        <f t="shared" si="16"/>
        <v>3.4945783261612649E-2</v>
      </c>
      <c r="AK15" s="58">
        <f t="shared" si="17"/>
        <v>2.8826884181618162E-2</v>
      </c>
      <c r="AL15" s="58">
        <f t="shared" si="18"/>
        <v>2.7915083249948767E-2</v>
      </c>
      <c r="AM15" s="58">
        <f t="shared" si="19"/>
        <v>2.4749824218657832E-2</v>
      </c>
      <c r="AN15" s="58">
        <f t="shared" si="20"/>
        <v>2.3429282591263E-2</v>
      </c>
      <c r="AO15" s="58">
        <f t="shared" si="21"/>
        <v>1.8580417306348272E-2</v>
      </c>
      <c r="AR15" s="50">
        <f>HAVERA!D16/1000</f>
        <v>4.2999999999999997E-2</v>
      </c>
      <c r="AS15" s="58">
        <f t="shared" si="22"/>
        <v>3.706074811404883E-2</v>
      </c>
      <c r="AT15" s="58">
        <f t="shared" si="23"/>
        <v>2.4340279703130747E-2</v>
      </c>
      <c r="AU15" s="58">
        <f t="shared" si="24"/>
        <v>2.4861770424211435E-2</v>
      </c>
      <c r="AV15" s="58">
        <f t="shared" si="25"/>
        <v>3.3343239938278479E-2</v>
      </c>
      <c r="AW15" s="58">
        <f t="shared" si="26"/>
        <v>3.8079985684888608E-2</v>
      </c>
      <c r="AX15" s="58">
        <f t="shared" si="27"/>
        <v>4.2426534821098899E-2</v>
      </c>
      <c r="AY15" s="58">
        <f t="shared" si="28"/>
        <v>3.8179694588152659E-2</v>
      </c>
      <c r="AZ15" s="58">
        <f t="shared" si="29"/>
        <v>4.0970914528984562E-2</v>
      </c>
      <c r="BA15" s="58">
        <f t="shared" si="30"/>
        <v>4.212164540774193E-2</v>
      </c>
      <c r="BB15" s="58">
        <f t="shared" si="31"/>
        <v>3.8661144389868049E-2</v>
      </c>
      <c r="BC15" s="58">
        <f t="shared" si="32"/>
        <v>3.3307380241979462E-2</v>
      </c>
      <c r="BF15" s="50">
        <f t="shared" si="44"/>
        <v>0.76999999999999991</v>
      </c>
      <c r="BG15" s="58">
        <f t="shared" si="33"/>
        <v>0.82863778690961098</v>
      </c>
      <c r="BH15" s="58">
        <f t="shared" si="34"/>
        <v>0.74703790682654014</v>
      </c>
      <c r="BI15" s="58">
        <f t="shared" si="35"/>
        <v>0.75148502311073606</v>
      </c>
      <c r="BJ15" s="58">
        <f t="shared" si="36"/>
        <v>0.77189075989794054</v>
      </c>
      <c r="BK15" s="58">
        <f t="shared" si="37"/>
        <v>0.79346372013957245</v>
      </c>
      <c r="BL15" s="58">
        <f t="shared" si="38"/>
        <v>0.80107393146427885</v>
      </c>
      <c r="BM15" s="58">
        <f t="shared" si="39"/>
        <v>0.82548173568046146</v>
      </c>
      <c r="BN15" s="58">
        <f t="shared" si="40"/>
        <v>0.82587233383553205</v>
      </c>
      <c r="BO15" s="58">
        <f t="shared" si="41"/>
        <v>0.83761447022570801</v>
      </c>
      <c r="BP15" s="58">
        <f t="shared" si="42"/>
        <v>0.84446769052076942</v>
      </c>
      <c r="BQ15" s="58">
        <f t="shared" si="43"/>
        <v>0.87679425554568635</v>
      </c>
    </row>
    <row r="16" spans="1:69" x14ac:dyDescent="0.35">
      <c r="A16" s="36">
        <v>1999</v>
      </c>
      <c r="B16" s="34">
        <f>DataA!N33</f>
        <v>72.116659999999996</v>
      </c>
      <c r="C16" s="34">
        <f>DataA!O33</f>
        <v>62.375</v>
      </c>
      <c r="D16" s="34">
        <f>DataA!P33</f>
        <v>37.366660000000003</v>
      </c>
      <c r="E16" s="34">
        <f>DataA!Q33</f>
        <v>63.166670000000003</v>
      </c>
      <c r="F16" s="34">
        <f t="shared" si="46"/>
        <v>76.16619181058644</v>
      </c>
      <c r="G16" s="55">
        <f t="shared" si="45"/>
        <v>72.95436077003427</v>
      </c>
      <c r="H16" s="34">
        <f t="shared" si="47"/>
        <v>1.1753564672489558</v>
      </c>
      <c r="I16" s="34">
        <f t="shared" si="48"/>
        <v>1.3467572946132877</v>
      </c>
      <c r="P16" s="50">
        <f>HAVERA!B17/1000</f>
        <v>0.14099999999999999</v>
      </c>
      <c r="Q16" s="58">
        <f t="shared" si="0"/>
        <v>0.10488419175242823</v>
      </c>
      <c r="R16" s="58">
        <f t="shared" si="1"/>
        <v>0.16946117277881081</v>
      </c>
      <c r="S16" s="58">
        <f t="shared" si="2"/>
        <v>0.16582996405126327</v>
      </c>
      <c r="T16" s="58">
        <f t="shared" si="3"/>
        <v>0.14847209787848367</v>
      </c>
      <c r="U16" s="58">
        <f t="shared" si="4"/>
        <v>0.129996600161045</v>
      </c>
      <c r="V16" s="58">
        <f t="shared" si="5"/>
        <v>0.12155375045300952</v>
      </c>
      <c r="W16" s="58">
        <f t="shared" si="6"/>
        <v>0.10751168554976781</v>
      </c>
      <c r="X16" s="58">
        <f t="shared" si="7"/>
        <v>0.10524166838553463</v>
      </c>
      <c r="Y16" s="58">
        <f t="shared" si="8"/>
        <v>9.5514060147892266E-2</v>
      </c>
      <c r="Z16" s="58">
        <f t="shared" si="9"/>
        <v>9.3441882498099649E-2</v>
      </c>
      <c r="AA16" s="58">
        <f t="shared" si="10"/>
        <v>7.1317946905985904E-2</v>
      </c>
      <c r="AD16" s="50">
        <f>HAVERA!C17/1000</f>
        <v>0.04</v>
      </c>
      <c r="AE16" s="58">
        <f t="shared" si="11"/>
        <v>2.9417273223912011E-2</v>
      </c>
      <c r="AF16" s="58">
        <f t="shared" si="12"/>
        <v>5.9160640691518232E-2</v>
      </c>
      <c r="AG16" s="58">
        <f t="shared" si="13"/>
        <v>5.7823242413789278E-2</v>
      </c>
      <c r="AH16" s="58">
        <f t="shared" si="14"/>
        <v>4.6293902285297339E-2</v>
      </c>
      <c r="AI16" s="58">
        <f t="shared" si="15"/>
        <v>3.8459694014494054E-2</v>
      </c>
      <c r="AJ16" s="58">
        <f t="shared" si="16"/>
        <v>3.4945783261612649E-2</v>
      </c>
      <c r="AK16" s="58">
        <f t="shared" si="17"/>
        <v>2.8826884181618162E-2</v>
      </c>
      <c r="AL16" s="58">
        <f t="shared" si="18"/>
        <v>2.7915083249948767E-2</v>
      </c>
      <c r="AM16" s="58">
        <f t="shared" si="19"/>
        <v>2.4749824218657832E-2</v>
      </c>
      <c r="AN16" s="58">
        <f t="shared" si="20"/>
        <v>2.3429282591263E-2</v>
      </c>
      <c r="AO16" s="58">
        <f t="shared" si="21"/>
        <v>1.8580417306348272E-2</v>
      </c>
      <c r="AR16" s="50">
        <f>HAVERA!D17/1000</f>
        <v>4.2999999999999997E-2</v>
      </c>
      <c r="AS16" s="58">
        <f t="shared" si="22"/>
        <v>3.706074811404883E-2</v>
      </c>
      <c r="AT16" s="58">
        <f t="shared" si="23"/>
        <v>2.4340279703130747E-2</v>
      </c>
      <c r="AU16" s="58">
        <f t="shared" si="24"/>
        <v>2.4861770424211435E-2</v>
      </c>
      <c r="AV16" s="58">
        <f t="shared" si="25"/>
        <v>3.3343239938278479E-2</v>
      </c>
      <c r="AW16" s="58">
        <f t="shared" si="26"/>
        <v>3.8079985684888608E-2</v>
      </c>
      <c r="AX16" s="58">
        <f t="shared" si="27"/>
        <v>4.2426534821098899E-2</v>
      </c>
      <c r="AY16" s="58">
        <f t="shared" si="28"/>
        <v>3.8179694588152659E-2</v>
      </c>
      <c r="AZ16" s="58">
        <f t="shared" si="29"/>
        <v>4.0970914528984562E-2</v>
      </c>
      <c r="BA16" s="58">
        <f t="shared" si="30"/>
        <v>4.212164540774193E-2</v>
      </c>
      <c r="BB16" s="58">
        <f t="shared" si="31"/>
        <v>3.8661144389868049E-2</v>
      </c>
      <c r="BC16" s="58">
        <f t="shared" si="32"/>
        <v>3.3307380241979462E-2</v>
      </c>
      <c r="BF16" s="50">
        <f t="shared" si="44"/>
        <v>0.77599999999999991</v>
      </c>
      <c r="BG16" s="58">
        <f t="shared" si="33"/>
        <v>0.82863778690961098</v>
      </c>
      <c r="BH16" s="58">
        <f t="shared" si="34"/>
        <v>0.74703790682654014</v>
      </c>
      <c r="BI16" s="58">
        <f t="shared" si="35"/>
        <v>0.75148502311073606</v>
      </c>
      <c r="BJ16" s="58">
        <f t="shared" si="36"/>
        <v>0.77189075989794054</v>
      </c>
      <c r="BK16" s="58">
        <f t="shared" si="37"/>
        <v>0.79346372013957245</v>
      </c>
      <c r="BL16" s="58">
        <f t="shared" si="38"/>
        <v>0.80107393146427885</v>
      </c>
      <c r="BM16" s="58">
        <f t="shared" si="39"/>
        <v>0.82548173568046146</v>
      </c>
      <c r="BN16" s="58">
        <f t="shared" si="40"/>
        <v>0.82587233383553205</v>
      </c>
      <c r="BO16" s="58">
        <f t="shared" si="41"/>
        <v>0.83761447022570801</v>
      </c>
      <c r="BP16" s="58">
        <f t="shared" si="42"/>
        <v>0.84446769052076942</v>
      </c>
      <c r="BQ16" s="58">
        <f t="shared" si="43"/>
        <v>0.87679425554568635</v>
      </c>
    </row>
    <row r="17" spans="1:69" x14ac:dyDescent="0.35">
      <c r="A17" s="36">
        <v>2000</v>
      </c>
      <c r="B17" s="34">
        <f>DataA!N34</f>
        <v>72.691670000000002</v>
      </c>
      <c r="C17" s="34">
        <f>DataA!O34</f>
        <v>63.075000000000003</v>
      </c>
      <c r="D17" s="34">
        <f>DataA!P34</f>
        <v>37.391669999999998</v>
      </c>
      <c r="E17" s="34">
        <f>DataA!Q34</f>
        <v>71.474999999999994</v>
      </c>
      <c r="F17" s="34">
        <f t="shared" si="46"/>
        <v>75.623249326368864</v>
      </c>
      <c r="G17" s="55">
        <f t="shared" si="45"/>
        <v>73.028746177803285</v>
      </c>
      <c r="H17" s="34">
        <f t="shared" si="47"/>
        <v>0.10196156471509177</v>
      </c>
      <c r="I17" s="34">
        <f t="shared" si="48"/>
        <v>0.79733309889837845</v>
      </c>
      <c r="P17" s="50">
        <f>HAVERA!B18/1000</f>
        <v>0.121</v>
      </c>
      <c r="Q17" s="58">
        <f>Q18</f>
        <v>0.10488419175242823</v>
      </c>
      <c r="R17" s="58">
        <f t="shared" si="1"/>
        <v>0.16946117277881081</v>
      </c>
      <c r="S17" s="58">
        <f t="shared" si="2"/>
        <v>0.16582996405126327</v>
      </c>
      <c r="T17" s="58">
        <f t="shared" si="3"/>
        <v>0.14847209787848367</v>
      </c>
      <c r="U17" s="58">
        <f t="shared" si="4"/>
        <v>0.129996600161045</v>
      </c>
      <c r="V17" s="58">
        <f t="shared" si="5"/>
        <v>0.12155375045300952</v>
      </c>
      <c r="W17" s="58">
        <f t="shared" si="6"/>
        <v>0.10751168554976781</v>
      </c>
      <c r="X17" s="58">
        <f t="shared" si="7"/>
        <v>0.10524166838553463</v>
      </c>
      <c r="Y17" s="58">
        <f t="shared" si="8"/>
        <v>9.5514060147892266E-2</v>
      </c>
      <c r="Z17" s="58">
        <f t="shared" si="9"/>
        <v>9.3441882498099649E-2</v>
      </c>
      <c r="AA17" s="58">
        <f t="shared" si="10"/>
        <v>7.1317946905985904E-2</v>
      </c>
      <c r="AD17" s="50">
        <f>HAVERA!C18/1000</f>
        <v>3.3000000000000002E-2</v>
      </c>
      <c r="AE17" s="58">
        <f>AE18</f>
        <v>2.9417273223912011E-2</v>
      </c>
      <c r="AF17" s="58">
        <f t="shared" si="12"/>
        <v>5.9160640691518232E-2</v>
      </c>
      <c r="AG17" s="58">
        <f t="shared" si="13"/>
        <v>5.7823242413789278E-2</v>
      </c>
      <c r="AH17" s="58">
        <f t="shared" si="14"/>
        <v>4.6293902285297339E-2</v>
      </c>
      <c r="AI17" s="58">
        <f t="shared" si="15"/>
        <v>3.8459694014494054E-2</v>
      </c>
      <c r="AJ17" s="58">
        <f t="shared" si="16"/>
        <v>3.4945783261612649E-2</v>
      </c>
      <c r="AK17" s="58">
        <f t="shared" si="17"/>
        <v>2.8826884181618162E-2</v>
      </c>
      <c r="AL17" s="58">
        <f t="shared" si="18"/>
        <v>2.7915083249948767E-2</v>
      </c>
      <c r="AM17" s="58">
        <f t="shared" si="19"/>
        <v>2.4749824218657832E-2</v>
      </c>
      <c r="AN17" s="58">
        <f t="shared" si="20"/>
        <v>2.3429282591263E-2</v>
      </c>
      <c r="AO17" s="58">
        <f t="shared" si="21"/>
        <v>1.8580417306348272E-2</v>
      </c>
      <c r="AR17" s="50">
        <f>HAVERA!D18/1000</f>
        <v>3.7999999999999999E-2</v>
      </c>
      <c r="AS17" s="58">
        <f>AS18</f>
        <v>3.706074811404883E-2</v>
      </c>
      <c r="AT17" s="58">
        <f t="shared" ref="AT17:BC17" si="49">AT18</f>
        <v>2.4340279703130747E-2</v>
      </c>
      <c r="AU17" s="58">
        <f t="shared" si="49"/>
        <v>2.4861770424211435E-2</v>
      </c>
      <c r="AV17" s="58">
        <f t="shared" si="49"/>
        <v>3.3343239938278479E-2</v>
      </c>
      <c r="AW17" s="58">
        <f t="shared" si="49"/>
        <v>3.8079985684888608E-2</v>
      </c>
      <c r="AX17" s="58">
        <f t="shared" si="49"/>
        <v>4.2426534821098899E-2</v>
      </c>
      <c r="AY17" s="58">
        <f t="shared" si="49"/>
        <v>3.8179694588152659E-2</v>
      </c>
      <c r="AZ17" s="58">
        <f t="shared" si="49"/>
        <v>4.0970914528984562E-2</v>
      </c>
      <c r="BA17" s="58">
        <f t="shared" si="49"/>
        <v>4.212164540774193E-2</v>
      </c>
      <c r="BB17" s="58">
        <f t="shared" si="49"/>
        <v>3.8661144389868049E-2</v>
      </c>
      <c r="BC17" s="58">
        <f t="shared" si="49"/>
        <v>3.3307380241979462E-2</v>
      </c>
      <c r="BF17" s="50">
        <f t="shared" si="44"/>
        <v>0.80799999999999994</v>
      </c>
      <c r="BG17" s="58">
        <f>BG18</f>
        <v>0.82863778690961098</v>
      </c>
      <c r="BH17" s="58">
        <f t="shared" si="34"/>
        <v>0.74703790682654014</v>
      </c>
      <c r="BI17" s="58">
        <f t="shared" si="35"/>
        <v>0.75148502311073606</v>
      </c>
      <c r="BJ17" s="58">
        <f t="shared" si="36"/>
        <v>0.77189075989794054</v>
      </c>
      <c r="BK17" s="58">
        <f t="shared" si="37"/>
        <v>0.79346372013957245</v>
      </c>
      <c r="BL17" s="58">
        <f t="shared" si="38"/>
        <v>0.80107393146427885</v>
      </c>
      <c r="BM17" s="58">
        <f t="shared" si="39"/>
        <v>0.82548173568046146</v>
      </c>
      <c r="BN17" s="58">
        <f t="shared" si="40"/>
        <v>0.82587233383553205</v>
      </c>
      <c r="BO17" s="58">
        <f t="shared" si="41"/>
        <v>0.83761447022570801</v>
      </c>
      <c r="BP17" s="58">
        <f t="shared" si="42"/>
        <v>0.84446769052076942</v>
      </c>
      <c r="BQ17" s="58">
        <f t="shared" si="43"/>
        <v>0.87679425554568635</v>
      </c>
    </row>
    <row r="18" spans="1:69" x14ac:dyDescent="0.35">
      <c r="A18" s="36">
        <v>2001</v>
      </c>
      <c r="B18" s="34">
        <f>DataA!N35</f>
        <v>73.591669999999993</v>
      </c>
      <c r="C18" s="34">
        <f>DataA!O35</f>
        <v>65.366669999999999</v>
      </c>
      <c r="D18" s="34">
        <f>DataA!P35</f>
        <v>37.583329999999997</v>
      </c>
      <c r="E18" s="34">
        <f>DataA!Q35</f>
        <v>67.808329999999998</v>
      </c>
      <c r="F18" s="34">
        <f t="shared" si="46"/>
        <v>76.262116765805544</v>
      </c>
      <c r="G18" s="55">
        <f t="shared" si="45"/>
        <v>73.701225635885109</v>
      </c>
      <c r="H18" s="34">
        <f t="shared" si="47"/>
        <v>0.92084212488674488</v>
      </c>
      <c r="I18" s="34">
        <f t="shared" si="48"/>
        <v>1.2381060993646109</v>
      </c>
      <c r="P18" s="50">
        <f>HAVERA!B19/1000</f>
        <v>0.114</v>
      </c>
      <c r="Q18" s="50">
        <f>'Family spending workbook 1'!Y8/100</f>
        <v>0.10488419175242823</v>
      </c>
      <c r="R18" s="50">
        <f>'Family spending workbook 1'!O8/100</f>
        <v>0.16946117277881081</v>
      </c>
      <c r="S18" s="50">
        <f>'Family spending workbook 1'!P8/100</f>
        <v>0.16582996405126327</v>
      </c>
      <c r="T18" s="50">
        <f>'Family spending workbook 1'!Q8/100</f>
        <v>0.14847209787848367</v>
      </c>
      <c r="U18" s="50">
        <f>'Family spending workbook 1'!R8/100</f>
        <v>0.129996600161045</v>
      </c>
      <c r="V18" s="50">
        <f>'Family spending workbook 1'!S8/100</f>
        <v>0.12155375045300952</v>
      </c>
      <c r="W18" s="50">
        <f>'Family spending workbook 1'!T8/100</f>
        <v>0.10751168554976781</v>
      </c>
      <c r="X18" s="50">
        <f>'Family spending workbook 1'!U8/100</f>
        <v>0.10524166838553463</v>
      </c>
      <c r="Y18" s="50">
        <f>'Family spending workbook 1'!V8/100</f>
        <v>9.5514060147892266E-2</v>
      </c>
      <c r="Z18" s="50">
        <f>'Family spending workbook 1'!W8/100</f>
        <v>9.3441882498099649E-2</v>
      </c>
      <c r="AA18" s="50">
        <f>'Family spending workbook 1'!X8/100</f>
        <v>7.1317946905985904E-2</v>
      </c>
      <c r="AD18" s="50">
        <f>HAVERA!C19/1000</f>
        <v>2.9000000000000001E-2</v>
      </c>
      <c r="AE18" s="50">
        <f>'Family spending workbook 1'!Y39/100</f>
        <v>2.9417273223912011E-2</v>
      </c>
      <c r="AF18" s="50">
        <f>'Family spending workbook 1'!O39/100</f>
        <v>5.9160640691518232E-2</v>
      </c>
      <c r="AG18" s="50">
        <f>'Family spending workbook 1'!P39/100</f>
        <v>5.7823242413789278E-2</v>
      </c>
      <c r="AH18" s="50">
        <f>'Family spending workbook 1'!Q39/100</f>
        <v>4.6293902285297339E-2</v>
      </c>
      <c r="AI18" s="50">
        <f>'Family spending workbook 1'!R39/100</f>
        <v>3.8459694014494054E-2</v>
      </c>
      <c r="AJ18" s="50">
        <f>'Family spending workbook 1'!S39/100</f>
        <v>3.4945783261612649E-2</v>
      </c>
      <c r="AK18" s="50">
        <f>'Family spending workbook 1'!T39/100</f>
        <v>2.8826884181618162E-2</v>
      </c>
      <c r="AL18" s="50">
        <f>'Family spending workbook 1'!U39/100</f>
        <v>2.7915083249948767E-2</v>
      </c>
      <c r="AM18" s="50">
        <f>'Family spending workbook 1'!V39/100</f>
        <v>2.4749824218657832E-2</v>
      </c>
      <c r="AN18" s="50">
        <f>'Family spending workbook 1'!W39/100</f>
        <v>2.3429282591263E-2</v>
      </c>
      <c r="AO18" s="50">
        <f>'Family spending workbook 1'!X39/100</f>
        <v>1.8580417306348272E-2</v>
      </c>
      <c r="AR18" s="50">
        <f>HAVERA!D19/1000</f>
        <v>3.6999999999999998E-2</v>
      </c>
      <c r="AS18" s="50">
        <f>'Family spending workbook 1'!Y70/100</f>
        <v>3.706074811404883E-2</v>
      </c>
      <c r="AT18" s="50">
        <f>'Family spending workbook 1'!O70/100</f>
        <v>2.4340279703130747E-2</v>
      </c>
      <c r="AU18" s="50">
        <f>'Family spending workbook 1'!P70/100</f>
        <v>2.4861770424211435E-2</v>
      </c>
      <c r="AV18" s="50">
        <f>'Family spending workbook 1'!Q70/100</f>
        <v>3.3343239938278479E-2</v>
      </c>
      <c r="AW18" s="50">
        <f>'Family spending workbook 1'!R70/100</f>
        <v>3.8079985684888608E-2</v>
      </c>
      <c r="AX18" s="50">
        <f>'Family spending workbook 1'!S70/100</f>
        <v>4.2426534821098899E-2</v>
      </c>
      <c r="AY18" s="50">
        <f>'Family spending workbook 1'!T70/100</f>
        <v>3.8179694588152659E-2</v>
      </c>
      <c r="AZ18" s="50">
        <f>'Family spending workbook 1'!U70/100</f>
        <v>4.0970914528984562E-2</v>
      </c>
      <c r="BA18" s="50">
        <f>'Family spending workbook 1'!V70/100</f>
        <v>4.212164540774193E-2</v>
      </c>
      <c r="BB18" s="50">
        <f>'Family spending workbook 1'!W70/100</f>
        <v>3.8661144389868049E-2</v>
      </c>
      <c r="BC18" s="50">
        <f>'Family spending workbook 1'!X70/100</f>
        <v>3.3307380241979462E-2</v>
      </c>
      <c r="BF18" s="50">
        <f t="shared" si="44"/>
        <v>0.82</v>
      </c>
      <c r="BG18" s="50">
        <f t="shared" si="44"/>
        <v>0.82863778690961098</v>
      </c>
      <c r="BH18" s="50">
        <f t="shared" ref="BH18" si="50">1-R18-AF18-AT18</f>
        <v>0.74703790682654014</v>
      </c>
      <c r="BI18" s="50">
        <f t="shared" ref="BI18" si="51">1-S18-AG18-AU18</f>
        <v>0.75148502311073606</v>
      </c>
      <c r="BJ18" s="50">
        <f t="shared" ref="BJ18" si="52">1-T18-AH18-AV18</f>
        <v>0.77189075989794054</v>
      </c>
      <c r="BK18" s="50">
        <f t="shared" ref="BK18" si="53">1-U18-AI18-AW18</f>
        <v>0.79346372013957245</v>
      </c>
      <c r="BL18" s="50">
        <f t="shared" ref="BL18" si="54">1-V18-AJ18-AX18</f>
        <v>0.80107393146427885</v>
      </c>
      <c r="BM18" s="50">
        <f t="shared" ref="BM18" si="55">1-W18-AK18-AY18</f>
        <v>0.82548173568046146</v>
      </c>
      <c r="BN18" s="50">
        <f t="shared" ref="BN18" si="56">1-X18-AL18-AZ18</f>
        <v>0.82587233383553205</v>
      </c>
      <c r="BO18" s="50">
        <f t="shared" ref="BO18" si="57">1-Y18-AM18-BA18</f>
        <v>0.83761447022570801</v>
      </c>
      <c r="BP18" s="50">
        <f t="shared" ref="BP18" si="58">1-Z18-AN18-BB18</f>
        <v>0.84446769052076942</v>
      </c>
      <c r="BQ18" s="50">
        <f t="shared" ref="BQ18" si="59">1-AA18-AO18-BC18</f>
        <v>0.87679425554568635</v>
      </c>
    </row>
    <row r="19" spans="1:69" x14ac:dyDescent="0.35">
      <c r="A19" s="36">
        <v>2002</v>
      </c>
      <c r="B19" s="34">
        <f>DataA!N36</f>
        <v>74.5</v>
      </c>
      <c r="C19" s="34">
        <f>DataA!O36</f>
        <v>66.091669999999993</v>
      </c>
      <c r="D19" s="34">
        <f>DataA!P36</f>
        <v>38.424999999999997</v>
      </c>
      <c r="E19" s="34">
        <f>DataA!Q36</f>
        <v>65.674999999999997</v>
      </c>
      <c r="F19" s="34">
        <f t="shared" si="46"/>
        <v>77.175480630976111</v>
      </c>
      <c r="G19" s="55">
        <f t="shared" si="45"/>
        <v>74.474908065228732</v>
      </c>
      <c r="H19" s="34">
        <f t="shared" si="47"/>
        <v>1.0497551739043542</v>
      </c>
      <c r="I19" s="34">
        <f t="shared" si="48"/>
        <v>1.2342837171652743</v>
      </c>
      <c r="P19" s="50">
        <f>HAVERA!B20/1000</f>
        <v>0.115</v>
      </c>
      <c r="Q19" s="50">
        <f>'Family spending workbook 1'!Y9/100</f>
        <v>0.10520183057325186</v>
      </c>
      <c r="R19" s="50">
        <f>'Family spending workbook 1'!O9/100</f>
        <v>0.15704853240251362</v>
      </c>
      <c r="S19" s="50">
        <f>'Family spending workbook 1'!P9/100</f>
        <v>0.16338985692392338</v>
      </c>
      <c r="T19" s="50">
        <f>'Family spending workbook 1'!Q9/100</f>
        <v>0.15702111369861141</v>
      </c>
      <c r="U19" s="50">
        <f>'Family spending workbook 1'!R9/100</f>
        <v>0.12308772819025923</v>
      </c>
      <c r="V19" s="50">
        <f>'Family spending workbook 1'!S9/100</f>
        <v>0.11976306718389756</v>
      </c>
      <c r="W19" s="50">
        <f>'Family spending workbook 1'!T9/100</f>
        <v>0.10687916999233807</v>
      </c>
      <c r="X19" s="50">
        <f>'Family spending workbook 1'!U9/100</f>
        <v>0.10740519184065996</v>
      </c>
      <c r="Y19" s="50">
        <f>'Family spending workbook 1'!V9/100</f>
        <v>9.7301147401350055E-2</v>
      </c>
      <c r="Z19" s="50">
        <f>'Family spending workbook 1'!W9/100</f>
        <v>8.9666101378215804E-2</v>
      </c>
      <c r="AA19" s="50">
        <f>'Family spending workbook 1'!X9/100</f>
        <v>7.5718961199681273E-2</v>
      </c>
      <c r="AD19" s="50">
        <f>HAVERA!C20/1000</f>
        <v>2.8000000000000001E-2</v>
      </c>
      <c r="AE19" s="50">
        <f>'Family spending workbook 1'!Y40/100</f>
        <v>2.8784334019301819E-2</v>
      </c>
      <c r="AF19" s="50">
        <f>'Family spending workbook 1'!O40/100</f>
        <v>5.6798541807589122E-2</v>
      </c>
      <c r="AG19" s="50">
        <f>'Family spending workbook 1'!P40/100</f>
        <v>5.5393866548912464E-2</v>
      </c>
      <c r="AH19" s="50">
        <f>'Family spending workbook 1'!Q40/100</f>
        <v>4.553094138932056E-2</v>
      </c>
      <c r="AI19" s="50">
        <f>'Family spending workbook 1'!R40/100</f>
        <v>3.6538900675363889E-2</v>
      </c>
      <c r="AJ19" s="50">
        <f>'Family spending workbook 1'!S40/100</f>
        <v>3.3104209127477358E-2</v>
      </c>
      <c r="AK19" s="50">
        <f>'Family spending workbook 1'!T40/100</f>
        <v>2.9968752840764359E-2</v>
      </c>
      <c r="AL19" s="50">
        <f>'Family spending workbook 1'!U40/100</f>
        <v>2.7078174188735135E-2</v>
      </c>
      <c r="AM19" s="50">
        <f>'Family spending workbook 1'!V40/100</f>
        <v>2.476015681158026E-2</v>
      </c>
      <c r="AN19" s="50">
        <f>'Family spending workbook 1'!W40/100</f>
        <v>2.1831171913126911E-2</v>
      </c>
      <c r="AO19" s="50">
        <f>'Family spending workbook 1'!X40/100</f>
        <v>1.8750651630312535E-2</v>
      </c>
      <c r="AR19" s="50">
        <f>HAVERA!D20/1000</f>
        <v>2.8000000000000001E-2</v>
      </c>
      <c r="AS19" s="50">
        <f>'Family spending workbook 1'!Y71/100</f>
        <v>3.6521359355000879E-2</v>
      </c>
      <c r="AT19" s="50">
        <f>'Family spending workbook 1'!O71/100</f>
        <v>2.1950339726079942E-2</v>
      </c>
      <c r="AU19" s="50">
        <f>'Family spending workbook 1'!P71/100</f>
        <v>2.5403737121618208E-2</v>
      </c>
      <c r="AV19" s="50">
        <f>'Family spending workbook 1'!Q71/100</f>
        <v>2.9677210603788889E-2</v>
      </c>
      <c r="AW19" s="50">
        <f>'Family spending workbook 1'!R71/100</f>
        <v>3.6351205484223104E-2</v>
      </c>
      <c r="AX19" s="50">
        <f>'Family spending workbook 1'!S71/100</f>
        <v>3.6855088193118633E-2</v>
      </c>
      <c r="AY19" s="50">
        <f>'Family spending workbook 1'!T71/100</f>
        <v>3.8877889338305445E-2</v>
      </c>
      <c r="AZ19" s="50">
        <f>'Family spending workbook 1'!U71/100</f>
        <v>4.00179614460675E-2</v>
      </c>
      <c r="BA19" s="50">
        <f>'Family spending workbook 1'!V71/100</f>
        <v>4.1800880300381399E-2</v>
      </c>
      <c r="BB19" s="50">
        <f>'Family spending workbook 1'!W71/100</f>
        <v>4.191050151413734E-2</v>
      </c>
      <c r="BC19" s="50">
        <f>'Family spending workbook 1'!X71/100</f>
        <v>3.2584175919864275E-2</v>
      </c>
      <c r="BF19" s="50">
        <f t="shared" si="44"/>
        <v>0.82899999999999996</v>
      </c>
      <c r="BG19" s="50">
        <f t="shared" ref="BG19:BG40" si="60">1-Q19-AE19-AS19</f>
        <v>0.82949247605244547</v>
      </c>
      <c r="BH19" s="50">
        <f t="shared" ref="BH19:BH40" si="61">1-R19-AF19-AT19</f>
        <v>0.7642025860638173</v>
      </c>
      <c r="BI19" s="50">
        <f t="shared" ref="BI19:BI40" si="62">1-S19-AG19-AU19</f>
        <v>0.75581253940554594</v>
      </c>
      <c r="BJ19" s="50">
        <f t="shared" ref="BJ19:BJ40" si="63">1-T19-AH19-AV19</f>
        <v>0.76777073430827913</v>
      </c>
      <c r="BK19" s="50">
        <f t="shared" ref="BK19:BK40" si="64">1-U19-AI19-AW19</f>
        <v>0.80402216565015372</v>
      </c>
      <c r="BL19" s="50">
        <f t="shared" ref="BL19:BL40" si="65">1-V19-AJ19-AX19</f>
        <v>0.81027763549550635</v>
      </c>
      <c r="BM19" s="50">
        <f t="shared" ref="BM19:BM40" si="66">1-W19-AK19-AY19</f>
        <v>0.82427418782859208</v>
      </c>
      <c r="BN19" s="50">
        <f t="shared" ref="BN19:BN40" si="67">1-X19-AL19-AZ19</f>
        <v>0.82549867252453735</v>
      </c>
      <c r="BO19" s="50">
        <f t="shared" ref="BO19:BO40" si="68">1-Y19-AM19-BA19</f>
        <v>0.8361378154866882</v>
      </c>
      <c r="BP19" s="50">
        <f t="shared" ref="BP19:BP40" si="69">1-Z19-AN19-BB19</f>
        <v>0.84659222519451993</v>
      </c>
      <c r="BQ19" s="50">
        <f t="shared" ref="BQ19:BQ40" si="70">1-AA19-AO19-BC19</f>
        <v>0.87294621125014193</v>
      </c>
    </row>
    <row r="20" spans="1:69" x14ac:dyDescent="0.35">
      <c r="A20" s="36">
        <v>2003</v>
      </c>
      <c r="B20" s="34">
        <f>DataA!N37</f>
        <v>75.525000000000006</v>
      </c>
      <c r="C20" s="34">
        <f>DataA!O37</f>
        <v>67.016670000000005</v>
      </c>
      <c r="D20" s="34">
        <f>DataA!P37</f>
        <v>39.125</v>
      </c>
      <c r="E20" s="34">
        <f>DataA!Q37</f>
        <v>68.05</v>
      </c>
      <c r="F20" s="34">
        <f t="shared" si="46"/>
        <v>78.07416981802649</v>
      </c>
      <c r="G20" s="55">
        <f t="shared" si="45"/>
        <v>75.425866220582876</v>
      </c>
      <c r="H20" s="34">
        <f t="shared" si="47"/>
        <v>1.2768839600597381</v>
      </c>
      <c r="I20" s="34">
        <f t="shared" si="48"/>
        <v>1.3758389261744997</v>
      </c>
      <c r="P20" s="50">
        <f>HAVERA!B21/1000</f>
        <v>0.108</v>
      </c>
      <c r="Q20" s="50">
        <f>'Family spending workbook 1'!Y10/100</f>
        <v>0.10409083212396669</v>
      </c>
      <c r="R20" s="50">
        <f>'Family spending workbook 1'!O10/100</f>
        <v>0.15322640143085228</v>
      </c>
      <c r="S20" s="50">
        <f>'Family spending workbook 1'!P10/100</f>
        <v>0.16027043620156806</v>
      </c>
      <c r="T20" s="50">
        <f>'Family spending workbook 1'!Q10/100</f>
        <v>0.15265656743611417</v>
      </c>
      <c r="U20" s="50">
        <f>'Family spending workbook 1'!R10/100</f>
        <v>0.12240644288894893</v>
      </c>
      <c r="V20" s="50">
        <f>'Family spending workbook 1'!S10/100</f>
        <v>0.11713357430067538</v>
      </c>
      <c r="W20" s="50">
        <f>'Family spending workbook 1'!T10/100</f>
        <v>0.10866180851769743</v>
      </c>
      <c r="X20" s="50">
        <f>'Family spending workbook 1'!U10/100</f>
        <v>0.10185856300629509</v>
      </c>
      <c r="Y20" s="50">
        <f>'Family spending workbook 1'!V10/100</f>
        <v>9.1684735733393558E-2</v>
      </c>
      <c r="Z20" s="50">
        <f>'Family spending workbook 1'!W10/100</f>
        <v>9.5901535896038476E-2</v>
      </c>
      <c r="AA20" s="50">
        <f>'Family spending workbook 1'!X10/100</f>
        <v>7.4906703914750475E-2</v>
      </c>
      <c r="AD20" s="50">
        <f>HAVERA!C21/1000</f>
        <v>2.8000000000000001E-2</v>
      </c>
      <c r="AE20" s="50">
        <f>'Family spending workbook 1'!Y41/100</f>
        <v>2.863113727658605E-2</v>
      </c>
      <c r="AF20" s="50">
        <f>'Family spending workbook 1'!O41/100</f>
        <v>5.6310082938719613E-2</v>
      </c>
      <c r="AG20" s="50">
        <f>'Family spending workbook 1'!P41/100</f>
        <v>5.0813824397652231E-2</v>
      </c>
      <c r="AH20" s="50">
        <f>'Family spending workbook 1'!Q41/100</f>
        <v>4.7442447543246578E-2</v>
      </c>
      <c r="AI20" s="50">
        <f>'Family spending workbook 1'!R41/100</f>
        <v>3.5665034670149205E-2</v>
      </c>
      <c r="AJ20" s="50">
        <f>'Family spending workbook 1'!S41/100</f>
        <v>3.2064158176913306E-2</v>
      </c>
      <c r="AK20" s="50">
        <f>'Family spending workbook 1'!T41/100</f>
        <v>2.9602689425638654E-2</v>
      </c>
      <c r="AL20" s="50">
        <f>'Family spending workbook 1'!U41/100</f>
        <v>2.6501232627618589E-2</v>
      </c>
      <c r="AM20" s="50">
        <f>'Family spending workbook 1'!V41/100</f>
        <v>2.3762871630243185E-2</v>
      </c>
      <c r="AN20" s="50">
        <f>'Family spending workbook 1'!W41/100</f>
        <v>2.3206083738708205E-2</v>
      </c>
      <c r="AO20" s="50">
        <f>'Family spending workbook 1'!X41/100</f>
        <v>1.9226402441294987E-2</v>
      </c>
      <c r="AR20" s="50">
        <f>HAVERA!D21/1000</f>
        <v>2.7E-2</v>
      </c>
      <c r="AS20" s="50">
        <f>'Family spending workbook 1'!Y72/100</f>
        <v>3.5761298290559858E-2</v>
      </c>
      <c r="AT20" s="50">
        <f>'Family spending workbook 1'!O72/100</f>
        <v>2.4327927047735422E-2</v>
      </c>
      <c r="AU20" s="50">
        <f>'Family spending workbook 1'!P72/100</f>
        <v>2.4733822181907984E-2</v>
      </c>
      <c r="AV20" s="50">
        <f>'Family spending workbook 1'!Q72/100</f>
        <v>2.9539022829196931E-2</v>
      </c>
      <c r="AW20" s="50">
        <f>'Family spending workbook 1'!R72/100</f>
        <v>3.3440620958696834E-2</v>
      </c>
      <c r="AX20" s="50">
        <f>'Family spending workbook 1'!S72/100</f>
        <v>3.7471131336417635E-2</v>
      </c>
      <c r="AY20" s="50">
        <f>'Family spending workbook 1'!T72/100</f>
        <v>3.8535195410417659E-2</v>
      </c>
      <c r="AZ20" s="50">
        <f>'Family spending workbook 1'!U72/100</f>
        <v>3.805799147826934E-2</v>
      </c>
      <c r="BA20" s="50">
        <f>'Family spending workbook 1'!V72/100</f>
        <v>3.857603670260859E-2</v>
      </c>
      <c r="BB20" s="50">
        <f>'Family spending workbook 1'!W72/100</f>
        <v>3.9443589183157116E-2</v>
      </c>
      <c r="BC20" s="50">
        <f>'Family spending workbook 1'!X72/100</f>
        <v>3.4476650757556591E-2</v>
      </c>
      <c r="BF20" s="50">
        <f t="shared" si="44"/>
        <v>0.83699999999999997</v>
      </c>
      <c r="BG20" s="50">
        <f t="shared" si="60"/>
        <v>0.83151673230888745</v>
      </c>
      <c r="BH20" s="50">
        <f t="shared" si="61"/>
        <v>0.76613558858269259</v>
      </c>
      <c r="BI20" s="50">
        <f t="shared" si="62"/>
        <v>0.76418191721887163</v>
      </c>
      <c r="BJ20" s="50">
        <f t="shared" si="63"/>
        <v>0.77036196219144226</v>
      </c>
      <c r="BK20" s="50">
        <f t="shared" si="64"/>
        <v>0.80848790148220495</v>
      </c>
      <c r="BL20" s="50">
        <f t="shared" si="65"/>
        <v>0.81333113618599362</v>
      </c>
      <c r="BM20" s="50">
        <f t="shared" si="66"/>
        <v>0.82320030664624622</v>
      </c>
      <c r="BN20" s="50">
        <f t="shared" si="67"/>
        <v>0.83358221288781686</v>
      </c>
      <c r="BO20" s="50">
        <f t="shared" si="68"/>
        <v>0.84597635593375475</v>
      </c>
      <c r="BP20" s="50">
        <f t="shared" si="69"/>
        <v>0.84144879118209615</v>
      </c>
      <c r="BQ20" s="50">
        <f t="shared" si="70"/>
        <v>0.87139024288639788</v>
      </c>
    </row>
    <row r="21" spans="1:69" x14ac:dyDescent="0.35">
      <c r="A21" s="36">
        <v>2004</v>
      </c>
      <c r="B21" s="34">
        <f>DataA!N38</f>
        <v>76.541669999999996</v>
      </c>
      <c r="C21" s="34">
        <f>DataA!O38</f>
        <v>67.733339999999998</v>
      </c>
      <c r="D21" s="34">
        <f>DataA!P38</f>
        <v>41.79166</v>
      </c>
      <c r="E21" s="34">
        <f>DataA!Q38</f>
        <v>71.849999999999994</v>
      </c>
      <c r="F21" s="34">
        <f t="shared" si="46"/>
        <v>78.860925098212235</v>
      </c>
      <c r="G21" s="55">
        <f t="shared" si="45"/>
        <v>76.396689005934775</v>
      </c>
      <c r="H21" s="34">
        <f t="shared" si="47"/>
        <v>1.2871218243788229</v>
      </c>
      <c r="I21" s="34">
        <f t="shared" si="48"/>
        <v>1.3461370407149786</v>
      </c>
      <c r="P21" s="50">
        <f>HAVERA!B22/1000</f>
        <v>0.106</v>
      </c>
      <c r="Q21" s="50">
        <f>'Family spending workbook 1'!Y11/100</f>
        <v>0.10297638175177039</v>
      </c>
      <c r="R21" s="50">
        <f>'Family spending workbook 1'!O11/100</f>
        <v>0.15926750091983266</v>
      </c>
      <c r="S21" s="50">
        <f>'Family spending workbook 1'!P11/100</f>
        <v>0.1589125812008757</v>
      </c>
      <c r="T21" s="50">
        <f>'Family spending workbook 1'!Q11/100</f>
        <v>0.14269955086281619</v>
      </c>
      <c r="U21" s="50">
        <f>'Family spending workbook 1'!R11/100</f>
        <v>0.118849061126648</v>
      </c>
      <c r="V21" s="50">
        <f>'Family spending workbook 1'!S11/100</f>
        <v>0.11654550339568787</v>
      </c>
      <c r="W21" s="50">
        <f>'Family spending workbook 1'!T11/100</f>
        <v>0.10650417678060124</v>
      </c>
      <c r="X21" s="50">
        <f>'Family spending workbook 1'!U11/100</f>
        <v>0.10268438969700806</v>
      </c>
      <c r="Y21" s="50">
        <f>'Family spending workbook 1'!V11/100</f>
        <v>9.5494142030960863E-2</v>
      </c>
      <c r="Z21" s="50">
        <f>'Family spending workbook 1'!W11/100</f>
        <v>9.0510465503413379E-2</v>
      </c>
      <c r="AA21" s="50">
        <f>'Family spending workbook 1'!X11/100</f>
        <v>7.3741671505543324E-2</v>
      </c>
      <c r="AD21" s="50">
        <f>HAVERA!C22/1000</f>
        <v>2.5999999999999999E-2</v>
      </c>
      <c r="AE21" s="50">
        <f>'Family spending workbook 1'!Y42/100</f>
        <v>2.8887720554993383E-2</v>
      </c>
      <c r="AF21" s="50">
        <f>'Family spending workbook 1'!O42/100</f>
        <v>5.4691010892719681E-2</v>
      </c>
      <c r="AG21" s="50">
        <f>'Family spending workbook 1'!P42/100</f>
        <v>5.3264521946667621E-2</v>
      </c>
      <c r="AH21" s="50">
        <f>'Family spending workbook 1'!Q42/100</f>
        <v>4.2581598079307371E-2</v>
      </c>
      <c r="AI21" s="50">
        <f>'Family spending workbook 1'!R42/100</f>
        <v>3.5798322013583697E-2</v>
      </c>
      <c r="AJ21" s="50">
        <f>'Family spending workbook 1'!S42/100</f>
        <v>3.2498847477858313E-2</v>
      </c>
      <c r="AK21" s="50">
        <f>'Family spending workbook 1'!T42/100</f>
        <v>3.0185892951339995E-2</v>
      </c>
      <c r="AL21" s="50">
        <f>'Family spending workbook 1'!U42/100</f>
        <v>2.7068736304915627E-2</v>
      </c>
      <c r="AM21" s="50">
        <f>'Family spending workbook 1'!V42/100</f>
        <v>2.558228210489568E-2</v>
      </c>
      <c r="AN21" s="50">
        <f>'Family spending workbook 1'!W42/100</f>
        <v>2.2430946723849932E-2</v>
      </c>
      <c r="AO21" s="50">
        <f>'Family spending workbook 1'!X42/100</f>
        <v>1.9621298259354786E-2</v>
      </c>
      <c r="AR21" s="50">
        <f>HAVERA!D22/1000</f>
        <v>2.5999999999999999E-2</v>
      </c>
      <c r="AS21" s="50">
        <f>'Family spending workbook 1'!Y73/100</f>
        <v>3.7257369941265134E-2</v>
      </c>
      <c r="AT21" s="50">
        <f>'Family spending workbook 1'!O73/100</f>
        <v>2.0871716265221364E-2</v>
      </c>
      <c r="AU21" s="50">
        <f>'Family spending workbook 1'!P73/100</f>
        <v>2.6300559882281162E-2</v>
      </c>
      <c r="AV21" s="50">
        <f>'Family spending workbook 1'!Q73/100</f>
        <v>3.2057508213276645E-2</v>
      </c>
      <c r="AW21" s="50">
        <f>'Family spending workbook 1'!R73/100</f>
        <v>3.4915541350379546E-2</v>
      </c>
      <c r="AX21" s="50">
        <f>'Family spending workbook 1'!S73/100</f>
        <v>3.6953302026162052E-2</v>
      </c>
      <c r="AY21" s="50">
        <f>'Family spending workbook 1'!T73/100</f>
        <v>3.9475377908757645E-2</v>
      </c>
      <c r="AZ21" s="50">
        <f>'Family spending workbook 1'!U73/100</f>
        <v>4.132510215792666E-2</v>
      </c>
      <c r="BA21" s="50">
        <f>'Family spending workbook 1'!V73/100</f>
        <v>4.1574925573360941E-2</v>
      </c>
      <c r="BB21" s="50">
        <f>'Family spending workbook 1'!W73/100</f>
        <v>4.0617981255415089E-2</v>
      </c>
      <c r="BC21" s="50">
        <f>'Family spending workbook 1'!X73/100</f>
        <v>3.602630548391017E-2</v>
      </c>
      <c r="BF21" s="50">
        <f t="shared" si="44"/>
        <v>0.84199999999999997</v>
      </c>
      <c r="BG21" s="50">
        <f t="shared" si="60"/>
        <v>0.83087852775197113</v>
      </c>
      <c r="BH21" s="50">
        <f t="shared" si="61"/>
        <v>0.76516977192222635</v>
      </c>
      <c r="BI21" s="50">
        <f t="shared" si="62"/>
        <v>0.76152233697017546</v>
      </c>
      <c r="BJ21" s="50">
        <f t="shared" si="63"/>
        <v>0.78266134284459976</v>
      </c>
      <c r="BK21" s="50">
        <f t="shared" si="64"/>
        <v>0.81043707550938882</v>
      </c>
      <c r="BL21" s="50">
        <f t="shared" si="65"/>
        <v>0.81400234710029162</v>
      </c>
      <c r="BM21" s="50">
        <f t="shared" si="66"/>
        <v>0.82383455235930114</v>
      </c>
      <c r="BN21" s="50">
        <f t="shared" si="67"/>
        <v>0.8289217718401497</v>
      </c>
      <c r="BO21" s="50">
        <f t="shared" si="68"/>
        <v>0.83734865029078254</v>
      </c>
      <c r="BP21" s="50">
        <f t="shared" si="69"/>
        <v>0.84644060651732167</v>
      </c>
      <c r="BQ21" s="50">
        <f t="shared" si="70"/>
        <v>0.87061072475119172</v>
      </c>
    </row>
    <row r="22" spans="1:69" x14ac:dyDescent="0.35">
      <c r="A22" s="36">
        <v>2005</v>
      </c>
      <c r="B22" s="34">
        <f>DataA!N39</f>
        <v>78.099999999999994</v>
      </c>
      <c r="C22" s="34">
        <f>DataA!O39</f>
        <v>68.900000000000006</v>
      </c>
      <c r="D22" s="34">
        <f>DataA!P39</f>
        <v>47.283340000000003</v>
      </c>
      <c r="E22" s="34">
        <f>DataA!Q39</f>
        <v>78.141660000000002</v>
      </c>
      <c r="F22" s="34">
        <f t="shared" si="46"/>
        <v>80.281714466395655</v>
      </c>
      <c r="G22" s="34">
        <f>B22</f>
        <v>78.099999999999994</v>
      </c>
      <c r="H22" s="34">
        <f t="shared" si="47"/>
        <v>2.2295612757941674</v>
      </c>
      <c r="I22" s="34">
        <f t="shared" si="48"/>
        <v>2.0359237001230879</v>
      </c>
      <c r="P22" s="50">
        <f>HAVERA!B23/1000</f>
        <v>0.106</v>
      </c>
      <c r="Q22" s="50">
        <f>'Family spending workbook 1'!Y12/100</f>
        <v>0.10219288610083459</v>
      </c>
      <c r="R22" s="50">
        <f>'Family spending workbook 1'!O12/100</f>
        <v>0.15544409809298365</v>
      </c>
      <c r="S22" s="50">
        <f>'Family spending workbook 1'!P12/100</f>
        <v>0.16474088911791307</v>
      </c>
      <c r="T22" s="50">
        <f>'Family spending workbook 1'!Q12/100</f>
        <v>0.13221753272774836</v>
      </c>
      <c r="U22" s="50">
        <f>'Family spending workbook 1'!R12/100</f>
        <v>0.12330339063930768</v>
      </c>
      <c r="V22" s="50">
        <f>'Family spending workbook 1'!S12/100</f>
        <v>0.117621100912287</v>
      </c>
      <c r="W22" s="50">
        <f>'Family spending workbook 1'!T12/100</f>
        <v>0.1068727989352047</v>
      </c>
      <c r="X22" s="50">
        <f>'Family spending workbook 1'!U12/100</f>
        <v>0.10474759664309705</v>
      </c>
      <c r="Y22" s="50">
        <f>'Family spending workbook 1'!V12/100</f>
        <v>9.5866251167030417E-2</v>
      </c>
      <c r="Z22" s="50">
        <f>'Family spending workbook 1'!W12/100</f>
        <v>8.8690736472178941E-2</v>
      </c>
      <c r="AA22" s="50">
        <f>'Family spending workbook 1'!X12/100</f>
        <v>7.2158489332996678E-2</v>
      </c>
      <c r="AD22" s="50">
        <f>HAVERA!C23/1000</f>
        <v>2.8000000000000001E-2</v>
      </c>
      <c r="AE22" s="50">
        <f>'Family spending workbook 1'!Y43/100</f>
        <v>3.1301102194690532E-2</v>
      </c>
      <c r="AF22" s="50">
        <f>'Family spending workbook 1'!O43/100</f>
        <v>5.7790564136217679E-2</v>
      </c>
      <c r="AG22" s="50">
        <f>'Family spending workbook 1'!P43/100</f>
        <v>5.6381669474199564E-2</v>
      </c>
      <c r="AH22" s="50">
        <f>'Family spending workbook 1'!Q43/100</f>
        <v>4.6641105477332905E-2</v>
      </c>
      <c r="AI22" s="50">
        <f>'Family spending workbook 1'!R43/100</f>
        <v>4.1374440589653977E-2</v>
      </c>
      <c r="AJ22" s="50">
        <f>'Family spending workbook 1'!S43/100</f>
        <v>3.6869683699388263E-2</v>
      </c>
      <c r="AK22" s="50">
        <f>'Family spending workbook 1'!T43/100</f>
        <v>3.2708996452523273E-2</v>
      </c>
      <c r="AL22" s="50">
        <f>'Family spending workbook 1'!U43/100</f>
        <v>2.9665668647049871E-2</v>
      </c>
      <c r="AM22" s="50">
        <f>'Family spending workbook 1'!V43/100</f>
        <v>2.6571225708517793E-2</v>
      </c>
      <c r="AN22" s="50">
        <f>'Family spending workbook 1'!W43/100</f>
        <v>2.5190162596802557E-2</v>
      </c>
      <c r="AO22" s="50">
        <f>'Family spending workbook 1'!X43/100</f>
        <v>2.0565008809981151E-2</v>
      </c>
      <c r="AR22" s="50">
        <f>HAVERA!D23/1000</f>
        <v>2.7E-2</v>
      </c>
      <c r="AS22" s="50">
        <f>'Family spending workbook 1'!Y74/100</f>
        <v>6.2920236254820669E-2</v>
      </c>
      <c r="AT22" s="50">
        <f>'Family spending workbook 1'!O74/100</f>
        <v>3.6202842165295582E-2</v>
      </c>
      <c r="AU22" s="50">
        <f>'Family spending workbook 1'!P74/100</f>
        <v>4.6296906944536052E-2</v>
      </c>
      <c r="AV22" s="50">
        <f>'Family spending workbook 1'!Q74/100</f>
        <v>4.9421659818929396E-2</v>
      </c>
      <c r="AW22" s="50">
        <f>'Family spending workbook 1'!R74/100</f>
        <v>5.3748210531746124E-2</v>
      </c>
      <c r="AX22" s="50">
        <f>'Family spending workbook 1'!S74/100</f>
        <v>6.7155425219941348E-2</v>
      </c>
      <c r="AY22" s="50">
        <f>'Family spending workbook 1'!T74/100</f>
        <v>6.8446556812094189E-2</v>
      </c>
      <c r="AZ22" s="50">
        <f>'Family spending workbook 1'!U74/100</f>
        <v>6.435546114622584E-2</v>
      </c>
      <c r="BA22" s="50">
        <f>'Family spending workbook 1'!V74/100</f>
        <v>7.261073584081576E-2</v>
      </c>
      <c r="BB22" s="50">
        <f>'Family spending workbook 1'!W74/100</f>
        <v>6.8128345927828668E-2</v>
      </c>
      <c r="BC22" s="50">
        <f>'Family spending workbook 1'!X74/100</f>
        <v>6.2595777412762288E-2</v>
      </c>
      <c r="BF22" s="50">
        <f t="shared" si="44"/>
        <v>0.83899999999999997</v>
      </c>
      <c r="BG22" s="50">
        <f t="shared" si="60"/>
        <v>0.80358577544965426</v>
      </c>
      <c r="BH22" s="50">
        <f t="shared" si="61"/>
        <v>0.75056249560550314</v>
      </c>
      <c r="BI22" s="50">
        <f t="shared" si="62"/>
        <v>0.73258053446335136</v>
      </c>
      <c r="BJ22" s="50">
        <f t="shared" si="63"/>
        <v>0.77171970197598927</v>
      </c>
      <c r="BK22" s="50">
        <f t="shared" si="64"/>
        <v>0.7815739582392921</v>
      </c>
      <c r="BL22" s="50">
        <f t="shared" si="65"/>
        <v>0.77835379016838346</v>
      </c>
      <c r="BM22" s="50">
        <f t="shared" si="66"/>
        <v>0.79197164780017781</v>
      </c>
      <c r="BN22" s="50">
        <f t="shared" si="67"/>
        <v>0.80123127356362722</v>
      </c>
      <c r="BO22" s="50">
        <f t="shared" si="68"/>
        <v>0.80495178728363603</v>
      </c>
      <c r="BP22" s="50">
        <f t="shared" si="69"/>
        <v>0.81799075500318985</v>
      </c>
      <c r="BQ22" s="50">
        <f t="shared" si="70"/>
        <v>0.84468072444425979</v>
      </c>
    </row>
    <row r="23" spans="1:69" x14ac:dyDescent="0.35">
      <c r="A23" s="36">
        <v>2006</v>
      </c>
      <c r="B23" s="34">
        <f>DataA!N40</f>
        <v>79.933329999999998</v>
      </c>
      <c r="C23" s="34">
        <f>DataA!O40</f>
        <v>70.666659999999993</v>
      </c>
      <c r="D23" s="34">
        <f>DataA!P40</f>
        <v>58.966670000000001</v>
      </c>
      <c r="E23" s="34">
        <f>DataA!Q40</f>
        <v>82.441670000000002</v>
      </c>
      <c r="F23" s="34">
        <f t="shared" si="46"/>
        <v>81.764504732400539</v>
      </c>
      <c r="G23" s="34">
        <f t="shared" ref="G23:G42" si="71">G22*(P23*C23/C22+AD23*D23/D22+AR23*E23/E22+BF23*F23/F22)</f>
        <v>80.270925747811134</v>
      </c>
      <c r="H23" s="34">
        <f t="shared" si="47"/>
        <v>2.7796744530232287</v>
      </c>
      <c r="I23" s="34">
        <f t="shared" si="48"/>
        <v>2.3474135723431599</v>
      </c>
      <c r="P23" s="50">
        <f>HAVERA!B24/1000</f>
        <v>0.10199999999999999</v>
      </c>
      <c r="Q23" s="50">
        <f>'Family spending workbook 1'!Y13/100</f>
        <v>0.10285062868870115</v>
      </c>
      <c r="R23" s="50">
        <f>'Family spending workbook 1'!O13/100</f>
        <v>0.15729622092612186</v>
      </c>
      <c r="S23" s="50">
        <f>'Family spending workbook 1'!P13/100</f>
        <v>0.15708844866909491</v>
      </c>
      <c r="T23" s="50">
        <f>'Family spending workbook 1'!Q13/100</f>
        <v>0.13487697963279943</v>
      </c>
      <c r="U23" s="50">
        <f>'Family spending workbook 1'!R13/100</f>
        <v>0.12053502645248391</v>
      </c>
      <c r="V23" s="50">
        <f>'Family spending workbook 1'!S13/100</f>
        <v>0.11725277537351922</v>
      </c>
      <c r="W23" s="50">
        <f>'Family spending workbook 1'!T13/100</f>
        <v>0.10812504394371186</v>
      </c>
      <c r="X23" s="50">
        <f>'Family spending workbook 1'!U13/100</f>
        <v>0.10232598238384144</v>
      </c>
      <c r="Y23" s="50">
        <f>'Family spending workbook 1'!V13/100</f>
        <v>9.7304215759692309E-2</v>
      </c>
      <c r="Z23" s="50">
        <f>'Family spending workbook 1'!W13/100</f>
        <v>8.7686371868715723E-2</v>
      </c>
      <c r="AA23" s="50">
        <f>'Family spending workbook 1'!X13/100</f>
        <v>7.457390450993899E-2</v>
      </c>
      <c r="AD23" s="50">
        <f>HAVERA!C24/1000</f>
        <v>3.2000000000000001E-2</v>
      </c>
      <c r="AE23" s="50">
        <f>'Family spending workbook 1'!Y44/100</f>
        <v>3.4854812196222995E-2</v>
      </c>
      <c r="AF23" s="50">
        <f>'Family spending workbook 1'!O44/100</f>
        <v>6.5800519097197668E-2</v>
      </c>
      <c r="AG23" s="50">
        <f>'Family spending workbook 1'!P44/100</f>
        <v>6.2331171392699593E-2</v>
      </c>
      <c r="AH23" s="50">
        <f>'Family spending workbook 1'!Q44/100</f>
        <v>5.1409110234590119E-2</v>
      </c>
      <c r="AI23" s="50">
        <f>'Family spending workbook 1'!R44/100</f>
        <v>4.1946446296877514E-2</v>
      </c>
      <c r="AJ23" s="50">
        <f>'Family spending workbook 1'!S44/100</f>
        <v>4.0465446925148356E-2</v>
      </c>
      <c r="AK23" s="50">
        <f>'Family spending workbook 1'!T44/100</f>
        <v>3.6331291301382185E-2</v>
      </c>
      <c r="AL23" s="50">
        <f>'Family spending workbook 1'!U44/100</f>
        <v>3.2306615144325097E-2</v>
      </c>
      <c r="AM23" s="50">
        <f>'Family spending workbook 1'!V44/100</f>
        <v>3.0310467046298636E-2</v>
      </c>
      <c r="AN23" s="50">
        <f>'Family spending workbook 1'!W44/100</f>
        <v>2.7478141577423353E-2</v>
      </c>
      <c r="AO23" s="50">
        <f>'Family spending workbook 1'!X44/100</f>
        <v>2.3788989991382018E-2</v>
      </c>
      <c r="AR23" s="50">
        <f>HAVERA!D24/1000</f>
        <v>3.5000000000000003E-2</v>
      </c>
      <c r="AS23" s="50">
        <f>'Family spending workbook 1'!Y75/100</f>
        <v>6.2786831953819969E-2</v>
      </c>
      <c r="AT23" s="50">
        <f>'Family spending workbook 1'!O75/100</f>
        <v>4.1190966834599801E-2</v>
      </c>
      <c r="AU23" s="50">
        <f>'Family spending workbook 1'!P75/100</f>
        <v>4.5460325152133468E-2</v>
      </c>
      <c r="AV23" s="50">
        <f>'Family spending workbook 1'!Q75/100</f>
        <v>5.738236414559221E-2</v>
      </c>
      <c r="AW23" s="50">
        <f>'Family spending workbook 1'!R75/100</f>
        <v>5.6518363565101051E-2</v>
      </c>
      <c r="AX23" s="50">
        <f>'Family spending workbook 1'!S75/100</f>
        <v>6.5682415371194292E-2</v>
      </c>
      <c r="AY23" s="50">
        <f>'Family spending workbook 1'!T75/100</f>
        <v>6.461551877321027E-2</v>
      </c>
      <c r="AZ23" s="50">
        <f>'Family spending workbook 1'!U75/100</f>
        <v>6.6219308488737819E-2</v>
      </c>
      <c r="BA23" s="50">
        <f>'Family spending workbook 1'!V75/100</f>
        <v>6.8604752351323017E-2</v>
      </c>
      <c r="BB23" s="50">
        <f>'Family spending workbook 1'!W75/100</f>
        <v>6.65403631542765E-2</v>
      </c>
      <c r="BC23" s="50">
        <f>'Family spending workbook 1'!X75/100</f>
        <v>6.3394792233633479E-2</v>
      </c>
      <c r="BF23" s="50">
        <f t="shared" si="44"/>
        <v>0.83099999999999996</v>
      </c>
      <c r="BG23" s="50">
        <f t="shared" si="60"/>
        <v>0.79950772716125584</v>
      </c>
      <c r="BH23" s="50">
        <f t="shared" si="61"/>
        <v>0.73571229314208075</v>
      </c>
      <c r="BI23" s="50">
        <f t="shared" si="62"/>
        <v>0.73512005478607201</v>
      </c>
      <c r="BJ23" s="50">
        <f t="shared" si="63"/>
        <v>0.75633154598701824</v>
      </c>
      <c r="BK23" s="50">
        <f t="shared" si="64"/>
        <v>0.78100016368553749</v>
      </c>
      <c r="BL23" s="50">
        <f t="shared" si="65"/>
        <v>0.77659936233013815</v>
      </c>
      <c r="BM23" s="50">
        <f t="shared" si="66"/>
        <v>0.7909281459816957</v>
      </c>
      <c r="BN23" s="50">
        <f t="shared" si="67"/>
        <v>0.79914809398309572</v>
      </c>
      <c r="BO23" s="50">
        <f t="shared" si="68"/>
        <v>0.80378056484268612</v>
      </c>
      <c r="BP23" s="50">
        <f t="shared" si="69"/>
        <v>0.81829512339958443</v>
      </c>
      <c r="BQ23" s="50">
        <f t="shared" si="70"/>
        <v>0.83824231326504561</v>
      </c>
    </row>
    <row r="24" spans="1:69" x14ac:dyDescent="0.35">
      <c r="A24" s="36">
        <v>2007</v>
      </c>
      <c r="B24" s="34">
        <f>DataA!N41</f>
        <v>81.783330000000007</v>
      </c>
      <c r="C24" s="34">
        <f>DataA!O41</f>
        <v>73.658330000000007</v>
      </c>
      <c r="D24" s="34">
        <f>DataA!P41</f>
        <v>63.233330000000002</v>
      </c>
      <c r="E24" s="34">
        <f>DataA!Q41</f>
        <v>84.833340000000007</v>
      </c>
      <c r="F24" s="34">
        <f t="shared" si="46"/>
        <v>83.539699427745376</v>
      </c>
      <c r="G24" s="34">
        <f t="shared" si="71"/>
        <v>82.363853927299672</v>
      </c>
      <c r="H24" s="34">
        <f t="shared" si="47"/>
        <v>2.6073303129254155</v>
      </c>
      <c r="I24" s="34">
        <f t="shared" si="48"/>
        <v>2.3144287870904501</v>
      </c>
      <c r="P24" s="50">
        <f>HAVERA!B25/1000</f>
        <v>0.10299999999999999</v>
      </c>
      <c r="Q24" s="50">
        <f>'Family spending workbook 1'!Y14/100</f>
        <v>0.10480236552006661</v>
      </c>
      <c r="R24" s="50">
        <f>'Family spending workbook 1'!O14/100</f>
        <v>0.14190576356020054</v>
      </c>
      <c r="S24" s="50">
        <f>'Family spending workbook 1'!P14/100</f>
        <v>0.1653449363071669</v>
      </c>
      <c r="T24" s="50">
        <f>'Family spending workbook 1'!Q14/100</f>
        <v>0.14086813772240503</v>
      </c>
      <c r="U24" s="50">
        <f>'Family spending workbook 1'!R14/100</f>
        <v>0.12681718800577207</v>
      </c>
      <c r="V24" s="50">
        <f>'Family spending workbook 1'!S14/100</f>
        <v>0.11953321406557416</v>
      </c>
      <c r="W24" s="50">
        <f>'Family spending workbook 1'!T14/100</f>
        <v>0.10618104557242231</v>
      </c>
      <c r="X24" s="50">
        <f>'Family spending workbook 1'!U14/100</f>
        <v>0.10895969818800275</v>
      </c>
      <c r="Y24" s="50">
        <f>'Family spending workbook 1'!V14/100</f>
        <v>9.9061697254830688E-2</v>
      </c>
      <c r="Z24" s="50">
        <f>'Family spending workbook 1'!W14/100</f>
        <v>9.0964958754488776E-2</v>
      </c>
      <c r="AA24" s="50">
        <f>'Family spending workbook 1'!X14/100</f>
        <v>7.4074847300614158E-2</v>
      </c>
      <c r="AD24" s="50">
        <f>HAVERA!C25/1000</f>
        <v>3.9E-2</v>
      </c>
      <c r="AE24" s="50">
        <f>'Family spending workbook 1'!Y45/100</f>
        <v>3.7356644139459751E-2</v>
      </c>
      <c r="AF24" s="50">
        <f>'Family spending workbook 1'!O45/100</f>
        <v>6.3621750155034212E-2</v>
      </c>
      <c r="AG24" s="50">
        <f>'Family spending workbook 1'!P45/100</f>
        <v>6.742769809064815E-2</v>
      </c>
      <c r="AH24" s="50">
        <f>'Family spending workbook 1'!Q45/100</f>
        <v>5.3585002191258238E-2</v>
      </c>
      <c r="AI24" s="50">
        <f>'Family spending workbook 1'!R45/100</f>
        <v>4.693289872530533E-2</v>
      </c>
      <c r="AJ24" s="50">
        <f>'Family spending workbook 1'!S45/100</f>
        <v>4.1630192111503289E-2</v>
      </c>
      <c r="AK24" s="50">
        <f>'Family spending workbook 1'!T45/100</f>
        <v>3.769141807944823E-2</v>
      </c>
      <c r="AL24" s="50">
        <f>'Family spending workbook 1'!U45/100</f>
        <v>3.7049949609162539E-2</v>
      </c>
      <c r="AM24" s="50">
        <f>'Family spending workbook 1'!V45/100</f>
        <v>3.2595607982971404E-2</v>
      </c>
      <c r="AN24" s="50">
        <f>'Family spending workbook 1'!W45/100</f>
        <v>3.021567346722295E-2</v>
      </c>
      <c r="AO24" s="50">
        <f>'Family spending workbook 1'!X45/100</f>
        <v>2.5559063339043463E-2</v>
      </c>
      <c r="AR24" s="50">
        <f>HAVERA!D25/1000</f>
        <v>3.5999999999999997E-2</v>
      </c>
      <c r="AS24" s="50">
        <f>'Family spending workbook 1'!Y76/100</f>
        <v>3.986119970825195E-2</v>
      </c>
      <c r="AT24" s="50">
        <f>'Family spending workbook 1'!O76/100</f>
        <v>2.6784807864890219E-2</v>
      </c>
      <c r="AU24" s="50">
        <f>'Family spending workbook 1'!P76/100</f>
        <v>2.6966063246512354E-2</v>
      </c>
      <c r="AV24" s="50">
        <f>'Family spending workbook 1'!Q76/100</f>
        <v>3.347382224190492E-2</v>
      </c>
      <c r="AW24" s="50">
        <f>'Family spending workbook 1'!R76/100</f>
        <v>3.9060926327642652E-2</v>
      </c>
      <c r="AX24" s="50">
        <f>'Family spending workbook 1'!S76/100</f>
        <v>4.2117340916981785E-2</v>
      </c>
      <c r="AY24" s="50">
        <f>'Family spending workbook 1'!T76/100</f>
        <v>4.4896309803369408E-2</v>
      </c>
      <c r="AZ24" s="50">
        <f>'Family spending workbook 1'!U76/100</f>
        <v>4.9051951423430114E-2</v>
      </c>
      <c r="BA24" s="50">
        <f>'Family spending workbook 1'!V76/100</f>
        <v>4.4105873602173391E-2</v>
      </c>
      <c r="BB24" s="50">
        <f>'Family spending workbook 1'!W76/100</f>
        <v>4.2572031917205738E-2</v>
      </c>
      <c r="BC24" s="50">
        <f>'Family spending workbook 1'!X76/100</f>
        <v>3.4214148340831696E-2</v>
      </c>
      <c r="BF24" s="50">
        <f t="shared" si="44"/>
        <v>0.82199999999999995</v>
      </c>
      <c r="BG24" s="50">
        <f t="shared" si="60"/>
        <v>0.8179797906322217</v>
      </c>
      <c r="BH24" s="50">
        <f t="shared" si="61"/>
        <v>0.76768767841987495</v>
      </c>
      <c r="BI24" s="50">
        <f t="shared" si="62"/>
        <v>0.74026130235567256</v>
      </c>
      <c r="BJ24" s="50">
        <f t="shared" si="63"/>
        <v>0.77207303784443182</v>
      </c>
      <c r="BK24" s="50">
        <f t="shared" si="64"/>
        <v>0.78718898694127992</v>
      </c>
      <c r="BL24" s="50">
        <f t="shared" si="65"/>
        <v>0.7967192529059407</v>
      </c>
      <c r="BM24" s="50">
        <f t="shared" si="66"/>
        <v>0.81123122654475999</v>
      </c>
      <c r="BN24" s="50">
        <f t="shared" si="67"/>
        <v>0.80493840077940459</v>
      </c>
      <c r="BO24" s="50">
        <f t="shared" si="68"/>
        <v>0.82423682116002439</v>
      </c>
      <c r="BP24" s="50">
        <f t="shared" si="69"/>
        <v>0.83624733586108257</v>
      </c>
      <c r="BQ24" s="50">
        <f t="shared" si="70"/>
        <v>0.86615194101951065</v>
      </c>
    </row>
    <row r="25" spans="1:69" x14ac:dyDescent="0.35">
      <c r="A25" s="36">
        <v>2008</v>
      </c>
      <c r="B25" s="34">
        <f>DataA!N42</f>
        <v>84.724999999999994</v>
      </c>
      <c r="C25" s="34">
        <f>DataA!O42</f>
        <v>79.224999999999994</v>
      </c>
      <c r="D25" s="34">
        <f>DataA!P42</f>
        <v>74.933329999999998</v>
      </c>
      <c r="E25" s="34">
        <f>DataA!Q42</f>
        <v>97.424980000000005</v>
      </c>
      <c r="F25" s="34">
        <f t="shared" si="46"/>
        <v>85.278271261022894</v>
      </c>
      <c r="G25" s="34">
        <f t="shared" si="71"/>
        <v>85.442411376070723</v>
      </c>
      <c r="H25" s="34">
        <f t="shared" si="47"/>
        <v>3.7377530336164311</v>
      </c>
      <c r="I25" s="34">
        <f t="shared" si="48"/>
        <v>3.5969066067620181</v>
      </c>
      <c r="P25" s="50">
        <f>HAVERA!B26/1000</f>
        <v>0.109</v>
      </c>
      <c r="Q25" s="50">
        <f>'Family spending workbook 1'!Y15/100</f>
        <v>0.10764331210191083</v>
      </c>
      <c r="R25" s="50">
        <f>'Family spending workbook 1'!O15/100</f>
        <v>0.17176317501626545</v>
      </c>
      <c r="S25" s="50">
        <f>'Family spending workbook 1'!P15/100</f>
        <v>0.16500000000000001</v>
      </c>
      <c r="T25" s="50">
        <f>'Family spending workbook 1'!Q15/100</f>
        <v>0.14741345779852197</v>
      </c>
      <c r="U25" s="50">
        <f>'Family spending workbook 1'!R15/100</f>
        <v>0.13238412602241745</v>
      </c>
      <c r="V25" s="50">
        <f>'Family spending workbook 1'!S15/100</f>
        <v>0.12748091603053435</v>
      </c>
      <c r="W25" s="50">
        <f>'Family spending workbook 1'!T15/100</f>
        <v>0.11345818815331012</v>
      </c>
      <c r="X25" s="50">
        <f>'Family spending workbook 1'!U15/100</f>
        <v>0.1028507546115148</v>
      </c>
      <c r="Y25" s="50">
        <f>'Family spending workbook 1'!V15/100</f>
        <v>0.10132651430397953</v>
      </c>
      <c r="Z25" s="50">
        <f>'Family spending workbook 1'!W15/100</f>
        <v>9.2764639639639657E-2</v>
      </c>
      <c r="AA25" s="50">
        <f>'Family spending workbook 1'!X15/100</f>
        <v>7.5988132835678054E-2</v>
      </c>
      <c r="AD25" s="50">
        <f>HAVERA!C26/1000</f>
        <v>3.5000000000000003E-2</v>
      </c>
      <c r="AE25" s="50">
        <f>'Family spending workbook 1'!Y46/100</f>
        <v>4.0127388535031845E-2</v>
      </c>
      <c r="AF25" s="50">
        <f>'Family spending workbook 1'!O46/100</f>
        <v>8.3929733246584259E-2</v>
      </c>
      <c r="AG25" s="50">
        <f>'Family spending workbook 1'!P46/100</f>
        <v>7.3499999999999996E-2</v>
      </c>
      <c r="AH25" s="50">
        <f>'Family spending workbook 1'!Q46/100</f>
        <v>6.0676779463243867E-2</v>
      </c>
      <c r="AI25" s="50">
        <f>'Family spending workbook 1'!R46/100</f>
        <v>5.2105422599212352E-2</v>
      </c>
      <c r="AJ25" s="50">
        <f>'Family spending workbook 1'!S46/100</f>
        <v>4.4783715012722644E-2</v>
      </c>
      <c r="AK25" s="50">
        <f>'Family spending workbook 1'!T46/100</f>
        <v>4.0940766550522652E-2</v>
      </c>
      <c r="AL25" s="50">
        <f>'Family spending workbook 1'!U46/100</f>
        <v>3.7078442332774353E-2</v>
      </c>
      <c r="AM25" s="50">
        <f>'Family spending workbook 1'!V46/100</f>
        <v>3.356241010068723E-2</v>
      </c>
      <c r="AN25" s="50">
        <f>'Family spending workbook 1'!W46/100</f>
        <v>3.2376126126126129E-2</v>
      </c>
      <c r="AO25" s="50">
        <f>'Family spending workbook 1'!X46/100</f>
        <v>2.7466743229017127E-2</v>
      </c>
      <c r="AR25" s="50">
        <f>HAVERA!D26/1000</f>
        <v>3.7999999999999999E-2</v>
      </c>
      <c r="AS25" s="50">
        <f>'Family spending workbook 1'!Y77/100</f>
        <v>4.4585987261146494E-2</v>
      </c>
      <c r="AT25" s="50">
        <f>'Family spending workbook 1'!O77/100</f>
        <v>2.602472348731295E-2</v>
      </c>
      <c r="AU25" s="50">
        <f>'Family spending workbook 1'!P77/100</f>
        <v>2.8500000000000001E-2</v>
      </c>
      <c r="AV25" s="50">
        <f>'Family spending workbook 1'!Q77/100</f>
        <v>3.6172695449241538E-2</v>
      </c>
      <c r="AW25" s="50">
        <f>'Family spending workbook 1'!R77/100</f>
        <v>4.2714328991214773E-2</v>
      </c>
      <c r="AX25" s="50">
        <f>'Family spending workbook 1'!S77/100</f>
        <v>4.7328244274809167E-2</v>
      </c>
      <c r="AY25" s="50">
        <f>'Family spending workbook 1'!T77/100</f>
        <v>4.6385017421602788E-2</v>
      </c>
      <c r="AZ25" s="50">
        <f>'Family spending workbook 1'!U77/100</f>
        <v>4.8071548351034089E-2</v>
      </c>
      <c r="BA25" s="50">
        <f>'Family spending workbook 1'!V77/100</f>
        <v>4.8106121144318365E-2</v>
      </c>
      <c r="BB25" s="50">
        <f>'Family spending workbook 1'!W77/100</f>
        <v>5.13795045045045E-2</v>
      </c>
      <c r="BC25" s="50">
        <f>'Family spending workbook 1'!X77/100</f>
        <v>4.2970619198009367E-2</v>
      </c>
      <c r="BF25" s="50">
        <f t="shared" si="44"/>
        <v>0.81799999999999995</v>
      </c>
      <c r="BG25" s="50">
        <f t="shared" si="60"/>
        <v>0.80764331210191087</v>
      </c>
      <c r="BH25" s="50">
        <f t="shared" si="61"/>
        <v>0.71828236824983727</v>
      </c>
      <c r="BI25" s="50">
        <f t="shared" si="62"/>
        <v>0.73299999999999998</v>
      </c>
      <c r="BJ25" s="50">
        <f t="shared" si="63"/>
        <v>0.75573706728899259</v>
      </c>
      <c r="BK25" s="50">
        <f t="shared" si="64"/>
        <v>0.77279612238715545</v>
      </c>
      <c r="BL25" s="50">
        <f t="shared" si="65"/>
        <v>0.78040712468193385</v>
      </c>
      <c r="BM25" s="50">
        <f t="shared" si="66"/>
        <v>0.79921602787456436</v>
      </c>
      <c r="BN25" s="50">
        <f t="shared" si="67"/>
        <v>0.81199925470467671</v>
      </c>
      <c r="BO25" s="50">
        <f t="shared" si="68"/>
        <v>0.81700495445101484</v>
      </c>
      <c r="BP25" s="50">
        <f t="shared" si="69"/>
        <v>0.82347972972972971</v>
      </c>
      <c r="BQ25" s="50">
        <f t="shared" si="70"/>
        <v>0.85357450473729546</v>
      </c>
    </row>
    <row r="26" spans="1:69" x14ac:dyDescent="0.35">
      <c r="A26" s="36">
        <v>2009</v>
      </c>
      <c r="B26" s="34">
        <f>DataA!N43</f>
        <v>86.575000000000003</v>
      </c>
      <c r="C26" s="34">
        <f>DataA!O43</f>
        <v>83.325000000000003</v>
      </c>
      <c r="D26" s="34">
        <f>DataA!P43</f>
        <v>80.141670000000005</v>
      </c>
      <c r="E26" s="34">
        <f>DataA!Q43</f>
        <v>89.791669999999996</v>
      </c>
      <c r="F26" s="34">
        <f t="shared" si="46"/>
        <v>87.276844519819548</v>
      </c>
      <c r="G26" s="34">
        <f t="shared" si="71"/>
        <v>87.615692162566333</v>
      </c>
      <c r="H26" s="34">
        <f t="shared" si="47"/>
        <v>2.5435620922846125</v>
      </c>
      <c r="I26" s="34">
        <f t="shared" si="48"/>
        <v>2.1835349660666914</v>
      </c>
      <c r="P26" s="50">
        <f>HAVERA!B27/1000</f>
        <v>0.11799999999999999</v>
      </c>
      <c r="Q26" s="50">
        <f>'Family spending workbook 1'!Y16/100</f>
        <v>0.11472527472527473</v>
      </c>
      <c r="R26" s="50">
        <f>'Family spending workbook 1'!O16/100</f>
        <v>0.15918869084204057</v>
      </c>
      <c r="S26" s="50">
        <f>'Family spending workbook 1'!P16/100</f>
        <v>0.1605053813757604</v>
      </c>
      <c r="T26" s="50">
        <f>'Family spending workbook 1'!Q16/100</f>
        <v>0.14926968293551834</v>
      </c>
      <c r="U26" s="50">
        <f>'Family spending workbook 1'!R16/100</f>
        <v>0.1315552891818999</v>
      </c>
      <c r="V26" s="50">
        <f>'Family spending workbook 1'!S16/100</f>
        <v>0.13120290984671343</v>
      </c>
      <c r="W26" s="50">
        <f>'Family spending workbook 1'!T16/100</f>
        <v>0.12042367027400414</v>
      </c>
      <c r="X26" s="50">
        <f>'Family spending workbook 1'!U16/100</f>
        <v>0.11488511488511488</v>
      </c>
      <c r="Y26" s="50">
        <f>'Family spending workbook 1'!V16/100</f>
        <v>0.11149346180316586</v>
      </c>
      <c r="Z26" s="50">
        <f>'Family spending workbook 1'!W16/100</f>
        <v>0.10399159663865547</v>
      </c>
      <c r="AA26" s="50">
        <f>'Family spending workbook 1'!X16/100</f>
        <v>8.2048180626952932E-2</v>
      </c>
      <c r="AD26" s="50">
        <f>HAVERA!C27/1000</f>
        <v>4.5999999999999999E-2</v>
      </c>
      <c r="AE26" s="50">
        <f>'Family spending workbook 1'!Y47/100</f>
        <v>4.6813186813186816E-2</v>
      </c>
      <c r="AF26" s="50">
        <f>'Family spending workbook 1'!O47/100</f>
        <v>8.5433312845728346E-2</v>
      </c>
      <c r="AG26" s="50">
        <f>'Family spending workbook 1'!P47/100</f>
        <v>7.6275152082358452E-2</v>
      </c>
      <c r="AH26" s="50">
        <f>'Family spending workbook 1'!Q47/100</f>
        <v>6.3769148557178482E-2</v>
      </c>
      <c r="AI26" s="50">
        <f>'Family spending workbook 1'!R47/100</f>
        <v>5.8435720707222055E-2</v>
      </c>
      <c r="AJ26" s="50">
        <f>'Family spending workbook 1'!S47/100</f>
        <v>5.1182125227331773E-2</v>
      </c>
      <c r="AK26" s="50">
        <f>'Family spending workbook 1'!T47/100</f>
        <v>4.8583928160257889E-2</v>
      </c>
      <c r="AL26" s="50">
        <f>'Family spending workbook 1'!U47/100</f>
        <v>4.6753246753246748E-2</v>
      </c>
      <c r="AM26" s="50">
        <f>'Family spending workbook 1'!V47/100</f>
        <v>4.3358568479008944E-2</v>
      </c>
      <c r="AN26" s="50">
        <f>'Family spending workbook 1'!W47/100</f>
        <v>3.8565426170468188E-2</v>
      </c>
      <c r="AO26" s="50">
        <f>'Family spending workbook 1'!X47/100</f>
        <v>2.9936498336861201E-2</v>
      </c>
      <c r="AR26" s="50">
        <f>HAVERA!D27/1000</f>
        <v>3.4000000000000002E-2</v>
      </c>
      <c r="AS26" s="50">
        <f>'Family spending workbook 1'!Y78/100</f>
        <v>4.2197802197802198E-2</v>
      </c>
      <c r="AT26" s="50">
        <f>'Family spending workbook 1'!O78/100</f>
        <v>2.8887523048555627E-2</v>
      </c>
      <c r="AU26" s="50">
        <f>'Family spending workbook 1'!P78/100</f>
        <v>2.6204960224613948E-2</v>
      </c>
      <c r="AV26" s="50">
        <f>'Family spending workbook 1'!Q78/100</f>
        <v>3.5268970431065194E-2</v>
      </c>
      <c r="AW26" s="50">
        <f>'Family spending workbook 1'!R78/100</f>
        <v>4.0155828588552593E-2</v>
      </c>
      <c r="AX26" s="50">
        <f>'Family spending workbook 1'!S78/100</f>
        <v>4.1829046505585873E-2</v>
      </c>
      <c r="AY26" s="50">
        <f>'Family spending workbook 1'!T78/100</f>
        <v>4.6511627906976744E-2</v>
      </c>
      <c r="AZ26" s="50">
        <f>'Family spending workbook 1'!U78/100</f>
        <v>4.5754245754245748E-2</v>
      </c>
      <c r="BA26" s="50">
        <f>'Family spending workbook 1'!V78/100</f>
        <v>5.1445285615966958E-2</v>
      </c>
      <c r="BB26" s="50">
        <f>'Family spending workbook 1'!W78/100</f>
        <v>5.1320528211284522E-2</v>
      </c>
      <c r="BC26" s="50">
        <f>'Family spending workbook 1'!X78/100</f>
        <v>3.5883479487954846E-2</v>
      </c>
      <c r="BF26" s="50">
        <f t="shared" si="44"/>
        <v>0.80199999999999994</v>
      </c>
      <c r="BG26" s="50">
        <f t="shared" si="60"/>
        <v>0.79626373626373625</v>
      </c>
      <c r="BH26" s="50">
        <f t="shared" si="61"/>
        <v>0.72649047326367555</v>
      </c>
      <c r="BI26" s="50">
        <f t="shared" si="62"/>
        <v>0.73701450631726717</v>
      </c>
      <c r="BJ26" s="50">
        <f t="shared" si="63"/>
        <v>0.75169219807623788</v>
      </c>
      <c r="BK26" s="50">
        <f t="shared" si="64"/>
        <v>0.76985316152232552</v>
      </c>
      <c r="BL26" s="50">
        <f t="shared" si="65"/>
        <v>0.77578591842036893</v>
      </c>
      <c r="BM26" s="50">
        <f t="shared" si="66"/>
        <v>0.78448077365876123</v>
      </c>
      <c r="BN26" s="50">
        <f t="shared" si="67"/>
        <v>0.79260739260739266</v>
      </c>
      <c r="BO26" s="50">
        <f t="shared" si="68"/>
        <v>0.79370268410185818</v>
      </c>
      <c r="BP26" s="50">
        <f t="shared" si="69"/>
        <v>0.80612244897959184</v>
      </c>
      <c r="BQ26" s="50">
        <f t="shared" si="70"/>
        <v>0.85213184154823096</v>
      </c>
    </row>
    <row r="27" spans="1:69" x14ac:dyDescent="0.35">
      <c r="A27" s="36">
        <v>2010</v>
      </c>
      <c r="B27" s="34">
        <f>DataA!N44</f>
        <v>89.433329999999998</v>
      </c>
      <c r="C27" s="34">
        <f>DataA!O44</f>
        <v>86.625</v>
      </c>
      <c r="D27" s="34">
        <f>DataA!P44</f>
        <v>77.908339999999995</v>
      </c>
      <c r="E27" s="34">
        <f>DataA!Q44</f>
        <v>104.8167</v>
      </c>
      <c r="F27" s="34">
        <f t="shared" si="46"/>
        <v>89.690583455926259</v>
      </c>
      <c r="G27" s="34">
        <f t="shared" si="71"/>
        <v>90.424966968805251</v>
      </c>
      <c r="H27" s="34">
        <f t="shared" si="47"/>
        <v>3.2063603412804786</v>
      </c>
      <c r="I27" s="34">
        <f t="shared" si="48"/>
        <v>3.3015651169506111</v>
      </c>
      <c r="P27" s="50">
        <f>HAVERA!B28/1000</f>
        <v>0.108</v>
      </c>
      <c r="Q27" s="50">
        <f>'Family spending workbook 1'!Y17/100</f>
        <v>0.11233108108108109</v>
      </c>
      <c r="R27" s="50">
        <f>'Family spending workbook 1'!O17/100</f>
        <v>0.14655172413793102</v>
      </c>
      <c r="S27" s="50">
        <f>'Family spending workbook 1'!P17/100</f>
        <v>0.16061452513966479</v>
      </c>
      <c r="T27" s="50">
        <f>'Family spending workbook 1'!Q17/100</f>
        <v>0.1466813348001467</v>
      </c>
      <c r="U27" s="50">
        <f>'Family spending workbook 1'!R17/100</f>
        <v>0.13385598141695704</v>
      </c>
      <c r="V27" s="50">
        <f>'Family spending workbook 1'!S17/100</f>
        <v>0.12675</v>
      </c>
      <c r="W27" s="50">
        <f>'Family spending workbook 1'!T17/100</f>
        <v>0.11857018308631212</v>
      </c>
      <c r="X27" s="50">
        <f>'Family spending workbook 1'!U17/100</f>
        <v>0.11462450592885375</v>
      </c>
      <c r="Y27" s="50">
        <f>'Family spending workbook 1'!V17/100</f>
        <v>0.10358835477318891</v>
      </c>
      <c r="Z27" s="50">
        <f>'Family spending workbook 1'!W17/100</f>
        <v>0.10226169002358818</v>
      </c>
      <c r="AA27" s="50">
        <f>'Family spending workbook 1'!X17/100</f>
        <v>8.1885125184094243E-2</v>
      </c>
      <c r="AD27" s="50">
        <f>HAVERA!C28/1000</f>
        <v>4.7E-2</v>
      </c>
      <c r="AE27" s="50">
        <f>'Family spending workbook 1'!Y48/100</f>
        <v>4.5185810810810807E-2</v>
      </c>
      <c r="AF27" s="50">
        <f>'Family spending workbook 1'!O48/100</f>
        <v>7.2737068965517238E-2</v>
      </c>
      <c r="AG27" s="50">
        <f>'Family spending workbook 1'!P48/100</f>
        <v>7.9608938547486033E-2</v>
      </c>
      <c r="AH27" s="50">
        <f>'Family spending workbook 1'!Q48/100</f>
        <v>6.8573524019068577E-2</v>
      </c>
      <c r="AI27" s="50">
        <f>'Family spending workbook 1'!R48/100</f>
        <v>5.5168408826945417E-2</v>
      </c>
      <c r="AJ27" s="50">
        <f>'Family spending workbook 1'!S48/100</f>
        <v>5.1749999999999997E-2</v>
      </c>
      <c r="AK27" s="50">
        <f>'Family spending workbook 1'!T48/100</f>
        <v>4.7515257192676547E-2</v>
      </c>
      <c r="AL27" s="50">
        <f>'Family spending workbook 1'!U48/100</f>
        <v>4.19725202333898E-2</v>
      </c>
      <c r="AM27" s="50">
        <f>'Family spending workbook 1'!V48/100</f>
        <v>3.9438050101557216E-2</v>
      </c>
      <c r="AN27" s="50">
        <f>'Family spending workbook 1'!W48/100</f>
        <v>3.6076037186069096E-2</v>
      </c>
      <c r="AO27" s="50">
        <f>'Family spending workbook 1'!X48/100</f>
        <v>3.0927835051546393E-2</v>
      </c>
      <c r="AR27" s="50">
        <f>HAVERA!D28/1000</f>
        <v>4.1000000000000002E-2</v>
      </c>
      <c r="AS27" s="50">
        <f>'Family spending workbook 1'!Y79/100</f>
        <v>4.5608108108108107E-2</v>
      </c>
      <c r="AT27" s="50">
        <f>'Family spending workbook 1'!O79/100</f>
        <v>3.0711206896551727E-2</v>
      </c>
      <c r="AU27" s="50">
        <f>'Family spending workbook 1'!P79/100</f>
        <v>3.631284916201117E-2</v>
      </c>
      <c r="AV27" s="50">
        <f>'Family spending workbook 1'!Q79/100</f>
        <v>3.6670333700036674E-2</v>
      </c>
      <c r="AW27" s="50">
        <f>'Family spending workbook 1'!R79/100</f>
        <v>4.1521486643437869E-2</v>
      </c>
      <c r="AX27" s="50">
        <f>'Family spending workbook 1'!S79/100</f>
        <v>4.7E-2</v>
      </c>
      <c r="AY27" s="50">
        <f>'Family spending workbook 1'!T79/100</f>
        <v>4.9476896251089794E-2</v>
      </c>
      <c r="AZ27" s="50">
        <f>'Family spending workbook 1'!U79/100</f>
        <v>5.0065876152832672E-2</v>
      </c>
      <c r="BA27" s="50">
        <f>'Family spending workbook 1'!V79/100</f>
        <v>5.1963439404197703E-2</v>
      </c>
      <c r="BB27" s="50">
        <f>'Family spending workbook 1'!W79/100</f>
        <v>5.1893991952268619E-2</v>
      </c>
      <c r="BC27" s="50">
        <f>'Family spending workbook 1'!X79/100</f>
        <v>4.1531664212076574E-2</v>
      </c>
      <c r="BF27" s="50">
        <f t="shared" si="44"/>
        <v>0.80399999999999994</v>
      </c>
      <c r="BG27" s="50">
        <f t="shared" si="60"/>
        <v>0.79687499999999989</v>
      </c>
      <c r="BH27" s="50">
        <f t="shared" si="61"/>
        <v>0.75</v>
      </c>
      <c r="BI27" s="50">
        <f t="shared" si="62"/>
        <v>0.72346368715083798</v>
      </c>
      <c r="BJ27" s="50">
        <f t="shared" si="63"/>
        <v>0.74807480748074806</v>
      </c>
      <c r="BK27" s="50">
        <f t="shared" si="64"/>
        <v>0.76945412311265959</v>
      </c>
      <c r="BL27" s="50">
        <f t="shared" si="65"/>
        <v>0.77449999999999997</v>
      </c>
      <c r="BM27" s="50">
        <f t="shared" si="66"/>
        <v>0.7844376634699215</v>
      </c>
      <c r="BN27" s="50">
        <f t="shared" si="67"/>
        <v>0.79333709768492378</v>
      </c>
      <c r="BO27" s="50">
        <f t="shared" si="68"/>
        <v>0.80501015572105616</v>
      </c>
      <c r="BP27" s="50">
        <f t="shared" si="69"/>
        <v>0.80976828083807406</v>
      </c>
      <c r="BQ27" s="50">
        <f t="shared" si="70"/>
        <v>0.84565537555228287</v>
      </c>
    </row>
    <row r="28" spans="1:69" x14ac:dyDescent="0.35">
      <c r="A28" s="36">
        <v>2011</v>
      </c>
      <c r="B28" s="34">
        <f>DataA!N45</f>
        <v>93.424999999999997</v>
      </c>
      <c r="C28" s="34">
        <f>DataA!O45</f>
        <v>92.100009999999997</v>
      </c>
      <c r="D28" s="34">
        <f>DataA!P45</f>
        <v>85.666659999999993</v>
      </c>
      <c r="E28" s="34">
        <f>DataA!Q45</f>
        <v>120.1917</v>
      </c>
      <c r="F28" s="34">
        <f t="shared" si="46"/>
        <v>92.593543238982051</v>
      </c>
      <c r="G28" s="34">
        <f t="shared" si="71"/>
        <v>94.392667450433322</v>
      </c>
      <c r="H28" s="34">
        <f t="shared" si="47"/>
        <v>4.3878373580129137</v>
      </c>
      <c r="I28" s="34">
        <f t="shared" si="48"/>
        <v>4.4632912584156248</v>
      </c>
      <c r="P28" s="50">
        <f>HAVERA!B29/1000</f>
        <v>0.11799999999999999</v>
      </c>
      <c r="Q28" s="50">
        <f>'Family spending workbook 1'!Y18/100</f>
        <v>0.11331679073614556</v>
      </c>
      <c r="R28" s="50">
        <f>'Family spending workbook 1'!O18/100</f>
        <v>0.16487859966120838</v>
      </c>
      <c r="S28" s="50">
        <f>'Family spending workbook 1'!P18/100</f>
        <v>0.15503875968992248</v>
      </c>
      <c r="T28" s="50">
        <f>'Family spending workbook 1'!Q18/100</f>
        <v>0.14006849315068493</v>
      </c>
      <c r="U28" s="50">
        <f>'Family spending workbook 1'!R18/100</f>
        <v>0.13803767219567051</v>
      </c>
      <c r="V28" s="50">
        <f>'Family spending workbook 1'!S18/100</f>
        <v>0.13193439459720213</v>
      </c>
      <c r="W28" s="50">
        <f>'Family spending workbook 1'!T18/100</f>
        <v>0.11544133136717927</v>
      </c>
      <c r="X28" s="50">
        <f>'Family spending workbook 1'!U18/100</f>
        <v>0.11259754738015607</v>
      </c>
      <c r="Y28" s="50">
        <f>'Family spending workbook 1'!V18/100</f>
        <v>0.10886699507389162</v>
      </c>
      <c r="Z28" s="50">
        <f>'Family spending workbook 1'!W18/100</f>
        <v>9.8325519089082394E-2</v>
      </c>
      <c r="AA28" s="50">
        <f>'Family spending workbook 1'!X18/100</f>
        <v>8.3943773510195996E-2</v>
      </c>
      <c r="AD28" s="50">
        <f>HAVERA!C29/1000</f>
        <v>4.3999999999999997E-2</v>
      </c>
      <c r="AE28" s="50">
        <f>'Family spending workbook 1'!Y49/100</f>
        <v>4.5698924731182797E-2</v>
      </c>
      <c r="AF28" s="50">
        <f>'Family spending workbook 1'!O49/100</f>
        <v>7.8486730660643711E-2</v>
      </c>
      <c r="AG28" s="50">
        <f>'Family spending workbook 1'!P49/100</f>
        <v>7.5695394436844504E-2</v>
      </c>
      <c r="AH28" s="50">
        <f>'Family spending workbook 1'!Q49/100</f>
        <v>6.2328767123287679E-2</v>
      </c>
      <c r="AI28" s="50">
        <f>'Family spending workbook 1'!R49/100</f>
        <v>5.7070565082935058E-2</v>
      </c>
      <c r="AJ28" s="50">
        <f>'Family spending workbook 1'!S49/100</f>
        <v>5.3545586107091168E-2</v>
      </c>
      <c r="AK28" s="50">
        <f>'Family spending workbook 1'!T49/100</f>
        <v>4.7819675584579731E-2</v>
      </c>
      <c r="AL28" s="50">
        <f>'Family spending workbook 1'!U49/100</f>
        <v>4.4221479004087696E-2</v>
      </c>
      <c r="AM28" s="50">
        <f>'Family spending workbook 1'!V49/100</f>
        <v>4.0394088669950735E-2</v>
      </c>
      <c r="AN28" s="50">
        <f>'Family spending workbook 1'!W49/100</f>
        <v>3.5900870730073677E-2</v>
      </c>
      <c r="AO28" s="50">
        <f>'Family spending workbook 1'!X49/100</f>
        <v>3.1379924767372794E-2</v>
      </c>
      <c r="AR28" s="50">
        <f>HAVERA!D29/1000</f>
        <v>4.2999999999999997E-2</v>
      </c>
      <c r="AS28" s="50">
        <f>'Family spending workbook 1'!Y80/100</f>
        <v>5.1488833746898256E-2</v>
      </c>
      <c r="AT28" s="50">
        <f>'Family spending workbook 1'!O80/100</f>
        <v>2.8232636928289104E-2</v>
      </c>
      <c r="AU28" s="50">
        <f>'Family spending workbook 1'!P80/100</f>
        <v>3.6023711810305517E-2</v>
      </c>
      <c r="AV28" s="50">
        <f>'Family spending workbook 1'!Q80/100</f>
        <v>4.0068493150684927E-2</v>
      </c>
      <c r="AW28" s="50">
        <f>'Family spending workbook 1'!R80/100</f>
        <v>4.8636491425358447E-2</v>
      </c>
      <c r="AX28" s="50">
        <f>'Family spending workbook 1'!S80/100</f>
        <v>5.1374819102749637E-2</v>
      </c>
      <c r="AY28" s="50">
        <f>'Family spending workbook 1'!T80/100</f>
        <v>5.4771434590267537E-2</v>
      </c>
      <c r="AZ28" s="50">
        <f>'Family spending workbook 1'!U80/100</f>
        <v>5.7413600891861753E-2</v>
      </c>
      <c r="BA28" s="50">
        <f>'Family spending workbook 1'!V80/100</f>
        <v>5.862068965517242E-2</v>
      </c>
      <c r="BB28" s="50">
        <f>'Family spending workbook 1'!W80/100</f>
        <v>5.9209645010046892E-2</v>
      </c>
      <c r="BC28" s="50">
        <f>'Family spending workbook 1'!X80/100</f>
        <v>4.900019798059789E-2</v>
      </c>
      <c r="BF28" s="50">
        <f t="shared" si="44"/>
        <v>0.79499999999999993</v>
      </c>
      <c r="BG28" s="50">
        <f t="shared" si="60"/>
        <v>0.78949545078577343</v>
      </c>
      <c r="BH28" s="50">
        <f t="shared" si="61"/>
        <v>0.72840203274985882</v>
      </c>
      <c r="BI28" s="50">
        <f t="shared" si="62"/>
        <v>0.73324213406292749</v>
      </c>
      <c r="BJ28" s="50">
        <f t="shared" si="63"/>
        <v>0.75753424657534241</v>
      </c>
      <c r="BK28" s="50">
        <f t="shared" si="64"/>
        <v>0.75625527129603598</v>
      </c>
      <c r="BL28" s="50">
        <f t="shared" si="65"/>
        <v>0.76314520019295706</v>
      </c>
      <c r="BM28" s="50">
        <f t="shared" si="66"/>
        <v>0.78196755845797339</v>
      </c>
      <c r="BN28" s="50">
        <f t="shared" si="67"/>
        <v>0.78576737272389452</v>
      </c>
      <c r="BO28" s="50">
        <f t="shared" si="68"/>
        <v>0.79211822660098519</v>
      </c>
      <c r="BP28" s="50">
        <f t="shared" si="69"/>
        <v>0.80656396517079709</v>
      </c>
      <c r="BQ28" s="50">
        <f t="shared" si="70"/>
        <v>0.83567610374183332</v>
      </c>
    </row>
    <row r="29" spans="1:69" x14ac:dyDescent="0.35">
      <c r="A29" s="36">
        <v>2012</v>
      </c>
      <c r="B29" s="34">
        <f>DataA!N46</f>
        <v>96.041669999999996</v>
      </c>
      <c r="C29" s="34">
        <f>DataA!O46</f>
        <v>95.8</v>
      </c>
      <c r="D29" s="34">
        <f>DataA!P46</f>
        <v>92.483339999999998</v>
      </c>
      <c r="E29" s="34">
        <f>DataA!Q46</f>
        <v>122.5333</v>
      </c>
      <c r="F29" s="34">
        <f t="shared" si="46"/>
        <v>94.769081701076004</v>
      </c>
      <c r="G29" s="34">
        <f t="shared" si="71"/>
        <v>97.065791110684643</v>
      </c>
      <c r="H29" s="34">
        <f t="shared" si="47"/>
        <v>2.8319187628159881</v>
      </c>
      <c r="I29" s="34">
        <f t="shared" si="48"/>
        <v>2.8008241905271625</v>
      </c>
      <c r="P29" s="50">
        <f>HAVERA!B30/1000</f>
        <v>0.112</v>
      </c>
      <c r="Q29" s="50">
        <f>'Family spending workbook 1'!Y19/100</f>
        <v>0.11615541922290389</v>
      </c>
      <c r="R29" s="50">
        <f>'Family spending workbook 1'!O19/100</f>
        <v>0.15018125323666495</v>
      </c>
      <c r="S29" s="50">
        <f>'Family spending workbook 1'!P19/100</f>
        <v>0.16435288849081953</v>
      </c>
      <c r="T29" s="50">
        <f>'Family spending workbook 1'!Q19/100</f>
        <v>0.14996446339729924</v>
      </c>
      <c r="U29" s="50">
        <f>'Family spending workbook 1'!R19/100</f>
        <v>0.13045851528384281</v>
      </c>
      <c r="V29" s="50">
        <f>'Family spending workbook 1'!S19/100</f>
        <v>0.13161728994657601</v>
      </c>
      <c r="W29" s="50">
        <f>'Family spending workbook 1'!T19/100</f>
        <v>0.125</v>
      </c>
      <c r="X29" s="50">
        <f>'Family spending workbook 1'!U19/100</f>
        <v>0.11723748588633798</v>
      </c>
      <c r="Y29" s="50">
        <f>'Family spending workbook 1'!V19/100</f>
        <v>0.11552518671539808</v>
      </c>
      <c r="Z29" s="50">
        <f>'Family spending workbook 1'!W19/100</f>
        <v>0.10116786267060646</v>
      </c>
      <c r="AA29" s="50">
        <f>'Family spending workbook 1'!X19/100</f>
        <v>8.5633270321361046E-2</v>
      </c>
      <c r="AD29" s="50">
        <f>HAVERA!C30/1000</f>
        <v>5.6000000000000001E-2</v>
      </c>
      <c r="AE29" s="50">
        <f>'Family spending workbook 1'!Y50/100</f>
        <v>4.7443762781186095E-2</v>
      </c>
      <c r="AF29" s="50">
        <f>'Family spending workbook 1'!O50/100</f>
        <v>7.8197824961160026E-2</v>
      </c>
      <c r="AG29" s="50">
        <f>'Family spending workbook 1'!P50/100</f>
        <v>8.0609046126287498E-2</v>
      </c>
      <c r="AH29" s="50">
        <f>'Family spending workbook 1'!Q50/100</f>
        <v>6.4321250888415074E-2</v>
      </c>
      <c r="AI29" s="50">
        <f>'Family spending workbook 1'!R50/100</f>
        <v>6.0043668122270744E-2</v>
      </c>
      <c r="AJ29" s="50">
        <f>'Family spending workbook 1'!S50/100</f>
        <v>5.4395337542496348E-2</v>
      </c>
      <c r="AK29" s="50">
        <f>'Family spending workbook 1'!T50/100</f>
        <v>4.793388429752065E-2</v>
      </c>
      <c r="AL29" s="50">
        <f>'Family spending workbook 1'!U50/100</f>
        <v>4.5916447120812949E-2</v>
      </c>
      <c r="AM29" s="50">
        <f>'Family spending workbook 1'!V50/100</f>
        <v>4.2428094708406167E-2</v>
      </c>
      <c r="AN29" s="50">
        <f>'Family spending workbook 1'!W50/100</f>
        <v>3.9538483185591666E-2</v>
      </c>
      <c r="AO29" s="50">
        <f>'Family spending workbook 1'!X50/100</f>
        <v>3.1852551984877131E-2</v>
      </c>
      <c r="AR29" s="50">
        <f>HAVERA!D30/1000</f>
        <v>4.5999999999999999E-2</v>
      </c>
      <c r="AS29" s="50">
        <f>'Family spending workbook 1'!Y81/100</f>
        <v>5.0511247443762779E-2</v>
      </c>
      <c r="AT29" s="50">
        <f>'Family spending workbook 1'!O81/100</f>
        <v>2.8482651475919215E-2</v>
      </c>
      <c r="AU29" s="50">
        <f>'Family spending workbook 1'!P81/100</f>
        <v>3.3587102552619791E-2</v>
      </c>
      <c r="AV29" s="50">
        <f>'Family spending workbook 1'!Q81/100</f>
        <v>4.2643923240938172E-2</v>
      </c>
      <c r="AW29" s="50">
        <f>'Family spending workbook 1'!R81/100</f>
        <v>4.7489082969432307E-2</v>
      </c>
      <c r="AX29" s="50">
        <f>'Family spending workbook 1'!S81/100</f>
        <v>5.0752792617775613E-2</v>
      </c>
      <c r="AY29" s="50">
        <f>'Family spending workbook 1'!T81/100</f>
        <v>5.6198347107438013E-2</v>
      </c>
      <c r="AZ29" s="50">
        <f>'Family spending workbook 1'!U81/100</f>
        <v>5.7207376740684983E-2</v>
      </c>
      <c r="BA29" s="50">
        <f>'Family spending workbook 1'!V81/100</f>
        <v>6.0543460988399814E-2</v>
      </c>
      <c r="BB29" s="50">
        <f>'Family spending workbook 1'!W81/100</f>
        <v>5.4734768538061064E-2</v>
      </c>
      <c r="BC29" s="50">
        <f>'Family spending workbook 1'!X81/100</f>
        <v>4.6219281663516069E-2</v>
      </c>
      <c r="BF29" s="50">
        <f t="shared" si="44"/>
        <v>0.78599999999999992</v>
      </c>
      <c r="BG29" s="50">
        <f t="shared" si="60"/>
        <v>0.78588957055214725</v>
      </c>
      <c r="BH29" s="50">
        <f t="shared" si="61"/>
        <v>0.74313827032625579</v>
      </c>
      <c r="BI29" s="50">
        <f t="shared" si="62"/>
        <v>0.72145096283027321</v>
      </c>
      <c r="BJ29" s="50">
        <f t="shared" si="63"/>
        <v>0.74307036247334757</v>
      </c>
      <c r="BK29" s="50">
        <f t="shared" si="64"/>
        <v>0.76200873362445409</v>
      </c>
      <c r="BL29" s="50">
        <f t="shared" si="65"/>
        <v>0.76323457989315202</v>
      </c>
      <c r="BM29" s="50">
        <f t="shared" si="66"/>
        <v>0.77086776859504136</v>
      </c>
      <c r="BN29" s="50">
        <f t="shared" si="67"/>
        <v>0.77963869025216403</v>
      </c>
      <c r="BO29" s="50">
        <f t="shared" si="68"/>
        <v>0.78150325758779593</v>
      </c>
      <c r="BP29" s="50">
        <f t="shared" si="69"/>
        <v>0.80455888560574085</v>
      </c>
      <c r="BQ29" s="50">
        <f t="shared" si="70"/>
        <v>0.83629489603024576</v>
      </c>
    </row>
    <row r="30" spans="1:69" x14ac:dyDescent="0.35">
      <c r="A30" s="36">
        <v>2013</v>
      </c>
      <c r="B30" s="34">
        <f>DataA!N47</f>
        <v>98.508330000000001</v>
      </c>
      <c r="C30" s="34">
        <f>DataA!O47</f>
        <v>100.1417</v>
      </c>
      <c r="D30" s="34">
        <f>DataA!P47</f>
        <v>99.124989999999997</v>
      </c>
      <c r="E30" s="34">
        <f>DataA!Q47</f>
        <v>121.2</v>
      </c>
      <c r="F30" s="34">
        <f t="shared" si="46"/>
        <v>97.120511965475316</v>
      </c>
      <c r="G30" s="34">
        <f t="shared" si="71"/>
        <v>99.765623956245662</v>
      </c>
      <c r="H30" s="34">
        <f t="shared" si="47"/>
        <v>2.7814462898493097</v>
      </c>
      <c r="I30" s="34">
        <f t="shared" si="48"/>
        <v>2.5683226874334997</v>
      </c>
      <c r="P30" s="50">
        <f>HAVERA!B31/1000</f>
        <v>0.106</v>
      </c>
      <c r="Q30" s="50">
        <f>'Family spending workbook 1'!Y20/100</f>
        <v>0.11366711772665765</v>
      </c>
      <c r="R30" s="50">
        <f>'Family spending workbook 1'!O20/100</f>
        <v>0.15639327559857361</v>
      </c>
      <c r="S30" s="50">
        <f>'Family spending workbook 1'!P20/100</f>
        <v>0.16790231138246836</v>
      </c>
      <c r="T30" s="50">
        <f>'Family spending workbook 1'!Q20/100</f>
        <v>0.13512637718729748</v>
      </c>
      <c r="U30" s="50">
        <f>'Family spending workbook 1'!R20/100</f>
        <v>0.12725823591923485</v>
      </c>
      <c r="V30" s="50">
        <f>'Family spending workbook 1'!S20/100</f>
        <v>0.12604472554777502</v>
      </c>
      <c r="W30" s="50">
        <f>'Family spending workbook 1'!T20/100</f>
        <v>0.11858475894245724</v>
      </c>
      <c r="X30" s="50">
        <f>'Family spending workbook 1'!U20/100</f>
        <v>0.1160636252403426</v>
      </c>
      <c r="Y30" s="50">
        <f>'Family spending workbook 1'!V20/100</f>
        <v>0.11337480559875585</v>
      </c>
      <c r="Z30" s="50">
        <f>'Family spending workbook 1'!W20/100</f>
        <v>0.10344381149663388</v>
      </c>
      <c r="AA30" s="50">
        <f>'Family spending workbook 1'!X20/100</f>
        <v>8.3281208113662769E-2</v>
      </c>
      <c r="AD30" s="50">
        <f>HAVERA!C31/1000</f>
        <v>4.8000000000000001E-2</v>
      </c>
      <c r="AE30" s="50">
        <f>'Family spending workbook 1'!Y51/100</f>
        <v>5.1227527546878024E-2</v>
      </c>
      <c r="AF30" s="50">
        <f>'Family spending workbook 1'!O51/100</f>
        <v>0.10392256749872644</v>
      </c>
      <c r="AG30" s="50">
        <f>'Family spending workbook 1'!P51/100</f>
        <v>9.7252507631923238E-2</v>
      </c>
      <c r="AH30" s="50">
        <f>'Family spending workbook 1'!Q51/100</f>
        <v>7.2261827608554763E-2</v>
      </c>
      <c r="AI30" s="50">
        <f>'Family spending workbook 1'!R51/100</f>
        <v>6.6418703506907553E-2</v>
      </c>
      <c r="AJ30" s="50">
        <f>'Family spending workbook 1'!S51/100</f>
        <v>5.5793991416309009E-2</v>
      </c>
      <c r="AK30" s="50">
        <f>'Family spending workbook 1'!T51/100</f>
        <v>5.1710730948678077E-2</v>
      </c>
      <c r="AL30" s="50">
        <f>'Family spending workbook 1'!U51/100</f>
        <v>4.8243314105925535E-2</v>
      </c>
      <c r="AM30" s="50">
        <f>'Family spending workbook 1'!V51/100</f>
        <v>4.385692068429238E-2</v>
      </c>
      <c r="AN30" s="50">
        <f>'Family spending workbook 1'!W51/100</f>
        <v>4.0523045054375977E-2</v>
      </c>
      <c r="AO30" s="50">
        <f>'Family spending workbook 1'!X51/100</f>
        <v>3.3240997229916899E-2</v>
      </c>
      <c r="AR30" s="50">
        <f>HAVERA!D31/1000</f>
        <v>0.04</v>
      </c>
      <c r="AS30" s="50">
        <f>'Family spending workbook 1'!Y82/100</f>
        <v>4.542818480572202E-2</v>
      </c>
      <c r="AT30" s="50">
        <f>'Family spending workbook 1'!O82/100</f>
        <v>2.5471217524197655E-2</v>
      </c>
      <c r="AU30" s="50">
        <f>'Family spending workbook 1'!P82/100</f>
        <v>3.3144352376798948E-2</v>
      </c>
      <c r="AV30" s="50">
        <f>'Family spending workbook 1'!Q82/100</f>
        <v>4.2125729099157481E-2</v>
      </c>
      <c r="AW30" s="50">
        <f>'Family spending workbook 1'!R82/100</f>
        <v>4.3304994686503721E-2</v>
      </c>
      <c r="AX30" s="50">
        <f>'Family spending workbook 1'!S82/100</f>
        <v>4.4047887960243969E-2</v>
      </c>
      <c r="AY30" s="50">
        <f>'Family spending workbook 1'!T82/100</f>
        <v>4.9572317262830484E-2</v>
      </c>
      <c r="AZ30" s="50">
        <f>'Family spending workbook 1'!U82/100</f>
        <v>5.0690438734486969E-2</v>
      </c>
      <c r="BA30" s="50">
        <f>'Family spending workbook 1'!V82/100</f>
        <v>5.4276827371695174E-2</v>
      </c>
      <c r="BB30" s="50">
        <f>'Family spending workbook 1'!W82/100</f>
        <v>5.0362506473329877E-2</v>
      </c>
      <c r="BC30" s="50">
        <f>'Family spending workbook 1'!X82/100</f>
        <v>4.0478956304172996E-2</v>
      </c>
      <c r="BF30" s="50">
        <f t="shared" si="44"/>
        <v>0.80599999999999994</v>
      </c>
      <c r="BG30" s="50">
        <f t="shared" si="60"/>
        <v>0.78967716992074244</v>
      </c>
      <c r="BH30" s="50">
        <f t="shared" si="61"/>
        <v>0.71421293937850228</v>
      </c>
      <c r="BI30" s="50">
        <f t="shared" si="62"/>
        <v>0.70170082860880945</v>
      </c>
      <c r="BJ30" s="50">
        <f t="shared" si="63"/>
        <v>0.75048606610499036</v>
      </c>
      <c r="BK30" s="50">
        <f t="shared" si="64"/>
        <v>0.76301806588735377</v>
      </c>
      <c r="BL30" s="50">
        <f t="shared" si="65"/>
        <v>0.77411339507567201</v>
      </c>
      <c r="BM30" s="50">
        <f t="shared" si="66"/>
        <v>0.78013219284603419</v>
      </c>
      <c r="BN30" s="50">
        <f t="shared" si="67"/>
        <v>0.78500262191924486</v>
      </c>
      <c r="BO30" s="50">
        <f t="shared" si="68"/>
        <v>0.7884914463452567</v>
      </c>
      <c r="BP30" s="50">
        <f t="shared" si="69"/>
        <v>0.80567063697566033</v>
      </c>
      <c r="BQ30" s="50">
        <f t="shared" si="70"/>
        <v>0.84299883835224731</v>
      </c>
    </row>
    <row r="31" spans="1:69" x14ac:dyDescent="0.35">
      <c r="A31" s="36">
        <v>2014</v>
      </c>
      <c r="B31" s="34">
        <f>DataA!N48</f>
        <v>99.958330000000004</v>
      </c>
      <c r="C31" s="34">
        <f>DataA!O48</f>
        <v>101.27500000000001</v>
      </c>
      <c r="D31" s="34">
        <f>DataA!P48</f>
        <v>103.4417</v>
      </c>
      <c r="E31" s="34">
        <f>DataA!Q48</f>
        <v>115.1416</v>
      </c>
      <c r="F31" s="34">
        <f t="shared" si="46"/>
        <v>98.913860617085803</v>
      </c>
      <c r="G31" s="34">
        <f t="shared" si="71"/>
        <v>101.4015309590103</v>
      </c>
      <c r="H31" s="34">
        <f t="shared" si="47"/>
        <v>1.6397501843742335</v>
      </c>
      <c r="I31" s="34">
        <f t="shared" si="48"/>
        <v>1.4719567370597098</v>
      </c>
      <c r="P31" s="50">
        <f>HAVERA!B32/1000</f>
        <v>0.112</v>
      </c>
      <c r="Q31" s="50">
        <f>'Family spending workbook 1'!Y21/100</f>
        <v>0.11067193675889328</v>
      </c>
      <c r="R31" s="50">
        <f>'Family spending workbook 1'!O21/100</f>
        <v>0.15966386554621848</v>
      </c>
      <c r="S31" s="50">
        <f>'Family spending workbook 1'!P21/100</f>
        <v>0.14989979959919839</v>
      </c>
      <c r="T31" s="50">
        <f>'Family spending workbook 1'!Q21/100</f>
        <v>0.14236545682102628</v>
      </c>
      <c r="U31" s="50">
        <f>'Family spending workbook 1'!R21/100</f>
        <v>0.13749000799360511</v>
      </c>
      <c r="V31" s="50">
        <f>'Family spending workbook 1'!S21/100</f>
        <v>0.12789390874353787</v>
      </c>
      <c r="W31" s="50">
        <f>'Family spending workbook 1'!T21/100</f>
        <v>0.11857555341674689</v>
      </c>
      <c r="X31" s="50">
        <f>'Family spending workbook 1'!U21/100</f>
        <v>0.11171019376579611</v>
      </c>
      <c r="Y31" s="50">
        <f>'Family spending workbook 1'!V21/100</f>
        <v>0.10134149897929426</v>
      </c>
      <c r="Z31" s="50">
        <f>'Family spending workbook 1'!W21/100</f>
        <v>9.9308047155304974E-2</v>
      </c>
      <c r="AA31" s="50">
        <f>'Family spending workbook 1'!X21/100</f>
        <v>7.8726533437148541E-2</v>
      </c>
      <c r="AD31" s="50">
        <f>HAVERA!C32/1000</f>
        <v>4.4999999999999998E-2</v>
      </c>
      <c r="AE31" s="50">
        <f>'Family spending workbook 1'!Y52/100</f>
        <v>4.8560135516657263E-2</v>
      </c>
      <c r="AF31" s="50">
        <f>'Family spending workbook 1'!O52/100</f>
        <v>9.8214285714285712E-2</v>
      </c>
      <c r="AG31" s="50">
        <f>'Family spending workbook 1'!P52/100</f>
        <v>8.6973947895791562E-2</v>
      </c>
      <c r="AH31" s="50">
        <f>'Family spending workbook 1'!Q52/100</f>
        <v>6.9774718397997496E-2</v>
      </c>
      <c r="AI31" s="50">
        <f>'Family spending workbook 1'!R52/100</f>
        <v>6.2616573407940315E-2</v>
      </c>
      <c r="AJ31" s="50">
        <f>'Family spending workbook 1'!S52/100</f>
        <v>5.68667116205889E-2</v>
      </c>
      <c r="AK31" s="50">
        <f>'Family spending workbook 1'!T52/100</f>
        <v>4.7738209817131859E-2</v>
      </c>
      <c r="AL31" s="50">
        <f>'Family spending workbook 1'!U52/100</f>
        <v>4.6166807076663853E-2</v>
      </c>
      <c r="AM31" s="50">
        <f>'Family spending workbook 1'!V52/100</f>
        <v>4.1557305336832898E-2</v>
      </c>
      <c r="AN31" s="50">
        <f>'Family spending workbook 1'!W52/100</f>
        <v>3.818554587391082E-2</v>
      </c>
      <c r="AO31" s="50">
        <f>'Family spending workbook 1'!X52/100</f>
        <v>3.1490613374859415E-2</v>
      </c>
      <c r="AR31" s="50">
        <f>HAVERA!D32/1000</f>
        <v>3.5000000000000003E-2</v>
      </c>
      <c r="AS31" s="50">
        <f>'Family spending workbook 1'!Y83/100</f>
        <v>4.3290043290043295E-2</v>
      </c>
      <c r="AT31" s="50">
        <f>'Family spending workbook 1'!O83/100</f>
        <v>2.9936974789915968E-2</v>
      </c>
      <c r="AU31" s="50">
        <f>'Family spending workbook 1'!P83/100</f>
        <v>2.8056112224448898E-2</v>
      </c>
      <c r="AV31" s="50">
        <f>'Family spending workbook 1'!Q83/100</f>
        <v>4.1614518147684604E-2</v>
      </c>
      <c r="AW31" s="50">
        <f>'Family spending workbook 1'!R83/100</f>
        <v>4.5297095656807888E-2</v>
      </c>
      <c r="AX31" s="50">
        <f>'Family spending workbook 1'!S83/100</f>
        <v>5.1697010564171725E-2</v>
      </c>
      <c r="AY31" s="50">
        <f>'Family spending workbook 1'!T83/100</f>
        <v>4.7160731472569779E-2</v>
      </c>
      <c r="AZ31" s="50">
        <f>'Family spending workbook 1'!U83/100</f>
        <v>4.9031171019376582E-2</v>
      </c>
      <c r="BA31" s="50">
        <f>'Family spending workbook 1'!V83/100</f>
        <v>4.8556430446194225E-2</v>
      </c>
      <c r="BB31" s="50">
        <f>'Family spending workbook 1'!W83/100</f>
        <v>4.7027165556125079E-2</v>
      </c>
      <c r="BC31" s="50">
        <f>'Family spending workbook 1'!X83/100</f>
        <v>3.5037633013236438E-2</v>
      </c>
      <c r="BF31" s="50">
        <f t="shared" si="44"/>
        <v>0.80799999999999994</v>
      </c>
      <c r="BG31" s="50">
        <f t="shared" si="60"/>
        <v>0.79747788443440615</v>
      </c>
      <c r="BH31" s="50">
        <f t="shared" si="61"/>
        <v>0.71218487394957986</v>
      </c>
      <c r="BI31" s="50">
        <f t="shared" si="62"/>
        <v>0.73507014028056106</v>
      </c>
      <c r="BJ31" s="50">
        <f t="shared" si="63"/>
        <v>0.74624530663329158</v>
      </c>
      <c r="BK31" s="50">
        <f t="shared" si="64"/>
        <v>0.75459632294164669</v>
      </c>
      <c r="BL31" s="50">
        <f t="shared" si="65"/>
        <v>0.76354236907170148</v>
      </c>
      <c r="BM31" s="50">
        <f t="shared" si="66"/>
        <v>0.78652550529355147</v>
      </c>
      <c r="BN31" s="50">
        <f t="shared" si="67"/>
        <v>0.79309182813816348</v>
      </c>
      <c r="BO31" s="50">
        <f t="shared" si="68"/>
        <v>0.80854476523767871</v>
      </c>
      <c r="BP31" s="50">
        <f t="shared" si="69"/>
        <v>0.81547924141465911</v>
      </c>
      <c r="BQ31" s="50">
        <f t="shared" si="70"/>
        <v>0.85474522017475563</v>
      </c>
    </row>
    <row r="32" spans="1:69" x14ac:dyDescent="0.35">
      <c r="A32" s="36">
        <v>2015</v>
      </c>
      <c r="B32" s="34">
        <f>DataA!N49</f>
        <v>100.00830000000001</v>
      </c>
      <c r="C32" s="34">
        <f>DataA!O49</f>
        <v>99.999979999999994</v>
      </c>
      <c r="D32" s="34">
        <f>DataA!P49</f>
        <v>100</v>
      </c>
      <c r="E32" s="34">
        <f>DataA!Q49</f>
        <v>100</v>
      </c>
      <c r="F32" s="34">
        <v>100</v>
      </c>
      <c r="G32" s="34">
        <f t="shared" si="71"/>
        <v>101.57237538961256</v>
      </c>
      <c r="H32" s="34">
        <f t="shared" si="47"/>
        <v>0.16848308796375555</v>
      </c>
      <c r="I32" s="34">
        <f t="shared" si="48"/>
        <v>4.999083117935843E-2</v>
      </c>
      <c r="P32" s="50">
        <f>HAVERA!B33/1000</f>
        <v>0.11</v>
      </c>
      <c r="Q32" s="50">
        <f>'Family spending workbook 1'!Y22/100</f>
        <v>0.10739270183399509</v>
      </c>
      <c r="R32" s="50">
        <f>'Family spending workbook 1'!O22/100</f>
        <v>0.16333333333333333</v>
      </c>
      <c r="S32" s="50">
        <f>'Family spending workbook 1'!P22/100</f>
        <v>0.14209115281501339</v>
      </c>
      <c r="T32" s="50">
        <f>'Family spending workbook 1'!Q22/100</f>
        <v>0.14155844155844155</v>
      </c>
      <c r="U32" s="50">
        <f>'Family spending workbook 1'!R22/100</f>
        <v>0.13290113452188007</v>
      </c>
      <c r="V32" s="50">
        <f>'Family spending workbook 1'!S22/100</f>
        <v>0.11654054054054054</v>
      </c>
      <c r="W32" s="50">
        <f>'Family spending workbook 1'!T22/100</f>
        <v>0.10497237569060774</v>
      </c>
      <c r="X32" s="50">
        <f>'Family spending workbook 1'!U22/100</f>
        <v>0.1132686084142395</v>
      </c>
      <c r="Y32" s="50">
        <f>'Family spending workbook 1'!V22/100</f>
        <v>0.10456331217890602</v>
      </c>
      <c r="Z32" s="50">
        <f>'Family spending workbook 1'!W22/100</f>
        <v>9.4358974358974348E-2</v>
      </c>
      <c r="AA32" s="50">
        <f>'Family spending workbook 1'!X22/100</f>
        <v>7.8155254356627346E-2</v>
      </c>
      <c r="AD32" s="50">
        <f>HAVERA!C33/1000</f>
        <v>4.2000000000000003E-2</v>
      </c>
      <c r="AE32" s="50">
        <f>'Family spending workbook 1'!Y53/100</f>
        <v>4.4053696350917007E-2</v>
      </c>
      <c r="AF32" s="50">
        <f>'Family spending workbook 1'!O53/100</f>
        <v>9.6666666666666665E-2</v>
      </c>
      <c r="AG32" s="50">
        <f>'Family spending workbook 1'!P53/100</f>
        <v>7.7747989276139406E-2</v>
      </c>
      <c r="AH32" s="50">
        <f>'Family spending workbook 1'!Q53/100</f>
        <v>6.9155844155844165E-2</v>
      </c>
      <c r="AI32" s="50">
        <f>'Family spending workbook 1'!R53/100</f>
        <v>5.9157212317666123E-2</v>
      </c>
      <c r="AJ32" s="50">
        <f>'Family spending workbook 1'!S53/100</f>
        <v>4.8864864864864875E-2</v>
      </c>
      <c r="AK32" s="50">
        <f>'Family spending workbook 1'!T53/100</f>
        <v>4.1988950276243095E-2</v>
      </c>
      <c r="AL32" s="50">
        <f>'Family spending workbook 1'!U53/100</f>
        <v>4.0708567535343215E-2</v>
      </c>
      <c r="AM32" s="50">
        <f>'Family spending workbook 1'!V53/100</f>
        <v>3.7322453913569052E-2</v>
      </c>
      <c r="AN32" s="50">
        <f>'Family spending workbook 1'!W53/100</f>
        <v>3.3461538461538466E-2</v>
      </c>
      <c r="AO32" s="50">
        <f>'Family spending workbook 1'!X53/100</f>
        <v>2.8076042950184826E-2</v>
      </c>
      <c r="AR32" s="50">
        <f>HAVERA!D33/1000</f>
        <v>3.4000000000000002E-2</v>
      </c>
      <c r="AS32" s="50">
        <f>'Family spending workbook 1'!Y84/100</f>
        <v>3.6679901682737756E-2</v>
      </c>
      <c r="AT32" s="50">
        <f>'Family spending workbook 1'!O84/100</f>
        <v>2.2777777777777775E-2</v>
      </c>
      <c r="AU32" s="50">
        <f>'Family spending workbook 1'!P84/100</f>
        <v>2.7958636537725002E-2</v>
      </c>
      <c r="AV32" s="50">
        <f>'Family spending workbook 1'!Q84/100</f>
        <v>3.4740259740259738E-2</v>
      </c>
      <c r="AW32" s="50">
        <f>'Family spending workbook 1'!R84/100</f>
        <v>3.4575904916261481E-2</v>
      </c>
      <c r="AX32" s="50">
        <f>'Family spending workbook 1'!S84/100</f>
        <v>3.9135135135135141E-2</v>
      </c>
      <c r="AY32" s="50">
        <f>'Family spending workbook 1'!T84/100</f>
        <v>3.7937384898710867E-2</v>
      </c>
      <c r="AZ32" s="50">
        <f>'Family spending workbook 1'!U84/100</f>
        <v>3.9175608925225681E-2</v>
      </c>
      <c r="BA32" s="50">
        <f>'Family spending workbook 1'!V84/100</f>
        <v>4.3668782109398611E-2</v>
      </c>
      <c r="BB32" s="50">
        <f>'Family spending workbook 1'!W84/100</f>
        <v>3.9487179487179488E-2</v>
      </c>
      <c r="BC32" s="50">
        <f>'Family spending workbook 1'!X84/100</f>
        <v>3.3092765358211582E-2</v>
      </c>
      <c r="BF32" s="50">
        <f t="shared" si="44"/>
        <v>0.81399999999999995</v>
      </c>
      <c r="BG32" s="50">
        <f t="shared" si="60"/>
        <v>0.81187370013235016</v>
      </c>
      <c r="BH32" s="50">
        <f t="shared" si="61"/>
        <v>0.71722222222222221</v>
      </c>
      <c r="BI32" s="50">
        <f t="shared" si="62"/>
        <v>0.75220222137112225</v>
      </c>
      <c r="BJ32" s="50">
        <f t="shared" si="63"/>
        <v>0.75454545454545452</v>
      </c>
      <c r="BK32" s="50">
        <f t="shared" si="64"/>
        <v>0.77336574824419235</v>
      </c>
      <c r="BL32" s="50">
        <f t="shared" si="65"/>
        <v>0.79545945945945951</v>
      </c>
      <c r="BM32" s="50">
        <f t="shared" si="66"/>
        <v>0.81510128913443824</v>
      </c>
      <c r="BN32" s="50">
        <f t="shared" si="67"/>
        <v>0.80684721512519164</v>
      </c>
      <c r="BO32" s="50">
        <f t="shared" si="68"/>
        <v>0.81444545179812633</v>
      </c>
      <c r="BP32" s="50">
        <f t="shared" si="69"/>
        <v>0.83269230769230773</v>
      </c>
      <c r="BQ32" s="50">
        <f t="shared" si="70"/>
        <v>0.86067593733497627</v>
      </c>
    </row>
    <row r="33" spans="1:69" x14ac:dyDescent="0.35">
      <c r="A33" s="36">
        <v>2016</v>
      </c>
      <c r="B33" s="34">
        <f>DataA!N50</f>
        <v>100.65</v>
      </c>
      <c r="C33" s="34">
        <f>DataA!O50</f>
        <v>98.724999999999994</v>
      </c>
      <c r="D33" s="34">
        <f>DataA!P50</f>
        <v>97.05</v>
      </c>
      <c r="E33" s="34">
        <f>DataA!Q50</f>
        <v>97.616659999999996</v>
      </c>
      <c r="F33" s="34">
        <f>F32*(1*B33/B32-P33*C33/C32-AD33*D33/D32-AR33*E33/E32)/BF33</f>
        <v>101.14757420431914</v>
      </c>
      <c r="G33" s="34">
        <f t="shared" si="71"/>
        <v>102.22411122841305</v>
      </c>
      <c r="H33" s="34">
        <f t="shared" si="47"/>
        <v>0.64164674332027882</v>
      </c>
      <c r="I33" s="34">
        <f t="shared" si="48"/>
        <v>0.64164674332030103</v>
      </c>
      <c r="P33" s="50">
        <f>HAVERA!B34/1000</f>
        <v>0.10299999999999999</v>
      </c>
      <c r="Q33" s="50">
        <f>'Family spending workbook 1'!Y23/100</f>
        <v>0.10465535907614579</v>
      </c>
      <c r="R33" s="50">
        <f>'Family spending workbook 1'!O23/100</f>
        <v>0.13754826254826255</v>
      </c>
      <c r="S33" s="50">
        <f>'Family spending workbook 1'!P23/100</f>
        <v>0.14037735849056604</v>
      </c>
      <c r="T33" s="50">
        <f>'Family spending workbook 1'!Q23/100</f>
        <v>0.13256227758007119</v>
      </c>
      <c r="U33" s="50">
        <f>'Family spending workbook 1'!R23/100</f>
        <v>0.12258368694012259</v>
      </c>
      <c r="V33" s="50">
        <f>'Family spending workbook 1'!S23/100</f>
        <v>0.11321873147599287</v>
      </c>
      <c r="W33" s="50">
        <f>'Family spending workbook 1'!T23/100</f>
        <v>0.11024760527742636</v>
      </c>
      <c r="X33" s="50">
        <f>'Family spending workbook 1'!U23/100</f>
        <v>0.10510805500982318</v>
      </c>
      <c r="Y33" s="50">
        <f>'Family spending workbook 1'!V23/100</f>
        <v>0.10018526435798773</v>
      </c>
      <c r="Z33" s="50">
        <f>'Family spending workbook 1'!W23/100</f>
        <v>9.6742710747834568E-2</v>
      </c>
      <c r="AA33" s="50">
        <f>'Family spending workbook 1'!X23/100</f>
        <v>7.646848137535818E-2</v>
      </c>
      <c r="AD33" s="50">
        <f>HAVERA!C34/1000</f>
        <v>3.5000000000000003E-2</v>
      </c>
      <c r="AE33" s="50">
        <f>'Family spending workbook 1'!Y54/100</f>
        <v>4.0057740887766154E-2</v>
      </c>
      <c r="AF33" s="50">
        <f>'Family spending workbook 1'!O54/100</f>
        <v>8.5907335907335916E-2</v>
      </c>
      <c r="AG33" s="50">
        <f>'Family spending workbook 1'!P54/100</f>
        <v>7.5094339622641504E-2</v>
      </c>
      <c r="AH33" s="50">
        <f>'Family spending workbook 1'!Q54/100</f>
        <v>5.9608540925266913E-2</v>
      </c>
      <c r="AI33" s="50">
        <f>'Family spending workbook 1'!R54/100</f>
        <v>5.0212164073550218E-2</v>
      </c>
      <c r="AJ33" s="50">
        <f>'Family spending workbook 1'!S54/100</f>
        <v>4.3469670025686621E-2</v>
      </c>
      <c r="AK33" s="50">
        <f>'Family spending workbook 1'!T54/100</f>
        <v>4.0484366528104096E-2</v>
      </c>
      <c r="AL33" s="50">
        <f>'Family spending workbook 1'!U54/100</f>
        <v>3.5363457760314347E-2</v>
      </c>
      <c r="AM33" s="50">
        <f>'Family spending workbook 1'!V54/100</f>
        <v>3.4487672794641579E-2</v>
      </c>
      <c r="AN33" s="50">
        <f>'Family spending workbook 1'!W54/100</f>
        <v>2.9644992070269615E-2</v>
      </c>
      <c r="AO33" s="50">
        <f>'Family spending workbook 1'!X54/100</f>
        <v>2.5698424068767909E-2</v>
      </c>
      <c r="AR33" s="50">
        <f>HAVERA!D34/1000</f>
        <v>3.2000000000000001E-2</v>
      </c>
      <c r="AS33" s="50">
        <f>'Family spending workbook 1'!Y85/100</f>
        <v>3.7351136773727894E-2</v>
      </c>
      <c r="AT33" s="50">
        <f>'Family spending workbook 1'!O85/100</f>
        <v>2.6061776061776065E-2</v>
      </c>
      <c r="AU33" s="50">
        <f>'Family spending workbook 1'!P85/100</f>
        <v>3.0566037735849053E-2</v>
      </c>
      <c r="AV33" s="50">
        <f>'Family spending workbook 1'!Q85/100</f>
        <v>3.4104389086595494E-2</v>
      </c>
      <c r="AW33" s="50">
        <f>'Family spending workbook 1'!R85/100</f>
        <v>3.583215464403583E-2</v>
      </c>
      <c r="AX33" s="50">
        <f>'Family spending workbook 1'!S85/100</f>
        <v>3.9913060659948624E-2</v>
      </c>
      <c r="AY33" s="50">
        <f>'Family spending workbook 1'!T85/100</f>
        <v>4.1026567865534068E-2</v>
      </c>
      <c r="AZ33" s="50">
        <f>'Family spending workbook 1'!U85/100</f>
        <v>4.0438768827766862E-2</v>
      </c>
      <c r="BA33" s="50">
        <f>'Family spending workbook 1'!V85/100</f>
        <v>4.3323357560210912E-2</v>
      </c>
      <c r="BB33" s="50">
        <f>'Family spending workbook 1'!W85/100</f>
        <v>3.9892643650115897E-2</v>
      </c>
      <c r="BC33" s="50">
        <f>'Family spending workbook 1'!X85/100</f>
        <v>3.2682664756446995E-2</v>
      </c>
      <c r="BF33" s="50">
        <f t="shared" si="44"/>
        <v>0.83</v>
      </c>
      <c r="BG33" s="50">
        <f t="shared" si="60"/>
        <v>0.81793576326236017</v>
      </c>
      <c r="BH33" s="50">
        <f t="shared" si="61"/>
        <v>0.75048262548262545</v>
      </c>
      <c r="BI33" s="50">
        <f t="shared" si="62"/>
        <v>0.75396226415094325</v>
      </c>
      <c r="BJ33" s="50">
        <f t="shared" si="63"/>
        <v>0.77372479240806635</v>
      </c>
      <c r="BK33" s="50">
        <f t="shared" si="64"/>
        <v>0.79137199434229144</v>
      </c>
      <c r="BL33" s="50">
        <f t="shared" si="65"/>
        <v>0.8033985378383719</v>
      </c>
      <c r="BM33" s="50">
        <f t="shared" si="66"/>
        <v>0.80824146032893551</v>
      </c>
      <c r="BN33" s="50">
        <f t="shared" si="67"/>
        <v>0.81908971840209566</v>
      </c>
      <c r="BO33" s="50">
        <f t="shared" si="68"/>
        <v>0.82200370528715982</v>
      </c>
      <c r="BP33" s="50">
        <f t="shared" si="69"/>
        <v>0.8337196535317799</v>
      </c>
      <c r="BQ33" s="50">
        <f t="shared" si="70"/>
        <v>0.86515042979942691</v>
      </c>
    </row>
    <row r="34" spans="1:69" x14ac:dyDescent="0.35">
      <c r="A34" s="36">
        <v>2017</v>
      </c>
      <c r="B34" s="34">
        <f>DataA!N51</f>
        <v>103.3584</v>
      </c>
      <c r="C34" s="34">
        <f>DataA!O51</f>
        <v>101.5333</v>
      </c>
      <c r="D34" s="34">
        <f>DataA!P51</f>
        <v>100.7</v>
      </c>
      <c r="E34" s="34">
        <f>DataA!Q51</f>
        <v>105.6</v>
      </c>
      <c r="F34" s="34">
        <f t="shared" ref="F34:F43" si="72">F33*(1*B34/B33-P34*C34/C33-AD34*D34/D33-AR34*E34/E33)/BF34</f>
        <v>103.58583181176884</v>
      </c>
      <c r="G34" s="34">
        <f t="shared" si="71"/>
        <v>104.97486913055943</v>
      </c>
      <c r="H34" s="34">
        <f t="shared" si="47"/>
        <v>2.6909090909090772</v>
      </c>
      <c r="I34" s="34">
        <f t="shared" si="48"/>
        <v>2.6909090909090772</v>
      </c>
      <c r="P34" s="50">
        <f>HAVERA!B35/1000</f>
        <v>0.10291666666666667</v>
      </c>
      <c r="Q34" s="50">
        <f>'Family spending workbook 1'!Y24/100</f>
        <v>0.10595796421747437</v>
      </c>
      <c r="R34" s="50">
        <f>'Family spending workbook 1'!O24/100</f>
        <v>0.14379699248120301</v>
      </c>
      <c r="S34" s="50">
        <f>'Family spending workbook 1'!P24/100</f>
        <v>0.15077271013946475</v>
      </c>
      <c r="T34" s="50">
        <f>'Family spending workbook 1'!Q24/100</f>
        <v>0.13568825343425847</v>
      </c>
      <c r="U34" s="50">
        <f>'Family spending workbook 1'!R24/100</f>
        <v>0.1245274102079395</v>
      </c>
      <c r="V34" s="50">
        <f>'Family spending workbook 1'!S24/100</f>
        <v>0.11638906025087396</v>
      </c>
      <c r="W34" s="50">
        <f>'Family spending workbook 1'!T24/100</f>
        <v>0.10971191995859927</v>
      </c>
      <c r="X34" s="50">
        <f>'Family spending workbook 1'!U24/100</f>
        <v>0.10424770499455421</v>
      </c>
      <c r="Y34" s="50">
        <f>'Family spending workbook 1'!V24/100</f>
        <v>0.10278840896664844</v>
      </c>
      <c r="Z34" s="50">
        <f>'Family spending workbook 1'!W24/100</f>
        <v>0.10066545674531156</v>
      </c>
      <c r="AA34" s="50">
        <f>'Family spending workbook 1'!X24/100</f>
        <v>7.5295834008753448E-2</v>
      </c>
      <c r="AD34" s="50">
        <f>HAVERA!C35/1000</f>
        <v>3.3916666666666664E-2</v>
      </c>
      <c r="AE34" s="50">
        <f>'Family spending workbook 1'!Y55/100</f>
        <v>3.9256557234670836E-2</v>
      </c>
      <c r="AF34" s="50">
        <f>'Family spending workbook 1'!O55/100</f>
        <v>8.0357142857142863E-2</v>
      </c>
      <c r="AG34" s="50">
        <f>'Family spending workbook 1'!P55/100</f>
        <v>7.2747832642291746E-2</v>
      </c>
      <c r="AH34" s="50">
        <f>'Family spending workbook 1'!Q55/100</f>
        <v>5.887300252312868E-2</v>
      </c>
      <c r="AI34" s="50">
        <f>'Family spending workbook 1'!R55/100</f>
        <v>5.1984877126654068E-2</v>
      </c>
      <c r="AJ34" s="50">
        <f>'Family spending workbook 1'!S55/100</f>
        <v>4.5033929673041338E-2</v>
      </c>
      <c r="AK34" s="50">
        <f>'Family spending workbook 1'!T55/100</f>
        <v>3.8985682249439366E-2</v>
      </c>
      <c r="AL34" s="50">
        <f>'Family spending workbook 1'!U55/100</f>
        <v>3.4697370468336701E-2</v>
      </c>
      <c r="AM34" s="50">
        <f>'Family spending workbook 1'!V55/100</f>
        <v>3.1984691088026242E-2</v>
      </c>
      <c r="AN34" s="50">
        <f>'Family spending workbook 1'!W55/100</f>
        <v>3.0006049606775564E-2</v>
      </c>
      <c r="AO34" s="50">
        <f>'Family spending workbook 1'!X55/100</f>
        <v>2.5449829794131951E-2</v>
      </c>
      <c r="AR34" s="50">
        <f>HAVERA!D35/1000</f>
        <v>3.2916666666666664E-2</v>
      </c>
      <c r="AS34" s="50">
        <f>'Family spending workbook 1'!Y86/100</f>
        <v>3.7345839847142605E-2</v>
      </c>
      <c r="AT34" s="50">
        <f>'Family spending workbook 1'!O86/100</f>
        <v>2.2556390977443604E-2</v>
      </c>
      <c r="AU34" s="50">
        <f>'Family spending workbook 1'!P86/100</f>
        <v>2.789295137580098E-2</v>
      </c>
      <c r="AV34" s="50">
        <f>'Family spending workbook 1'!Q86/100</f>
        <v>3.5323801513877207E-2</v>
      </c>
      <c r="AW34" s="50">
        <f>'Family spending workbook 1'!R86/100</f>
        <v>3.8516068052930057E-2</v>
      </c>
      <c r="AX34" s="50">
        <f>'Family spending workbook 1'!S86/100</f>
        <v>3.8247995064774831E-2</v>
      </c>
      <c r="AY34" s="50">
        <f>'Family spending workbook 1'!T86/100</f>
        <v>3.915818526824219E-2</v>
      </c>
      <c r="AZ34" s="50">
        <f>'Family spending workbook 1'!U86/100</f>
        <v>4.1232301229189347E-2</v>
      </c>
      <c r="BA34" s="50">
        <f>'Family spending workbook 1'!V86/100</f>
        <v>4.2372881355932195E-2</v>
      </c>
      <c r="BB34" s="50">
        <f>'Family spending workbook 1'!W86/100</f>
        <v>4.3799153055051422E-2</v>
      </c>
      <c r="BC34" s="50">
        <f>'Family spending workbook 1'!X86/100</f>
        <v>3.1852812449343487E-2</v>
      </c>
      <c r="BF34" s="50">
        <f t="shared" si="44"/>
        <v>0.83024999999999993</v>
      </c>
      <c r="BG34" s="50">
        <f t="shared" si="60"/>
        <v>0.81743963870071223</v>
      </c>
      <c r="BH34" s="50">
        <f t="shared" si="61"/>
        <v>0.75328947368421051</v>
      </c>
      <c r="BI34" s="50">
        <f t="shared" si="62"/>
        <v>0.74858650584244257</v>
      </c>
      <c r="BJ34" s="50">
        <f t="shared" si="63"/>
        <v>0.77011494252873569</v>
      </c>
      <c r="BK34" s="50">
        <f t="shared" si="64"/>
        <v>0.78497164461247637</v>
      </c>
      <c r="BL34" s="50">
        <f t="shared" si="65"/>
        <v>0.80032901501130993</v>
      </c>
      <c r="BM34" s="50">
        <f t="shared" si="66"/>
        <v>0.81214421252371916</v>
      </c>
      <c r="BN34" s="50">
        <f t="shared" si="67"/>
        <v>0.81982262330791977</v>
      </c>
      <c r="BO34" s="50">
        <f t="shared" si="68"/>
        <v>0.82285401858939311</v>
      </c>
      <c r="BP34" s="50">
        <f t="shared" si="69"/>
        <v>0.82552934059286143</v>
      </c>
      <c r="BQ34" s="50">
        <f t="shared" si="70"/>
        <v>0.86740152374777113</v>
      </c>
    </row>
    <row r="35" spans="1:69" x14ac:dyDescent="0.35">
      <c r="A35" s="36">
        <v>2018</v>
      </c>
      <c r="B35" s="34">
        <f>DataA!N52</f>
        <v>105.91670000000001</v>
      </c>
      <c r="C35" s="34">
        <f>DataA!O52</f>
        <v>104.3083</v>
      </c>
      <c r="D35" s="34">
        <f>DataA!P52</f>
        <v>107.5333</v>
      </c>
      <c r="E35" s="34">
        <f>DataA!Q52</f>
        <v>113.00830000000001</v>
      </c>
      <c r="F35" s="34">
        <f t="shared" si="72"/>
        <v>105.76106629649013</v>
      </c>
      <c r="G35" s="34">
        <f t="shared" si="71"/>
        <v>107.57317955038704</v>
      </c>
      <c r="H35" s="34">
        <f t="shared" si="47"/>
        <v>2.475173764299754</v>
      </c>
      <c r="I35" s="34">
        <f t="shared" si="48"/>
        <v>2.475173764299754</v>
      </c>
      <c r="P35" s="50">
        <f>HAVERA!B36/1000</f>
        <v>0.10100000000000001</v>
      </c>
      <c r="Q35" s="50">
        <f>'Family spending workbook 1'!Y25/100</f>
        <v>0.10456081081081081</v>
      </c>
      <c r="R35" s="50">
        <f>'Family spending workbook 1'!O25/100</f>
        <v>0.13845504432249892</v>
      </c>
      <c r="S35" s="50">
        <f>'Family spending workbook 1'!P25/100</f>
        <v>0.14094650205761317</v>
      </c>
      <c r="T35" s="50">
        <f>'Family spending workbook 1'!Q25/100</f>
        <v>0.12800663533314902</v>
      </c>
      <c r="U35" s="50">
        <f>'Family spending workbook 1'!R25/100</f>
        <v>0.11996315910660833</v>
      </c>
      <c r="V35" s="50">
        <f>'Family spending workbook 1'!S25/100</f>
        <v>0.11033175355450238</v>
      </c>
      <c r="W35" s="50">
        <f>'Family spending workbook 1'!T25/100</f>
        <v>0.11205432937181664</v>
      </c>
      <c r="X35" s="50">
        <f>'Family spending workbook 1'!U25/100</f>
        <v>0.10406958682820752</v>
      </c>
      <c r="Y35" s="50">
        <f>'Family spending workbook 1'!V25/100</f>
        <v>9.7554492291334421E-2</v>
      </c>
      <c r="Z35" s="50">
        <f>'Family spending workbook 1'!W25/100</f>
        <v>9.5330739299610917E-2</v>
      </c>
      <c r="AA35" s="50">
        <f>'Family spending workbook 1'!X25/100</f>
        <v>8.1776087316024468E-2</v>
      </c>
      <c r="AD35" s="50">
        <f>HAVERA!C36/1000</f>
        <v>3.4000000000000002E-2</v>
      </c>
      <c r="AE35" s="50">
        <f>'Family spending workbook 1'!Y56/100</f>
        <v>4.155405405405406E-2</v>
      </c>
      <c r="AF35" s="50">
        <f>'Family spending workbook 1'!O56/100</f>
        <v>8.0624736175601536E-2</v>
      </c>
      <c r="AG35" s="50">
        <f>'Family spending workbook 1'!P56/100</f>
        <v>7.0644718792866934E-2</v>
      </c>
      <c r="AH35" s="50">
        <f>'Family spending workbook 1'!Q56/100</f>
        <v>5.9441526126624275E-2</v>
      </c>
      <c r="AI35" s="50">
        <f>'Family spending workbook 1'!R56/100</f>
        <v>5.41100621690076E-2</v>
      </c>
      <c r="AJ35" s="50">
        <f>'Family spending workbook 1'!S56/100</f>
        <v>4.3412322274881517E-2</v>
      </c>
      <c r="AK35" s="50">
        <f>'Family spending workbook 1'!T56/100</f>
        <v>4.0577249575551783E-2</v>
      </c>
      <c r="AL35" s="50">
        <f>'Family spending workbook 1'!U56/100</f>
        <v>3.9608574091332713E-2</v>
      </c>
      <c r="AM35" s="50">
        <f>'Family spending workbook 1'!V56/100</f>
        <v>3.7214247740563533E-2</v>
      </c>
      <c r="AN35" s="50">
        <f>'Family spending workbook 1'!W56/100</f>
        <v>3.192950331883726E-2</v>
      </c>
      <c r="AO35" s="50">
        <f>'Family spending workbook 1'!X56/100</f>
        <v>2.7865057053084175E-2</v>
      </c>
      <c r="AR35" s="50">
        <f>HAVERA!D36/1000</f>
        <v>3.0916666666666669E-2</v>
      </c>
      <c r="AS35" s="50">
        <f>'Family spending workbook 1'!Y87/100</f>
        <v>3.9189189189189191E-2</v>
      </c>
      <c r="AT35" s="50">
        <f>'Family spending workbook 1'!O87/100</f>
        <v>2.5327142254115656E-2</v>
      </c>
      <c r="AU35" s="50">
        <f>'Family spending workbook 1'!P87/100</f>
        <v>3.2235939643347047E-2</v>
      </c>
      <c r="AV35" s="50">
        <f>'Family spending workbook 1'!Q87/100</f>
        <v>3.8153165606856512E-2</v>
      </c>
      <c r="AW35" s="50">
        <f>'Family spending workbook 1'!R87/100</f>
        <v>3.8913193644945887E-2</v>
      </c>
      <c r="AX35" s="50">
        <f>'Family spending workbook 1'!S87/100</f>
        <v>4.1137440758293835E-2</v>
      </c>
      <c r="AY35" s="50">
        <f>'Family spending workbook 1'!T87/100</f>
        <v>4.533106960950764E-2</v>
      </c>
      <c r="AZ35" s="50">
        <f>'Family spending workbook 1'!U87/100</f>
        <v>4.2715128922025475E-2</v>
      </c>
      <c r="BA35" s="50">
        <f>'Family spending workbook 1'!V87/100</f>
        <v>4.3195108984582668E-2</v>
      </c>
      <c r="BB35" s="50">
        <f>'Family spending workbook 1'!W87/100</f>
        <v>4.2915999084458686E-2</v>
      </c>
      <c r="BC35" s="50">
        <f>'Family spending workbook 1'!X87/100</f>
        <v>3.2908880436580121E-2</v>
      </c>
      <c r="BF35" s="50">
        <f t="shared" si="44"/>
        <v>0.83408333333333329</v>
      </c>
      <c r="BG35" s="50">
        <f t="shared" si="60"/>
        <v>0.81469594594594585</v>
      </c>
      <c r="BH35" s="50">
        <f t="shared" si="61"/>
        <v>0.75559307724778391</v>
      </c>
      <c r="BI35" s="50">
        <f t="shared" si="62"/>
        <v>0.75617283950617287</v>
      </c>
      <c r="BJ35" s="50">
        <f t="shared" si="63"/>
        <v>0.77439867293337017</v>
      </c>
      <c r="BK35" s="50">
        <f t="shared" si="64"/>
        <v>0.78701358507943819</v>
      </c>
      <c r="BL35" s="50">
        <f t="shared" si="65"/>
        <v>0.80511848341232217</v>
      </c>
      <c r="BM35" s="50">
        <f t="shared" si="66"/>
        <v>0.80203735144312405</v>
      </c>
      <c r="BN35" s="50">
        <f t="shared" si="67"/>
        <v>0.81360671015843433</v>
      </c>
      <c r="BO35" s="50">
        <f t="shared" si="68"/>
        <v>0.82203615098351934</v>
      </c>
      <c r="BP35" s="50">
        <f t="shared" si="69"/>
        <v>0.82982375829709321</v>
      </c>
      <c r="BQ35" s="50">
        <f t="shared" si="70"/>
        <v>0.85744997519431121</v>
      </c>
    </row>
    <row r="36" spans="1:69" x14ac:dyDescent="0.35">
      <c r="A36" s="36">
        <v>2019</v>
      </c>
      <c r="B36" s="34">
        <f>DataA!N53</f>
        <v>107.8</v>
      </c>
      <c r="C36" s="34">
        <f>DataA!O53</f>
        <v>106.36669999999999</v>
      </c>
      <c r="D36" s="34">
        <f>DataA!P53</f>
        <v>111.6083</v>
      </c>
      <c r="E36" s="34">
        <f>DataA!Q53</f>
        <v>113.4333</v>
      </c>
      <c r="F36" s="34">
        <f t="shared" si="72"/>
        <v>107.59096787902934</v>
      </c>
      <c r="G36" s="34">
        <f t="shared" si="71"/>
        <v>109.48593333753526</v>
      </c>
      <c r="H36" s="34">
        <f t="shared" si="47"/>
        <v>1.7780954278220351</v>
      </c>
      <c r="I36" s="34">
        <f t="shared" si="48"/>
        <v>1.7780954278220351</v>
      </c>
      <c r="P36" s="50">
        <f>HAVERA!B37/1000</f>
        <v>0.1</v>
      </c>
      <c r="Q36" s="50">
        <f>'Family spending workbook 1'!Y26/100</f>
        <v>0.10835176050348699</v>
      </c>
      <c r="R36" s="50">
        <f>'Family spending workbook 1'!O26/100</f>
        <v>0.14046549612086565</v>
      </c>
      <c r="S36" s="50">
        <f>'Family spending workbook 1'!P26/100</f>
        <v>0.14385231626610934</v>
      </c>
      <c r="T36" s="50">
        <f>'Family spending workbook 1'!Q26/100</f>
        <v>0.1335352422907489</v>
      </c>
      <c r="U36" s="50">
        <f>'Family spending workbook 1'!R26/100</f>
        <v>0.12454128440366972</v>
      </c>
      <c r="V36" s="50">
        <f>'Family spending workbook 1'!S26/100</f>
        <v>0.12017084061347311</v>
      </c>
      <c r="W36" s="50">
        <f>'Family spending workbook 1'!T26/100</f>
        <v>0.11023622047244094</v>
      </c>
      <c r="X36" s="50">
        <f>'Family spending workbook 1'!U26/100</f>
        <v>0.11375864719446578</v>
      </c>
      <c r="Y36" s="50">
        <f>'Family spending workbook 1'!V26/100</f>
        <v>0.10093188082425517</v>
      </c>
      <c r="Z36" s="50">
        <f>'Family spending workbook 1'!W26/100</f>
        <v>9.8662207357859522E-2</v>
      </c>
      <c r="AA36" s="50">
        <f>'Family spending workbook 1'!X26/100</f>
        <v>8.2284285118799497E-2</v>
      </c>
      <c r="AD36" s="50">
        <f>HAVERA!C37/1000</f>
        <v>3.1166666666666669E-2</v>
      </c>
      <c r="AE36" s="50">
        <f>'Family spending workbook 1'!Y57/100</f>
        <v>4.1673754039802689E-2</v>
      </c>
      <c r="AF36" s="50">
        <f>'Family spending workbook 1'!O57/100</f>
        <v>7.7174356880359327E-2</v>
      </c>
      <c r="AG36" s="50">
        <f>'Family spending workbook 1'!P57/100</f>
        <v>7.4538488331591768E-2</v>
      </c>
      <c r="AH36" s="50">
        <f>'Family spending workbook 1'!Q57/100</f>
        <v>6.0848017621145382E-2</v>
      </c>
      <c r="AI36" s="50">
        <f>'Family spending workbook 1'!R57/100</f>
        <v>5.5275229357798168E-2</v>
      </c>
      <c r="AJ36" s="50">
        <f>'Family spending workbook 1'!S57/100</f>
        <v>4.4651523975927004E-2</v>
      </c>
      <c r="AK36" s="50">
        <f>'Family spending workbook 1'!T57/100</f>
        <v>4.0225950017117415E-2</v>
      </c>
      <c r="AL36" s="50">
        <f>'Family spending workbook 1'!U57/100</f>
        <v>4.0891621829362033E-2</v>
      </c>
      <c r="AM36" s="50">
        <f>'Family spending workbook 1'!V57/100</f>
        <v>3.4125213282583014E-2</v>
      </c>
      <c r="AN36" s="50">
        <f>'Family spending workbook 1'!W57/100</f>
        <v>3.2250358337314856E-2</v>
      </c>
      <c r="AO36" s="50">
        <f>'Family spending workbook 1'!X57/100</f>
        <v>2.6677782409337224E-2</v>
      </c>
      <c r="AR36" s="50">
        <f>HAVERA!D37/1000</f>
        <v>0.03</v>
      </c>
      <c r="AS36" s="50">
        <f>'Family spending workbook 1'!Y88/100</f>
        <v>3.7931621023983675E-2</v>
      </c>
      <c r="AT36" s="50">
        <f>'Family spending workbook 1'!O88/100</f>
        <v>2.5316455696202535E-2</v>
      </c>
      <c r="AU36" s="50">
        <f>'Family spending workbook 1'!P88/100</f>
        <v>3.2044583768721692E-2</v>
      </c>
      <c r="AV36" s="50">
        <f>'Family spending workbook 1'!Q88/100</f>
        <v>3.4966960352422909E-2</v>
      </c>
      <c r="AW36" s="50">
        <f>'Family spending workbook 1'!R88/100</f>
        <v>4.0366972477064229E-2</v>
      </c>
      <c r="AX36" s="50">
        <f>'Family spending workbook 1'!S88/100</f>
        <v>3.9798097456804502E-2</v>
      </c>
      <c r="AY36" s="50">
        <f>'Family spending workbook 1'!T88/100</f>
        <v>4.0054775761725434E-2</v>
      </c>
      <c r="AZ36" s="50">
        <f>'Family spending workbook 1'!U88/100</f>
        <v>4.1506533435818602E-2</v>
      </c>
      <c r="BA36" s="50">
        <f>'Family spending workbook 1'!V88/100</f>
        <v>4.6462790392439952E-2</v>
      </c>
      <c r="BB36" s="50">
        <f>'Family spending workbook 1'!W88/100</f>
        <v>4.001433349259436E-2</v>
      </c>
      <c r="BC36" s="50">
        <f>'Family spending workbook 1'!X88/100</f>
        <v>3.0846185910796166E-2</v>
      </c>
      <c r="BF36" s="50">
        <f t="shared" si="44"/>
        <v>0.83883333333333332</v>
      </c>
      <c r="BG36" s="50">
        <f t="shared" si="60"/>
        <v>0.81204286443272666</v>
      </c>
      <c r="BH36" s="50">
        <f t="shared" si="61"/>
        <v>0.75704369130257243</v>
      </c>
      <c r="BI36" s="50">
        <f t="shared" si="62"/>
        <v>0.74956461163357713</v>
      </c>
      <c r="BJ36" s="50">
        <f t="shared" si="63"/>
        <v>0.77064977973568294</v>
      </c>
      <c r="BK36" s="50">
        <f t="shared" si="64"/>
        <v>0.77981651376146788</v>
      </c>
      <c r="BL36" s="50">
        <f t="shared" si="65"/>
        <v>0.79537953795379535</v>
      </c>
      <c r="BM36" s="50">
        <f t="shared" si="66"/>
        <v>0.80948305374871621</v>
      </c>
      <c r="BN36" s="50">
        <f t="shared" si="67"/>
        <v>0.8038431975403536</v>
      </c>
      <c r="BO36" s="50">
        <f t="shared" si="68"/>
        <v>0.81848011550072186</v>
      </c>
      <c r="BP36" s="50">
        <f t="shared" si="69"/>
        <v>0.82907310081223129</v>
      </c>
      <c r="BQ36" s="50">
        <f t="shared" si="70"/>
        <v>0.86019174656106712</v>
      </c>
    </row>
    <row r="37" spans="1:69" x14ac:dyDescent="0.35">
      <c r="A37" s="36">
        <v>2020</v>
      </c>
      <c r="B37" s="34">
        <f>DataA!N54</f>
        <v>108.75</v>
      </c>
      <c r="C37" s="34">
        <f>DataA!O54</f>
        <v>107.50830000000001</v>
      </c>
      <c r="D37" s="34">
        <f>DataA!P54</f>
        <v>106.45</v>
      </c>
      <c r="E37" s="34">
        <f>DataA!Q54</f>
        <v>103.575</v>
      </c>
      <c r="F37" s="34">
        <f t="shared" si="72"/>
        <v>109.1289128479164</v>
      </c>
      <c r="G37" s="34">
        <f t="shared" si="71"/>
        <v>110.45079082056549</v>
      </c>
      <c r="H37" s="34">
        <f t="shared" si="47"/>
        <v>0.88126159554731132</v>
      </c>
      <c r="I37" s="34">
        <f t="shared" si="48"/>
        <v>0.88126159554731132</v>
      </c>
      <c r="P37" s="50">
        <f>HAVERA!B38/1000</f>
        <v>9.9000000000000005E-2</v>
      </c>
      <c r="Q37" s="50">
        <f>'Family spending workbook 1'!Y27/100</f>
        <v>0.14371754932502598</v>
      </c>
      <c r="R37" s="50">
        <f>'Family spending workbook 1'!O27/100</f>
        <v>0.18118811881188118</v>
      </c>
      <c r="S37" s="50">
        <f>'Family spending workbook 1'!P27/100</f>
        <v>0.17045908183632735</v>
      </c>
      <c r="T37" s="50">
        <f>'Family spending workbook 1'!Q27/100</f>
        <v>0.1593279258400927</v>
      </c>
      <c r="U37" s="50">
        <f>'Family spending workbook 1'!R27/100</f>
        <v>0.16891697787991955</v>
      </c>
      <c r="V37" s="50">
        <f>'Family spending workbook 1'!S27/100</f>
        <v>0.14762014256150841</v>
      </c>
      <c r="W37" s="50">
        <f>'Family spending workbook 1'!T27/100</f>
        <v>0.14471243042671614</v>
      </c>
      <c r="X37" s="50">
        <f>'Family spending workbook 1'!U27/100</f>
        <v>0.1479611650485437</v>
      </c>
      <c r="Y37" s="50">
        <f>'Family spending workbook 1'!V27/100</f>
        <v>0.1386285150468673</v>
      </c>
      <c r="Z37" s="50">
        <f>'Family spending workbook 1'!W27/100</f>
        <v>0.1342673671920607</v>
      </c>
      <c r="AA37" s="50">
        <f>'Family spending workbook 1'!X27/100</f>
        <v>0.11919685541272709</v>
      </c>
      <c r="AD37" s="50">
        <f>HAVERA!C38/1000</f>
        <v>3.2916666666666664E-2</v>
      </c>
      <c r="AE37" s="50">
        <f>'Family spending workbook 1'!Y58/100</f>
        <v>4.8182762201453781E-2</v>
      </c>
      <c r="AF37" s="50">
        <f>'Family spending workbook 1'!O58/100</f>
        <v>8.3663366336633654E-2</v>
      </c>
      <c r="AG37" s="50">
        <f>'Family spending workbook 1'!P58/100</f>
        <v>7.7045908183632744E-2</v>
      </c>
      <c r="AH37" s="50">
        <f>'Family spending workbook 1'!Q58/100</f>
        <v>6.3151796060254922E-2</v>
      </c>
      <c r="AI37" s="50">
        <f>'Family spending workbook 1'!R58/100</f>
        <v>6.3774777362826773E-2</v>
      </c>
      <c r="AJ37" s="50">
        <f>'Family spending workbook 1'!S58/100</f>
        <v>5.3345596688894006E-2</v>
      </c>
      <c r="AK37" s="50">
        <f>'Family spending workbook 1'!T58/100</f>
        <v>4.8031333745619458E-2</v>
      </c>
      <c r="AL37" s="50">
        <f>'Family spending workbook 1'!U58/100</f>
        <v>4.6796116504854372E-2</v>
      </c>
      <c r="AM37" s="50">
        <f>'Family spending workbook 1'!V58/100</f>
        <v>3.9631639532971552E-2</v>
      </c>
      <c r="AN37" s="50">
        <f>'Family spending workbook 1'!W58/100</f>
        <v>3.7069468768242846E-2</v>
      </c>
      <c r="AO37" s="50">
        <f>'Family spending workbook 1'!X58/100</f>
        <v>3.3570593859555936E-2</v>
      </c>
      <c r="AR37" s="50">
        <f>HAVERA!D38/1000</f>
        <v>3.1E-2</v>
      </c>
      <c r="AS37" s="50">
        <f>'Family spending workbook 1'!Y89/100</f>
        <v>2.3468328141225337E-2</v>
      </c>
      <c r="AT37" s="50">
        <f>'Family spending workbook 1'!O89/100</f>
        <v>1.5346534653465346E-2</v>
      </c>
      <c r="AU37" s="50">
        <f>'Family spending workbook 1'!P89/100</f>
        <v>2.1556886227544911E-2</v>
      </c>
      <c r="AV37" s="50">
        <f>'Family spending workbook 1'!Q89/100</f>
        <v>2.3754345307068367E-2</v>
      </c>
      <c r="AW37" s="50">
        <f>'Family spending workbook 1'!R89/100</f>
        <v>2.4992818155702382E-2</v>
      </c>
      <c r="AX37" s="50">
        <f>'Family spending workbook 1'!S89/100</f>
        <v>2.4143481260059784E-2</v>
      </c>
      <c r="AY37" s="50">
        <f>'Family spending workbook 1'!T89/100</f>
        <v>2.7623170480313333E-2</v>
      </c>
      <c r="AZ37" s="50">
        <f>'Family spending workbook 1'!U89/100</f>
        <v>2.6990291262135924E-2</v>
      </c>
      <c r="BA37" s="50">
        <f>'Family spending workbook 1'!V89/100</f>
        <v>2.4995888834073342E-2</v>
      </c>
      <c r="BB37" s="50">
        <f>'Family spending workbook 1'!W89/100</f>
        <v>2.3642732049036774E-2</v>
      </c>
      <c r="BC37" s="50">
        <f>'Family spending workbook 1'!X89/100</f>
        <v>1.9334962286199936E-2</v>
      </c>
      <c r="BF37" s="50">
        <f t="shared" si="44"/>
        <v>0.83708333333333329</v>
      </c>
      <c r="BG37" s="50">
        <f t="shared" si="60"/>
        <v>0.78463136033229486</v>
      </c>
      <c r="BH37" s="50">
        <f t="shared" si="61"/>
        <v>0.71980198019801989</v>
      </c>
      <c r="BI37" s="50">
        <f t="shared" si="62"/>
        <v>0.73093812375249489</v>
      </c>
      <c r="BJ37" s="50">
        <f t="shared" si="63"/>
        <v>0.75376593279258408</v>
      </c>
      <c r="BK37" s="50">
        <f t="shared" si="64"/>
        <v>0.74231542660155125</v>
      </c>
      <c r="BL37" s="50">
        <f t="shared" si="65"/>
        <v>0.77489077948953766</v>
      </c>
      <c r="BM37" s="50">
        <f t="shared" si="66"/>
        <v>0.77963306534735111</v>
      </c>
      <c r="BN37" s="50">
        <f t="shared" si="67"/>
        <v>0.77825242718446597</v>
      </c>
      <c r="BO37" s="50">
        <f t="shared" si="68"/>
        <v>0.79674395658608776</v>
      </c>
      <c r="BP37" s="50">
        <f t="shared" si="69"/>
        <v>0.80502043199065976</v>
      </c>
      <c r="BQ37" s="50">
        <f t="shared" si="70"/>
        <v>0.82789758844151706</v>
      </c>
    </row>
    <row r="38" spans="1:69" x14ac:dyDescent="0.35">
      <c r="A38" s="36">
        <v>2021</v>
      </c>
      <c r="B38" s="34">
        <f>DataA!N55</f>
        <v>111.5583</v>
      </c>
      <c r="C38" s="34">
        <f>DataA!O55</f>
        <v>108.52500000000001</v>
      </c>
      <c r="D38" s="34">
        <f>DataA!P55</f>
        <v>111.45829999999999</v>
      </c>
      <c r="E38" s="34">
        <f>DataA!Q55</f>
        <v>118.1</v>
      </c>
      <c r="F38" s="34">
        <f t="shared" si="72"/>
        <v>111.69411622518031</v>
      </c>
      <c r="G38" s="34">
        <f t="shared" si="71"/>
        <v>113.30301110434843</v>
      </c>
      <c r="H38" s="34">
        <f t="shared" si="47"/>
        <v>2.5823448275862138</v>
      </c>
      <c r="I38" s="34">
        <f t="shared" si="48"/>
        <v>2.5823448275862138</v>
      </c>
      <c r="P38" s="50">
        <f>HAVERA!B39/1000</f>
        <v>0.114</v>
      </c>
      <c r="Q38" s="50">
        <f>'Family spending workbook 1'!Y28/100</f>
        <v>0.11762481089258699</v>
      </c>
      <c r="R38" s="50">
        <f>'Family spending workbook 1'!O28/100</f>
        <v>0.14007936507936508</v>
      </c>
      <c r="S38" s="50">
        <f>'Family spending workbook 1'!P28/100</f>
        <v>0.14950634696755993</v>
      </c>
      <c r="T38" s="50">
        <f>'Family spending workbook 1'!Q28/100</f>
        <v>0.13701372997711669</v>
      </c>
      <c r="U38" s="50">
        <f>'Family spending workbook 1'!R28/100</f>
        <v>0.12642011119168478</v>
      </c>
      <c r="V38" s="50">
        <f>'Family spending workbook 1'!S28/100</f>
        <v>0.12351738241308792</v>
      </c>
      <c r="W38" s="50">
        <f>'Family spending workbook 1'!T28/100</f>
        <v>0.13023165271559276</v>
      </c>
      <c r="X38" s="50">
        <f>'Family spending workbook 1'!U28/100</f>
        <v>0.12040602030101505</v>
      </c>
      <c r="Y38" s="50">
        <f>'Family spending workbook 1'!V28/100</f>
        <v>0.11238844350325214</v>
      </c>
      <c r="Z38" s="50">
        <f>'Family spending workbook 1'!W28/100</f>
        <v>0.10991493886230728</v>
      </c>
      <c r="AA38" s="50">
        <f>'Family spending workbook 1'!X28/100</f>
        <v>9.0655230876633089E-2</v>
      </c>
      <c r="AD38" s="50">
        <f>HAVERA!C39/1000</f>
        <v>3.3000000000000002E-2</v>
      </c>
      <c r="AE38" s="50">
        <f>'Family spending workbook 1'!Y59/100</f>
        <v>4.8600605143721637E-2</v>
      </c>
      <c r="AF38" s="50">
        <f>'Family spending workbook 1'!O59/100</f>
        <v>7.9365079365079361E-2</v>
      </c>
      <c r="AG38" s="50">
        <f>'Family spending workbook 1'!P59/100</f>
        <v>7.2990126939351196E-2</v>
      </c>
      <c r="AH38" s="50">
        <f>'Family spending workbook 1'!Q59/100</f>
        <v>6.3787185354691078E-2</v>
      </c>
      <c r="AI38" s="50">
        <f>'Family spending workbook 1'!R59/100</f>
        <v>5.8979937152525981E-2</v>
      </c>
      <c r="AJ38" s="50">
        <f>'Family spending workbook 1'!S59/100</f>
        <v>5.2556237218813903E-2</v>
      </c>
      <c r="AK38" s="50">
        <f>'Family spending workbook 1'!T59/100</f>
        <v>5.0613198364804358E-2</v>
      </c>
      <c r="AL38" s="50">
        <f>'Family spending workbook 1'!U59/100</f>
        <v>4.4452222611130555E-2</v>
      </c>
      <c r="AM38" s="50">
        <f>'Family spending workbook 1'!V59/100</f>
        <v>4.2807442141884734E-2</v>
      </c>
      <c r="AN38" s="50">
        <f>'Family spending workbook 1'!W59/100</f>
        <v>3.841041998936736E-2</v>
      </c>
      <c r="AO38" s="50">
        <f>'Family spending workbook 1'!X59/100</f>
        <v>3.480602373591303E-2</v>
      </c>
      <c r="AR38" s="50">
        <f>HAVERA!D39/1000</f>
        <v>2.6916666666666669E-2</v>
      </c>
      <c r="AS38" s="50">
        <f>'Family spending workbook 1'!Y90/100</f>
        <v>3.5741301059001515E-2</v>
      </c>
      <c r="AT38" s="50">
        <f>'Family spending workbook 1'!O90/100</f>
        <v>2.8174603174603172E-2</v>
      </c>
      <c r="AU38" s="50">
        <f>'Family spending workbook 1'!P90/100</f>
        <v>2.926657263751763E-2</v>
      </c>
      <c r="AV38" s="50">
        <f>'Family spending workbook 1'!Q90/100</f>
        <v>3.3752860411899316E-2</v>
      </c>
      <c r="AW38" s="50">
        <f>'Family spending workbook 1'!R90/100</f>
        <v>3.5049552816050281E-2</v>
      </c>
      <c r="AX38" s="50">
        <f>'Family spending workbook 1'!S90/100</f>
        <v>3.8241308793456032E-2</v>
      </c>
      <c r="AY38" s="50">
        <f>'Family spending workbook 1'!T90/100</f>
        <v>4.0879890986957365E-2</v>
      </c>
      <c r="AZ38" s="50">
        <f>'Family spending workbook 1'!U90/100</f>
        <v>3.9026951347567382E-2</v>
      </c>
      <c r="BA38" s="50">
        <f>'Family spending workbook 1'!V90/100</f>
        <v>3.8723339888065346E-2</v>
      </c>
      <c r="BB38" s="50">
        <f>'Family spending workbook 1'!W90/100</f>
        <v>3.7480063795853273E-2</v>
      </c>
      <c r="BC38" s="50">
        <f>'Family spending workbook 1'!X90/100</f>
        <v>3.1215717562581031E-2</v>
      </c>
      <c r="BF38" s="50">
        <f t="shared" si="44"/>
        <v>0.82608333333333328</v>
      </c>
      <c r="BG38" s="50">
        <f t="shared" si="60"/>
        <v>0.79803328290468978</v>
      </c>
      <c r="BH38" s="50">
        <f t="shared" si="61"/>
        <v>0.75238095238095248</v>
      </c>
      <c r="BI38" s="50">
        <f t="shared" si="62"/>
        <v>0.74823695345557129</v>
      </c>
      <c r="BJ38" s="50">
        <f t="shared" si="63"/>
        <v>0.76544622425629294</v>
      </c>
      <c r="BK38" s="50">
        <f t="shared" si="64"/>
        <v>0.77955039883973898</v>
      </c>
      <c r="BL38" s="50">
        <f t="shared" si="65"/>
        <v>0.78568507157464218</v>
      </c>
      <c r="BM38" s="50">
        <f t="shared" si="66"/>
        <v>0.77827525793264551</v>
      </c>
      <c r="BN38" s="50">
        <f t="shared" si="67"/>
        <v>0.79611480574028692</v>
      </c>
      <c r="BO38" s="50">
        <f t="shared" si="68"/>
        <v>0.80608077446679782</v>
      </c>
      <c r="BP38" s="50">
        <f t="shared" si="69"/>
        <v>0.81419457735247214</v>
      </c>
      <c r="BQ38" s="50">
        <f t="shared" si="70"/>
        <v>0.8433230278248729</v>
      </c>
    </row>
    <row r="39" spans="1:69" x14ac:dyDescent="0.35">
      <c r="A39" s="36">
        <v>2022</v>
      </c>
      <c r="B39" s="34">
        <f>DataA!N56</f>
        <v>121.6583</v>
      </c>
      <c r="C39" s="34">
        <f>DataA!O56</f>
        <v>118.29170000000001</v>
      </c>
      <c r="D39" s="34">
        <f>DataA!P56</f>
        <v>183.64169999999999</v>
      </c>
      <c r="E39" s="34">
        <f>DataA!Q56</f>
        <v>150.91669999999999</v>
      </c>
      <c r="F39" s="34">
        <f t="shared" si="72"/>
        <v>118.2795833339098</v>
      </c>
      <c r="G39" s="34">
        <f t="shared" si="71"/>
        <v>123.56096960814347</v>
      </c>
      <c r="H39" s="34">
        <f t="shared" si="47"/>
        <v>9.0535621285014134</v>
      </c>
      <c r="I39" s="34">
        <f t="shared" si="48"/>
        <v>9.0535621285014134</v>
      </c>
      <c r="P39" s="50">
        <f>HAVERA!B40/1000</f>
        <v>0.11591666666666667</v>
      </c>
      <c r="Q39" s="50">
        <f>'Family spending workbook 1'!Y29/100</f>
        <v>0.11185485291527214</v>
      </c>
      <c r="R39" s="50">
        <f>'Family spending workbook 1'!O29/100</f>
        <v>0.13516609392898055</v>
      </c>
      <c r="S39" s="50">
        <f>'Family spending workbook 1'!P29/100</f>
        <v>0.14254247954688481</v>
      </c>
      <c r="T39" s="50">
        <f>'Family spending workbook 1'!Q29/100</f>
        <v>0.12419594260267196</v>
      </c>
      <c r="U39" s="50">
        <f>'Family spending workbook 1'!R29/100</f>
        <v>0.12376662376662377</v>
      </c>
      <c r="V39" s="50">
        <f>'Family spending workbook 1'!S29/100</f>
        <v>0.12595794851640793</v>
      </c>
      <c r="W39" s="50">
        <f>'Family spending workbook 1'!T29/100</f>
        <v>0.1220698037853794</v>
      </c>
      <c r="X39" s="50">
        <f>'Family spending workbook 1'!U29/100</f>
        <v>0.11061946902654868</v>
      </c>
      <c r="Y39" s="50">
        <f>'Family spending workbook 1'!V29/100</f>
        <v>0.10634091230052252</v>
      </c>
      <c r="Z39" s="50">
        <f>'Family spending workbook 1'!W29/100</f>
        <v>0.10080341451167461</v>
      </c>
      <c r="AA39" s="50">
        <f>'Family spending workbook 1'!X29/100</f>
        <v>8.6335825968728755E-2</v>
      </c>
      <c r="AD39" s="50">
        <f>HAVERA!C40/1000</f>
        <v>3.5999999999999997E-2</v>
      </c>
      <c r="AE39" s="50">
        <f>'Family spending workbook 1'!Y60/100</f>
        <v>6.5351418002466091E-2</v>
      </c>
      <c r="AF39" s="50">
        <f>'Family spending workbook 1'!O60/100</f>
        <v>0.11149293623520429</v>
      </c>
      <c r="AG39" s="50">
        <f>'Family spending workbook 1'!P60/100</f>
        <v>9.3140339836375083E-2</v>
      </c>
      <c r="AH39" s="50">
        <f>'Family spending workbook 1'!Q60/100</f>
        <v>7.8921326076199894E-2</v>
      </c>
      <c r="AI39" s="50">
        <f>'Family spending workbook 1'!R60/100</f>
        <v>7.5933075933075939E-2</v>
      </c>
      <c r="AJ39" s="50">
        <f>'Family spending workbook 1'!S60/100</f>
        <v>7.0544311259579481E-2</v>
      </c>
      <c r="AK39" s="50">
        <f>'Family spending workbook 1'!T60/100</f>
        <v>6.2858135092898074E-2</v>
      </c>
      <c r="AL39" s="50">
        <f>'Family spending workbook 1'!U60/100</f>
        <v>5.9816453621763355E-2</v>
      </c>
      <c r="AM39" s="50">
        <f>'Family spending workbook 1'!V60/100</f>
        <v>6.1290778138680974E-2</v>
      </c>
      <c r="AN39" s="50">
        <f>'Family spending workbook 1'!W60/100</f>
        <v>5.3100677880994221E-2</v>
      </c>
      <c r="AO39" s="50">
        <f>'Family spending workbook 1'!X60/100</f>
        <v>4.9140526366902984E-2</v>
      </c>
      <c r="AR39" s="50">
        <f>HAVERA!D40/1000</f>
        <v>3.1E-2</v>
      </c>
      <c r="AS39" s="50">
        <f>'Family spending workbook 1'!Y91/100</f>
        <v>3.7167518055310905E-2</v>
      </c>
      <c r="AT39" s="50">
        <f>'Family spending workbook 1'!O91/100</f>
        <v>2.4054982817869421E-2</v>
      </c>
      <c r="AU39" s="50">
        <f>'Family spending workbook 1'!P91/100</f>
        <v>3.2410320956576463E-2</v>
      </c>
      <c r="AV39" s="50">
        <f>'Family spending workbook 1'!Q91/100</f>
        <v>3.9584364176150424E-2</v>
      </c>
      <c r="AW39" s="50">
        <f>'Family spending workbook 1'!R91/100</f>
        <v>3.4963534963534965E-2</v>
      </c>
      <c r="AX39" s="50">
        <f>'Family spending workbook 1'!S91/100</f>
        <v>3.9496954214973477E-2</v>
      </c>
      <c r="AY39" s="50">
        <f>'Family spending workbook 1'!T91/100</f>
        <v>3.8722000347282515E-2</v>
      </c>
      <c r="AZ39" s="50">
        <f>'Family spending workbook 1'!U91/100</f>
        <v>4.2772861356932153E-2</v>
      </c>
      <c r="BA39" s="50">
        <f>'Family spending workbook 1'!V91/100</f>
        <v>4.2084451348679573E-2</v>
      </c>
      <c r="BB39" s="50">
        <f>'Family spending workbook 1'!W91/100</f>
        <v>3.8413256339442634E-2</v>
      </c>
      <c r="BC39" s="50">
        <f>'Family spending workbook 1'!X91/100</f>
        <v>3.2048169369719333E-2</v>
      </c>
      <c r="BF39" s="50">
        <f t="shared" si="44"/>
        <v>0.81708333333333327</v>
      </c>
      <c r="BG39" s="50">
        <f t="shared" si="60"/>
        <v>0.78562621102695085</v>
      </c>
      <c r="BH39" s="50">
        <f t="shared" si="61"/>
        <v>0.72928598701794578</v>
      </c>
      <c r="BI39" s="50">
        <f t="shared" si="62"/>
        <v>0.73190685966016367</v>
      </c>
      <c r="BJ39" s="50">
        <f t="shared" si="63"/>
        <v>0.75729836714497778</v>
      </c>
      <c r="BK39" s="50">
        <f t="shared" si="64"/>
        <v>0.76533676533676531</v>
      </c>
      <c r="BL39" s="50">
        <f t="shared" si="65"/>
        <v>0.76400078600903909</v>
      </c>
      <c r="BM39" s="50">
        <f t="shared" si="66"/>
        <v>0.77635006077444002</v>
      </c>
      <c r="BN39" s="50">
        <f t="shared" si="67"/>
        <v>0.78679121599475577</v>
      </c>
      <c r="BO39" s="50">
        <f t="shared" si="68"/>
        <v>0.79028385821211689</v>
      </c>
      <c r="BP39" s="50">
        <f t="shared" si="69"/>
        <v>0.80768265126788852</v>
      </c>
      <c r="BQ39" s="50">
        <f t="shared" si="70"/>
        <v>0.83247547829464885</v>
      </c>
    </row>
    <row r="40" spans="1:69" x14ac:dyDescent="0.35">
      <c r="A40" s="36">
        <v>2023</v>
      </c>
      <c r="B40" s="34">
        <f>DataA!N57</f>
        <v>130.54169999999999</v>
      </c>
      <c r="C40" s="34">
        <f>DataA!O57</f>
        <v>133.5667</v>
      </c>
      <c r="D40" s="34">
        <f>DataA!P57</f>
        <v>211.9667</v>
      </c>
      <c r="E40" s="34">
        <f>DataA!Q57</f>
        <v>135.04169999999999</v>
      </c>
      <c r="F40" s="34">
        <f t="shared" si="72"/>
        <v>126.16311019582126</v>
      </c>
      <c r="G40" s="34">
        <f t="shared" si="71"/>
        <v>132.58330114998634</v>
      </c>
      <c r="H40" s="34">
        <f t="shared" si="47"/>
        <v>7.3019267900340523</v>
      </c>
      <c r="I40" s="34">
        <f t="shared" si="48"/>
        <v>7.3019267900340523</v>
      </c>
      <c r="P40" s="50">
        <f>HAVERA!B41/1000</f>
        <v>0.11883333333333333</v>
      </c>
      <c r="Q40" s="50">
        <f>'Family spending workbook 1'!Y30/100</f>
        <v>0.1131076528156586</v>
      </c>
      <c r="R40" s="50">
        <f>'Family spending workbook 1'!O30/100</f>
        <v>0.13340336134453781</v>
      </c>
      <c r="S40" s="50">
        <f>'Family spending workbook 1'!P30/100</f>
        <v>0.15145813734713076</v>
      </c>
      <c r="T40" s="50">
        <f>'Family spending workbook 1'!Q30/100</f>
        <v>0.13396004700352526</v>
      </c>
      <c r="U40" s="50">
        <f>'Family spending workbook 1'!R30/100</f>
        <v>0.12662074554294975</v>
      </c>
      <c r="V40" s="50">
        <f>'Family spending workbook 1'!S30/100</f>
        <v>0.11872620283835238</v>
      </c>
      <c r="W40" s="50">
        <f>'Family spending workbook 1'!T30/100</f>
        <v>0.11725045222825192</v>
      </c>
      <c r="X40" s="50">
        <f>'Family spending workbook 1'!U30/100</f>
        <v>0.10983817843333812</v>
      </c>
      <c r="Y40" s="50">
        <f>'Family spending workbook 1'!V30/100</f>
        <v>0.11538961883699753</v>
      </c>
      <c r="Z40" s="50">
        <f>'Family spending workbook 1'!W30/100</f>
        <v>0.10557317625736294</v>
      </c>
      <c r="AA40" s="50">
        <f>'Family spending workbook 1'!X30/100</f>
        <v>8.5923528910840513E-2</v>
      </c>
      <c r="AD40" s="50">
        <f>HAVERA!C41/1000</f>
        <v>4.8916666666666664E-2</v>
      </c>
      <c r="AE40" s="50">
        <f>'Family spending workbook 1'!Y61/100</f>
        <v>6.4976736723888984E-2</v>
      </c>
      <c r="AF40" s="50">
        <f>'Family spending workbook 1'!O61/100</f>
        <v>0.10889355742296919</v>
      </c>
      <c r="AG40" s="50">
        <f>'Family spending workbook 1'!P61/100</f>
        <v>0.10034493571652556</v>
      </c>
      <c r="AH40" s="50">
        <f>'Family spending workbook 1'!Q61/100</f>
        <v>8.5076380728554654E-2</v>
      </c>
      <c r="AI40" s="50">
        <f>'Family spending workbook 1'!R61/100</f>
        <v>7.6782820097244728E-2</v>
      </c>
      <c r="AJ40" s="50">
        <f>'Family spending workbook 1'!S61/100</f>
        <v>7.1131879543094509E-2</v>
      </c>
      <c r="AK40" s="50">
        <f>'Family spending workbook 1'!T61/100</f>
        <v>6.3311955270514711E-2</v>
      </c>
      <c r="AL40" s="50">
        <f>'Family spending workbook 1'!U61/100</f>
        <v>6.0718888729772304E-2</v>
      </c>
      <c r="AM40" s="50">
        <f>'Family spending workbook 1'!V61/100</f>
        <v>5.6979315727852219E-2</v>
      </c>
      <c r="AN40" s="50">
        <f>'Family spending workbook 1'!W61/100</f>
        <v>5.3352967829632988E-2</v>
      </c>
      <c r="AO40" s="50">
        <f>'Family spending workbook 1'!X61/100</f>
        <v>4.6666098952567486E-2</v>
      </c>
      <c r="AR40" s="50">
        <f>HAVERA!D41/1000</f>
        <v>3.1083333333333331E-2</v>
      </c>
      <c r="AS40" s="50">
        <f>'Family spending workbook 1'!Y92/100</f>
        <v>3.1766404620567949E-2</v>
      </c>
      <c r="AT40" s="50">
        <f>'Family spending workbook 1'!O92/100</f>
        <v>2.5910364145658261E-2</v>
      </c>
      <c r="AU40" s="50">
        <f>'Family spending workbook 1'!P92/100</f>
        <v>2.696770147381624E-2</v>
      </c>
      <c r="AV40" s="50">
        <f>'Family spending workbook 1'!Q92/100</f>
        <v>2.9377203290246769E-2</v>
      </c>
      <c r="AW40" s="50">
        <f>'Family spending workbook 1'!R92/100</f>
        <v>3.606158833063209E-2</v>
      </c>
      <c r="AX40" s="50">
        <f>'Family spending workbook 1'!S92/100</f>
        <v>3.444098303911388E-2</v>
      </c>
      <c r="AY40" s="50">
        <f>'Family spending workbook 1'!T92/100</f>
        <v>3.3711560598585759E-2</v>
      </c>
      <c r="AZ40" s="50">
        <f>'Family spending workbook 1'!U92/100</f>
        <v>3.4512387226120586E-2</v>
      </c>
      <c r="BA40" s="50">
        <f>'Family spending workbook 1'!V92/100</f>
        <v>3.4473786912969949E-2</v>
      </c>
      <c r="BB40" s="50">
        <f>'Family spending workbook 1'!W92/100</f>
        <v>3.4096057997281382E-2</v>
      </c>
      <c r="BC40" s="50">
        <f>'Family spending workbook 1'!X92/100</f>
        <v>2.6313548496976921E-2</v>
      </c>
      <c r="BF40" s="50">
        <f t="shared" si="44"/>
        <v>0.80116666666666658</v>
      </c>
      <c r="BG40" s="50">
        <f t="shared" si="60"/>
        <v>0.79014920583988446</v>
      </c>
      <c r="BH40" s="50">
        <f t="shared" si="61"/>
        <v>0.73179271708683469</v>
      </c>
      <c r="BI40" s="50">
        <f t="shared" si="62"/>
        <v>0.72122922546252743</v>
      </c>
      <c r="BJ40" s="50">
        <f t="shared" si="63"/>
        <v>0.75158636897767339</v>
      </c>
      <c r="BK40" s="50">
        <f t="shared" si="64"/>
        <v>0.76053484602917343</v>
      </c>
      <c r="BL40" s="50">
        <f t="shared" si="65"/>
        <v>0.77570093457943923</v>
      </c>
      <c r="BM40" s="50">
        <f t="shared" si="66"/>
        <v>0.78572603190264767</v>
      </c>
      <c r="BN40" s="50">
        <f t="shared" si="67"/>
        <v>0.79493054561076903</v>
      </c>
      <c r="BO40" s="50">
        <f t="shared" si="68"/>
        <v>0.79315727852218032</v>
      </c>
      <c r="BP40" s="50">
        <f t="shared" si="69"/>
        <v>0.80697779791572266</v>
      </c>
      <c r="BQ40" s="50">
        <f t="shared" si="70"/>
        <v>0.84109682363961513</v>
      </c>
    </row>
    <row r="41" spans="1:69" x14ac:dyDescent="0.35">
      <c r="A41" s="36">
        <v>2024</v>
      </c>
      <c r="B41" s="34">
        <f>DataA!N58</f>
        <v>133.85830000000001</v>
      </c>
      <c r="C41" s="34">
        <f>DataA!O58</f>
        <v>138.875</v>
      </c>
      <c r="D41" s="34">
        <f>DataA!P58</f>
        <v>172.24170000000001</v>
      </c>
      <c r="E41" s="34">
        <f>DataA!Q58</f>
        <v>128.51669999999999</v>
      </c>
      <c r="F41" s="34">
        <f t="shared" si="72"/>
        <v>130.81076241460775</v>
      </c>
      <c r="G41" s="34">
        <f t="shared" si="71"/>
        <v>135.95177096916325</v>
      </c>
      <c r="H41" s="34">
        <f t="shared" si="47"/>
        <v>2.5406441006973424</v>
      </c>
      <c r="I41" s="34">
        <f t="shared" ref="I41:I43" si="73">100*((B41/B40)-1)</f>
        <v>2.5406441006973424</v>
      </c>
      <c r="P41" s="50">
        <f>HAVERA!B42/1000</f>
        <v>0.11312656666666668</v>
      </c>
      <c r="Q41" s="58">
        <f t="shared" ref="Q41:Q42" si="74">Q40</f>
        <v>0.1131076528156586</v>
      </c>
      <c r="R41" s="58">
        <f t="shared" ref="R41:R43" si="75">R40</f>
        <v>0.13340336134453781</v>
      </c>
      <c r="S41" s="58">
        <f t="shared" ref="S41:S43" si="76">S40</f>
        <v>0.15145813734713076</v>
      </c>
      <c r="T41" s="58">
        <f t="shared" ref="T41:T43" si="77">T40</f>
        <v>0.13396004700352526</v>
      </c>
      <c r="U41" s="58">
        <f t="shared" ref="U41:U43" si="78">U40</f>
        <v>0.12662074554294975</v>
      </c>
      <c r="V41" s="58">
        <f t="shared" ref="V41:V43" si="79">V40</f>
        <v>0.11872620283835238</v>
      </c>
      <c r="W41" s="58">
        <f t="shared" ref="W41:W43" si="80">W40</f>
        <v>0.11725045222825192</v>
      </c>
      <c r="X41" s="58">
        <f t="shared" ref="X41:X43" si="81">X40</f>
        <v>0.10983817843333812</v>
      </c>
      <c r="Y41" s="58">
        <f t="shared" ref="Y41:Y43" si="82">Y40</f>
        <v>0.11538961883699753</v>
      </c>
      <c r="Z41" s="58">
        <f t="shared" ref="Z41:Z43" si="83">Z40</f>
        <v>0.10557317625736294</v>
      </c>
      <c r="AA41" s="58">
        <f t="shared" ref="AA41:AA43" si="84">AA40</f>
        <v>8.5923528910840513E-2</v>
      </c>
      <c r="AD41" s="50">
        <f>HAVERA!C42/1000</f>
        <v>4.0709866666666657E-2</v>
      </c>
      <c r="AE41" s="58">
        <f t="shared" ref="AE41:AF41" si="85">AE40</f>
        <v>6.4976736723888984E-2</v>
      </c>
      <c r="AF41" s="58">
        <f t="shared" si="85"/>
        <v>0.10889355742296919</v>
      </c>
      <c r="AG41" s="58">
        <f t="shared" ref="AG41:AG43" si="86">AG40</f>
        <v>0.10034493571652556</v>
      </c>
      <c r="AH41" s="58">
        <f t="shared" ref="AH41:AH43" si="87">AH40</f>
        <v>8.5076380728554654E-2</v>
      </c>
      <c r="AI41" s="58">
        <f t="shared" ref="AI41:AI43" si="88">AI40</f>
        <v>7.6782820097244728E-2</v>
      </c>
      <c r="AJ41" s="58">
        <f t="shared" ref="AJ41:AJ43" si="89">AJ40</f>
        <v>7.1131879543094509E-2</v>
      </c>
      <c r="AK41" s="58">
        <f t="shared" ref="AK41:AK43" si="90">AK40</f>
        <v>6.3311955270514711E-2</v>
      </c>
      <c r="AL41" s="58">
        <f t="shared" ref="AL41:AL43" si="91">AL40</f>
        <v>6.0718888729772304E-2</v>
      </c>
      <c r="AM41" s="58">
        <f t="shared" ref="AM41:AM43" si="92">AM40</f>
        <v>5.6979315727852219E-2</v>
      </c>
      <c r="AN41" s="58">
        <f t="shared" ref="AN41:AN43" si="93">AN40</f>
        <v>5.3352967829632988E-2</v>
      </c>
      <c r="AO41" s="58">
        <f t="shared" ref="AO41:AO43" si="94">AO40</f>
        <v>4.6666098952567486E-2</v>
      </c>
      <c r="AR41" s="50">
        <f>HAVERA!D42/1000</f>
        <v>3.0900175000000005E-2</v>
      </c>
      <c r="AS41" s="58">
        <f t="shared" ref="AS41" si="95">AS40</f>
        <v>3.1766404620567949E-2</v>
      </c>
      <c r="AT41" s="58">
        <f t="shared" ref="AT41" si="96">AT40</f>
        <v>2.5910364145658261E-2</v>
      </c>
      <c r="AU41" s="58">
        <f t="shared" ref="AU41" si="97">AU40</f>
        <v>2.696770147381624E-2</v>
      </c>
      <c r="AV41" s="58">
        <f t="shared" ref="AV41" si="98">AV40</f>
        <v>2.9377203290246769E-2</v>
      </c>
      <c r="AW41" s="58">
        <f t="shared" ref="AW41" si="99">AW40</f>
        <v>3.606158833063209E-2</v>
      </c>
      <c r="AX41" s="58">
        <f t="shared" ref="AX41" si="100">AX40</f>
        <v>3.444098303911388E-2</v>
      </c>
      <c r="AY41" s="58">
        <f t="shared" ref="AY41" si="101">AY40</f>
        <v>3.3711560598585759E-2</v>
      </c>
      <c r="AZ41" s="58">
        <f t="shared" ref="AZ41" si="102">AZ40</f>
        <v>3.4512387226120586E-2</v>
      </c>
      <c r="BA41" s="58">
        <f t="shared" ref="BA41" si="103">BA40</f>
        <v>3.4473786912969949E-2</v>
      </c>
      <c r="BB41" s="58">
        <f t="shared" ref="BB41" si="104">BB40</f>
        <v>3.4096057997281382E-2</v>
      </c>
      <c r="BC41" s="58">
        <f t="shared" ref="BC41" si="105">BC40</f>
        <v>2.6313548496976921E-2</v>
      </c>
      <c r="BF41" s="50">
        <f t="shared" si="44"/>
        <v>0.81526339166666673</v>
      </c>
      <c r="BG41" s="58">
        <f t="shared" ref="BG41:BG43" si="106">BG40</f>
        <v>0.79014920583988446</v>
      </c>
      <c r="BH41" s="58">
        <f t="shared" ref="BH41:BH43" si="107">BH40</f>
        <v>0.73179271708683469</v>
      </c>
      <c r="BI41" s="58">
        <f t="shared" ref="BI41:BI43" si="108">BI40</f>
        <v>0.72122922546252743</v>
      </c>
      <c r="BJ41" s="58">
        <f t="shared" ref="BJ41:BJ43" si="109">BJ40</f>
        <v>0.75158636897767339</v>
      </c>
      <c r="BK41" s="58">
        <f t="shared" ref="BK41:BK43" si="110">BK40</f>
        <v>0.76053484602917343</v>
      </c>
      <c r="BL41" s="58">
        <f t="shared" ref="BL41:BL43" si="111">BL40</f>
        <v>0.77570093457943923</v>
      </c>
      <c r="BM41" s="58">
        <f t="shared" ref="BM41:BM43" si="112">BM40</f>
        <v>0.78572603190264767</v>
      </c>
      <c r="BN41" s="58">
        <f t="shared" ref="BN41:BN43" si="113">BN40</f>
        <v>0.79493054561076903</v>
      </c>
      <c r="BO41" s="58">
        <f t="shared" ref="BO41:BO43" si="114">BO40</f>
        <v>0.79315727852218032</v>
      </c>
      <c r="BP41" s="58">
        <f t="shared" ref="BP41:BP43" si="115">BP40</f>
        <v>0.80697779791572266</v>
      </c>
      <c r="BQ41" s="58">
        <f t="shared" ref="BQ41:BQ43" si="116">BQ40</f>
        <v>0.84109682363961513</v>
      </c>
    </row>
    <row r="42" spans="1:69" x14ac:dyDescent="0.35">
      <c r="A42" s="36">
        <v>2025</v>
      </c>
      <c r="B42" s="34">
        <f>DataA!N59</f>
        <v>138.36670000000001</v>
      </c>
      <c r="C42" s="34">
        <f>DataA!O59</f>
        <v>145.16669999999999</v>
      </c>
      <c r="D42" s="34">
        <f>DataA!P59</f>
        <v>174.91669999999999</v>
      </c>
      <c r="E42" s="34">
        <f>DataA!Q59</f>
        <v>123.1083</v>
      </c>
      <c r="F42" s="34">
        <f t="shared" si="72"/>
        <v>135.44169595268693</v>
      </c>
      <c r="G42" s="34">
        <f t="shared" si="71"/>
        <v>140.53067989178794</v>
      </c>
      <c r="H42" s="34">
        <f t="shared" si="47"/>
        <v>3.3680391877081828</v>
      </c>
      <c r="I42" s="34">
        <f t="shared" si="73"/>
        <v>3.3680391877081828</v>
      </c>
      <c r="P42" s="50">
        <f>HAVERA!B43/1000</f>
        <v>0.11247973333333333</v>
      </c>
      <c r="Q42" s="58">
        <f t="shared" si="74"/>
        <v>0.1131076528156586</v>
      </c>
      <c r="R42" s="58">
        <f t="shared" si="75"/>
        <v>0.13340336134453781</v>
      </c>
      <c r="S42" s="58">
        <f t="shared" si="76"/>
        <v>0.15145813734713076</v>
      </c>
      <c r="T42" s="58">
        <f t="shared" si="77"/>
        <v>0.13396004700352526</v>
      </c>
      <c r="U42" s="58">
        <f t="shared" si="78"/>
        <v>0.12662074554294975</v>
      </c>
      <c r="V42" s="58">
        <f t="shared" si="79"/>
        <v>0.11872620283835238</v>
      </c>
      <c r="W42" s="58">
        <f t="shared" si="80"/>
        <v>0.11725045222825192</v>
      </c>
      <c r="X42" s="58">
        <f t="shared" si="81"/>
        <v>0.10983817843333812</v>
      </c>
      <c r="Y42" s="58">
        <f t="shared" si="82"/>
        <v>0.11538961883699753</v>
      </c>
      <c r="Z42" s="58">
        <f t="shared" si="83"/>
        <v>0.10557317625736294</v>
      </c>
      <c r="AA42" s="58">
        <f t="shared" si="84"/>
        <v>8.5923528910840513E-2</v>
      </c>
      <c r="AD42" s="50">
        <f>HAVERA!C43/1000</f>
        <v>3.362111666666668E-2</v>
      </c>
      <c r="AE42" s="58">
        <f t="shared" ref="AE42:AE43" si="117">AE41</f>
        <v>6.4976736723888984E-2</v>
      </c>
      <c r="AF42" s="58">
        <f t="shared" ref="AF42:AF43" si="118">AF41</f>
        <v>0.10889355742296919</v>
      </c>
      <c r="AG42" s="58">
        <f t="shared" si="86"/>
        <v>0.10034493571652556</v>
      </c>
      <c r="AH42" s="58">
        <f t="shared" si="87"/>
        <v>8.5076380728554654E-2</v>
      </c>
      <c r="AI42" s="58">
        <f t="shared" si="88"/>
        <v>7.6782820097244728E-2</v>
      </c>
      <c r="AJ42" s="58">
        <f t="shared" si="89"/>
        <v>7.1131879543094509E-2</v>
      </c>
      <c r="AK42" s="58">
        <f t="shared" si="90"/>
        <v>6.3311955270514711E-2</v>
      </c>
      <c r="AL42" s="58">
        <f t="shared" si="91"/>
        <v>6.0718888729772304E-2</v>
      </c>
      <c r="AM42" s="58">
        <f t="shared" si="92"/>
        <v>5.6979315727852219E-2</v>
      </c>
      <c r="AN42" s="58">
        <f t="shared" si="93"/>
        <v>5.3352967829632988E-2</v>
      </c>
      <c r="AO42" s="58">
        <f t="shared" si="94"/>
        <v>4.6666098952567486E-2</v>
      </c>
      <c r="AR42" s="50">
        <f>HAVERA!D43/1000</f>
        <v>2.7968983333333329E-2</v>
      </c>
      <c r="AS42" s="58">
        <f t="shared" ref="AS42:AS43" si="119">AS41</f>
        <v>3.1766404620567949E-2</v>
      </c>
      <c r="AT42" s="58">
        <f t="shared" ref="AT42:AT43" si="120">AT41</f>
        <v>2.5910364145658261E-2</v>
      </c>
      <c r="AU42" s="58">
        <f t="shared" ref="AU42:AU43" si="121">AU41</f>
        <v>2.696770147381624E-2</v>
      </c>
      <c r="AV42" s="58">
        <f t="shared" ref="AV42:AV43" si="122">AV41</f>
        <v>2.9377203290246769E-2</v>
      </c>
      <c r="AW42" s="58">
        <f t="shared" ref="AW42:AW43" si="123">AW41</f>
        <v>3.606158833063209E-2</v>
      </c>
      <c r="AX42" s="58">
        <f t="shared" ref="AX42:AX43" si="124">AX41</f>
        <v>3.444098303911388E-2</v>
      </c>
      <c r="AY42" s="58">
        <f t="shared" ref="AY42:AY43" si="125">AY41</f>
        <v>3.3711560598585759E-2</v>
      </c>
      <c r="AZ42" s="58">
        <f t="shared" ref="AZ42:AZ43" si="126">AZ41</f>
        <v>3.4512387226120586E-2</v>
      </c>
      <c r="BA42" s="58">
        <f t="shared" ref="BA42:BA43" si="127">BA41</f>
        <v>3.4473786912969949E-2</v>
      </c>
      <c r="BB42" s="58">
        <f t="shared" ref="BB42:BB43" si="128">BB41</f>
        <v>3.4096057997281382E-2</v>
      </c>
      <c r="BC42" s="58">
        <f t="shared" ref="BC42:BC43" si="129">BC41</f>
        <v>2.6313548496976921E-2</v>
      </c>
      <c r="BF42" s="50">
        <f t="shared" si="44"/>
        <v>0.82593016666666663</v>
      </c>
      <c r="BG42" s="58">
        <f t="shared" si="106"/>
        <v>0.79014920583988446</v>
      </c>
      <c r="BH42" s="58">
        <f t="shared" si="107"/>
        <v>0.73179271708683469</v>
      </c>
      <c r="BI42" s="58">
        <f t="shared" si="108"/>
        <v>0.72122922546252743</v>
      </c>
      <c r="BJ42" s="58">
        <f t="shared" si="109"/>
        <v>0.75158636897767339</v>
      </c>
      <c r="BK42" s="58">
        <f t="shared" si="110"/>
        <v>0.76053484602917343</v>
      </c>
      <c r="BL42" s="58">
        <f t="shared" si="111"/>
        <v>0.77570093457943923</v>
      </c>
      <c r="BM42" s="58">
        <f t="shared" si="112"/>
        <v>0.78572603190264767</v>
      </c>
      <c r="BN42" s="58">
        <f t="shared" si="113"/>
        <v>0.79493054561076903</v>
      </c>
      <c r="BO42" s="58">
        <f t="shared" si="114"/>
        <v>0.79315727852218032</v>
      </c>
      <c r="BP42" s="58">
        <f t="shared" si="115"/>
        <v>0.80697779791572266</v>
      </c>
      <c r="BQ42" s="58">
        <f t="shared" si="116"/>
        <v>0.84109682363961513</v>
      </c>
    </row>
    <row r="43" spans="1:69" x14ac:dyDescent="0.35">
      <c r="A43" s="36">
        <v>2026</v>
      </c>
      <c r="B43" s="34">
        <f>DataA!N60</f>
        <v>143.83789999999999</v>
      </c>
      <c r="C43" s="34">
        <f>DataA!O60</f>
        <v>150.37710000000001</v>
      </c>
      <c r="D43" s="34">
        <f>DataA!P60</f>
        <v>184.185</v>
      </c>
      <c r="E43" s="34">
        <f>DataA!Q60</f>
        <v>136.9272</v>
      </c>
      <c r="F43" s="34">
        <f t="shared" si="72"/>
        <v>140.47985877792937</v>
      </c>
      <c r="G43" s="34">
        <f>G42*(P43*C43/C42+AD43*D43/D42+AR43*E43/E42+BF43*F43/F42)</f>
        <v>146.08744648247739</v>
      </c>
      <c r="H43" s="34">
        <f t="shared" si="47"/>
        <v>3.9541305819969619</v>
      </c>
      <c r="I43" s="34">
        <f t="shared" si="73"/>
        <v>3.9541305819969619</v>
      </c>
      <c r="P43" s="50">
        <f>HAVERA!B44/1000</f>
        <v>0.10956860833333333</v>
      </c>
      <c r="Q43" s="58">
        <f>Q42</f>
        <v>0.1131076528156586</v>
      </c>
      <c r="R43" s="58">
        <f t="shared" si="75"/>
        <v>0.13340336134453781</v>
      </c>
      <c r="S43" s="58">
        <f t="shared" si="76"/>
        <v>0.15145813734713076</v>
      </c>
      <c r="T43" s="58">
        <f t="shared" si="77"/>
        <v>0.13396004700352526</v>
      </c>
      <c r="U43" s="58">
        <f t="shared" si="78"/>
        <v>0.12662074554294975</v>
      </c>
      <c r="V43" s="58">
        <f t="shared" si="79"/>
        <v>0.11872620283835238</v>
      </c>
      <c r="W43" s="58">
        <f t="shared" si="80"/>
        <v>0.11725045222825192</v>
      </c>
      <c r="X43" s="58">
        <f t="shared" si="81"/>
        <v>0.10983817843333812</v>
      </c>
      <c r="Y43" s="58">
        <f t="shared" si="82"/>
        <v>0.11538961883699753</v>
      </c>
      <c r="Z43" s="58">
        <f t="shared" si="83"/>
        <v>0.10557317625736294</v>
      </c>
      <c r="AA43" s="58">
        <f t="shared" si="84"/>
        <v>8.5923528910840513E-2</v>
      </c>
      <c r="AD43" s="50">
        <f>HAVERA!C44/1000</f>
        <v>3.1940700000000002E-2</v>
      </c>
      <c r="AE43" s="58">
        <f t="shared" si="117"/>
        <v>6.4976736723888984E-2</v>
      </c>
      <c r="AF43" s="58">
        <f t="shared" si="118"/>
        <v>0.10889355742296919</v>
      </c>
      <c r="AG43" s="58">
        <f t="shared" si="86"/>
        <v>0.10034493571652556</v>
      </c>
      <c r="AH43" s="58">
        <f t="shared" si="87"/>
        <v>8.5076380728554654E-2</v>
      </c>
      <c r="AI43" s="58">
        <f t="shared" si="88"/>
        <v>7.6782820097244728E-2</v>
      </c>
      <c r="AJ43" s="58">
        <f t="shared" si="89"/>
        <v>7.1131879543094509E-2</v>
      </c>
      <c r="AK43" s="58">
        <f t="shared" si="90"/>
        <v>6.3311955270514711E-2</v>
      </c>
      <c r="AL43" s="58">
        <f t="shared" si="91"/>
        <v>6.0718888729772304E-2</v>
      </c>
      <c r="AM43" s="58">
        <f t="shared" si="92"/>
        <v>5.6979315727852219E-2</v>
      </c>
      <c r="AN43" s="58">
        <f t="shared" si="93"/>
        <v>5.3352967829632988E-2</v>
      </c>
      <c r="AO43" s="58">
        <f t="shared" si="94"/>
        <v>4.6666098952567486E-2</v>
      </c>
      <c r="AR43" s="50">
        <f>HAVERA!D44/1000</f>
        <v>2.6408625000000002E-2</v>
      </c>
      <c r="AS43" s="58">
        <f t="shared" si="119"/>
        <v>3.1766404620567949E-2</v>
      </c>
      <c r="AT43" s="58">
        <f t="shared" si="120"/>
        <v>2.5910364145658261E-2</v>
      </c>
      <c r="AU43" s="58">
        <f t="shared" si="121"/>
        <v>2.696770147381624E-2</v>
      </c>
      <c r="AV43" s="58">
        <f t="shared" si="122"/>
        <v>2.9377203290246769E-2</v>
      </c>
      <c r="AW43" s="58">
        <f t="shared" si="123"/>
        <v>3.606158833063209E-2</v>
      </c>
      <c r="AX43" s="58">
        <f t="shared" si="124"/>
        <v>3.444098303911388E-2</v>
      </c>
      <c r="AY43" s="58">
        <f t="shared" si="125"/>
        <v>3.3711560598585759E-2</v>
      </c>
      <c r="AZ43" s="58">
        <f t="shared" si="126"/>
        <v>3.4512387226120586E-2</v>
      </c>
      <c r="BA43" s="58">
        <f t="shared" si="127"/>
        <v>3.4473786912969949E-2</v>
      </c>
      <c r="BB43" s="58">
        <f t="shared" si="128"/>
        <v>3.4096057997281382E-2</v>
      </c>
      <c r="BC43" s="58">
        <f t="shared" si="129"/>
        <v>2.6313548496976921E-2</v>
      </c>
      <c r="BF43" s="50">
        <f t="shared" si="44"/>
        <v>0.83208206666666662</v>
      </c>
      <c r="BG43" s="58">
        <f t="shared" si="106"/>
        <v>0.79014920583988446</v>
      </c>
      <c r="BH43" s="58">
        <f t="shared" si="107"/>
        <v>0.73179271708683469</v>
      </c>
      <c r="BI43" s="58">
        <f t="shared" si="108"/>
        <v>0.72122922546252743</v>
      </c>
      <c r="BJ43" s="58">
        <f t="shared" si="109"/>
        <v>0.75158636897767339</v>
      </c>
      <c r="BK43" s="58">
        <f t="shared" si="110"/>
        <v>0.76053484602917343</v>
      </c>
      <c r="BL43" s="58">
        <f t="shared" si="111"/>
        <v>0.77570093457943923</v>
      </c>
      <c r="BM43" s="58">
        <f t="shared" si="112"/>
        <v>0.78572603190264767</v>
      </c>
      <c r="BN43" s="58">
        <f t="shared" si="113"/>
        <v>0.79493054561076903</v>
      </c>
      <c r="BO43" s="58">
        <f t="shared" si="114"/>
        <v>0.79315727852218032</v>
      </c>
      <c r="BP43" s="58">
        <f t="shared" si="115"/>
        <v>0.80697779791572266</v>
      </c>
      <c r="BQ43" s="58">
        <f t="shared" si="116"/>
        <v>0.84109682363961513</v>
      </c>
    </row>
    <row r="45" spans="1:69" s="36" customFormat="1" ht="13" x14ac:dyDescent="0.3">
      <c r="A45" s="35" t="s">
        <v>281</v>
      </c>
      <c r="H45" s="40"/>
      <c r="I45" s="40"/>
      <c r="J45" s="40"/>
      <c r="K45" s="40"/>
      <c r="L45" s="40"/>
      <c r="M45" s="40"/>
      <c r="O45" s="35" t="s">
        <v>286</v>
      </c>
      <c r="V45" s="40"/>
      <c r="W45" s="40"/>
      <c r="X45" s="40"/>
      <c r="Y45" s="40"/>
      <c r="Z45" s="40"/>
      <c r="AA45" s="40"/>
    </row>
    <row r="46" spans="1:69" s="36" customFormat="1" ht="12.5" x14ac:dyDescent="0.25">
      <c r="B46" s="36" t="s">
        <v>44</v>
      </c>
      <c r="C46" s="37" t="s">
        <v>34</v>
      </c>
      <c r="D46" s="37" t="s">
        <v>35</v>
      </c>
      <c r="E46" s="37" t="s">
        <v>36</v>
      </c>
      <c r="F46" s="37" t="s">
        <v>37</v>
      </c>
      <c r="G46" s="37" t="s">
        <v>38</v>
      </c>
      <c r="H46" s="37" t="s">
        <v>39</v>
      </c>
      <c r="I46" s="37" t="s">
        <v>40</v>
      </c>
      <c r="J46" s="37" t="s">
        <v>41</v>
      </c>
      <c r="K46" s="37" t="s">
        <v>42</v>
      </c>
      <c r="L46" s="37" t="s">
        <v>43</v>
      </c>
      <c r="M46" s="54" t="s">
        <v>173</v>
      </c>
      <c r="N46" s="40"/>
      <c r="P46" s="36" t="s">
        <v>44</v>
      </c>
      <c r="Q46" s="37" t="s">
        <v>34</v>
      </c>
      <c r="R46" s="37" t="s">
        <v>35</v>
      </c>
      <c r="S46" s="37" t="s">
        <v>36</v>
      </c>
      <c r="T46" s="37" t="s">
        <v>37</v>
      </c>
      <c r="U46" s="37" t="s">
        <v>38</v>
      </c>
      <c r="V46" s="37" t="s">
        <v>39</v>
      </c>
      <c r="W46" s="37" t="s">
        <v>40</v>
      </c>
      <c r="X46" s="37" t="s">
        <v>41</v>
      </c>
      <c r="Y46" s="37" t="s">
        <v>42</v>
      </c>
      <c r="Z46" s="37" t="s">
        <v>43</v>
      </c>
      <c r="AA46" s="37" t="s">
        <v>173</v>
      </c>
      <c r="AC46" s="36" t="s">
        <v>293</v>
      </c>
    </row>
    <row r="47" spans="1:69" x14ac:dyDescent="0.35">
      <c r="A47" s="36">
        <v>1987</v>
      </c>
      <c r="O47" s="36">
        <v>1987</v>
      </c>
    </row>
    <row r="48" spans="1:69" x14ac:dyDescent="0.35">
      <c r="A48" s="36">
        <v>1988</v>
      </c>
      <c r="O48" s="36">
        <v>1988</v>
      </c>
    </row>
    <row r="49" spans="1:27" x14ac:dyDescent="0.35">
      <c r="A49" s="36">
        <v>1989</v>
      </c>
      <c r="O49" s="36">
        <v>1989</v>
      </c>
    </row>
    <row r="50" spans="1:27" x14ac:dyDescent="0.35">
      <c r="A50" s="36">
        <v>1990</v>
      </c>
      <c r="O50" s="36">
        <v>1990</v>
      </c>
    </row>
    <row r="51" spans="1:27" x14ac:dyDescent="0.35">
      <c r="A51" s="36">
        <v>1991</v>
      </c>
      <c r="O51" s="36">
        <v>1991</v>
      </c>
    </row>
    <row r="52" spans="1:27" x14ac:dyDescent="0.35">
      <c r="A52" s="36">
        <v>1992</v>
      </c>
      <c r="O52" s="36">
        <v>1992</v>
      </c>
    </row>
    <row r="53" spans="1:27" x14ac:dyDescent="0.35">
      <c r="A53" s="36">
        <v>1993</v>
      </c>
      <c r="O53" s="36">
        <v>1993</v>
      </c>
    </row>
    <row r="54" spans="1:27" x14ac:dyDescent="0.35">
      <c r="A54" s="36">
        <v>1994</v>
      </c>
      <c r="O54" s="36">
        <v>1994</v>
      </c>
    </row>
    <row r="55" spans="1:27" x14ac:dyDescent="0.35">
      <c r="A55" s="36">
        <v>1995</v>
      </c>
      <c r="O55" s="36">
        <v>1995</v>
      </c>
    </row>
    <row r="56" spans="1:27" x14ac:dyDescent="0.35">
      <c r="A56" s="36">
        <v>1996</v>
      </c>
      <c r="B56" s="34">
        <f>B57*(Q13*$C13/$C14+AE13*$D13/$D14+AS13*$E13/$E14+BG13*$F13/$F14)</f>
        <v>70.02039604665562</v>
      </c>
      <c r="C56" s="34">
        <f>C57*(R13*$C13/$C14+AF13*$D13/$D14+AT13*$E13/$E14+BH13*$F13/$F14)</f>
        <v>69.925063352475618</v>
      </c>
      <c r="D56" s="34">
        <f t="shared" ref="D56:L56" si="130">D57*(S13*$C13/$C14+AG13*$D13/$D14+AU13*$E13/$E14+BI13*$F13/$F14)</f>
        <v>69.924487559289886</v>
      </c>
      <c r="E56" s="34">
        <f t="shared" si="130"/>
        <v>69.85464699417841</v>
      </c>
      <c r="F56" s="34">
        <f t="shared" si="130"/>
        <v>69.887627275708908</v>
      </c>
      <c r="G56" s="34">
        <f t="shared" si="130"/>
        <v>69.85933411722641</v>
      </c>
      <c r="H56" s="34">
        <f t="shared" si="130"/>
        <v>69.952730809674065</v>
      </c>
      <c r="I56" s="34">
        <f t="shared" si="130"/>
        <v>69.944579876397711</v>
      </c>
      <c r="J56" s="34">
        <f t="shared" si="130"/>
        <v>69.969989488064272</v>
      </c>
      <c r="K56" s="34">
        <f t="shared" si="130"/>
        <v>70.046691717106199</v>
      </c>
      <c r="L56" s="34">
        <f t="shared" si="130"/>
        <v>70.280648904236429</v>
      </c>
      <c r="M56" s="34">
        <f>B13</f>
        <v>68.816670000000002</v>
      </c>
      <c r="O56" s="36">
        <v>1996</v>
      </c>
      <c r="P56" s="34">
        <f>B56*($M56/$B56)</f>
        <v>68.816670000000002</v>
      </c>
      <c r="Q56" s="34">
        <f t="shared" ref="Q56:AA56" si="131">C56*($M56/$B56)</f>
        <v>68.722976177542549</v>
      </c>
      <c r="R56" s="34">
        <f t="shared" si="131"/>
        <v>68.722410282862029</v>
      </c>
      <c r="S56" s="34">
        <f t="shared" si="131"/>
        <v>68.653770352309678</v>
      </c>
      <c r="T56" s="34">
        <f t="shared" si="131"/>
        <v>68.686183667268352</v>
      </c>
      <c r="U56" s="34">
        <f t="shared" si="131"/>
        <v>68.658376898662667</v>
      </c>
      <c r="V56" s="34">
        <f t="shared" si="131"/>
        <v>68.750168001343368</v>
      </c>
      <c r="W56" s="34">
        <f t="shared" si="131"/>
        <v>68.742157191391698</v>
      </c>
      <c r="X56" s="34">
        <f t="shared" si="131"/>
        <v>68.767129984457881</v>
      </c>
      <c r="Y56" s="34">
        <f t="shared" si="131"/>
        <v>68.842513619545088</v>
      </c>
      <c r="Z56" s="34">
        <f t="shared" si="131"/>
        <v>69.072448830567623</v>
      </c>
      <c r="AA56" s="34">
        <f t="shared" si="131"/>
        <v>67.633637300957446</v>
      </c>
    </row>
    <row r="57" spans="1:27" x14ac:dyDescent="0.35">
      <c r="A57" s="36">
        <v>1997</v>
      </c>
      <c r="B57" s="34">
        <f t="shared" ref="B57:B64" si="132">B58*(Q14*$C14/$C15+AE14*$D14/$D15+AS14*$E14/$E15+BG14*$F14/$F15)</f>
        <v>71.27712593345548</v>
      </c>
      <c r="C57" s="34">
        <f t="shared" ref="C57:C64" si="133">C58*(R14*$C14/$C15+AF14*$D14/$D15+AT14*$E14/$E15+BH14*$F14/$F15)</f>
        <v>70.987379830402546</v>
      </c>
      <c r="D57" s="34">
        <f t="shared" ref="D57:D64" si="134">D58*(S14*$C14/$C15+AG14*$D14/$D15+AU14*$E14/$E15+BI14*$F14/$F15)</f>
        <v>70.995436263209911</v>
      </c>
      <c r="E57" s="34">
        <f t="shared" ref="E57:E64" si="135">E58*(T14*$C14/$C15+AH14*$D14/$D15+AV14*$E14/$E15+BJ14*$F14/$F15)</f>
        <v>71.015088170042191</v>
      </c>
      <c r="F57" s="34">
        <f t="shared" ref="F57:F64" si="136">F58*(U14*$C14/$C15+AI14*$D14/$D15+AW14*$E14/$E15+BK14*$F14/$F15)</f>
        <v>71.107305290245648</v>
      </c>
      <c r="G57" s="34">
        <f t="shared" ref="G57:G64" si="137">G58*(V14*$C14/$C15+AJ14*$D14/$D15+AX14*$E14/$E15+BL14*$F14/$F15)</f>
        <v>71.116756982669827</v>
      </c>
      <c r="H57" s="34">
        <f t="shared" ref="H57:H64" si="138">H58*(W14*$C14/$C15+AK14*$D14/$D15+AY14*$E14/$E15+BM14*$F14/$F15)</f>
        <v>71.215266179720018</v>
      </c>
      <c r="I57" s="34">
        <f t="shared" ref="I57:I64" si="139">I58*(X14*$C14/$C15+AL14*$D14/$D15+AZ14*$E14/$E15+BN14*$F14/$F15)</f>
        <v>71.225816928456936</v>
      </c>
      <c r="J57" s="34">
        <f t="shared" ref="J57:J64" si="140">J58*(Y14*$C14/$C15+AM14*$D14/$D15+BA14*$E14/$E15+BO14*$F14/$F15)</f>
        <v>71.272257807025611</v>
      </c>
      <c r="K57" s="34">
        <f t="shared" ref="K57:K64" si="141">K58*(Z14*$C14/$C15+AN14*$D14/$D15+BB14*$E14/$E15+BP14*$F14/$F15)</f>
        <v>71.337171791050508</v>
      </c>
      <c r="L57" s="34">
        <f t="shared" ref="L57:L64" si="142">L58*(AA14*$C14/$C15+AO14*$D14/$D15+BC14*$E14/$E15+BQ14*$F14/$F15)</f>
        <v>71.571579437734002</v>
      </c>
      <c r="M57" s="34">
        <f t="shared" ref="M57:M64" si="143">B14</f>
        <v>70.066670000000002</v>
      </c>
      <c r="O57" s="36">
        <v>1997</v>
      </c>
      <c r="P57" s="34">
        <f t="shared" ref="P57:P86" si="144">B57*($M57/$B57)</f>
        <v>70.066670000000002</v>
      </c>
      <c r="Q57" s="34">
        <f t="shared" ref="Q57:Q86" si="145">C57*($M57/$B57)</f>
        <v>69.781844478200071</v>
      </c>
      <c r="R57" s="34">
        <f t="shared" ref="R57:R86" si="146">D57*($M57/$B57)</f>
        <v>69.789764093525434</v>
      </c>
      <c r="S57" s="34">
        <f t="shared" ref="S57:S86" si="147">E57*($M57/$B57)</f>
        <v>69.809082264016396</v>
      </c>
      <c r="T57" s="34">
        <f t="shared" ref="T57:T86" si="148">F57*($M57/$B57)</f>
        <v>69.899733317142164</v>
      </c>
      <c r="U57" s="34">
        <f t="shared" ref="U57:U86" si="149">G57*($M57/$B57)</f>
        <v>69.909024497241717</v>
      </c>
      <c r="V57" s="34">
        <f t="shared" ref="V57:V86" si="150">H57*($M57/$B57)</f>
        <v>70.005860772712822</v>
      </c>
      <c r="W57" s="34">
        <f t="shared" ref="W57:W86" si="151">I57*($M57/$B57)</f>
        <v>70.01623234452245</v>
      </c>
      <c r="X57" s="34">
        <f t="shared" ref="X57:X86" si="152">J57*($M57/$B57)</f>
        <v>70.061884545990551</v>
      </c>
      <c r="Y57" s="34">
        <f t="shared" ref="Y57:Y86" si="153">K57*($M57/$B57)</f>
        <v>70.125696135437977</v>
      </c>
      <c r="Z57" s="34">
        <f t="shared" ref="Z57:AA86" si="154">L57*($M57/$B57)</f>
        <v>70.356122980103152</v>
      </c>
      <c r="AA57" s="34">
        <f t="shared" si="154"/>
        <v>68.876770500991739</v>
      </c>
    </row>
    <row r="58" spans="1:27" x14ac:dyDescent="0.35">
      <c r="A58" s="36">
        <v>1998</v>
      </c>
      <c r="B58" s="34">
        <f t="shared" si="132"/>
        <v>72.186247337901506</v>
      </c>
      <c r="C58" s="34">
        <f t="shared" si="133"/>
        <v>71.797583186946397</v>
      </c>
      <c r="D58" s="34">
        <f t="shared" si="134"/>
        <v>71.809227005738094</v>
      </c>
      <c r="E58" s="34">
        <f t="shared" si="135"/>
        <v>71.882168248741806</v>
      </c>
      <c r="F58" s="34">
        <f t="shared" si="136"/>
        <v>72.002978529121805</v>
      </c>
      <c r="G58" s="34">
        <f t="shared" si="137"/>
        <v>72.03057916082642</v>
      </c>
      <c r="H58" s="34">
        <f t="shared" si="138"/>
        <v>72.131286588041633</v>
      </c>
      <c r="I58" s="34">
        <f t="shared" si="139"/>
        <v>72.150969879420984</v>
      </c>
      <c r="J58" s="34">
        <f t="shared" si="140"/>
        <v>72.205106723989999</v>
      </c>
      <c r="K58" s="34">
        <f t="shared" si="141"/>
        <v>72.265222176649161</v>
      </c>
      <c r="L58" s="34">
        <f t="shared" si="142"/>
        <v>72.488240887325517</v>
      </c>
      <c r="M58" s="34">
        <f t="shared" si="143"/>
        <v>71.158330000000007</v>
      </c>
      <c r="O58" s="36">
        <v>1998</v>
      </c>
      <c r="P58" s="34">
        <f t="shared" si="144"/>
        <v>71.158330000000007</v>
      </c>
      <c r="Q58" s="34">
        <f t="shared" si="145"/>
        <v>70.775200346738302</v>
      </c>
      <c r="R58" s="34">
        <f t="shared" si="146"/>
        <v>70.78667835994159</v>
      </c>
      <c r="S58" s="34">
        <f t="shared" si="147"/>
        <v>70.858580934624158</v>
      </c>
      <c r="T58" s="34">
        <f t="shared" si="148"/>
        <v>70.977670901421192</v>
      </c>
      <c r="U58" s="34">
        <f t="shared" si="149"/>
        <v>71.004878505798402</v>
      </c>
      <c r="V58" s="34">
        <f t="shared" si="150"/>
        <v>71.104151879931379</v>
      </c>
      <c r="W58" s="34">
        <f t="shared" si="151"/>
        <v>71.123554885283653</v>
      </c>
      <c r="X58" s="34">
        <f t="shared" si="152"/>
        <v>71.176920832303566</v>
      </c>
      <c r="Y58" s="34">
        <f t="shared" si="153"/>
        <v>71.236180253262191</v>
      </c>
      <c r="Z58" s="34">
        <f t="shared" si="154"/>
        <v>71.456023223297706</v>
      </c>
      <c r="AA58" s="34">
        <f t="shared" si="154"/>
        <v>70.145049993896791</v>
      </c>
    </row>
    <row r="59" spans="1:27" x14ac:dyDescent="0.35">
      <c r="A59" s="36">
        <v>1999</v>
      </c>
      <c r="B59" s="34">
        <f t="shared" si="132"/>
        <v>72.970149417420487</v>
      </c>
      <c r="C59" s="34">
        <f t="shared" si="133"/>
        <v>72.562144013292055</v>
      </c>
      <c r="D59" s="34">
        <f t="shared" si="134"/>
        <v>72.573575582888921</v>
      </c>
      <c r="E59" s="34">
        <f t="shared" si="135"/>
        <v>72.67960417757277</v>
      </c>
      <c r="F59" s="34">
        <f t="shared" si="136"/>
        <v>72.811458167472821</v>
      </c>
      <c r="G59" s="34">
        <f t="shared" si="137"/>
        <v>72.855160730448247</v>
      </c>
      <c r="H59" s="34">
        <f t="shared" si="138"/>
        <v>72.923489606026948</v>
      </c>
      <c r="I59" s="34">
        <f t="shared" si="139"/>
        <v>72.95610176522726</v>
      </c>
      <c r="J59" s="34">
        <f t="shared" si="140"/>
        <v>73.008422994237193</v>
      </c>
      <c r="K59" s="34">
        <f t="shared" si="141"/>
        <v>73.049646497269151</v>
      </c>
      <c r="L59" s="34">
        <f t="shared" si="142"/>
        <v>73.226493297011316</v>
      </c>
      <c r="M59" s="34">
        <f t="shared" si="143"/>
        <v>72.116659999999996</v>
      </c>
      <c r="O59" s="36">
        <v>1999</v>
      </c>
      <c r="P59" s="34">
        <f t="shared" si="144"/>
        <v>72.116659999999996</v>
      </c>
      <c r="Q59" s="34">
        <f t="shared" si="145"/>
        <v>71.713426797894641</v>
      </c>
      <c r="R59" s="34">
        <f t="shared" si="146"/>
        <v>71.724724659067533</v>
      </c>
      <c r="S59" s="34">
        <f t="shared" si="147"/>
        <v>71.829513098917815</v>
      </c>
      <c r="T59" s="34">
        <f t="shared" si="148"/>
        <v>71.959824869349731</v>
      </c>
      <c r="U59" s="34">
        <f t="shared" si="149"/>
        <v>72.003016268851979</v>
      </c>
      <c r="V59" s="34">
        <f t="shared" si="150"/>
        <v>72.070545941295208</v>
      </c>
      <c r="W59" s="34">
        <f t="shared" si="151"/>
        <v>72.102776655028038</v>
      </c>
      <c r="X59" s="34">
        <f t="shared" si="152"/>
        <v>72.154485913038556</v>
      </c>
      <c r="Y59" s="34">
        <f t="shared" si="153"/>
        <v>72.195227248720343</v>
      </c>
      <c r="Z59" s="34">
        <f t="shared" si="154"/>
        <v>72.370005574253668</v>
      </c>
      <c r="AA59" s="34">
        <f t="shared" si="154"/>
        <v>71.273153352129313</v>
      </c>
    </row>
    <row r="60" spans="1:27" x14ac:dyDescent="0.35">
      <c r="A60" s="36">
        <v>2000</v>
      </c>
      <c r="B60" s="34">
        <f t="shared" si="132"/>
        <v>72.936772630110042</v>
      </c>
      <c r="C60" s="34">
        <f t="shared" si="133"/>
        <v>72.517629928196399</v>
      </c>
      <c r="D60" s="34">
        <f t="shared" si="134"/>
        <v>72.528148216064025</v>
      </c>
      <c r="E60" s="34">
        <f t="shared" si="135"/>
        <v>72.680527364005599</v>
      </c>
      <c r="F60" s="34">
        <f t="shared" si="136"/>
        <v>72.825888070665954</v>
      </c>
      <c r="G60" s="34">
        <f t="shared" si="137"/>
        <v>72.895450316033589</v>
      </c>
      <c r="H60" s="34">
        <f t="shared" si="138"/>
        <v>72.903359441230066</v>
      </c>
      <c r="I60" s="34">
        <f t="shared" si="139"/>
        <v>72.957540964283567</v>
      </c>
      <c r="J60" s="34">
        <f t="shared" si="140"/>
        <v>73.005437952202058</v>
      </c>
      <c r="K60" s="34">
        <f t="shared" si="141"/>
        <v>73.011956008048315</v>
      </c>
      <c r="L60" s="34">
        <f t="shared" si="142"/>
        <v>73.108101009071405</v>
      </c>
      <c r="M60" s="34">
        <f t="shared" si="143"/>
        <v>72.691670000000002</v>
      </c>
      <c r="O60" s="36">
        <v>2000</v>
      </c>
      <c r="P60" s="34">
        <f t="shared" si="144"/>
        <v>72.691670000000002</v>
      </c>
      <c r="Q60" s="34">
        <f t="shared" si="145"/>
        <v>72.273935819123494</v>
      </c>
      <c r="R60" s="34">
        <f t="shared" si="146"/>
        <v>72.284418760485821</v>
      </c>
      <c r="S60" s="34">
        <f t="shared" si="147"/>
        <v>72.436285841213731</v>
      </c>
      <c r="T60" s="34">
        <f t="shared" si="148"/>
        <v>72.581158065998181</v>
      </c>
      <c r="U60" s="34">
        <f t="shared" si="149"/>
        <v>72.650486548770061</v>
      </c>
      <c r="V60" s="34">
        <f t="shared" si="150"/>
        <v>72.658369095502508</v>
      </c>
      <c r="W60" s="34">
        <f t="shared" si="151"/>
        <v>72.712368542583562</v>
      </c>
      <c r="X60" s="34">
        <f t="shared" si="152"/>
        <v>72.760104573589786</v>
      </c>
      <c r="Y60" s="34">
        <f t="shared" si="153"/>
        <v>72.766600725633978</v>
      </c>
      <c r="Z60" s="34">
        <f t="shared" si="154"/>
        <v>72.862422633219111</v>
      </c>
      <c r="AA60" s="34">
        <f t="shared" si="154"/>
        <v>72.44739103259289</v>
      </c>
    </row>
    <row r="61" spans="1:27" x14ac:dyDescent="0.35">
      <c r="A61" s="36">
        <v>2001</v>
      </c>
      <c r="B61" s="34">
        <f t="shared" si="132"/>
        <v>73.581702083689663</v>
      </c>
      <c r="C61" s="34">
        <f t="shared" si="133"/>
        <v>73.337894857567221</v>
      </c>
      <c r="D61" s="34">
        <f t="shared" si="134"/>
        <v>73.339255819711099</v>
      </c>
      <c r="E61" s="34">
        <f t="shared" si="135"/>
        <v>73.422434837973569</v>
      </c>
      <c r="F61" s="34">
        <f t="shared" si="136"/>
        <v>73.51260993289182</v>
      </c>
      <c r="G61" s="34">
        <f t="shared" si="137"/>
        <v>73.546806899560835</v>
      </c>
      <c r="H61" s="34">
        <f t="shared" si="138"/>
        <v>73.548153768908733</v>
      </c>
      <c r="I61" s="34">
        <f t="shared" si="139"/>
        <v>73.58559951579899</v>
      </c>
      <c r="J61" s="34">
        <f t="shared" si="140"/>
        <v>73.610073870617583</v>
      </c>
      <c r="K61" s="34">
        <f t="shared" si="141"/>
        <v>73.628906607913137</v>
      </c>
      <c r="L61" s="34">
        <f t="shared" si="142"/>
        <v>73.708020471570734</v>
      </c>
      <c r="M61" s="34">
        <f t="shared" si="143"/>
        <v>73.591669999999993</v>
      </c>
      <c r="O61" s="36">
        <v>2001</v>
      </c>
      <c r="P61" s="34">
        <f t="shared" si="144"/>
        <v>73.591669999999993</v>
      </c>
      <c r="Q61" s="34">
        <f t="shared" si="145"/>
        <v>73.347829745964944</v>
      </c>
      <c r="R61" s="34">
        <f t="shared" si="146"/>
        <v>73.349190892474724</v>
      </c>
      <c r="S61" s="34">
        <f t="shared" si="147"/>
        <v>73.432381178776239</v>
      </c>
      <c r="T61" s="34">
        <f t="shared" si="148"/>
        <v>73.522568489473343</v>
      </c>
      <c r="U61" s="34">
        <f t="shared" si="149"/>
        <v>73.556770088713932</v>
      </c>
      <c r="V61" s="34">
        <f t="shared" si="150"/>
        <v>73.558117140518618</v>
      </c>
      <c r="W61" s="34">
        <f t="shared" si="151"/>
        <v>73.595567960084011</v>
      </c>
      <c r="X61" s="34">
        <f t="shared" si="152"/>
        <v>73.620045630377973</v>
      </c>
      <c r="Y61" s="34">
        <f t="shared" si="153"/>
        <v>73.63888091889406</v>
      </c>
      <c r="Z61" s="34">
        <f t="shared" si="154"/>
        <v>73.718005499895099</v>
      </c>
      <c r="AA61" s="34">
        <f t="shared" si="154"/>
        <v>73.601639266637278</v>
      </c>
    </row>
    <row r="62" spans="1:27" x14ac:dyDescent="0.35">
      <c r="A62" s="36">
        <v>2002</v>
      </c>
      <c r="B62" s="34">
        <f t="shared" si="132"/>
        <v>74.354835870147724</v>
      </c>
      <c r="C62" s="34">
        <f t="shared" si="133"/>
        <v>74.16897750909763</v>
      </c>
      <c r="D62" s="34">
        <f t="shared" si="134"/>
        <v>74.167845906235883</v>
      </c>
      <c r="E62" s="34">
        <f t="shared" si="135"/>
        <v>74.216166963920301</v>
      </c>
      <c r="F62" s="34">
        <f t="shared" si="136"/>
        <v>74.286830721369213</v>
      </c>
      <c r="G62" s="34">
        <f t="shared" si="137"/>
        <v>74.304815475356477</v>
      </c>
      <c r="H62" s="34">
        <f t="shared" si="138"/>
        <v>74.316593835383657</v>
      </c>
      <c r="I62" s="34">
        <f t="shared" si="139"/>
        <v>74.344596052479929</v>
      </c>
      <c r="J62" s="34">
        <f t="shared" si="140"/>
        <v>74.363729135683656</v>
      </c>
      <c r="K62" s="34">
        <f t="shared" si="141"/>
        <v>74.393416091571964</v>
      </c>
      <c r="L62" s="34">
        <f t="shared" si="142"/>
        <v>74.488974912980126</v>
      </c>
      <c r="M62" s="34">
        <f t="shared" si="143"/>
        <v>74.5</v>
      </c>
      <c r="O62" s="36">
        <v>2002</v>
      </c>
      <c r="P62" s="34">
        <f t="shared" si="144"/>
        <v>74.5</v>
      </c>
      <c r="Q62" s="34">
        <f t="shared" si="145"/>
        <v>74.313778784712625</v>
      </c>
      <c r="R62" s="34">
        <f t="shared" si="146"/>
        <v>74.312644972604588</v>
      </c>
      <c r="S62" s="34">
        <f t="shared" si="147"/>
        <v>74.361060368259231</v>
      </c>
      <c r="T62" s="34">
        <f t="shared" si="148"/>
        <v>74.431862083686838</v>
      </c>
      <c r="U62" s="34">
        <f t="shared" si="149"/>
        <v>74.449881949595635</v>
      </c>
      <c r="V62" s="34">
        <f t="shared" si="150"/>
        <v>74.461683304702618</v>
      </c>
      <c r="W62" s="34">
        <f t="shared" si="151"/>
        <v>74.489740190973137</v>
      </c>
      <c r="X62" s="34">
        <f t="shared" si="152"/>
        <v>74.508910627999825</v>
      </c>
      <c r="Y62" s="34">
        <f t="shared" si="153"/>
        <v>74.538655542204751</v>
      </c>
      <c r="Z62" s="34">
        <f t="shared" si="154"/>
        <v>74.634400924621318</v>
      </c>
      <c r="AA62" s="34">
        <f t="shared" si="154"/>
        <v>74.645447536094096</v>
      </c>
    </row>
    <row r="63" spans="1:27" x14ac:dyDescent="0.35">
      <c r="A63" s="36">
        <v>2003</v>
      </c>
      <c r="B63" s="34">
        <f t="shared" si="132"/>
        <v>75.318133426371958</v>
      </c>
      <c r="C63" s="34">
        <f t="shared" si="133"/>
        <v>75.126576272175086</v>
      </c>
      <c r="D63" s="34">
        <f t="shared" si="134"/>
        <v>75.132001146281326</v>
      </c>
      <c r="E63" s="34">
        <f t="shared" si="135"/>
        <v>75.182658546420498</v>
      </c>
      <c r="F63" s="34">
        <f t="shared" si="136"/>
        <v>75.255840500014017</v>
      </c>
      <c r="G63" s="34">
        <f t="shared" si="137"/>
        <v>75.272706385866968</v>
      </c>
      <c r="H63" s="34">
        <f t="shared" si="138"/>
        <v>75.28446883004051</v>
      </c>
      <c r="I63" s="34">
        <f t="shared" si="139"/>
        <v>75.313555053227006</v>
      </c>
      <c r="J63" s="34">
        <f t="shared" si="140"/>
        <v>75.333224102293158</v>
      </c>
      <c r="K63" s="34">
        <f t="shared" si="141"/>
        <v>75.36073120434402</v>
      </c>
      <c r="L63" s="34">
        <f t="shared" si="142"/>
        <v>75.43691778916623</v>
      </c>
      <c r="M63" s="34">
        <f t="shared" si="143"/>
        <v>75.525000000000006</v>
      </c>
      <c r="O63" s="36">
        <v>2003</v>
      </c>
      <c r="P63" s="34">
        <f t="shared" si="144"/>
        <v>75.525000000000006</v>
      </c>
      <c r="Q63" s="34">
        <f t="shared" si="145"/>
        <v>75.332916720548297</v>
      </c>
      <c r="R63" s="34">
        <f t="shared" si="146"/>
        <v>75.338356494454459</v>
      </c>
      <c r="S63" s="34">
        <f t="shared" si="147"/>
        <v>75.389153028721353</v>
      </c>
      <c r="T63" s="34">
        <f t="shared" si="148"/>
        <v>75.462535981719697</v>
      </c>
      <c r="U63" s="34">
        <f t="shared" si="149"/>
        <v>75.479448190919484</v>
      </c>
      <c r="V63" s="34">
        <f t="shared" si="150"/>
        <v>75.491242941476798</v>
      </c>
      <c r="W63" s="34">
        <f t="shared" si="151"/>
        <v>75.520409052029819</v>
      </c>
      <c r="X63" s="34">
        <f t="shared" si="152"/>
        <v>75.540132123528565</v>
      </c>
      <c r="Y63" s="34">
        <f t="shared" si="153"/>
        <v>75.567714775778214</v>
      </c>
      <c r="Z63" s="34">
        <f t="shared" si="154"/>
        <v>75.644110612437146</v>
      </c>
      <c r="AA63" s="34">
        <f t="shared" si="154"/>
        <v>75.732434747284756</v>
      </c>
    </row>
    <row r="64" spans="1:27" x14ac:dyDescent="0.35">
      <c r="A64" s="36">
        <v>2004</v>
      </c>
      <c r="B64" s="34">
        <f t="shared" si="132"/>
        <v>76.319075548307495</v>
      </c>
      <c r="C64" s="34">
        <f t="shared" si="133"/>
        <v>76.204435273462863</v>
      </c>
      <c r="D64" s="34">
        <f t="shared" si="134"/>
        <v>76.188747282081408</v>
      </c>
      <c r="E64" s="34">
        <f t="shared" si="135"/>
        <v>76.241671949017572</v>
      </c>
      <c r="F64" s="34">
        <f t="shared" si="136"/>
        <v>76.278379695336781</v>
      </c>
      <c r="G64" s="34">
        <f t="shared" si="137"/>
        <v>76.293613157058502</v>
      </c>
      <c r="H64" s="34">
        <f t="shared" si="138"/>
        <v>76.298423237362982</v>
      </c>
      <c r="I64" s="34">
        <f t="shared" si="139"/>
        <v>76.313086870459927</v>
      </c>
      <c r="J64" s="34">
        <f t="shared" si="140"/>
        <v>76.322860536500755</v>
      </c>
      <c r="K64" s="34">
        <f t="shared" si="141"/>
        <v>76.351487303745913</v>
      </c>
      <c r="L64" s="34">
        <f t="shared" si="142"/>
        <v>76.394615388266061</v>
      </c>
      <c r="M64" s="34">
        <f t="shared" si="143"/>
        <v>76.541669999999996</v>
      </c>
      <c r="O64" s="36">
        <v>2004</v>
      </c>
      <c r="P64" s="34">
        <f t="shared" si="144"/>
        <v>76.541669999999996</v>
      </c>
      <c r="Q64" s="34">
        <f t="shared" si="145"/>
        <v>76.426695361971099</v>
      </c>
      <c r="R64" s="34">
        <f t="shared" si="146"/>
        <v>76.410961614534358</v>
      </c>
      <c r="S64" s="34">
        <f t="shared" si="147"/>
        <v>76.464040643104667</v>
      </c>
      <c r="T64" s="34">
        <f t="shared" si="148"/>
        <v>76.500855452312223</v>
      </c>
      <c r="U64" s="34">
        <f t="shared" si="149"/>
        <v>76.516133344394703</v>
      </c>
      <c r="V64" s="34">
        <f t="shared" si="150"/>
        <v>76.520957453920317</v>
      </c>
      <c r="W64" s="34">
        <f t="shared" si="151"/>
        <v>76.535663855399164</v>
      </c>
      <c r="X64" s="34">
        <f t="shared" si="152"/>
        <v>76.54546602760071</v>
      </c>
      <c r="Y64" s="34">
        <f t="shared" si="153"/>
        <v>76.574176288513897</v>
      </c>
      <c r="Z64" s="34">
        <f t="shared" si="154"/>
        <v>76.617430161668906</v>
      </c>
      <c r="AA64" s="34">
        <f t="shared" si="154"/>
        <v>76.764913677191728</v>
      </c>
    </row>
    <row r="65" spans="1:29" x14ac:dyDescent="0.35">
      <c r="A65" s="36">
        <v>2005</v>
      </c>
      <c r="B65" s="34">
        <f>$B$22</f>
        <v>78.099999999999994</v>
      </c>
      <c r="C65" s="34">
        <f t="shared" ref="C65:M65" si="155">$B$22</f>
        <v>78.099999999999994</v>
      </c>
      <c r="D65" s="34">
        <f t="shared" si="155"/>
        <v>78.099999999999994</v>
      </c>
      <c r="E65" s="34">
        <f t="shared" si="155"/>
        <v>78.099999999999994</v>
      </c>
      <c r="F65" s="34">
        <f t="shared" si="155"/>
        <v>78.099999999999994</v>
      </c>
      <c r="G65" s="34">
        <f t="shared" si="155"/>
        <v>78.099999999999994</v>
      </c>
      <c r="H65" s="34">
        <f t="shared" si="155"/>
        <v>78.099999999999994</v>
      </c>
      <c r="I65" s="34">
        <f t="shared" si="155"/>
        <v>78.099999999999994</v>
      </c>
      <c r="J65" s="34">
        <f t="shared" si="155"/>
        <v>78.099999999999994</v>
      </c>
      <c r="K65" s="34">
        <f t="shared" si="155"/>
        <v>78.099999999999994</v>
      </c>
      <c r="L65" s="34">
        <f t="shared" si="155"/>
        <v>78.099999999999994</v>
      </c>
      <c r="M65" s="34">
        <f t="shared" si="155"/>
        <v>78.099999999999994</v>
      </c>
      <c r="O65" s="36">
        <v>2005</v>
      </c>
      <c r="P65" s="34">
        <f t="shared" si="144"/>
        <v>78.099999999999994</v>
      </c>
      <c r="Q65" s="34">
        <f t="shared" si="145"/>
        <v>78.099999999999994</v>
      </c>
      <c r="R65" s="34">
        <f t="shared" si="146"/>
        <v>78.099999999999994</v>
      </c>
      <c r="S65" s="34">
        <f t="shared" si="147"/>
        <v>78.099999999999994</v>
      </c>
      <c r="T65" s="34">
        <f t="shared" si="148"/>
        <v>78.099999999999994</v>
      </c>
      <c r="U65" s="34">
        <f t="shared" si="149"/>
        <v>78.099999999999994</v>
      </c>
      <c r="V65" s="34">
        <f t="shared" si="150"/>
        <v>78.099999999999994</v>
      </c>
      <c r="W65" s="34">
        <f t="shared" si="151"/>
        <v>78.099999999999994</v>
      </c>
      <c r="X65" s="34">
        <f t="shared" si="152"/>
        <v>78.099999999999994</v>
      </c>
      <c r="Y65" s="34">
        <f t="shared" si="153"/>
        <v>78.099999999999994</v>
      </c>
      <c r="Z65" s="34">
        <f t="shared" si="154"/>
        <v>78.099999999999994</v>
      </c>
      <c r="AA65" s="34">
        <f t="shared" si="154"/>
        <v>78.099999999999994</v>
      </c>
      <c r="AC65" s="34">
        <v>77.433333333333323</v>
      </c>
    </row>
    <row r="66" spans="1:29" x14ac:dyDescent="0.35">
      <c r="A66" s="36">
        <v>2006</v>
      </c>
      <c r="B66" s="34">
        <f>B65*(Q23*$C23/$C22+AE23*$D23/$D22+AS23*$E23/$E22+BG23*$F23/$F22)</f>
        <v>80.401713522787318</v>
      </c>
      <c r="C66" s="34">
        <f t="shared" ref="C66:L66" si="156">C65*(R23*$C23/$C22+AF23*$D23/$D22+AT23*$E23/$E22+BH23*$F23/$F22)</f>
        <v>80.923092859980258</v>
      </c>
      <c r="D66" s="34">
        <f t="shared" si="156"/>
        <v>80.873219935033902</v>
      </c>
      <c r="E66" s="34">
        <f t="shared" si="156"/>
        <v>80.699802633104255</v>
      </c>
      <c r="F66" s="34">
        <f t="shared" si="156"/>
        <v>80.52034384871628</v>
      </c>
      <c r="G66" s="34">
        <f t="shared" si="156"/>
        <v>80.518227186694034</v>
      </c>
      <c r="H66" s="34">
        <f t="shared" si="156"/>
        <v>80.436251931517091</v>
      </c>
      <c r="I66" s="34">
        <f t="shared" si="156"/>
        <v>80.365721141667308</v>
      </c>
      <c r="J66" s="34">
        <f t="shared" si="156"/>
        <v>80.334077626776875</v>
      </c>
      <c r="K66" s="34">
        <f t="shared" si="156"/>
        <v>80.272224489544229</v>
      </c>
      <c r="L66" s="34">
        <f t="shared" si="156"/>
        <v>80.190028172661471</v>
      </c>
      <c r="M66" s="34">
        <f>B23</f>
        <v>79.933329999999998</v>
      </c>
      <c r="O66" s="36">
        <v>2006</v>
      </c>
      <c r="P66" s="34">
        <f t="shared" si="144"/>
        <v>79.933329999999998</v>
      </c>
      <c r="Q66" s="34">
        <f t="shared" si="145"/>
        <v>80.451672020201002</v>
      </c>
      <c r="R66" s="34">
        <f t="shared" si="146"/>
        <v>80.40208963205113</v>
      </c>
      <c r="S66" s="34">
        <f t="shared" si="147"/>
        <v>80.229682579819297</v>
      </c>
      <c r="T66" s="34">
        <f t="shared" si="148"/>
        <v>80.05126924003622</v>
      </c>
      <c r="U66" s="34">
        <f t="shared" si="149"/>
        <v>80.04916490871652</v>
      </c>
      <c r="V66" s="34">
        <f t="shared" si="150"/>
        <v>79.967667203794662</v>
      </c>
      <c r="W66" s="34">
        <f t="shared" si="151"/>
        <v>79.897547293991664</v>
      </c>
      <c r="X66" s="34">
        <f t="shared" si="152"/>
        <v>79.866088119712003</v>
      </c>
      <c r="Y66" s="34">
        <f t="shared" si="153"/>
        <v>79.804595310500289</v>
      </c>
      <c r="Z66" s="34">
        <f t="shared" si="154"/>
        <v>79.722877831676755</v>
      </c>
      <c r="AA66" s="34">
        <f t="shared" si="154"/>
        <v>79.467675064885825</v>
      </c>
      <c r="AC66" s="34">
        <v>79.916666666666671</v>
      </c>
    </row>
    <row r="67" spans="1:29" x14ac:dyDescent="0.35">
      <c r="A67" s="36">
        <v>2007</v>
      </c>
      <c r="B67" s="34">
        <f t="shared" ref="B67:B86" si="157">B66*(Q24*$C24/$C23+AE24*$D24/$D23+AS24*$E24/$E23+BG24*$F24/$F23)</f>
        <v>82.496614722096666</v>
      </c>
      <c r="C67" s="34">
        <f t="shared" ref="C67:C86" si="158">C66*(R24*$C24/$C23+AF24*$D24/$D23+AT24*$E24/$E23+BH24*$F24/$F23)</f>
        <v>83.193424312974116</v>
      </c>
      <c r="D67" s="34">
        <f t="shared" ref="D67:D86" si="159">D66*(S24*$C24/$C23+AG24*$D24/$D23+AU24*$E24/$E23+BI24*$F24/$F23)</f>
        <v>83.196942680129297</v>
      </c>
      <c r="E67" s="34">
        <f t="shared" ref="E67:E86" si="160">E66*(T24*$C24/$C23+AH24*$D24/$D23+AV24*$E24/$E23+BJ24*$F24/$F23)</f>
        <v>82.925061361598452</v>
      </c>
      <c r="F67" s="34">
        <f t="shared" ref="F67:F86" si="161">F66*(U24*$C24/$C23+AI24*$D24/$D23+AW24*$E24/$E23+BK24*$F24/$F23)</f>
        <v>82.693476751943365</v>
      </c>
      <c r="G67" s="34">
        <f t="shared" ref="G67:G86" si="162">G66*(V24*$C24/$C23+AJ24*$D24/$D23+AX24*$E24/$E23+BL24*$F24/$F23)</f>
        <v>82.659379481536561</v>
      </c>
      <c r="H67" s="34">
        <f t="shared" ref="H67:H86" si="163">H66*(W24*$C24/$C23+AK24*$D24/$D23+AY24*$E24/$E23+BM24*$F24/$F23)</f>
        <v>82.538660232806691</v>
      </c>
      <c r="I67" s="34">
        <f t="shared" ref="I67:I86" si="164">I66*(X24*$C24/$C23+AL24*$D24/$D23+AZ24*$E24/$E23+BN24*$F24/$F23)</f>
        <v>82.470718300201398</v>
      </c>
      <c r="J67" s="34">
        <f t="shared" ref="J67:J86" si="165">J66*(Y24*$C24/$C23+AM24*$D24/$D23+BA24*$E24/$E23+BO24*$F24/$F23)</f>
        <v>82.400823648572569</v>
      </c>
      <c r="K67" s="34">
        <f t="shared" ref="K67:K86" si="166">K66*(Z24*$C24/$C23+AN24*$D24/$D23+BB24*$E24/$E23+BP24*$F24/$F23)</f>
        <v>82.313400569479597</v>
      </c>
      <c r="L67" s="34">
        <f t="shared" ref="L67:L86" si="167">L66*(AA24*$C24/$C23+AO24*$D24/$D23+BC24*$E24/$E23+BQ24*$F24/$F23)</f>
        <v>82.177376648814501</v>
      </c>
      <c r="M67" s="34">
        <f t="shared" ref="M67:M86" si="168">B24</f>
        <v>81.783330000000007</v>
      </c>
      <c r="O67" s="36">
        <v>2007</v>
      </c>
      <c r="P67" s="34">
        <f t="shared" si="144"/>
        <v>81.783330000000007</v>
      </c>
      <c r="Q67" s="34">
        <f t="shared" si="145"/>
        <v>82.474114814745036</v>
      </c>
      <c r="R67" s="34">
        <f t="shared" si="146"/>
        <v>82.477602761287841</v>
      </c>
      <c r="S67" s="34">
        <f t="shared" si="147"/>
        <v>82.20807219122571</v>
      </c>
      <c r="T67" s="34">
        <f t="shared" si="148"/>
        <v>81.978489915417839</v>
      </c>
      <c r="U67" s="34">
        <f t="shared" si="149"/>
        <v>81.944687457860368</v>
      </c>
      <c r="V67" s="34">
        <f t="shared" si="150"/>
        <v>81.825011975545308</v>
      </c>
      <c r="W67" s="34">
        <f t="shared" si="151"/>
        <v>81.757657484529958</v>
      </c>
      <c r="X67" s="34">
        <f t="shared" si="152"/>
        <v>81.688367158149276</v>
      </c>
      <c r="Y67" s="34">
        <f t="shared" si="153"/>
        <v>81.601699959123451</v>
      </c>
      <c r="Z67" s="34">
        <f t="shared" si="154"/>
        <v>81.466852132589935</v>
      </c>
      <c r="AA67" s="34">
        <f t="shared" si="154"/>
        <v>81.076212501812961</v>
      </c>
      <c r="AC67" s="34">
        <v>82.808333333333337</v>
      </c>
    </row>
    <row r="68" spans="1:29" x14ac:dyDescent="0.35">
      <c r="A68" s="36">
        <v>2008</v>
      </c>
      <c r="B68" s="34">
        <f t="shared" si="157"/>
        <v>85.712804941388569</v>
      </c>
      <c r="C68" s="34">
        <f t="shared" si="158"/>
        <v>87.13026239205044</v>
      </c>
      <c r="D68" s="34">
        <f t="shared" si="159"/>
        <v>86.986919031545284</v>
      </c>
      <c r="E68" s="34">
        <f t="shared" si="160"/>
        <v>86.529361728797937</v>
      </c>
      <c r="F68" s="34">
        <f t="shared" si="161"/>
        <v>86.172288126790264</v>
      </c>
      <c r="G68" s="34">
        <f t="shared" si="162"/>
        <v>86.063846277053372</v>
      </c>
      <c r="H68" s="34">
        <f t="shared" si="163"/>
        <v>85.812747698070069</v>
      </c>
      <c r="I68" s="34">
        <f t="shared" si="164"/>
        <v>85.659646062949676</v>
      </c>
      <c r="J68" s="34">
        <f t="shared" si="165"/>
        <v>85.532956385717185</v>
      </c>
      <c r="K68" s="34">
        <f t="shared" si="166"/>
        <v>85.421965822404758</v>
      </c>
      <c r="L68" s="34">
        <f t="shared" si="167"/>
        <v>85.050868464951364</v>
      </c>
      <c r="M68" s="34">
        <f t="shared" si="168"/>
        <v>84.724999999999994</v>
      </c>
      <c r="O68" s="36">
        <v>2008</v>
      </c>
      <c r="P68" s="34">
        <f t="shared" si="144"/>
        <v>84.724999999999994</v>
      </c>
      <c r="Q68" s="34">
        <f t="shared" si="145"/>
        <v>86.126121834589924</v>
      </c>
      <c r="R68" s="34">
        <f t="shared" si="146"/>
        <v>85.984430447554999</v>
      </c>
      <c r="S68" s="34">
        <f t="shared" si="147"/>
        <v>85.532146305159031</v>
      </c>
      <c r="T68" s="34">
        <f t="shared" si="148"/>
        <v>85.179187830042181</v>
      </c>
      <c r="U68" s="34">
        <f t="shared" si="149"/>
        <v>85.071995728170805</v>
      </c>
      <c r="V68" s="34">
        <f t="shared" si="150"/>
        <v>84.823790957379472</v>
      </c>
      <c r="W68" s="34">
        <f t="shared" si="151"/>
        <v>84.672453755844117</v>
      </c>
      <c r="X68" s="34">
        <f t="shared" si="152"/>
        <v>84.547224125208842</v>
      </c>
      <c r="Y68" s="34">
        <f t="shared" si="153"/>
        <v>84.437512682641128</v>
      </c>
      <c r="Z68" s="34">
        <f t="shared" si="154"/>
        <v>84.070692070111434</v>
      </c>
      <c r="AA68" s="34">
        <f t="shared" si="154"/>
        <v>83.748579105637987</v>
      </c>
      <c r="AC68" s="34">
        <v>86.066666666666663</v>
      </c>
    </row>
    <row r="69" spans="1:29" x14ac:dyDescent="0.35">
      <c r="A69" s="36">
        <v>2009</v>
      </c>
      <c r="B69" s="34">
        <f t="shared" si="157"/>
        <v>87.81670575283772</v>
      </c>
      <c r="C69" s="34">
        <f t="shared" si="158"/>
        <v>89.651723950498692</v>
      </c>
      <c r="D69" s="34">
        <f t="shared" si="159"/>
        <v>89.494525611560547</v>
      </c>
      <c r="E69" s="34">
        <f t="shared" si="160"/>
        <v>88.866563371891445</v>
      </c>
      <c r="F69" s="34">
        <f t="shared" si="161"/>
        <v>88.392584619094336</v>
      </c>
      <c r="G69" s="34">
        <f t="shared" si="162"/>
        <v>88.237071841747763</v>
      </c>
      <c r="H69" s="34">
        <f t="shared" si="163"/>
        <v>87.902268835376191</v>
      </c>
      <c r="I69" s="34">
        <f t="shared" si="164"/>
        <v>87.731384554868114</v>
      </c>
      <c r="J69" s="34">
        <f t="shared" si="165"/>
        <v>87.53049289498469</v>
      </c>
      <c r="K69" s="34">
        <f t="shared" si="166"/>
        <v>87.380986730288981</v>
      </c>
      <c r="L69" s="34">
        <f t="shared" si="167"/>
        <v>87.048361619794505</v>
      </c>
      <c r="M69" s="34">
        <f t="shared" si="168"/>
        <v>86.575000000000003</v>
      </c>
      <c r="O69" s="36">
        <v>2009</v>
      </c>
      <c r="P69" s="34">
        <f t="shared" si="144"/>
        <v>86.575000000000003</v>
      </c>
      <c r="Q69" s="34">
        <f t="shared" si="145"/>
        <v>88.384071509806276</v>
      </c>
      <c r="R69" s="34">
        <f t="shared" si="146"/>
        <v>88.229095915164024</v>
      </c>
      <c r="S69" s="34">
        <f t="shared" si="147"/>
        <v>87.61001290090968</v>
      </c>
      <c r="T69" s="34">
        <f t="shared" si="148"/>
        <v>87.142736086417202</v>
      </c>
      <c r="U69" s="34">
        <f t="shared" si="149"/>
        <v>86.989422219956836</v>
      </c>
      <c r="V69" s="34">
        <f t="shared" si="150"/>
        <v>86.659353242441341</v>
      </c>
      <c r="W69" s="34">
        <f t="shared" si="151"/>
        <v>86.490885221941625</v>
      </c>
      <c r="X69" s="34">
        <f t="shared" si="152"/>
        <v>86.292834118734007</v>
      </c>
      <c r="Y69" s="34">
        <f t="shared" si="153"/>
        <v>86.14544193295832</v>
      </c>
      <c r="Z69" s="34">
        <f t="shared" si="154"/>
        <v>85.817520056429402</v>
      </c>
      <c r="AA69" s="34">
        <f t="shared" si="154"/>
        <v>85.350851648836752</v>
      </c>
      <c r="AC69" s="34">
        <v>86.308333333333323</v>
      </c>
    </row>
    <row r="70" spans="1:29" x14ac:dyDescent="0.35">
      <c r="A70" s="36">
        <v>2010</v>
      </c>
      <c r="B70" s="34">
        <f t="shared" si="157"/>
        <v>90.702338334789559</v>
      </c>
      <c r="C70" s="34">
        <f t="shared" si="158"/>
        <v>92.310624314768916</v>
      </c>
      <c r="D70" s="34">
        <f t="shared" si="159"/>
        <v>92.199675909391942</v>
      </c>
      <c r="E70" s="34">
        <f t="shared" si="160"/>
        <v>91.596826442562303</v>
      </c>
      <c r="F70" s="34">
        <f t="shared" si="161"/>
        <v>91.220424974149424</v>
      </c>
      <c r="G70" s="34">
        <f t="shared" si="162"/>
        <v>91.13671366482545</v>
      </c>
      <c r="H70" s="34">
        <f t="shared" si="163"/>
        <v>90.833396742447107</v>
      </c>
      <c r="I70" s="34">
        <f t="shared" si="164"/>
        <v>90.686895225969081</v>
      </c>
      <c r="J70" s="34">
        <f t="shared" si="165"/>
        <v>90.503211216346969</v>
      </c>
      <c r="K70" s="34">
        <f t="shared" si="166"/>
        <v>90.362706287063887</v>
      </c>
      <c r="L70" s="34">
        <f t="shared" si="167"/>
        <v>89.896429847598682</v>
      </c>
      <c r="M70" s="34">
        <f t="shared" si="168"/>
        <v>89.433329999999998</v>
      </c>
      <c r="O70" s="36">
        <v>2010</v>
      </c>
      <c r="P70" s="34">
        <f t="shared" si="144"/>
        <v>89.433329999999998</v>
      </c>
      <c r="Q70" s="34">
        <f t="shared" si="145"/>
        <v>91.019114594118875</v>
      </c>
      <c r="R70" s="34">
        <f t="shared" si="146"/>
        <v>90.909718457996917</v>
      </c>
      <c r="S70" s="34">
        <f t="shared" si="147"/>
        <v>90.315303404348626</v>
      </c>
      <c r="T70" s="34">
        <f t="shared" si="148"/>
        <v>89.944168135345947</v>
      </c>
      <c r="U70" s="34">
        <f t="shared" si="149"/>
        <v>89.861628023492727</v>
      </c>
      <c r="V70" s="34">
        <f t="shared" si="150"/>
        <v>89.562554781152258</v>
      </c>
      <c r="W70" s="34">
        <f t="shared" si="151"/>
        <v>89.418102954339162</v>
      </c>
      <c r="X70" s="34">
        <f t="shared" si="152"/>
        <v>89.236988851330906</v>
      </c>
      <c r="Y70" s="34">
        <f t="shared" si="153"/>
        <v>89.098449713995549</v>
      </c>
      <c r="Z70" s="34">
        <f t="shared" si="154"/>
        <v>88.638696906653408</v>
      </c>
      <c r="AA70" s="34">
        <f t="shared" si="154"/>
        <v>88.182076247763987</v>
      </c>
      <c r="AC70" s="34">
        <v>89.333333333333329</v>
      </c>
    </row>
    <row r="71" spans="1:29" x14ac:dyDescent="0.35">
      <c r="A71" s="36">
        <v>2011</v>
      </c>
      <c r="B71" s="34">
        <f t="shared" si="157"/>
        <v>94.767488398420738</v>
      </c>
      <c r="C71" s="34">
        <f t="shared" si="158"/>
        <v>96.552654620695492</v>
      </c>
      <c r="D71" s="34">
        <f t="shared" si="159"/>
        <v>96.473451232068186</v>
      </c>
      <c r="E71" s="34">
        <f t="shared" si="160"/>
        <v>95.760430792495455</v>
      </c>
      <c r="F71" s="34">
        <f t="shared" si="161"/>
        <v>95.418314846150878</v>
      </c>
      <c r="G71" s="34">
        <f t="shared" si="162"/>
        <v>95.320534503100561</v>
      </c>
      <c r="H71" s="34">
        <f t="shared" si="163"/>
        <v>94.957406055250658</v>
      </c>
      <c r="I71" s="34">
        <f t="shared" si="164"/>
        <v>94.801758850655119</v>
      </c>
      <c r="J71" s="34">
        <f t="shared" si="165"/>
        <v>94.588534442794298</v>
      </c>
      <c r="K71" s="34">
        <f t="shared" si="166"/>
        <v>94.391105805925292</v>
      </c>
      <c r="L71" s="34">
        <f t="shared" si="167"/>
        <v>93.73193588639009</v>
      </c>
      <c r="M71" s="34">
        <f t="shared" si="168"/>
        <v>93.424999999999997</v>
      </c>
      <c r="O71" s="36">
        <v>2011</v>
      </c>
      <c r="P71" s="34">
        <f t="shared" si="144"/>
        <v>93.424999999999997</v>
      </c>
      <c r="Q71" s="34">
        <f t="shared" si="145"/>
        <v>95.18487732855013</v>
      </c>
      <c r="R71" s="34">
        <f t="shared" si="146"/>
        <v>95.106795945287161</v>
      </c>
      <c r="S71" s="34">
        <f t="shared" si="147"/>
        <v>94.403876244735173</v>
      </c>
      <c r="T71" s="34">
        <f t="shared" si="148"/>
        <v>94.066606756776736</v>
      </c>
      <c r="U71" s="34">
        <f t="shared" si="149"/>
        <v>93.970211582610361</v>
      </c>
      <c r="V71" s="34">
        <f t="shared" si="150"/>
        <v>93.612227258938631</v>
      </c>
      <c r="W71" s="34">
        <f t="shared" si="151"/>
        <v>93.458784972611454</v>
      </c>
      <c r="X71" s="34">
        <f t="shared" si="152"/>
        <v>93.248581129067048</v>
      </c>
      <c r="Y71" s="34">
        <f t="shared" si="153"/>
        <v>93.053949291596155</v>
      </c>
      <c r="Z71" s="34">
        <f t="shared" si="154"/>
        <v>92.404117257706332</v>
      </c>
      <c r="AA71" s="34">
        <f t="shared" si="154"/>
        <v>92.101529464459801</v>
      </c>
      <c r="AC71" s="34">
        <v>93.616666666666674</v>
      </c>
    </row>
    <row r="72" spans="1:29" x14ac:dyDescent="0.35">
      <c r="A72" s="36">
        <v>2012</v>
      </c>
      <c r="B72" s="34">
        <f t="shared" si="157"/>
        <v>97.410608817252978</v>
      </c>
      <c r="C72" s="34">
        <f t="shared" si="158"/>
        <v>99.475405571676973</v>
      </c>
      <c r="D72" s="34">
        <f t="shared" si="159"/>
        <v>99.427674710504846</v>
      </c>
      <c r="E72" s="34">
        <f t="shared" si="160"/>
        <v>98.578895529159823</v>
      </c>
      <c r="F72" s="34">
        <f t="shared" si="161"/>
        <v>98.170925050233862</v>
      </c>
      <c r="G72" s="34">
        <f t="shared" si="162"/>
        <v>98.04072584653477</v>
      </c>
      <c r="H72" s="34">
        <f t="shared" si="163"/>
        <v>97.620273073838348</v>
      </c>
      <c r="I72" s="34">
        <f t="shared" si="164"/>
        <v>97.436878802287367</v>
      </c>
      <c r="J72" s="34">
        <f t="shared" si="165"/>
        <v>97.195256986470753</v>
      </c>
      <c r="K72" s="34">
        <f t="shared" si="166"/>
        <v>96.956690760137207</v>
      </c>
      <c r="L72" s="34">
        <f t="shared" si="167"/>
        <v>96.218124511085108</v>
      </c>
      <c r="M72" s="34">
        <f t="shared" si="168"/>
        <v>96.041669999999996</v>
      </c>
      <c r="O72" s="36">
        <v>2012</v>
      </c>
      <c r="P72" s="34">
        <f t="shared" si="144"/>
        <v>96.041669999999996</v>
      </c>
      <c r="Q72" s="34">
        <f t="shared" si="145"/>
        <v>98.077449582052424</v>
      </c>
      <c r="R72" s="34">
        <f t="shared" si="146"/>
        <v>98.030389496162712</v>
      </c>
      <c r="S72" s="34">
        <f t="shared" si="147"/>
        <v>97.193538448546931</v>
      </c>
      <c r="T72" s="34">
        <f t="shared" si="148"/>
        <v>96.791301294067623</v>
      </c>
      <c r="U72" s="34">
        <f t="shared" si="149"/>
        <v>96.66293181657683</v>
      </c>
      <c r="V72" s="34">
        <f t="shared" si="150"/>
        <v>96.248387785529331</v>
      </c>
      <c r="W72" s="34">
        <f t="shared" si="151"/>
        <v>96.067570805509902</v>
      </c>
      <c r="X72" s="34">
        <f t="shared" si="152"/>
        <v>95.829344569361496</v>
      </c>
      <c r="Y72" s="34">
        <f t="shared" si="153"/>
        <v>95.594130981633526</v>
      </c>
      <c r="Z72" s="34">
        <f t="shared" si="154"/>
        <v>94.865944012823235</v>
      </c>
      <c r="AA72" s="34">
        <f t="shared" si="154"/>
        <v>94.691969266854443</v>
      </c>
      <c r="AC72" s="34">
        <v>96.25</v>
      </c>
    </row>
    <row r="73" spans="1:29" x14ac:dyDescent="0.35">
      <c r="A73" s="36">
        <v>2013</v>
      </c>
      <c r="B73" s="34">
        <f t="shared" si="157"/>
        <v>100.13125336198948</v>
      </c>
      <c r="C73" s="34">
        <f t="shared" si="158"/>
        <v>102.65812250544292</v>
      </c>
      <c r="D73" s="34">
        <f t="shared" si="159"/>
        <v>102.57392978204284</v>
      </c>
      <c r="E73" s="34">
        <f t="shared" si="160"/>
        <v>101.4846348938987</v>
      </c>
      <c r="F73" s="34">
        <f t="shared" si="161"/>
        <v>101.01770400460866</v>
      </c>
      <c r="G73" s="34">
        <f t="shared" si="162"/>
        <v>100.82972943641234</v>
      </c>
      <c r="H73" s="34">
        <f t="shared" si="163"/>
        <v>100.34439602562739</v>
      </c>
      <c r="I73" s="34">
        <f t="shared" si="164"/>
        <v>100.13107760246089</v>
      </c>
      <c r="J73" s="34">
        <f t="shared" si="165"/>
        <v>99.844934332188771</v>
      </c>
      <c r="K73" s="34">
        <f t="shared" si="166"/>
        <v>99.578470759409356</v>
      </c>
      <c r="L73" s="34">
        <f t="shared" si="167"/>
        <v>98.7811575980528</v>
      </c>
      <c r="M73" s="34">
        <f t="shared" si="168"/>
        <v>98.508330000000001</v>
      </c>
      <c r="O73" s="36">
        <v>2013</v>
      </c>
      <c r="P73" s="34">
        <f t="shared" si="144"/>
        <v>98.508330000000001</v>
      </c>
      <c r="Q73" s="34">
        <f t="shared" si="145"/>
        <v>100.9942437491294</v>
      </c>
      <c r="R73" s="34">
        <f t="shared" si="146"/>
        <v>100.9114156180332</v>
      </c>
      <c r="S73" s="34">
        <f t="shared" si="147"/>
        <v>99.83977597800299</v>
      </c>
      <c r="T73" s="34">
        <f t="shared" si="148"/>
        <v>99.380413085948774</v>
      </c>
      <c r="U73" s="34">
        <f t="shared" si="149"/>
        <v>99.195485202058734</v>
      </c>
      <c r="V73" s="34">
        <f t="shared" si="150"/>
        <v>98.71801805584424</v>
      </c>
      <c r="W73" s="34">
        <f t="shared" si="151"/>
        <v>98.508157089174844</v>
      </c>
      <c r="X73" s="34">
        <f t="shared" si="152"/>
        <v>98.226651617618003</v>
      </c>
      <c r="Y73" s="34">
        <f t="shared" si="153"/>
        <v>97.964506875801575</v>
      </c>
      <c r="Z73" s="34">
        <f t="shared" si="154"/>
        <v>97.180116534373269</v>
      </c>
      <c r="AA73" s="34">
        <f t="shared" si="154"/>
        <v>96.911710915151346</v>
      </c>
      <c r="AC73" s="34">
        <v>98.675000000000011</v>
      </c>
    </row>
    <row r="74" spans="1:29" x14ac:dyDescent="0.35">
      <c r="A74" s="36">
        <v>2014</v>
      </c>
      <c r="B74" s="34">
        <f t="shared" si="157"/>
        <v>101.72622646725902</v>
      </c>
      <c r="C74" s="34">
        <f t="shared" si="158"/>
        <v>104.47908622222677</v>
      </c>
      <c r="D74" s="34">
        <f t="shared" si="159"/>
        <v>104.38484577732221</v>
      </c>
      <c r="E74" s="34">
        <f t="shared" si="160"/>
        <v>103.14381623127927</v>
      </c>
      <c r="F74" s="34">
        <f t="shared" si="161"/>
        <v>102.62917000461054</v>
      </c>
      <c r="G74" s="34">
        <f t="shared" si="162"/>
        <v>102.38639902481272</v>
      </c>
      <c r="H74" s="34">
        <f t="shared" si="163"/>
        <v>101.90843948882885</v>
      </c>
      <c r="I74" s="34">
        <f t="shared" si="164"/>
        <v>101.67994304736452</v>
      </c>
      <c r="J74" s="34">
        <f t="shared" si="165"/>
        <v>101.38847447616764</v>
      </c>
      <c r="K74" s="34">
        <f t="shared" si="166"/>
        <v>101.12134124863863</v>
      </c>
      <c r="L74" s="34">
        <f t="shared" si="167"/>
        <v>100.39068954286607</v>
      </c>
      <c r="M74" s="34">
        <f t="shared" si="168"/>
        <v>99.958330000000004</v>
      </c>
      <c r="O74" s="36">
        <v>2014</v>
      </c>
      <c r="P74" s="34">
        <f t="shared" si="144"/>
        <v>99.958330000000004</v>
      </c>
      <c r="Q74" s="34">
        <f t="shared" si="145"/>
        <v>102.6633479033167</v>
      </c>
      <c r="R74" s="34">
        <f t="shared" si="146"/>
        <v>102.57074525974819</v>
      </c>
      <c r="S74" s="34">
        <f t="shared" si="147"/>
        <v>101.35128352199233</v>
      </c>
      <c r="T74" s="34">
        <f t="shared" si="148"/>
        <v>100.8455813137701</v>
      </c>
      <c r="U74" s="34">
        <f t="shared" si="149"/>
        <v>100.607029442185</v>
      </c>
      <c r="V74" s="34">
        <f t="shared" si="150"/>
        <v>100.13737634795665</v>
      </c>
      <c r="W74" s="34">
        <f t="shared" si="151"/>
        <v>99.912850938011672</v>
      </c>
      <c r="X74" s="34">
        <f t="shared" si="152"/>
        <v>99.626447788734296</v>
      </c>
      <c r="Y74" s="34">
        <f t="shared" si="153"/>
        <v>99.363957060053778</v>
      </c>
      <c r="Z74" s="34">
        <f t="shared" si="154"/>
        <v>98.646003324257023</v>
      </c>
      <c r="AA74" s="34">
        <f t="shared" si="154"/>
        <v>98.221157742489908</v>
      </c>
      <c r="AC74" s="34">
        <v>100.09166666666664</v>
      </c>
    </row>
    <row r="75" spans="1:29" x14ac:dyDescent="0.35">
      <c r="A75" s="36">
        <v>2015</v>
      </c>
      <c r="B75" s="34">
        <f t="shared" si="157"/>
        <v>101.85578083717756</v>
      </c>
      <c r="C75" s="34">
        <f t="shared" si="158"/>
        <v>104.43808899589993</v>
      </c>
      <c r="D75" s="34">
        <f t="shared" si="159"/>
        <v>104.40648420637545</v>
      </c>
      <c r="E75" s="34">
        <f t="shared" si="160"/>
        <v>103.106044633929</v>
      </c>
      <c r="F75" s="34">
        <f t="shared" si="161"/>
        <v>102.66034211555417</v>
      </c>
      <c r="G75" s="34">
        <f t="shared" si="162"/>
        <v>102.43710093045286</v>
      </c>
      <c r="H75" s="34">
        <f t="shared" si="163"/>
        <v>102.03509181509509</v>
      </c>
      <c r="I75" s="34">
        <f t="shared" si="164"/>
        <v>101.77425039175222</v>
      </c>
      <c r="J75" s="34">
        <f t="shared" si="165"/>
        <v>101.4535977169556</v>
      </c>
      <c r="K75" s="34">
        <f t="shared" si="166"/>
        <v>101.28814130486373</v>
      </c>
      <c r="L75" s="34">
        <f t="shared" si="167"/>
        <v>100.71001827438455</v>
      </c>
      <c r="M75" s="34">
        <f t="shared" si="168"/>
        <v>100.00830000000001</v>
      </c>
      <c r="O75" s="36">
        <v>2015</v>
      </c>
      <c r="P75" s="34">
        <f t="shared" si="144"/>
        <v>100.00830000000001</v>
      </c>
      <c r="Q75" s="34">
        <f t="shared" si="145"/>
        <v>102.54376972893749</v>
      </c>
      <c r="R75" s="34">
        <f t="shared" si="146"/>
        <v>102.51273819350354</v>
      </c>
      <c r="S75" s="34">
        <f t="shared" si="147"/>
        <v>101.23588625810876</v>
      </c>
      <c r="T75" s="34">
        <f t="shared" si="148"/>
        <v>100.79826798252321</v>
      </c>
      <c r="U75" s="34">
        <f t="shared" si="149"/>
        <v>100.57907599137195</v>
      </c>
      <c r="V75" s="34">
        <f t="shared" si="150"/>
        <v>100.18435859898649</v>
      </c>
      <c r="W75" s="34">
        <f t="shared" si="151"/>
        <v>99.928248370350573</v>
      </c>
      <c r="X75" s="34">
        <f t="shared" si="152"/>
        <v>99.613411758885917</v>
      </c>
      <c r="Y75" s="34">
        <f t="shared" si="153"/>
        <v>99.450956428796616</v>
      </c>
      <c r="Z75" s="34">
        <f t="shared" si="154"/>
        <v>98.883319511246555</v>
      </c>
      <c r="AA75" s="34">
        <f t="shared" si="154"/>
        <v>98.194329145424163</v>
      </c>
      <c r="AC75" s="34">
        <v>99.991666666666674</v>
      </c>
    </row>
    <row r="76" spans="1:29" x14ac:dyDescent="0.35">
      <c r="A76" s="36">
        <v>2016</v>
      </c>
      <c r="B76" s="34">
        <f t="shared" si="157"/>
        <v>102.46489640691551</v>
      </c>
      <c r="C76" s="34">
        <f t="shared" si="158"/>
        <v>104.82484670528024</v>
      </c>
      <c r="D76" s="34">
        <f t="shared" si="159"/>
        <v>104.81562369473062</v>
      </c>
      <c r="E76" s="34">
        <f t="shared" si="160"/>
        <v>103.58215203010172</v>
      </c>
      <c r="F76" s="34">
        <f t="shared" si="161"/>
        <v>103.19247195341934</v>
      </c>
      <c r="G76" s="34">
        <f t="shared" si="162"/>
        <v>103.0048543318248</v>
      </c>
      <c r="H76" s="34">
        <f t="shared" si="163"/>
        <v>102.61643102586017</v>
      </c>
      <c r="I76" s="34">
        <f t="shared" si="164"/>
        <v>102.3902431146348</v>
      </c>
      <c r="J76" s="34">
        <f t="shared" si="165"/>
        <v>102.07305622718116</v>
      </c>
      <c r="K76" s="34">
        <f t="shared" si="166"/>
        <v>101.94740521672031</v>
      </c>
      <c r="L76" s="34">
        <f t="shared" si="167"/>
        <v>101.45690820113745</v>
      </c>
      <c r="M76" s="34">
        <f t="shared" si="168"/>
        <v>100.65</v>
      </c>
      <c r="O76" s="36">
        <v>2016</v>
      </c>
      <c r="P76" s="34">
        <f t="shared" si="144"/>
        <v>100.65</v>
      </c>
      <c r="Q76" s="34">
        <f t="shared" si="145"/>
        <v>102.96814997974641</v>
      </c>
      <c r="R76" s="34">
        <f t="shared" si="146"/>
        <v>102.95909033059465</v>
      </c>
      <c r="S76" s="34">
        <f t="shared" si="147"/>
        <v>101.7474663754806</v>
      </c>
      <c r="T76" s="34">
        <f t="shared" si="148"/>
        <v>101.36468845744784</v>
      </c>
      <c r="U76" s="34">
        <f t="shared" si="149"/>
        <v>101.1803939890428</v>
      </c>
      <c r="V76" s="34">
        <f t="shared" si="150"/>
        <v>100.79885058133677</v>
      </c>
      <c r="W76" s="34">
        <f t="shared" si="151"/>
        <v>100.57666899463585</v>
      </c>
      <c r="X76" s="34">
        <f t="shared" si="152"/>
        <v>100.26510023946503</v>
      </c>
      <c r="Y76" s="34">
        <f t="shared" si="153"/>
        <v>100.1416748064986</v>
      </c>
      <c r="Z76" s="34">
        <f t="shared" si="154"/>
        <v>99.659865656735164</v>
      </c>
      <c r="AA76" s="34">
        <f t="shared" si="154"/>
        <v>98.867249714179025</v>
      </c>
      <c r="AC76" s="34">
        <v>100.72500000000001</v>
      </c>
    </row>
    <row r="77" spans="1:29" x14ac:dyDescent="0.35">
      <c r="A77" s="36">
        <v>2017</v>
      </c>
      <c r="B77" s="34">
        <f t="shared" si="157"/>
        <v>105.25705012738264</v>
      </c>
      <c r="C77" s="34">
        <f t="shared" si="158"/>
        <v>107.66728416356106</v>
      </c>
      <c r="D77" s="34">
        <f t="shared" si="159"/>
        <v>107.68247574250591</v>
      </c>
      <c r="E77" s="34">
        <f t="shared" si="160"/>
        <v>106.43347297632509</v>
      </c>
      <c r="F77" s="34">
        <f t="shared" si="161"/>
        <v>106.03746933306478</v>
      </c>
      <c r="G77" s="34">
        <f t="shared" si="162"/>
        <v>105.82978027526228</v>
      </c>
      <c r="H77" s="34">
        <f t="shared" si="163"/>
        <v>105.42473692965257</v>
      </c>
      <c r="I77" s="34">
        <f t="shared" si="164"/>
        <v>105.19625050974304</v>
      </c>
      <c r="J77" s="34">
        <f t="shared" si="165"/>
        <v>104.87270052312476</v>
      </c>
      <c r="K77" s="34">
        <f t="shared" si="166"/>
        <v>104.74832648093941</v>
      </c>
      <c r="L77" s="34">
        <f t="shared" si="167"/>
        <v>104.15703486634014</v>
      </c>
      <c r="M77" s="34">
        <f t="shared" si="168"/>
        <v>103.3584</v>
      </c>
      <c r="O77" s="36">
        <v>2017</v>
      </c>
      <c r="P77" s="34">
        <f t="shared" si="144"/>
        <v>103.3584</v>
      </c>
      <c r="Q77" s="34">
        <f t="shared" si="145"/>
        <v>105.72515769749828</v>
      </c>
      <c r="R77" s="34">
        <f t="shared" si="146"/>
        <v>105.74007524735657</v>
      </c>
      <c r="S77" s="34">
        <f t="shared" si="147"/>
        <v>104.51360227142011</v>
      </c>
      <c r="T77" s="34">
        <f t="shared" si="148"/>
        <v>104.1247418301288</v>
      </c>
      <c r="U77" s="34">
        <f t="shared" si="149"/>
        <v>103.92079911383573</v>
      </c>
      <c r="V77" s="34">
        <f t="shared" si="150"/>
        <v>103.52306203036055</v>
      </c>
      <c r="W77" s="34">
        <f t="shared" si="151"/>
        <v>103.29869709941295</v>
      </c>
      <c r="X77" s="34">
        <f t="shared" si="152"/>
        <v>102.98098337955841</v>
      </c>
      <c r="Y77" s="34">
        <f t="shared" si="153"/>
        <v>102.85885282406353</v>
      </c>
      <c r="Z77" s="34">
        <f t="shared" si="154"/>
        <v>102.27822705938139</v>
      </c>
      <c r="AA77" s="34">
        <f t="shared" si="154"/>
        <v>101.49399814674102</v>
      </c>
      <c r="AC77" s="34">
        <v>103.31666666666666</v>
      </c>
    </row>
    <row r="78" spans="1:29" x14ac:dyDescent="0.35">
      <c r="A78" s="36">
        <v>2018</v>
      </c>
      <c r="B78" s="34">
        <f t="shared" si="157"/>
        <v>107.94477753097924</v>
      </c>
      <c r="C78" s="34">
        <f t="shared" si="158"/>
        <v>110.5634163987431</v>
      </c>
      <c r="D78" s="34">
        <f t="shared" si="159"/>
        <v>110.56692675493814</v>
      </c>
      <c r="E78" s="34">
        <f t="shared" si="160"/>
        <v>109.25083069431302</v>
      </c>
      <c r="F78" s="34">
        <f t="shared" si="161"/>
        <v>108.81641496232473</v>
      </c>
      <c r="G78" s="34">
        <f t="shared" si="162"/>
        <v>108.55534937940421</v>
      </c>
      <c r="H78" s="34">
        <f t="shared" si="163"/>
        <v>108.14875086676162</v>
      </c>
      <c r="I78" s="34">
        <f t="shared" si="164"/>
        <v>107.89074061998389</v>
      </c>
      <c r="J78" s="34">
        <f t="shared" si="165"/>
        <v>107.54528527367511</v>
      </c>
      <c r="K78" s="34">
        <f t="shared" si="166"/>
        <v>107.3888902614333</v>
      </c>
      <c r="L78" s="34">
        <f t="shared" si="167"/>
        <v>106.70268194341463</v>
      </c>
      <c r="M78" s="34">
        <f t="shared" si="168"/>
        <v>105.91670000000001</v>
      </c>
      <c r="O78" s="36">
        <v>2018</v>
      </c>
      <c r="P78" s="34">
        <f t="shared" si="144"/>
        <v>105.91670000000001</v>
      </c>
      <c r="Q78" s="34">
        <f t="shared" si="145"/>
        <v>108.48613961263607</v>
      </c>
      <c r="R78" s="34">
        <f t="shared" si="146"/>
        <v>108.48958401589954</v>
      </c>
      <c r="S78" s="34">
        <f t="shared" si="147"/>
        <v>107.19821490279533</v>
      </c>
      <c r="T78" s="34">
        <f t="shared" si="148"/>
        <v>106.77196101805247</v>
      </c>
      <c r="U78" s="34">
        <f t="shared" si="149"/>
        <v>106.51580036203015</v>
      </c>
      <c r="V78" s="34">
        <f t="shared" si="150"/>
        <v>106.11684106386816</v>
      </c>
      <c r="W78" s="34">
        <f t="shared" si="151"/>
        <v>105.8636783400204</v>
      </c>
      <c r="X78" s="34">
        <f t="shared" si="152"/>
        <v>105.52471344412368</v>
      </c>
      <c r="Y78" s="34">
        <f t="shared" si="153"/>
        <v>105.37125679738264</v>
      </c>
      <c r="Z78" s="34">
        <f t="shared" si="154"/>
        <v>104.69794103149272</v>
      </c>
      <c r="AA78" s="34">
        <f t="shared" si="154"/>
        <v>103.92672619729501</v>
      </c>
      <c r="AC78" s="34">
        <v>105.875</v>
      </c>
    </row>
    <row r="79" spans="1:29" x14ac:dyDescent="0.35">
      <c r="A79" s="36">
        <v>2019</v>
      </c>
      <c r="B79" s="34">
        <f t="shared" si="157"/>
        <v>109.87809325356912</v>
      </c>
      <c r="C79" s="34">
        <f t="shared" si="158"/>
        <v>112.65198239147983</v>
      </c>
      <c r="D79" s="34">
        <f t="shared" si="159"/>
        <v>112.64039439982055</v>
      </c>
      <c r="E79" s="34">
        <f t="shared" si="160"/>
        <v>111.26175248097772</v>
      </c>
      <c r="F79" s="34">
        <f t="shared" si="161"/>
        <v>110.79651601067637</v>
      </c>
      <c r="G79" s="34">
        <f t="shared" si="162"/>
        <v>110.50663340563027</v>
      </c>
      <c r="H79" s="34">
        <f t="shared" si="163"/>
        <v>110.07988160540104</v>
      </c>
      <c r="I79" s="34">
        <f t="shared" si="164"/>
        <v>109.81754633189499</v>
      </c>
      <c r="J79" s="34">
        <f t="shared" si="165"/>
        <v>109.44036395071039</v>
      </c>
      <c r="K79" s="34">
        <f t="shared" si="166"/>
        <v>109.28585157634376</v>
      </c>
      <c r="L79" s="34">
        <f t="shared" si="167"/>
        <v>108.58427477226202</v>
      </c>
      <c r="M79" s="34">
        <f t="shared" si="168"/>
        <v>107.8</v>
      </c>
      <c r="O79" s="36">
        <v>2019</v>
      </c>
      <c r="P79" s="34">
        <f t="shared" si="144"/>
        <v>107.8</v>
      </c>
      <c r="Q79" s="34">
        <f t="shared" si="145"/>
        <v>110.52142735837894</v>
      </c>
      <c r="R79" s="34">
        <f t="shared" si="146"/>
        <v>110.51005852712349</v>
      </c>
      <c r="S79" s="34">
        <f t="shared" si="147"/>
        <v>109.15749047237678</v>
      </c>
      <c r="T79" s="34">
        <f t="shared" si="148"/>
        <v>108.70105288765508</v>
      </c>
      <c r="U79" s="34">
        <f t="shared" si="149"/>
        <v>108.41665275020588</v>
      </c>
      <c r="V79" s="34">
        <f t="shared" si="150"/>
        <v>107.99797198589242</v>
      </c>
      <c r="W79" s="34">
        <f t="shared" si="151"/>
        <v>107.74059818510494</v>
      </c>
      <c r="X79" s="34">
        <f t="shared" si="152"/>
        <v>107.37054934745477</v>
      </c>
      <c r="Y79" s="34">
        <f t="shared" si="153"/>
        <v>107.21895922185726</v>
      </c>
      <c r="Z79" s="34">
        <f t="shared" si="154"/>
        <v>106.53065114114206</v>
      </c>
      <c r="AA79" s="34">
        <f t="shared" si="154"/>
        <v>105.76120913549367</v>
      </c>
      <c r="AC79" s="34">
        <v>107.94166666666666</v>
      </c>
    </row>
    <row r="80" spans="1:29" x14ac:dyDescent="0.35">
      <c r="A80" s="36">
        <v>2020</v>
      </c>
      <c r="B80" s="34">
        <f t="shared" si="157"/>
        <v>110.81115448210596</v>
      </c>
      <c r="C80" s="34">
        <f t="shared" si="158"/>
        <v>113.4442934571093</v>
      </c>
      <c r="D80" s="34">
        <f t="shared" si="159"/>
        <v>113.41123877801138</v>
      </c>
      <c r="E80" s="34">
        <f t="shared" si="160"/>
        <v>112.09637481314832</v>
      </c>
      <c r="F80" s="34">
        <f t="shared" si="161"/>
        <v>111.6058006590907</v>
      </c>
      <c r="G80" s="34">
        <f t="shared" si="162"/>
        <v>111.4014215136929</v>
      </c>
      <c r="H80" s="34">
        <f t="shared" si="163"/>
        <v>110.96898847444658</v>
      </c>
      <c r="I80" s="34">
        <f t="shared" si="164"/>
        <v>110.71850575555962</v>
      </c>
      <c r="J80" s="34">
        <f t="shared" si="165"/>
        <v>110.41140266554963</v>
      </c>
      <c r="K80" s="34">
        <f t="shared" si="166"/>
        <v>110.28912680533064</v>
      </c>
      <c r="L80" s="34">
        <f t="shared" si="167"/>
        <v>109.65726591014565</v>
      </c>
      <c r="M80" s="34">
        <f t="shared" si="168"/>
        <v>108.75</v>
      </c>
      <c r="O80" s="36">
        <v>2020</v>
      </c>
      <c r="P80" s="34">
        <f t="shared" si="144"/>
        <v>108.75</v>
      </c>
      <c r="Q80" s="34">
        <f t="shared" si="145"/>
        <v>111.33416099777982</v>
      </c>
      <c r="R80" s="34">
        <f t="shared" si="146"/>
        <v>111.30172115570166</v>
      </c>
      <c r="S80" s="34">
        <f t="shared" si="147"/>
        <v>110.01131445569793</v>
      </c>
      <c r="T80" s="34">
        <f t="shared" si="148"/>
        <v>109.52986527756144</v>
      </c>
      <c r="U80" s="34">
        <f t="shared" si="149"/>
        <v>109.32928770785837</v>
      </c>
      <c r="V80" s="34">
        <f t="shared" si="150"/>
        <v>108.90489818463911</v>
      </c>
      <c r="W80" s="34">
        <f t="shared" si="151"/>
        <v>108.65907459579314</v>
      </c>
      <c r="X80" s="34">
        <f t="shared" si="152"/>
        <v>108.35768380896599</v>
      </c>
      <c r="Y80" s="34">
        <f t="shared" si="153"/>
        <v>108.23768235368865</v>
      </c>
      <c r="Z80" s="34">
        <f t="shared" si="154"/>
        <v>107.61757445324743</v>
      </c>
      <c r="AA80" s="34">
        <f t="shared" si="154"/>
        <v>106.72718423766428</v>
      </c>
      <c r="AC80" s="34">
        <v>108.58333333333333</v>
      </c>
    </row>
    <row r="81" spans="1:32" x14ac:dyDescent="0.35">
      <c r="A81" s="36">
        <v>2021</v>
      </c>
      <c r="B81" s="34">
        <f t="shared" si="157"/>
        <v>113.82188223770454</v>
      </c>
      <c r="C81" s="34">
        <f t="shared" si="158"/>
        <v>116.47273751526318</v>
      </c>
      <c r="D81" s="34">
        <f t="shared" si="159"/>
        <v>116.42121530233499</v>
      </c>
      <c r="E81" s="34">
        <f t="shared" si="160"/>
        <v>115.12554536064472</v>
      </c>
      <c r="F81" s="34">
        <f t="shared" si="161"/>
        <v>114.6425872447001</v>
      </c>
      <c r="G81" s="34">
        <f t="shared" si="162"/>
        <v>114.46184837709642</v>
      </c>
      <c r="H81" s="34">
        <f t="shared" si="163"/>
        <v>114.03617041227767</v>
      </c>
      <c r="I81" s="34">
        <f t="shared" si="164"/>
        <v>113.75404149839559</v>
      </c>
      <c r="J81" s="34">
        <f t="shared" si="165"/>
        <v>113.44276710518717</v>
      </c>
      <c r="K81" s="34">
        <f t="shared" si="166"/>
        <v>113.29354408633711</v>
      </c>
      <c r="L81" s="34">
        <f t="shared" si="167"/>
        <v>112.58465126896905</v>
      </c>
      <c r="M81" s="34">
        <f t="shared" si="168"/>
        <v>111.5583</v>
      </c>
      <c r="O81" s="36">
        <v>2021</v>
      </c>
      <c r="P81" s="34">
        <f t="shared" si="144"/>
        <v>111.5583</v>
      </c>
      <c r="Q81" s="34">
        <f t="shared" si="145"/>
        <v>114.15643756807221</v>
      </c>
      <c r="R81" s="34">
        <f t="shared" si="146"/>
        <v>114.10593998031923</v>
      </c>
      <c r="S81" s="34">
        <f t="shared" si="147"/>
        <v>112.83603710035979</v>
      </c>
      <c r="T81" s="34">
        <f t="shared" si="148"/>
        <v>112.36268359990136</v>
      </c>
      <c r="U81" s="34">
        <f t="shared" si="149"/>
        <v>112.18553909642456</v>
      </c>
      <c r="V81" s="34">
        <f t="shared" si="150"/>
        <v>111.76832661347278</v>
      </c>
      <c r="W81" s="34">
        <f t="shared" si="151"/>
        <v>111.49180841332739</v>
      </c>
      <c r="X81" s="34">
        <f t="shared" si="152"/>
        <v>111.18672435165861</v>
      </c>
      <c r="Y81" s="34">
        <f t="shared" si="153"/>
        <v>111.04046893946102</v>
      </c>
      <c r="Z81" s="34">
        <f t="shared" si="154"/>
        <v>110.34567391382058</v>
      </c>
      <c r="AA81" s="34">
        <f t="shared" si="154"/>
        <v>109.33973375083932</v>
      </c>
      <c r="AC81" s="34">
        <v>111.19999999999999</v>
      </c>
    </row>
    <row r="82" spans="1:32" x14ac:dyDescent="0.35">
      <c r="A82" s="36">
        <v>2022</v>
      </c>
      <c r="B82" s="34">
        <f t="shared" si="157"/>
        <v>126.23278385000238</v>
      </c>
      <c r="C82" s="34">
        <f t="shared" si="158"/>
        <v>132.08624444293216</v>
      </c>
      <c r="D82" s="34">
        <f t="shared" si="159"/>
        <v>131.00964715928987</v>
      </c>
      <c r="E82" s="34">
        <f t="shared" si="160"/>
        <v>128.70324101384259</v>
      </c>
      <c r="F82" s="34">
        <f t="shared" si="161"/>
        <v>127.84416276179685</v>
      </c>
      <c r="G82" s="34">
        <f t="shared" si="162"/>
        <v>127.40089517364667</v>
      </c>
      <c r="H82" s="34">
        <f t="shared" si="163"/>
        <v>126.37802305746688</v>
      </c>
      <c r="I82" s="34">
        <f t="shared" si="164"/>
        <v>125.92213040829219</v>
      </c>
      <c r="J82" s="34">
        <f t="shared" si="165"/>
        <v>125.64385538944562</v>
      </c>
      <c r="K82" s="34">
        <f t="shared" si="166"/>
        <v>124.82184648266939</v>
      </c>
      <c r="L82" s="34">
        <f t="shared" si="167"/>
        <v>123.57093513600587</v>
      </c>
      <c r="M82" s="34">
        <f t="shared" si="168"/>
        <v>121.6583</v>
      </c>
      <c r="O82" s="36">
        <v>2022</v>
      </c>
      <c r="P82" s="34">
        <f t="shared" si="144"/>
        <v>121.6583</v>
      </c>
      <c r="Q82" s="34">
        <f t="shared" si="145"/>
        <v>127.29964009512945</v>
      </c>
      <c r="R82" s="34">
        <f t="shared" si="146"/>
        <v>126.26205705752352</v>
      </c>
      <c r="S82" s="34">
        <f t="shared" si="147"/>
        <v>124.03923155841952</v>
      </c>
      <c r="T82" s="34">
        <f t="shared" si="148"/>
        <v>123.21128499395932</v>
      </c>
      <c r="U82" s="34">
        <f t="shared" si="149"/>
        <v>122.78408074816268</v>
      </c>
      <c r="V82" s="34">
        <f t="shared" si="150"/>
        <v>121.79827595976711</v>
      </c>
      <c r="W82" s="34">
        <f t="shared" si="151"/>
        <v>121.35890416593109</v>
      </c>
      <c r="X82" s="34">
        <f t="shared" si="152"/>
        <v>121.09071340998952</v>
      </c>
      <c r="Y82" s="34">
        <f t="shared" si="153"/>
        <v>120.29849285417824</v>
      </c>
      <c r="Z82" s="34">
        <f t="shared" si="154"/>
        <v>119.09291262973647</v>
      </c>
      <c r="AA82" s="34">
        <f t="shared" si="154"/>
        <v>117.24958847835566</v>
      </c>
      <c r="AC82" s="34">
        <v>122.56666666666666</v>
      </c>
    </row>
    <row r="83" spans="1:32" x14ac:dyDescent="0.35">
      <c r="A83" s="36">
        <v>2023</v>
      </c>
      <c r="B83" s="34">
        <f t="shared" si="157"/>
        <v>135.56780439499246</v>
      </c>
      <c r="C83" s="34">
        <f t="shared" si="158"/>
        <v>142.66263106271563</v>
      </c>
      <c r="D83" s="34">
        <f t="shared" si="159"/>
        <v>141.52571252374585</v>
      </c>
      <c r="E83" s="34">
        <f t="shared" si="160"/>
        <v>138.66805539114594</v>
      </c>
      <c r="F83" s="34">
        <f t="shared" si="161"/>
        <v>137.44412224086952</v>
      </c>
      <c r="G83" s="34">
        <f t="shared" si="162"/>
        <v>136.87715159364896</v>
      </c>
      <c r="H83" s="34">
        <f t="shared" si="163"/>
        <v>135.69582415916619</v>
      </c>
      <c r="I83" s="34">
        <f t="shared" si="164"/>
        <v>135.1020745922167</v>
      </c>
      <c r="J83" s="34">
        <f t="shared" si="165"/>
        <v>134.80677110130466</v>
      </c>
      <c r="K83" s="34">
        <f t="shared" si="166"/>
        <v>133.81671515130611</v>
      </c>
      <c r="L83" s="34">
        <f t="shared" si="167"/>
        <v>132.41684010360851</v>
      </c>
      <c r="M83" s="34">
        <f t="shared" si="168"/>
        <v>130.54169999999999</v>
      </c>
      <c r="O83" s="36">
        <v>2023</v>
      </c>
      <c r="P83" s="34">
        <f t="shared" si="144"/>
        <v>130.54169999999999</v>
      </c>
      <c r="Q83" s="34">
        <f t="shared" si="145"/>
        <v>137.37348973461434</v>
      </c>
      <c r="R83" s="34">
        <f t="shared" si="146"/>
        <v>136.2787218470545</v>
      </c>
      <c r="S83" s="34">
        <f t="shared" si="147"/>
        <v>133.52701083593706</v>
      </c>
      <c r="T83" s="34">
        <f t="shared" si="148"/>
        <v>132.34845435760155</v>
      </c>
      <c r="U83" s="34">
        <f t="shared" si="149"/>
        <v>131.80250384620561</v>
      </c>
      <c r="V83" s="34">
        <f t="shared" si="150"/>
        <v>130.66497349936378</v>
      </c>
      <c r="W83" s="34">
        <f t="shared" si="151"/>
        <v>130.09323688247486</v>
      </c>
      <c r="X83" s="34">
        <f t="shared" si="152"/>
        <v>129.80888161175534</v>
      </c>
      <c r="Y83" s="34">
        <f t="shared" si="153"/>
        <v>128.8555314606283</v>
      </c>
      <c r="Z83" s="34">
        <f t="shared" si="154"/>
        <v>127.5075560373369</v>
      </c>
      <c r="AA83" s="34">
        <f t="shared" si="154"/>
        <v>125.70193575783436</v>
      </c>
      <c r="AC83" s="34">
        <v>133.62500000000003</v>
      </c>
    </row>
    <row r="84" spans="1:32" x14ac:dyDescent="0.35">
      <c r="A84" s="36">
        <v>2024</v>
      </c>
      <c r="B84" s="34">
        <f t="shared" si="157"/>
        <v>138.2643532529687</v>
      </c>
      <c r="C84" s="34">
        <f t="shared" si="158"/>
        <v>144.17486307847045</v>
      </c>
      <c r="D84" s="34">
        <f t="shared" si="159"/>
        <v>143.29187997148063</v>
      </c>
      <c r="E84" s="34">
        <f t="shared" si="160"/>
        <v>140.8378567699443</v>
      </c>
      <c r="F84" s="34">
        <f t="shared" si="161"/>
        <v>139.76922922246723</v>
      </c>
      <c r="G84" s="34">
        <f t="shared" si="162"/>
        <v>139.38187271152043</v>
      </c>
      <c r="H84" s="34">
        <f t="shared" si="163"/>
        <v>138.42473391026053</v>
      </c>
      <c r="I84" s="34">
        <f t="shared" si="164"/>
        <v>137.88548317631302</v>
      </c>
      <c r="J84" s="34">
        <f t="shared" si="165"/>
        <v>137.69976117756417</v>
      </c>
      <c r="K84" s="34">
        <f t="shared" si="166"/>
        <v>136.7977685678749</v>
      </c>
      <c r="L84" s="34">
        <f t="shared" si="167"/>
        <v>135.64547178341024</v>
      </c>
      <c r="M84" s="34">
        <f t="shared" si="168"/>
        <v>133.85830000000001</v>
      </c>
      <c r="O84" s="36">
        <v>2024</v>
      </c>
      <c r="P84" s="34">
        <f t="shared" si="144"/>
        <v>133.85830000000001</v>
      </c>
      <c r="Q84" s="34">
        <f t="shared" si="145"/>
        <v>139.58046033099606</v>
      </c>
      <c r="R84" s="34">
        <f t="shared" si="146"/>
        <v>138.72561513880015</v>
      </c>
      <c r="S84" s="34">
        <f t="shared" si="147"/>
        <v>136.3497939948123</v>
      </c>
      <c r="T84" s="34">
        <f t="shared" si="148"/>
        <v>135.31522027083346</v>
      </c>
      <c r="U84" s="34">
        <f t="shared" si="149"/>
        <v>134.94020760249657</v>
      </c>
      <c r="V84" s="34">
        <f t="shared" si="150"/>
        <v>134.01356982648008</v>
      </c>
      <c r="W84" s="34">
        <f t="shared" si="151"/>
        <v>133.49150332978951</v>
      </c>
      <c r="X84" s="34">
        <f t="shared" si="152"/>
        <v>133.3116997112846</v>
      </c>
      <c r="Y84" s="34">
        <f t="shared" si="153"/>
        <v>132.43845078988934</v>
      </c>
      <c r="Z84" s="34">
        <f t="shared" si="154"/>
        <v>131.32287410627589</v>
      </c>
      <c r="AA84" s="34">
        <f t="shared" si="154"/>
        <v>129.5926539077438</v>
      </c>
      <c r="AC84" s="34">
        <v>137.89166666666665</v>
      </c>
    </row>
    <row r="85" spans="1:32" x14ac:dyDescent="0.35">
      <c r="A85" s="36">
        <v>2025</v>
      </c>
      <c r="B85" s="34">
        <f t="shared" si="157"/>
        <v>142.79517803721114</v>
      </c>
      <c r="C85" s="34">
        <f t="shared" si="158"/>
        <v>148.86794966861953</v>
      </c>
      <c r="D85" s="34">
        <f t="shared" si="159"/>
        <v>147.99444602037366</v>
      </c>
      <c r="E85" s="34">
        <f t="shared" si="160"/>
        <v>145.45191812266796</v>
      </c>
      <c r="F85" s="34">
        <f t="shared" si="161"/>
        <v>144.28876458386958</v>
      </c>
      <c r="G85" s="34">
        <f t="shared" si="162"/>
        <v>143.91113974694466</v>
      </c>
      <c r="H85" s="34">
        <f t="shared" si="163"/>
        <v>142.95020911877521</v>
      </c>
      <c r="I85" s="34">
        <f t="shared" si="164"/>
        <v>142.38175635080037</v>
      </c>
      <c r="J85" s="34">
        <f t="shared" si="165"/>
        <v>142.20819268855365</v>
      </c>
      <c r="K85" s="34">
        <f t="shared" si="166"/>
        <v>141.2772310205269</v>
      </c>
      <c r="L85" s="34">
        <f t="shared" si="167"/>
        <v>140.16062893923879</v>
      </c>
      <c r="M85" s="34">
        <f t="shared" si="168"/>
        <v>138.36670000000001</v>
      </c>
      <c r="O85" s="36">
        <v>2025</v>
      </c>
      <c r="P85" s="34">
        <f t="shared" si="144"/>
        <v>138.36670000000001</v>
      </c>
      <c r="Q85" s="34">
        <f t="shared" si="145"/>
        <v>144.2511379904245</v>
      </c>
      <c r="R85" s="34">
        <f t="shared" si="146"/>
        <v>143.40472413452912</v>
      </c>
      <c r="S85" s="34">
        <f t="shared" si="147"/>
        <v>140.94104714137606</v>
      </c>
      <c r="T85" s="34">
        <f t="shared" si="148"/>
        <v>139.81396624852604</v>
      </c>
      <c r="U85" s="34">
        <f t="shared" si="149"/>
        <v>139.44805261445555</v>
      </c>
      <c r="V85" s="34">
        <f t="shared" si="150"/>
        <v>138.51692313392024</v>
      </c>
      <c r="W85" s="34">
        <f t="shared" si="151"/>
        <v>137.96609967691217</v>
      </c>
      <c r="X85" s="34">
        <f t="shared" si="152"/>
        <v>137.79791870949367</v>
      </c>
      <c r="Y85" s="34">
        <f t="shared" si="153"/>
        <v>136.89582876778857</v>
      </c>
      <c r="Z85" s="34">
        <f t="shared" si="154"/>
        <v>135.81385564149221</v>
      </c>
      <c r="AA85" s="34">
        <f t="shared" si="154"/>
        <v>134.07556145839109</v>
      </c>
      <c r="AC85" s="34">
        <v>142.9</v>
      </c>
    </row>
    <row r="86" spans="1:32" x14ac:dyDescent="0.35">
      <c r="A86" s="36">
        <v>2026</v>
      </c>
      <c r="B86" s="34">
        <f t="shared" si="157"/>
        <v>148.57272813673552</v>
      </c>
      <c r="C86" s="34">
        <f t="shared" si="158"/>
        <v>154.92505852541828</v>
      </c>
      <c r="D86" s="34">
        <f t="shared" si="159"/>
        <v>154.00429446434279</v>
      </c>
      <c r="E86" s="34">
        <f t="shared" si="160"/>
        <v>151.35307922200874</v>
      </c>
      <c r="F86" s="34">
        <f t="shared" si="161"/>
        <v>150.19760973808823</v>
      </c>
      <c r="G86" s="34">
        <f t="shared" si="162"/>
        <v>149.77565985183938</v>
      </c>
      <c r="H86" s="34">
        <f t="shared" si="163"/>
        <v>148.75037022108305</v>
      </c>
      <c r="I86" s="34">
        <f t="shared" si="164"/>
        <v>148.16295873479118</v>
      </c>
      <c r="J86" s="34">
        <f t="shared" si="165"/>
        <v>147.97250864771922</v>
      </c>
      <c r="K86" s="34">
        <f t="shared" si="166"/>
        <v>146.99352747190792</v>
      </c>
      <c r="L86" s="34">
        <f t="shared" si="167"/>
        <v>145.73867670831964</v>
      </c>
      <c r="M86" s="34">
        <f t="shared" si="168"/>
        <v>143.83789999999999</v>
      </c>
      <c r="O86" s="36">
        <v>2026</v>
      </c>
      <c r="P86" s="34">
        <f t="shared" si="144"/>
        <v>143.83789999999999</v>
      </c>
      <c r="Q86" s="34">
        <f t="shared" si="145"/>
        <v>149.98778951655652</v>
      </c>
      <c r="R86" s="34">
        <f t="shared" si="146"/>
        <v>149.09636906139275</v>
      </c>
      <c r="S86" s="34">
        <f t="shared" si="147"/>
        <v>146.52964475278102</v>
      </c>
      <c r="T86" s="34">
        <f t="shared" si="148"/>
        <v>145.41099864480722</v>
      </c>
      <c r="U86" s="34">
        <f t="shared" si="149"/>
        <v>145.00249577685545</v>
      </c>
      <c r="V86" s="34">
        <f t="shared" si="150"/>
        <v>144.00988085196801</v>
      </c>
      <c r="W86" s="34">
        <f t="shared" si="151"/>
        <v>143.441189439461</v>
      </c>
      <c r="X86" s="34">
        <f t="shared" si="152"/>
        <v>143.25680875989218</v>
      </c>
      <c r="Y86" s="34">
        <f t="shared" si="153"/>
        <v>142.3090264970624</v>
      </c>
      <c r="Z86" s="34">
        <f t="shared" si="154"/>
        <v>141.09416626725076</v>
      </c>
      <c r="AA86" s="34">
        <f t="shared" si="154"/>
        <v>139.25396494953659</v>
      </c>
    </row>
    <row r="88" spans="1:32" s="36" customFormat="1" ht="13" x14ac:dyDescent="0.3">
      <c r="A88" s="35" t="s">
        <v>282</v>
      </c>
      <c r="H88" s="40"/>
      <c r="I88" s="40"/>
      <c r="J88" s="40"/>
      <c r="K88" s="40"/>
      <c r="L88" s="40"/>
      <c r="M88" s="40"/>
      <c r="O88" s="35" t="s">
        <v>287</v>
      </c>
      <c r="V88" s="40"/>
      <c r="W88" s="40"/>
      <c r="X88" s="40"/>
      <c r="Y88" s="40"/>
      <c r="Z88" s="40"/>
      <c r="AA88" s="40"/>
      <c r="AC88" s="35" t="s">
        <v>288</v>
      </c>
    </row>
    <row r="89" spans="1:32" s="36" customFormat="1" ht="12.5" x14ac:dyDescent="0.25">
      <c r="B89" s="36" t="s">
        <v>44</v>
      </c>
      <c r="C89" s="37" t="s">
        <v>34</v>
      </c>
      <c r="D89" s="37" t="s">
        <v>35</v>
      </c>
      <c r="E89" s="37" t="s">
        <v>36</v>
      </c>
      <c r="F89" s="37" t="s">
        <v>37</v>
      </c>
      <c r="G89" s="37" t="s">
        <v>38</v>
      </c>
      <c r="H89" s="37" t="s">
        <v>39</v>
      </c>
      <c r="I89" s="37" t="s">
        <v>40</v>
      </c>
      <c r="J89" s="37" t="s">
        <v>41</v>
      </c>
      <c r="K89" s="37" t="s">
        <v>42</v>
      </c>
      <c r="L89" s="37" t="s">
        <v>43</v>
      </c>
      <c r="M89" s="37" t="s">
        <v>173</v>
      </c>
      <c r="P89" s="36" t="s">
        <v>44</v>
      </c>
      <c r="Q89" s="37" t="s">
        <v>34</v>
      </c>
      <c r="R89" s="37" t="s">
        <v>35</v>
      </c>
      <c r="S89" s="37" t="s">
        <v>36</v>
      </c>
      <c r="T89" s="37" t="s">
        <v>37</v>
      </c>
      <c r="U89" s="37" t="s">
        <v>38</v>
      </c>
      <c r="V89" s="37" t="s">
        <v>39</v>
      </c>
      <c r="W89" s="37" t="s">
        <v>40</v>
      </c>
      <c r="X89" s="37" t="s">
        <v>41</v>
      </c>
      <c r="Y89" s="37" t="s">
        <v>42</v>
      </c>
      <c r="Z89" s="37" t="s">
        <v>43</v>
      </c>
      <c r="AA89" s="37" t="s">
        <v>173</v>
      </c>
      <c r="AD89" s="36" t="s">
        <v>289</v>
      </c>
      <c r="AE89" s="36" t="s">
        <v>290</v>
      </c>
      <c r="AF89" s="36" t="s">
        <v>291</v>
      </c>
    </row>
    <row r="90" spans="1:32" x14ac:dyDescent="0.35">
      <c r="A90" s="36">
        <v>1987</v>
      </c>
      <c r="O90" s="36">
        <v>1987</v>
      </c>
    </row>
    <row r="91" spans="1:32" x14ac:dyDescent="0.35">
      <c r="A91" s="36">
        <v>1988</v>
      </c>
      <c r="O91" s="36">
        <v>1988</v>
      </c>
    </row>
    <row r="92" spans="1:32" x14ac:dyDescent="0.35">
      <c r="A92" s="36">
        <v>1989</v>
      </c>
      <c r="O92" s="36">
        <v>1989</v>
      </c>
    </row>
    <row r="93" spans="1:32" x14ac:dyDescent="0.35">
      <c r="A93" s="36">
        <v>1990</v>
      </c>
      <c r="O93" s="36">
        <v>1990</v>
      </c>
    </row>
    <row r="94" spans="1:32" x14ac:dyDescent="0.35">
      <c r="A94" s="36">
        <v>1991</v>
      </c>
      <c r="O94" s="36">
        <v>1991</v>
      </c>
    </row>
    <row r="95" spans="1:32" x14ac:dyDescent="0.35">
      <c r="A95" s="36">
        <v>1992</v>
      </c>
      <c r="O95" s="36">
        <v>1992</v>
      </c>
    </row>
    <row r="96" spans="1:32" x14ac:dyDescent="0.35">
      <c r="A96" s="36">
        <v>1993</v>
      </c>
      <c r="O96" s="36">
        <v>1993</v>
      </c>
    </row>
    <row r="97" spans="1:27" x14ac:dyDescent="0.35">
      <c r="A97" s="36">
        <v>1994</v>
      </c>
      <c r="O97" s="36">
        <v>1994</v>
      </c>
    </row>
    <row r="98" spans="1:27" x14ac:dyDescent="0.35">
      <c r="A98" s="36">
        <v>1995</v>
      </c>
      <c r="O98" s="36">
        <v>1995</v>
      </c>
    </row>
    <row r="99" spans="1:27" x14ac:dyDescent="0.35">
      <c r="A99" s="36">
        <v>1996</v>
      </c>
      <c r="B99" s="34">
        <f>100*(P56/P$75)</f>
        <v>68.810958690428691</v>
      </c>
      <c r="C99" s="34">
        <f t="shared" ref="C99:L99" si="169">100*(Q56/Q$75)</f>
        <v>67.018187803319236</v>
      </c>
      <c r="D99" s="34">
        <f t="shared" si="169"/>
        <v>67.037922792717978</v>
      </c>
      <c r="E99" s="34">
        <f t="shared" si="169"/>
        <v>67.815646101296096</v>
      </c>
      <c r="F99" s="34">
        <f t="shared" si="169"/>
        <v>68.142226093783094</v>
      </c>
      <c r="G99" s="34">
        <f t="shared" si="169"/>
        <v>68.263081781097739</v>
      </c>
      <c r="H99" s="34">
        <f t="shared" si="169"/>
        <v>68.623654393530117</v>
      </c>
      <c r="I99" s="34">
        <f t="shared" si="169"/>
        <v>68.791516225343926</v>
      </c>
      <c r="J99" s="34">
        <f t="shared" si="169"/>
        <v>69.034007339201068</v>
      </c>
      <c r="K99" s="34">
        <f t="shared" si="169"/>
        <v>69.222575721364635</v>
      </c>
      <c r="L99" s="34">
        <f t="shared" si="169"/>
        <v>69.852477821309009</v>
      </c>
      <c r="M99" s="34">
        <f>100*(B13/B$32)</f>
        <v>68.810958690428691</v>
      </c>
      <c r="O99" s="36">
        <v>1996</v>
      </c>
    </row>
    <row r="100" spans="1:27" x14ac:dyDescent="0.35">
      <c r="A100" s="36">
        <v>1997</v>
      </c>
      <c r="B100" s="34">
        <f t="shared" ref="B100:B129" si="170">100*(P57/P$75)</f>
        <v>70.060854949039225</v>
      </c>
      <c r="C100" s="34">
        <f t="shared" ref="C100:C129" si="171">100*(Q57/Q$75)</f>
        <v>68.050789104652821</v>
      </c>
      <c r="D100" s="34">
        <f t="shared" ref="D100:D129" si="172">100*(R57/R$75)</f>
        <v>68.079114189487299</v>
      </c>
      <c r="E100" s="34">
        <f t="shared" ref="E100:E129" si="173">100*(S57/S$75)</f>
        <v>68.956853981633273</v>
      </c>
      <c r="F100" s="34">
        <f t="shared" ref="F100:F129" si="174">100*(T57/T$75)</f>
        <v>69.346165084167566</v>
      </c>
      <c r="G100" s="34">
        <f t="shared" ref="G100:G129" si="175">100*(U57/U$75)</f>
        <v>69.506528876084289</v>
      </c>
      <c r="H100" s="34">
        <f t="shared" ref="H100:H129" si="176">100*(V57/V$75)</f>
        <v>69.877036447305287</v>
      </c>
      <c r="I100" s="34">
        <f t="shared" ref="I100:I129" si="177">100*(W57/W$75)</f>
        <v>70.066506204562643</v>
      </c>
      <c r="J100" s="34">
        <f t="shared" ref="J100:J129" si="178">100*(X57/X$75)</f>
        <v>70.33378669488323</v>
      </c>
      <c r="K100" s="34">
        <f t="shared" ref="K100:K129" si="179">100*(Y57/Y$75)</f>
        <v>70.512842363306476</v>
      </c>
      <c r="L100" s="34">
        <f t="shared" ref="L100:L129" si="180">100*(Z57/Z$75)</f>
        <v>71.150648388276608</v>
      </c>
      <c r="M100" s="34">
        <f t="shared" ref="M100:M129" si="181">100*(B14/B$32)</f>
        <v>70.060854949039225</v>
      </c>
      <c r="O100" s="36">
        <v>1997</v>
      </c>
      <c r="P100" s="34">
        <f>100*((B100/B99)-1)</f>
        <v>1.8164203528011402</v>
      </c>
      <c r="Q100" s="34">
        <f t="shared" ref="Q100:AA100" si="182">100*((C100/C99)-1)</f>
        <v>1.5407777130053146</v>
      </c>
      <c r="R100" s="34">
        <f t="shared" si="182"/>
        <v>1.5531379156670688</v>
      </c>
      <c r="S100" s="34">
        <f t="shared" si="182"/>
        <v>1.6828091243612953</v>
      </c>
      <c r="T100" s="34">
        <f t="shared" si="182"/>
        <v>1.7668031401373741</v>
      </c>
      <c r="U100" s="34">
        <f t="shared" si="182"/>
        <v>1.8215513606226752</v>
      </c>
      <c r="V100" s="34">
        <f t="shared" si="182"/>
        <v>1.8264577496667656</v>
      </c>
      <c r="W100" s="34">
        <f t="shared" si="182"/>
        <v>1.8534116547775481</v>
      </c>
      <c r="X100" s="34">
        <f t="shared" si="182"/>
        <v>1.8828102348102949</v>
      </c>
      <c r="Y100" s="34">
        <f t="shared" si="182"/>
        <v>1.863939081283883</v>
      </c>
      <c r="Z100" s="34">
        <f t="shared" si="182"/>
        <v>1.8584459813844711</v>
      </c>
      <c r="AA100" s="34">
        <f t="shared" si="182"/>
        <v>1.8164203528011402</v>
      </c>
    </row>
    <row r="101" spans="1:27" x14ac:dyDescent="0.35">
      <c r="A101" s="36">
        <v>1998</v>
      </c>
      <c r="B101" s="34">
        <f t="shared" si="170"/>
        <v>71.15242434877905</v>
      </c>
      <c r="C101" s="34">
        <f t="shared" si="171"/>
        <v>69.019503119325819</v>
      </c>
      <c r="D101" s="34">
        <f t="shared" si="172"/>
        <v>69.051592618981957</v>
      </c>
      <c r="E101" s="34">
        <f t="shared" si="173"/>
        <v>69.993540387412324</v>
      </c>
      <c r="F101" s="34">
        <f t="shared" si="174"/>
        <v>70.415565983462699</v>
      </c>
      <c r="G101" s="34">
        <f t="shared" si="175"/>
        <v>70.59607359277139</v>
      </c>
      <c r="H101" s="34">
        <f t="shared" si="176"/>
        <v>70.973306486438588</v>
      </c>
      <c r="I101" s="34">
        <f t="shared" si="177"/>
        <v>71.174623837784111</v>
      </c>
      <c r="J101" s="34">
        <f t="shared" si="178"/>
        <v>71.453150309304917</v>
      </c>
      <c r="K101" s="34">
        <f t="shared" si="179"/>
        <v>71.629457183013415</v>
      </c>
      <c r="L101" s="34">
        <f t="shared" si="180"/>
        <v>72.262969706605176</v>
      </c>
      <c r="M101" s="34">
        <f t="shared" si="181"/>
        <v>71.15242434877905</v>
      </c>
      <c r="O101" s="36">
        <v>1998</v>
      </c>
      <c r="P101" s="34">
        <f t="shared" ref="P101:P129" si="183">100*((B101/B100)-1)</f>
        <v>1.5580303730718281</v>
      </c>
      <c r="Q101" s="34">
        <f t="shared" ref="Q101:Q129" si="184">100*((C101/C100)-1)</f>
        <v>1.4235162110805888</v>
      </c>
      <c r="R101" s="34">
        <f t="shared" ref="R101:R129" si="185">100*((D101/D100)-1)</f>
        <v>1.4284534119934689</v>
      </c>
      <c r="S101" s="34">
        <f t="shared" ref="S101:S129" si="186">100*((E101/E100)-1)</f>
        <v>1.5033841393854441</v>
      </c>
      <c r="T101" s="34">
        <f t="shared" ref="T101:T129" si="187">100*((F101/F100)-1)</f>
        <v>1.5421197379799745</v>
      </c>
      <c r="U101" s="34">
        <f t="shared" ref="U101:U129" si="188">100*((G101/G100)-1)</f>
        <v>1.567542983810255</v>
      </c>
      <c r="V101" s="34">
        <f t="shared" ref="V101:V129" si="189">100*((H101/H100)-1)</f>
        <v>1.5688559430536264</v>
      </c>
      <c r="W101" s="34">
        <f t="shared" ref="W101:W129" si="190">100*((I101/I100)-1)</f>
        <v>1.5815226036621111</v>
      </c>
      <c r="X101" s="34">
        <f t="shared" ref="X101:X129" si="191">100*((J101/J100)-1)</f>
        <v>1.5915019893321336</v>
      </c>
      <c r="Y101" s="34">
        <f t="shared" ref="Y101:Y129" si="192">100*((K101/K100)-1)</f>
        <v>1.5835623445070501</v>
      </c>
      <c r="Z101" s="34">
        <f t="shared" ref="Z101:Z129" si="193">100*((L101/L100)-1)</f>
        <v>1.5633326519506996</v>
      </c>
      <c r="AA101" s="34">
        <f t="shared" ref="AA101:AA129" si="194">100*((M101/M100)-1)</f>
        <v>1.5580303730718281</v>
      </c>
    </row>
    <row r="102" spans="1:27" x14ac:dyDescent="0.35">
      <c r="A102" s="36">
        <v>1999</v>
      </c>
      <c r="B102" s="34">
        <f t="shared" si="170"/>
        <v>72.110674813990428</v>
      </c>
      <c r="C102" s="34">
        <f t="shared" si="171"/>
        <v>69.934455294027842</v>
      </c>
      <c r="D102" s="34">
        <f t="shared" si="172"/>
        <v>69.966646021765214</v>
      </c>
      <c r="E102" s="34">
        <f t="shared" si="173"/>
        <v>70.952619425667777</v>
      </c>
      <c r="F102" s="34">
        <f t="shared" si="174"/>
        <v>71.389941821050343</v>
      </c>
      <c r="G102" s="34">
        <f t="shared" si="175"/>
        <v>71.588464657429014</v>
      </c>
      <c r="H102" s="34">
        <f t="shared" si="176"/>
        <v>71.937922195795039</v>
      </c>
      <c r="I102" s="34">
        <f t="shared" si="177"/>
        <v>72.154548719600541</v>
      </c>
      <c r="J102" s="34">
        <f t="shared" si="178"/>
        <v>72.434509208145954</v>
      </c>
      <c r="K102" s="34">
        <f t="shared" si="179"/>
        <v>72.593798834312452</v>
      </c>
      <c r="L102" s="34">
        <f t="shared" si="180"/>
        <v>73.187273578556017</v>
      </c>
      <c r="M102" s="34">
        <f t="shared" si="181"/>
        <v>72.110674813990428</v>
      </c>
      <c r="O102" s="36">
        <v>1999</v>
      </c>
      <c r="P102" s="34">
        <f t="shared" si="183"/>
        <v>1.3467572946132877</v>
      </c>
      <c r="Q102" s="34">
        <f t="shared" si="184"/>
        <v>1.3256429463425645</v>
      </c>
      <c r="R102" s="34">
        <f t="shared" si="185"/>
        <v>1.3251734943064974</v>
      </c>
      <c r="S102" s="34">
        <f t="shared" si="186"/>
        <v>1.3702393577278427</v>
      </c>
      <c r="T102" s="34">
        <f t="shared" si="187"/>
        <v>1.3837506295361957</v>
      </c>
      <c r="U102" s="34">
        <f t="shared" si="188"/>
        <v>1.4057312455961313</v>
      </c>
      <c r="V102" s="34">
        <f t="shared" si="189"/>
        <v>1.3591246584246042</v>
      </c>
      <c r="W102" s="34">
        <f t="shared" si="190"/>
        <v>1.3767896884847586</v>
      </c>
      <c r="X102" s="34">
        <f t="shared" si="191"/>
        <v>1.3734298552169566</v>
      </c>
      <c r="Y102" s="34">
        <f t="shared" si="192"/>
        <v>1.3462919994425615</v>
      </c>
      <c r="Z102" s="34">
        <f t="shared" si="193"/>
        <v>1.2790837073311634</v>
      </c>
      <c r="AA102" s="34">
        <f t="shared" si="194"/>
        <v>1.3467572946132877</v>
      </c>
    </row>
    <row r="103" spans="1:27" x14ac:dyDescent="0.35">
      <c r="A103" s="36">
        <v>2000</v>
      </c>
      <c r="B103" s="34">
        <f t="shared" si="170"/>
        <v>72.68563709212134</v>
      </c>
      <c r="C103" s="34">
        <f t="shared" si="171"/>
        <v>70.481059951444365</v>
      </c>
      <c r="D103" s="34">
        <f t="shared" si="172"/>
        <v>70.512621196442339</v>
      </c>
      <c r="E103" s="34">
        <f t="shared" si="173"/>
        <v>71.551984694964574</v>
      </c>
      <c r="F103" s="34">
        <f t="shared" si="174"/>
        <v>72.006354393492728</v>
      </c>
      <c r="G103" s="34">
        <f t="shared" si="175"/>
        <v>72.23220717895866</v>
      </c>
      <c r="H103" s="34">
        <f t="shared" si="176"/>
        <v>72.524663641693024</v>
      </c>
      <c r="I103" s="34">
        <f t="shared" si="177"/>
        <v>72.764578313330901</v>
      </c>
      <c r="J103" s="34">
        <f t="shared" si="178"/>
        <v>73.04247820534998</v>
      </c>
      <c r="K103" s="34">
        <f t="shared" si="179"/>
        <v>73.168326719645279</v>
      </c>
      <c r="L103" s="34">
        <f t="shared" si="180"/>
        <v>73.685251459354646</v>
      </c>
      <c r="M103" s="34">
        <f t="shared" si="181"/>
        <v>72.68563709212134</v>
      </c>
      <c r="O103" s="36">
        <v>2000</v>
      </c>
      <c r="P103" s="34">
        <f t="shared" si="183"/>
        <v>0.79733309889835624</v>
      </c>
      <c r="Q103" s="34">
        <f t="shared" si="184"/>
        <v>0.78159564569197926</v>
      </c>
      <c r="R103" s="34">
        <f t="shared" si="185"/>
        <v>0.78033635413548019</v>
      </c>
      <c r="S103" s="34">
        <f t="shared" si="186"/>
        <v>0.84474015779603118</v>
      </c>
      <c r="T103" s="34">
        <f t="shared" si="187"/>
        <v>0.86344456476448173</v>
      </c>
      <c r="U103" s="34">
        <f t="shared" si="188"/>
        <v>0.89922660670282983</v>
      </c>
      <c r="V103" s="34">
        <f t="shared" si="189"/>
        <v>0.81562189730894907</v>
      </c>
      <c r="W103" s="34">
        <f t="shared" si="190"/>
        <v>0.84544856083985653</v>
      </c>
      <c r="X103" s="34">
        <f t="shared" si="191"/>
        <v>0.83933611734288149</v>
      </c>
      <c r="Y103" s="34">
        <f t="shared" si="192"/>
        <v>0.79142832384915263</v>
      </c>
      <c r="Z103" s="34">
        <f t="shared" si="193"/>
        <v>0.68041594726728771</v>
      </c>
      <c r="AA103" s="34">
        <f t="shared" si="194"/>
        <v>0.79733309889835624</v>
      </c>
    </row>
    <row r="104" spans="1:27" x14ac:dyDescent="0.35">
      <c r="A104" s="36">
        <v>2001</v>
      </c>
      <c r="B104" s="34">
        <f t="shared" si="170"/>
        <v>73.585562398320931</v>
      </c>
      <c r="C104" s="34">
        <f t="shared" si="171"/>
        <v>71.528314143171627</v>
      </c>
      <c r="D104" s="34">
        <f t="shared" si="172"/>
        <v>71.551294195283759</v>
      </c>
      <c r="E104" s="34">
        <f t="shared" si="173"/>
        <v>72.535919714827884</v>
      </c>
      <c r="F104" s="34">
        <f t="shared" si="174"/>
        <v>72.94030935355056</v>
      </c>
      <c r="G104" s="34">
        <f t="shared" si="175"/>
        <v>73.133272863854813</v>
      </c>
      <c r="H104" s="34">
        <f t="shared" si="176"/>
        <v>73.422755976263517</v>
      </c>
      <c r="I104" s="34">
        <f t="shared" si="177"/>
        <v>73.648411895830193</v>
      </c>
      <c r="J104" s="34">
        <f t="shared" si="178"/>
        <v>73.905756594880174</v>
      </c>
      <c r="K104" s="34">
        <f t="shared" si="179"/>
        <v>74.045422551181701</v>
      </c>
      <c r="L104" s="34">
        <f t="shared" si="180"/>
        <v>74.550496346869437</v>
      </c>
      <c r="M104" s="34">
        <f t="shared" si="181"/>
        <v>73.585562398320931</v>
      </c>
      <c r="O104" s="36">
        <v>2001</v>
      </c>
      <c r="P104" s="34">
        <f t="shared" si="183"/>
        <v>1.2381060993646331</v>
      </c>
      <c r="Q104" s="34">
        <f t="shared" si="184"/>
        <v>1.4858661212654001</v>
      </c>
      <c r="R104" s="34">
        <f t="shared" si="185"/>
        <v>1.4730313257647287</v>
      </c>
      <c r="S104" s="34">
        <f t="shared" si="186"/>
        <v>1.375133092475278</v>
      </c>
      <c r="T104" s="34">
        <f t="shared" si="187"/>
        <v>1.2970451954199103</v>
      </c>
      <c r="U104" s="34">
        <f t="shared" si="188"/>
        <v>1.2474569448829298</v>
      </c>
      <c r="V104" s="34">
        <f t="shared" si="189"/>
        <v>1.2383267835718748</v>
      </c>
      <c r="W104" s="34">
        <f t="shared" si="190"/>
        <v>1.2146481199869275</v>
      </c>
      <c r="X104" s="34">
        <f t="shared" si="191"/>
        <v>1.1818854052339178</v>
      </c>
      <c r="Y104" s="34">
        <f t="shared" si="192"/>
        <v>1.1987370367196437</v>
      </c>
      <c r="Z104" s="34">
        <f t="shared" si="193"/>
        <v>1.1742443302810379</v>
      </c>
      <c r="AA104" s="34">
        <f t="shared" si="194"/>
        <v>1.2381060993646331</v>
      </c>
    </row>
    <row r="105" spans="1:27" x14ac:dyDescent="0.35">
      <c r="A105" s="36">
        <v>2002</v>
      </c>
      <c r="B105" s="34">
        <f t="shared" si="170"/>
        <v>74.493817013187908</v>
      </c>
      <c r="C105" s="34">
        <f t="shared" si="171"/>
        <v>72.470301200309322</v>
      </c>
      <c r="D105" s="34">
        <f t="shared" si="172"/>
        <v>72.49113259693803</v>
      </c>
      <c r="E105" s="34">
        <f t="shared" si="173"/>
        <v>73.453261601987592</v>
      </c>
      <c r="F105" s="34">
        <f t="shared" si="174"/>
        <v>73.842401832333181</v>
      </c>
      <c r="G105" s="34">
        <f t="shared" si="175"/>
        <v>74.021242704578256</v>
      </c>
      <c r="H105" s="34">
        <f t="shared" si="176"/>
        <v>74.324659403924059</v>
      </c>
      <c r="I105" s="34">
        <f t="shared" si="177"/>
        <v>74.543226170543761</v>
      </c>
      <c r="J105" s="34">
        <f t="shared" si="178"/>
        <v>74.798071175745392</v>
      </c>
      <c r="K105" s="34">
        <f t="shared" si="179"/>
        <v>74.950164602561458</v>
      </c>
      <c r="L105" s="34">
        <f t="shared" si="180"/>
        <v>75.477240543216922</v>
      </c>
      <c r="M105" s="34">
        <f t="shared" si="181"/>
        <v>74.493817013187908</v>
      </c>
      <c r="O105" s="36">
        <v>2002</v>
      </c>
      <c r="P105" s="34">
        <f t="shared" si="183"/>
        <v>1.2342837171652965</v>
      </c>
      <c r="Q105" s="34">
        <f t="shared" si="184"/>
        <v>1.3169429035503333</v>
      </c>
      <c r="R105" s="34">
        <f t="shared" si="185"/>
        <v>1.3135169841780758</v>
      </c>
      <c r="S105" s="34">
        <f t="shared" si="186"/>
        <v>1.2646725798283187</v>
      </c>
      <c r="T105" s="34">
        <f t="shared" si="187"/>
        <v>1.2367543910597689</v>
      </c>
      <c r="U105" s="34">
        <f t="shared" si="188"/>
        <v>1.2141803668167528</v>
      </c>
      <c r="V105" s="34">
        <f t="shared" si="189"/>
        <v>1.2283704359342229</v>
      </c>
      <c r="W105" s="34">
        <f t="shared" si="190"/>
        <v>1.2149810860541121</v>
      </c>
      <c r="X105" s="34">
        <f t="shared" si="191"/>
        <v>1.2073681699201089</v>
      </c>
      <c r="Y105" s="34">
        <f t="shared" si="192"/>
        <v>1.2218743849484737</v>
      </c>
      <c r="Z105" s="34">
        <f t="shared" si="193"/>
        <v>1.2431093577640606</v>
      </c>
      <c r="AA105" s="34">
        <f t="shared" si="194"/>
        <v>1.2342837171652965</v>
      </c>
    </row>
    <row r="106" spans="1:27" x14ac:dyDescent="0.35">
      <c r="A106" s="36">
        <v>2003</v>
      </c>
      <c r="B106" s="34">
        <f t="shared" si="170"/>
        <v>75.518731945248547</v>
      </c>
      <c r="C106" s="34">
        <f t="shared" si="171"/>
        <v>73.46415771497584</v>
      </c>
      <c r="D106" s="34">
        <f t="shared" si="172"/>
        <v>73.491702418723236</v>
      </c>
      <c r="E106" s="34">
        <f t="shared" si="173"/>
        <v>74.468803321888103</v>
      </c>
      <c r="F106" s="34">
        <f t="shared" si="174"/>
        <v>74.864913348316335</v>
      </c>
      <c r="G106" s="34">
        <f t="shared" si="175"/>
        <v>75.044881300554394</v>
      </c>
      <c r="H106" s="34">
        <f t="shared" si="176"/>
        <v>75.352324451813672</v>
      </c>
      <c r="I106" s="34">
        <f t="shared" si="177"/>
        <v>75.574635084304418</v>
      </c>
      <c r="J106" s="34">
        <f t="shared" si="178"/>
        <v>75.833294723780085</v>
      </c>
      <c r="K106" s="34">
        <f t="shared" si="179"/>
        <v>75.984905011830676</v>
      </c>
      <c r="L106" s="34">
        <f t="shared" si="180"/>
        <v>76.498352792286383</v>
      </c>
      <c r="M106" s="34">
        <f t="shared" si="181"/>
        <v>75.518731945248547</v>
      </c>
      <c r="O106" s="36">
        <v>2003</v>
      </c>
      <c r="P106" s="34">
        <f t="shared" si="183"/>
        <v>1.3758389261744997</v>
      </c>
      <c r="Q106" s="34">
        <f t="shared" si="184"/>
        <v>1.3713983496763449</v>
      </c>
      <c r="R106" s="34">
        <f t="shared" si="185"/>
        <v>1.3802651247684761</v>
      </c>
      <c r="S106" s="34">
        <f t="shared" si="186"/>
        <v>1.3825685854541137</v>
      </c>
      <c r="T106" s="34">
        <f t="shared" si="187"/>
        <v>1.3847213668711333</v>
      </c>
      <c r="U106" s="34">
        <f t="shared" si="188"/>
        <v>1.3828984202028716</v>
      </c>
      <c r="V106" s="34">
        <f t="shared" si="189"/>
        <v>1.3826703763345494</v>
      </c>
      <c r="W106" s="34">
        <f t="shared" si="190"/>
        <v>1.3836386842192017</v>
      </c>
      <c r="X106" s="34">
        <f t="shared" si="191"/>
        <v>1.3840243896160453</v>
      </c>
      <c r="Y106" s="34">
        <f t="shared" si="192"/>
        <v>1.380571229904759</v>
      </c>
      <c r="Z106" s="34">
        <f t="shared" si="193"/>
        <v>1.3528743787139197</v>
      </c>
      <c r="AA106" s="34">
        <f t="shared" si="194"/>
        <v>1.3758389261744997</v>
      </c>
    </row>
    <row r="107" spans="1:27" x14ac:dyDescent="0.35">
      <c r="A107" s="36">
        <v>2004</v>
      </c>
      <c r="B107" s="34">
        <f t="shared" si="170"/>
        <v>76.535317568641787</v>
      </c>
      <c r="C107" s="34">
        <f t="shared" si="171"/>
        <v>74.530803347678912</v>
      </c>
      <c r="D107" s="34">
        <f t="shared" si="172"/>
        <v>74.538016407581125</v>
      </c>
      <c r="E107" s="34">
        <f t="shared" si="173"/>
        <v>75.530568723578568</v>
      </c>
      <c r="F107" s="34">
        <f t="shared" si="174"/>
        <v>75.895009888043148</v>
      </c>
      <c r="G107" s="34">
        <f t="shared" si="175"/>
        <v>76.075597822114162</v>
      </c>
      <c r="H107" s="34">
        <f t="shared" si="176"/>
        <v>76.380144090371445</v>
      </c>
      <c r="I107" s="34">
        <f t="shared" si="177"/>
        <v>76.590618872598839</v>
      </c>
      <c r="J107" s="34">
        <f t="shared" si="178"/>
        <v>76.842530213580957</v>
      </c>
      <c r="K107" s="34">
        <f t="shared" si="179"/>
        <v>76.996922943962147</v>
      </c>
      <c r="L107" s="34">
        <f t="shared" si="180"/>
        <v>77.482663952189398</v>
      </c>
      <c r="M107" s="34">
        <f t="shared" si="181"/>
        <v>76.535317568641787</v>
      </c>
      <c r="O107" s="36">
        <v>2004</v>
      </c>
      <c r="P107" s="34">
        <f t="shared" si="183"/>
        <v>1.3461370407149786</v>
      </c>
      <c r="Q107" s="34">
        <f t="shared" si="184"/>
        <v>1.4519265800901238</v>
      </c>
      <c r="R107" s="34">
        <f t="shared" si="185"/>
        <v>1.4237171740783205</v>
      </c>
      <c r="S107" s="34">
        <f t="shared" si="186"/>
        <v>1.425785502556054</v>
      </c>
      <c r="T107" s="34">
        <f t="shared" si="187"/>
        <v>1.3759403352731958</v>
      </c>
      <c r="U107" s="34">
        <f t="shared" si="188"/>
        <v>1.3734667890695329</v>
      </c>
      <c r="V107" s="34">
        <f t="shared" si="189"/>
        <v>1.364018490517882</v>
      </c>
      <c r="W107" s="34">
        <f t="shared" si="190"/>
        <v>1.3443449474298763</v>
      </c>
      <c r="X107" s="34">
        <f t="shared" si="191"/>
        <v>1.3308606641409648</v>
      </c>
      <c r="Y107" s="34">
        <f t="shared" si="192"/>
        <v>1.3318670754064899</v>
      </c>
      <c r="Z107" s="34">
        <f t="shared" si="193"/>
        <v>1.2867089603558979</v>
      </c>
      <c r="AA107" s="34">
        <f t="shared" si="194"/>
        <v>1.3461370407149786</v>
      </c>
    </row>
    <row r="108" spans="1:27" x14ac:dyDescent="0.35">
      <c r="A108" s="36">
        <v>2005</v>
      </c>
      <c r="B108" s="34">
        <f t="shared" si="170"/>
        <v>78.093518237986231</v>
      </c>
      <c r="C108" s="34">
        <f t="shared" si="171"/>
        <v>76.162598865292594</v>
      </c>
      <c r="D108" s="34">
        <f t="shared" si="172"/>
        <v>76.185653974609536</v>
      </c>
      <c r="E108" s="34">
        <f t="shared" si="173"/>
        <v>77.146556311936635</v>
      </c>
      <c r="F108" s="34">
        <f t="shared" si="174"/>
        <v>77.481490072370363</v>
      </c>
      <c r="G108" s="34">
        <f t="shared" si="175"/>
        <v>77.650345492038227</v>
      </c>
      <c r="H108" s="34">
        <f t="shared" si="176"/>
        <v>77.956280892724195</v>
      </c>
      <c r="I108" s="34">
        <f t="shared" si="177"/>
        <v>78.156078259821498</v>
      </c>
      <c r="J108" s="34">
        <f t="shared" si="178"/>
        <v>78.403097154267641</v>
      </c>
      <c r="K108" s="34">
        <f t="shared" si="179"/>
        <v>78.531170342154383</v>
      </c>
      <c r="L108" s="34">
        <f t="shared" si="180"/>
        <v>78.981976319188234</v>
      </c>
      <c r="M108" s="34">
        <f t="shared" si="181"/>
        <v>78.093518237986231</v>
      </c>
      <c r="O108" s="36">
        <v>2005</v>
      </c>
      <c r="P108" s="34">
        <f t="shared" si="183"/>
        <v>2.0359237001230879</v>
      </c>
      <c r="Q108" s="34">
        <f t="shared" si="184"/>
        <v>2.1894242974968448</v>
      </c>
      <c r="R108" s="34">
        <f t="shared" si="185"/>
        <v>2.2104660768257789</v>
      </c>
      <c r="S108" s="34">
        <f t="shared" si="186"/>
        <v>2.1395146570021728</v>
      </c>
      <c r="T108" s="34">
        <f t="shared" si="187"/>
        <v>2.0903616544322379</v>
      </c>
      <c r="U108" s="34">
        <f t="shared" si="188"/>
        <v>2.0699773843463776</v>
      </c>
      <c r="V108" s="34">
        <f t="shared" si="189"/>
        <v>2.0635425883563263</v>
      </c>
      <c r="W108" s="34">
        <f t="shared" si="190"/>
        <v>2.0439309804072048</v>
      </c>
      <c r="X108" s="34">
        <f t="shared" si="191"/>
        <v>2.0308635547907405</v>
      </c>
      <c r="Y108" s="34">
        <f t="shared" si="192"/>
        <v>1.9926087167260631</v>
      </c>
      <c r="Z108" s="34">
        <f t="shared" si="193"/>
        <v>1.9350294511350175</v>
      </c>
      <c r="AA108" s="34">
        <f t="shared" si="194"/>
        <v>2.0359237001230879</v>
      </c>
    </row>
    <row r="109" spans="1:27" x14ac:dyDescent="0.35">
      <c r="A109" s="36">
        <v>2006</v>
      </c>
      <c r="B109" s="34">
        <f t="shared" si="170"/>
        <v>79.926696084225</v>
      </c>
      <c r="C109" s="34">
        <f t="shared" si="171"/>
        <v>78.455933727485956</v>
      </c>
      <c r="D109" s="34">
        <f t="shared" si="172"/>
        <v>78.431315999270026</v>
      </c>
      <c r="E109" s="34">
        <f t="shared" si="173"/>
        <v>79.250239757142523</v>
      </c>
      <c r="F109" s="34">
        <f t="shared" si="174"/>
        <v>79.417306311171743</v>
      </c>
      <c r="G109" s="34">
        <f t="shared" si="175"/>
        <v>79.588288239577224</v>
      </c>
      <c r="H109" s="34">
        <f t="shared" si="176"/>
        <v>79.820511227591624</v>
      </c>
      <c r="I109" s="34">
        <f t="shared" si="177"/>
        <v>79.954916249385434</v>
      </c>
      <c r="J109" s="34">
        <f t="shared" si="178"/>
        <v>80.176039259680948</v>
      </c>
      <c r="K109" s="34">
        <f t="shared" si="179"/>
        <v>80.245176292133067</v>
      </c>
      <c r="L109" s="34">
        <f t="shared" si="180"/>
        <v>80.623181165160446</v>
      </c>
      <c r="M109" s="34">
        <f t="shared" si="181"/>
        <v>79.926696084225</v>
      </c>
      <c r="O109" s="36">
        <v>2006</v>
      </c>
      <c r="P109" s="34">
        <f t="shared" si="183"/>
        <v>2.3474135723431599</v>
      </c>
      <c r="Q109" s="34">
        <f t="shared" si="184"/>
        <v>3.0111037390537776</v>
      </c>
      <c r="R109" s="34">
        <f t="shared" si="185"/>
        <v>2.9476179667748292</v>
      </c>
      <c r="S109" s="34">
        <f t="shared" si="186"/>
        <v>2.7268662993845005</v>
      </c>
      <c r="T109" s="34">
        <f t="shared" si="187"/>
        <v>2.4984241229657034</v>
      </c>
      <c r="U109" s="34">
        <f t="shared" si="188"/>
        <v>2.4957297166664949</v>
      </c>
      <c r="V109" s="34">
        <f t="shared" si="189"/>
        <v>2.3913792622210828</v>
      </c>
      <c r="W109" s="34">
        <f t="shared" si="190"/>
        <v>2.3015970473645009</v>
      </c>
      <c r="X109" s="34">
        <f t="shared" si="191"/>
        <v>2.2613164144840159</v>
      </c>
      <c r="Y109" s="34">
        <f t="shared" si="192"/>
        <v>2.1825804231757839</v>
      </c>
      <c r="Z109" s="34">
        <f t="shared" si="193"/>
        <v>2.0779485680880505</v>
      </c>
      <c r="AA109" s="34">
        <f t="shared" si="194"/>
        <v>2.3474135723431599</v>
      </c>
    </row>
    <row r="110" spans="1:27" x14ac:dyDescent="0.35">
      <c r="A110" s="36">
        <v>2007</v>
      </c>
      <c r="B110" s="34">
        <f t="shared" si="170"/>
        <v>81.776542546968599</v>
      </c>
      <c r="C110" s="34">
        <f t="shared" si="171"/>
        <v>80.42820644565316</v>
      </c>
      <c r="D110" s="34">
        <f t="shared" si="172"/>
        <v>80.455955244901105</v>
      </c>
      <c r="E110" s="34">
        <f t="shared" si="173"/>
        <v>81.204477216339896</v>
      </c>
      <c r="F110" s="34">
        <f t="shared" si="174"/>
        <v>81.329264436995658</v>
      </c>
      <c r="G110" s="34">
        <f t="shared" si="175"/>
        <v>81.472897469141486</v>
      </c>
      <c r="H110" s="34">
        <f t="shared" si="176"/>
        <v>81.674438125686706</v>
      </c>
      <c r="I110" s="34">
        <f t="shared" si="177"/>
        <v>81.816362057626179</v>
      </c>
      <c r="J110" s="34">
        <f t="shared" si="178"/>
        <v>82.005390354338843</v>
      </c>
      <c r="K110" s="34">
        <f t="shared" si="179"/>
        <v>82.052202300887274</v>
      </c>
      <c r="L110" s="34">
        <f t="shared" si="180"/>
        <v>82.386850011972186</v>
      </c>
      <c r="M110" s="34">
        <f t="shared" si="181"/>
        <v>81.776542546968599</v>
      </c>
      <c r="O110" s="36">
        <v>2007</v>
      </c>
      <c r="P110" s="34">
        <f t="shared" si="183"/>
        <v>2.3144287870904501</v>
      </c>
      <c r="Q110" s="34">
        <f t="shared" si="184"/>
        <v>2.5138604876182136</v>
      </c>
      <c r="R110" s="34">
        <f t="shared" si="185"/>
        <v>2.5814168994052311</v>
      </c>
      <c r="S110" s="34">
        <f t="shared" si="186"/>
        <v>2.4659073148371791</v>
      </c>
      <c r="T110" s="34">
        <f t="shared" si="187"/>
        <v>2.4074829714477053</v>
      </c>
      <c r="U110" s="34">
        <f t="shared" si="188"/>
        <v>2.3679479371276235</v>
      </c>
      <c r="V110" s="34">
        <f t="shared" si="189"/>
        <v>2.3226196745457894</v>
      </c>
      <c r="W110" s="34">
        <f t="shared" si="190"/>
        <v>2.3281192646550375</v>
      </c>
      <c r="X110" s="34">
        <f t="shared" si="191"/>
        <v>2.2816680788294352</v>
      </c>
      <c r="Y110" s="34">
        <f t="shared" si="192"/>
        <v>2.2518811625208635</v>
      </c>
      <c r="Z110" s="34">
        <f t="shared" si="193"/>
        <v>2.1875455933682231</v>
      </c>
      <c r="AA110" s="34">
        <f t="shared" si="194"/>
        <v>2.3144287870904501</v>
      </c>
    </row>
    <row r="111" spans="1:27" x14ac:dyDescent="0.35">
      <c r="A111" s="36">
        <v>2008</v>
      </c>
      <c r="B111" s="34">
        <f t="shared" si="170"/>
        <v>84.71796840862207</v>
      </c>
      <c r="C111" s="34">
        <f t="shared" si="171"/>
        <v>83.989619322806547</v>
      </c>
      <c r="D111" s="34">
        <f t="shared" si="172"/>
        <v>83.876825419735042</v>
      </c>
      <c r="E111" s="34">
        <f t="shared" si="173"/>
        <v>84.487971080816322</v>
      </c>
      <c r="F111" s="34">
        <f t="shared" si="174"/>
        <v>84.504614548348073</v>
      </c>
      <c r="G111" s="34">
        <f t="shared" si="175"/>
        <v>84.582200512031548</v>
      </c>
      <c r="H111" s="34">
        <f t="shared" si="176"/>
        <v>84.667698774125384</v>
      </c>
      <c r="I111" s="34">
        <f t="shared" si="177"/>
        <v>84.73325124446697</v>
      </c>
      <c r="J111" s="34">
        <f t="shared" si="178"/>
        <v>84.875342217828305</v>
      </c>
      <c r="K111" s="34">
        <f t="shared" si="179"/>
        <v>84.903670829043676</v>
      </c>
      <c r="L111" s="34">
        <f t="shared" si="180"/>
        <v>85.020094881169115</v>
      </c>
      <c r="M111" s="34">
        <f t="shared" si="181"/>
        <v>84.71796840862207</v>
      </c>
      <c r="O111" s="36">
        <v>2008</v>
      </c>
      <c r="P111" s="34">
        <f t="shared" si="183"/>
        <v>3.5969066067620181</v>
      </c>
      <c r="Q111" s="34">
        <f t="shared" si="184"/>
        <v>4.4280645243033101</v>
      </c>
      <c r="R111" s="34">
        <f t="shared" si="185"/>
        <v>4.2518545263940943</v>
      </c>
      <c r="S111" s="34">
        <f t="shared" si="186"/>
        <v>4.0434887053441004</v>
      </c>
      <c r="T111" s="34">
        <f t="shared" si="187"/>
        <v>3.9043143121161528</v>
      </c>
      <c r="U111" s="34">
        <f t="shared" si="188"/>
        <v>3.8163648765133562</v>
      </c>
      <c r="V111" s="34">
        <f t="shared" si="189"/>
        <v>3.6648683690145845</v>
      </c>
      <c r="W111" s="34">
        <f t="shared" si="190"/>
        <v>3.5651660786216954</v>
      </c>
      <c r="X111" s="34">
        <f t="shared" si="191"/>
        <v>3.499711239820491</v>
      </c>
      <c r="Y111" s="34">
        <f t="shared" si="192"/>
        <v>3.4751882925701416</v>
      </c>
      <c r="Z111" s="34">
        <f t="shared" si="193"/>
        <v>3.1961955928819563</v>
      </c>
      <c r="AA111" s="34">
        <f t="shared" si="194"/>
        <v>3.5969066067620181</v>
      </c>
    </row>
    <row r="112" spans="1:27" x14ac:dyDescent="0.35">
      <c r="A112" s="36">
        <v>2009</v>
      </c>
      <c r="B112" s="34">
        <f t="shared" si="170"/>
        <v>86.567814871365684</v>
      </c>
      <c r="C112" s="34">
        <f t="shared" si="171"/>
        <v>86.191556779548165</v>
      </c>
      <c r="D112" s="34">
        <f t="shared" si="172"/>
        <v>86.066470830797982</v>
      </c>
      <c r="E112" s="34">
        <f t="shared" si="173"/>
        <v>86.540471110749337</v>
      </c>
      <c r="F112" s="34">
        <f t="shared" si="174"/>
        <v>86.452612560293545</v>
      </c>
      <c r="G112" s="34">
        <f t="shared" si="175"/>
        <v>86.488587574038874</v>
      </c>
      <c r="H112" s="34">
        <f t="shared" si="176"/>
        <v>86.499883269520708</v>
      </c>
      <c r="I112" s="34">
        <f t="shared" si="177"/>
        <v>86.552988401630074</v>
      </c>
      <c r="J112" s="34">
        <f t="shared" si="178"/>
        <v>86.627726723792634</v>
      </c>
      <c r="K112" s="34">
        <f t="shared" si="179"/>
        <v>86.621029124677577</v>
      </c>
      <c r="L112" s="34">
        <f t="shared" si="180"/>
        <v>86.786649639799862</v>
      </c>
      <c r="M112" s="34">
        <f t="shared" si="181"/>
        <v>86.567814871365684</v>
      </c>
      <c r="O112" s="36">
        <v>2009</v>
      </c>
      <c r="P112" s="34">
        <f t="shared" si="183"/>
        <v>2.1835349660667136</v>
      </c>
      <c r="Q112" s="34">
        <f t="shared" si="184"/>
        <v>2.6216781008122858</v>
      </c>
      <c r="R112" s="34">
        <f t="shared" si="185"/>
        <v>2.6105487422843687</v>
      </c>
      <c r="S112" s="34">
        <f t="shared" si="186"/>
        <v>2.4293399447001818</v>
      </c>
      <c r="T112" s="34">
        <f t="shared" si="187"/>
        <v>2.3051972041490787</v>
      </c>
      <c r="U112" s="34">
        <f t="shared" si="188"/>
        <v>2.253886811251915</v>
      </c>
      <c r="V112" s="34">
        <f t="shared" si="189"/>
        <v>2.1639710561677017</v>
      </c>
      <c r="W112" s="34">
        <f t="shared" si="190"/>
        <v>2.1476069080754501</v>
      </c>
      <c r="X112" s="34">
        <f t="shared" si="191"/>
        <v>2.0646567780155944</v>
      </c>
      <c r="Y112" s="34">
        <f t="shared" si="192"/>
        <v>2.0227138342367557</v>
      </c>
      <c r="Z112" s="34">
        <f t="shared" si="193"/>
        <v>2.0778085005666247</v>
      </c>
      <c r="AA112" s="34">
        <f t="shared" si="194"/>
        <v>2.1835349660667136</v>
      </c>
    </row>
    <row r="113" spans="1:27" x14ac:dyDescent="0.35">
      <c r="A113" s="36">
        <v>2010</v>
      </c>
      <c r="B113" s="34">
        <f t="shared" si="170"/>
        <v>89.425907649665078</v>
      </c>
      <c r="C113" s="34">
        <f t="shared" si="171"/>
        <v>88.761233212624518</v>
      </c>
      <c r="D113" s="34">
        <f t="shared" si="172"/>
        <v>88.681387367095098</v>
      </c>
      <c r="E113" s="34">
        <f t="shared" si="173"/>
        <v>89.212735466238456</v>
      </c>
      <c r="F113" s="34">
        <f t="shared" si="174"/>
        <v>89.231858776522628</v>
      </c>
      <c r="G113" s="34">
        <f t="shared" si="175"/>
        <v>89.344256882218119</v>
      </c>
      <c r="H113" s="34">
        <f t="shared" si="176"/>
        <v>89.397742355819517</v>
      </c>
      <c r="I113" s="34">
        <f t="shared" si="177"/>
        <v>89.482307968554522</v>
      </c>
      <c r="J113" s="34">
        <f t="shared" si="178"/>
        <v>89.583307383677294</v>
      </c>
      <c r="K113" s="34">
        <f t="shared" si="179"/>
        <v>89.590339714617926</v>
      </c>
      <c r="L113" s="34">
        <f t="shared" si="180"/>
        <v>89.639685788028217</v>
      </c>
      <c r="M113" s="34">
        <f t="shared" si="181"/>
        <v>89.425907649665078</v>
      </c>
      <c r="O113" s="36">
        <v>2010</v>
      </c>
      <c r="P113" s="34">
        <f t="shared" si="183"/>
        <v>3.3015651169506111</v>
      </c>
      <c r="Q113" s="34">
        <f t="shared" si="184"/>
        <v>2.9813551687537077</v>
      </c>
      <c r="R113" s="34">
        <f t="shared" si="185"/>
        <v>3.0382523078446022</v>
      </c>
      <c r="S113" s="34">
        <f t="shared" si="186"/>
        <v>3.0878782160421947</v>
      </c>
      <c r="T113" s="34">
        <f t="shared" si="187"/>
        <v>3.2147625547935821</v>
      </c>
      <c r="U113" s="34">
        <f t="shared" si="188"/>
        <v>3.3017874245369505</v>
      </c>
      <c r="V113" s="34">
        <f t="shared" si="189"/>
        <v>3.3501306322801794</v>
      </c>
      <c r="W113" s="34">
        <f t="shared" si="190"/>
        <v>3.3844233700303761</v>
      </c>
      <c r="X113" s="34">
        <f t="shared" si="191"/>
        <v>3.4118183307618732</v>
      </c>
      <c r="Y113" s="34">
        <f t="shared" si="192"/>
        <v>3.4279327086572442</v>
      </c>
      <c r="Z113" s="34">
        <f t="shared" si="193"/>
        <v>3.2874136287892375</v>
      </c>
      <c r="AA113" s="34">
        <f t="shared" si="194"/>
        <v>3.3015651169506111</v>
      </c>
    </row>
    <row r="114" spans="1:27" x14ac:dyDescent="0.35">
      <c r="A114" s="36">
        <v>2011</v>
      </c>
      <c r="B114" s="34">
        <f t="shared" si="170"/>
        <v>93.417246368551403</v>
      </c>
      <c r="C114" s="34">
        <f t="shared" si="171"/>
        <v>92.823657234525569</v>
      </c>
      <c r="D114" s="34">
        <f t="shared" si="172"/>
        <v>92.775588303731695</v>
      </c>
      <c r="E114" s="34">
        <f t="shared" si="173"/>
        <v>93.251395067600001</v>
      </c>
      <c r="F114" s="34">
        <f t="shared" si="174"/>
        <v>93.321649904824127</v>
      </c>
      <c r="G114" s="34">
        <f t="shared" si="175"/>
        <v>93.429185599867196</v>
      </c>
      <c r="H114" s="34">
        <f t="shared" si="176"/>
        <v>93.439962652898245</v>
      </c>
      <c r="I114" s="34">
        <f t="shared" si="177"/>
        <v>93.525891323780414</v>
      </c>
      <c r="J114" s="34">
        <f t="shared" si="178"/>
        <v>93.610468191547412</v>
      </c>
      <c r="K114" s="34">
        <f t="shared" si="179"/>
        <v>93.567676604718741</v>
      </c>
      <c r="L114" s="34">
        <f t="shared" si="180"/>
        <v>93.447628694541038</v>
      </c>
      <c r="M114" s="34">
        <f t="shared" si="181"/>
        <v>93.417246368551403</v>
      </c>
      <c r="O114" s="36">
        <v>2011</v>
      </c>
      <c r="P114" s="34">
        <f t="shared" si="183"/>
        <v>4.4632912584156248</v>
      </c>
      <c r="Q114" s="34">
        <f t="shared" si="184"/>
        <v>4.5767998875924309</v>
      </c>
      <c r="R114" s="34">
        <f t="shared" si="185"/>
        <v>4.6167533663955096</v>
      </c>
      <c r="S114" s="34">
        <f t="shared" si="186"/>
        <v>4.5269989539665323</v>
      </c>
      <c r="T114" s="34">
        <f t="shared" si="187"/>
        <v>4.5833306448812339</v>
      </c>
      <c r="U114" s="34">
        <f t="shared" si="188"/>
        <v>4.5721223279457268</v>
      </c>
      <c r="V114" s="34">
        <f t="shared" si="189"/>
        <v>4.5216133993517982</v>
      </c>
      <c r="W114" s="34">
        <f t="shared" si="190"/>
        <v>4.5188635016509382</v>
      </c>
      <c r="X114" s="34">
        <f t="shared" si="191"/>
        <v>4.4954366226088949</v>
      </c>
      <c r="Y114" s="34">
        <f t="shared" si="192"/>
        <v>4.4394707094205454</v>
      </c>
      <c r="Z114" s="34">
        <f t="shared" si="193"/>
        <v>4.2480547237944366</v>
      </c>
      <c r="AA114" s="34">
        <f t="shared" si="194"/>
        <v>4.4632912584156248</v>
      </c>
    </row>
    <row r="115" spans="1:27" x14ac:dyDescent="0.35">
      <c r="A115" s="36">
        <v>2012</v>
      </c>
      <c r="B115" s="34">
        <f t="shared" si="170"/>
        <v>96.033699202966147</v>
      </c>
      <c r="C115" s="34">
        <f t="shared" si="171"/>
        <v>95.644474394991263</v>
      </c>
      <c r="D115" s="34">
        <f t="shared" si="172"/>
        <v>95.627520270817541</v>
      </c>
      <c r="E115" s="34">
        <f t="shared" si="173"/>
        <v>96.007001114944998</v>
      </c>
      <c r="F115" s="34">
        <f t="shared" si="174"/>
        <v>96.024766329169125</v>
      </c>
      <c r="G115" s="34">
        <f t="shared" si="175"/>
        <v>96.10640271229866</v>
      </c>
      <c r="H115" s="34">
        <f t="shared" si="176"/>
        <v>96.071272134194231</v>
      </c>
      <c r="I115" s="34">
        <f t="shared" si="177"/>
        <v>96.136550347072671</v>
      </c>
      <c r="J115" s="34">
        <f t="shared" si="178"/>
        <v>96.201247279147765</v>
      </c>
      <c r="K115" s="34">
        <f t="shared" si="179"/>
        <v>96.121881995248131</v>
      </c>
      <c r="L115" s="34">
        <f t="shared" si="180"/>
        <v>95.937256639158036</v>
      </c>
      <c r="M115" s="34">
        <f t="shared" si="181"/>
        <v>96.033699202966147</v>
      </c>
      <c r="O115" s="36">
        <v>2012</v>
      </c>
      <c r="P115" s="34">
        <f t="shared" si="183"/>
        <v>2.8008241905271625</v>
      </c>
      <c r="Q115" s="34">
        <f t="shared" si="184"/>
        <v>3.0388989666057853</v>
      </c>
      <c r="R115" s="34">
        <f t="shared" si="185"/>
        <v>3.0740111911218504</v>
      </c>
      <c r="S115" s="34">
        <f t="shared" si="186"/>
        <v>2.955029300470402</v>
      </c>
      <c r="T115" s="34">
        <f t="shared" si="187"/>
        <v>2.896558758982315</v>
      </c>
      <c r="U115" s="34">
        <f t="shared" si="188"/>
        <v>2.8655040662532105</v>
      </c>
      <c r="V115" s="34">
        <f t="shared" si="189"/>
        <v>2.8160429505633688</v>
      </c>
      <c r="W115" s="34">
        <f t="shared" si="190"/>
        <v>2.7913757210335843</v>
      </c>
      <c r="X115" s="34">
        <f t="shared" si="191"/>
        <v>2.7676168463328876</v>
      </c>
      <c r="Y115" s="34">
        <f t="shared" si="192"/>
        <v>2.7297946077252222</v>
      </c>
      <c r="Z115" s="34">
        <f t="shared" si="193"/>
        <v>2.6641959559562833</v>
      </c>
      <c r="AA115" s="34">
        <f t="shared" si="194"/>
        <v>2.8008241905271625</v>
      </c>
    </row>
    <row r="116" spans="1:27" x14ac:dyDescent="0.35">
      <c r="A116" s="36">
        <v>2013</v>
      </c>
      <c r="B116" s="34">
        <f t="shared" si="170"/>
        <v>98.500154487177554</v>
      </c>
      <c r="C116" s="34">
        <f t="shared" si="171"/>
        <v>98.488912603950411</v>
      </c>
      <c r="D116" s="34">
        <f t="shared" si="172"/>
        <v>98.437928199276399</v>
      </c>
      <c r="E116" s="34">
        <f t="shared" si="173"/>
        <v>98.620933414316852</v>
      </c>
      <c r="F116" s="34">
        <f t="shared" si="174"/>
        <v>98.59337375040981</v>
      </c>
      <c r="G116" s="34">
        <f t="shared" si="175"/>
        <v>98.624375124074604</v>
      </c>
      <c r="H116" s="34">
        <f t="shared" si="176"/>
        <v>98.536357807098753</v>
      </c>
      <c r="I116" s="34">
        <f t="shared" si="177"/>
        <v>98.578889048557485</v>
      </c>
      <c r="J116" s="34">
        <f t="shared" si="178"/>
        <v>98.607858001466141</v>
      </c>
      <c r="K116" s="34">
        <f t="shared" si="179"/>
        <v>98.505344135066935</v>
      </c>
      <c r="L116" s="34">
        <f t="shared" si="180"/>
        <v>98.277562904146265</v>
      </c>
      <c r="M116" s="34">
        <f t="shared" si="181"/>
        <v>98.500154487177554</v>
      </c>
      <c r="O116" s="36">
        <v>2013</v>
      </c>
      <c r="P116" s="34">
        <f t="shared" si="183"/>
        <v>2.5683226874334775</v>
      </c>
      <c r="Q116" s="34">
        <f t="shared" si="184"/>
        <v>2.9739702444411265</v>
      </c>
      <c r="R116" s="34">
        <f t="shared" si="185"/>
        <v>2.9389112260777672</v>
      </c>
      <c r="S116" s="34">
        <f t="shared" si="186"/>
        <v>2.7226475871716005</v>
      </c>
      <c r="T116" s="34">
        <f t="shared" si="187"/>
        <v>2.6749426418134714</v>
      </c>
      <c r="U116" s="34">
        <f t="shared" si="188"/>
        <v>2.6199840392670426</v>
      </c>
      <c r="V116" s="34">
        <f t="shared" si="189"/>
        <v>2.5658926109162428</v>
      </c>
      <c r="W116" s="34">
        <f t="shared" si="190"/>
        <v>2.5404892235757037</v>
      </c>
      <c r="X116" s="34">
        <f t="shared" si="191"/>
        <v>2.5016419125368561</v>
      </c>
      <c r="Y116" s="34">
        <f t="shared" si="192"/>
        <v>2.4796249203034026</v>
      </c>
      <c r="Z116" s="34">
        <f t="shared" si="193"/>
        <v>2.4394133697095866</v>
      </c>
      <c r="AA116" s="34">
        <f t="shared" si="194"/>
        <v>2.5683226874334775</v>
      </c>
    </row>
    <row r="117" spans="1:27" x14ac:dyDescent="0.35">
      <c r="A117" s="36">
        <v>2014</v>
      </c>
      <c r="B117" s="34">
        <f t="shared" si="170"/>
        <v>99.95003414716578</v>
      </c>
      <c r="C117" s="34">
        <f t="shared" si="171"/>
        <v>100.11661183775016</v>
      </c>
      <c r="D117" s="34">
        <f t="shared" si="172"/>
        <v>100.0565852276184</v>
      </c>
      <c r="E117" s="34">
        <f t="shared" si="173"/>
        <v>100.11398849572903</v>
      </c>
      <c r="F117" s="34">
        <f t="shared" si="174"/>
        <v>100.04693863515104</v>
      </c>
      <c r="G117" s="34">
        <f t="shared" si="175"/>
        <v>100.02779251105413</v>
      </c>
      <c r="H117" s="34">
        <f t="shared" si="176"/>
        <v>99.953104205400066</v>
      </c>
      <c r="I117" s="34">
        <f t="shared" si="177"/>
        <v>99.984591511819715</v>
      </c>
      <c r="J117" s="34">
        <f t="shared" si="178"/>
        <v>100.01308662118704</v>
      </c>
      <c r="K117" s="34">
        <f t="shared" si="179"/>
        <v>99.912520329751558</v>
      </c>
      <c r="L117" s="34">
        <f t="shared" si="180"/>
        <v>99.760003822522819</v>
      </c>
      <c r="M117" s="34">
        <f t="shared" si="181"/>
        <v>99.95003414716578</v>
      </c>
      <c r="O117" s="36">
        <v>2014</v>
      </c>
      <c r="P117" s="34">
        <f t="shared" si="183"/>
        <v>1.4719567370597098</v>
      </c>
      <c r="Q117" s="34">
        <f t="shared" si="184"/>
        <v>1.6526725605603421</v>
      </c>
      <c r="R117" s="34">
        <f t="shared" si="185"/>
        <v>1.6443428442187491</v>
      </c>
      <c r="S117" s="34">
        <f t="shared" si="186"/>
        <v>1.5139332286987273</v>
      </c>
      <c r="T117" s="34">
        <f t="shared" si="187"/>
        <v>1.4743028151373849</v>
      </c>
      <c r="U117" s="34">
        <f t="shared" si="188"/>
        <v>1.422992424757008</v>
      </c>
      <c r="V117" s="34">
        <f t="shared" si="189"/>
        <v>1.4377905068044372</v>
      </c>
      <c r="W117" s="34">
        <f t="shared" si="190"/>
        <v>1.4259670369888289</v>
      </c>
      <c r="X117" s="34">
        <f t="shared" si="191"/>
        <v>1.4250675840661753</v>
      </c>
      <c r="Y117" s="34">
        <f t="shared" si="192"/>
        <v>1.428527768762633</v>
      </c>
      <c r="Z117" s="34">
        <f t="shared" si="193"/>
        <v>1.5084225479038649</v>
      </c>
      <c r="AA117" s="34">
        <f t="shared" si="194"/>
        <v>1.4719567370597098</v>
      </c>
    </row>
    <row r="118" spans="1:27" x14ac:dyDescent="0.35">
      <c r="A118" s="36">
        <v>2015</v>
      </c>
      <c r="B118" s="34">
        <f t="shared" si="170"/>
        <v>100</v>
      </c>
      <c r="C118" s="34">
        <f t="shared" si="171"/>
        <v>100</v>
      </c>
      <c r="D118" s="34">
        <f t="shared" si="172"/>
        <v>100</v>
      </c>
      <c r="E118" s="34">
        <f t="shared" si="173"/>
        <v>100</v>
      </c>
      <c r="F118" s="34">
        <f t="shared" si="174"/>
        <v>100</v>
      </c>
      <c r="G118" s="34">
        <f t="shared" si="175"/>
        <v>100</v>
      </c>
      <c r="H118" s="34">
        <f t="shared" si="176"/>
        <v>100</v>
      </c>
      <c r="I118" s="34">
        <f t="shared" si="177"/>
        <v>100</v>
      </c>
      <c r="J118" s="34">
        <f t="shared" si="178"/>
        <v>100</v>
      </c>
      <c r="K118" s="34">
        <f t="shared" si="179"/>
        <v>100</v>
      </c>
      <c r="L118" s="34">
        <f t="shared" si="180"/>
        <v>100</v>
      </c>
      <c r="M118" s="34">
        <f t="shared" si="181"/>
        <v>100</v>
      </c>
      <c r="O118" s="36">
        <v>2015</v>
      </c>
      <c r="P118" s="34">
        <f t="shared" si="183"/>
        <v>4.999083117935843E-2</v>
      </c>
      <c r="Q118" s="34">
        <f t="shared" si="184"/>
        <v>-0.1164760129309439</v>
      </c>
      <c r="R118" s="34">
        <f t="shared" si="185"/>
        <v>-5.6553226846267624E-2</v>
      </c>
      <c r="S118" s="34">
        <f t="shared" si="186"/>
        <v>-0.11385870989836233</v>
      </c>
      <c r="T118" s="34">
        <f t="shared" si="187"/>
        <v>-4.6916613133174412E-2</v>
      </c>
      <c r="U118" s="34">
        <f t="shared" si="188"/>
        <v>-2.7784788963591822E-2</v>
      </c>
      <c r="V118" s="34">
        <f t="shared" si="189"/>
        <v>4.6917797073686707E-2</v>
      </c>
      <c r="W118" s="34">
        <f t="shared" si="190"/>
        <v>1.5410862761244815E-2</v>
      </c>
      <c r="X118" s="34">
        <f t="shared" si="191"/>
        <v>-1.3084908814597895E-2</v>
      </c>
      <c r="Y118" s="34">
        <f t="shared" si="192"/>
        <v>8.7556264179622367E-2</v>
      </c>
      <c r="Z118" s="34">
        <f t="shared" si="193"/>
        <v>0.24057354478870252</v>
      </c>
      <c r="AA118" s="34">
        <f t="shared" si="194"/>
        <v>4.999083117935843E-2</v>
      </c>
    </row>
    <row r="119" spans="1:27" x14ac:dyDescent="0.35">
      <c r="A119" s="36">
        <v>2016</v>
      </c>
      <c r="B119" s="34">
        <f t="shared" si="170"/>
        <v>100.64164674332031</v>
      </c>
      <c r="C119" s="34">
        <f t="shared" si="171"/>
        <v>100.41385278884394</v>
      </c>
      <c r="D119" s="34">
        <f t="shared" si="172"/>
        <v>100.43541138882523</v>
      </c>
      <c r="E119" s="34">
        <f t="shared" si="173"/>
        <v>100.50533475458249</v>
      </c>
      <c r="F119" s="34">
        <f t="shared" si="174"/>
        <v>100.56193472989321</v>
      </c>
      <c r="G119" s="34">
        <f t="shared" si="175"/>
        <v>100.59785595735879</v>
      </c>
      <c r="H119" s="34">
        <f t="shared" si="176"/>
        <v>100.61336119823847</v>
      </c>
      <c r="I119" s="34">
        <f t="shared" si="177"/>
        <v>100.64888621071604</v>
      </c>
      <c r="J119" s="34">
        <f t="shared" si="178"/>
        <v>100.65421760892652</v>
      </c>
      <c r="K119" s="34">
        <f t="shared" si="179"/>
        <v>100.69453165912638</v>
      </c>
      <c r="L119" s="34">
        <f t="shared" si="180"/>
        <v>100.78531561169959</v>
      </c>
      <c r="M119" s="34">
        <f t="shared" si="181"/>
        <v>100.64164674332031</v>
      </c>
      <c r="O119" s="36">
        <v>2016</v>
      </c>
      <c r="P119" s="34">
        <f t="shared" si="183"/>
        <v>0.64164674332030103</v>
      </c>
      <c r="Q119" s="34">
        <f t="shared" si="184"/>
        <v>0.41385278884393806</v>
      </c>
      <c r="R119" s="34">
        <f t="shared" si="185"/>
        <v>0.43541138882523533</v>
      </c>
      <c r="S119" s="34">
        <f t="shared" si="186"/>
        <v>0.50533475458249821</v>
      </c>
      <c r="T119" s="34">
        <f t="shared" si="187"/>
        <v>0.56193472989320981</v>
      </c>
      <c r="U119" s="34">
        <f t="shared" si="188"/>
        <v>0.59785595735879493</v>
      </c>
      <c r="V119" s="34">
        <f t="shared" si="189"/>
        <v>0.61336119823847124</v>
      </c>
      <c r="W119" s="34">
        <f t="shared" si="190"/>
        <v>0.64888621071603758</v>
      </c>
      <c r="X119" s="34">
        <f t="shared" si="191"/>
        <v>0.6542176089265217</v>
      </c>
      <c r="Y119" s="34">
        <f t="shared" si="192"/>
        <v>0.69453165912638504</v>
      </c>
      <c r="Z119" s="34">
        <f t="shared" si="193"/>
        <v>0.78531561169958852</v>
      </c>
      <c r="AA119" s="34">
        <f t="shared" si="194"/>
        <v>0.64164674332030103</v>
      </c>
    </row>
    <row r="120" spans="1:27" x14ac:dyDescent="0.35">
      <c r="A120" s="36">
        <v>2017</v>
      </c>
      <c r="B120" s="34">
        <f t="shared" si="170"/>
        <v>103.34982196477691</v>
      </c>
      <c r="C120" s="34">
        <f t="shared" si="171"/>
        <v>103.1024683186218</v>
      </c>
      <c r="D120" s="34">
        <f t="shared" si="172"/>
        <v>103.14823026945305</v>
      </c>
      <c r="E120" s="34">
        <f t="shared" si="173"/>
        <v>103.23770170288682</v>
      </c>
      <c r="F120" s="34">
        <f t="shared" si="174"/>
        <v>103.30012996669977</v>
      </c>
      <c r="G120" s="34">
        <f t="shared" si="175"/>
        <v>103.32248341866894</v>
      </c>
      <c r="H120" s="34">
        <f t="shared" si="176"/>
        <v>103.33255957123812</v>
      </c>
      <c r="I120" s="34">
        <f t="shared" si="177"/>
        <v>103.37286881740479</v>
      </c>
      <c r="J120" s="34">
        <f t="shared" si="178"/>
        <v>103.38064078040384</v>
      </c>
      <c r="K120" s="34">
        <f t="shared" si="179"/>
        <v>103.42671052913086</v>
      </c>
      <c r="L120" s="34">
        <f t="shared" si="180"/>
        <v>103.43324593562893</v>
      </c>
      <c r="M120" s="34">
        <f t="shared" si="181"/>
        <v>103.34982196477691</v>
      </c>
      <c r="O120" s="36">
        <v>2017</v>
      </c>
      <c r="P120" s="34">
        <f t="shared" si="183"/>
        <v>2.6909090909090772</v>
      </c>
      <c r="Q120" s="34">
        <f t="shared" si="184"/>
        <v>2.6775344786656552</v>
      </c>
      <c r="R120" s="34">
        <f t="shared" si="185"/>
        <v>2.7010581657553212</v>
      </c>
      <c r="S120" s="34">
        <f t="shared" si="186"/>
        <v>2.718628772269982</v>
      </c>
      <c r="T120" s="34">
        <f t="shared" si="187"/>
        <v>2.7228943478079248</v>
      </c>
      <c r="U120" s="34">
        <f t="shared" si="188"/>
        <v>2.7084349217791015</v>
      </c>
      <c r="V120" s="34">
        <f t="shared" si="189"/>
        <v>2.7026215411311227</v>
      </c>
      <c r="W120" s="34">
        <f t="shared" si="190"/>
        <v>2.7064210139254641</v>
      </c>
      <c r="X120" s="34">
        <f t="shared" si="191"/>
        <v>2.7087023636409802</v>
      </c>
      <c r="Y120" s="34">
        <f t="shared" si="192"/>
        <v>2.7133339070025242</v>
      </c>
      <c r="Z120" s="34">
        <f t="shared" si="193"/>
        <v>2.627297744575352</v>
      </c>
      <c r="AA120" s="34">
        <f t="shared" si="194"/>
        <v>2.6909090909090772</v>
      </c>
    </row>
    <row r="121" spans="1:27" x14ac:dyDescent="0.35">
      <c r="A121" s="36">
        <v>2018</v>
      </c>
      <c r="B121" s="34">
        <f t="shared" si="170"/>
        <v>105.90790964349959</v>
      </c>
      <c r="C121" s="34">
        <f t="shared" si="171"/>
        <v>105.79495945917196</v>
      </c>
      <c r="D121" s="34">
        <f t="shared" si="172"/>
        <v>105.83034452861271</v>
      </c>
      <c r="E121" s="34">
        <f t="shared" si="173"/>
        <v>105.88954062147995</v>
      </c>
      <c r="F121" s="34">
        <f t="shared" si="174"/>
        <v>105.92638460470867</v>
      </c>
      <c r="G121" s="34">
        <f t="shared" si="175"/>
        <v>105.90254415457889</v>
      </c>
      <c r="H121" s="34">
        <f t="shared" si="176"/>
        <v>105.92156554959638</v>
      </c>
      <c r="I121" s="34">
        <f t="shared" si="177"/>
        <v>105.93969179532914</v>
      </c>
      <c r="J121" s="34">
        <f t="shared" si="178"/>
        <v>105.93424276998569</v>
      </c>
      <c r="K121" s="34">
        <f t="shared" si="179"/>
        <v>105.95298484919525</v>
      </c>
      <c r="L121" s="34">
        <f t="shared" si="180"/>
        <v>105.88028552134602</v>
      </c>
      <c r="M121" s="34">
        <f t="shared" si="181"/>
        <v>105.90790964349959</v>
      </c>
      <c r="O121" s="36">
        <v>2018</v>
      </c>
      <c r="P121" s="34">
        <f t="shared" si="183"/>
        <v>2.4751737642997762</v>
      </c>
      <c r="Q121" s="34">
        <f t="shared" si="184"/>
        <v>2.6114710777141115</v>
      </c>
      <c r="R121" s="34">
        <f t="shared" si="185"/>
        <v>2.6002523282786294</v>
      </c>
      <c r="S121" s="34">
        <f t="shared" si="186"/>
        <v>2.5686729507258921</v>
      </c>
      <c r="T121" s="34">
        <f t="shared" si="187"/>
        <v>2.5423536629194166</v>
      </c>
      <c r="U121" s="34">
        <f t="shared" si="188"/>
        <v>2.4970951631654081</v>
      </c>
      <c r="V121" s="34">
        <f t="shared" si="189"/>
        <v>2.505508417773572</v>
      </c>
      <c r="W121" s="34">
        <f t="shared" si="190"/>
        <v>2.4830722096513602</v>
      </c>
      <c r="X121" s="34">
        <f t="shared" si="191"/>
        <v>2.4700968869075579</v>
      </c>
      <c r="Y121" s="34">
        <f t="shared" si="192"/>
        <v>2.4425743670469346</v>
      </c>
      <c r="Z121" s="34">
        <f t="shared" si="193"/>
        <v>2.3658153271531202</v>
      </c>
      <c r="AA121" s="34">
        <f t="shared" si="194"/>
        <v>2.4751737642997762</v>
      </c>
    </row>
    <row r="122" spans="1:27" x14ac:dyDescent="0.35">
      <c r="A122" s="36">
        <v>2019</v>
      </c>
      <c r="B122" s="34">
        <f t="shared" si="170"/>
        <v>107.79105334257255</v>
      </c>
      <c r="C122" s="34">
        <f t="shared" si="171"/>
        <v>107.7797584880383</v>
      </c>
      <c r="D122" s="34">
        <f t="shared" si="172"/>
        <v>107.80129423381919</v>
      </c>
      <c r="E122" s="34">
        <f t="shared" si="173"/>
        <v>107.82489738280286</v>
      </c>
      <c r="F122" s="34">
        <f t="shared" si="174"/>
        <v>107.84019910590337</v>
      </c>
      <c r="G122" s="34">
        <f t="shared" si="175"/>
        <v>107.79245253705281</v>
      </c>
      <c r="H122" s="34">
        <f t="shared" si="176"/>
        <v>107.79923482684748</v>
      </c>
      <c r="I122" s="34">
        <f t="shared" si="177"/>
        <v>107.81795932797753</v>
      </c>
      <c r="J122" s="34">
        <f t="shared" si="178"/>
        <v>107.78724215103182</v>
      </c>
      <c r="K122" s="34">
        <f t="shared" si="179"/>
        <v>107.81088797132108</v>
      </c>
      <c r="L122" s="34">
        <f t="shared" si="180"/>
        <v>107.73369226245053</v>
      </c>
      <c r="M122" s="34">
        <f t="shared" si="181"/>
        <v>107.79105334257255</v>
      </c>
      <c r="O122" s="36">
        <v>2019</v>
      </c>
      <c r="P122" s="34">
        <f t="shared" si="183"/>
        <v>1.7780954278220351</v>
      </c>
      <c r="Q122" s="34">
        <f t="shared" si="184"/>
        <v>1.8760809012194013</v>
      </c>
      <c r="R122" s="34">
        <f t="shared" si="185"/>
        <v>1.8623672765929689</v>
      </c>
      <c r="S122" s="34">
        <f t="shared" si="186"/>
        <v>1.8277128694335953</v>
      </c>
      <c r="T122" s="34">
        <f t="shared" si="187"/>
        <v>1.8067401321555376</v>
      </c>
      <c r="U122" s="34">
        <f t="shared" si="188"/>
        <v>1.7845731635260265</v>
      </c>
      <c r="V122" s="34">
        <f t="shared" si="189"/>
        <v>1.7726978141877181</v>
      </c>
      <c r="W122" s="34">
        <f t="shared" si="190"/>
        <v>1.7729592193614474</v>
      </c>
      <c r="X122" s="34">
        <f t="shared" si="191"/>
        <v>1.7491977405922787</v>
      </c>
      <c r="Y122" s="34">
        <f t="shared" si="192"/>
        <v>1.753516547712386</v>
      </c>
      <c r="Z122" s="34">
        <f t="shared" si="193"/>
        <v>1.7504738790403485</v>
      </c>
      <c r="AA122" s="34">
        <f t="shared" si="194"/>
        <v>1.7780954278220351</v>
      </c>
    </row>
    <row r="123" spans="1:27" x14ac:dyDescent="0.35">
      <c r="A123" s="36">
        <v>2020</v>
      </c>
      <c r="B123" s="34">
        <f t="shared" si="170"/>
        <v>108.74097449911658</v>
      </c>
      <c r="C123" s="34">
        <f t="shared" si="171"/>
        <v>108.57233091008717</v>
      </c>
      <c r="D123" s="34">
        <f t="shared" si="172"/>
        <v>108.57355204541312</v>
      </c>
      <c r="E123" s="34">
        <f t="shared" si="173"/>
        <v>108.6682978950918</v>
      </c>
      <c r="F123" s="34">
        <f t="shared" si="174"/>
        <v>108.66244774816185</v>
      </c>
      <c r="G123" s="34">
        <f t="shared" si="175"/>
        <v>108.69983307187773</v>
      </c>
      <c r="H123" s="34">
        <f t="shared" si="176"/>
        <v>108.70449210595719</v>
      </c>
      <c r="I123" s="34">
        <f t="shared" si="177"/>
        <v>108.73709523365673</v>
      </c>
      <c r="J123" s="34">
        <f t="shared" si="178"/>
        <v>108.77820756831977</v>
      </c>
      <c r="K123" s="34">
        <f t="shared" si="179"/>
        <v>108.83523521584533</v>
      </c>
      <c r="L123" s="34">
        <f t="shared" si="180"/>
        <v>108.83289010236703</v>
      </c>
      <c r="M123" s="34">
        <f t="shared" si="181"/>
        <v>108.74097449911658</v>
      </c>
      <c r="O123" s="36">
        <v>2020</v>
      </c>
      <c r="P123" s="34">
        <f t="shared" si="183"/>
        <v>0.88126159554733352</v>
      </c>
      <c r="Q123" s="34">
        <f t="shared" si="184"/>
        <v>0.73536295976841526</v>
      </c>
      <c r="R123" s="34">
        <f t="shared" si="185"/>
        <v>0.71637155850736711</v>
      </c>
      <c r="S123" s="34">
        <f t="shared" si="186"/>
        <v>0.7821945884118664</v>
      </c>
      <c r="T123" s="34">
        <f t="shared" si="187"/>
        <v>0.76246951422169751</v>
      </c>
      <c r="U123" s="34">
        <f t="shared" si="188"/>
        <v>0.84178484993002733</v>
      </c>
      <c r="V123" s="34">
        <f t="shared" si="189"/>
        <v>0.83976224929960264</v>
      </c>
      <c r="W123" s="34">
        <f t="shared" si="190"/>
        <v>0.85248868686451651</v>
      </c>
      <c r="X123" s="34">
        <f t="shared" si="191"/>
        <v>0.91937171553142516</v>
      </c>
      <c r="Y123" s="34">
        <f t="shared" si="192"/>
        <v>0.95013338986387197</v>
      </c>
      <c r="Z123" s="34">
        <f t="shared" si="193"/>
        <v>1.0202916254264727</v>
      </c>
      <c r="AA123" s="34">
        <f t="shared" si="194"/>
        <v>0.88126159554733352</v>
      </c>
    </row>
    <row r="124" spans="1:27" x14ac:dyDescent="0.35">
      <c r="A124" s="36">
        <v>2021</v>
      </c>
      <c r="B124" s="34">
        <f t="shared" si="170"/>
        <v>111.54904142956134</v>
      </c>
      <c r="C124" s="34">
        <f t="shared" si="171"/>
        <v>111.32459618934574</v>
      </c>
      <c r="D124" s="34">
        <f t="shared" si="172"/>
        <v>111.30903533659624</v>
      </c>
      <c r="E124" s="34">
        <f t="shared" si="173"/>
        <v>111.45853636592418</v>
      </c>
      <c r="F124" s="34">
        <f t="shared" si="174"/>
        <v>111.47283167542446</v>
      </c>
      <c r="G124" s="34">
        <f t="shared" si="175"/>
        <v>111.53963982135633</v>
      </c>
      <c r="H124" s="34">
        <f t="shared" si="176"/>
        <v>111.56265127259444</v>
      </c>
      <c r="I124" s="34">
        <f t="shared" si="177"/>
        <v>111.57186304329119</v>
      </c>
      <c r="J124" s="34">
        <f t="shared" si="178"/>
        <v>111.61822729331456</v>
      </c>
      <c r="K124" s="34">
        <f t="shared" si="179"/>
        <v>111.65349527730496</v>
      </c>
      <c r="L124" s="34">
        <f t="shared" si="180"/>
        <v>111.59179774630275</v>
      </c>
      <c r="M124" s="34">
        <f t="shared" si="181"/>
        <v>111.54904142956134</v>
      </c>
      <c r="O124" s="36">
        <v>2021</v>
      </c>
      <c r="P124" s="34">
        <f t="shared" si="183"/>
        <v>2.5823448275861915</v>
      </c>
      <c r="Q124" s="34">
        <f t="shared" si="184"/>
        <v>2.5349601101755992</v>
      </c>
      <c r="R124" s="34">
        <f t="shared" si="185"/>
        <v>2.5194748073075424</v>
      </c>
      <c r="S124" s="34">
        <f t="shared" si="186"/>
        <v>2.5676655702531193</v>
      </c>
      <c r="T124" s="34">
        <f t="shared" si="187"/>
        <v>2.5863432910843365</v>
      </c>
      <c r="U124" s="34">
        <f t="shared" si="188"/>
        <v>2.6125217208022633</v>
      </c>
      <c r="V124" s="34">
        <f t="shared" si="189"/>
        <v>2.6292925998415262</v>
      </c>
      <c r="W124" s="34">
        <f t="shared" si="190"/>
        <v>2.60699240083897</v>
      </c>
      <c r="X124" s="34">
        <f t="shared" si="191"/>
        <v>2.6108351925279383</v>
      </c>
      <c r="Y124" s="34">
        <f t="shared" si="192"/>
        <v>2.5894739473575568</v>
      </c>
      <c r="Z124" s="34">
        <f t="shared" si="193"/>
        <v>2.5349943765535565</v>
      </c>
      <c r="AA124" s="34">
        <f t="shared" si="194"/>
        <v>2.5823448275861915</v>
      </c>
    </row>
    <row r="125" spans="1:27" x14ac:dyDescent="0.35">
      <c r="A125" s="36">
        <v>2022</v>
      </c>
      <c r="B125" s="34">
        <f t="shared" si="170"/>
        <v>121.64820319913446</v>
      </c>
      <c r="C125" s="34">
        <f t="shared" si="171"/>
        <v>124.14175959361667</v>
      </c>
      <c r="D125" s="34">
        <f t="shared" si="172"/>
        <v>123.16718808075409</v>
      </c>
      <c r="E125" s="34">
        <f t="shared" si="173"/>
        <v>122.52496238554365</v>
      </c>
      <c r="F125" s="34">
        <f t="shared" si="174"/>
        <v>122.23551799056919</v>
      </c>
      <c r="G125" s="34">
        <f t="shared" si="175"/>
        <v>122.07716121660887</v>
      </c>
      <c r="H125" s="34">
        <f t="shared" si="176"/>
        <v>121.57414357194804</v>
      </c>
      <c r="I125" s="34">
        <f t="shared" si="177"/>
        <v>121.44604368141727</v>
      </c>
      <c r="J125" s="34">
        <f t="shared" si="178"/>
        <v>121.56065259875786</v>
      </c>
      <c r="K125" s="34">
        <f t="shared" si="179"/>
        <v>120.96263039994766</v>
      </c>
      <c r="L125" s="34">
        <f t="shared" si="180"/>
        <v>120.43781824718312</v>
      </c>
      <c r="M125" s="34">
        <f t="shared" si="181"/>
        <v>121.64820319913446</v>
      </c>
      <c r="O125" s="36">
        <v>2022</v>
      </c>
      <c r="P125" s="34">
        <f t="shared" si="183"/>
        <v>9.0535621285014134</v>
      </c>
      <c r="Q125" s="34">
        <f t="shared" si="184"/>
        <v>11.513325754598691</v>
      </c>
      <c r="R125" s="34">
        <f t="shared" si="185"/>
        <v>10.653360446705019</v>
      </c>
      <c r="S125" s="34">
        <f t="shared" si="186"/>
        <v>9.9287379687885249</v>
      </c>
      <c r="T125" s="34">
        <f t="shared" si="187"/>
        <v>9.6549860207036495</v>
      </c>
      <c r="U125" s="34">
        <f t="shared" si="188"/>
        <v>9.4473331742236155</v>
      </c>
      <c r="V125" s="34">
        <f t="shared" si="189"/>
        <v>8.973874486804112</v>
      </c>
      <c r="W125" s="34">
        <f t="shared" si="190"/>
        <v>8.8500634199276451</v>
      </c>
      <c r="X125" s="34">
        <f t="shared" si="191"/>
        <v>8.9075284087035467</v>
      </c>
      <c r="Y125" s="34">
        <f t="shared" si="192"/>
        <v>8.3375223494099657</v>
      </c>
      <c r="Z125" s="34">
        <f t="shared" si="193"/>
        <v>7.9271242864921598</v>
      </c>
      <c r="AA125" s="34">
        <f t="shared" si="194"/>
        <v>9.0535621285014134</v>
      </c>
    </row>
    <row r="126" spans="1:27" x14ac:dyDescent="0.35">
      <c r="A126" s="36">
        <v>2023</v>
      </c>
      <c r="B126" s="34">
        <f t="shared" si="170"/>
        <v>130.53086593812714</v>
      </c>
      <c r="C126" s="34">
        <f t="shared" si="171"/>
        <v>133.96571054267378</v>
      </c>
      <c r="D126" s="34">
        <f t="shared" si="172"/>
        <v>132.9383296637869</v>
      </c>
      <c r="E126" s="34">
        <f t="shared" si="173"/>
        <v>131.89691498872205</v>
      </c>
      <c r="F126" s="34">
        <f t="shared" si="174"/>
        <v>131.30032589503287</v>
      </c>
      <c r="G126" s="34">
        <f t="shared" si="175"/>
        <v>131.04366146445022</v>
      </c>
      <c r="H126" s="34">
        <f t="shared" si="176"/>
        <v>130.42452467294194</v>
      </c>
      <c r="I126" s="34">
        <f t="shared" si="177"/>
        <v>130.18664792394625</v>
      </c>
      <c r="J126" s="34">
        <f t="shared" si="178"/>
        <v>130.31265501271807</v>
      </c>
      <c r="K126" s="34">
        <f t="shared" si="179"/>
        <v>129.56691025177253</v>
      </c>
      <c r="L126" s="34">
        <f t="shared" si="180"/>
        <v>128.94748747065955</v>
      </c>
      <c r="M126" s="34">
        <f t="shared" si="181"/>
        <v>130.53086593812714</v>
      </c>
      <c r="O126" s="36">
        <v>2023</v>
      </c>
      <c r="P126" s="34">
        <f t="shared" si="183"/>
        <v>7.3019267900340745</v>
      </c>
      <c r="Q126" s="34">
        <f t="shared" si="184"/>
        <v>7.9134942030918642</v>
      </c>
      <c r="R126" s="34">
        <f t="shared" si="185"/>
        <v>7.9332342771569975</v>
      </c>
      <c r="S126" s="34">
        <f t="shared" si="186"/>
        <v>7.6490148788522783</v>
      </c>
      <c r="T126" s="34">
        <f t="shared" si="187"/>
        <v>7.4158542897188484</v>
      </c>
      <c r="U126" s="34">
        <f t="shared" si="188"/>
        <v>7.3449449171999914</v>
      </c>
      <c r="V126" s="34">
        <f t="shared" si="189"/>
        <v>7.2798218773848067</v>
      </c>
      <c r="W126" s="34">
        <f t="shared" si="190"/>
        <v>7.1971090844735519</v>
      </c>
      <c r="X126" s="34">
        <f t="shared" si="191"/>
        <v>7.1997000895087648</v>
      </c>
      <c r="Y126" s="34">
        <f t="shared" si="192"/>
        <v>7.1131719138182614</v>
      </c>
      <c r="Z126" s="34">
        <f t="shared" si="193"/>
        <v>7.0656122365247764</v>
      </c>
      <c r="AA126" s="34">
        <f t="shared" si="194"/>
        <v>7.3019267900340745</v>
      </c>
    </row>
    <row r="127" spans="1:27" x14ac:dyDescent="0.35">
      <c r="A127" s="36">
        <v>2024</v>
      </c>
      <c r="B127" s="34">
        <f t="shared" si="170"/>
        <v>133.8471906831733</v>
      </c>
      <c r="C127" s="34">
        <f t="shared" si="171"/>
        <v>136.11793354190192</v>
      </c>
      <c r="D127" s="34">
        <f t="shared" si="172"/>
        <v>135.32524599717647</v>
      </c>
      <c r="E127" s="34">
        <f t="shared" si="173"/>
        <v>134.68523765098269</v>
      </c>
      <c r="F127" s="34">
        <f t="shared" si="174"/>
        <v>134.243596620425</v>
      </c>
      <c r="G127" s="34">
        <f t="shared" si="175"/>
        <v>134.16330014214114</v>
      </c>
      <c r="H127" s="34">
        <f t="shared" si="176"/>
        <v>133.76695893508054</v>
      </c>
      <c r="I127" s="34">
        <f t="shared" si="177"/>
        <v>133.58735443360118</v>
      </c>
      <c r="J127" s="34">
        <f t="shared" si="178"/>
        <v>133.82906714807172</v>
      </c>
      <c r="K127" s="34">
        <f t="shared" si="179"/>
        <v>133.16960997223853</v>
      </c>
      <c r="L127" s="34">
        <f t="shared" si="180"/>
        <v>132.80589158552652</v>
      </c>
      <c r="M127" s="34">
        <f t="shared" si="181"/>
        <v>133.8471906831733</v>
      </c>
      <c r="O127" s="36">
        <v>2024</v>
      </c>
      <c r="P127" s="34">
        <f t="shared" si="183"/>
        <v>2.5406441006973202</v>
      </c>
      <c r="Q127" s="34">
        <f t="shared" si="184"/>
        <v>1.6065476684368196</v>
      </c>
      <c r="R127" s="34">
        <f t="shared" si="185"/>
        <v>1.7955064874263904</v>
      </c>
      <c r="S127" s="34">
        <f t="shared" si="186"/>
        <v>2.1140165882568729</v>
      </c>
      <c r="T127" s="34">
        <f t="shared" si="187"/>
        <v>2.2416324600329718</v>
      </c>
      <c r="U127" s="34">
        <f t="shared" si="188"/>
        <v>2.3806101285846815</v>
      </c>
      <c r="V127" s="34">
        <f t="shared" si="189"/>
        <v>2.5627344784427741</v>
      </c>
      <c r="W127" s="34">
        <f t="shared" si="190"/>
        <v>2.6121776417821208</v>
      </c>
      <c r="X127" s="34">
        <f t="shared" si="191"/>
        <v>2.6984425534192891</v>
      </c>
      <c r="Y127" s="34">
        <f t="shared" si="192"/>
        <v>2.7805708366937854</v>
      </c>
      <c r="Z127" s="34">
        <f t="shared" si="193"/>
        <v>2.9922289999988694</v>
      </c>
      <c r="AA127" s="34">
        <f t="shared" si="194"/>
        <v>2.5406441006973202</v>
      </c>
    </row>
    <row r="128" spans="1:27" x14ac:dyDescent="0.35">
      <c r="A128" s="36">
        <v>2025</v>
      </c>
      <c r="B128" s="34">
        <f t="shared" si="170"/>
        <v>138.35521651702908</v>
      </c>
      <c r="C128" s="34">
        <f t="shared" si="171"/>
        <v>140.67274722953485</v>
      </c>
      <c r="D128" s="34">
        <f t="shared" si="172"/>
        <v>139.88966314004574</v>
      </c>
      <c r="E128" s="34">
        <f t="shared" si="173"/>
        <v>139.22044084450044</v>
      </c>
      <c r="F128" s="34">
        <f t="shared" si="174"/>
        <v>138.70671495344297</v>
      </c>
      <c r="G128" s="34">
        <f t="shared" si="175"/>
        <v>138.64519159672724</v>
      </c>
      <c r="H128" s="34">
        <f t="shared" si="176"/>
        <v>138.26202520132873</v>
      </c>
      <c r="I128" s="34">
        <f t="shared" si="177"/>
        <v>138.06516368183205</v>
      </c>
      <c r="J128" s="34">
        <f t="shared" si="178"/>
        <v>138.33269664835223</v>
      </c>
      <c r="K128" s="34">
        <f t="shared" si="179"/>
        <v>137.65159600632012</v>
      </c>
      <c r="L128" s="34">
        <f t="shared" si="180"/>
        <v>137.34758937380266</v>
      </c>
      <c r="M128" s="34">
        <f t="shared" si="181"/>
        <v>138.35521651702908</v>
      </c>
      <c r="O128" s="36">
        <v>2025</v>
      </c>
      <c r="P128" s="34">
        <f t="shared" si="183"/>
        <v>3.3680391877081828</v>
      </c>
      <c r="Q128" s="34">
        <f t="shared" si="184"/>
        <v>3.3462260035198144</v>
      </c>
      <c r="R128" s="34">
        <f t="shared" si="185"/>
        <v>3.3729235880823882</v>
      </c>
      <c r="S128" s="34">
        <f t="shared" si="186"/>
        <v>3.3672607871622073</v>
      </c>
      <c r="T128" s="34">
        <f t="shared" si="187"/>
        <v>3.3246415064678958</v>
      </c>
      <c r="U128" s="34">
        <f t="shared" si="188"/>
        <v>3.3406240378983654</v>
      </c>
      <c r="V128" s="34">
        <f t="shared" si="189"/>
        <v>3.3603711275440817</v>
      </c>
      <c r="W128" s="34">
        <f t="shared" si="190"/>
        <v>3.3519709011503362</v>
      </c>
      <c r="X128" s="34">
        <f t="shared" si="191"/>
        <v>3.3652102613086265</v>
      </c>
      <c r="Y128" s="34">
        <f t="shared" si="192"/>
        <v>3.3656222579730777</v>
      </c>
      <c r="Z128" s="34">
        <f t="shared" si="193"/>
        <v>3.4198014365584894</v>
      </c>
      <c r="AA128" s="34">
        <f t="shared" si="194"/>
        <v>3.3680391877081828</v>
      </c>
    </row>
    <row r="129" spans="1:27" x14ac:dyDescent="0.35">
      <c r="A129" s="36">
        <v>2026</v>
      </c>
      <c r="B129" s="34">
        <f t="shared" si="170"/>
        <v>143.82596244511703</v>
      </c>
      <c r="C129" s="34">
        <f t="shared" si="171"/>
        <v>146.26709151909645</v>
      </c>
      <c r="D129" s="34">
        <f t="shared" si="172"/>
        <v>145.44179746711842</v>
      </c>
      <c r="E129" s="34">
        <f t="shared" si="173"/>
        <v>144.74081293583217</v>
      </c>
      <c r="F129" s="34">
        <f t="shared" si="174"/>
        <v>144.25942186825981</v>
      </c>
      <c r="G129" s="34">
        <f t="shared" si="175"/>
        <v>144.16765549655111</v>
      </c>
      <c r="H129" s="34">
        <f t="shared" si="176"/>
        <v>143.74487481464485</v>
      </c>
      <c r="I129" s="34">
        <f t="shared" si="177"/>
        <v>143.54418473127265</v>
      </c>
      <c r="J129" s="34">
        <f t="shared" si="178"/>
        <v>143.81277202576399</v>
      </c>
      <c r="K129" s="34">
        <f t="shared" si="179"/>
        <v>143.09467863081906</v>
      </c>
      <c r="L129" s="34">
        <f t="shared" si="180"/>
        <v>142.68753007548793</v>
      </c>
      <c r="M129" s="34">
        <f t="shared" si="181"/>
        <v>143.82596244511703</v>
      </c>
      <c r="O129" s="36">
        <v>2026</v>
      </c>
      <c r="P129" s="34">
        <f t="shared" si="183"/>
        <v>3.9541305819969619</v>
      </c>
      <c r="Q129" s="34">
        <f t="shared" si="184"/>
        <v>3.9768501004912915</v>
      </c>
      <c r="R129" s="34">
        <f t="shared" si="185"/>
        <v>3.9689382349247238</v>
      </c>
      <c r="S129" s="34">
        <f t="shared" si="186"/>
        <v>3.9652022776580642</v>
      </c>
      <c r="T129" s="34">
        <f t="shared" si="187"/>
        <v>4.0031997850144441</v>
      </c>
      <c r="U129" s="34">
        <f t="shared" si="188"/>
        <v>3.9831629472494523</v>
      </c>
      <c r="V129" s="34">
        <f t="shared" si="189"/>
        <v>3.9655499081055146</v>
      </c>
      <c r="W129" s="34">
        <f t="shared" si="190"/>
        <v>3.9684312127184151</v>
      </c>
      <c r="X129" s="34">
        <f t="shared" si="191"/>
        <v>3.9615185058832214</v>
      </c>
      <c r="Y129" s="34">
        <f t="shared" si="192"/>
        <v>3.9542459240712535</v>
      </c>
      <c r="Z129" s="34">
        <f t="shared" si="193"/>
        <v>3.8879027480796857</v>
      </c>
      <c r="AA129" s="34">
        <f t="shared" si="194"/>
        <v>3.9541305819969619</v>
      </c>
    </row>
    <row r="132" spans="1:27" s="36" customFormat="1" ht="13" x14ac:dyDescent="0.3">
      <c r="A132" s="35" t="s">
        <v>283</v>
      </c>
      <c r="H132" s="40"/>
      <c r="I132" s="40"/>
      <c r="J132" s="40"/>
      <c r="K132" s="40"/>
      <c r="L132" s="40"/>
      <c r="M132" s="40"/>
      <c r="P132" s="57"/>
    </row>
    <row r="133" spans="1:27" s="36" customFormat="1" ht="12.5" x14ac:dyDescent="0.25">
      <c r="B133" s="36" t="s">
        <v>44</v>
      </c>
      <c r="C133" s="54">
        <v>10</v>
      </c>
      <c r="D133" s="54">
        <v>20</v>
      </c>
      <c r="E133" s="54">
        <v>30</v>
      </c>
      <c r="F133" s="54">
        <v>40</v>
      </c>
      <c r="G133" s="54" t="s">
        <v>292</v>
      </c>
      <c r="H133" s="54">
        <v>60</v>
      </c>
      <c r="I133" s="54">
        <v>70</v>
      </c>
      <c r="J133" s="54">
        <v>80</v>
      </c>
      <c r="K133" s="54">
        <v>90</v>
      </c>
      <c r="L133" s="40"/>
      <c r="M133" s="40"/>
      <c r="P133" s="57"/>
    </row>
    <row r="134" spans="1:27" x14ac:dyDescent="0.35">
      <c r="A134" s="36" t="s">
        <v>272</v>
      </c>
    </row>
    <row r="135" spans="1:27" x14ac:dyDescent="0.35">
      <c r="A135" s="36" t="s">
        <v>284</v>
      </c>
    </row>
    <row r="136" spans="1:27" x14ac:dyDescent="0.35">
      <c r="A136" s="36" t="s">
        <v>273</v>
      </c>
    </row>
    <row r="137" spans="1:27" x14ac:dyDescent="0.35">
      <c r="A137" s="36" t="s">
        <v>285</v>
      </c>
    </row>
    <row r="139" spans="1:27" x14ac:dyDescent="0.35">
      <c r="A139" s="36" t="s">
        <v>275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3D0D-6E41-4BA2-9E4C-9964CDE57167}">
  <dimension ref="A1:Y278"/>
  <sheetViews>
    <sheetView topLeftCell="A40" zoomScale="85" zoomScaleNormal="85" workbookViewId="0">
      <selection activeCell="M260" sqref="M260"/>
    </sheetView>
  </sheetViews>
  <sheetFormatPr defaultRowHeight="14.5" x14ac:dyDescent="0.35"/>
  <sheetData>
    <row r="1" spans="1:25" s="36" customFormat="1" ht="13" x14ac:dyDescent="0.3">
      <c r="A1" s="35" t="s">
        <v>32</v>
      </c>
      <c r="N1" s="35" t="s">
        <v>33</v>
      </c>
    </row>
    <row r="2" spans="1:25" s="36" customFormat="1" ht="13" x14ac:dyDescent="0.3">
      <c r="B2" s="62" t="s">
        <v>25</v>
      </c>
      <c r="C2" s="62"/>
      <c r="D2" s="62"/>
      <c r="E2" s="62"/>
      <c r="F2" s="62"/>
      <c r="G2" s="62"/>
      <c r="H2" s="62"/>
      <c r="I2" s="62"/>
      <c r="J2" s="62"/>
      <c r="K2" s="62"/>
      <c r="L2" s="62"/>
      <c r="O2" s="62" t="s">
        <v>25</v>
      </c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5" s="36" customFormat="1" ht="12.5" x14ac:dyDescent="0.25">
      <c r="B3" s="37" t="s">
        <v>34</v>
      </c>
      <c r="C3" s="38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7" t="s">
        <v>44</v>
      </c>
      <c r="O3" s="37" t="s">
        <v>34</v>
      </c>
      <c r="P3" s="38" t="s">
        <v>35</v>
      </c>
      <c r="Q3" s="39" t="s">
        <v>36</v>
      </c>
      <c r="R3" s="39" t="s">
        <v>37</v>
      </c>
      <c r="S3" s="39" t="s">
        <v>38</v>
      </c>
      <c r="T3" s="39" t="s">
        <v>39</v>
      </c>
      <c r="U3" s="39" t="s">
        <v>40</v>
      </c>
      <c r="V3" s="39" t="s">
        <v>41</v>
      </c>
      <c r="W3" s="39" t="s">
        <v>42</v>
      </c>
      <c r="X3" s="39" t="s">
        <v>43</v>
      </c>
      <c r="Y3" s="37" t="s">
        <v>44</v>
      </c>
    </row>
    <row r="4" spans="1:25" s="36" customFormat="1" ht="12.5" x14ac:dyDescent="0.25">
      <c r="A4" s="36">
        <v>1997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N4" s="36">
        <v>1997</v>
      </c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</row>
    <row r="5" spans="1:25" s="36" customFormat="1" ht="12.5" x14ac:dyDescent="0.25">
      <c r="A5" s="36">
        <v>1998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N5" s="36">
        <v>1998</v>
      </c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s="36" customFormat="1" ht="12.5" x14ac:dyDescent="0.25">
      <c r="A6" s="36">
        <v>1999</v>
      </c>
      <c r="B6" s="40">
        <v>25.2</v>
      </c>
      <c r="C6" s="40">
        <v>31.8</v>
      </c>
      <c r="D6" s="40">
        <v>38.1</v>
      </c>
      <c r="E6" s="40">
        <v>46.2</v>
      </c>
      <c r="F6" s="40">
        <v>52.8</v>
      </c>
      <c r="G6" s="40">
        <v>62.3</v>
      </c>
      <c r="H6" s="40">
        <v>68.599999999999994</v>
      </c>
      <c r="I6" s="40">
        <v>78.099999999999994</v>
      </c>
      <c r="J6" s="40">
        <v>87</v>
      </c>
      <c r="K6" s="40">
        <v>106</v>
      </c>
      <c r="L6" s="40">
        <v>59.6</v>
      </c>
      <c r="N6" s="36">
        <v>1999</v>
      </c>
      <c r="O6" s="40">
        <f>100*(B6/B192)</f>
        <v>21.052631578947366</v>
      </c>
      <c r="P6" s="40">
        <f t="shared" ref="P6:Y6" si="0">100*(C6/C192)</f>
        <v>21.662125340599452</v>
      </c>
      <c r="Q6" s="40">
        <f t="shared" si="0"/>
        <v>21.392476137001687</v>
      </c>
      <c r="R6" s="40">
        <f t="shared" si="0"/>
        <v>18.872549019607842</v>
      </c>
      <c r="S6" s="40">
        <f t="shared" si="0"/>
        <v>17.599999999999998</v>
      </c>
      <c r="T6" s="40">
        <f t="shared" si="0"/>
        <v>17.219458264234383</v>
      </c>
      <c r="U6" s="40">
        <f t="shared" si="0"/>
        <v>16.614192298377333</v>
      </c>
      <c r="V6" s="40">
        <f t="shared" si="0"/>
        <v>16.210045662100455</v>
      </c>
      <c r="W6" s="40">
        <f t="shared" si="0"/>
        <v>15.392781316348195</v>
      </c>
      <c r="X6" s="40">
        <f t="shared" si="0"/>
        <v>13.546325878594248</v>
      </c>
      <c r="Y6" s="40">
        <f t="shared" si="0"/>
        <v>16.583194212576519</v>
      </c>
    </row>
    <row r="7" spans="1:25" s="36" customFormat="1" ht="12.5" x14ac:dyDescent="0.25">
      <c r="A7" s="36">
        <v>2000</v>
      </c>
      <c r="B7" s="40">
        <v>25.8003</v>
      </c>
      <c r="C7" s="40">
        <v>33.371200000000002</v>
      </c>
      <c r="D7" s="40">
        <v>42.1325</v>
      </c>
      <c r="E7" s="40">
        <v>48.458300000000001</v>
      </c>
      <c r="F7" s="40">
        <v>56.102499999999999</v>
      </c>
      <c r="G7" s="40">
        <v>62.945300000000003</v>
      </c>
      <c r="H7" s="40">
        <v>72.160200000000003</v>
      </c>
      <c r="I7" s="40">
        <v>79.286799999999999</v>
      </c>
      <c r="J7" s="40">
        <v>87.608000000000004</v>
      </c>
      <c r="K7" s="40">
        <v>111.3694</v>
      </c>
      <c r="L7" s="40">
        <v>61.931899999999999</v>
      </c>
      <c r="N7" s="36">
        <v>2000</v>
      </c>
      <c r="O7" s="40">
        <f t="shared" ref="O7:O30" si="1">100*(B7/B193)</f>
        <v>20.370823634933817</v>
      </c>
      <c r="P7" s="40">
        <f t="shared" ref="P7:P30" si="2">100*(C7/C193)</f>
        <v>21.698438314800054</v>
      </c>
      <c r="Q7" s="40">
        <f t="shared" ref="Q7:Q30" si="3">100*(D7/D193)</f>
        <v>19.58502478313882</v>
      </c>
      <c r="R7" s="40">
        <f t="shared" ref="R7:R30" si="4">100*(E7/E193)</f>
        <v>18.170354360588071</v>
      </c>
      <c r="S7" s="40">
        <f t="shared" ref="S7:S30" si="5">100*(F7/F193)</f>
        <v>17.051524614952093</v>
      </c>
      <c r="T7" s="40">
        <f t="shared" ref="T7:T30" si="6">100*(G7/G193)</f>
        <v>17.003259088778769</v>
      </c>
      <c r="U7" s="40">
        <f t="shared" ref="U7:U30" si="7">100*(H7/H193)</f>
        <v>16.105540996032104</v>
      </c>
      <c r="V7" s="40">
        <f t="shared" ref="V7:V30" si="8">100*(I7/I193)</f>
        <v>15.842138872970851</v>
      </c>
      <c r="W7" s="40">
        <f t="shared" ref="W7:W30" si="9">100*(J7/J193)</f>
        <v>14.666965559718815</v>
      </c>
      <c r="X7" s="40">
        <f t="shared" ref="X7:X30" si="10">100*(K7/K193)</f>
        <v>13.117081507253477</v>
      </c>
      <c r="Y7" s="40">
        <f t="shared" ref="Y7:Y30" si="11">100*(L7/L193)</f>
        <v>16.056313855139315</v>
      </c>
    </row>
    <row r="8" spans="1:25" s="36" customFormat="1" ht="12.5" x14ac:dyDescent="0.25">
      <c r="A8" s="36">
        <v>2001</v>
      </c>
      <c r="B8" s="40">
        <v>21.6983</v>
      </c>
      <c r="C8" s="40">
        <v>28.411200000000001</v>
      </c>
      <c r="D8" s="40">
        <v>32.272399999999998</v>
      </c>
      <c r="E8" s="40">
        <v>36.324300000000001</v>
      </c>
      <c r="F8" s="40">
        <v>39.1419</v>
      </c>
      <c r="G8" s="40">
        <v>41.818100000000001</v>
      </c>
      <c r="H8" s="40">
        <v>47.298099999999998</v>
      </c>
      <c r="I8" s="40">
        <v>50.601199999999999</v>
      </c>
      <c r="J8" s="40">
        <v>56.8294</v>
      </c>
      <c r="K8" s="40">
        <v>63.358699999999999</v>
      </c>
      <c r="L8" s="40">
        <v>41.776800000000001</v>
      </c>
      <c r="N8" s="36">
        <v>2001</v>
      </c>
      <c r="O8" s="40">
        <f t="shared" si="1"/>
        <v>16.946117277881083</v>
      </c>
      <c r="P8" s="40">
        <f t="shared" si="2"/>
        <v>16.582996405126327</v>
      </c>
      <c r="Q8" s="40">
        <f t="shared" si="3"/>
        <v>14.847209787848367</v>
      </c>
      <c r="R8" s="40">
        <f t="shared" si="4"/>
        <v>12.9996600161045</v>
      </c>
      <c r="S8" s="40">
        <f t="shared" si="5"/>
        <v>12.155375045300952</v>
      </c>
      <c r="T8" s="40">
        <f t="shared" si="6"/>
        <v>10.751168554976781</v>
      </c>
      <c r="U8" s="40">
        <f t="shared" si="7"/>
        <v>10.524166838553462</v>
      </c>
      <c r="V8" s="40">
        <f t="shared" si="8"/>
        <v>9.5514060147892259</v>
      </c>
      <c r="W8" s="40">
        <f t="shared" si="9"/>
        <v>9.3441882498099655</v>
      </c>
      <c r="X8" s="40">
        <f t="shared" si="10"/>
        <v>7.1317946905985901</v>
      </c>
      <c r="Y8" s="40">
        <f t="shared" si="11"/>
        <v>10.488419175242823</v>
      </c>
    </row>
    <row r="9" spans="1:25" s="36" customFormat="1" ht="12.5" x14ac:dyDescent="0.25">
      <c r="A9" s="36">
        <v>2002</v>
      </c>
      <c r="B9" s="40">
        <v>21.290299999999998</v>
      </c>
      <c r="C9" s="40">
        <v>27.677</v>
      </c>
      <c r="D9" s="40">
        <v>34.455300000000001</v>
      </c>
      <c r="E9" s="40">
        <v>36.330500000000001</v>
      </c>
      <c r="F9" s="40">
        <v>40.122399999999999</v>
      </c>
      <c r="G9" s="40">
        <v>42.796599999999998</v>
      </c>
      <c r="H9" s="40">
        <v>48.962299999999999</v>
      </c>
      <c r="I9" s="40">
        <v>51.965400000000002</v>
      </c>
      <c r="J9" s="40">
        <v>56.865299999999998</v>
      </c>
      <c r="K9" s="40">
        <v>66.887200000000007</v>
      </c>
      <c r="L9" s="40">
        <v>42.731900000000003</v>
      </c>
      <c r="N9" s="36">
        <v>2002</v>
      </c>
      <c r="O9" s="40">
        <f t="shared" si="1"/>
        <v>15.704853240251362</v>
      </c>
      <c r="P9" s="40">
        <f t="shared" si="2"/>
        <v>16.338985692392338</v>
      </c>
      <c r="Q9" s="40">
        <f t="shared" si="3"/>
        <v>15.702111369861141</v>
      </c>
      <c r="R9" s="40">
        <f t="shared" si="4"/>
        <v>12.308772819025924</v>
      </c>
      <c r="S9" s="40">
        <f t="shared" si="5"/>
        <v>11.976306718389756</v>
      </c>
      <c r="T9" s="40">
        <f t="shared" si="6"/>
        <v>10.687916999233806</v>
      </c>
      <c r="U9" s="40">
        <f t="shared" si="7"/>
        <v>10.740519184065995</v>
      </c>
      <c r="V9" s="40">
        <f t="shared" si="8"/>
        <v>9.7301147401350061</v>
      </c>
      <c r="W9" s="40">
        <f t="shared" si="9"/>
        <v>8.966610137821581</v>
      </c>
      <c r="X9" s="40">
        <f t="shared" si="10"/>
        <v>7.5718961199681276</v>
      </c>
      <c r="Y9" s="40">
        <f t="shared" si="11"/>
        <v>10.520183057325186</v>
      </c>
    </row>
    <row r="10" spans="1:25" s="36" customFormat="1" ht="12.5" x14ac:dyDescent="0.25">
      <c r="A10" s="36">
        <v>2003</v>
      </c>
      <c r="B10" s="40">
        <v>21.3918</v>
      </c>
      <c r="C10" s="40">
        <v>27.775700000000001</v>
      </c>
      <c r="D10" s="40">
        <v>34.226900000000001</v>
      </c>
      <c r="E10" s="40">
        <v>36.517000000000003</v>
      </c>
      <c r="F10" s="40">
        <v>42.365000000000002</v>
      </c>
      <c r="G10" s="40">
        <v>44.705500000000001</v>
      </c>
      <c r="H10" s="40">
        <v>48.750700000000002</v>
      </c>
      <c r="I10" s="40">
        <v>51.088000000000001</v>
      </c>
      <c r="J10" s="40">
        <v>60.638100000000001</v>
      </c>
      <c r="K10" s="40">
        <v>67.790199999999999</v>
      </c>
      <c r="L10" s="40">
        <v>43.523000000000003</v>
      </c>
      <c r="N10" s="36">
        <v>2003</v>
      </c>
      <c r="O10" s="40">
        <f t="shared" si="1"/>
        <v>15.322640143085229</v>
      </c>
      <c r="P10" s="40">
        <f t="shared" si="2"/>
        <v>16.027043620156807</v>
      </c>
      <c r="Q10" s="40">
        <f t="shared" si="3"/>
        <v>15.265656743611416</v>
      </c>
      <c r="R10" s="40">
        <f t="shared" si="4"/>
        <v>12.240644288894893</v>
      </c>
      <c r="S10" s="40">
        <f t="shared" si="5"/>
        <v>11.713357430067537</v>
      </c>
      <c r="T10" s="40">
        <f t="shared" si="6"/>
        <v>10.866180851769743</v>
      </c>
      <c r="U10" s="40">
        <f t="shared" si="7"/>
        <v>10.185856300629508</v>
      </c>
      <c r="V10" s="40">
        <f t="shared" si="8"/>
        <v>9.1684735733393552</v>
      </c>
      <c r="W10" s="40">
        <f t="shared" si="9"/>
        <v>9.5901535896038475</v>
      </c>
      <c r="X10" s="40">
        <f t="shared" si="10"/>
        <v>7.4906703914750477</v>
      </c>
      <c r="Y10" s="40">
        <f t="shared" si="11"/>
        <v>10.40908321239667</v>
      </c>
    </row>
    <row r="11" spans="1:25" s="36" customFormat="1" ht="12.5" x14ac:dyDescent="0.25">
      <c r="A11" s="36">
        <v>2004</v>
      </c>
      <c r="B11" s="40">
        <v>23.461600000000001</v>
      </c>
      <c r="C11" s="40">
        <v>28.337800000000001</v>
      </c>
      <c r="D11" s="40">
        <v>35.495600000000003</v>
      </c>
      <c r="E11" s="40">
        <v>37.184899999999999</v>
      </c>
      <c r="F11" s="40">
        <v>43.507800000000003</v>
      </c>
      <c r="G11" s="40">
        <v>46.417299999999997</v>
      </c>
      <c r="H11" s="40">
        <v>50.282800000000002</v>
      </c>
      <c r="I11" s="40">
        <v>54.270400000000002</v>
      </c>
      <c r="J11" s="40">
        <v>60.161700000000003</v>
      </c>
      <c r="K11" s="40">
        <v>68.259900000000002</v>
      </c>
      <c r="L11" s="40">
        <v>44.735700000000001</v>
      </c>
      <c r="N11" s="36">
        <v>2004</v>
      </c>
      <c r="O11" s="40">
        <f t="shared" si="1"/>
        <v>15.926750091983266</v>
      </c>
      <c r="P11" s="40">
        <f t="shared" si="2"/>
        <v>15.891258120087571</v>
      </c>
      <c r="Q11" s="40">
        <f t="shared" si="3"/>
        <v>14.26995508628162</v>
      </c>
      <c r="R11" s="40">
        <f t="shared" si="4"/>
        <v>11.884906112664801</v>
      </c>
      <c r="S11" s="40">
        <f t="shared" si="5"/>
        <v>11.654550339568786</v>
      </c>
      <c r="T11" s="40">
        <f t="shared" si="6"/>
        <v>10.650417678060125</v>
      </c>
      <c r="U11" s="40">
        <f t="shared" si="7"/>
        <v>10.268438969700806</v>
      </c>
      <c r="V11" s="40">
        <f t="shared" si="8"/>
        <v>9.5494142030960862</v>
      </c>
      <c r="W11" s="40">
        <f t="shared" si="9"/>
        <v>9.0510465503413382</v>
      </c>
      <c r="X11" s="40">
        <f t="shared" si="10"/>
        <v>7.3741671505543325</v>
      </c>
      <c r="Y11" s="40">
        <f t="shared" si="11"/>
        <v>10.297638175177038</v>
      </c>
    </row>
    <row r="12" spans="1:25" s="36" customFormat="1" ht="12.5" x14ac:dyDescent="0.25">
      <c r="A12" s="36">
        <v>2005</v>
      </c>
      <c r="B12" s="40">
        <v>23.8764</v>
      </c>
      <c r="C12" s="40">
        <v>29.475999999999999</v>
      </c>
      <c r="D12" s="40">
        <v>34.973599999999998</v>
      </c>
      <c r="E12" s="40">
        <v>38.2423</v>
      </c>
      <c r="F12" s="40">
        <v>41.953800000000001</v>
      </c>
      <c r="G12" s="40">
        <v>46.442900000000002</v>
      </c>
      <c r="H12" s="40">
        <v>50.179200000000002</v>
      </c>
      <c r="I12" s="40">
        <v>55.992400000000004</v>
      </c>
      <c r="J12" s="40">
        <v>60.543799999999997</v>
      </c>
      <c r="K12" s="40">
        <v>71.417400000000001</v>
      </c>
      <c r="L12" s="40">
        <v>45.307400000000001</v>
      </c>
      <c r="N12" s="36">
        <v>2005</v>
      </c>
      <c r="O12" s="40">
        <f t="shared" si="1"/>
        <v>15.544409809298365</v>
      </c>
      <c r="P12" s="40">
        <f t="shared" si="2"/>
        <v>16.474088911791306</v>
      </c>
      <c r="Q12" s="40">
        <f t="shared" si="3"/>
        <v>13.221753272774835</v>
      </c>
      <c r="R12" s="40">
        <f t="shared" si="4"/>
        <v>12.330339063930767</v>
      </c>
      <c r="S12" s="40">
        <f t="shared" si="5"/>
        <v>11.762110091228701</v>
      </c>
      <c r="T12" s="40">
        <f t="shared" si="6"/>
        <v>10.68727989352047</v>
      </c>
      <c r="U12" s="40">
        <f t="shared" si="7"/>
        <v>10.474759664309705</v>
      </c>
      <c r="V12" s="40">
        <f t="shared" si="8"/>
        <v>9.5866251167030416</v>
      </c>
      <c r="W12" s="40">
        <f t="shared" si="9"/>
        <v>8.8690736472178937</v>
      </c>
      <c r="X12" s="40">
        <f t="shared" si="10"/>
        <v>7.215848933299668</v>
      </c>
      <c r="Y12" s="40">
        <f t="shared" si="11"/>
        <v>10.219288610083458</v>
      </c>
    </row>
    <row r="13" spans="1:25" s="36" customFormat="1" ht="12.5" x14ac:dyDescent="0.25">
      <c r="A13" s="36">
        <v>2006</v>
      </c>
      <c r="B13" s="40">
        <v>24.471800000000002</v>
      </c>
      <c r="C13" s="40">
        <v>31.379799999999999</v>
      </c>
      <c r="D13" s="40">
        <v>36.609200000000001</v>
      </c>
      <c r="E13" s="40">
        <v>40.132800000000003</v>
      </c>
      <c r="F13" s="40">
        <v>44.582799999999999</v>
      </c>
      <c r="G13" s="40">
        <v>47.365299999999998</v>
      </c>
      <c r="H13" s="40">
        <v>51.867699999999999</v>
      </c>
      <c r="I13" s="40">
        <v>57.808599999999998</v>
      </c>
      <c r="J13" s="40">
        <v>62.741799999999998</v>
      </c>
      <c r="K13" s="40">
        <v>71.917500000000004</v>
      </c>
      <c r="L13" s="40">
        <v>46.888100000000001</v>
      </c>
      <c r="N13" s="36">
        <v>2006</v>
      </c>
      <c r="O13" s="40">
        <f t="shared" si="1"/>
        <v>15.729622092612185</v>
      </c>
      <c r="P13" s="40">
        <f t="shared" si="2"/>
        <v>15.708844866909491</v>
      </c>
      <c r="Q13" s="40">
        <f t="shared" si="3"/>
        <v>13.487697963279944</v>
      </c>
      <c r="R13" s="40">
        <f t="shared" si="4"/>
        <v>12.053502645248392</v>
      </c>
      <c r="S13" s="40">
        <f t="shared" si="5"/>
        <v>11.725277537351921</v>
      </c>
      <c r="T13" s="40">
        <f t="shared" si="6"/>
        <v>10.812504394371187</v>
      </c>
      <c r="U13" s="40">
        <f t="shared" si="7"/>
        <v>10.232598238384144</v>
      </c>
      <c r="V13" s="40">
        <f t="shared" si="8"/>
        <v>9.7304215759692312</v>
      </c>
      <c r="W13" s="40">
        <f t="shared" si="9"/>
        <v>8.7686371868715725</v>
      </c>
      <c r="X13" s="40">
        <f t="shared" si="10"/>
        <v>7.4573904509938993</v>
      </c>
      <c r="Y13" s="40">
        <f t="shared" si="11"/>
        <v>10.285062868870115</v>
      </c>
    </row>
    <row r="14" spans="1:25" s="36" customFormat="1" ht="12.5" x14ac:dyDescent="0.25">
      <c r="A14" s="36">
        <v>2007</v>
      </c>
      <c r="B14" s="40">
        <v>24.4619</v>
      </c>
      <c r="C14" s="40">
        <v>32.304299999999998</v>
      </c>
      <c r="D14" s="40">
        <v>36.675400000000003</v>
      </c>
      <c r="E14" s="40">
        <v>41.489600000000003</v>
      </c>
      <c r="F14" s="40">
        <v>46.890799999999999</v>
      </c>
      <c r="G14" s="40">
        <v>48.715800000000002</v>
      </c>
      <c r="H14" s="40">
        <v>55.192500000000003</v>
      </c>
      <c r="I14" s="40">
        <v>59.318600000000004</v>
      </c>
      <c r="J14" s="40">
        <v>63.115600000000001</v>
      </c>
      <c r="K14" s="40">
        <v>73.0916</v>
      </c>
      <c r="L14" s="40">
        <v>48.121400000000001</v>
      </c>
      <c r="N14" s="36">
        <v>2007</v>
      </c>
      <c r="O14" s="40">
        <f t="shared" si="1"/>
        <v>14.190576356020054</v>
      </c>
      <c r="P14" s="40">
        <f t="shared" si="2"/>
        <v>16.534493630716689</v>
      </c>
      <c r="Q14" s="40">
        <f t="shared" si="3"/>
        <v>14.086813772240504</v>
      </c>
      <c r="R14" s="40">
        <f t="shared" si="4"/>
        <v>12.681718800577208</v>
      </c>
      <c r="S14" s="40">
        <f t="shared" si="5"/>
        <v>11.953321406557416</v>
      </c>
      <c r="T14" s="40">
        <f t="shared" si="6"/>
        <v>10.61810455724223</v>
      </c>
      <c r="U14" s="40">
        <f t="shared" si="7"/>
        <v>10.895969818800275</v>
      </c>
      <c r="V14" s="40">
        <f t="shared" si="8"/>
        <v>9.9061697254830694</v>
      </c>
      <c r="W14" s="40">
        <f t="shared" si="9"/>
        <v>9.0964958754488769</v>
      </c>
      <c r="X14" s="40">
        <f t="shared" si="10"/>
        <v>7.4074847300614159</v>
      </c>
      <c r="Y14" s="40">
        <f t="shared" si="11"/>
        <v>10.48023655200666</v>
      </c>
    </row>
    <row r="15" spans="1:25" s="36" customFormat="1" ht="12.5" x14ac:dyDescent="0.25">
      <c r="A15" s="36">
        <v>2008</v>
      </c>
      <c r="B15" s="40">
        <v>26.4</v>
      </c>
      <c r="C15" s="40">
        <v>33</v>
      </c>
      <c r="D15" s="40">
        <v>37.9</v>
      </c>
      <c r="E15" s="40">
        <v>43.7</v>
      </c>
      <c r="F15" s="40">
        <v>50.1</v>
      </c>
      <c r="G15" s="40">
        <v>52.1</v>
      </c>
      <c r="H15" s="40">
        <v>55.2</v>
      </c>
      <c r="I15" s="40">
        <v>63.4</v>
      </c>
      <c r="J15" s="40">
        <v>65.900000000000006</v>
      </c>
      <c r="K15" s="40">
        <v>79.400000000000006</v>
      </c>
      <c r="L15" s="40">
        <v>50.7</v>
      </c>
      <c r="N15" s="36">
        <v>2008</v>
      </c>
      <c r="O15" s="40">
        <f t="shared" si="1"/>
        <v>17.176317501626546</v>
      </c>
      <c r="P15" s="40">
        <f t="shared" si="2"/>
        <v>16.5</v>
      </c>
      <c r="Q15" s="40">
        <f t="shared" si="3"/>
        <v>14.741345779852196</v>
      </c>
      <c r="R15" s="40">
        <f t="shared" si="4"/>
        <v>13.238412602241745</v>
      </c>
      <c r="S15" s="40">
        <f t="shared" si="5"/>
        <v>12.748091603053435</v>
      </c>
      <c r="T15" s="40">
        <f t="shared" si="6"/>
        <v>11.345818815331011</v>
      </c>
      <c r="U15" s="40">
        <f t="shared" si="7"/>
        <v>10.285075461151481</v>
      </c>
      <c r="V15" s="40">
        <f t="shared" si="8"/>
        <v>10.132651430397953</v>
      </c>
      <c r="W15" s="40">
        <f t="shared" si="9"/>
        <v>9.2764639639639661</v>
      </c>
      <c r="X15" s="40">
        <f t="shared" si="10"/>
        <v>7.5988132835678055</v>
      </c>
      <c r="Y15" s="40">
        <f t="shared" si="11"/>
        <v>10.764331210191083</v>
      </c>
    </row>
    <row r="16" spans="1:25" s="36" customFormat="1" ht="12.5" x14ac:dyDescent="0.25">
      <c r="A16" s="36">
        <v>2009</v>
      </c>
      <c r="B16" s="40">
        <v>25.9</v>
      </c>
      <c r="C16" s="40">
        <v>34.299999999999997</v>
      </c>
      <c r="D16" s="40">
        <v>41.9</v>
      </c>
      <c r="E16" s="40">
        <v>43.9</v>
      </c>
      <c r="F16" s="40">
        <v>50.5</v>
      </c>
      <c r="G16" s="40">
        <v>52.3</v>
      </c>
      <c r="H16" s="40">
        <v>57.5</v>
      </c>
      <c r="I16" s="40">
        <v>64.8</v>
      </c>
      <c r="J16" s="40">
        <v>69.3</v>
      </c>
      <c r="K16" s="40">
        <v>81.400000000000006</v>
      </c>
      <c r="L16" s="40">
        <v>52.2</v>
      </c>
      <c r="N16" s="36">
        <v>2009</v>
      </c>
      <c r="O16" s="40">
        <f t="shared" si="1"/>
        <v>15.918869084204058</v>
      </c>
      <c r="P16" s="40">
        <f t="shared" si="2"/>
        <v>16.050538137576041</v>
      </c>
      <c r="Q16" s="40">
        <f t="shared" si="3"/>
        <v>14.926968293551834</v>
      </c>
      <c r="R16" s="40">
        <f t="shared" si="4"/>
        <v>13.15552891818999</v>
      </c>
      <c r="S16" s="40">
        <f t="shared" si="5"/>
        <v>13.120290984671342</v>
      </c>
      <c r="T16" s="40">
        <f t="shared" si="6"/>
        <v>12.042367027400413</v>
      </c>
      <c r="U16" s="40">
        <f t="shared" si="7"/>
        <v>11.488511488511488</v>
      </c>
      <c r="V16" s="40">
        <f t="shared" si="8"/>
        <v>11.149346180316586</v>
      </c>
      <c r="W16" s="40">
        <f t="shared" si="9"/>
        <v>10.399159663865547</v>
      </c>
      <c r="X16" s="40">
        <f t="shared" si="10"/>
        <v>8.2048180626952938</v>
      </c>
      <c r="Y16" s="40">
        <f t="shared" si="11"/>
        <v>11.472527472527473</v>
      </c>
    </row>
    <row r="17" spans="1:25" s="36" customFormat="1" ht="12.5" x14ac:dyDescent="0.25">
      <c r="A17" s="36">
        <v>2010</v>
      </c>
      <c r="B17" s="40">
        <v>27.2</v>
      </c>
      <c r="C17" s="40">
        <v>34.5</v>
      </c>
      <c r="D17" s="40">
        <v>40</v>
      </c>
      <c r="E17" s="40">
        <v>46.1</v>
      </c>
      <c r="F17" s="40">
        <v>50.7</v>
      </c>
      <c r="G17" s="40">
        <v>54.4</v>
      </c>
      <c r="H17" s="40">
        <v>60.9</v>
      </c>
      <c r="I17" s="40">
        <v>61.2</v>
      </c>
      <c r="J17" s="40">
        <v>73.7</v>
      </c>
      <c r="K17" s="40">
        <v>83.4</v>
      </c>
      <c r="L17" s="40">
        <v>53.2</v>
      </c>
      <c r="N17" s="36">
        <v>2010</v>
      </c>
      <c r="O17" s="40">
        <f t="shared" si="1"/>
        <v>14.655172413793101</v>
      </c>
      <c r="P17" s="40">
        <f t="shared" si="2"/>
        <v>16.061452513966479</v>
      </c>
      <c r="Q17" s="40">
        <f t="shared" si="3"/>
        <v>14.668133480014669</v>
      </c>
      <c r="R17" s="40">
        <f t="shared" si="4"/>
        <v>13.385598141695704</v>
      </c>
      <c r="S17" s="40">
        <f t="shared" si="5"/>
        <v>12.675000000000001</v>
      </c>
      <c r="T17" s="40">
        <f t="shared" si="6"/>
        <v>11.857018308631211</v>
      </c>
      <c r="U17" s="40">
        <f t="shared" si="7"/>
        <v>11.462450592885375</v>
      </c>
      <c r="V17" s="40">
        <f t="shared" si="8"/>
        <v>10.358835477318891</v>
      </c>
      <c r="W17" s="40">
        <f t="shared" si="9"/>
        <v>10.226169002358818</v>
      </c>
      <c r="X17" s="40">
        <f t="shared" si="10"/>
        <v>8.188512518409425</v>
      </c>
      <c r="Y17" s="40">
        <f t="shared" si="11"/>
        <v>11.233108108108109</v>
      </c>
    </row>
    <row r="18" spans="1:25" s="36" customFormat="1" ht="12.5" x14ac:dyDescent="0.25">
      <c r="A18" s="36">
        <v>2011</v>
      </c>
      <c r="B18" s="40">
        <v>29.2</v>
      </c>
      <c r="C18" s="40">
        <v>34</v>
      </c>
      <c r="D18" s="40">
        <v>40.9</v>
      </c>
      <c r="E18" s="40">
        <v>49.1</v>
      </c>
      <c r="F18" s="40">
        <v>54.7</v>
      </c>
      <c r="G18" s="40">
        <v>54.8</v>
      </c>
      <c r="H18" s="40">
        <v>60.6</v>
      </c>
      <c r="I18" s="40">
        <v>66.3</v>
      </c>
      <c r="J18" s="40">
        <v>73.400000000000006</v>
      </c>
      <c r="K18" s="40">
        <v>84.8</v>
      </c>
      <c r="L18" s="40">
        <v>54.8</v>
      </c>
      <c r="N18" s="36">
        <v>2011</v>
      </c>
      <c r="O18" s="40">
        <f t="shared" si="1"/>
        <v>16.487859966120837</v>
      </c>
      <c r="P18" s="40">
        <f t="shared" si="2"/>
        <v>15.503875968992247</v>
      </c>
      <c r="Q18" s="40">
        <f t="shared" si="3"/>
        <v>14.006849315068493</v>
      </c>
      <c r="R18" s="40">
        <f t="shared" si="4"/>
        <v>13.803767219567051</v>
      </c>
      <c r="S18" s="40">
        <f t="shared" si="5"/>
        <v>13.193439459720214</v>
      </c>
      <c r="T18" s="40">
        <f t="shared" si="6"/>
        <v>11.544133136717926</v>
      </c>
      <c r="U18" s="40">
        <f t="shared" si="7"/>
        <v>11.259754738015607</v>
      </c>
      <c r="V18" s="40">
        <f t="shared" si="8"/>
        <v>10.886699507389162</v>
      </c>
      <c r="W18" s="40">
        <f t="shared" si="9"/>
        <v>9.8325519089082398</v>
      </c>
      <c r="X18" s="40">
        <f t="shared" si="10"/>
        <v>8.3943773510195996</v>
      </c>
      <c r="Y18" s="40">
        <f t="shared" si="11"/>
        <v>11.331679073614556</v>
      </c>
    </row>
    <row r="19" spans="1:25" s="36" customFormat="1" ht="12.5" x14ac:dyDescent="0.25">
      <c r="A19" s="36">
        <v>2012</v>
      </c>
      <c r="B19" s="40">
        <v>29</v>
      </c>
      <c r="C19" s="40">
        <v>36.700000000000003</v>
      </c>
      <c r="D19" s="40">
        <v>42.2</v>
      </c>
      <c r="E19" s="40">
        <v>47.8</v>
      </c>
      <c r="F19" s="40">
        <v>54.2</v>
      </c>
      <c r="G19" s="40">
        <v>60.5</v>
      </c>
      <c r="H19" s="40">
        <v>62.3</v>
      </c>
      <c r="I19" s="40">
        <v>72.7</v>
      </c>
      <c r="J19" s="40">
        <v>71.900000000000006</v>
      </c>
      <c r="K19" s="40">
        <v>90.6</v>
      </c>
      <c r="L19" s="40">
        <v>56.8</v>
      </c>
      <c r="N19" s="36">
        <v>2012</v>
      </c>
      <c r="O19" s="40">
        <f t="shared" si="1"/>
        <v>15.018125323666496</v>
      </c>
      <c r="P19" s="40">
        <f t="shared" si="2"/>
        <v>16.435288849081953</v>
      </c>
      <c r="Q19" s="40">
        <f t="shared" si="3"/>
        <v>14.996446339729925</v>
      </c>
      <c r="R19" s="40">
        <f t="shared" si="4"/>
        <v>13.045851528384281</v>
      </c>
      <c r="S19" s="40">
        <f t="shared" si="5"/>
        <v>13.161728994657601</v>
      </c>
      <c r="T19" s="40">
        <f t="shared" si="6"/>
        <v>12.5</v>
      </c>
      <c r="U19" s="40">
        <f t="shared" si="7"/>
        <v>11.723748588633798</v>
      </c>
      <c r="V19" s="40">
        <f t="shared" si="8"/>
        <v>11.552518671539808</v>
      </c>
      <c r="W19" s="40">
        <f t="shared" si="9"/>
        <v>10.116786267060645</v>
      </c>
      <c r="X19" s="40">
        <f t="shared" si="10"/>
        <v>8.5633270321361046</v>
      </c>
      <c r="Y19" s="40">
        <f t="shared" si="11"/>
        <v>11.615541922290388</v>
      </c>
    </row>
    <row r="20" spans="1:25" s="36" customFormat="1" ht="12.5" x14ac:dyDescent="0.25">
      <c r="A20" s="36">
        <v>2013</v>
      </c>
      <c r="B20" s="40">
        <v>30.7</v>
      </c>
      <c r="C20" s="40">
        <v>38.5</v>
      </c>
      <c r="D20" s="40">
        <v>41.7</v>
      </c>
      <c r="E20" s="40">
        <v>47.9</v>
      </c>
      <c r="F20" s="40">
        <v>55.8</v>
      </c>
      <c r="G20" s="40">
        <v>61</v>
      </c>
      <c r="H20" s="40">
        <v>66.400000000000006</v>
      </c>
      <c r="I20" s="40">
        <v>72.900000000000006</v>
      </c>
      <c r="J20" s="40">
        <v>79.900000000000006</v>
      </c>
      <c r="K20" s="40">
        <v>93.2</v>
      </c>
      <c r="L20" s="40">
        <v>58.8</v>
      </c>
      <c r="N20" s="36">
        <v>2013</v>
      </c>
      <c r="O20" s="40">
        <f t="shared" si="1"/>
        <v>15.63932755985736</v>
      </c>
      <c r="P20" s="40">
        <f t="shared" si="2"/>
        <v>16.790231138246835</v>
      </c>
      <c r="Q20" s="40">
        <f t="shared" si="3"/>
        <v>13.512637718729748</v>
      </c>
      <c r="R20" s="40">
        <f t="shared" si="4"/>
        <v>12.725823591923485</v>
      </c>
      <c r="S20" s="40">
        <f t="shared" si="5"/>
        <v>12.604472554777502</v>
      </c>
      <c r="T20" s="40">
        <f t="shared" si="6"/>
        <v>11.858475894245723</v>
      </c>
      <c r="U20" s="40">
        <f t="shared" si="7"/>
        <v>11.60636252403426</v>
      </c>
      <c r="V20" s="40">
        <f t="shared" si="8"/>
        <v>11.337480559875585</v>
      </c>
      <c r="W20" s="40">
        <f t="shared" si="9"/>
        <v>10.344381149663388</v>
      </c>
      <c r="X20" s="40">
        <f t="shared" si="10"/>
        <v>8.3281208113662775</v>
      </c>
      <c r="Y20" s="40">
        <f t="shared" si="11"/>
        <v>11.366711772665765</v>
      </c>
    </row>
    <row r="21" spans="1:25" s="36" customFormat="1" ht="12.5" x14ac:dyDescent="0.25">
      <c r="A21" s="36">
        <v>2014</v>
      </c>
      <c r="B21" s="40">
        <v>30.4</v>
      </c>
      <c r="C21" s="40">
        <v>37.4</v>
      </c>
      <c r="D21" s="40">
        <v>45.5</v>
      </c>
      <c r="E21" s="40">
        <v>51.6</v>
      </c>
      <c r="F21" s="40">
        <v>56.9</v>
      </c>
      <c r="G21" s="40">
        <v>61.6</v>
      </c>
      <c r="H21" s="40">
        <v>66.3</v>
      </c>
      <c r="I21" s="40">
        <v>69.5</v>
      </c>
      <c r="J21" s="40">
        <v>77.5</v>
      </c>
      <c r="K21" s="40">
        <v>91</v>
      </c>
      <c r="L21" s="40">
        <v>58.8</v>
      </c>
      <c r="N21" s="36">
        <v>2014</v>
      </c>
      <c r="O21" s="40">
        <f t="shared" si="1"/>
        <v>15.966386554621847</v>
      </c>
      <c r="P21" s="40">
        <f t="shared" si="2"/>
        <v>14.989979959919838</v>
      </c>
      <c r="Q21" s="40">
        <f t="shared" si="3"/>
        <v>14.236545682102628</v>
      </c>
      <c r="R21" s="40">
        <f t="shared" si="4"/>
        <v>13.749000799360511</v>
      </c>
      <c r="S21" s="40">
        <f t="shared" si="5"/>
        <v>12.789390874353787</v>
      </c>
      <c r="T21" s="40">
        <f t="shared" si="6"/>
        <v>11.857555341674688</v>
      </c>
      <c r="U21" s="40">
        <f t="shared" si="7"/>
        <v>11.171019376579611</v>
      </c>
      <c r="V21" s="40">
        <f t="shared" si="8"/>
        <v>10.134149897929426</v>
      </c>
      <c r="W21" s="40">
        <f t="shared" si="9"/>
        <v>9.9308047155304973</v>
      </c>
      <c r="X21" s="40">
        <f t="shared" si="10"/>
        <v>7.8726533437148545</v>
      </c>
      <c r="Y21" s="40">
        <f t="shared" si="11"/>
        <v>11.067193675889328</v>
      </c>
    </row>
    <row r="22" spans="1:25" s="36" customFormat="1" ht="12.5" x14ac:dyDescent="0.25">
      <c r="A22" s="36" t="s">
        <v>45</v>
      </c>
      <c r="B22" s="40">
        <v>29.4</v>
      </c>
      <c r="C22" s="40">
        <v>37.1</v>
      </c>
      <c r="D22" s="40">
        <v>43.6</v>
      </c>
      <c r="E22" s="40">
        <v>49.2</v>
      </c>
      <c r="F22" s="40">
        <v>53.9</v>
      </c>
      <c r="G22" s="40">
        <v>57</v>
      </c>
      <c r="H22" s="40">
        <v>66.5</v>
      </c>
      <c r="I22" s="40">
        <v>69.2</v>
      </c>
      <c r="J22" s="40">
        <v>73.599999999999994</v>
      </c>
      <c r="K22" s="40">
        <v>88.8</v>
      </c>
      <c r="L22" s="40">
        <v>56.8</v>
      </c>
      <c r="N22" s="36" t="s">
        <v>45</v>
      </c>
      <c r="O22" s="40">
        <f t="shared" si="1"/>
        <v>16.333333333333332</v>
      </c>
      <c r="P22" s="40">
        <f t="shared" si="2"/>
        <v>14.209115281501338</v>
      </c>
      <c r="Q22" s="40">
        <f t="shared" si="3"/>
        <v>14.155844155844155</v>
      </c>
      <c r="R22" s="40">
        <f t="shared" si="4"/>
        <v>13.290113452188008</v>
      </c>
      <c r="S22" s="40">
        <f t="shared" si="5"/>
        <v>11.654054054054054</v>
      </c>
      <c r="T22" s="40">
        <f t="shared" si="6"/>
        <v>10.497237569060774</v>
      </c>
      <c r="U22" s="40">
        <f t="shared" si="7"/>
        <v>11.326860841423949</v>
      </c>
      <c r="V22" s="40">
        <f t="shared" si="8"/>
        <v>10.456331217890602</v>
      </c>
      <c r="W22" s="40">
        <f t="shared" si="9"/>
        <v>9.4358974358974343</v>
      </c>
      <c r="X22" s="40">
        <f t="shared" si="10"/>
        <v>7.8155254356627344</v>
      </c>
      <c r="Y22" s="40">
        <f t="shared" si="11"/>
        <v>10.739270183399508</v>
      </c>
    </row>
    <row r="23" spans="1:25" s="36" customFormat="1" ht="12.5" x14ac:dyDescent="0.25">
      <c r="A23" s="36" t="s">
        <v>46</v>
      </c>
      <c r="B23" s="40">
        <v>28.5</v>
      </c>
      <c r="C23" s="40">
        <v>37.200000000000003</v>
      </c>
      <c r="D23" s="40">
        <v>44.7</v>
      </c>
      <c r="E23" s="40">
        <v>52</v>
      </c>
      <c r="F23" s="40">
        <v>57.3</v>
      </c>
      <c r="G23" s="40">
        <v>61</v>
      </c>
      <c r="H23" s="40">
        <v>64.2</v>
      </c>
      <c r="I23" s="40">
        <v>70.3</v>
      </c>
      <c r="J23" s="40">
        <v>79.3</v>
      </c>
      <c r="K23" s="40">
        <v>85.4</v>
      </c>
      <c r="L23" s="40">
        <v>58</v>
      </c>
      <c r="N23" s="36" t="s">
        <v>46</v>
      </c>
      <c r="O23" s="40">
        <f t="shared" si="1"/>
        <v>13.754826254826256</v>
      </c>
      <c r="P23" s="40">
        <f t="shared" si="2"/>
        <v>14.037735849056604</v>
      </c>
      <c r="Q23" s="40">
        <f t="shared" si="3"/>
        <v>13.256227758007119</v>
      </c>
      <c r="R23" s="40">
        <f t="shared" si="4"/>
        <v>12.258368694012258</v>
      </c>
      <c r="S23" s="40">
        <f t="shared" si="5"/>
        <v>11.321873147599288</v>
      </c>
      <c r="T23" s="40">
        <f t="shared" si="6"/>
        <v>11.024760527742636</v>
      </c>
      <c r="U23" s="40">
        <f t="shared" si="7"/>
        <v>10.510805500982318</v>
      </c>
      <c r="V23" s="40">
        <f t="shared" si="8"/>
        <v>10.018526435798773</v>
      </c>
      <c r="W23" s="40">
        <f t="shared" si="9"/>
        <v>9.6742710747834568</v>
      </c>
      <c r="X23" s="40">
        <f t="shared" si="10"/>
        <v>7.6468481375358177</v>
      </c>
      <c r="Y23" s="40">
        <f t="shared" si="11"/>
        <v>10.465535907614578</v>
      </c>
    </row>
    <row r="24" spans="1:25" s="36" customFormat="1" ht="12.5" x14ac:dyDescent="0.25">
      <c r="A24" s="36" t="s">
        <v>47</v>
      </c>
      <c r="B24" s="40">
        <v>30.6</v>
      </c>
      <c r="C24" s="40">
        <v>40</v>
      </c>
      <c r="D24" s="40">
        <v>48.4</v>
      </c>
      <c r="E24" s="40">
        <v>52.7</v>
      </c>
      <c r="F24" s="40">
        <v>56.6</v>
      </c>
      <c r="G24" s="40">
        <v>63.6</v>
      </c>
      <c r="H24" s="40">
        <v>67</v>
      </c>
      <c r="I24" s="40">
        <v>75.2</v>
      </c>
      <c r="J24" s="40">
        <v>83.2</v>
      </c>
      <c r="K24" s="40">
        <v>92.9</v>
      </c>
      <c r="L24" s="40">
        <v>61</v>
      </c>
      <c r="N24" s="36" t="s">
        <v>47</v>
      </c>
      <c r="O24" s="40">
        <f t="shared" si="1"/>
        <v>14.3796992481203</v>
      </c>
      <c r="P24" s="40">
        <f t="shared" si="2"/>
        <v>15.077271013946476</v>
      </c>
      <c r="Q24" s="40">
        <f t="shared" si="3"/>
        <v>13.568825343425846</v>
      </c>
      <c r="R24" s="40">
        <f t="shared" si="4"/>
        <v>12.452741020793951</v>
      </c>
      <c r="S24" s="40">
        <f t="shared" si="5"/>
        <v>11.638906025087396</v>
      </c>
      <c r="T24" s="40">
        <f t="shared" si="6"/>
        <v>10.971191995859927</v>
      </c>
      <c r="U24" s="40">
        <f t="shared" si="7"/>
        <v>10.424770499455422</v>
      </c>
      <c r="V24" s="40">
        <f t="shared" si="8"/>
        <v>10.278840896664844</v>
      </c>
      <c r="W24" s="40">
        <f t="shared" si="9"/>
        <v>10.066545674531156</v>
      </c>
      <c r="X24" s="40">
        <f t="shared" si="10"/>
        <v>7.5295834008753451</v>
      </c>
      <c r="Y24" s="40">
        <f t="shared" si="11"/>
        <v>10.595796421747437</v>
      </c>
    </row>
    <row r="25" spans="1:25" s="36" customFormat="1" ht="12.5" x14ac:dyDescent="0.25">
      <c r="A25" s="36" t="s">
        <v>48</v>
      </c>
      <c r="B25" s="40">
        <v>32.799999999999997</v>
      </c>
      <c r="C25" s="40">
        <v>41.1</v>
      </c>
      <c r="D25" s="40">
        <v>46.3</v>
      </c>
      <c r="E25" s="40">
        <v>52.1</v>
      </c>
      <c r="F25" s="40">
        <v>58.2</v>
      </c>
      <c r="G25" s="40">
        <v>66</v>
      </c>
      <c r="H25" s="40">
        <v>67</v>
      </c>
      <c r="I25" s="40">
        <v>73.400000000000006</v>
      </c>
      <c r="J25" s="40">
        <v>83.3</v>
      </c>
      <c r="K25" s="40">
        <v>98.9</v>
      </c>
      <c r="L25" s="40">
        <v>61.9</v>
      </c>
      <c r="N25" s="36" t="s">
        <v>48</v>
      </c>
      <c r="O25" s="40">
        <f t="shared" si="1"/>
        <v>13.845504432249891</v>
      </c>
      <c r="P25" s="40">
        <f t="shared" si="2"/>
        <v>14.094650205761317</v>
      </c>
      <c r="Q25" s="40">
        <f t="shared" si="3"/>
        <v>12.800663533314902</v>
      </c>
      <c r="R25" s="40">
        <f t="shared" si="4"/>
        <v>11.996315910660833</v>
      </c>
      <c r="S25" s="40">
        <f t="shared" si="5"/>
        <v>11.033175355450238</v>
      </c>
      <c r="T25" s="40">
        <f t="shared" si="6"/>
        <v>11.205432937181664</v>
      </c>
      <c r="U25" s="40">
        <f t="shared" si="7"/>
        <v>10.406958682820752</v>
      </c>
      <c r="V25" s="40">
        <f t="shared" si="8"/>
        <v>9.7554492291334416</v>
      </c>
      <c r="W25" s="40">
        <f t="shared" si="9"/>
        <v>9.5330739299610912</v>
      </c>
      <c r="X25" s="40">
        <f t="shared" si="10"/>
        <v>8.1776087316024473</v>
      </c>
      <c r="Y25" s="40">
        <f t="shared" si="11"/>
        <v>10.456081081081081</v>
      </c>
    </row>
    <row r="26" spans="1:25" s="36" customFormat="1" ht="12.5" x14ac:dyDescent="0.25">
      <c r="A26" s="36" t="s">
        <v>49</v>
      </c>
      <c r="B26" s="40">
        <v>34.4</v>
      </c>
      <c r="C26" s="40">
        <v>41.3</v>
      </c>
      <c r="D26" s="40">
        <v>48.5</v>
      </c>
      <c r="E26" s="40">
        <v>54.3</v>
      </c>
      <c r="F26" s="40">
        <v>61.9</v>
      </c>
      <c r="G26" s="40">
        <v>64.400000000000006</v>
      </c>
      <c r="H26" s="40">
        <v>74</v>
      </c>
      <c r="I26" s="40">
        <v>76.900000000000006</v>
      </c>
      <c r="J26" s="40">
        <v>82.6</v>
      </c>
      <c r="K26" s="40">
        <v>98.7</v>
      </c>
      <c r="L26" s="40">
        <v>63.7</v>
      </c>
      <c r="N26" s="36" t="s">
        <v>49</v>
      </c>
      <c r="O26" s="40">
        <f t="shared" si="1"/>
        <v>14.046549612086565</v>
      </c>
      <c r="P26" s="40">
        <f t="shared" si="2"/>
        <v>14.385231626610933</v>
      </c>
      <c r="Q26" s="40">
        <f t="shared" si="3"/>
        <v>13.353524229074889</v>
      </c>
      <c r="R26" s="40">
        <f t="shared" si="4"/>
        <v>12.454128440366972</v>
      </c>
      <c r="S26" s="40">
        <f t="shared" si="5"/>
        <v>12.01708406134731</v>
      </c>
      <c r="T26" s="40">
        <f t="shared" si="6"/>
        <v>11.023622047244094</v>
      </c>
      <c r="U26" s="40">
        <f t="shared" si="7"/>
        <v>11.375864719446579</v>
      </c>
      <c r="V26" s="40">
        <f t="shared" si="8"/>
        <v>10.093188082425517</v>
      </c>
      <c r="W26" s="40">
        <f t="shared" si="9"/>
        <v>9.8662207357859515</v>
      </c>
      <c r="X26" s="40">
        <f t="shared" si="10"/>
        <v>8.2284285118799492</v>
      </c>
      <c r="Y26" s="40">
        <f t="shared" si="11"/>
        <v>10.8351760503487</v>
      </c>
    </row>
    <row r="27" spans="1:25" x14ac:dyDescent="0.35">
      <c r="A27" s="36" t="s">
        <v>50</v>
      </c>
      <c r="B27" s="40">
        <v>36.6</v>
      </c>
      <c r="C27" s="40">
        <v>42.7</v>
      </c>
      <c r="D27" s="40">
        <v>55</v>
      </c>
      <c r="E27" s="40">
        <v>58.8</v>
      </c>
      <c r="F27" s="40">
        <v>64.2</v>
      </c>
      <c r="G27" s="40">
        <v>70.2</v>
      </c>
      <c r="H27" s="40">
        <v>76.2</v>
      </c>
      <c r="I27" s="40">
        <v>84.3</v>
      </c>
      <c r="J27" s="40">
        <v>92</v>
      </c>
      <c r="K27" s="40">
        <v>112.2</v>
      </c>
      <c r="L27" s="40">
        <v>69.2</v>
      </c>
      <c r="N27" s="36" t="s">
        <v>50</v>
      </c>
      <c r="O27" s="40">
        <f t="shared" si="1"/>
        <v>18.118811881188119</v>
      </c>
      <c r="P27" s="40">
        <f t="shared" si="2"/>
        <v>17.045908183632736</v>
      </c>
      <c r="Q27" s="40">
        <f t="shared" si="3"/>
        <v>15.93279258400927</v>
      </c>
      <c r="R27" s="40">
        <f t="shared" si="4"/>
        <v>16.891697787991955</v>
      </c>
      <c r="S27" s="40">
        <f t="shared" si="5"/>
        <v>14.76201425615084</v>
      </c>
      <c r="T27" s="40">
        <f t="shared" si="6"/>
        <v>14.471243042671613</v>
      </c>
      <c r="U27" s="40">
        <f t="shared" si="7"/>
        <v>14.796116504854369</v>
      </c>
      <c r="V27" s="40">
        <f t="shared" si="8"/>
        <v>13.862851504686729</v>
      </c>
      <c r="W27" s="40">
        <f t="shared" si="9"/>
        <v>13.426736719206071</v>
      </c>
      <c r="X27" s="40">
        <f t="shared" si="10"/>
        <v>11.91968554127271</v>
      </c>
      <c r="Y27" s="40">
        <f t="shared" si="11"/>
        <v>14.371754932502597</v>
      </c>
    </row>
    <row r="28" spans="1:25" x14ac:dyDescent="0.35">
      <c r="A28" s="36" t="s">
        <v>51</v>
      </c>
      <c r="B28" s="40">
        <v>35.299999999999997</v>
      </c>
      <c r="C28" s="40">
        <v>42.4</v>
      </c>
      <c r="D28" s="40">
        <v>47.9</v>
      </c>
      <c r="E28" s="40">
        <v>52.3</v>
      </c>
      <c r="F28" s="40">
        <v>60.4</v>
      </c>
      <c r="G28" s="40">
        <v>66.900000000000006</v>
      </c>
      <c r="H28" s="40">
        <v>68.8</v>
      </c>
      <c r="I28" s="40">
        <v>74.3</v>
      </c>
      <c r="J28" s="40">
        <v>82.7</v>
      </c>
      <c r="K28" s="40">
        <v>90.9</v>
      </c>
      <c r="L28" s="40">
        <v>62.2</v>
      </c>
      <c r="N28" s="36" t="s">
        <v>51</v>
      </c>
      <c r="O28" s="40">
        <f t="shared" si="1"/>
        <v>14.007936507936508</v>
      </c>
      <c r="P28" s="40">
        <f t="shared" si="2"/>
        <v>14.950634696755994</v>
      </c>
      <c r="Q28" s="40">
        <f t="shared" si="3"/>
        <v>13.701372997711669</v>
      </c>
      <c r="R28" s="40">
        <f t="shared" si="4"/>
        <v>12.642011119168478</v>
      </c>
      <c r="S28" s="40">
        <f t="shared" si="5"/>
        <v>12.351738241308793</v>
      </c>
      <c r="T28" s="40">
        <f t="shared" si="6"/>
        <v>13.023165271559275</v>
      </c>
      <c r="U28" s="40">
        <f t="shared" si="7"/>
        <v>12.040602030101505</v>
      </c>
      <c r="V28" s="40">
        <f t="shared" si="8"/>
        <v>11.238844350325214</v>
      </c>
      <c r="W28" s="40">
        <f t="shared" si="9"/>
        <v>10.991493886230728</v>
      </c>
      <c r="X28" s="40">
        <f t="shared" si="10"/>
        <v>9.0655230876633084</v>
      </c>
      <c r="Y28" s="40">
        <f t="shared" si="11"/>
        <v>11.762481089258699</v>
      </c>
    </row>
    <row r="29" spans="1:25" x14ac:dyDescent="0.35">
      <c r="A29" s="36" t="s">
        <v>52</v>
      </c>
      <c r="B29" s="40">
        <v>35.4</v>
      </c>
      <c r="C29" s="40">
        <v>45.3</v>
      </c>
      <c r="D29" s="40">
        <v>50.2</v>
      </c>
      <c r="E29" s="40">
        <v>57.7</v>
      </c>
      <c r="F29" s="40">
        <v>64.099999999999994</v>
      </c>
      <c r="G29" s="40">
        <v>70.3</v>
      </c>
      <c r="H29" s="40">
        <v>67.5</v>
      </c>
      <c r="I29" s="40">
        <v>75.3</v>
      </c>
      <c r="J29" s="40">
        <v>80.3</v>
      </c>
      <c r="K29" s="40">
        <v>88.9</v>
      </c>
      <c r="L29" s="40">
        <v>63.5</v>
      </c>
      <c r="N29" s="36" t="s">
        <v>52</v>
      </c>
      <c r="O29" s="40">
        <f t="shared" si="1"/>
        <v>13.516609392898054</v>
      </c>
      <c r="P29" s="40">
        <f t="shared" si="2"/>
        <v>14.254247954688481</v>
      </c>
      <c r="Q29" s="40">
        <f t="shared" si="3"/>
        <v>12.419594260267196</v>
      </c>
      <c r="R29" s="40">
        <f t="shared" si="4"/>
        <v>12.376662376662377</v>
      </c>
      <c r="S29" s="40">
        <f t="shared" si="5"/>
        <v>12.595794851640793</v>
      </c>
      <c r="T29" s="40">
        <f t="shared" si="6"/>
        <v>12.20698037853794</v>
      </c>
      <c r="U29" s="40">
        <f t="shared" si="7"/>
        <v>11.061946902654867</v>
      </c>
      <c r="V29" s="40">
        <f t="shared" si="8"/>
        <v>10.634091230052253</v>
      </c>
      <c r="W29" s="40">
        <f t="shared" si="9"/>
        <v>10.080341451167461</v>
      </c>
      <c r="X29" s="40">
        <f t="shared" si="10"/>
        <v>8.6335825968728752</v>
      </c>
      <c r="Y29" s="40">
        <f t="shared" si="11"/>
        <v>11.185485291527215</v>
      </c>
    </row>
    <row r="30" spans="1:25" x14ac:dyDescent="0.35">
      <c r="A30" s="36" t="s">
        <v>53</v>
      </c>
      <c r="B30" s="40">
        <v>38.1</v>
      </c>
      <c r="C30" s="40">
        <v>48.3</v>
      </c>
      <c r="D30" s="40">
        <v>57</v>
      </c>
      <c r="E30" s="40">
        <v>62.5</v>
      </c>
      <c r="F30" s="40">
        <v>68.599999999999994</v>
      </c>
      <c r="G30" s="40">
        <v>71.3</v>
      </c>
      <c r="H30" s="40">
        <v>76.7</v>
      </c>
      <c r="I30" s="40">
        <v>88.7</v>
      </c>
      <c r="J30" s="40">
        <v>93.2</v>
      </c>
      <c r="K30" s="40">
        <v>100.9</v>
      </c>
      <c r="L30" s="40">
        <v>70.5</v>
      </c>
      <c r="N30" s="36" t="s">
        <v>53</v>
      </c>
      <c r="O30" s="40">
        <f t="shared" si="1"/>
        <v>13.340336134453782</v>
      </c>
      <c r="P30" s="40">
        <f t="shared" si="2"/>
        <v>15.145813734713077</v>
      </c>
      <c r="Q30" s="40">
        <f t="shared" si="3"/>
        <v>13.396004700352526</v>
      </c>
      <c r="R30" s="40">
        <f t="shared" si="4"/>
        <v>12.662074554294975</v>
      </c>
      <c r="S30" s="40">
        <f t="shared" si="5"/>
        <v>11.872620283835237</v>
      </c>
      <c r="T30" s="40">
        <f t="shared" si="6"/>
        <v>11.725045222825193</v>
      </c>
      <c r="U30" s="40">
        <f t="shared" si="7"/>
        <v>10.983817843333812</v>
      </c>
      <c r="V30" s="40">
        <f t="shared" si="8"/>
        <v>11.538961883699752</v>
      </c>
      <c r="W30" s="40">
        <f t="shared" si="9"/>
        <v>10.557317625736294</v>
      </c>
      <c r="X30" s="40">
        <f t="shared" si="10"/>
        <v>8.592352891084051</v>
      </c>
      <c r="Y30" s="40">
        <f t="shared" si="11"/>
        <v>11.31076528156586</v>
      </c>
    </row>
    <row r="32" spans="1:25" s="36" customFormat="1" ht="13" x14ac:dyDescent="0.3">
      <c r="A32" s="35" t="s">
        <v>54</v>
      </c>
      <c r="N32" s="35" t="s">
        <v>55</v>
      </c>
    </row>
    <row r="33" spans="1:25" s="36" customFormat="1" ht="13" x14ac:dyDescent="0.3">
      <c r="B33" s="62" t="s">
        <v>25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O33" s="62" t="s">
        <v>25</v>
      </c>
      <c r="P33" s="62"/>
      <c r="Q33" s="62"/>
      <c r="R33" s="62"/>
      <c r="S33" s="62"/>
      <c r="T33" s="62"/>
      <c r="U33" s="62"/>
      <c r="V33" s="62"/>
      <c r="W33" s="62"/>
      <c r="X33" s="62"/>
      <c r="Y33" s="62"/>
    </row>
    <row r="34" spans="1:25" s="36" customFormat="1" ht="12.5" x14ac:dyDescent="0.25">
      <c r="B34" s="37" t="s">
        <v>34</v>
      </c>
      <c r="C34" s="38" t="s">
        <v>35</v>
      </c>
      <c r="D34" s="39" t="s">
        <v>36</v>
      </c>
      <c r="E34" s="39" t="s">
        <v>37</v>
      </c>
      <c r="F34" s="39" t="s">
        <v>38</v>
      </c>
      <c r="G34" s="39" t="s">
        <v>39</v>
      </c>
      <c r="H34" s="39" t="s">
        <v>40</v>
      </c>
      <c r="I34" s="39" t="s">
        <v>41</v>
      </c>
      <c r="J34" s="39" t="s">
        <v>42</v>
      </c>
      <c r="K34" s="39" t="s">
        <v>43</v>
      </c>
      <c r="L34" s="37" t="s">
        <v>44</v>
      </c>
      <c r="O34" s="37" t="s">
        <v>34</v>
      </c>
      <c r="P34" s="38" t="s">
        <v>35</v>
      </c>
      <c r="Q34" s="39" t="s">
        <v>36</v>
      </c>
      <c r="R34" s="39" t="s">
        <v>37</v>
      </c>
      <c r="S34" s="39" t="s">
        <v>38</v>
      </c>
      <c r="T34" s="39" t="s">
        <v>39</v>
      </c>
      <c r="U34" s="39" t="s">
        <v>40</v>
      </c>
      <c r="V34" s="39" t="s">
        <v>41</v>
      </c>
      <c r="W34" s="39" t="s">
        <v>42</v>
      </c>
      <c r="X34" s="39" t="s">
        <v>43</v>
      </c>
      <c r="Y34" s="37" t="s">
        <v>44</v>
      </c>
    </row>
    <row r="35" spans="1:25" s="36" customFormat="1" ht="12.5" x14ac:dyDescent="0.25">
      <c r="A35" s="36">
        <v>1997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N35" s="36">
        <v>1997</v>
      </c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spans="1:25" s="36" customFormat="1" ht="12.5" x14ac:dyDescent="0.25">
      <c r="A36" s="36">
        <v>1998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N36" s="36">
        <v>1998</v>
      </c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spans="1:25" s="36" customFormat="1" ht="12.5" x14ac:dyDescent="0.25">
      <c r="A37" s="36">
        <v>1999</v>
      </c>
      <c r="B37" s="40">
        <v>7.8</v>
      </c>
      <c r="C37" s="40">
        <v>9.8000000000000007</v>
      </c>
      <c r="D37" s="40">
        <v>9.8000000000000007</v>
      </c>
      <c r="E37" s="40">
        <v>10.3</v>
      </c>
      <c r="F37" s="40">
        <v>10.8</v>
      </c>
      <c r="G37" s="40">
        <v>11.4</v>
      </c>
      <c r="H37" s="40">
        <v>12.1</v>
      </c>
      <c r="I37" s="40">
        <v>12.3</v>
      </c>
      <c r="J37" s="40">
        <v>13.4</v>
      </c>
      <c r="K37" s="40">
        <v>15.9</v>
      </c>
      <c r="L37" s="40">
        <v>11.3</v>
      </c>
      <c r="N37" s="36">
        <v>1999</v>
      </c>
      <c r="O37" s="40">
        <f>100*(B37/B192)</f>
        <v>6.5162907268170418</v>
      </c>
      <c r="P37" s="40">
        <f t="shared" ref="P37:Y37" si="12">100*(C37/C192)</f>
        <v>6.6757493188010901</v>
      </c>
      <c r="Q37" s="40">
        <f t="shared" si="12"/>
        <v>5.5025266704098827</v>
      </c>
      <c r="R37" s="40">
        <f t="shared" si="12"/>
        <v>4.2075163398692812</v>
      </c>
      <c r="S37" s="40">
        <f t="shared" si="12"/>
        <v>3.6000000000000005</v>
      </c>
      <c r="T37" s="40">
        <f t="shared" si="12"/>
        <v>3.150912106135987</v>
      </c>
      <c r="U37" s="40">
        <f t="shared" si="12"/>
        <v>2.9304916444659725</v>
      </c>
      <c r="V37" s="40">
        <f t="shared" si="12"/>
        <v>2.5529265255292652</v>
      </c>
      <c r="W37" s="40">
        <f t="shared" si="12"/>
        <v>2.3708421797593768</v>
      </c>
      <c r="X37" s="40">
        <f t="shared" si="12"/>
        <v>2.0319488817891371</v>
      </c>
      <c r="Y37" s="40">
        <f t="shared" si="12"/>
        <v>3.1441291040623263</v>
      </c>
    </row>
    <row r="38" spans="1:25" s="36" customFormat="1" ht="12.5" x14ac:dyDescent="0.25">
      <c r="A38" s="36">
        <v>2000</v>
      </c>
      <c r="B38" s="40">
        <v>8.6447000000000003</v>
      </c>
      <c r="C38" s="40">
        <v>9.3991000000000007</v>
      </c>
      <c r="D38" s="40">
        <v>11.7925</v>
      </c>
      <c r="E38" s="40">
        <v>10.563000000000001</v>
      </c>
      <c r="F38" s="40">
        <v>11.1523</v>
      </c>
      <c r="G38" s="40">
        <v>11.498200000000001</v>
      </c>
      <c r="H38" s="40">
        <v>12.4779</v>
      </c>
      <c r="I38" s="40">
        <v>13.305099999999999</v>
      </c>
      <c r="J38" s="40">
        <v>13.3857</v>
      </c>
      <c r="K38" s="40">
        <v>16.593</v>
      </c>
      <c r="L38" s="40">
        <v>11.8819</v>
      </c>
      <c r="N38" s="36">
        <v>2000</v>
      </c>
      <c r="O38" s="40">
        <f t="shared" ref="O38:O61" si="13">100*(B38/B193)</f>
        <v>6.8254888151266613</v>
      </c>
      <c r="P38" s="40">
        <f t="shared" ref="P38:P61" si="14">100*(C38/C193)</f>
        <v>6.1114311611400609</v>
      </c>
      <c r="Q38" s="40">
        <f t="shared" ref="Q38:Q61" si="15">100*(D38/D193)</f>
        <v>5.4816686585216763</v>
      </c>
      <c r="R38" s="40">
        <f t="shared" ref="R38:R61" si="16">100*(E38/E193)</f>
        <v>3.9607962539109254</v>
      </c>
      <c r="S38" s="40">
        <f t="shared" ref="S38:S61" si="17">100*(F38/F193)</f>
        <v>3.3895765422811857</v>
      </c>
      <c r="T38" s="40">
        <f t="shared" ref="T38:T61" si="18">100*(G38/G193)</f>
        <v>3.105980488687734</v>
      </c>
      <c r="U38" s="40">
        <f t="shared" ref="U38:U61" si="19">100*(H38/H193)</f>
        <v>2.7849608232015566</v>
      </c>
      <c r="V38" s="40">
        <f t="shared" ref="V38:V61" si="20">100*(I38/I193)</f>
        <v>2.6584657461111365</v>
      </c>
      <c r="W38" s="40">
        <f t="shared" ref="W38:W61" si="21">100*(J38/J193)</f>
        <v>2.2409780030673927</v>
      </c>
      <c r="X38" s="40">
        <f t="shared" ref="X38:X61" si="22">100*(K38/K193)</f>
        <v>1.9543225827727988</v>
      </c>
      <c r="Y38" s="40">
        <f t="shared" ref="Y38:Y61" si="23">100*(L38/L193)</f>
        <v>3.0804725124754744</v>
      </c>
    </row>
    <row r="39" spans="1:25" s="36" customFormat="1" ht="12.5" x14ac:dyDescent="0.25">
      <c r="A39" s="36">
        <v>2001</v>
      </c>
      <c r="B39" s="40">
        <v>7.5750999999999999</v>
      </c>
      <c r="C39" s="40">
        <v>9.9067000000000007</v>
      </c>
      <c r="D39" s="40">
        <v>10.0626</v>
      </c>
      <c r="E39" s="40">
        <v>10.746600000000001</v>
      </c>
      <c r="F39" s="40">
        <v>11.253</v>
      </c>
      <c r="G39" s="40">
        <v>11.2126</v>
      </c>
      <c r="H39" s="40">
        <v>12.5457</v>
      </c>
      <c r="I39" s="40">
        <v>13.1119</v>
      </c>
      <c r="J39" s="40">
        <v>14.2492</v>
      </c>
      <c r="K39" s="40">
        <v>16.506799999999998</v>
      </c>
      <c r="L39" s="40">
        <v>11.7173</v>
      </c>
      <c r="N39" s="36">
        <v>2001</v>
      </c>
      <c r="O39" s="40">
        <f t="shared" si="13"/>
        <v>5.9160640691518234</v>
      </c>
      <c r="P39" s="40">
        <f t="shared" si="14"/>
        <v>5.7823242413789275</v>
      </c>
      <c r="Q39" s="40">
        <f t="shared" si="15"/>
        <v>4.6293902285297337</v>
      </c>
      <c r="R39" s="40">
        <f t="shared" si="16"/>
        <v>3.8459694014494055</v>
      </c>
      <c r="S39" s="40">
        <f t="shared" si="17"/>
        <v>3.4945783261612648</v>
      </c>
      <c r="T39" s="40">
        <f t="shared" si="18"/>
        <v>2.8826884181618162</v>
      </c>
      <c r="U39" s="40">
        <f t="shared" si="19"/>
        <v>2.7915083249948767</v>
      </c>
      <c r="V39" s="40">
        <f t="shared" si="20"/>
        <v>2.474982421865783</v>
      </c>
      <c r="W39" s="40">
        <f t="shared" si="21"/>
        <v>2.3429282591263001</v>
      </c>
      <c r="X39" s="40">
        <f t="shared" si="22"/>
        <v>1.8580417306348271</v>
      </c>
      <c r="Y39" s="40">
        <f t="shared" si="23"/>
        <v>2.941727322391201</v>
      </c>
    </row>
    <row r="40" spans="1:25" s="36" customFormat="1" ht="12.5" x14ac:dyDescent="0.25">
      <c r="A40" s="36">
        <v>2002</v>
      </c>
      <c r="B40" s="40">
        <v>7.6999000000000004</v>
      </c>
      <c r="C40" s="40">
        <v>9.3833000000000002</v>
      </c>
      <c r="D40" s="40">
        <v>9.9908999999999999</v>
      </c>
      <c r="E40" s="40">
        <v>10.784800000000001</v>
      </c>
      <c r="F40" s="40">
        <v>11.090400000000001</v>
      </c>
      <c r="G40" s="40">
        <v>12.0001</v>
      </c>
      <c r="H40" s="40">
        <v>12.343999999999999</v>
      </c>
      <c r="I40" s="40">
        <v>13.223599999999999</v>
      </c>
      <c r="J40" s="40">
        <v>13.8451</v>
      </c>
      <c r="K40" s="40">
        <v>16.563600000000001</v>
      </c>
      <c r="L40" s="40">
        <v>11.6919</v>
      </c>
      <c r="N40" s="36">
        <v>2002</v>
      </c>
      <c r="O40" s="40">
        <f t="shared" si="13"/>
        <v>5.6798541807589125</v>
      </c>
      <c r="P40" s="40">
        <f t="shared" si="14"/>
        <v>5.5393866548912465</v>
      </c>
      <c r="Q40" s="40">
        <f t="shared" si="15"/>
        <v>4.5530941389320558</v>
      </c>
      <c r="R40" s="40">
        <f t="shared" si="16"/>
        <v>3.653890067536389</v>
      </c>
      <c r="S40" s="40">
        <f t="shared" si="17"/>
        <v>3.3104209127477358</v>
      </c>
      <c r="T40" s="40">
        <f t="shared" si="18"/>
        <v>2.9968752840764359</v>
      </c>
      <c r="U40" s="40">
        <f t="shared" si="19"/>
        <v>2.7078174188735136</v>
      </c>
      <c r="V40" s="40">
        <f t="shared" si="20"/>
        <v>2.4760156811580258</v>
      </c>
      <c r="W40" s="40">
        <f t="shared" si="21"/>
        <v>2.1831171913126912</v>
      </c>
      <c r="X40" s="40">
        <f t="shared" si="22"/>
        <v>1.8750651630312536</v>
      </c>
      <c r="Y40" s="40">
        <f t="shared" si="23"/>
        <v>2.8784334019301818</v>
      </c>
    </row>
    <row r="41" spans="1:25" s="36" customFormat="1" ht="12.5" x14ac:dyDescent="0.25">
      <c r="A41" s="36">
        <v>2003</v>
      </c>
      <c r="B41" s="40">
        <v>7.8613999999999997</v>
      </c>
      <c r="C41" s="40">
        <v>8.8063000000000002</v>
      </c>
      <c r="D41" s="40">
        <v>10.637</v>
      </c>
      <c r="E41" s="40">
        <v>10.639799999999999</v>
      </c>
      <c r="F41" s="40">
        <v>11.597</v>
      </c>
      <c r="G41" s="40">
        <v>12.1791</v>
      </c>
      <c r="H41" s="40">
        <v>12.6838</v>
      </c>
      <c r="I41" s="40">
        <v>13.241</v>
      </c>
      <c r="J41" s="40">
        <v>14.6731</v>
      </c>
      <c r="K41" s="40">
        <v>17.399799999999999</v>
      </c>
      <c r="L41" s="40">
        <v>11.971399999999999</v>
      </c>
      <c r="N41" s="36">
        <v>2003</v>
      </c>
      <c r="O41" s="40">
        <f t="shared" si="13"/>
        <v>5.631008293871961</v>
      </c>
      <c r="P41" s="40">
        <f t="shared" si="14"/>
        <v>5.081382439765223</v>
      </c>
      <c r="Q41" s="40">
        <f t="shared" si="15"/>
        <v>4.744244754324658</v>
      </c>
      <c r="R41" s="40">
        <f t="shared" si="16"/>
        <v>3.5665034670149205</v>
      </c>
      <c r="S41" s="40">
        <f t="shared" si="17"/>
        <v>3.2064158176913304</v>
      </c>
      <c r="T41" s="40">
        <f t="shared" si="18"/>
        <v>2.9602689425638653</v>
      </c>
      <c r="U41" s="40">
        <f t="shared" si="19"/>
        <v>2.6501232627618587</v>
      </c>
      <c r="V41" s="40">
        <f t="shared" si="20"/>
        <v>2.3762871630243185</v>
      </c>
      <c r="W41" s="40">
        <f t="shared" si="21"/>
        <v>2.3206083738708205</v>
      </c>
      <c r="X41" s="40">
        <f t="shared" si="22"/>
        <v>1.9226402441294987</v>
      </c>
      <c r="Y41" s="40">
        <f t="shared" si="23"/>
        <v>2.8631137276586052</v>
      </c>
    </row>
    <row r="42" spans="1:25" s="36" customFormat="1" ht="12.5" x14ac:dyDescent="0.25">
      <c r="A42" s="36">
        <v>2004</v>
      </c>
      <c r="B42" s="40">
        <v>8.0564999999999998</v>
      </c>
      <c r="C42" s="40">
        <v>9.4983000000000004</v>
      </c>
      <c r="D42" s="40">
        <v>10.591900000000001</v>
      </c>
      <c r="E42" s="40">
        <v>11.2004</v>
      </c>
      <c r="F42" s="40">
        <v>12.132199999999999</v>
      </c>
      <c r="G42" s="40">
        <v>13.155799999999999</v>
      </c>
      <c r="H42" s="40">
        <v>13.255100000000001</v>
      </c>
      <c r="I42" s="40">
        <v>14.5387</v>
      </c>
      <c r="J42" s="40">
        <v>14.909700000000001</v>
      </c>
      <c r="K42" s="40">
        <v>18.162700000000001</v>
      </c>
      <c r="L42" s="40">
        <v>12.5496</v>
      </c>
      <c r="N42" s="36">
        <v>2004</v>
      </c>
      <c r="O42" s="40">
        <f t="shared" si="13"/>
        <v>5.4691010892719678</v>
      </c>
      <c r="P42" s="40">
        <f t="shared" si="14"/>
        <v>5.3264521946667625</v>
      </c>
      <c r="Q42" s="40">
        <f t="shared" si="15"/>
        <v>4.2581598079307375</v>
      </c>
      <c r="R42" s="40">
        <f t="shared" si="16"/>
        <v>3.5798322013583697</v>
      </c>
      <c r="S42" s="40">
        <f t="shared" si="17"/>
        <v>3.2498847477858313</v>
      </c>
      <c r="T42" s="40">
        <f t="shared" si="18"/>
        <v>3.0185892951339994</v>
      </c>
      <c r="U42" s="40">
        <f t="shared" si="19"/>
        <v>2.7068736304915628</v>
      </c>
      <c r="V42" s="40">
        <f t="shared" si="20"/>
        <v>2.5582282104895682</v>
      </c>
      <c r="W42" s="40">
        <f t="shared" si="21"/>
        <v>2.2430946723849932</v>
      </c>
      <c r="X42" s="40">
        <f t="shared" si="22"/>
        <v>1.9621298259354787</v>
      </c>
      <c r="Y42" s="40">
        <f t="shared" si="23"/>
        <v>2.8887720554993384</v>
      </c>
    </row>
    <row r="43" spans="1:25" s="36" customFormat="1" ht="12.5" x14ac:dyDescent="0.25">
      <c r="A43" s="36">
        <v>2005</v>
      </c>
      <c r="B43" s="40">
        <v>8.8766999999999996</v>
      </c>
      <c r="C43" s="40">
        <v>10.087999999999999</v>
      </c>
      <c r="D43" s="40">
        <v>12.337300000000001</v>
      </c>
      <c r="E43" s="40">
        <v>12.8322</v>
      </c>
      <c r="F43" s="40">
        <v>13.1509</v>
      </c>
      <c r="G43" s="40">
        <v>14.2141</v>
      </c>
      <c r="H43" s="40">
        <v>14.2113</v>
      </c>
      <c r="I43" s="40">
        <v>15.519399999999999</v>
      </c>
      <c r="J43" s="40">
        <v>17.195799999999998</v>
      </c>
      <c r="K43" s="40">
        <v>20.3538</v>
      </c>
      <c r="L43" s="40">
        <v>13.8774</v>
      </c>
      <c r="N43" s="36">
        <v>2005</v>
      </c>
      <c r="O43" s="40">
        <f t="shared" si="13"/>
        <v>5.7790564136217677</v>
      </c>
      <c r="P43" s="40">
        <f t="shared" si="14"/>
        <v>5.6381669474199567</v>
      </c>
      <c r="Q43" s="40">
        <f t="shared" si="15"/>
        <v>4.6641105477332907</v>
      </c>
      <c r="R43" s="40">
        <f t="shared" si="16"/>
        <v>4.1374440589653974</v>
      </c>
      <c r="S43" s="40">
        <f t="shared" si="17"/>
        <v>3.6869683699388265</v>
      </c>
      <c r="T43" s="40">
        <f t="shared" si="18"/>
        <v>3.2708996452523271</v>
      </c>
      <c r="U43" s="40">
        <f t="shared" si="19"/>
        <v>2.966566864704987</v>
      </c>
      <c r="V43" s="40">
        <f t="shared" si="20"/>
        <v>2.6571225708517794</v>
      </c>
      <c r="W43" s="40">
        <f t="shared" si="21"/>
        <v>2.5190162596802557</v>
      </c>
      <c r="X43" s="40">
        <f t="shared" si="22"/>
        <v>2.0565008809981151</v>
      </c>
      <c r="Y43" s="40">
        <f t="shared" si="23"/>
        <v>3.1301102194690533</v>
      </c>
    </row>
    <row r="44" spans="1:25" s="36" customFormat="1" ht="12.5" x14ac:dyDescent="0.25">
      <c r="A44" s="36">
        <v>2006</v>
      </c>
      <c r="B44" s="40">
        <v>10.2371</v>
      </c>
      <c r="C44" s="40">
        <v>12.4512</v>
      </c>
      <c r="D44" s="40">
        <v>13.953799999999999</v>
      </c>
      <c r="E44" s="40">
        <v>13.9663</v>
      </c>
      <c r="F44" s="40">
        <v>15.386100000000001</v>
      </c>
      <c r="G44" s="40">
        <v>15.9153</v>
      </c>
      <c r="H44" s="40">
        <v>16.375800000000002</v>
      </c>
      <c r="I44" s="40">
        <v>18.0075</v>
      </c>
      <c r="J44" s="40">
        <v>19.661300000000001</v>
      </c>
      <c r="K44" s="40">
        <v>22.941600000000001</v>
      </c>
      <c r="L44" s="40">
        <v>15.889799999999999</v>
      </c>
      <c r="N44" s="36">
        <v>2006</v>
      </c>
      <c r="O44" s="40">
        <f t="shared" si="13"/>
        <v>6.5800519097197672</v>
      </c>
      <c r="P44" s="40">
        <f t="shared" si="14"/>
        <v>6.2331171392699591</v>
      </c>
      <c r="Q44" s="40">
        <f t="shared" si="15"/>
        <v>5.1409110234590116</v>
      </c>
      <c r="R44" s="40">
        <f t="shared" si="16"/>
        <v>4.1946446296877511</v>
      </c>
      <c r="S44" s="40">
        <f t="shared" si="17"/>
        <v>4.0465446925148356</v>
      </c>
      <c r="T44" s="40">
        <f t="shared" si="18"/>
        <v>3.6331291301382187</v>
      </c>
      <c r="U44" s="40">
        <f t="shared" si="19"/>
        <v>3.2306615144325099</v>
      </c>
      <c r="V44" s="40">
        <f t="shared" si="20"/>
        <v>3.0310467046298637</v>
      </c>
      <c r="W44" s="40">
        <f t="shared" si="21"/>
        <v>2.7478141577423352</v>
      </c>
      <c r="X44" s="40">
        <f t="shared" si="22"/>
        <v>2.3788989991382019</v>
      </c>
      <c r="Y44" s="40">
        <f t="shared" si="23"/>
        <v>3.4854812196222995</v>
      </c>
    </row>
    <row r="45" spans="1:25" s="36" customFormat="1" ht="12.5" x14ac:dyDescent="0.25">
      <c r="A45" s="36">
        <v>2007</v>
      </c>
      <c r="B45" s="40">
        <v>10.9672</v>
      </c>
      <c r="C45" s="40">
        <v>13.1737</v>
      </c>
      <c r="D45" s="40">
        <v>13.951000000000001</v>
      </c>
      <c r="E45" s="40">
        <v>15.3546</v>
      </c>
      <c r="F45" s="40">
        <v>16.3308</v>
      </c>
      <c r="G45" s="40">
        <v>17.2928</v>
      </c>
      <c r="H45" s="40">
        <v>18.767299999999999</v>
      </c>
      <c r="I45" s="40">
        <v>19.5184</v>
      </c>
      <c r="J45" s="40">
        <v>20.965</v>
      </c>
      <c r="K45" s="40">
        <v>25.219799999999999</v>
      </c>
      <c r="L45" s="40">
        <v>17.152799999999999</v>
      </c>
      <c r="N45" s="36">
        <v>2007</v>
      </c>
      <c r="O45" s="40">
        <f t="shared" si="13"/>
        <v>6.3621750155034213</v>
      </c>
      <c r="P45" s="40">
        <f t="shared" si="14"/>
        <v>6.7427698090648152</v>
      </c>
      <c r="Q45" s="40">
        <f t="shared" si="15"/>
        <v>5.3585002191258235</v>
      </c>
      <c r="R45" s="40">
        <f t="shared" si="16"/>
        <v>4.6932898725305332</v>
      </c>
      <c r="S45" s="40">
        <f t="shared" si="17"/>
        <v>4.1630192111503286</v>
      </c>
      <c r="T45" s="40">
        <f t="shared" si="18"/>
        <v>3.7691418079448229</v>
      </c>
      <c r="U45" s="40">
        <f t="shared" si="19"/>
        <v>3.7049949609162538</v>
      </c>
      <c r="V45" s="40">
        <f t="shared" si="20"/>
        <v>3.2595607982971404</v>
      </c>
      <c r="W45" s="40">
        <f t="shared" si="21"/>
        <v>3.021567346722295</v>
      </c>
      <c r="X45" s="40">
        <f t="shared" si="22"/>
        <v>2.5559063339043462</v>
      </c>
      <c r="Y45" s="40">
        <f t="shared" si="23"/>
        <v>3.7356644139459751</v>
      </c>
    </row>
    <row r="46" spans="1:25" s="36" customFormat="1" ht="12.5" x14ac:dyDescent="0.25">
      <c r="A46" s="36">
        <v>2008</v>
      </c>
      <c r="B46" s="40">
        <v>12.9</v>
      </c>
      <c r="C46" s="40">
        <v>14.7</v>
      </c>
      <c r="D46" s="40">
        <v>15.6</v>
      </c>
      <c r="E46" s="40">
        <v>17.2</v>
      </c>
      <c r="F46" s="40">
        <v>17.600000000000001</v>
      </c>
      <c r="G46" s="40">
        <v>18.8</v>
      </c>
      <c r="H46" s="40">
        <v>19.899999999999999</v>
      </c>
      <c r="I46" s="40">
        <v>21</v>
      </c>
      <c r="J46" s="40">
        <v>23</v>
      </c>
      <c r="K46" s="40">
        <v>28.7</v>
      </c>
      <c r="L46" s="40">
        <v>18.899999999999999</v>
      </c>
      <c r="N46" s="36">
        <v>2008</v>
      </c>
      <c r="O46" s="40">
        <f t="shared" si="13"/>
        <v>8.3929733246584259</v>
      </c>
      <c r="P46" s="40">
        <f t="shared" si="14"/>
        <v>7.35</v>
      </c>
      <c r="Q46" s="40">
        <f t="shared" si="15"/>
        <v>6.0676779463243866</v>
      </c>
      <c r="R46" s="40">
        <f t="shared" si="16"/>
        <v>5.210542259921235</v>
      </c>
      <c r="S46" s="40">
        <f t="shared" si="17"/>
        <v>4.4783715012722647</v>
      </c>
      <c r="T46" s="40">
        <f t="shared" si="18"/>
        <v>4.0940766550522651</v>
      </c>
      <c r="U46" s="40">
        <f t="shared" si="19"/>
        <v>3.7078442332774353</v>
      </c>
      <c r="V46" s="40">
        <f t="shared" si="20"/>
        <v>3.356241010068723</v>
      </c>
      <c r="W46" s="40">
        <f t="shared" si="21"/>
        <v>3.237612612612613</v>
      </c>
      <c r="X46" s="40">
        <f t="shared" si="22"/>
        <v>2.7466743229017125</v>
      </c>
      <c r="Y46" s="40">
        <f t="shared" si="23"/>
        <v>4.0127388535031843</v>
      </c>
    </row>
    <row r="47" spans="1:25" s="36" customFormat="1" ht="12.5" x14ac:dyDescent="0.25">
      <c r="A47" s="36">
        <v>2009</v>
      </c>
      <c r="B47" s="40">
        <v>13.9</v>
      </c>
      <c r="C47" s="40">
        <v>16.3</v>
      </c>
      <c r="D47" s="40">
        <v>17.899999999999999</v>
      </c>
      <c r="E47" s="40">
        <v>19.5</v>
      </c>
      <c r="F47" s="40">
        <v>19.7</v>
      </c>
      <c r="G47" s="40">
        <v>21.1</v>
      </c>
      <c r="H47" s="40">
        <v>23.4</v>
      </c>
      <c r="I47" s="40">
        <v>25.2</v>
      </c>
      <c r="J47" s="40">
        <v>25.7</v>
      </c>
      <c r="K47" s="40">
        <v>29.7</v>
      </c>
      <c r="L47" s="40">
        <v>21.3</v>
      </c>
      <c r="N47" s="36">
        <v>2009</v>
      </c>
      <c r="O47" s="40">
        <f t="shared" si="13"/>
        <v>8.5433312845728349</v>
      </c>
      <c r="P47" s="40">
        <f t="shared" si="14"/>
        <v>7.6275152082358453</v>
      </c>
      <c r="Q47" s="40">
        <f t="shared" si="15"/>
        <v>6.3769148557178479</v>
      </c>
      <c r="R47" s="40">
        <f t="shared" si="16"/>
        <v>5.8435720707222059</v>
      </c>
      <c r="S47" s="40">
        <f t="shared" si="17"/>
        <v>5.1182125227331774</v>
      </c>
      <c r="T47" s="40">
        <f t="shared" si="18"/>
        <v>4.8583928160257885</v>
      </c>
      <c r="U47" s="40">
        <f t="shared" si="19"/>
        <v>4.6753246753246751</v>
      </c>
      <c r="V47" s="40">
        <f t="shared" si="20"/>
        <v>4.3358568479008941</v>
      </c>
      <c r="W47" s="40">
        <f t="shared" si="21"/>
        <v>3.8565426170468187</v>
      </c>
      <c r="X47" s="40">
        <f t="shared" si="22"/>
        <v>2.9936498336861201</v>
      </c>
      <c r="Y47" s="40">
        <f t="shared" si="23"/>
        <v>4.6813186813186816</v>
      </c>
    </row>
    <row r="48" spans="1:25" s="36" customFormat="1" ht="12.5" x14ac:dyDescent="0.25">
      <c r="A48" s="36">
        <v>2010</v>
      </c>
      <c r="B48" s="40">
        <v>13.5</v>
      </c>
      <c r="C48" s="40">
        <v>17.100000000000001</v>
      </c>
      <c r="D48" s="40">
        <v>18.7</v>
      </c>
      <c r="E48" s="40">
        <v>19</v>
      </c>
      <c r="F48" s="40">
        <v>20.7</v>
      </c>
      <c r="G48" s="40">
        <v>21.8</v>
      </c>
      <c r="H48" s="40">
        <v>22.3</v>
      </c>
      <c r="I48" s="40">
        <v>23.3</v>
      </c>
      <c r="J48" s="40">
        <v>26</v>
      </c>
      <c r="K48" s="40">
        <v>31.5</v>
      </c>
      <c r="L48" s="40">
        <v>21.4</v>
      </c>
      <c r="N48" s="36">
        <v>2010</v>
      </c>
      <c r="O48" s="40">
        <f t="shared" si="13"/>
        <v>7.2737068965517242</v>
      </c>
      <c r="P48" s="40">
        <f t="shared" si="14"/>
        <v>7.960893854748603</v>
      </c>
      <c r="Q48" s="40">
        <f t="shared" si="15"/>
        <v>6.8573524019068577</v>
      </c>
      <c r="R48" s="40">
        <f t="shared" si="16"/>
        <v>5.5168408826945416</v>
      </c>
      <c r="S48" s="40">
        <f t="shared" si="17"/>
        <v>5.1749999999999998</v>
      </c>
      <c r="T48" s="40">
        <f t="shared" si="18"/>
        <v>4.7515257192676543</v>
      </c>
      <c r="U48" s="40">
        <f t="shared" si="19"/>
        <v>4.1972520233389803</v>
      </c>
      <c r="V48" s="40">
        <f t="shared" si="20"/>
        <v>3.9438050101557218</v>
      </c>
      <c r="W48" s="40">
        <f t="shared" si="21"/>
        <v>3.6076037186069096</v>
      </c>
      <c r="X48" s="40">
        <f t="shared" si="22"/>
        <v>3.0927835051546393</v>
      </c>
      <c r="Y48" s="40">
        <f t="shared" si="23"/>
        <v>4.5185810810810807</v>
      </c>
    </row>
    <row r="49" spans="1:25" s="36" customFormat="1" ht="12.5" x14ac:dyDescent="0.25">
      <c r="A49" s="36">
        <v>2011</v>
      </c>
      <c r="B49" s="40">
        <v>13.9</v>
      </c>
      <c r="C49" s="40">
        <v>16.600000000000001</v>
      </c>
      <c r="D49" s="40">
        <v>18.2</v>
      </c>
      <c r="E49" s="40">
        <v>20.3</v>
      </c>
      <c r="F49" s="40">
        <v>22.2</v>
      </c>
      <c r="G49" s="40">
        <v>22.7</v>
      </c>
      <c r="H49" s="40">
        <v>23.8</v>
      </c>
      <c r="I49" s="40">
        <v>24.6</v>
      </c>
      <c r="J49" s="40">
        <v>26.8</v>
      </c>
      <c r="K49" s="40">
        <v>31.7</v>
      </c>
      <c r="L49" s="40">
        <v>22.1</v>
      </c>
      <c r="N49" s="36">
        <v>2011</v>
      </c>
      <c r="O49" s="40">
        <f t="shared" si="13"/>
        <v>7.8486730660643715</v>
      </c>
      <c r="P49" s="40">
        <f t="shared" si="14"/>
        <v>7.5695394436844508</v>
      </c>
      <c r="Q49" s="40">
        <f t="shared" si="15"/>
        <v>6.2328767123287676</v>
      </c>
      <c r="R49" s="40">
        <f t="shared" si="16"/>
        <v>5.7070565082935056</v>
      </c>
      <c r="S49" s="40">
        <f t="shared" si="17"/>
        <v>5.354558610709117</v>
      </c>
      <c r="T49" s="40">
        <f t="shared" si="18"/>
        <v>4.7819675584579731</v>
      </c>
      <c r="U49" s="40">
        <f t="shared" si="19"/>
        <v>4.4221479004087696</v>
      </c>
      <c r="V49" s="40">
        <f t="shared" si="20"/>
        <v>4.0394088669950738</v>
      </c>
      <c r="W49" s="40">
        <f t="shared" si="21"/>
        <v>3.5900870730073677</v>
      </c>
      <c r="X49" s="40">
        <f t="shared" si="22"/>
        <v>3.1379924767372795</v>
      </c>
      <c r="Y49" s="40">
        <f t="shared" si="23"/>
        <v>4.56989247311828</v>
      </c>
    </row>
    <row r="50" spans="1:25" s="36" customFormat="1" ht="12.5" x14ac:dyDescent="0.25">
      <c r="A50" s="36">
        <v>2012</v>
      </c>
      <c r="B50" s="40">
        <v>15.1</v>
      </c>
      <c r="C50" s="40">
        <v>18</v>
      </c>
      <c r="D50" s="40">
        <v>18.100000000000001</v>
      </c>
      <c r="E50" s="40">
        <v>22</v>
      </c>
      <c r="F50" s="40">
        <v>22.4</v>
      </c>
      <c r="G50" s="40">
        <v>23.2</v>
      </c>
      <c r="H50" s="40">
        <v>24.4</v>
      </c>
      <c r="I50" s="40">
        <v>26.7</v>
      </c>
      <c r="J50" s="40">
        <v>28.1</v>
      </c>
      <c r="K50" s="40">
        <v>33.700000000000003</v>
      </c>
      <c r="L50" s="40">
        <v>23.2</v>
      </c>
      <c r="N50" s="36">
        <v>2012</v>
      </c>
      <c r="O50" s="40">
        <f t="shared" si="13"/>
        <v>7.8197824961160025</v>
      </c>
      <c r="P50" s="40">
        <f t="shared" si="14"/>
        <v>8.0609046126287502</v>
      </c>
      <c r="Q50" s="40">
        <f t="shared" si="15"/>
        <v>6.4321250888415076</v>
      </c>
      <c r="R50" s="40">
        <f t="shared" si="16"/>
        <v>6.0043668122270741</v>
      </c>
      <c r="S50" s="40">
        <f t="shared" si="17"/>
        <v>5.4395337542496351</v>
      </c>
      <c r="T50" s="40">
        <f t="shared" si="18"/>
        <v>4.7933884297520652</v>
      </c>
      <c r="U50" s="40">
        <f t="shared" si="19"/>
        <v>4.5916447120812949</v>
      </c>
      <c r="V50" s="40">
        <f t="shared" si="20"/>
        <v>4.2428094708406165</v>
      </c>
      <c r="W50" s="40">
        <f t="shared" si="21"/>
        <v>3.9538483185591664</v>
      </c>
      <c r="X50" s="40">
        <f t="shared" si="22"/>
        <v>3.1852551984877131</v>
      </c>
      <c r="Y50" s="40">
        <f t="shared" si="23"/>
        <v>4.7443762781186098</v>
      </c>
    </row>
    <row r="51" spans="1:25" s="36" customFormat="1" ht="12.5" x14ac:dyDescent="0.25">
      <c r="A51" s="36">
        <v>2013</v>
      </c>
      <c r="B51" s="40">
        <v>20.399999999999999</v>
      </c>
      <c r="C51" s="40">
        <v>22.3</v>
      </c>
      <c r="D51" s="40">
        <v>22.3</v>
      </c>
      <c r="E51" s="40">
        <v>25</v>
      </c>
      <c r="F51" s="40">
        <v>24.7</v>
      </c>
      <c r="G51" s="40">
        <v>26.6</v>
      </c>
      <c r="H51" s="40">
        <v>27.6</v>
      </c>
      <c r="I51" s="40">
        <v>28.2</v>
      </c>
      <c r="J51" s="40">
        <v>31.3</v>
      </c>
      <c r="K51" s="40">
        <v>37.200000000000003</v>
      </c>
      <c r="L51" s="40">
        <v>26.5</v>
      </c>
      <c r="N51" s="36">
        <v>2013</v>
      </c>
      <c r="O51" s="40">
        <f t="shared" si="13"/>
        <v>10.392256749872644</v>
      </c>
      <c r="P51" s="40">
        <f t="shared" si="14"/>
        <v>9.7252507631923244</v>
      </c>
      <c r="Q51" s="40">
        <f t="shared" si="15"/>
        <v>7.2261827608554761</v>
      </c>
      <c r="R51" s="40">
        <f t="shared" si="16"/>
        <v>6.6418703506907555</v>
      </c>
      <c r="S51" s="40">
        <f t="shared" si="17"/>
        <v>5.5793991416309012</v>
      </c>
      <c r="T51" s="40">
        <f t="shared" si="18"/>
        <v>5.1710730948678076</v>
      </c>
      <c r="U51" s="40">
        <f t="shared" si="19"/>
        <v>4.8243314105925537</v>
      </c>
      <c r="V51" s="40">
        <f t="shared" si="20"/>
        <v>4.385692068429238</v>
      </c>
      <c r="W51" s="40">
        <f t="shared" si="21"/>
        <v>4.0523045054375979</v>
      </c>
      <c r="X51" s="40">
        <f t="shared" si="22"/>
        <v>3.32409972299169</v>
      </c>
      <c r="Y51" s="40">
        <f t="shared" si="23"/>
        <v>5.1227527546878022</v>
      </c>
    </row>
    <row r="52" spans="1:25" s="36" customFormat="1" ht="12.5" x14ac:dyDescent="0.25">
      <c r="A52" s="36">
        <v>2014</v>
      </c>
      <c r="B52" s="40">
        <v>18.7</v>
      </c>
      <c r="C52" s="40">
        <v>21.7</v>
      </c>
      <c r="D52" s="40">
        <v>22.3</v>
      </c>
      <c r="E52" s="40">
        <v>23.5</v>
      </c>
      <c r="F52" s="40">
        <v>25.3</v>
      </c>
      <c r="G52" s="40">
        <v>24.8</v>
      </c>
      <c r="H52" s="40">
        <v>27.4</v>
      </c>
      <c r="I52" s="40">
        <v>28.5</v>
      </c>
      <c r="J52" s="40">
        <v>29.8</v>
      </c>
      <c r="K52" s="40">
        <v>36.4</v>
      </c>
      <c r="L52" s="40">
        <v>25.8</v>
      </c>
      <c r="N52" s="36">
        <v>2014</v>
      </c>
      <c r="O52" s="40">
        <f t="shared" si="13"/>
        <v>9.8214285714285712</v>
      </c>
      <c r="P52" s="40">
        <f t="shared" si="14"/>
        <v>8.6973947895791568</v>
      </c>
      <c r="Q52" s="40">
        <f t="shared" si="15"/>
        <v>6.9774718397997493</v>
      </c>
      <c r="R52" s="40">
        <f t="shared" si="16"/>
        <v>6.2616573407940317</v>
      </c>
      <c r="S52" s="40">
        <f t="shared" si="17"/>
        <v>5.6866711620588903</v>
      </c>
      <c r="T52" s="40">
        <f t="shared" si="18"/>
        <v>4.773820981713186</v>
      </c>
      <c r="U52" s="40">
        <f t="shared" si="19"/>
        <v>4.6166807076663856</v>
      </c>
      <c r="V52" s="40">
        <f t="shared" si="20"/>
        <v>4.1557305336832897</v>
      </c>
      <c r="W52" s="40">
        <f t="shared" si="21"/>
        <v>3.8185545873910822</v>
      </c>
      <c r="X52" s="40">
        <f t="shared" si="22"/>
        <v>3.1490613374859415</v>
      </c>
      <c r="Y52" s="40">
        <f t="shared" si="23"/>
        <v>4.8560135516657263</v>
      </c>
    </row>
    <row r="53" spans="1:25" s="36" customFormat="1" ht="12.5" x14ac:dyDescent="0.25">
      <c r="A53" s="36" t="s">
        <v>45</v>
      </c>
      <c r="B53" s="40">
        <v>17.399999999999999</v>
      </c>
      <c r="C53" s="40">
        <v>20.3</v>
      </c>
      <c r="D53" s="40">
        <v>21.3</v>
      </c>
      <c r="E53" s="40">
        <v>21.9</v>
      </c>
      <c r="F53" s="40">
        <v>22.6</v>
      </c>
      <c r="G53" s="40">
        <v>22.8</v>
      </c>
      <c r="H53" s="40">
        <v>23.9</v>
      </c>
      <c r="I53" s="40">
        <v>24.7</v>
      </c>
      <c r="J53" s="40">
        <v>26.1</v>
      </c>
      <c r="K53" s="40">
        <v>31.9</v>
      </c>
      <c r="L53" s="40">
        <v>23.3</v>
      </c>
      <c r="N53" s="36" t="s">
        <v>45</v>
      </c>
      <c r="O53" s="40">
        <f t="shared" si="13"/>
        <v>9.6666666666666661</v>
      </c>
      <c r="P53" s="40">
        <f t="shared" si="14"/>
        <v>7.7747989276139409</v>
      </c>
      <c r="Q53" s="40">
        <f t="shared" si="15"/>
        <v>6.9155844155844166</v>
      </c>
      <c r="R53" s="40">
        <f t="shared" si="16"/>
        <v>5.9157212317666126</v>
      </c>
      <c r="S53" s="40">
        <f t="shared" si="17"/>
        <v>4.8864864864864872</v>
      </c>
      <c r="T53" s="40">
        <f t="shared" si="18"/>
        <v>4.1988950276243093</v>
      </c>
      <c r="U53" s="40">
        <f t="shared" si="19"/>
        <v>4.0708567535343212</v>
      </c>
      <c r="V53" s="40">
        <f t="shared" si="20"/>
        <v>3.7322453913569054</v>
      </c>
      <c r="W53" s="40">
        <f t="shared" si="21"/>
        <v>3.3461538461538467</v>
      </c>
      <c r="X53" s="40">
        <f t="shared" si="22"/>
        <v>2.8076042950184825</v>
      </c>
      <c r="Y53" s="40">
        <f t="shared" si="23"/>
        <v>4.4053696350917004</v>
      </c>
    </row>
    <row r="54" spans="1:25" s="36" customFormat="1" ht="12.5" x14ac:dyDescent="0.25">
      <c r="A54" s="36" t="s">
        <v>46</v>
      </c>
      <c r="B54" s="40">
        <v>17.8</v>
      </c>
      <c r="C54" s="40">
        <v>19.899999999999999</v>
      </c>
      <c r="D54" s="40">
        <v>20.100000000000001</v>
      </c>
      <c r="E54" s="40">
        <v>21.3</v>
      </c>
      <c r="F54" s="40">
        <v>22</v>
      </c>
      <c r="G54" s="40">
        <v>22.4</v>
      </c>
      <c r="H54" s="40">
        <v>21.6</v>
      </c>
      <c r="I54" s="40">
        <v>24.2</v>
      </c>
      <c r="J54" s="40">
        <v>24.3</v>
      </c>
      <c r="K54" s="40">
        <v>28.7</v>
      </c>
      <c r="L54" s="40">
        <v>22.2</v>
      </c>
      <c r="N54" s="36" t="s">
        <v>46</v>
      </c>
      <c r="O54" s="40">
        <f t="shared" si="13"/>
        <v>8.590733590733592</v>
      </c>
      <c r="P54" s="40">
        <f t="shared" si="14"/>
        <v>7.5094339622641506</v>
      </c>
      <c r="Q54" s="40">
        <f t="shared" si="15"/>
        <v>5.9608540925266915</v>
      </c>
      <c r="R54" s="40">
        <f t="shared" si="16"/>
        <v>5.0212164073550216</v>
      </c>
      <c r="S54" s="40">
        <f t="shared" si="17"/>
        <v>4.346967002568662</v>
      </c>
      <c r="T54" s="40">
        <f t="shared" si="18"/>
        <v>4.0484366528104099</v>
      </c>
      <c r="U54" s="40">
        <f t="shared" si="19"/>
        <v>3.5363457760314345</v>
      </c>
      <c r="V54" s="40">
        <f t="shared" si="20"/>
        <v>3.4487672794641577</v>
      </c>
      <c r="W54" s="40">
        <f t="shared" si="21"/>
        <v>2.9644992070269613</v>
      </c>
      <c r="X54" s="40">
        <f t="shared" si="22"/>
        <v>2.5698424068767909</v>
      </c>
      <c r="Y54" s="40">
        <f t="shared" si="23"/>
        <v>4.0057740887766151</v>
      </c>
    </row>
    <row r="55" spans="1:25" s="36" customFormat="1" ht="12.5" x14ac:dyDescent="0.25">
      <c r="A55" s="36" t="s">
        <v>47</v>
      </c>
      <c r="B55" s="40">
        <v>17.100000000000001</v>
      </c>
      <c r="C55" s="40">
        <v>19.3</v>
      </c>
      <c r="D55" s="40">
        <v>21</v>
      </c>
      <c r="E55" s="40">
        <v>22</v>
      </c>
      <c r="F55" s="40">
        <v>21.9</v>
      </c>
      <c r="G55" s="40">
        <v>22.6</v>
      </c>
      <c r="H55" s="40">
        <v>22.3</v>
      </c>
      <c r="I55" s="40">
        <v>23.4</v>
      </c>
      <c r="J55" s="40">
        <v>24.8</v>
      </c>
      <c r="K55" s="40">
        <v>31.4</v>
      </c>
      <c r="L55" s="40">
        <v>22.6</v>
      </c>
      <c r="N55" s="36" t="s">
        <v>47</v>
      </c>
      <c r="O55" s="40">
        <f t="shared" si="13"/>
        <v>8.0357142857142865</v>
      </c>
      <c r="P55" s="40">
        <f t="shared" si="14"/>
        <v>7.2747832642291748</v>
      </c>
      <c r="Q55" s="40">
        <f t="shared" si="15"/>
        <v>5.8873002523128681</v>
      </c>
      <c r="R55" s="40">
        <f t="shared" si="16"/>
        <v>5.1984877126654068</v>
      </c>
      <c r="S55" s="40">
        <f t="shared" si="17"/>
        <v>4.5033929673041335</v>
      </c>
      <c r="T55" s="40">
        <f t="shared" si="18"/>
        <v>3.8985682249439364</v>
      </c>
      <c r="U55" s="40">
        <f t="shared" si="19"/>
        <v>3.4697370468336701</v>
      </c>
      <c r="V55" s="40">
        <f t="shared" si="20"/>
        <v>3.198469108802624</v>
      </c>
      <c r="W55" s="40">
        <f t="shared" si="21"/>
        <v>3.0006049606775562</v>
      </c>
      <c r="X55" s="40">
        <f t="shared" si="22"/>
        <v>2.5449829794131951</v>
      </c>
      <c r="Y55" s="40">
        <f t="shared" si="23"/>
        <v>3.9256557234670835</v>
      </c>
    </row>
    <row r="56" spans="1:25" s="36" customFormat="1" ht="12.5" x14ac:dyDescent="0.25">
      <c r="A56" s="36" t="s">
        <v>48</v>
      </c>
      <c r="B56" s="40">
        <v>19.100000000000001</v>
      </c>
      <c r="C56" s="40">
        <v>20.6</v>
      </c>
      <c r="D56" s="40">
        <v>21.5</v>
      </c>
      <c r="E56" s="40">
        <v>23.5</v>
      </c>
      <c r="F56" s="40">
        <v>22.9</v>
      </c>
      <c r="G56" s="40">
        <v>23.9</v>
      </c>
      <c r="H56" s="40">
        <v>25.5</v>
      </c>
      <c r="I56" s="40">
        <v>28</v>
      </c>
      <c r="J56" s="40">
        <v>27.9</v>
      </c>
      <c r="K56" s="40">
        <v>33.700000000000003</v>
      </c>
      <c r="L56" s="40">
        <v>24.6</v>
      </c>
      <c r="N56" s="36" t="s">
        <v>48</v>
      </c>
      <c r="O56" s="40">
        <f t="shared" si="13"/>
        <v>8.062473617560153</v>
      </c>
      <c r="P56" s="40">
        <f t="shared" si="14"/>
        <v>7.0644718792866934</v>
      </c>
      <c r="Q56" s="40">
        <f t="shared" si="15"/>
        <v>5.9441526126624273</v>
      </c>
      <c r="R56" s="40">
        <f t="shared" si="16"/>
        <v>5.41100621690076</v>
      </c>
      <c r="S56" s="40">
        <f t="shared" si="17"/>
        <v>4.3412322274881516</v>
      </c>
      <c r="T56" s="40">
        <f t="shared" si="18"/>
        <v>4.0577249575551786</v>
      </c>
      <c r="U56" s="40">
        <f t="shared" si="19"/>
        <v>3.9608574091332711</v>
      </c>
      <c r="V56" s="40">
        <f t="shared" si="20"/>
        <v>3.7214247740563531</v>
      </c>
      <c r="W56" s="40">
        <f t="shared" si="21"/>
        <v>3.192950331883726</v>
      </c>
      <c r="X56" s="40">
        <f t="shared" si="22"/>
        <v>2.7865057053084175</v>
      </c>
      <c r="Y56" s="40">
        <f t="shared" si="23"/>
        <v>4.1554054054054061</v>
      </c>
    </row>
    <row r="57" spans="1:25" s="36" customFormat="1" ht="12.5" x14ac:dyDescent="0.25">
      <c r="A57" s="36" t="s">
        <v>49</v>
      </c>
      <c r="B57" s="40">
        <v>18.899999999999999</v>
      </c>
      <c r="C57" s="40">
        <v>21.4</v>
      </c>
      <c r="D57" s="40">
        <v>22.1</v>
      </c>
      <c r="E57" s="40">
        <v>24.1</v>
      </c>
      <c r="F57" s="40">
        <v>23</v>
      </c>
      <c r="G57" s="40">
        <v>23.5</v>
      </c>
      <c r="H57" s="40">
        <v>26.6</v>
      </c>
      <c r="I57" s="40">
        <v>26</v>
      </c>
      <c r="J57" s="40">
        <v>27</v>
      </c>
      <c r="K57" s="40">
        <v>32</v>
      </c>
      <c r="L57" s="40">
        <v>24.5</v>
      </c>
      <c r="N57" s="36" t="s">
        <v>49</v>
      </c>
      <c r="O57" s="40">
        <f t="shared" si="13"/>
        <v>7.7174356880359323</v>
      </c>
      <c r="P57" s="40">
        <f t="shared" si="14"/>
        <v>7.453848833159177</v>
      </c>
      <c r="Q57" s="40">
        <f t="shared" si="15"/>
        <v>6.0848017621145383</v>
      </c>
      <c r="R57" s="40">
        <f t="shared" si="16"/>
        <v>5.5275229357798166</v>
      </c>
      <c r="S57" s="40">
        <f t="shared" si="17"/>
        <v>4.4651523975927008</v>
      </c>
      <c r="T57" s="40">
        <f t="shared" si="18"/>
        <v>4.0225950017117418</v>
      </c>
      <c r="U57" s="40">
        <f t="shared" si="19"/>
        <v>4.089162182936203</v>
      </c>
      <c r="V57" s="40">
        <f t="shared" si="20"/>
        <v>3.4125213282583013</v>
      </c>
      <c r="W57" s="40">
        <f t="shared" si="21"/>
        <v>3.2250358337314857</v>
      </c>
      <c r="X57" s="40">
        <f t="shared" si="22"/>
        <v>2.6677782409337225</v>
      </c>
      <c r="Y57" s="40">
        <f t="shared" si="23"/>
        <v>4.1673754039802686</v>
      </c>
    </row>
    <row r="58" spans="1:25" x14ac:dyDescent="0.35">
      <c r="A58" s="36" t="s">
        <v>50</v>
      </c>
      <c r="B58" s="40">
        <v>16.899999999999999</v>
      </c>
      <c r="C58" s="40">
        <v>19.3</v>
      </c>
      <c r="D58" s="40">
        <v>21.8</v>
      </c>
      <c r="E58" s="40">
        <v>22.2</v>
      </c>
      <c r="F58" s="40">
        <v>23.2</v>
      </c>
      <c r="G58" s="40">
        <v>23.3</v>
      </c>
      <c r="H58" s="40">
        <v>24.1</v>
      </c>
      <c r="I58" s="40">
        <v>24.1</v>
      </c>
      <c r="J58" s="40">
        <v>25.4</v>
      </c>
      <c r="K58" s="40">
        <v>31.6</v>
      </c>
      <c r="L58" s="40">
        <v>23.2</v>
      </c>
      <c r="N58" s="36" t="s">
        <v>50</v>
      </c>
      <c r="O58" s="40">
        <f t="shared" si="13"/>
        <v>8.3663366336633658</v>
      </c>
      <c r="P58" s="40">
        <f t="shared" si="14"/>
        <v>7.7045908183632745</v>
      </c>
      <c r="Q58" s="40">
        <f t="shared" si="15"/>
        <v>6.3151796060254926</v>
      </c>
      <c r="R58" s="40">
        <f t="shared" si="16"/>
        <v>6.3774777362826773</v>
      </c>
      <c r="S58" s="40">
        <f t="shared" si="17"/>
        <v>5.3345596688894004</v>
      </c>
      <c r="T58" s="40">
        <f t="shared" si="18"/>
        <v>4.8031333745619458</v>
      </c>
      <c r="U58" s="40">
        <f t="shared" si="19"/>
        <v>4.6796116504854375</v>
      </c>
      <c r="V58" s="40">
        <f t="shared" si="20"/>
        <v>3.9631639532971552</v>
      </c>
      <c r="W58" s="40">
        <f t="shared" si="21"/>
        <v>3.7069468768242846</v>
      </c>
      <c r="X58" s="40">
        <f t="shared" si="22"/>
        <v>3.3570593859555937</v>
      </c>
      <c r="Y58" s="40">
        <f t="shared" si="23"/>
        <v>4.8182762201453784</v>
      </c>
    </row>
    <row r="59" spans="1:25" x14ac:dyDescent="0.35">
      <c r="A59" s="36" t="s">
        <v>51</v>
      </c>
      <c r="B59" s="40">
        <v>20</v>
      </c>
      <c r="C59" s="40">
        <v>20.7</v>
      </c>
      <c r="D59" s="40">
        <v>22.3</v>
      </c>
      <c r="E59" s="40">
        <v>24.4</v>
      </c>
      <c r="F59" s="40">
        <v>25.7</v>
      </c>
      <c r="G59" s="40">
        <v>26</v>
      </c>
      <c r="H59" s="40">
        <v>25.4</v>
      </c>
      <c r="I59" s="40">
        <v>28.3</v>
      </c>
      <c r="J59" s="40">
        <v>28.9</v>
      </c>
      <c r="K59" s="40">
        <v>34.9</v>
      </c>
      <c r="L59" s="40">
        <v>25.7</v>
      </c>
      <c r="N59" s="36" t="s">
        <v>51</v>
      </c>
      <c r="O59" s="40">
        <f t="shared" si="13"/>
        <v>7.9365079365079358</v>
      </c>
      <c r="P59" s="40">
        <f t="shared" si="14"/>
        <v>7.2990126939351194</v>
      </c>
      <c r="Q59" s="40">
        <f t="shared" si="15"/>
        <v>6.3787185354691083</v>
      </c>
      <c r="R59" s="40">
        <f t="shared" si="16"/>
        <v>5.8979937152525981</v>
      </c>
      <c r="S59" s="40">
        <f t="shared" si="17"/>
        <v>5.2556237218813902</v>
      </c>
      <c r="T59" s="40">
        <f t="shared" si="18"/>
        <v>5.0613198364804362</v>
      </c>
      <c r="U59" s="40">
        <f t="shared" si="19"/>
        <v>4.4452222611130559</v>
      </c>
      <c r="V59" s="40">
        <f t="shared" si="20"/>
        <v>4.2807442141884735</v>
      </c>
      <c r="W59" s="40">
        <f t="shared" si="21"/>
        <v>3.8410419989367361</v>
      </c>
      <c r="X59" s="40">
        <f t="shared" si="22"/>
        <v>3.480602373591303</v>
      </c>
      <c r="Y59" s="40">
        <f t="shared" si="23"/>
        <v>4.8600605143721634</v>
      </c>
    </row>
    <row r="60" spans="1:25" x14ac:dyDescent="0.35">
      <c r="A60" s="36" t="s">
        <v>52</v>
      </c>
      <c r="B60" s="40">
        <v>29.2</v>
      </c>
      <c r="C60" s="40">
        <v>29.6</v>
      </c>
      <c r="D60" s="40">
        <v>31.9</v>
      </c>
      <c r="E60" s="40">
        <v>35.4</v>
      </c>
      <c r="F60" s="40">
        <v>35.9</v>
      </c>
      <c r="G60" s="40">
        <v>36.200000000000003</v>
      </c>
      <c r="H60" s="40">
        <v>36.5</v>
      </c>
      <c r="I60" s="40">
        <v>43.4</v>
      </c>
      <c r="J60" s="40">
        <v>42.3</v>
      </c>
      <c r="K60" s="40">
        <v>50.6</v>
      </c>
      <c r="L60" s="40">
        <v>37.1</v>
      </c>
      <c r="N60" s="36" t="s">
        <v>52</v>
      </c>
      <c r="O60" s="40">
        <f t="shared" si="13"/>
        <v>11.149293623520428</v>
      </c>
      <c r="P60" s="40">
        <f t="shared" si="14"/>
        <v>9.3140339836375077</v>
      </c>
      <c r="Q60" s="40">
        <f t="shared" si="15"/>
        <v>7.8921326076199891</v>
      </c>
      <c r="R60" s="40">
        <f t="shared" si="16"/>
        <v>7.5933075933075935</v>
      </c>
      <c r="S60" s="40">
        <f t="shared" si="17"/>
        <v>7.0544311259579482</v>
      </c>
      <c r="T60" s="40">
        <f t="shared" si="18"/>
        <v>6.2858135092898078</v>
      </c>
      <c r="U60" s="40">
        <f t="shared" si="19"/>
        <v>5.9816453621763355</v>
      </c>
      <c r="V60" s="40">
        <f t="shared" si="20"/>
        <v>6.129077813868097</v>
      </c>
      <c r="W60" s="40">
        <f t="shared" si="21"/>
        <v>5.3100677880994223</v>
      </c>
      <c r="X60" s="40">
        <f t="shared" si="22"/>
        <v>4.9140526366902986</v>
      </c>
      <c r="Y60" s="40">
        <f t="shared" si="23"/>
        <v>6.5351418002466088</v>
      </c>
    </row>
    <row r="61" spans="1:25" x14ac:dyDescent="0.35">
      <c r="A61" s="36" t="s">
        <v>53</v>
      </c>
      <c r="B61" s="40">
        <v>31.1</v>
      </c>
      <c r="C61" s="40">
        <v>32</v>
      </c>
      <c r="D61" s="40">
        <v>36.200000000000003</v>
      </c>
      <c r="E61" s="40">
        <v>37.9</v>
      </c>
      <c r="F61" s="40">
        <v>41.1</v>
      </c>
      <c r="G61" s="40">
        <v>38.5</v>
      </c>
      <c r="H61" s="40">
        <v>42.4</v>
      </c>
      <c r="I61" s="40">
        <v>43.8</v>
      </c>
      <c r="J61" s="40">
        <v>47.1</v>
      </c>
      <c r="K61" s="40">
        <v>54.8</v>
      </c>
      <c r="L61" s="40">
        <v>40.5</v>
      </c>
      <c r="N61" s="36" t="s">
        <v>53</v>
      </c>
      <c r="O61" s="40">
        <f t="shared" si="13"/>
        <v>10.889355742296919</v>
      </c>
      <c r="P61" s="40">
        <f t="shared" si="14"/>
        <v>10.034493571652556</v>
      </c>
      <c r="Q61" s="40">
        <f t="shared" si="15"/>
        <v>8.5076380728554657</v>
      </c>
      <c r="R61" s="40">
        <f t="shared" si="16"/>
        <v>7.6782820097244731</v>
      </c>
      <c r="S61" s="40">
        <f t="shared" si="17"/>
        <v>7.1131879543094509</v>
      </c>
      <c r="T61" s="40">
        <f t="shared" si="18"/>
        <v>6.331195527051471</v>
      </c>
      <c r="U61" s="40">
        <f t="shared" si="19"/>
        <v>6.0718888729772305</v>
      </c>
      <c r="V61" s="40">
        <f t="shared" si="20"/>
        <v>5.6979315727852216</v>
      </c>
      <c r="W61" s="40">
        <f t="shared" si="21"/>
        <v>5.3352967829632991</v>
      </c>
      <c r="X61" s="40">
        <f t="shared" si="22"/>
        <v>4.666609895256749</v>
      </c>
      <c r="Y61" s="40">
        <f t="shared" si="23"/>
        <v>6.4976736723888981</v>
      </c>
    </row>
    <row r="63" spans="1:25" s="36" customFormat="1" ht="13" x14ac:dyDescent="0.3">
      <c r="A63" s="35" t="s">
        <v>56</v>
      </c>
      <c r="N63" s="35" t="s">
        <v>56</v>
      </c>
    </row>
    <row r="64" spans="1:25" s="36" customFormat="1" ht="13" x14ac:dyDescent="0.3">
      <c r="B64" s="62" t="s">
        <v>25</v>
      </c>
      <c r="C64" s="62"/>
      <c r="D64" s="62"/>
      <c r="E64" s="62"/>
      <c r="F64" s="62"/>
      <c r="G64" s="62"/>
      <c r="H64" s="62"/>
      <c r="I64" s="62"/>
      <c r="J64" s="62"/>
      <c r="K64" s="62"/>
      <c r="L64" s="62"/>
      <c r="O64" s="62" t="s">
        <v>25</v>
      </c>
      <c r="P64" s="62"/>
      <c r="Q64" s="62"/>
      <c r="R64" s="62"/>
      <c r="S64" s="62"/>
      <c r="T64" s="62"/>
      <c r="U64" s="62"/>
      <c r="V64" s="62"/>
      <c r="W64" s="62"/>
      <c r="X64" s="62"/>
      <c r="Y64" s="62"/>
    </row>
    <row r="65" spans="1:25" s="36" customFormat="1" ht="12.5" x14ac:dyDescent="0.25">
      <c r="B65" s="37" t="s">
        <v>34</v>
      </c>
      <c r="C65" s="38" t="s">
        <v>35</v>
      </c>
      <c r="D65" s="39" t="s">
        <v>36</v>
      </c>
      <c r="E65" s="39" t="s">
        <v>37</v>
      </c>
      <c r="F65" s="39" t="s">
        <v>38</v>
      </c>
      <c r="G65" s="39" t="s">
        <v>39</v>
      </c>
      <c r="H65" s="39" t="s">
        <v>40</v>
      </c>
      <c r="I65" s="39" t="s">
        <v>41</v>
      </c>
      <c r="J65" s="39" t="s">
        <v>42</v>
      </c>
      <c r="K65" s="39" t="s">
        <v>43</v>
      </c>
      <c r="L65" s="37" t="s">
        <v>44</v>
      </c>
      <c r="O65" s="37" t="s">
        <v>34</v>
      </c>
      <c r="P65" s="38" t="s">
        <v>35</v>
      </c>
      <c r="Q65" s="39" t="s">
        <v>36</v>
      </c>
      <c r="R65" s="39" t="s">
        <v>37</v>
      </c>
      <c r="S65" s="39" t="s">
        <v>38</v>
      </c>
      <c r="T65" s="39" t="s">
        <v>39</v>
      </c>
      <c r="U65" s="39" t="s">
        <v>40</v>
      </c>
      <c r="V65" s="39" t="s">
        <v>41</v>
      </c>
      <c r="W65" s="39" t="s">
        <v>42</v>
      </c>
      <c r="X65" s="39" t="s">
        <v>43</v>
      </c>
      <c r="Y65" s="37" t="s">
        <v>44</v>
      </c>
    </row>
    <row r="66" spans="1:25" s="36" customFormat="1" ht="12.5" x14ac:dyDescent="0.25">
      <c r="A66" s="36">
        <v>1997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36">
        <v>1997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s="36" customFormat="1" ht="12.5" x14ac:dyDescent="0.25">
      <c r="A67" s="36">
        <v>1998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36">
        <v>1998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s="36" customFormat="1" ht="12.5" x14ac:dyDescent="0.25">
      <c r="A68" s="36">
        <v>1999</v>
      </c>
      <c r="B68" s="40">
        <v>2.9</v>
      </c>
      <c r="C68" s="40">
        <v>4.3</v>
      </c>
      <c r="D68" s="40">
        <v>5.8</v>
      </c>
      <c r="E68" s="40">
        <v>8.9</v>
      </c>
      <c r="F68" s="40">
        <v>12.5</v>
      </c>
      <c r="G68" s="40">
        <v>15.1</v>
      </c>
      <c r="H68" s="40">
        <v>18.399999999999999</v>
      </c>
      <c r="I68" s="40">
        <v>21.4</v>
      </c>
      <c r="J68" s="40">
        <v>24.7</v>
      </c>
      <c r="K68" s="40">
        <v>29.6</v>
      </c>
      <c r="L68" s="40">
        <v>14.4</v>
      </c>
      <c r="N68" s="36">
        <v>1999</v>
      </c>
      <c r="O68" s="40">
        <f>100*(B68/B192)</f>
        <v>2.4227234753550544</v>
      </c>
      <c r="P68" s="40">
        <f t="shared" ref="P68:Y83" si="24">100*(C68/C192)</f>
        <v>2.9291553133514983</v>
      </c>
      <c r="Q68" s="40">
        <f t="shared" si="24"/>
        <v>3.256597417181359</v>
      </c>
      <c r="R68" s="40">
        <f t="shared" si="24"/>
        <v>3.6356209150326801</v>
      </c>
      <c r="S68" s="40">
        <f t="shared" si="24"/>
        <v>4.1666666666666661</v>
      </c>
      <c r="T68" s="40">
        <f t="shared" si="24"/>
        <v>4.1735765616362626</v>
      </c>
      <c r="U68" s="40">
        <f t="shared" si="24"/>
        <v>4.4562848147251151</v>
      </c>
      <c r="V68" s="40">
        <f t="shared" si="24"/>
        <v>4.4416770444167701</v>
      </c>
      <c r="W68" s="40">
        <f t="shared" si="24"/>
        <v>4.3701344656758661</v>
      </c>
      <c r="X68" s="40">
        <f t="shared" si="24"/>
        <v>3.7827476038338657</v>
      </c>
      <c r="Y68" s="40">
        <f t="shared" si="24"/>
        <v>4.0066777963272129</v>
      </c>
    </row>
    <row r="69" spans="1:25" s="36" customFormat="1" ht="12.5" x14ac:dyDescent="0.25">
      <c r="A69" s="36">
        <v>2000</v>
      </c>
      <c r="B69" s="40">
        <v>2.4361999999999999</v>
      </c>
      <c r="C69" s="40">
        <v>4.2606999999999999</v>
      </c>
      <c r="D69" s="40">
        <v>7.6292999999999997</v>
      </c>
      <c r="E69" s="40">
        <v>9.9221000000000004</v>
      </c>
      <c r="F69" s="40">
        <v>14.3012</v>
      </c>
      <c r="G69" s="40">
        <v>16.761199999999999</v>
      </c>
      <c r="H69" s="40">
        <v>20.552299999999999</v>
      </c>
      <c r="I69" s="40">
        <v>22.803000000000001</v>
      </c>
      <c r="J69" s="40">
        <v>27.011600000000001</v>
      </c>
      <c r="K69" s="40">
        <v>32.688299999999998</v>
      </c>
      <c r="L69" s="40">
        <v>15.839600000000001</v>
      </c>
      <c r="N69" s="36">
        <v>2000</v>
      </c>
      <c r="O69" s="40">
        <f t="shared" ref="O69:O92" si="25">100*(B69/B193)</f>
        <v>1.9235202900518895</v>
      </c>
      <c r="P69" s="40">
        <f t="shared" si="24"/>
        <v>2.7703689447148614</v>
      </c>
      <c r="Q69" s="40">
        <f t="shared" si="24"/>
        <v>3.5464316045333408</v>
      </c>
      <c r="R69" s="40">
        <f t="shared" si="24"/>
        <v>3.7204787002678779</v>
      </c>
      <c r="S69" s="40">
        <f t="shared" si="24"/>
        <v>4.3466380967577711</v>
      </c>
      <c r="T69" s="40">
        <f t="shared" si="24"/>
        <v>4.5276617354884108</v>
      </c>
      <c r="U69" s="40">
        <f t="shared" si="24"/>
        <v>4.5870980154261014</v>
      </c>
      <c r="V69" s="40">
        <f t="shared" si="24"/>
        <v>4.5562223815358207</v>
      </c>
      <c r="W69" s="40">
        <f t="shared" si="24"/>
        <v>4.5221692871986665</v>
      </c>
      <c r="X69" s="40">
        <f t="shared" si="24"/>
        <v>3.8500260882572217</v>
      </c>
      <c r="Y69" s="40">
        <f t="shared" si="24"/>
        <v>4.106536194430733</v>
      </c>
    </row>
    <row r="70" spans="1:25" s="36" customFormat="1" ht="12.5" x14ac:dyDescent="0.25">
      <c r="A70" s="36">
        <v>2001</v>
      </c>
      <c r="B70" s="40">
        <v>3.1166</v>
      </c>
      <c r="C70" s="40">
        <v>4.2595000000000001</v>
      </c>
      <c r="D70" s="40">
        <v>7.2476000000000003</v>
      </c>
      <c r="E70" s="40">
        <v>10.640499999999999</v>
      </c>
      <c r="F70" s="40">
        <v>13.661899999999999</v>
      </c>
      <c r="G70" s="40">
        <v>14.8505</v>
      </c>
      <c r="H70" s="40">
        <v>18.4133</v>
      </c>
      <c r="I70" s="40">
        <v>22.315100000000001</v>
      </c>
      <c r="J70" s="40">
        <v>23.512899999999998</v>
      </c>
      <c r="K70" s="40">
        <v>29.590199999999999</v>
      </c>
      <c r="L70" s="40">
        <v>14.761799999999999</v>
      </c>
      <c r="N70" s="36">
        <v>2001</v>
      </c>
      <c r="O70" s="40">
        <f t="shared" si="25"/>
        <v>2.4340279703130747</v>
      </c>
      <c r="P70" s="40">
        <f t="shared" si="24"/>
        <v>2.4861770424211436</v>
      </c>
      <c r="Q70" s="40">
        <f t="shared" si="24"/>
        <v>3.3343239938278479</v>
      </c>
      <c r="R70" s="40">
        <f t="shared" si="24"/>
        <v>3.8079985684888609</v>
      </c>
      <c r="S70" s="40">
        <f t="shared" si="24"/>
        <v>4.2426534821098896</v>
      </c>
      <c r="T70" s="40">
        <f t="shared" si="24"/>
        <v>3.8179694588152659</v>
      </c>
      <c r="U70" s="40">
        <f t="shared" si="24"/>
        <v>4.0970914528984563</v>
      </c>
      <c r="V70" s="40">
        <f t="shared" si="24"/>
        <v>4.212164540774193</v>
      </c>
      <c r="W70" s="40">
        <f t="shared" si="24"/>
        <v>3.8661144389868047</v>
      </c>
      <c r="X70" s="40">
        <f t="shared" si="24"/>
        <v>3.3307380241979461</v>
      </c>
      <c r="Y70" s="40">
        <f t="shared" si="24"/>
        <v>3.7060748114048829</v>
      </c>
    </row>
    <row r="71" spans="1:25" s="36" customFormat="1" ht="12.5" x14ac:dyDescent="0.25">
      <c r="A71" s="36">
        <v>2002</v>
      </c>
      <c r="B71" s="40">
        <v>2.9756999999999998</v>
      </c>
      <c r="C71" s="40">
        <v>4.3032000000000004</v>
      </c>
      <c r="D71" s="40">
        <v>6.5121000000000002</v>
      </c>
      <c r="E71" s="40">
        <v>10.7294</v>
      </c>
      <c r="F71" s="40">
        <v>12.347</v>
      </c>
      <c r="G71" s="40">
        <v>15.567500000000001</v>
      </c>
      <c r="H71" s="40">
        <v>18.242799999999999</v>
      </c>
      <c r="I71" s="40">
        <v>22.3245</v>
      </c>
      <c r="J71" s="40">
        <v>26.5792</v>
      </c>
      <c r="K71" s="40">
        <v>28.7836</v>
      </c>
      <c r="L71" s="40">
        <v>14.8346</v>
      </c>
      <c r="N71" s="36">
        <v>2002</v>
      </c>
      <c r="O71" s="40">
        <f t="shared" si="25"/>
        <v>2.1950339726079942</v>
      </c>
      <c r="P71" s="40">
        <f t="shared" si="24"/>
        <v>2.5403737121618208</v>
      </c>
      <c r="Q71" s="40">
        <f t="shared" si="24"/>
        <v>2.9677210603788891</v>
      </c>
      <c r="R71" s="40">
        <f t="shared" si="24"/>
        <v>3.6351205484223104</v>
      </c>
      <c r="S71" s="40">
        <f t="shared" si="24"/>
        <v>3.6855088193118632</v>
      </c>
      <c r="T71" s="40">
        <f t="shared" si="24"/>
        <v>3.8877889338305445</v>
      </c>
      <c r="U71" s="40">
        <f t="shared" si="24"/>
        <v>4.0017961446067503</v>
      </c>
      <c r="V71" s="40">
        <f t="shared" si="24"/>
        <v>4.1800880300381396</v>
      </c>
      <c r="W71" s="40">
        <f t="shared" si="24"/>
        <v>4.1910501514137337</v>
      </c>
      <c r="X71" s="40">
        <f t="shared" si="24"/>
        <v>3.2584175919864276</v>
      </c>
      <c r="Y71" s="40">
        <f t="shared" si="24"/>
        <v>3.652135935500088</v>
      </c>
    </row>
    <row r="72" spans="1:25" s="36" customFormat="1" ht="12.5" x14ac:dyDescent="0.25">
      <c r="A72" s="36">
        <v>2003</v>
      </c>
      <c r="B72" s="40">
        <v>3.3963999999999999</v>
      </c>
      <c r="C72" s="40">
        <v>4.2865000000000002</v>
      </c>
      <c r="D72" s="40">
        <v>6.6228999999999996</v>
      </c>
      <c r="E72" s="40">
        <v>9.9762000000000004</v>
      </c>
      <c r="F72" s="40">
        <v>13.5526</v>
      </c>
      <c r="G72" s="40">
        <v>15.854100000000001</v>
      </c>
      <c r="H72" s="40">
        <v>18.215</v>
      </c>
      <c r="I72" s="40">
        <v>21.495100000000001</v>
      </c>
      <c r="J72" s="40">
        <v>24.94</v>
      </c>
      <c r="K72" s="40">
        <v>31.2012</v>
      </c>
      <c r="L72" s="40">
        <v>14.9527</v>
      </c>
      <c r="N72" s="36">
        <v>2003</v>
      </c>
      <c r="O72" s="40">
        <f t="shared" si="25"/>
        <v>2.4327927047735423</v>
      </c>
      <c r="P72" s="40">
        <f t="shared" si="24"/>
        <v>2.4733822181907983</v>
      </c>
      <c r="Q72" s="40">
        <f t="shared" si="24"/>
        <v>2.9539022829196933</v>
      </c>
      <c r="R72" s="40">
        <f t="shared" si="24"/>
        <v>3.3440620958696834</v>
      </c>
      <c r="S72" s="40">
        <f t="shared" si="24"/>
        <v>3.7471131336417636</v>
      </c>
      <c r="T72" s="40">
        <f t="shared" si="24"/>
        <v>3.853519541041766</v>
      </c>
      <c r="U72" s="40">
        <f t="shared" si="24"/>
        <v>3.8057991478269342</v>
      </c>
      <c r="V72" s="40">
        <f t="shared" si="24"/>
        <v>3.8576036702608589</v>
      </c>
      <c r="W72" s="40">
        <f t="shared" si="24"/>
        <v>3.9443589183157117</v>
      </c>
      <c r="X72" s="40">
        <f t="shared" si="24"/>
        <v>3.4476650757556593</v>
      </c>
      <c r="Y72" s="40">
        <f t="shared" si="24"/>
        <v>3.576129829055986</v>
      </c>
    </row>
    <row r="73" spans="1:25" s="36" customFormat="1" ht="12.5" x14ac:dyDescent="0.25">
      <c r="A73" s="36">
        <v>2004</v>
      </c>
      <c r="B73" s="40">
        <v>3.0746000000000002</v>
      </c>
      <c r="C73" s="40">
        <v>4.6900000000000004</v>
      </c>
      <c r="D73" s="40">
        <v>7.9741</v>
      </c>
      <c r="E73" s="40">
        <v>10.924200000000001</v>
      </c>
      <c r="F73" s="40">
        <v>13.7951</v>
      </c>
      <c r="G73" s="40">
        <v>17.2044</v>
      </c>
      <c r="H73" s="40">
        <v>20.2362</v>
      </c>
      <c r="I73" s="40">
        <v>23.627500000000001</v>
      </c>
      <c r="J73" s="40">
        <v>26.9985</v>
      </c>
      <c r="K73" s="40">
        <v>33.348199999999999</v>
      </c>
      <c r="L73" s="40">
        <v>16.185600000000001</v>
      </c>
      <c r="N73" s="36">
        <v>2004</v>
      </c>
      <c r="O73" s="40">
        <f t="shared" si="25"/>
        <v>2.0871716265221365</v>
      </c>
      <c r="P73" s="40">
        <f t="shared" si="24"/>
        <v>2.6300559882281163</v>
      </c>
      <c r="Q73" s="40">
        <f t="shared" si="24"/>
        <v>3.2057508213276646</v>
      </c>
      <c r="R73" s="40">
        <f t="shared" si="24"/>
        <v>3.4915541350379544</v>
      </c>
      <c r="S73" s="40">
        <f t="shared" si="24"/>
        <v>3.6953302026162054</v>
      </c>
      <c r="T73" s="40">
        <f t="shared" si="24"/>
        <v>3.9475377908757645</v>
      </c>
      <c r="U73" s="40">
        <f t="shared" si="24"/>
        <v>4.1325102157926663</v>
      </c>
      <c r="V73" s="40">
        <f t="shared" si="24"/>
        <v>4.1574925573360941</v>
      </c>
      <c r="W73" s="40">
        <f t="shared" si="24"/>
        <v>4.0617981255415092</v>
      </c>
      <c r="X73" s="40">
        <f t="shared" si="24"/>
        <v>3.602630548391017</v>
      </c>
      <c r="Y73" s="40">
        <f t="shared" si="24"/>
        <v>3.7257369941265135</v>
      </c>
    </row>
    <row r="74" spans="1:25" s="36" customFormat="1" ht="12.5" x14ac:dyDescent="0.25">
      <c r="A74" s="36">
        <v>2005</v>
      </c>
      <c r="B74" s="40">
        <v>5.5608000000000004</v>
      </c>
      <c r="C74" s="40">
        <v>8.2835999999999999</v>
      </c>
      <c r="D74" s="40">
        <v>13.072800000000001</v>
      </c>
      <c r="E74" s="40">
        <v>16.669899999999998</v>
      </c>
      <c r="F74" s="40">
        <v>23.953399999999998</v>
      </c>
      <c r="G74" s="40">
        <v>29.744299999999999</v>
      </c>
      <c r="H74" s="40">
        <v>30.8294</v>
      </c>
      <c r="I74" s="40">
        <v>42.409599999999998</v>
      </c>
      <c r="J74" s="40">
        <v>46.507100000000001</v>
      </c>
      <c r="K74" s="40">
        <v>61.9529</v>
      </c>
      <c r="L74" s="40">
        <v>27.895800000000001</v>
      </c>
      <c r="N74" s="36">
        <v>2005</v>
      </c>
      <c r="O74" s="40">
        <f t="shared" si="25"/>
        <v>3.6202842165295581</v>
      </c>
      <c r="P74" s="40">
        <f t="shared" si="24"/>
        <v>4.6296906944536049</v>
      </c>
      <c r="Q74" s="40">
        <f t="shared" si="24"/>
        <v>4.9421659818929395</v>
      </c>
      <c r="R74" s="40">
        <f t="shared" si="24"/>
        <v>5.3748210531746121</v>
      </c>
      <c r="S74" s="40">
        <f t="shared" si="24"/>
        <v>6.7155425219941352</v>
      </c>
      <c r="T74" s="40">
        <f t="shared" si="24"/>
        <v>6.844655681209419</v>
      </c>
      <c r="U74" s="40">
        <f t="shared" si="24"/>
        <v>6.4355461146225839</v>
      </c>
      <c r="V74" s="40">
        <f t="shared" si="24"/>
        <v>7.2610735840815757</v>
      </c>
      <c r="W74" s="40">
        <f t="shared" si="24"/>
        <v>6.8128345927828668</v>
      </c>
      <c r="X74" s="40">
        <f t="shared" si="24"/>
        <v>6.259577741276229</v>
      </c>
      <c r="Y74" s="40">
        <f t="shared" si="24"/>
        <v>6.2920236254820665</v>
      </c>
    </row>
    <row r="75" spans="1:25" s="36" customFormat="1" ht="12.5" x14ac:dyDescent="0.25">
      <c r="A75" s="36">
        <v>2006</v>
      </c>
      <c r="B75" s="40">
        <v>6.4084000000000003</v>
      </c>
      <c r="C75" s="40">
        <v>9.0810999999999993</v>
      </c>
      <c r="D75" s="40">
        <v>15.575100000000001</v>
      </c>
      <c r="E75" s="40">
        <v>18.818100000000001</v>
      </c>
      <c r="F75" s="40">
        <v>24.974299999999999</v>
      </c>
      <c r="G75" s="40">
        <v>28.305499999999999</v>
      </c>
      <c r="H75" s="40">
        <v>33.5657</v>
      </c>
      <c r="I75" s="40">
        <v>40.758200000000002</v>
      </c>
      <c r="J75" s="40">
        <v>47.6113</v>
      </c>
      <c r="K75" s="40">
        <v>61.136600000000001</v>
      </c>
      <c r="L75" s="40">
        <v>28.6236</v>
      </c>
      <c r="N75" s="36">
        <v>2006</v>
      </c>
      <c r="O75" s="40">
        <f t="shared" si="25"/>
        <v>4.11909668345998</v>
      </c>
      <c r="P75" s="40">
        <f t="shared" si="24"/>
        <v>4.5460325152133469</v>
      </c>
      <c r="Q75" s="40">
        <f t="shared" si="24"/>
        <v>5.7382364145592213</v>
      </c>
      <c r="R75" s="40">
        <f t="shared" si="24"/>
        <v>5.6518363565101053</v>
      </c>
      <c r="S75" s="40">
        <f t="shared" si="24"/>
        <v>6.5682415371194294</v>
      </c>
      <c r="T75" s="40">
        <f t="shared" si="24"/>
        <v>6.4615518773210274</v>
      </c>
      <c r="U75" s="40">
        <f t="shared" si="24"/>
        <v>6.6219308488737818</v>
      </c>
      <c r="V75" s="40">
        <f t="shared" si="24"/>
        <v>6.8604752351323022</v>
      </c>
      <c r="W75" s="40">
        <f t="shared" si="24"/>
        <v>6.6540363154276498</v>
      </c>
      <c r="X75" s="40">
        <f t="shared" si="24"/>
        <v>6.3394792233633481</v>
      </c>
      <c r="Y75" s="40">
        <f t="shared" si="24"/>
        <v>6.2786831953819968</v>
      </c>
    </row>
    <row r="76" spans="1:25" s="36" customFormat="1" ht="12.5" x14ac:dyDescent="0.25">
      <c r="A76" s="36">
        <v>2007</v>
      </c>
      <c r="B76" s="40">
        <v>4.6172000000000004</v>
      </c>
      <c r="C76" s="40">
        <v>5.2685000000000004</v>
      </c>
      <c r="D76" s="40">
        <v>8.7149999999999999</v>
      </c>
      <c r="E76" s="40">
        <v>12.779199999999999</v>
      </c>
      <c r="F76" s="40">
        <v>16.521899999999999</v>
      </c>
      <c r="G76" s="40">
        <v>20.598400000000002</v>
      </c>
      <c r="H76" s="40">
        <v>24.846800000000002</v>
      </c>
      <c r="I76" s="40">
        <v>26.410799999999998</v>
      </c>
      <c r="J76" s="40">
        <v>29.538399999999999</v>
      </c>
      <c r="K76" s="40">
        <v>33.76</v>
      </c>
      <c r="L76" s="40">
        <v>18.302800000000001</v>
      </c>
      <c r="N76" s="36">
        <v>2007</v>
      </c>
      <c r="O76" s="40">
        <f t="shared" si="25"/>
        <v>2.6784807864890219</v>
      </c>
      <c r="P76" s="40">
        <f t="shared" si="24"/>
        <v>2.6966063246512353</v>
      </c>
      <c r="Q76" s="40">
        <f t="shared" si="24"/>
        <v>3.347382224190492</v>
      </c>
      <c r="R76" s="40">
        <f t="shared" si="24"/>
        <v>3.9060926327642651</v>
      </c>
      <c r="S76" s="40">
        <f t="shared" si="24"/>
        <v>4.2117340916981787</v>
      </c>
      <c r="T76" s="40">
        <f t="shared" si="24"/>
        <v>4.4896309803369405</v>
      </c>
      <c r="U76" s="40">
        <f t="shared" si="24"/>
        <v>4.9051951423430111</v>
      </c>
      <c r="V76" s="40">
        <f t="shared" si="24"/>
        <v>4.4105873602173391</v>
      </c>
      <c r="W76" s="40">
        <f t="shared" si="24"/>
        <v>4.2572031917205742</v>
      </c>
      <c r="X76" s="40">
        <f t="shared" si="24"/>
        <v>3.4214148340831696</v>
      </c>
      <c r="Y76" s="40">
        <f t="shared" si="24"/>
        <v>3.9861199708251949</v>
      </c>
    </row>
    <row r="77" spans="1:25" s="36" customFormat="1" ht="12.5" x14ac:dyDescent="0.25">
      <c r="A77" s="36">
        <v>2008</v>
      </c>
      <c r="B77" s="40">
        <v>4</v>
      </c>
      <c r="C77" s="40">
        <v>5.7</v>
      </c>
      <c r="D77" s="40">
        <v>9.3000000000000007</v>
      </c>
      <c r="E77" s="40">
        <v>14.1</v>
      </c>
      <c r="F77" s="40">
        <v>18.600000000000001</v>
      </c>
      <c r="G77" s="40">
        <v>21.3</v>
      </c>
      <c r="H77" s="40">
        <v>25.8</v>
      </c>
      <c r="I77" s="40">
        <v>30.1</v>
      </c>
      <c r="J77" s="40">
        <v>36.5</v>
      </c>
      <c r="K77" s="40">
        <v>44.9</v>
      </c>
      <c r="L77" s="40">
        <v>21</v>
      </c>
      <c r="N77" s="36">
        <v>2008</v>
      </c>
      <c r="O77" s="40">
        <f t="shared" si="25"/>
        <v>2.6024723487312951</v>
      </c>
      <c r="P77" s="40">
        <f t="shared" si="24"/>
        <v>2.85</v>
      </c>
      <c r="Q77" s="40">
        <f t="shared" si="24"/>
        <v>3.6172695449241536</v>
      </c>
      <c r="R77" s="40">
        <f t="shared" si="24"/>
        <v>4.2714328991214776</v>
      </c>
      <c r="S77" s="40">
        <f t="shared" si="24"/>
        <v>4.7328244274809164</v>
      </c>
      <c r="T77" s="40">
        <f t="shared" si="24"/>
        <v>4.6385017421602788</v>
      </c>
      <c r="U77" s="40">
        <f t="shared" si="24"/>
        <v>4.8071548351034092</v>
      </c>
      <c r="V77" s="40">
        <f t="shared" si="24"/>
        <v>4.8106121144318363</v>
      </c>
      <c r="W77" s="40">
        <f t="shared" si="24"/>
        <v>5.1379504504504503</v>
      </c>
      <c r="X77" s="40">
        <f t="shared" si="24"/>
        <v>4.297061919800937</v>
      </c>
      <c r="Y77" s="40">
        <f t="shared" si="24"/>
        <v>4.4585987261146496</v>
      </c>
    </row>
    <row r="78" spans="1:25" s="36" customFormat="1" ht="12.5" x14ac:dyDescent="0.25">
      <c r="A78" s="36">
        <v>2009</v>
      </c>
      <c r="B78" s="40">
        <v>4.7</v>
      </c>
      <c r="C78" s="40">
        <v>5.6</v>
      </c>
      <c r="D78" s="40">
        <v>9.9</v>
      </c>
      <c r="E78" s="40">
        <v>13.4</v>
      </c>
      <c r="F78" s="40">
        <v>16.100000000000001</v>
      </c>
      <c r="G78" s="40">
        <v>20.2</v>
      </c>
      <c r="H78" s="40">
        <v>22.9</v>
      </c>
      <c r="I78" s="40">
        <v>29.9</v>
      </c>
      <c r="J78" s="40">
        <v>34.200000000000003</v>
      </c>
      <c r="K78" s="40">
        <v>35.6</v>
      </c>
      <c r="L78" s="40">
        <v>19.2</v>
      </c>
      <c r="N78" s="36">
        <v>2009</v>
      </c>
      <c r="O78" s="40">
        <f t="shared" si="25"/>
        <v>2.8887523048555628</v>
      </c>
      <c r="P78" s="40">
        <f t="shared" si="24"/>
        <v>2.6204960224613947</v>
      </c>
      <c r="Q78" s="40">
        <f t="shared" si="24"/>
        <v>3.5268970431065192</v>
      </c>
      <c r="R78" s="40">
        <f t="shared" si="24"/>
        <v>4.0155828588552591</v>
      </c>
      <c r="S78" s="40">
        <f t="shared" si="24"/>
        <v>4.1829046505585872</v>
      </c>
      <c r="T78" s="40">
        <f t="shared" si="24"/>
        <v>4.6511627906976747</v>
      </c>
      <c r="U78" s="40">
        <f t="shared" si="24"/>
        <v>4.5754245754245746</v>
      </c>
      <c r="V78" s="40">
        <f t="shared" si="24"/>
        <v>5.1445285615966956</v>
      </c>
      <c r="W78" s="40">
        <f t="shared" si="24"/>
        <v>5.1320528211284522</v>
      </c>
      <c r="X78" s="40">
        <f t="shared" si="24"/>
        <v>3.5883479487954846</v>
      </c>
      <c r="Y78" s="40">
        <f t="shared" si="24"/>
        <v>4.2197802197802199</v>
      </c>
    </row>
    <row r="79" spans="1:25" s="36" customFormat="1" ht="12.5" x14ac:dyDescent="0.25">
      <c r="A79" s="36">
        <v>2010</v>
      </c>
      <c r="B79" s="40">
        <v>5.7</v>
      </c>
      <c r="C79" s="40">
        <v>7.8</v>
      </c>
      <c r="D79" s="40">
        <v>10</v>
      </c>
      <c r="E79" s="40">
        <v>14.3</v>
      </c>
      <c r="F79" s="40">
        <v>18.8</v>
      </c>
      <c r="G79" s="40">
        <v>22.7</v>
      </c>
      <c r="H79" s="40">
        <v>26.6</v>
      </c>
      <c r="I79" s="40">
        <v>30.7</v>
      </c>
      <c r="J79" s="40">
        <v>37.4</v>
      </c>
      <c r="K79" s="40">
        <v>42.3</v>
      </c>
      <c r="L79" s="40">
        <v>21.6</v>
      </c>
      <c r="N79" s="36">
        <v>2010</v>
      </c>
      <c r="O79" s="40">
        <f t="shared" si="25"/>
        <v>3.0711206896551726</v>
      </c>
      <c r="P79" s="40">
        <f t="shared" si="24"/>
        <v>3.6312849162011172</v>
      </c>
      <c r="Q79" s="40">
        <f t="shared" si="24"/>
        <v>3.6670333700036672</v>
      </c>
      <c r="R79" s="40">
        <f t="shared" si="24"/>
        <v>4.1521486643437866</v>
      </c>
      <c r="S79" s="40">
        <f t="shared" si="24"/>
        <v>4.7</v>
      </c>
      <c r="T79" s="40">
        <f t="shared" si="24"/>
        <v>4.9476896251089793</v>
      </c>
      <c r="U79" s="40">
        <f t="shared" si="24"/>
        <v>5.0065876152832676</v>
      </c>
      <c r="V79" s="40">
        <f t="shared" si="24"/>
        <v>5.1963439404197702</v>
      </c>
      <c r="W79" s="40">
        <f t="shared" si="24"/>
        <v>5.1893991952268621</v>
      </c>
      <c r="X79" s="40">
        <f t="shared" si="24"/>
        <v>4.1531664212076578</v>
      </c>
      <c r="Y79" s="40">
        <f t="shared" si="24"/>
        <v>4.5608108108108105</v>
      </c>
    </row>
    <row r="80" spans="1:25" s="36" customFormat="1" ht="12.5" x14ac:dyDescent="0.25">
      <c r="A80" s="36">
        <v>2011</v>
      </c>
      <c r="B80" s="40">
        <v>5</v>
      </c>
      <c r="C80" s="40">
        <v>7.9</v>
      </c>
      <c r="D80" s="40">
        <v>11.7</v>
      </c>
      <c r="E80" s="40">
        <v>17.3</v>
      </c>
      <c r="F80" s="40">
        <v>21.3</v>
      </c>
      <c r="G80" s="40">
        <v>26</v>
      </c>
      <c r="H80" s="40">
        <v>30.9</v>
      </c>
      <c r="I80" s="40">
        <v>35.700000000000003</v>
      </c>
      <c r="J80" s="40">
        <v>44.2</v>
      </c>
      <c r="K80" s="40">
        <v>49.5</v>
      </c>
      <c r="L80" s="40">
        <v>24.9</v>
      </c>
      <c r="N80" s="36">
        <v>2011</v>
      </c>
      <c r="O80" s="40">
        <f t="shared" si="25"/>
        <v>2.8232636928289105</v>
      </c>
      <c r="P80" s="40">
        <f t="shared" si="24"/>
        <v>3.6023711810305517</v>
      </c>
      <c r="Q80" s="40">
        <f t="shared" si="24"/>
        <v>4.006849315068493</v>
      </c>
      <c r="R80" s="40">
        <f t="shared" si="24"/>
        <v>4.863649142535845</v>
      </c>
      <c r="S80" s="40">
        <f t="shared" si="24"/>
        <v>5.137481910274964</v>
      </c>
      <c r="T80" s="40">
        <f t="shared" si="24"/>
        <v>5.4771434590267534</v>
      </c>
      <c r="U80" s="40">
        <f t="shared" si="24"/>
        <v>5.7413600891861751</v>
      </c>
      <c r="V80" s="40">
        <f t="shared" si="24"/>
        <v>5.862068965517242</v>
      </c>
      <c r="W80" s="40">
        <f t="shared" si="24"/>
        <v>5.920964501004689</v>
      </c>
      <c r="X80" s="40">
        <f t="shared" si="24"/>
        <v>4.9000197980597893</v>
      </c>
      <c r="Y80" s="40">
        <f t="shared" si="24"/>
        <v>5.1488833746898255</v>
      </c>
    </row>
    <row r="81" spans="1:25" s="36" customFormat="1" ht="12.5" x14ac:dyDescent="0.25">
      <c r="A81" s="36">
        <v>2012</v>
      </c>
      <c r="B81" s="40">
        <v>5.5</v>
      </c>
      <c r="C81" s="40">
        <v>7.5</v>
      </c>
      <c r="D81" s="40">
        <v>12</v>
      </c>
      <c r="E81" s="40">
        <v>17.399999999999999</v>
      </c>
      <c r="F81" s="40">
        <v>20.9</v>
      </c>
      <c r="G81" s="40">
        <v>27.2</v>
      </c>
      <c r="H81" s="40">
        <v>30.4</v>
      </c>
      <c r="I81" s="40">
        <v>38.1</v>
      </c>
      <c r="J81" s="40">
        <v>38.9</v>
      </c>
      <c r="K81" s="40">
        <v>48.9</v>
      </c>
      <c r="L81" s="40">
        <v>24.7</v>
      </c>
      <c r="N81" s="36">
        <v>2012</v>
      </c>
      <c r="O81" s="40">
        <f t="shared" si="25"/>
        <v>2.8482651475919214</v>
      </c>
      <c r="P81" s="40">
        <f t="shared" si="24"/>
        <v>3.358710255261979</v>
      </c>
      <c r="Q81" s="40">
        <f t="shared" si="24"/>
        <v>4.2643923240938175</v>
      </c>
      <c r="R81" s="40">
        <f t="shared" si="24"/>
        <v>4.748908296943231</v>
      </c>
      <c r="S81" s="40">
        <f t="shared" si="24"/>
        <v>5.0752792617775615</v>
      </c>
      <c r="T81" s="40">
        <f t="shared" si="24"/>
        <v>5.6198347107438016</v>
      </c>
      <c r="U81" s="40">
        <f t="shared" si="24"/>
        <v>5.7207376740684985</v>
      </c>
      <c r="V81" s="40">
        <f t="shared" si="24"/>
        <v>6.0543460988399813</v>
      </c>
      <c r="W81" s="40">
        <f t="shared" si="24"/>
        <v>5.4734768538061065</v>
      </c>
      <c r="X81" s="40">
        <f t="shared" si="24"/>
        <v>4.6219281663516067</v>
      </c>
      <c r="Y81" s="40">
        <f t="shared" si="24"/>
        <v>5.0511247443762777</v>
      </c>
    </row>
    <row r="82" spans="1:25" s="36" customFormat="1" ht="12.5" x14ac:dyDescent="0.25">
      <c r="A82" s="36">
        <v>2013</v>
      </c>
      <c r="B82" s="40">
        <v>5</v>
      </c>
      <c r="C82" s="40">
        <v>7.6</v>
      </c>
      <c r="D82" s="40">
        <v>13</v>
      </c>
      <c r="E82" s="40">
        <v>16.3</v>
      </c>
      <c r="F82" s="40">
        <v>19.5</v>
      </c>
      <c r="G82" s="40">
        <v>25.5</v>
      </c>
      <c r="H82" s="40">
        <v>29</v>
      </c>
      <c r="I82" s="40">
        <v>34.9</v>
      </c>
      <c r="J82" s="40">
        <v>38.9</v>
      </c>
      <c r="K82" s="40">
        <v>45.3</v>
      </c>
      <c r="L82" s="40">
        <v>23.5</v>
      </c>
      <c r="N82" s="36">
        <v>2013</v>
      </c>
      <c r="O82" s="40">
        <f t="shared" si="25"/>
        <v>2.5471217524197654</v>
      </c>
      <c r="P82" s="40">
        <f t="shared" si="24"/>
        <v>3.3144352376798949</v>
      </c>
      <c r="Q82" s="40">
        <f t="shared" si="24"/>
        <v>4.2125729099157478</v>
      </c>
      <c r="R82" s="40">
        <f t="shared" si="24"/>
        <v>4.3304994686503724</v>
      </c>
      <c r="S82" s="40">
        <f t="shared" si="24"/>
        <v>4.4047887960243965</v>
      </c>
      <c r="T82" s="40">
        <f t="shared" si="24"/>
        <v>4.9572317262830481</v>
      </c>
      <c r="U82" s="40">
        <f t="shared" si="24"/>
        <v>5.0690438734486971</v>
      </c>
      <c r="V82" s="40">
        <f t="shared" si="24"/>
        <v>5.4276827371695173</v>
      </c>
      <c r="W82" s="40">
        <f t="shared" si="24"/>
        <v>5.036250647332988</v>
      </c>
      <c r="X82" s="40">
        <f t="shared" si="24"/>
        <v>4.0478956304172993</v>
      </c>
      <c r="Y82" s="40">
        <f t="shared" si="24"/>
        <v>4.5428184805722021</v>
      </c>
    </row>
    <row r="83" spans="1:25" s="36" customFormat="1" ht="12.5" x14ac:dyDescent="0.25">
      <c r="A83" s="36">
        <v>2014</v>
      </c>
      <c r="B83" s="40">
        <v>5.7</v>
      </c>
      <c r="C83" s="40">
        <v>7</v>
      </c>
      <c r="D83" s="40">
        <v>13.3</v>
      </c>
      <c r="E83" s="40">
        <v>17</v>
      </c>
      <c r="F83" s="40">
        <v>23</v>
      </c>
      <c r="G83" s="40">
        <v>24.5</v>
      </c>
      <c r="H83" s="40">
        <v>29.1</v>
      </c>
      <c r="I83" s="40">
        <v>33.299999999999997</v>
      </c>
      <c r="J83" s="40">
        <v>36.700000000000003</v>
      </c>
      <c r="K83" s="40">
        <v>40.5</v>
      </c>
      <c r="L83" s="40">
        <v>23</v>
      </c>
      <c r="N83" s="36">
        <v>2014</v>
      </c>
      <c r="O83" s="40">
        <f t="shared" si="25"/>
        <v>2.9936974789915967</v>
      </c>
      <c r="P83" s="40">
        <f t="shared" si="24"/>
        <v>2.8056112224448899</v>
      </c>
      <c r="Q83" s="40">
        <f t="shared" si="24"/>
        <v>4.1614518147684603</v>
      </c>
      <c r="R83" s="40">
        <f t="shared" si="24"/>
        <v>4.5297095656807889</v>
      </c>
      <c r="S83" s="40">
        <f t="shared" si="24"/>
        <v>5.1697010564171721</v>
      </c>
      <c r="T83" s="40">
        <f t="shared" si="24"/>
        <v>4.7160731472569779</v>
      </c>
      <c r="U83" s="40">
        <f t="shared" si="24"/>
        <v>4.9031171019376583</v>
      </c>
      <c r="V83" s="40">
        <f t="shared" si="24"/>
        <v>4.8556430446194225</v>
      </c>
      <c r="W83" s="40">
        <f t="shared" si="24"/>
        <v>4.7027165556125077</v>
      </c>
      <c r="X83" s="40">
        <f t="shared" si="24"/>
        <v>3.503763301323644</v>
      </c>
      <c r="Y83" s="40">
        <f t="shared" si="24"/>
        <v>4.3290043290043299</v>
      </c>
    </row>
    <row r="84" spans="1:25" s="36" customFormat="1" ht="12.5" x14ac:dyDescent="0.25">
      <c r="A84" s="36" t="s">
        <v>45</v>
      </c>
      <c r="B84" s="40">
        <v>4.0999999999999996</v>
      </c>
      <c r="C84" s="40">
        <v>7.3</v>
      </c>
      <c r="D84" s="40">
        <v>10.7</v>
      </c>
      <c r="E84" s="40">
        <v>12.8</v>
      </c>
      <c r="F84" s="40">
        <v>18.100000000000001</v>
      </c>
      <c r="G84" s="40">
        <v>20.6</v>
      </c>
      <c r="H84" s="40">
        <v>23</v>
      </c>
      <c r="I84" s="40">
        <v>28.9</v>
      </c>
      <c r="J84" s="40">
        <v>30.8</v>
      </c>
      <c r="K84" s="40">
        <v>37.6</v>
      </c>
      <c r="L84" s="40">
        <v>19.399999999999999</v>
      </c>
      <c r="N84" s="36" t="s">
        <v>45</v>
      </c>
      <c r="O84" s="40">
        <f t="shared" si="25"/>
        <v>2.2777777777777777</v>
      </c>
      <c r="P84" s="40">
        <f t="shared" ref="P84:P92" si="26">100*(C84/C208)</f>
        <v>2.7958636537725003</v>
      </c>
      <c r="Q84" s="40">
        <f t="shared" ref="Q84:Q92" si="27">100*(D84/D208)</f>
        <v>3.4740259740259738</v>
      </c>
      <c r="R84" s="40">
        <f t="shared" ref="R84:R92" si="28">100*(E84/E208)</f>
        <v>3.457590491626148</v>
      </c>
      <c r="S84" s="40">
        <f t="shared" ref="S84:S92" si="29">100*(F84/F208)</f>
        <v>3.913513513513514</v>
      </c>
      <c r="T84" s="40">
        <f t="shared" ref="T84:T92" si="30">100*(G84/G208)</f>
        <v>3.7937384898710866</v>
      </c>
      <c r="U84" s="40">
        <f t="shared" ref="U84:U92" si="31">100*(H84/H208)</f>
        <v>3.9175608925225682</v>
      </c>
      <c r="V84" s="40">
        <f t="shared" ref="V84:V92" si="32">100*(I84/I208)</f>
        <v>4.3668782109398609</v>
      </c>
      <c r="W84" s="40">
        <f t="shared" ref="W84:W92" si="33">100*(J84/J208)</f>
        <v>3.9487179487179489</v>
      </c>
      <c r="X84" s="40">
        <f t="shared" ref="X84:X92" si="34">100*(K84/K208)</f>
        <v>3.3092765358211582</v>
      </c>
      <c r="Y84" s="40">
        <f t="shared" ref="Y84:Y92" si="35">100*(L84/L208)</f>
        <v>3.6679901682737754</v>
      </c>
    </row>
    <row r="85" spans="1:25" s="36" customFormat="1" ht="12.5" x14ac:dyDescent="0.25">
      <c r="A85" s="36" t="s">
        <v>46</v>
      </c>
      <c r="B85" s="40">
        <v>5.4</v>
      </c>
      <c r="C85" s="40">
        <v>8.1</v>
      </c>
      <c r="D85" s="40">
        <v>11.5</v>
      </c>
      <c r="E85" s="40">
        <v>15.2</v>
      </c>
      <c r="F85" s="40">
        <v>20.2</v>
      </c>
      <c r="G85" s="40">
        <v>22.7</v>
      </c>
      <c r="H85" s="40">
        <v>24.7</v>
      </c>
      <c r="I85" s="40">
        <v>30.4</v>
      </c>
      <c r="J85" s="40">
        <v>32.700000000000003</v>
      </c>
      <c r="K85" s="40">
        <v>36.5</v>
      </c>
      <c r="L85" s="40">
        <v>20.7</v>
      </c>
      <c r="N85" s="36" t="s">
        <v>46</v>
      </c>
      <c r="O85" s="40">
        <f t="shared" si="25"/>
        <v>2.6061776061776065</v>
      </c>
      <c r="P85" s="40">
        <f t="shared" si="26"/>
        <v>3.0566037735849054</v>
      </c>
      <c r="Q85" s="40">
        <f t="shared" si="27"/>
        <v>3.4104389086595495</v>
      </c>
      <c r="R85" s="40">
        <f t="shared" si="28"/>
        <v>3.5832154644035832</v>
      </c>
      <c r="S85" s="40">
        <f t="shared" si="29"/>
        <v>3.9913060659948623</v>
      </c>
      <c r="T85" s="40">
        <f t="shared" si="30"/>
        <v>4.1026567865534069</v>
      </c>
      <c r="U85" s="40">
        <f t="shared" si="31"/>
        <v>4.0438768827766864</v>
      </c>
      <c r="V85" s="40">
        <f t="shared" si="32"/>
        <v>4.3323357560210916</v>
      </c>
      <c r="W85" s="40">
        <f t="shared" si="33"/>
        <v>3.9892643650115898</v>
      </c>
      <c r="X85" s="40">
        <f t="shared" si="34"/>
        <v>3.2682664756446997</v>
      </c>
      <c r="Y85" s="40">
        <f t="shared" si="35"/>
        <v>3.7351136773727895</v>
      </c>
    </row>
    <row r="86" spans="1:25" s="36" customFormat="1" ht="12.5" x14ac:dyDescent="0.25">
      <c r="A86" s="36" t="s">
        <v>47</v>
      </c>
      <c r="B86" s="40">
        <v>4.8</v>
      </c>
      <c r="C86" s="40">
        <v>7.4</v>
      </c>
      <c r="D86" s="40">
        <v>12.6</v>
      </c>
      <c r="E86" s="40">
        <v>16.3</v>
      </c>
      <c r="F86" s="40">
        <v>18.600000000000001</v>
      </c>
      <c r="G86" s="40">
        <v>22.7</v>
      </c>
      <c r="H86" s="40">
        <v>26.5</v>
      </c>
      <c r="I86" s="40">
        <v>31</v>
      </c>
      <c r="J86" s="40">
        <v>36.200000000000003</v>
      </c>
      <c r="K86" s="40">
        <v>39.299999999999997</v>
      </c>
      <c r="L86" s="40">
        <v>21.5</v>
      </c>
      <c r="N86" s="36" t="s">
        <v>47</v>
      </c>
      <c r="O86" s="40">
        <f t="shared" si="25"/>
        <v>2.2556390977443606</v>
      </c>
      <c r="P86" s="40">
        <f t="shared" si="26"/>
        <v>2.7892951375800981</v>
      </c>
      <c r="Q86" s="40">
        <f t="shared" si="27"/>
        <v>3.5323801513877209</v>
      </c>
      <c r="R86" s="40">
        <f t="shared" si="28"/>
        <v>3.8516068052930055</v>
      </c>
      <c r="S86" s="40">
        <f t="shared" si="29"/>
        <v>3.8247995064774831</v>
      </c>
      <c r="T86" s="40">
        <f t="shared" si="30"/>
        <v>3.9158185268242192</v>
      </c>
      <c r="U86" s="40">
        <f t="shared" si="31"/>
        <v>4.123230122918935</v>
      </c>
      <c r="V86" s="40">
        <f t="shared" si="32"/>
        <v>4.2372881355932197</v>
      </c>
      <c r="W86" s="40">
        <f t="shared" si="33"/>
        <v>4.3799153055051425</v>
      </c>
      <c r="X86" s="40">
        <f t="shared" si="34"/>
        <v>3.1852812449343486</v>
      </c>
      <c r="Y86" s="40">
        <f t="shared" si="35"/>
        <v>3.7345839847142606</v>
      </c>
    </row>
    <row r="87" spans="1:25" s="36" customFormat="1" ht="12.5" x14ac:dyDescent="0.25">
      <c r="A87" s="36" t="s">
        <v>48</v>
      </c>
      <c r="B87" s="40">
        <v>6</v>
      </c>
      <c r="C87" s="40">
        <v>9.4</v>
      </c>
      <c r="D87" s="40">
        <v>13.8</v>
      </c>
      <c r="E87" s="40">
        <v>16.899999999999999</v>
      </c>
      <c r="F87" s="40">
        <v>21.7</v>
      </c>
      <c r="G87" s="40">
        <v>26.7</v>
      </c>
      <c r="H87" s="40">
        <v>27.5</v>
      </c>
      <c r="I87" s="40">
        <v>32.5</v>
      </c>
      <c r="J87" s="40">
        <v>37.5</v>
      </c>
      <c r="K87" s="40">
        <v>39.799999999999997</v>
      </c>
      <c r="L87" s="40">
        <v>23.2</v>
      </c>
      <c r="N87" s="36" t="s">
        <v>48</v>
      </c>
      <c r="O87" s="40">
        <f t="shared" si="25"/>
        <v>2.5327142254115658</v>
      </c>
      <c r="P87" s="40">
        <f t="shared" si="26"/>
        <v>3.2235939643347047</v>
      </c>
      <c r="Q87" s="40">
        <f t="shared" si="27"/>
        <v>3.8153165606856514</v>
      </c>
      <c r="R87" s="40">
        <f t="shared" si="28"/>
        <v>3.8913193644945885</v>
      </c>
      <c r="S87" s="40">
        <f t="shared" si="29"/>
        <v>4.1137440758293833</v>
      </c>
      <c r="T87" s="40">
        <f t="shared" si="30"/>
        <v>4.5331069609507644</v>
      </c>
      <c r="U87" s="40">
        <f t="shared" si="31"/>
        <v>4.2715128922025478</v>
      </c>
      <c r="V87" s="40">
        <f t="shared" si="32"/>
        <v>4.3195108984582671</v>
      </c>
      <c r="W87" s="40">
        <f t="shared" si="33"/>
        <v>4.2915999084458685</v>
      </c>
      <c r="X87" s="40">
        <f t="shared" si="34"/>
        <v>3.2908880436580121</v>
      </c>
      <c r="Y87" s="40">
        <f t="shared" si="35"/>
        <v>3.9189189189189193</v>
      </c>
    </row>
    <row r="88" spans="1:25" s="36" customFormat="1" ht="12.5" x14ac:dyDescent="0.25">
      <c r="A88" s="36" t="s">
        <v>49</v>
      </c>
      <c r="B88" s="40">
        <v>6.2</v>
      </c>
      <c r="C88" s="40">
        <v>9.1999999999999993</v>
      </c>
      <c r="D88" s="40">
        <v>12.7</v>
      </c>
      <c r="E88" s="40">
        <v>17.600000000000001</v>
      </c>
      <c r="F88" s="40">
        <v>20.5</v>
      </c>
      <c r="G88" s="40">
        <v>23.4</v>
      </c>
      <c r="H88" s="40">
        <v>27</v>
      </c>
      <c r="I88" s="40">
        <v>35.4</v>
      </c>
      <c r="J88" s="40">
        <v>33.5</v>
      </c>
      <c r="K88" s="40">
        <v>37</v>
      </c>
      <c r="L88" s="40">
        <v>22.3</v>
      </c>
      <c r="N88" s="36" t="s">
        <v>49</v>
      </c>
      <c r="O88" s="40">
        <f t="shared" si="25"/>
        <v>2.5316455696202533</v>
      </c>
      <c r="P88" s="40">
        <f t="shared" si="26"/>
        <v>3.2044583768721693</v>
      </c>
      <c r="Q88" s="40">
        <f t="shared" si="27"/>
        <v>3.4966960352422909</v>
      </c>
      <c r="R88" s="40">
        <f t="shared" si="28"/>
        <v>4.0366972477064227</v>
      </c>
      <c r="S88" s="40">
        <f t="shared" si="29"/>
        <v>3.9798097456804502</v>
      </c>
      <c r="T88" s="40">
        <f t="shared" si="30"/>
        <v>4.0054775761725434</v>
      </c>
      <c r="U88" s="40">
        <f t="shared" si="31"/>
        <v>4.15065334358186</v>
      </c>
      <c r="V88" s="40">
        <f t="shared" si="32"/>
        <v>4.6462790392439954</v>
      </c>
      <c r="W88" s="40">
        <f t="shared" si="33"/>
        <v>4.0014333492594361</v>
      </c>
      <c r="X88" s="40">
        <f t="shared" si="34"/>
        <v>3.0846185910796167</v>
      </c>
      <c r="Y88" s="40">
        <f t="shared" si="35"/>
        <v>3.7931621023983677</v>
      </c>
    </row>
    <row r="89" spans="1:25" x14ac:dyDescent="0.35">
      <c r="A89" s="36" t="s">
        <v>50</v>
      </c>
      <c r="B89" s="40">
        <v>3.1</v>
      </c>
      <c r="C89" s="40">
        <v>5.4</v>
      </c>
      <c r="D89" s="40">
        <v>8.1999999999999993</v>
      </c>
      <c r="E89" s="40">
        <v>8.6999999999999993</v>
      </c>
      <c r="F89" s="40">
        <v>10.5</v>
      </c>
      <c r="G89" s="40">
        <v>13.4</v>
      </c>
      <c r="H89" s="40">
        <v>13.9</v>
      </c>
      <c r="I89" s="40">
        <v>15.2</v>
      </c>
      <c r="J89" s="40">
        <v>16.2</v>
      </c>
      <c r="K89" s="40">
        <v>18.2</v>
      </c>
      <c r="L89" s="40">
        <v>11.3</v>
      </c>
      <c r="N89" s="36" t="s">
        <v>50</v>
      </c>
      <c r="O89" s="40">
        <f t="shared" si="25"/>
        <v>1.5346534653465347</v>
      </c>
      <c r="P89" s="40">
        <f t="shared" si="26"/>
        <v>2.1556886227544911</v>
      </c>
      <c r="Q89" s="40">
        <f t="shared" si="27"/>
        <v>2.3754345307068365</v>
      </c>
      <c r="R89" s="40">
        <f t="shared" si="28"/>
        <v>2.4992818155702383</v>
      </c>
      <c r="S89" s="40">
        <f t="shared" si="29"/>
        <v>2.4143481260059785</v>
      </c>
      <c r="T89" s="40">
        <f t="shared" si="30"/>
        <v>2.7623170480313335</v>
      </c>
      <c r="U89" s="40">
        <f t="shared" si="31"/>
        <v>2.6990291262135924</v>
      </c>
      <c r="V89" s="40">
        <f t="shared" si="32"/>
        <v>2.4995888834073341</v>
      </c>
      <c r="W89" s="40">
        <f t="shared" si="33"/>
        <v>2.3642732049036774</v>
      </c>
      <c r="X89" s="40">
        <f t="shared" si="34"/>
        <v>1.9334962286199935</v>
      </c>
      <c r="Y89" s="40">
        <f t="shared" si="35"/>
        <v>2.3468328141225339</v>
      </c>
    </row>
    <row r="90" spans="1:25" x14ac:dyDescent="0.35">
      <c r="A90" s="36" t="s">
        <v>51</v>
      </c>
      <c r="B90" s="40">
        <v>7.1</v>
      </c>
      <c r="C90" s="40">
        <v>8.3000000000000007</v>
      </c>
      <c r="D90" s="40">
        <v>11.8</v>
      </c>
      <c r="E90" s="40">
        <v>14.5</v>
      </c>
      <c r="F90" s="40">
        <v>18.7</v>
      </c>
      <c r="G90" s="40">
        <v>21</v>
      </c>
      <c r="H90" s="40">
        <v>22.3</v>
      </c>
      <c r="I90" s="40">
        <v>25.6</v>
      </c>
      <c r="J90" s="40">
        <v>28.2</v>
      </c>
      <c r="K90" s="40">
        <v>31.3</v>
      </c>
      <c r="L90" s="40">
        <v>18.899999999999999</v>
      </c>
      <c r="N90" s="36" t="s">
        <v>51</v>
      </c>
      <c r="O90" s="40">
        <f t="shared" si="25"/>
        <v>2.8174603174603172</v>
      </c>
      <c r="P90" s="40">
        <f t="shared" si="26"/>
        <v>2.9266572637517632</v>
      </c>
      <c r="Q90" s="40">
        <f t="shared" si="27"/>
        <v>3.3752860411899315</v>
      </c>
      <c r="R90" s="40">
        <f t="shared" si="28"/>
        <v>3.504955281605028</v>
      </c>
      <c r="S90" s="40">
        <f t="shared" si="29"/>
        <v>3.8241308793456033</v>
      </c>
      <c r="T90" s="40">
        <f t="shared" si="30"/>
        <v>4.0879890986957363</v>
      </c>
      <c r="U90" s="40">
        <f t="shared" si="31"/>
        <v>3.9026951347567382</v>
      </c>
      <c r="V90" s="40">
        <f t="shared" si="32"/>
        <v>3.8723339888065347</v>
      </c>
      <c r="W90" s="40">
        <f t="shared" si="33"/>
        <v>3.7480063795853273</v>
      </c>
      <c r="X90" s="40">
        <f t="shared" si="34"/>
        <v>3.1215717562581031</v>
      </c>
      <c r="Y90" s="40">
        <f t="shared" si="35"/>
        <v>3.5741301059001516</v>
      </c>
    </row>
    <row r="91" spans="1:25" x14ac:dyDescent="0.35">
      <c r="A91" s="36" t="s">
        <v>52</v>
      </c>
      <c r="B91" s="40">
        <v>6.3</v>
      </c>
      <c r="C91" s="40">
        <v>10.3</v>
      </c>
      <c r="D91" s="40">
        <v>16</v>
      </c>
      <c r="E91" s="40">
        <v>16.3</v>
      </c>
      <c r="F91" s="40">
        <v>20.100000000000001</v>
      </c>
      <c r="G91" s="40">
        <v>22.3</v>
      </c>
      <c r="H91" s="40">
        <v>26.1</v>
      </c>
      <c r="I91" s="40">
        <v>29.8</v>
      </c>
      <c r="J91" s="40">
        <v>30.6</v>
      </c>
      <c r="K91" s="40">
        <v>33</v>
      </c>
      <c r="L91" s="40">
        <v>21.1</v>
      </c>
      <c r="N91" s="36" t="s">
        <v>52</v>
      </c>
      <c r="O91" s="40">
        <f t="shared" si="25"/>
        <v>2.4054982817869419</v>
      </c>
      <c r="P91" s="40">
        <f t="shared" si="26"/>
        <v>3.2410320956576464</v>
      </c>
      <c r="Q91" s="40">
        <f t="shared" si="27"/>
        <v>3.9584364176150424</v>
      </c>
      <c r="R91" s="40">
        <f t="shared" si="28"/>
        <v>3.4963534963534966</v>
      </c>
      <c r="S91" s="40">
        <f t="shared" si="29"/>
        <v>3.9496954214973479</v>
      </c>
      <c r="T91" s="40">
        <f t="shared" si="30"/>
        <v>3.8722000347282517</v>
      </c>
      <c r="U91" s="40">
        <f t="shared" si="31"/>
        <v>4.277286135693215</v>
      </c>
      <c r="V91" s="40">
        <f t="shared" si="32"/>
        <v>4.208445134867957</v>
      </c>
      <c r="W91" s="40">
        <f t="shared" si="33"/>
        <v>3.8413256339442632</v>
      </c>
      <c r="X91" s="40">
        <f t="shared" si="34"/>
        <v>3.2048169369719335</v>
      </c>
      <c r="Y91" s="40">
        <f t="shared" si="35"/>
        <v>3.7167518055310906</v>
      </c>
    </row>
    <row r="92" spans="1:25" x14ac:dyDescent="0.35">
      <c r="A92" s="36" t="s">
        <v>53</v>
      </c>
      <c r="B92" s="40">
        <v>7.4</v>
      </c>
      <c r="C92" s="40">
        <v>8.6</v>
      </c>
      <c r="D92" s="40">
        <v>12.5</v>
      </c>
      <c r="E92" s="40">
        <v>17.8</v>
      </c>
      <c r="F92" s="40">
        <v>19.899999999999999</v>
      </c>
      <c r="G92" s="40">
        <v>20.5</v>
      </c>
      <c r="H92" s="40">
        <v>24.1</v>
      </c>
      <c r="I92" s="40">
        <v>26.5</v>
      </c>
      <c r="J92" s="40">
        <v>30.1</v>
      </c>
      <c r="K92" s="40">
        <v>30.9</v>
      </c>
      <c r="L92" s="40">
        <v>19.8</v>
      </c>
      <c r="N92" s="36" t="s">
        <v>53</v>
      </c>
      <c r="O92" s="40">
        <f t="shared" si="25"/>
        <v>2.591036414565826</v>
      </c>
      <c r="P92" s="40">
        <f t="shared" si="26"/>
        <v>2.6967701473816241</v>
      </c>
      <c r="Q92" s="40">
        <f t="shared" si="27"/>
        <v>2.9377203290246769</v>
      </c>
      <c r="R92" s="40">
        <f t="shared" si="28"/>
        <v>3.6061588330632088</v>
      </c>
      <c r="S92" s="40">
        <f t="shared" si="29"/>
        <v>3.4440983039113879</v>
      </c>
      <c r="T92" s="40">
        <f t="shared" si="30"/>
        <v>3.3711560598585759</v>
      </c>
      <c r="U92" s="40">
        <f t="shared" si="31"/>
        <v>3.4512387226120587</v>
      </c>
      <c r="V92" s="40">
        <f t="shared" si="32"/>
        <v>3.4473786912969948</v>
      </c>
      <c r="W92" s="40">
        <f t="shared" si="33"/>
        <v>3.4096057997281379</v>
      </c>
      <c r="X92" s="40">
        <f t="shared" si="34"/>
        <v>2.6313548496976922</v>
      </c>
      <c r="Y92" s="40">
        <f t="shared" si="35"/>
        <v>3.176640462056795</v>
      </c>
    </row>
    <row r="94" spans="1:25" s="36" customFormat="1" ht="13" x14ac:dyDescent="0.3">
      <c r="A94" s="35" t="s">
        <v>57</v>
      </c>
      <c r="N94" s="35" t="s">
        <v>55</v>
      </c>
    </row>
    <row r="95" spans="1:25" s="36" customFormat="1" ht="13" x14ac:dyDescent="0.3">
      <c r="B95" s="62" t="s">
        <v>25</v>
      </c>
      <c r="C95" s="62"/>
      <c r="D95" s="62"/>
      <c r="E95" s="62"/>
      <c r="F95" s="62"/>
      <c r="G95" s="62"/>
      <c r="H95" s="62"/>
      <c r="I95" s="62"/>
      <c r="J95" s="62"/>
      <c r="K95" s="62"/>
      <c r="L95" s="62"/>
      <c r="O95" s="62" t="s">
        <v>25</v>
      </c>
      <c r="P95" s="62"/>
      <c r="Q95" s="62"/>
      <c r="R95" s="62"/>
      <c r="S95" s="62"/>
      <c r="T95" s="62"/>
      <c r="U95" s="62"/>
      <c r="V95" s="62"/>
      <c r="W95" s="62"/>
      <c r="X95" s="62"/>
      <c r="Y95" s="62"/>
    </row>
    <row r="96" spans="1:25" s="36" customFormat="1" ht="12.5" x14ac:dyDescent="0.25">
      <c r="B96" s="37" t="s">
        <v>34</v>
      </c>
      <c r="C96" s="38" t="s">
        <v>35</v>
      </c>
      <c r="D96" s="39" t="s">
        <v>36</v>
      </c>
      <c r="E96" s="39" t="s">
        <v>37</v>
      </c>
      <c r="F96" s="39" t="s">
        <v>38</v>
      </c>
      <c r="G96" s="39" t="s">
        <v>39</v>
      </c>
      <c r="H96" s="39" t="s">
        <v>40</v>
      </c>
      <c r="I96" s="39" t="s">
        <v>41</v>
      </c>
      <c r="J96" s="39" t="s">
        <v>42</v>
      </c>
      <c r="K96" s="39" t="s">
        <v>43</v>
      </c>
      <c r="L96" s="37" t="s">
        <v>44</v>
      </c>
      <c r="O96" s="37" t="s">
        <v>34</v>
      </c>
      <c r="P96" s="38" t="s">
        <v>35</v>
      </c>
      <c r="Q96" s="39" t="s">
        <v>36</v>
      </c>
      <c r="R96" s="39" t="s">
        <v>37</v>
      </c>
      <c r="S96" s="39" t="s">
        <v>38</v>
      </c>
      <c r="T96" s="39" t="s">
        <v>39</v>
      </c>
      <c r="U96" s="39" t="s">
        <v>40</v>
      </c>
      <c r="V96" s="39" t="s">
        <v>41</v>
      </c>
      <c r="W96" s="39" t="s">
        <v>42</v>
      </c>
      <c r="X96" s="39" t="s">
        <v>43</v>
      </c>
      <c r="Y96" s="37" t="s">
        <v>44</v>
      </c>
    </row>
    <row r="97" spans="1:25" s="36" customFormat="1" ht="12.5" x14ac:dyDescent="0.25">
      <c r="A97" s="36">
        <v>1997</v>
      </c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N97" s="36">
        <v>1997</v>
      </c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</row>
    <row r="98" spans="1:25" s="36" customFormat="1" ht="12.5" x14ac:dyDescent="0.25">
      <c r="A98" s="36">
        <v>1998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N98" s="36">
        <v>1998</v>
      </c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</row>
    <row r="99" spans="1:25" s="36" customFormat="1" ht="12.5" x14ac:dyDescent="0.25">
      <c r="A99" s="36">
        <v>1999</v>
      </c>
      <c r="B99" s="40">
        <v>19.8</v>
      </c>
      <c r="C99" s="40">
        <v>23.8</v>
      </c>
      <c r="D99" s="40">
        <v>29.6</v>
      </c>
      <c r="E99" s="40">
        <v>42.1</v>
      </c>
      <c r="F99" s="40">
        <v>50.9</v>
      </c>
      <c r="G99" s="40">
        <v>57.9</v>
      </c>
      <c r="H99" s="40">
        <v>66</v>
      </c>
      <c r="I99" s="40">
        <v>72.5</v>
      </c>
      <c r="J99" s="40">
        <v>86.7</v>
      </c>
      <c r="K99" s="40">
        <v>120.8</v>
      </c>
      <c r="L99" s="40">
        <v>57</v>
      </c>
      <c r="N99" s="36">
        <v>1999</v>
      </c>
      <c r="O99" s="40">
        <f>100*(B99/B192)</f>
        <v>16.541353383458645</v>
      </c>
      <c r="P99" s="40">
        <f t="shared" ref="P99:Y99" si="36">100*(C99/C192)</f>
        <v>16.212534059945501</v>
      </c>
      <c r="Q99" s="40">
        <f t="shared" si="36"/>
        <v>16.619876473891075</v>
      </c>
      <c r="R99" s="40">
        <f t="shared" si="36"/>
        <v>17.197712418300654</v>
      </c>
      <c r="S99" s="40">
        <f t="shared" si="36"/>
        <v>16.966666666666665</v>
      </c>
      <c r="T99" s="40">
        <f t="shared" si="36"/>
        <v>16.003316749585405</v>
      </c>
      <c r="U99" s="40">
        <f t="shared" si="36"/>
        <v>15.984499878905305</v>
      </c>
      <c r="V99" s="40">
        <f t="shared" si="36"/>
        <v>15.047737650477377</v>
      </c>
      <c r="W99" s="40">
        <f t="shared" si="36"/>
        <v>15.339702760084926</v>
      </c>
      <c r="X99" s="40">
        <f t="shared" si="36"/>
        <v>15.437699680511182</v>
      </c>
      <c r="Y99" s="40">
        <f t="shared" si="36"/>
        <v>15.859766277128548</v>
      </c>
    </row>
    <row r="100" spans="1:25" s="36" customFormat="1" ht="12.5" x14ac:dyDescent="0.25">
      <c r="A100" s="36">
        <v>2000</v>
      </c>
      <c r="B100" s="40">
        <v>21.0032</v>
      </c>
      <c r="C100" s="40">
        <v>27.5747</v>
      </c>
      <c r="D100" s="40">
        <v>34.625700000000002</v>
      </c>
      <c r="E100" s="40">
        <v>47.536299999999997</v>
      </c>
      <c r="F100" s="40">
        <v>54.393900000000002</v>
      </c>
      <c r="G100" s="40">
        <v>61.605600000000003</v>
      </c>
      <c r="H100" s="40">
        <v>73.143100000000004</v>
      </c>
      <c r="I100" s="40">
        <v>85.156999999999996</v>
      </c>
      <c r="J100" s="40">
        <v>92.887100000000004</v>
      </c>
      <c r="K100" s="40">
        <v>141.10319999999999</v>
      </c>
      <c r="L100" s="40">
        <v>63.915999999999997</v>
      </c>
      <c r="N100" s="36">
        <v>2000</v>
      </c>
      <c r="O100" s="40">
        <f t="shared" ref="O100:O123" si="37">100*(B100/B193)</f>
        <v>16.583236744117006</v>
      </c>
      <c r="P100" s="40">
        <f t="shared" ref="P100:P123" si="38">100*(C100/C193)</f>
        <v>17.929469932130608</v>
      </c>
      <c r="Q100" s="40">
        <f t="shared" ref="Q100:Q123" si="39">100*(D100/D193)</f>
        <v>16.095536524856815</v>
      </c>
      <c r="R100" s="40">
        <f t="shared" ref="R100:R123" si="40">100*(E100/E193)</f>
        <v>17.824633055456395</v>
      </c>
      <c r="S100" s="40">
        <f t="shared" ref="S100:S123" si="41">100*(F100/F193)</f>
        <v>16.532220930497619</v>
      </c>
      <c r="T100" s="40">
        <f t="shared" ref="T100:T123" si="42">100*(G100/G193)</f>
        <v>16.641369222478396</v>
      </c>
      <c r="U100" s="40">
        <f t="shared" ref="U100:U123" si="43">100*(H100/H193)</f>
        <v>16.324915890295145</v>
      </c>
      <c r="V100" s="40">
        <f t="shared" ref="V100:V123" si="44">100*(I100/I193)</f>
        <v>17.015051938097876</v>
      </c>
      <c r="W100" s="40">
        <f t="shared" ref="W100:W123" si="45">100*(J100/J193)</f>
        <v>15.550770439253922</v>
      </c>
      <c r="X100" s="40">
        <f t="shared" ref="X100:X123" si="46">100*(K100/K193)</f>
        <v>16.619126755951712</v>
      </c>
      <c r="Y100" s="40">
        <f t="shared" ref="Y100:Y123" si="47">100*(L100/L193)</f>
        <v>16.570706798355687</v>
      </c>
    </row>
    <row r="101" spans="1:25" s="36" customFormat="1" ht="12.5" x14ac:dyDescent="0.25">
      <c r="A101" s="36">
        <v>2001</v>
      </c>
      <c r="B101" s="40">
        <v>20.5563</v>
      </c>
      <c r="C101" s="40">
        <v>27.472000000000001</v>
      </c>
      <c r="D101" s="40">
        <v>30.644200000000001</v>
      </c>
      <c r="E101" s="40">
        <v>31.197500000000002</v>
      </c>
      <c r="F101" s="40">
        <v>34.858899999999998</v>
      </c>
      <c r="G101" s="40">
        <v>37.584299999999999</v>
      </c>
      <c r="H101" s="40">
        <v>37.235799999999998</v>
      </c>
      <c r="I101" s="40">
        <v>37.637500000000003</v>
      </c>
      <c r="J101" s="40">
        <v>39.520899999999997</v>
      </c>
      <c r="K101" s="40">
        <v>62.271900000000002</v>
      </c>
      <c r="L101" s="40">
        <v>35.899099999999997</v>
      </c>
      <c r="N101" s="36">
        <v>2001</v>
      </c>
      <c r="O101" s="40">
        <f t="shared" si="37"/>
        <v>16.054228699912297</v>
      </c>
      <c r="P101" s="40">
        <f t="shared" si="38"/>
        <v>16.034805894915756</v>
      </c>
      <c r="Q101" s="40">
        <f t="shared" si="39"/>
        <v>14.098141637460584</v>
      </c>
      <c r="R101" s="40">
        <f t="shared" si="40"/>
        <v>11.164892189317348</v>
      </c>
      <c r="S101" s="40">
        <f t="shared" si="41"/>
        <v>10.825304933246503</v>
      </c>
      <c r="T101" s="40">
        <f t="shared" si="42"/>
        <v>9.6626853998822</v>
      </c>
      <c r="U101" s="40">
        <f t="shared" si="43"/>
        <v>8.2852328437507854</v>
      </c>
      <c r="V101" s="40">
        <f t="shared" si="44"/>
        <v>7.104397600879615</v>
      </c>
      <c r="W101" s="40">
        <f t="shared" si="45"/>
        <v>6.4982338261870556</v>
      </c>
      <c r="X101" s="40">
        <f t="shared" si="46"/>
        <v>7.0094620911332841</v>
      </c>
      <c r="Y101" s="40">
        <f t="shared" si="47"/>
        <v>9.0127728503370204</v>
      </c>
    </row>
    <row r="102" spans="1:25" s="36" customFormat="1" ht="12.5" x14ac:dyDescent="0.25">
      <c r="A102" s="36">
        <v>2002</v>
      </c>
      <c r="B102" s="40">
        <v>20.8553</v>
      </c>
      <c r="C102" s="40">
        <v>28.384799999999998</v>
      </c>
      <c r="D102" s="40">
        <v>29.3293</v>
      </c>
      <c r="E102" s="40">
        <v>34.822200000000002</v>
      </c>
      <c r="F102" s="40">
        <v>37.576300000000003</v>
      </c>
      <c r="G102" s="40">
        <v>38.119300000000003</v>
      </c>
      <c r="H102" s="40">
        <v>37.125599999999999</v>
      </c>
      <c r="I102" s="40">
        <v>39.728000000000002</v>
      </c>
      <c r="J102" s="40">
        <v>42.830300000000001</v>
      </c>
      <c r="K102" s="40">
        <v>60.0212</v>
      </c>
      <c r="L102" s="40">
        <v>36.876100000000001</v>
      </c>
      <c r="N102" s="36">
        <v>2002</v>
      </c>
      <c r="O102" s="40">
        <f t="shared" si="37"/>
        <v>15.383974193948147</v>
      </c>
      <c r="P102" s="40">
        <f t="shared" si="38"/>
        <v>16.756832065665282</v>
      </c>
      <c r="Q102" s="40">
        <f t="shared" si="39"/>
        <v>13.366069516157697</v>
      </c>
      <c r="R102" s="40">
        <f t="shared" si="40"/>
        <v>11.797760803145691</v>
      </c>
      <c r="S102" s="40">
        <f t="shared" si="41"/>
        <v>11.216310443598314</v>
      </c>
      <c r="T102" s="40">
        <f t="shared" si="42"/>
        <v>9.5198196695273278</v>
      </c>
      <c r="U102" s="40">
        <f t="shared" si="43"/>
        <v>8.1439846375672804</v>
      </c>
      <c r="V102" s="40">
        <f t="shared" si="44"/>
        <v>7.4387572961255675</v>
      </c>
      <c r="W102" s="40">
        <f t="shared" si="45"/>
        <v>6.7535492151793743</v>
      </c>
      <c r="X102" s="40">
        <f t="shared" si="46"/>
        <v>6.7946377093947854</v>
      </c>
      <c r="Y102" s="40">
        <f t="shared" si="47"/>
        <v>9.0785413810345261</v>
      </c>
    </row>
    <row r="103" spans="1:25" s="36" customFormat="1" ht="12.5" x14ac:dyDescent="0.25">
      <c r="A103" s="36">
        <v>2003</v>
      </c>
      <c r="B103" s="40">
        <v>22.842400000000001</v>
      </c>
      <c r="C103" s="40">
        <v>28.295200000000001</v>
      </c>
      <c r="D103" s="40">
        <v>31.907800000000002</v>
      </c>
      <c r="E103" s="40">
        <v>34.928699999999999</v>
      </c>
      <c r="F103" s="40">
        <v>42.039200000000001</v>
      </c>
      <c r="G103" s="40">
        <v>43.571100000000001</v>
      </c>
      <c r="H103" s="40">
        <v>41.475099999999998</v>
      </c>
      <c r="I103" s="40">
        <v>44.005899999999997</v>
      </c>
      <c r="J103" s="40">
        <v>42.805100000000003</v>
      </c>
      <c r="K103" s="40">
        <v>57.994</v>
      </c>
      <c r="L103" s="40">
        <v>38.9846</v>
      </c>
      <c r="N103" s="36">
        <v>2003</v>
      </c>
      <c r="O103" s="40">
        <f t="shared" si="37"/>
        <v>16.361684159556933</v>
      </c>
      <c r="P103" s="40">
        <f t="shared" si="38"/>
        <v>16.326803812003334</v>
      </c>
      <c r="Q103" s="40">
        <f t="shared" si="39"/>
        <v>14.231307020028233</v>
      </c>
      <c r="R103" s="40">
        <f t="shared" si="40"/>
        <v>11.708239783485034</v>
      </c>
      <c r="S103" s="40">
        <f t="shared" si="41"/>
        <v>11.623278075630713</v>
      </c>
      <c r="T103" s="40">
        <f t="shared" si="42"/>
        <v>10.590452013970197</v>
      </c>
      <c r="U103" s="40">
        <f t="shared" si="43"/>
        <v>8.6657095929748476</v>
      </c>
      <c r="V103" s="40">
        <f t="shared" si="44"/>
        <v>7.8974892581626657</v>
      </c>
      <c r="W103" s="40">
        <f t="shared" si="45"/>
        <v>6.7697946244745735</v>
      </c>
      <c r="X103" s="40">
        <f t="shared" si="46"/>
        <v>6.408211491973824</v>
      </c>
      <c r="Y103" s="40">
        <f t="shared" si="47"/>
        <v>9.3236666912207156</v>
      </c>
    </row>
    <row r="104" spans="1:25" s="36" customFormat="1" ht="12.5" x14ac:dyDescent="0.25">
      <c r="A104" s="36">
        <v>2004</v>
      </c>
      <c r="B104" s="40">
        <v>23.157800000000002</v>
      </c>
      <c r="C104" s="40">
        <v>28.273599999999998</v>
      </c>
      <c r="D104" s="40">
        <v>34.020099999999999</v>
      </c>
      <c r="E104" s="40">
        <v>40.658999999999999</v>
      </c>
      <c r="F104" s="40">
        <v>39.839199999999998</v>
      </c>
      <c r="G104" s="40">
        <v>43.543199999999999</v>
      </c>
      <c r="H104" s="40">
        <v>42.562399999999997</v>
      </c>
      <c r="I104" s="40">
        <v>42.978400000000001</v>
      </c>
      <c r="J104" s="40">
        <v>46.599499999999999</v>
      </c>
      <c r="K104" s="40">
        <v>62.805500000000002</v>
      </c>
      <c r="L104" s="40">
        <v>40.442</v>
      </c>
      <c r="N104" s="36">
        <v>2004</v>
      </c>
      <c r="O104" s="40">
        <f t="shared" si="37"/>
        <v>15.720517495828506</v>
      </c>
      <c r="P104" s="40">
        <f t="shared" si="38"/>
        <v>15.855256074363849</v>
      </c>
      <c r="Q104" s="40">
        <f t="shared" si="39"/>
        <v>13.676773995391239</v>
      </c>
      <c r="R104" s="40">
        <f t="shared" si="40"/>
        <v>12.995285657211348</v>
      </c>
      <c r="S104" s="40">
        <f t="shared" si="41"/>
        <v>10.671832680304421</v>
      </c>
      <c r="T104" s="40">
        <f t="shared" si="42"/>
        <v>9.9909574025052663</v>
      </c>
      <c r="U104" s="40">
        <f t="shared" si="43"/>
        <v>8.6918271616535598</v>
      </c>
      <c r="V104" s="40">
        <f t="shared" si="44"/>
        <v>7.5624750026965861</v>
      </c>
      <c r="W104" s="40">
        <f t="shared" si="45"/>
        <v>7.0106769543186305</v>
      </c>
      <c r="X104" s="40">
        <f t="shared" si="46"/>
        <v>6.7849243109664696</v>
      </c>
      <c r="Y104" s="40">
        <f t="shared" si="47"/>
        <v>9.309278341023159</v>
      </c>
    </row>
    <row r="105" spans="1:25" s="36" customFormat="1" ht="12.5" x14ac:dyDescent="0.25">
      <c r="A105" s="36">
        <v>2005</v>
      </c>
      <c r="B105" s="40">
        <v>33.143599999999999</v>
      </c>
      <c r="C105" s="40">
        <v>31.166599999999999</v>
      </c>
      <c r="D105" s="40">
        <v>39.3093</v>
      </c>
      <c r="E105" s="40">
        <v>41.499000000000002</v>
      </c>
      <c r="F105" s="40">
        <v>45.104199999999999</v>
      </c>
      <c r="G105" s="40">
        <v>44.048499999999997</v>
      </c>
      <c r="H105" s="40">
        <v>45.359499999999997</v>
      </c>
      <c r="I105" s="40">
        <v>50.489800000000002</v>
      </c>
      <c r="J105" s="40">
        <v>51.264099999999999</v>
      </c>
      <c r="K105" s="40">
        <v>60.311399999999999</v>
      </c>
      <c r="L105" s="40">
        <v>44.167900000000003</v>
      </c>
      <c r="N105" s="36">
        <v>2005</v>
      </c>
      <c r="O105" s="40">
        <f t="shared" si="37"/>
        <v>21.57769600758327</v>
      </c>
      <c r="P105" s="40">
        <f t="shared" si="38"/>
        <v>17.418962528098618</v>
      </c>
      <c r="Q105" s="40">
        <f t="shared" si="39"/>
        <v>14.860862648554566</v>
      </c>
      <c r="R105" s="40">
        <f t="shared" si="40"/>
        <v>13.380386138230779</v>
      </c>
      <c r="S105" s="40">
        <f t="shared" si="41"/>
        <v>12.64535193419422</v>
      </c>
      <c r="T105" s="40">
        <f t="shared" si="42"/>
        <v>10.136288827565384</v>
      </c>
      <c r="U105" s="40">
        <f t="shared" si="43"/>
        <v>9.4686615369168106</v>
      </c>
      <c r="V105" s="40">
        <f t="shared" si="44"/>
        <v>8.6445086264799009</v>
      </c>
      <c r="W105" s="40">
        <f t="shared" si="45"/>
        <v>7.5096884959045003</v>
      </c>
      <c r="X105" s="40">
        <f t="shared" si="46"/>
        <v>6.0937243774739711</v>
      </c>
      <c r="Y105" s="40">
        <f t="shared" si="47"/>
        <v>9.9622692408150826</v>
      </c>
    </row>
    <row r="106" spans="1:25" s="36" customFormat="1" ht="12.5" x14ac:dyDescent="0.25">
      <c r="A106" s="36">
        <v>2006</v>
      </c>
      <c r="B106" s="40">
        <v>32.316099999999999</v>
      </c>
      <c r="C106" s="40">
        <v>35.249899999999997</v>
      </c>
      <c r="D106" s="40">
        <v>42.468899999999998</v>
      </c>
      <c r="E106" s="40">
        <v>43.296700000000001</v>
      </c>
      <c r="F106" s="40">
        <v>45.441499999999998</v>
      </c>
      <c r="G106" s="40">
        <v>49.922800000000002</v>
      </c>
      <c r="H106" s="40">
        <v>48.911099999999998</v>
      </c>
      <c r="I106" s="40">
        <v>52.595399999999998</v>
      </c>
      <c r="J106" s="40">
        <v>51.0929</v>
      </c>
      <c r="K106" s="40">
        <v>74.305999999999997</v>
      </c>
      <c r="L106" s="40">
        <v>47.561100000000003</v>
      </c>
      <c r="N106" s="36">
        <v>2006</v>
      </c>
      <c r="O106" s="40">
        <f t="shared" si="37"/>
        <v>20.771665366138357</v>
      </c>
      <c r="P106" s="40">
        <f t="shared" si="38"/>
        <v>17.646231355014145</v>
      </c>
      <c r="Q106" s="40">
        <f t="shared" si="39"/>
        <v>15.646550485471947</v>
      </c>
      <c r="R106" s="40">
        <f t="shared" si="40"/>
        <v>13.003749750342013</v>
      </c>
      <c r="S106" s="40">
        <f t="shared" si="41"/>
        <v>11.951115659258219</v>
      </c>
      <c r="T106" s="40">
        <f t="shared" si="42"/>
        <v>11.396327994952294</v>
      </c>
      <c r="U106" s="40">
        <f t="shared" si="43"/>
        <v>9.6493123022117953</v>
      </c>
      <c r="V106" s="40">
        <f t="shared" si="44"/>
        <v>8.8529287157400809</v>
      </c>
      <c r="W106" s="40">
        <f t="shared" si="45"/>
        <v>7.1406160314991061</v>
      </c>
      <c r="X106" s="40">
        <f t="shared" si="46"/>
        <v>7.7050628129669771</v>
      </c>
      <c r="Y106" s="40">
        <f t="shared" si="47"/>
        <v>10.432687688616483</v>
      </c>
    </row>
    <row r="107" spans="1:25" s="36" customFormat="1" ht="12.5" x14ac:dyDescent="0.25">
      <c r="A107" s="36">
        <v>2007</v>
      </c>
      <c r="B107" s="40">
        <v>37.956800000000001</v>
      </c>
      <c r="C107" s="40">
        <v>38.211500000000001</v>
      </c>
      <c r="D107" s="40">
        <v>42.985100000000003</v>
      </c>
      <c r="E107" s="40">
        <v>49.637799999999999</v>
      </c>
      <c r="F107" s="40">
        <v>55.569499999999998</v>
      </c>
      <c r="G107" s="40">
        <v>59.744700000000002</v>
      </c>
      <c r="H107" s="40">
        <v>53.955599999999997</v>
      </c>
      <c r="I107" s="40">
        <v>53.404000000000003</v>
      </c>
      <c r="J107" s="40">
        <v>55.325499999999998</v>
      </c>
      <c r="K107" s="40">
        <v>71.171300000000002</v>
      </c>
      <c r="L107" s="40">
        <v>51.793999999999997</v>
      </c>
      <c r="N107" s="36">
        <v>2007</v>
      </c>
      <c r="O107" s="40">
        <f t="shared" si="37"/>
        <v>22.019093718402168</v>
      </c>
      <c r="P107" s="40">
        <f t="shared" si="38"/>
        <v>19.558009409587296</v>
      </c>
      <c r="Q107" s="40">
        <f t="shared" si="39"/>
        <v>16.510333866328253</v>
      </c>
      <c r="R107" s="40">
        <f t="shared" si="40"/>
        <v>15.17229911783414</v>
      </c>
      <c r="S107" s="40">
        <f t="shared" si="41"/>
        <v>14.165680557842739</v>
      </c>
      <c r="T107" s="40">
        <f t="shared" si="42"/>
        <v>13.021965591062237</v>
      </c>
      <c r="U107" s="40">
        <f t="shared" si="43"/>
        <v>10.651784013321738</v>
      </c>
      <c r="V107" s="40">
        <f t="shared" si="44"/>
        <v>8.9184351623217317</v>
      </c>
      <c r="W107" s="40">
        <f t="shared" si="45"/>
        <v>7.9737526468439928</v>
      </c>
      <c r="X107" s="40">
        <f t="shared" si="46"/>
        <v>7.2128714923277109</v>
      </c>
      <c r="Y107" s="40">
        <f t="shared" si="47"/>
        <v>11.280082706958504</v>
      </c>
    </row>
    <row r="108" spans="1:25" s="36" customFormat="1" ht="12.5" x14ac:dyDescent="0.25">
      <c r="A108" s="36">
        <v>2008</v>
      </c>
      <c r="B108" s="40">
        <v>36.299999999999997</v>
      </c>
      <c r="C108" s="40">
        <v>38.4</v>
      </c>
      <c r="D108" s="40">
        <v>47.9</v>
      </c>
      <c r="E108" s="40">
        <v>51.3</v>
      </c>
      <c r="F108" s="40">
        <v>53.8</v>
      </c>
      <c r="G108" s="40">
        <v>55.9</v>
      </c>
      <c r="H108" s="40">
        <v>57.1</v>
      </c>
      <c r="I108" s="40">
        <v>63</v>
      </c>
      <c r="J108" s="40">
        <v>54.8</v>
      </c>
      <c r="K108" s="40">
        <v>72</v>
      </c>
      <c r="L108" s="40">
        <v>53</v>
      </c>
      <c r="N108" s="36">
        <v>2008</v>
      </c>
      <c r="O108" s="40">
        <f t="shared" si="37"/>
        <v>23.617436564736501</v>
      </c>
      <c r="P108" s="40">
        <f t="shared" si="38"/>
        <v>19.2</v>
      </c>
      <c r="Q108" s="40">
        <f t="shared" si="39"/>
        <v>18.630882924931928</v>
      </c>
      <c r="R108" s="40">
        <f t="shared" si="40"/>
        <v>15.540745228718569</v>
      </c>
      <c r="S108" s="40">
        <f t="shared" si="41"/>
        <v>13.689567430025445</v>
      </c>
      <c r="T108" s="40">
        <f t="shared" si="42"/>
        <v>12.173344947735192</v>
      </c>
      <c r="U108" s="40">
        <f t="shared" si="43"/>
        <v>10.639090739705608</v>
      </c>
      <c r="V108" s="40">
        <f t="shared" si="44"/>
        <v>10.068723030206169</v>
      </c>
      <c r="W108" s="40">
        <f t="shared" si="45"/>
        <v>7.7139639639639643</v>
      </c>
      <c r="X108" s="40">
        <f t="shared" si="46"/>
        <v>6.8906115417743319</v>
      </c>
      <c r="Y108" s="40">
        <f t="shared" si="47"/>
        <v>11.252653927813164</v>
      </c>
    </row>
    <row r="109" spans="1:25" s="36" customFormat="1" ht="12.5" x14ac:dyDescent="0.25">
      <c r="A109" s="36">
        <v>2009</v>
      </c>
      <c r="B109" s="40">
        <v>37.6</v>
      </c>
      <c r="C109" s="40">
        <v>44.4</v>
      </c>
      <c r="D109" s="40">
        <v>51.8</v>
      </c>
      <c r="E109" s="40">
        <v>59.2</v>
      </c>
      <c r="F109" s="40">
        <v>57.8</v>
      </c>
      <c r="G109" s="40">
        <v>59.9</v>
      </c>
      <c r="H109" s="40">
        <v>58.4</v>
      </c>
      <c r="I109" s="40">
        <v>63.7</v>
      </c>
      <c r="J109" s="40">
        <v>63</v>
      </c>
      <c r="K109" s="40">
        <v>77.2</v>
      </c>
      <c r="L109" s="40">
        <v>57.3</v>
      </c>
      <c r="N109" s="36">
        <v>2009</v>
      </c>
      <c r="O109" s="40">
        <f t="shared" si="37"/>
        <v>23.110018438844502</v>
      </c>
      <c r="P109" s="40">
        <f t="shared" si="38"/>
        <v>20.776789892372484</v>
      </c>
      <c r="Q109" s="40">
        <f t="shared" si="39"/>
        <v>18.453865336658353</v>
      </c>
      <c r="R109" s="40">
        <f t="shared" si="40"/>
        <v>17.740485465987415</v>
      </c>
      <c r="S109" s="40">
        <f t="shared" si="41"/>
        <v>15.016887503247597</v>
      </c>
      <c r="T109" s="40">
        <f t="shared" si="42"/>
        <v>13.792309463504489</v>
      </c>
      <c r="U109" s="40">
        <f t="shared" si="43"/>
        <v>11.668331668331668</v>
      </c>
      <c r="V109" s="40">
        <f t="shared" si="44"/>
        <v>10.960082587749485</v>
      </c>
      <c r="W109" s="40">
        <f t="shared" si="45"/>
        <v>9.4537815126050422</v>
      </c>
      <c r="X109" s="40">
        <f t="shared" si="46"/>
        <v>7.781473641769983</v>
      </c>
      <c r="Y109" s="40">
        <f t="shared" si="47"/>
        <v>12.593406593406591</v>
      </c>
    </row>
    <row r="110" spans="1:25" s="36" customFormat="1" ht="12.5" x14ac:dyDescent="0.25">
      <c r="A110" s="36">
        <v>2010</v>
      </c>
      <c r="B110" s="40">
        <v>42.5</v>
      </c>
      <c r="C110" s="40">
        <v>45.1</v>
      </c>
      <c r="D110" s="40">
        <v>50.3</v>
      </c>
      <c r="E110" s="40">
        <v>58.1</v>
      </c>
      <c r="F110" s="40">
        <v>61.2</v>
      </c>
      <c r="G110" s="40">
        <v>60.7</v>
      </c>
      <c r="H110" s="40">
        <v>67.900000000000006</v>
      </c>
      <c r="I110" s="40">
        <v>68.7</v>
      </c>
      <c r="J110" s="40">
        <v>64.7</v>
      </c>
      <c r="K110" s="40">
        <v>84.7</v>
      </c>
      <c r="L110" s="40">
        <v>60.4</v>
      </c>
      <c r="N110" s="36">
        <v>2010</v>
      </c>
      <c r="O110" s="40">
        <f t="shared" si="37"/>
        <v>22.898706896551722</v>
      </c>
      <c r="P110" s="40">
        <f t="shared" si="38"/>
        <v>20.996275605214151</v>
      </c>
      <c r="Q110" s="40">
        <f t="shared" si="39"/>
        <v>18.445177851118444</v>
      </c>
      <c r="R110" s="40">
        <f t="shared" si="40"/>
        <v>16.869918699186993</v>
      </c>
      <c r="S110" s="40">
        <f t="shared" si="41"/>
        <v>15.299999999999999</v>
      </c>
      <c r="T110" s="40">
        <f t="shared" si="42"/>
        <v>13.23016564952049</v>
      </c>
      <c r="U110" s="40">
        <f t="shared" si="43"/>
        <v>12.779973649538871</v>
      </c>
      <c r="V110" s="40">
        <f t="shared" si="44"/>
        <v>11.628300609343265</v>
      </c>
      <c r="W110" s="40">
        <f t="shared" si="45"/>
        <v>8.9773830997641184</v>
      </c>
      <c r="X110" s="40">
        <f t="shared" si="46"/>
        <v>8.3161512027491398</v>
      </c>
      <c r="Y110" s="40">
        <f t="shared" si="47"/>
        <v>12.753378378378377</v>
      </c>
    </row>
    <row r="111" spans="1:25" s="36" customFormat="1" ht="12.5" x14ac:dyDescent="0.25">
      <c r="A111" s="36">
        <v>2011</v>
      </c>
      <c r="B111" s="40">
        <v>40.1</v>
      </c>
      <c r="C111" s="40">
        <v>45.6</v>
      </c>
      <c r="D111" s="40">
        <v>51.3</v>
      </c>
      <c r="E111" s="40">
        <v>65.2</v>
      </c>
      <c r="F111" s="40">
        <v>63.6</v>
      </c>
      <c r="G111" s="40">
        <v>69.2</v>
      </c>
      <c r="H111" s="40">
        <v>73</v>
      </c>
      <c r="I111" s="40">
        <v>70.7</v>
      </c>
      <c r="J111" s="40">
        <v>69.599999999999994</v>
      </c>
      <c r="K111" s="40">
        <v>84.5</v>
      </c>
      <c r="L111" s="40">
        <v>63.3</v>
      </c>
      <c r="N111" s="36">
        <v>2011</v>
      </c>
      <c r="O111" s="40">
        <f t="shared" si="37"/>
        <v>22.642574816487862</v>
      </c>
      <c r="P111" s="40">
        <f t="shared" si="38"/>
        <v>20.79343365253078</v>
      </c>
      <c r="Q111" s="40">
        <f t="shared" si="39"/>
        <v>17.56849315068493</v>
      </c>
      <c r="R111" s="40">
        <f t="shared" si="40"/>
        <v>18.330053415799831</v>
      </c>
      <c r="S111" s="40">
        <f t="shared" si="41"/>
        <v>15.340086830680171</v>
      </c>
      <c r="T111" s="40">
        <f t="shared" si="42"/>
        <v>14.577627975563514</v>
      </c>
      <c r="U111" s="40">
        <f t="shared" si="43"/>
        <v>13.563730955035302</v>
      </c>
      <c r="V111" s="40">
        <f t="shared" si="44"/>
        <v>11.609195402298852</v>
      </c>
      <c r="W111" s="40">
        <f t="shared" si="45"/>
        <v>9.3235097119892814</v>
      </c>
      <c r="X111" s="40">
        <f t="shared" si="46"/>
        <v>8.3646802613343887</v>
      </c>
      <c r="Y111" s="40">
        <f t="shared" si="47"/>
        <v>13.089330024813894</v>
      </c>
    </row>
    <row r="112" spans="1:25" s="36" customFormat="1" ht="12.5" x14ac:dyDescent="0.25">
      <c r="A112" s="36">
        <v>2012</v>
      </c>
      <c r="B112" s="40">
        <v>47.4</v>
      </c>
      <c r="C112" s="40">
        <v>49.9</v>
      </c>
      <c r="D112" s="40">
        <v>56.2</v>
      </c>
      <c r="E112" s="40">
        <v>67.599999999999994</v>
      </c>
      <c r="F112" s="40">
        <v>67.8</v>
      </c>
      <c r="G112" s="40">
        <v>72.900000000000006</v>
      </c>
      <c r="H112" s="40">
        <v>70.099999999999994</v>
      </c>
      <c r="I112" s="40">
        <v>78</v>
      </c>
      <c r="J112" s="40">
        <v>73.900000000000006</v>
      </c>
      <c r="K112" s="40">
        <v>95.7</v>
      </c>
      <c r="L112" s="40">
        <v>68</v>
      </c>
      <c r="N112" s="36">
        <v>2012</v>
      </c>
      <c r="O112" s="40">
        <f t="shared" si="37"/>
        <v>24.546866908337648</v>
      </c>
      <c r="P112" s="40">
        <f t="shared" si="38"/>
        <v>22.346618898343035</v>
      </c>
      <c r="Q112" s="40">
        <f t="shared" si="39"/>
        <v>19.971570717839377</v>
      </c>
      <c r="R112" s="40">
        <f t="shared" si="40"/>
        <v>18.449781659388645</v>
      </c>
      <c r="S112" s="40">
        <f t="shared" si="41"/>
        <v>16.464303059737738</v>
      </c>
      <c r="T112" s="40">
        <f t="shared" si="42"/>
        <v>15.061983471074381</v>
      </c>
      <c r="U112" s="40">
        <f t="shared" si="43"/>
        <v>13.191569439217163</v>
      </c>
      <c r="V112" s="40">
        <f t="shared" si="44"/>
        <v>12.394724296837758</v>
      </c>
      <c r="W112" s="40">
        <f t="shared" si="45"/>
        <v>10.39819895877304</v>
      </c>
      <c r="X112" s="40">
        <f t="shared" si="46"/>
        <v>9.0453686200378076</v>
      </c>
      <c r="Y112" s="40">
        <f t="shared" si="47"/>
        <v>13.905930470347649</v>
      </c>
    </row>
    <row r="113" spans="1:25" s="36" customFormat="1" ht="12.5" x14ac:dyDescent="0.25">
      <c r="A113" s="36">
        <v>2013</v>
      </c>
      <c r="B113" s="40">
        <v>51</v>
      </c>
      <c r="C113" s="40">
        <v>57.4</v>
      </c>
      <c r="D113" s="40">
        <v>66</v>
      </c>
      <c r="E113" s="40">
        <v>75.400000000000006</v>
      </c>
      <c r="F113" s="40">
        <v>81.2</v>
      </c>
      <c r="G113" s="40">
        <v>77.599999999999994</v>
      </c>
      <c r="H113" s="40">
        <v>78.099999999999994</v>
      </c>
      <c r="I113" s="40">
        <v>80.7</v>
      </c>
      <c r="J113" s="40">
        <v>81.900000000000006</v>
      </c>
      <c r="K113" s="40">
        <v>94.5</v>
      </c>
      <c r="L113" s="40">
        <v>74.400000000000006</v>
      </c>
      <c r="N113" s="36">
        <v>2013</v>
      </c>
      <c r="O113" s="40">
        <f t="shared" si="37"/>
        <v>25.980641874681609</v>
      </c>
      <c r="P113" s="40">
        <f t="shared" si="38"/>
        <v>25.032708242477103</v>
      </c>
      <c r="Q113" s="40">
        <f t="shared" si="39"/>
        <v>21.38690861957226</v>
      </c>
      <c r="R113" s="40">
        <f t="shared" si="40"/>
        <v>20.031880977683318</v>
      </c>
      <c r="S113" s="40">
        <f t="shared" si="41"/>
        <v>18.341992319855432</v>
      </c>
      <c r="T113" s="40">
        <f t="shared" si="42"/>
        <v>15.085536547433904</v>
      </c>
      <c r="U113" s="40">
        <f t="shared" si="43"/>
        <v>13.651459535046321</v>
      </c>
      <c r="V113" s="40">
        <f t="shared" si="44"/>
        <v>12.55054432348367</v>
      </c>
      <c r="W113" s="40">
        <f t="shared" si="45"/>
        <v>10.603314344899017</v>
      </c>
      <c r="X113" s="40">
        <f t="shared" si="46"/>
        <v>8.4442855866321143</v>
      </c>
      <c r="Y113" s="40">
        <f t="shared" si="47"/>
        <v>14.382369998066888</v>
      </c>
    </row>
    <row r="114" spans="1:25" s="36" customFormat="1" ht="12.5" x14ac:dyDescent="0.25">
      <c r="A114" s="36">
        <v>2014</v>
      </c>
      <c r="B114" s="40">
        <v>46.5</v>
      </c>
      <c r="C114" s="40">
        <v>56.5</v>
      </c>
      <c r="D114" s="40">
        <v>62.8</v>
      </c>
      <c r="E114" s="40">
        <v>68.3</v>
      </c>
      <c r="F114" s="40">
        <v>72.900000000000006</v>
      </c>
      <c r="G114" s="40">
        <v>80.400000000000006</v>
      </c>
      <c r="H114" s="40">
        <v>75</v>
      </c>
      <c r="I114" s="40">
        <v>77.400000000000006</v>
      </c>
      <c r="J114" s="40">
        <v>80.400000000000006</v>
      </c>
      <c r="K114" s="40">
        <v>106.4</v>
      </c>
      <c r="L114" s="40">
        <v>72.7</v>
      </c>
      <c r="N114" s="36">
        <v>2014</v>
      </c>
      <c r="O114" s="40">
        <f t="shared" si="37"/>
        <v>24.422268907563023</v>
      </c>
      <c r="P114" s="40">
        <f t="shared" si="38"/>
        <v>22.645290581162325</v>
      </c>
      <c r="Q114" s="40">
        <f t="shared" si="39"/>
        <v>19.649561952440546</v>
      </c>
      <c r="R114" s="40">
        <f t="shared" si="40"/>
        <v>18.198774313882225</v>
      </c>
      <c r="S114" s="40">
        <f t="shared" si="41"/>
        <v>16.385704652730954</v>
      </c>
      <c r="T114" s="40">
        <f t="shared" si="42"/>
        <v>15.476419634263717</v>
      </c>
      <c r="U114" s="40">
        <f t="shared" si="43"/>
        <v>12.636899747262003</v>
      </c>
      <c r="V114" s="40">
        <f t="shared" si="44"/>
        <v>11.286089238845145</v>
      </c>
      <c r="W114" s="40">
        <f t="shared" si="45"/>
        <v>10.302409021014865</v>
      </c>
      <c r="X114" s="40">
        <f t="shared" si="46"/>
        <v>9.2049485249589065</v>
      </c>
      <c r="Y114" s="40">
        <f t="shared" si="47"/>
        <v>13.683418031244122</v>
      </c>
    </row>
    <row r="115" spans="1:25" s="36" customFormat="1" ht="12.5" x14ac:dyDescent="0.25">
      <c r="A115" s="36" t="s">
        <v>45</v>
      </c>
      <c r="B115" s="40">
        <v>45.2</v>
      </c>
      <c r="C115" s="40">
        <v>59</v>
      </c>
      <c r="D115" s="40">
        <v>58.8</v>
      </c>
      <c r="E115" s="40">
        <v>70.599999999999994</v>
      </c>
      <c r="F115" s="40">
        <v>73.900000000000006</v>
      </c>
      <c r="G115" s="40">
        <v>79.900000000000006</v>
      </c>
      <c r="H115" s="40">
        <v>78.099999999999994</v>
      </c>
      <c r="I115" s="40">
        <v>73</v>
      </c>
      <c r="J115" s="40">
        <v>86</v>
      </c>
      <c r="K115" s="40">
        <v>100.3</v>
      </c>
      <c r="L115" s="40">
        <v>72.5</v>
      </c>
      <c r="N115" s="36" t="s">
        <v>45</v>
      </c>
      <c r="O115" s="40">
        <f t="shared" si="37"/>
        <v>25.111111111111111</v>
      </c>
      <c r="P115" s="40">
        <f t="shared" si="38"/>
        <v>22.596706242818843</v>
      </c>
      <c r="Q115" s="40">
        <f t="shared" si="39"/>
        <v>19.09090909090909</v>
      </c>
      <c r="R115" s="40">
        <f t="shared" si="40"/>
        <v>19.070772555375473</v>
      </c>
      <c r="S115" s="40">
        <f t="shared" si="41"/>
        <v>15.97837837837838</v>
      </c>
      <c r="T115" s="40">
        <f t="shared" si="42"/>
        <v>14.714548802946595</v>
      </c>
      <c r="U115" s="40">
        <f t="shared" si="43"/>
        <v>13.302674161130982</v>
      </c>
      <c r="V115" s="40">
        <f t="shared" si="44"/>
        <v>11.030522816560895</v>
      </c>
      <c r="W115" s="40">
        <f t="shared" si="45"/>
        <v>11.025641025641026</v>
      </c>
      <c r="X115" s="40">
        <f t="shared" si="46"/>
        <v>8.8276711846505886</v>
      </c>
      <c r="Y115" s="40">
        <f t="shared" si="47"/>
        <v>13.707695216487048</v>
      </c>
    </row>
    <row r="116" spans="1:25" s="36" customFormat="1" ht="12.5" x14ac:dyDescent="0.25">
      <c r="A116" s="36" t="s">
        <v>46</v>
      </c>
      <c r="B116" s="40">
        <v>44</v>
      </c>
      <c r="C116" s="40">
        <v>55.8</v>
      </c>
      <c r="D116" s="40">
        <v>62.6</v>
      </c>
      <c r="E116" s="40">
        <v>66.599999999999994</v>
      </c>
      <c r="F116" s="40">
        <v>81</v>
      </c>
      <c r="G116" s="40">
        <v>79.8</v>
      </c>
      <c r="H116" s="40">
        <v>82.7</v>
      </c>
      <c r="I116" s="40">
        <v>74.7</v>
      </c>
      <c r="J116" s="40">
        <v>81.400000000000006</v>
      </c>
      <c r="K116" s="40">
        <v>97.1</v>
      </c>
      <c r="L116" s="40">
        <v>72.599999999999994</v>
      </c>
      <c r="N116" s="36" t="s">
        <v>46</v>
      </c>
      <c r="O116" s="40">
        <f t="shared" si="37"/>
        <v>21.235521235521237</v>
      </c>
      <c r="P116" s="40">
        <f t="shared" si="38"/>
        <v>21.056603773584904</v>
      </c>
      <c r="Q116" s="40">
        <f t="shared" si="39"/>
        <v>18.564650059311983</v>
      </c>
      <c r="R116" s="40">
        <f t="shared" si="40"/>
        <v>15.700141442715697</v>
      </c>
      <c r="S116" s="40">
        <f t="shared" si="41"/>
        <v>16.004742145820984</v>
      </c>
      <c r="T116" s="40">
        <f t="shared" si="42"/>
        <v>14.422555575637086</v>
      </c>
      <c r="U116" s="40">
        <f t="shared" si="43"/>
        <v>13.539620170268501</v>
      </c>
      <c r="V116" s="40">
        <f t="shared" si="44"/>
        <v>10.645575032064984</v>
      </c>
      <c r="W116" s="40">
        <f t="shared" si="45"/>
        <v>9.9304623642796148</v>
      </c>
      <c r="X116" s="40">
        <f t="shared" si="46"/>
        <v>8.6944842406876788</v>
      </c>
      <c r="Y116" s="40">
        <f t="shared" si="47"/>
        <v>13.099963911945146</v>
      </c>
    </row>
    <row r="117" spans="1:25" s="36" customFormat="1" ht="12.5" x14ac:dyDescent="0.25">
      <c r="A117" s="36" t="s">
        <v>47</v>
      </c>
      <c r="B117" s="40">
        <v>50.5</v>
      </c>
      <c r="C117" s="40">
        <v>53.3</v>
      </c>
      <c r="D117" s="40">
        <v>66.900000000000006</v>
      </c>
      <c r="E117" s="40">
        <v>69.7</v>
      </c>
      <c r="F117" s="40">
        <v>80.5</v>
      </c>
      <c r="G117" s="40">
        <v>86.4</v>
      </c>
      <c r="H117" s="40">
        <v>87.3</v>
      </c>
      <c r="I117" s="40">
        <v>80.7</v>
      </c>
      <c r="J117" s="40">
        <v>83.4</v>
      </c>
      <c r="K117" s="40">
        <v>103.2</v>
      </c>
      <c r="L117" s="40">
        <v>76.2</v>
      </c>
      <c r="N117" s="36" t="s">
        <v>47</v>
      </c>
      <c r="O117" s="40">
        <f t="shared" si="37"/>
        <v>23.731203007518793</v>
      </c>
      <c r="P117" s="40">
        <f t="shared" si="38"/>
        <v>20.090463626083675</v>
      </c>
      <c r="Q117" s="40">
        <f t="shared" si="39"/>
        <v>18.755256518082426</v>
      </c>
      <c r="R117" s="40">
        <f t="shared" si="40"/>
        <v>16.469754253308132</v>
      </c>
      <c r="S117" s="40">
        <f t="shared" si="41"/>
        <v>16.553567756528892</v>
      </c>
      <c r="T117" s="40">
        <f t="shared" si="42"/>
        <v>14.90426082456443</v>
      </c>
      <c r="U117" s="40">
        <f t="shared" si="43"/>
        <v>13.583320367200871</v>
      </c>
      <c r="V117" s="40">
        <f t="shared" si="44"/>
        <v>11.030617823947512</v>
      </c>
      <c r="W117" s="40">
        <f t="shared" si="45"/>
        <v>10.090744101633394</v>
      </c>
      <c r="X117" s="40">
        <f t="shared" si="46"/>
        <v>8.3644026584535585</v>
      </c>
      <c r="Y117" s="40">
        <f t="shared" si="47"/>
        <v>13.236060448150077</v>
      </c>
    </row>
    <row r="118" spans="1:25" s="36" customFormat="1" ht="12.5" x14ac:dyDescent="0.25">
      <c r="A118" s="36" t="s">
        <v>48</v>
      </c>
      <c r="B118" s="40">
        <v>52.5</v>
      </c>
      <c r="C118" s="40">
        <v>58.8</v>
      </c>
      <c r="D118" s="40">
        <v>71.900000000000006</v>
      </c>
      <c r="E118" s="40">
        <v>79.099999999999994</v>
      </c>
      <c r="F118" s="40">
        <v>78.599999999999994</v>
      </c>
      <c r="G118" s="40">
        <v>81.400000000000006</v>
      </c>
      <c r="H118" s="40">
        <v>81.099999999999994</v>
      </c>
      <c r="I118" s="40">
        <v>94.3</v>
      </c>
      <c r="J118" s="40">
        <v>92.4</v>
      </c>
      <c r="K118" s="40">
        <v>103.8</v>
      </c>
      <c r="L118" s="40">
        <v>79.400000000000006</v>
      </c>
      <c r="N118" s="36" t="s">
        <v>48</v>
      </c>
      <c r="O118" s="40">
        <f t="shared" si="37"/>
        <v>22.161249472351201</v>
      </c>
      <c r="P118" s="40">
        <f t="shared" si="38"/>
        <v>20.164609053497941</v>
      </c>
      <c r="Q118" s="40">
        <f t="shared" si="39"/>
        <v>19.878352225601329</v>
      </c>
      <c r="R118" s="40">
        <f t="shared" si="40"/>
        <v>18.213216670504259</v>
      </c>
      <c r="S118" s="40">
        <f t="shared" si="41"/>
        <v>14.900473933649289</v>
      </c>
      <c r="T118" s="40">
        <f t="shared" si="42"/>
        <v>13.820033955857387</v>
      </c>
      <c r="U118" s="40">
        <f t="shared" si="43"/>
        <v>12.59707983845915</v>
      </c>
      <c r="V118" s="40">
        <f t="shared" si="44"/>
        <v>12.533227006911218</v>
      </c>
      <c r="W118" s="40">
        <f t="shared" si="45"/>
        <v>10.574502174410622</v>
      </c>
      <c r="X118" s="40">
        <f t="shared" si="46"/>
        <v>8.5827683148668754</v>
      </c>
      <c r="Y118" s="40">
        <f t="shared" si="47"/>
        <v>13.412162162162163</v>
      </c>
    </row>
    <row r="119" spans="1:25" s="36" customFormat="1" ht="12.5" x14ac:dyDescent="0.25">
      <c r="A119" s="36" t="s">
        <v>49</v>
      </c>
      <c r="B119" s="40">
        <v>57.9</v>
      </c>
      <c r="C119" s="40">
        <v>58.9</v>
      </c>
      <c r="D119" s="40">
        <v>75.5</v>
      </c>
      <c r="E119" s="40">
        <v>76.3</v>
      </c>
      <c r="F119" s="40">
        <v>79.900000000000006</v>
      </c>
      <c r="G119" s="40">
        <v>91.1</v>
      </c>
      <c r="H119" s="40">
        <v>90.3</v>
      </c>
      <c r="I119" s="40">
        <v>90.9</v>
      </c>
      <c r="J119" s="40">
        <v>90.7</v>
      </c>
      <c r="K119" s="40">
        <v>118.3</v>
      </c>
      <c r="L119" s="40">
        <v>83</v>
      </c>
      <c r="N119" s="36" t="s">
        <v>49</v>
      </c>
      <c r="O119" s="40">
        <f t="shared" si="37"/>
        <v>23.642302980808491</v>
      </c>
      <c r="P119" s="40">
        <f t="shared" si="38"/>
        <v>20.515499825844653</v>
      </c>
      <c r="Q119" s="40">
        <f t="shared" si="39"/>
        <v>20.787444933920707</v>
      </c>
      <c r="R119" s="40">
        <f t="shared" si="40"/>
        <v>17.5</v>
      </c>
      <c r="S119" s="40">
        <f t="shared" si="41"/>
        <v>15.511551155115514</v>
      </c>
      <c r="T119" s="40">
        <f t="shared" si="42"/>
        <v>15.593974666210201</v>
      </c>
      <c r="U119" s="40">
        <f t="shared" si="43"/>
        <v>13.88162951575711</v>
      </c>
      <c r="V119" s="40">
        <f t="shared" si="44"/>
        <v>11.930699566872294</v>
      </c>
      <c r="W119" s="40">
        <f t="shared" si="45"/>
        <v>10.833731485905398</v>
      </c>
      <c r="X119" s="40">
        <f t="shared" si="46"/>
        <v>9.8624426844518549</v>
      </c>
      <c r="Y119" s="40">
        <f t="shared" si="47"/>
        <v>14.118047286953564</v>
      </c>
    </row>
    <row r="120" spans="1:25" x14ac:dyDescent="0.35">
      <c r="A120" s="36" t="s">
        <v>50</v>
      </c>
      <c r="B120" s="40">
        <v>55</v>
      </c>
      <c r="C120" s="40">
        <v>59.7</v>
      </c>
      <c r="D120" s="40">
        <v>77.599999999999994</v>
      </c>
      <c r="E120" s="40">
        <v>74.7</v>
      </c>
      <c r="F120" s="40">
        <v>97.6</v>
      </c>
      <c r="G120" s="40">
        <v>86.3</v>
      </c>
      <c r="H120" s="40">
        <v>81.599999999999994</v>
      </c>
      <c r="I120" s="40">
        <v>95.7</v>
      </c>
      <c r="J120" s="40">
        <v>98.6</v>
      </c>
      <c r="K120" s="40">
        <v>119.1</v>
      </c>
      <c r="L120" s="40">
        <v>84.6</v>
      </c>
      <c r="N120" s="36" t="s">
        <v>50</v>
      </c>
      <c r="O120" s="40">
        <f t="shared" si="37"/>
        <v>27.227722772277229</v>
      </c>
      <c r="P120" s="40">
        <f t="shared" si="38"/>
        <v>23.832335329341319</v>
      </c>
      <c r="Q120" s="40">
        <f t="shared" si="39"/>
        <v>22.479721900347624</v>
      </c>
      <c r="R120" s="40">
        <f t="shared" si="40"/>
        <v>21.459350761275495</v>
      </c>
      <c r="S120" s="40">
        <f t="shared" si="41"/>
        <v>22.441940676017474</v>
      </c>
      <c r="T120" s="40">
        <f t="shared" si="42"/>
        <v>17.790146361574934</v>
      </c>
      <c r="U120" s="40">
        <f t="shared" si="43"/>
        <v>15.844660194174756</v>
      </c>
      <c r="V120" s="40">
        <f t="shared" si="44"/>
        <v>15.737543167242229</v>
      </c>
      <c r="W120" s="40">
        <f t="shared" si="45"/>
        <v>14.389959136018678</v>
      </c>
      <c r="X120" s="40">
        <f t="shared" si="46"/>
        <v>12.652714331244026</v>
      </c>
      <c r="Y120" s="40">
        <f t="shared" si="47"/>
        <v>17.570093457943926</v>
      </c>
    </row>
    <row r="121" spans="1:25" x14ac:dyDescent="0.35">
      <c r="A121" s="36" t="s">
        <v>51</v>
      </c>
      <c r="B121" s="40">
        <v>64.7</v>
      </c>
      <c r="C121" s="40">
        <v>72.400000000000006</v>
      </c>
      <c r="D121" s="40">
        <v>80.400000000000006</v>
      </c>
      <c r="E121" s="40">
        <v>84.9</v>
      </c>
      <c r="F121" s="40">
        <v>90.3</v>
      </c>
      <c r="G121" s="40">
        <v>90.8</v>
      </c>
      <c r="H121" s="40">
        <v>90.8</v>
      </c>
      <c r="I121" s="40">
        <v>93.9</v>
      </c>
      <c r="J121" s="40">
        <v>101.6</v>
      </c>
      <c r="K121" s="40">
        <v>107.2</v>
      </c>
      <c r="L121" s="40">
        <v>87.7</v>
      </c>
      <c r="N121" s="36" t="s">
        <v>51</v>
      </c>
      <c r="O121" s="40">
        <f t="shared" si="37"/>
        <v>25.674603174603178</v>
      </c>
      <c r="P121" s="40">
        <f t="shared" si="38"/>
        <v>25.52891396332863</v>
      </c>
      <c r="Q121" s="40">
        <f t="shared" si="39"/>
        <v>22.997711670480552</v>
      </c>
      <c r="R121" s="40">
        <f t="shared" si="40"/>
        <v>20.5221174764322</v>
      </c>
      <c r="S121" s="40">
        <f t="shared" si="41"/>
        <v>18.466257668711656</v>
      </c>
      <c r="T121" s="40">
        <f t="shared" si="42"/>
        <v>17.675686198170137</v>
      </c>
      <c r="U121" s="40">
        <f t="shared" si="43"/>
        <v>15.890794539726988</v>
      </c>
      <c r="V121" s="40">
        <f t="shared" si="44"/>
        <v>14.20360006050522</v>
      </c>
      <c r="W121" s="40">
        <f t="shared" si="45"/>
        <v>13.503455608718767</v>
      </c>
      <c r="X121" s="40">
        <f t="shared" si="46"/>
        <v>10.691133938366411</v>
      </c>
      <c r="Y121" s="40">
        <f t="shared" si="47"/>
        <v>16.584720121028745</v>
      </c>
    </row>
    <row r="122" spans="1:25" x14ac:dyDescent="0.35">
      <c r="A122" s="36" t="s">
        <v>52</v>
      </c>
      <c r="B122" s="40">
        <v>80.599999999999994</v>
      </c>
      <c r="C122" s="40">
        <v>76.900000000000006</v>
      </c>
      <c r="D122" s="40">
        <v>96.7</v>
      </c>
      <c r="E122" s="40">
        <v>100.1</v>
      </c>
      <c r="F122" s="40">
        <v>104.3</v>
      </c>
      <c r="G122" s="40">
        <v>107.9</v>
      </c>
      <c r="H122" s="40">
        <v>107.7</v>
      </c>
      <c r="I122" s="40">
        <v>113.2</v>
      </c>
      <c r="J122" s="40">
        <v>120.1</v>
      </c>
      <c r="K122" s="40">
        <v>149.5</v>
      </c>
      <c r="L122" s="40">
        <v>105.7</v>
      </c>
      <c r="N122" s="36" t="s">
        <v>52</v>
      </c>
      <c r="O122" s="40">
        <f t="shared" si="37"/>
        <v>30.775105001909125</v>
      </c>
      <c r="P122" s="40">
        <f t="shared" si="38"/>
        <v>24.197608558842042</v>
      </c>
      <c r="Q122" s="40">
        <f t="shared" si="39"/>
        <v>23.923800098960911</v>
      </c>
      <c r="R122" s="40">
        <f t="shared" si="40"/>
        <v>21.471471471471471</v>
      </c>
      <c r="S122" s="40">
        <f t="shared" si="41"/>
        <v>20.495185694635492</v>
      </c>
      <c r="T122" s="40">
        <f t="shared" si="42"/>
        <v>18.735891647855532</v>
      </c>
      <c r="U122" s="40">
        <f t="shared" si="43"/>
        <v>17.649950835791543</v>
      </c>
      <c r="V122" s="40">
        <f t="shared" si="44"/>
        <v>15.986442592854116</v>
      </c>
      <c r="W122" s="40">
        <f t="shared" si="45"/>
        <v>15.076575445643986</v>
      </c>
      <c r="X122" s="40">
        <f t="shared" si="46"/>
        <v>14.518791881130424</v>
      </c>
      <c r="Y122" s="40">
        <f t="shared" si="47"/>
        <v>18.618988902589393</v>
      </c>
    </row>
    <row r="123" spans="1:25" x14ac:dyDescent="0.35">
      <c r="A123" s="36" t="s">
        <v>53</v>
      </c>
      <c r="B123" s="40">
        <v>78.2</v>
      </c>
      <c r="C123" s="40">
        <v>82.3</v>
      </c>
      <c r="D123" s="40">
        <v>107.5</v>
      </c>
      <c r="E123" s="40">
        <v>113.6</v>
      </c>
      <c r="F123" s="40">
        <v>129</v>
      </c>
      <c r="G123" s="40">
        <v>112.5</v>
      </c>
      <c r="H123" s="40">
        <v>112.3</v>
      </c>
      <c r="I123" s="40">
        <v>122.7</v>
      </c>
      <c r="J123" s="40">
        <v>140.69999999999999</v>
      </c>
      <c r="K123" s="40">
        <v>134.30000000000001</v>
      </c>
      <c r="L123" s="40">
        <v>113.3</v>
      </c>
      <c r="N123" s="36" t="s">
        <v>53</v>
      </c>
      <c r="O123" s="40">
        <f t="shared" si="37"/>
        <v>27.38095238095238</v>
      </c>
      <c r="P123" s="40">
        <f t="shared" si="38"/>
        <v>25.807463154593918</v>
      </c>
      <c r="Q123" s="40">
        <f t="shared" si="39"/>
        <v>25.264394829612218</v>
      </c>
      <c r="R123" s="40">
        <f t="shared" si="40"/>
        <v>23.014586709886544</v>
      </c>
      <c r="S123" s="40">
        <f t="shared" si="41"/>
        <v>22.326064382139148</v>
      </c>
      <c r="T123" s="40">
        <f t="shared" si="42"/>
        <v>18.500246669955601</v>
      </c>
      <c r="U123" s="40">
        <f t="shared" si="43"/>
        <v>16.081913217814694</v>
      </c>
      <c r="V123" s="40">
        <f t="shared" si="44"/>
        <v>15.962013789514765</v>
      </c>
      <c r="W123" s="40">
        <f t="shared" si="45"/>
        <v>15.937924784775714</v>
      </c>
      <c r="X123" s="40">
        <f t="shared" si="46"/>
        <v>11.436600527974115</v>
      </c>
      <c r="Y123" s="40">
        <f t="shared" si="47"/>
        <v>18.177442643991661</v>
      </c>
    </row>
    <row r="125" spans="1:25" s="36" customFormat="1" ht="13" x14ac:dyDescent="0.3">
      <c r="A125" s="35" t="s">
        <v>58</v>
      </c>
      <c r="N125" s="35" t="s">
        <v>58</v>
      </c>
    </row>
    <row r="126" spans="1:25" s="36" customFormat="1" ht="13" x14ac:dyDescent="0.3">
      <c r="B126" s="62" t="s">
        <v>25</v>
      </c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O126" s="62" t="s">
        <v>25</v>
      </c>
      <c r="P126" s="62"/>
      <c r="Q126" s="62"/>
      <c r="R126" s="62"/>
      <c r="S126" s="62"/>
      <c r="T126" s="62"/>
      <c r="U126" s="62"/>
      <c r="V126" s="62"/>
      <c r="W126" s="62"/>
      <c r="X126" s="62"/>
      <c r="Y126" s="62"/>
    </row>
    <row r="127" spans="1:25" s="36" customFormat="1" ht="12.5" x14ac:dyDescent="0.25">
      <c r="B127" s="37" t="s">
        <v>34</v>
      </c>
      <c r="C127" s="38" t="s">
        <v>35</v>
      </c>
      <c r="D127" s="39" t="s">
        <v>36</v>
      </c>
      <c r="E127" s="39" t="s">
        <v>37</v>
      </c>
      <c r="F127" s="39" t="s">
        <v>38</v>
      </c>
      <c r="G127" s="39" t="s">
        <v>39</v>
      </c>
      <c r="H127" s="39" t="s">
        <v>40</v>
      </c>
      <c r="I127" s="39" t="s">
        <v>41</v>
      </c>
      <c r="J127" s="39" t="s">
        <v>42</v>
      </c>
      <c r="K127" s="39" t="s">
        <v>43</v>
      </c>
      <c r="L127" s="37" t="s">
        <v>44</v>
      </c>
      <c r="O127" s="37" t="s">
        <v>34</v>
      </c>
      <c r="P127" s="38" t="s">
        <v>35</v>
      </c>
      <c r="Q127" s="39" t="s">
        <v>36</v>
      </c>
      <c r="R127" s="39" t="s">
        <v>37</v>
      </c>
      <c r="S127" s="39" t="s">
        <v>38</v>
      </c>
      <c r="T127" s="39" t="s">
        <v>39</v>
      </c>
      <c r="U127" s="39" t="s">
        <v>40</v>
      </c>
      <c r="V127" s="39" t="s">
        <v>41</v>
      </c>
      <c r="W127" s="39" t="s">
        <v>42</v>
      </c>
      <c r="X127" s="39" t="s">
        <v>43</v>
      </c>
      <c r="Y127" s="37" t="s">
        <v>44</v>
      </c>
    </row>
    <row r="128" spans="1:25" s="36" customFormat="1" ht="12.5" x14ac:dyDescent="0.25">
      <c r="A128" s="36">
        <v>1997</v>
      </c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N128" s="36">
        <v>1997</v>
      </c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</row>
    <row r="129" spans="1:25" s="36" customFormat="1" ht="12.5" x14ac:dyDescent="0.25">
      <c r="A129" s="36">
        <v>1998</v>
      </c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N129" s="36">
        <v>1998</v>
      </c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</row>
    <row r="130" spans="1:25" s="36" customFormat="1" ht="12.5" x14ac:dyDescent="0.25">
      <c r="A130" s="36">
        <v>1999</v>
      </c>
      <c r="B130" s="40">
        <v>7.8</v>
      </c>
      <c r="C130" s="40">
        <v>9.8000000000000007</v>
      </c>
      <c r="D130" s="40">
        <v>9.8000000000000007</v>
      </c>
      <c r="E130" s="40">
        <v>10.3</v>
      </c>
      <c r="F130" s="40">
        <v>10.8</v>
      </c>
      <c r="G130" s="40">
        <v>11.4</v>
      </c>
      <c r="H130" s="40">
        <v>12.1</v>
      </c>
      <c r="I130" s="40">
        <v>12.3</v>
      </c>
      <c r="J130" s="40">
        <v>13.4</v>
      </c>
      <c r="K130" s="40">
        <v>15.9</v>
      </c>
      <c r="L130" s="40">
        <v>11.3</v>
      </c>
      <c r="N130" s="36">
        <v>1999</v>
      </c>
      <c r="O130" s="40">
        <f>100*(B130/B192)</f>
        <v>6.5162907268170418</v>
      </c>
      <c r="P130" s="40">
        <f t="shared" ref="P130:Y130" si="48">100*(C130/C192)</f>
        <v>6.6757493188010901</v>
      </c>
      <c r="Q130" s="40">
        <f t="shared" si="48"/>
        <v>5.5025266704098827</v>
      </c>
      <c r="R130" s="40">
        <f t="shared" si="48"/>
        <v>4.2075163398692812</v>
      </c>
      <c r="S130" s="40">
        <f t="shared" si="48"/>
        <v>3.6000000000000005</v>
      </c>
      <c r="T130" s="40">
        <f t="shared" si="48"/>
        <v>3.150912106135987</v>
      </c>
      <c r="U130" s="40">
        <f t="shared" si="48"/>
        <v>2.9304916444659725</v>
      </c>
      <c r="V130" s="40">
        <f t="shared" si="48"/>
        <v>2.5529265255292652</v>
      </c>
      <c r="W130" s="40">
        <f t="shared" si="48"/>
        <v>2.3708421797593768</v>
      </c>
      <c r="X130" s="40">
        <f t="shared" si="48"/>
        <v>2.0319488817891371</v>
      </c>
      <c r="Y130" s="40">
        <f t="shared" si="48"/>
        <v>3.1441291040623263</v>
      </c>
    </row>
    <row r="131" spans="1:25" s="36" customFormat="1" ht="12.5" x14ac:dyDescent="0.25">
      <c r="A131" s="36">
        <v>2000</v>
      </c>
      <c r="B131" s="40">
        <v>8.6447000000000003</v>
      </c>
      <c r="C131" s="40">
        <v>9.3991000000000007</v>
      </c>
      <c r="D131" s="40">
        <v>11.7925</v>
      </c>
      <c r="E131" s="40">
        <v>10.563000000000001</v>
      </c>
      <c r="F131" s="40">
        <v>11.1523</v>
      </c>
      <c r="G131" s="40">
        <v>11.498200000000001</v>
      </c>
      <c r="H131" s="40">
        <v>12.4779</v>
      </c>
      <c r="I131" s="40">
        <v>13.305099999999999</v>
      </c>
      <c r="J131" s="40">
        <v>13.3857</v>
      </c>
      <c r="K131" s="40">
        <v>16.593</v>
      </c>
      <c r="L131" s="40">
        <v>11.8819</v>
      </c>
      <c r="N131" s="36">
        <v>2000</v>
      </c>
      <c r="O131" s="40">
        <f t="shared" ref="O131:O154" si="49">100*(B131/B193)</f>
        <v>6.8254888151266613</v>
      </c>
      <c r="P131" s="40">
        <f t="shared" ref="P131:P154" si="50">100*(C131/C193)</f>
        <v>6.1114311611400609</v>
      </c>
      <c r="Q131" s="40">
        <f t="shared" ref="Q131:Q154" si="51">100*(D131/D193)</f>
        <v>5.4816686585216763</v>
      </c>
      <c r="R131" s="40">
        <f t="shared" ref="R131:R154" si="52">100*(E131/E193)</f>
        <v>3.9607962539109254</v>
      </c>
      <c r="S131" s="40">
        <f t="shared" ref="S131:S154" si="53">100*(F131/F193)</f>
        <v>3.3895765422811857</v>
      </c>
      <c r="T131" s="40">
        <f t="shared" ref="T131:T154" si="54">100*(G131/G193)</f>
        <v>3.105980488687734</v>
      </c>
      <c r="U131" s="40">
        <f t="shared" ref="U131:U154" si="55">100*(H131/H193)</f>
        <v>2.7849608232015566</v>
      </c>
      <c r="V131" s="40">
        <f t="shared" ref="V131:V154" si="56">100*(I131/I193)</f>
        <v>2.6584657461111365</v>
      </c>
      <c r="W131" s="40">
        <f t="shared" ref="W131:W154" si="57">100*(J131/J193)</f>
        <v>2.2409780030673927</v>
      </c>
      <c r="X131" s="40">
        <f t="shared" ref="X131:X154" si="58">100*(K131/K193)</f>
        <v>1.9543225827727988</v>
      </c>
      <c r="Y131" s="40">
        <f t="shared" ref="Y131:Y154" si="59">100*(L131/L193)</f>
        <v>3.0804725124754744</v>
      </c>
    </row>
    <row r="132" spans="1:25" s="36" customFormat="1" ht="12.5" x14ac:dyDescent="0.25">
      <c r="A132" s="36">
        <v>2001</v>
      </c>
      <c r="B132" s="40">
        <v>7.2652000000000001</v>
      </c>
      <c r="C132" s="40">
        <v>9.8539999999999992</v>
      </c>
      <c r="D132" s="40">
        <v>15.7509</v>
      </c>
      <c r="E132" s="40">
        <v>22.622800000000002</v>
      </c>
      <c r="F132" s="40">
        <v>29.428799999999999</v>
      </c>
      <c r="G132" s="40">
        <v>38.6023</v>
      </c>
      <c r="H132" s="40">
        <v>49.615499999999997</v>
      </c>
      <c r="I132" s="40">
        <v>57.322899999999997</v>
      </c>
      <c r="J132" s="40">
        <v>68.141199999999998</v>
      </c>
      <c r="K132" s="40">
        <v>94.385000000000005</v>
      </c>
      <c r="L132" s="40">
        <v>39.301400000000001</v>
      </c>
      <c r="N132" s="36">
        <v>2001</v>
      </c>
      <c r="O132" s="40">
        <f t="shared" si="49"/>
        <v>5.6740358114350737</v>
      </c>
      <c r="P132" s="40">
        <f t="shared" si="50"/>
        <v>5.7515644033379383</v>
      </c>
      <c r="Q132" s="40">
        <f t="shared" si="51"/>
        <v>7.2463441407339042</v>
      </c>
      <c r="R132" s="40">
        <f t="shared" si="52"/>
        <v>8.0961975485371749</v>
      </c>
      <c r="S132" s="40">
        <f t="shared" si="53"/>
        <v>9.1390070776623666</v>
      </c>
      <c r="T132" s="40">
        <f t="shared" si="54"/>
        <v>9.9244067499427331</v>
      </c>
      <c r="U132" s="40">
        <f t="shared" si="55"/>
        <v>11.039804976907092</v>
      </c>
      <c r="V132" s="40">
        <f t="shared" si="56"/>
        <v>10.820183945146782</v>
      </c>
      <c r="W132" s="40">
        <f t="shared" si="57"/>
        <v>11.204133782301957</v>
      </c>
      <c r="X132" s="40">
        <f t="shared" si="58"/>
        <v>10.624183290884252</v>
      </c>
      <c r="Y132" s="40">
        <f t="shared" si="59"/>
        <v>9.8669490572252627</v>
      </c>
    </row>
    <row r="133" spans="1:25" s="36" customFormat="1" ht="12.5" x14ac:dyDescent="0.25">
      <c r="A133" s="36">
        <v>2002</v>
      </c>
      <c r="B133" s="40">
        <v>7.7145000000000001</v>
      </c>
      <c r="C133" s="40">
        <v>9.1401000000000003</v>
      </c>
      <c r="D133" s="40">
        <v>14.204499999999999</v>
      </c>
      <c r="E133" s="40">
        <v>24.408300000000001</v>
      </c>
      <c r="F133" s="40">
        <v>29.352</v>
      </c>
      <c r="G133" s="40">
        <v>40.984499999999997</v>
      </c>
      <c r="H133" s="40">
        <v>47.3994</v>
      </c>
      <c r="I133" s="40">
        <v>57.991399999999999</v>
      </c>
      <c r="J133" s="40">
        <v>65.479900000000001</v>
      </c>
      <c r="K133" s="40">
        <v>97.636200000000002</v>
      </c>
      <c r="L133" s="40">
        <v>39.424300000000002</v>
      </c>
      <c r="N133" s="36">
        <v>2002</v>
      </c>
      <c r="O133" s="40">
        <f t="shared" si="49"/>
        <v>5.6906239142670199</v>
      </c>
      <c r="P133" s="40">
        <f t="shared" si="50"/>
        <v>5.3958146882622833</v>
      </c>
      <c r="Q133" s="40">
        <f t="shared" si="51"/>
        <v>6.4733333029517244</v>
      </c>
      <c r="R133" s="40">
        <f t="shared" si="52"/>
        <v>8.2695316496781057</v>
      </c>
      <c r="S133" s="40">
        <f t="shared" si="53"/>
        <v>8.7614039737945912</v>
      </c>
      <c r="T133" s="40">
        <f t="shared" si="54"/>
        <v>10.235367628622317</v>
      </c>
      <c r="U133" s="40">
        <f t="shared" si="55"/>
        <v>10.39767668212518</v>
      </c>
      <c r="V133" s="40">
        <f t="shared" si="56"/>
        <v>10.85843611212586</v>
      </c>
      <c r="W133" s="40">
        <f t="shared" si="57"/>
        <v>10.324973844568541</v>
      </c>
      <c r="X133" s="40">
        <f t="shared" si="58"/>
        <v>11.052804781010895</v>
      </c>
      <c r="Y133" s="40">
        <f t="shared" si="59"/>
        <v>9.7058837287109938</v>
      </c>
    </row>
    <row r="134" spans="1:25" s="36" customFormat="1" ht="12.5" x14ac:dyDescent="0.25">
      <c r="A134" s="36">
        <v>2003</v>
      </c>
      <c r="B134" s="40">
        <v>8.0220000000000002</v>
      </c>
      <c r="C134" s="40">
        <v>9.8362999999999996</v>
      </c>
      <c r="D134" s="40">
        <v>15.558299999999999</v>
      </c>
      <c r="E134" s="40">
        <v>25.341699999999999</v>
      </c>
      <c r="F134" s="40">
        <v>30.571300000000001</v>
      </c>
      <c r="G134" s="40">
        <v>41.712000000000003</v>
      </c>
      <c r="H134" s="40">
        <v>52.090899999999998</v>
      </c>
      <c r="I134" s="40">
        <v>59.6965</v>
      </c>
      <c r="J134" s="40">
        <v>69.099999999999994</v>
      </c>
      <c r="K134" s="40">
        <v>98.502700000000004</v>
      </c>
      <c r="L134" s="40">
        <v>41.037999999999997</v>
      </c>
      <c r="N134" s="36">
        <v>2003</v>
      </c>
      <c r="O134" s="40">
        <f t="shared" si="49"/>
        <v>5.7460437750834297</v>
      </c>
      <c r="P134" s="40">
        <f t="shared" si="50"/>
        <v>5.6757096728776739</v>
      </c>
      <c r="Q134" s="40">
        <f t="shared" si="51"/>
        <v>6.9392106008469785</v>
      </c>
      <c r="R134" s="40">
        <f t="shared" si="52"/>
        <v>8.4946390825064402</v>
      </c>
      <c r="S134" s="40">
        <f t="shared" si="53"/>
        <v>8.4525566859866323</v>
      </c>
      <c r="T134" s="40">
        <f t="shared" si="54"/>
        <v>10.138576588764682</v>
      </c>
      <c r="U134" s="40">
        <f t="shared" si="55"/>
        <v>10.883749812217294</v>
      </c>
      <c r="V134" s="40">
        <f t="shared" si="56"/>
        <v>10.7133922383114</v>
      </c>
      <c r="W134" s="40">
        <f t="shared" si="57"/>
        <v>10.928436297338237</v>
      </c>
      <c r="X134" s="40">
        <f t="shared" si="58"/>
        <v>10.884335174853433</v>
      </c>
      <c r="Y134" s="40">
        <f t="shared" si="59"/>
        <v>9.814763616256565</v>
      </c>
    </row>
    <row r="135" spans="1:25" s="36" customFormat="1" ht="12.5" x14ac:dyDescent="0.25">
      <c r="A135" s="36">
        <v>2004</v>
      </c>
      <c r="B135" s="40">
        <v>8.9809999999999999</v>
      </c>
      <c r="C135" s="40">
        <v>11.7468</v>
      </c>
      <c r="D135" s="40">
        <v>18.702200000000001</v>
      </c>
      <c r="E135" s="40">
        <v>27.232800000000001</v>
      </c>
      <c r="F135" s="40">
        <v>37.371200000000002</v>
      </c>
      <c r="G135" s="40">
        <v>47.218200000000003</v>
      </c>
      <c r="H135" s="40">
        <v>57.412500000000001</v>
      </c>
      <c r="I135" s="40">
        <v>70.787099999999995</v>
      </c>
      <c r="J135" s="40">
        <v>81.109899999999996</v>
      </c>
      <c r="K135" s="40">
        <v>112.7902</v>
      </c>
      <c r="L135" s="40">
        <v>47.328800000000001</v>
      </c>
      <c r="N135" s="36">
        <v>2004</v>
      </c>
      <c r="O135" s="40">
        <f t="shared" si="49"/>
        <v>6.0966917250358765</v>
      </c>
      <c r="P135" s="40">
        <f t="shared" si="50"/>
        <v>6.5873649642895593</v>
      </c>
      <c r="Q135" s="40">
        <f t="shared" si="51"/>
        <v>7.5186658068790519</v>
      </c>
      <c r="R135" s="40">
        <f t="shared" si="52"/>
        <v>8.7040511386336394</v>
      </c>
      <c r="S135" s="40">
        <f t="shared" si="53"/>
        <v>10.010722942784811</v>
      </c>
      <c r="T135" s="40">
        <f t="shared" si="54"/>
        <v>10.834183634252287</v>
      </c>
      <c r="U135" s="40">
        <f t="shared" si="55"/>
        <v>11.724421717723507</v>
      </c>
      <c r="V135" s="40">
        <f t="shared" si="56"/>
        <v>12.455691097467181</v>
      </c>
      <c r="W135" s="40">
        <f t="shared" si="57"/>
        <v>12.202605321883039</v>
      </c>
      <c r="X135" s="40">
        <f t="shared" si="58"/>
        <v>12.18480817792662</v>
      </c>
      <c r="Y135" s="40">
        <f t="shared" si="59"/>
        <v>10.894539655472453</v>
      </c>
    </row>
    <row r="136" spans="1:25" s="36" customFormat="1" ht="12.5" x14ac:dyDescent="0.25">
      <c r="A136" s="36">
        <v>2005</v>
      </c>
      <c r="B136" s="40">
        <v>7.7930999999999999</v>
      </c>
      <c r="C136" s="40">
        <v>11.2089</v>
      </c>
      <c r="D136" s="40">
        <v>19.704899999999999</v>
      </c>
      <c r="E136" s="40">
        <v>27.988199999999999</v>
      </c>
      <c r="F136" s="40">
        <v>36.110999999999997</v>
      </c>
      <c r="G136" s="40">
        <v>50.212200000000003</v>
      </c>
      <c r="H136" s="40">
        <v>58.667400000000001</v>
      </c>
      <c r="I136" s="40">
        <v>75.091300000000004</v>
      </c>
      <c r="J136" s="40">
        <v>85.123500000000007</v>
      </c>
      <c r="K136" s="40">
        <v>121.43819999999999</v>
      </c>
      <c r="L136" s="40">
        <v>49.328499999999998</v>
      </c>
      <c r="N136" s="36">
        <v>2005</v>
      </c>
      <c r="O136" s="40">
        <f t="shared" si="49"/>
        <v>5.0735931750533192</v>
      </c>
      <c r="P136" s="40">
        <f t="shared" si="50"/>
        <v>6.2646361515598299</v>
      </c>
      <c r="Q136" s="40">
        <f t="shared" si="51"/>
        <v>7.4494283134907731</v>
      </c>
      <c r="R136" s="40">
        <f t="shared" si="52"/>
        <v>9.0241433122251298</v>
      </c>
      <c r="S136" s="40">
        <f t="shared" si="53"/>
        <v>10.124030660020297</v>
      </c>
      <c r="T136" s="40">
        <f t="shared" si="54"/>
        <v>11.554658203286801</v>
      </c>
      <c r="U136" s="40">
        <f t="shared" si="55"/>
        <v>12.246646322179771</v>
      </c>
      <c r="V136" s="40">
        <f t="shared" si="56"/>
        <v>12.856604514646328</v>
      </c>
      <c r="W136" s="40">
        <f t="shared" si="57"/>
        <v>12.469758928394857</v>
      </c>
      <c r="X136" s="40">
        <f t="shared" si="58"/>
        <v>12.269834885221693</v>
      </c>
      <c r="Y136" s="40">
        <f t="shared" si="59"/>
        <v>11.12626586832398</v>
      </c>
    </row>
    <row r="137" spans="1:25" s="36" customFormat="1" ht="12.5" x14ac:dyDescent="0.25">
      <c r="A137" s="36">
        <v>2006</v>
      </c>
      <c r="B137" s="40">
        <v>11.1691</v>
      </c>
      <c r="C137" s="40">
        <v>13.593299999999999</v>
      </c>
      <c r="D137" s="40">
        <v>20.432099999999998</v>
      </c>
      <c r="E137" s="40">
        <v>30.898399999999999</v>
      </c>
      <c r="F137" s="40">
        <v>41.294400000000003</v>
      </c>
      <c r="G137" s="40">
        <v>53.954500000000003</v>
      </c>
      <c r="H137" s="40">
        <v>63.695799999999998</v>
      </c>
      <c r="I137" s="40">
        <v>72.480800000000002</v>
      </c>
      <c r="J137" s="40">
        <v>94.402900000000002</v>
      </c>
      <c r="K137" s="40">
        <v>117.76439999999999</v>
      </c>
      <c r="L137" s="40">
        <v>51.966500000000003</v>
      </c>
      <c r="N137" s="36">
        <v>2006</v>
      </c>
      <c r="O137" s="40">
        <f t="shared" si="49"/>
        <v>7.1791091016841735</v>
      </c>
      <c r="P137" s="40">
        <f t="shared" si="50"/>
        <v>6.8048566571284965</v>
      </c>
      <c r="Q137" s="40">
        <f t="shared" si="51"/>
        <v>7.5276704641328438</v>
      </c>
      <c r="R137" s="40">
        <f t="shared" si="52"/>
        <v>9.2800389241204915</v>
      </c>
      <c r="S137" s="40">
        <f t="shared" si="53"/>
        <v>10.860428253461542</v>
      </c>
      <c r="T137" s="40">
        <f t="shared" si="54"/>
        <v>12.316680530812645</v>
      </c>
      <c r="U137" s="40">
        <f t="shared" si="55"/>
        <v>12.566077363609121</v>
      </c>
      <c r="V137" s="40">
        <f t="shared" si="56"/>
        <v>12.200066082961889</v>
      </c>
      <c r="W137" s="40">
        <f t="shared" si="57"/>
        <v>13.193513407146726</v>
      </c>
      <c r="X137" s="40">
        <f t="shared" si="58"/>
        <v>12.211424368575461</v>
      </c>
      <c r="Y137" s="40">
        <f t="shared" si="59"/>
        <v>11.399027036180584</v>
      </c>
    </row>
    <row r="138" spans="1:25" s="36" customFormat="1" ht="12.5" x14ac:dyDescent="0.25">
      <c r="A138" s="36">
        <v>2007</v>
      </c>
      <c r="B138" s="40">
        <v>11.832800000000001</v>
      </c>
      <c r="C138" s="40">
        <v>13.1252</v>
      </c>
      <c r="D138" s="40">
        <v>20.770700000000001</v>
      </c>
      <c r="E138" s="40">
        <v>32.259900000000002</v>
      </c>
      <c r="F138" s="40">
        <v>39.128399999999999</v>
      </c>
      <c r="G138" s="40">
        <v>55.030999999999999</v>
      </c>
      <c r="H138" s="40">
        <v>64.668000000000006</v>
      </c>
      <c r="I138" s="40">
        <v>77.243700000000004</v>
      </c>
      <c r="J138" s="40">
        <v>102.62430000000001</v>
      </c>
      <c r="K138" s="40">
        <v>142.40950000000001</v>
      </c>
      <c r="L138" s="40">
        <v>55.898600000000002</v>
      </c>
      <c r="N138" s="36">
        <v>2007</v>
      </c>
      <c r="O138" s="40">
        <f t="shared" si="49"/>
        <v>6.8643176493041889</v>
      </c>
      <c r="P138" s="40">
        <f t="shared" si="50"/>
        <v>6.7179457781745073</v>
      </c>
      <c r="Q138" s="40">
        <f t="shared" si="51"/>
        <v>7.9779084296033798</v>
      </c>
      <c r="R138" s="40">
        <f t="shared" si="52"/>
        <v>9.8605669935294795</v>
      </c>
      <c r="S138" s="40">
        <f t="shared" si="53"/>
        <v>9.9745438620015268</v>
      </c>
      <c r="T138" s="40">
        <f t="shared" si="54"/>
        <v>11.994566688622523</v>
      </c>
      <c r="U138" s="40">
        <f t="shared" si="55"/>
        <v>12.766600104039066</v>
      </c>
      <c r="V138" s="40">
        <f t="shared" si="56"/>
        <v>12.899650403487215</v>
      </c>
      <c r="W138" s="40">
        <f t="shared" si="57"/>
        <v>14.790662239934788</v>
      </c>
      <c r="X138" s="40">
        <f t="shared" si="58"/>
        <v>14.432522980283387</v>
      </c>
      <c r="Y138" s="40">
        <f t="shared" si="59"/>
        <v>12.17401303632063</v>
      </c>
    </row>
    <row r="139" spans="1:25" s="36" customFormat="1" ht="12.5" x14ac:dyDescent="0.25">
      <c r="A139" s="36">
        <v>2008</v>
      </c>
      <c r="B139" s="40">
        <v>9.1</v>
      </c>
      <c r="C139" s="40">
        <v>12.2</v>
      </c>
      <c r="D139" s="40">
        <v>20.100000000000001</v>
      </c>
      <c r="E139" s="40">
        <v>33.5</v>
      </c>
      <c r="F139" s="40">
        <v>41.9</v>
      </c>
      <c r="G139" s="40">
        <v>56</v>
      </c>
      <c r="H139" s="40">
        <v>74.400000000000006</v>
      </c>
      <c r="I139" s="40">
        <v>88.3</v>
      </c>
      <c r="J139" s="40">
        <v>106</v>
      </c>
      <c r="K139" s="40">
        <v>142.69999999999999</v>
      </c>
      <c r="L139" s="40">
        <v>58.4</v>
      </c>
      <c r="N139" s="36">
        <v>2008</v>
      </c>
      <c r="O139" s="40">
        <f t="shared" si="49"/>
        <v>5.9206245933636961</v>
      </c>
      <c r="P139" s="40">
        <f t="shared" si="50"/>
        <v>6.1</v>
      </c>
      <c r="Q139" s="40">
        <f t="shared" si="51"/>
        <v>7.8179696616102676</v>
      </c>
      <c r="R139" s="40">
        <f t="shared" si="52"/>
        <v>10.148439866707058</v>
      </c>
      <c r="S139" s="40">
        <f t="shared" si="53"/>
        <v>10.661577608142494</v>
      </c>
      <c r="T139" s="40">
        <f t="shared" si="54"/>
        <v>12.195121951219512</v>
      </c>
      <c r="U139" s="40">
        <f t="shared" si="55"/>
        <v>13.862493012856344</v>
      </c>
      <c r="V139" s="40">
        <f t="shared" si="56"/>
        <v>14.112194342336581</v>
      </c>
      <c r="W139" s="40">
        <f t="shared" si="57"/>
        <v>14.921171171171171</v>
      </c>
      <c r="X139" s="40">
        <f t="shared" si="58"/>
        <v>13.656809264044403</v>
      </c>
      <c r="Y139" s="40">
        <f t="shared" si="59"/>
        <v>12.399150743099788</v>
      </c>
    </row>
    <row r="140" spans="1:25" s="36" customFormat="1" ht="12.5" x14ac:dyDescent="0.25">
      <c r="A140" s="36">
        <v>2009</v>
      </c>
      <c r="B140" s="40">
        <v>10.3</v>
      </c>
      <c r="C140" s="40">
        <v>12.1</v>
      </c>
      <c r="D140" s="40">
        <v>20.3</v>
      </c>
      <c r="E140" s="40">
        <v>26.5</v>
      </c>
      <c r="F140" s="40">
        <v>34.9</v>
      </c>
      <c r="G140" s="40">
        <v>45.3</v>
      </c>
      <c r="H140" s="40">
        <v>56.4</v>
      </c>
      <c r="I140" s="40">
        <v>68.8</v>
      </c>
      <c r="J140" s="40">
        <v>83.5</v>
      </c>
      <c r="K140" s="40">
        <v>131.80000000000001</v>
      </c>
      <c r="L140" s="40">
        <v>49</v>
      </c>
      <c r="N140" s="36">
        <v>2009</v>
      </c>
      <c r="O140" s="40">
        <f t="shared" si="49"/>
        <v>6.3306699446834678</v>
      </c>
      <c r="P140" s="40">
        <f t="shared" si="50"/>
        <v>5.6621431913897995</v>
      </c>
      <c r="Q140" s="40">
        <f t="shared" si="51"/>
        <v>7.2319201995012472</v>
      </c>
      <c r="R140" s="40">
        <f t="shared" si="52"/>
        <v>7.9412646089301759</v>
      </c>
      <c r="S140" s="40">
        <f t="shared" si="53"/>
        <v>9.067290205248117</v>
      </c>
      <c r="T140" s="40">
        <f t="shared" si="54"/>
        <v>10.430577941515081</v>
      </c>
      <c r="U140" s="40">
        <f t="shared" si="55"/>
        <v>11.268731268731269</v>
      </c>
      <c r="V140" s="40">
        <f t="shared" si="56"/>
        <v>11.837577426015141</v>
      </c>
      <c r="W140" s="40">
        <f t="shared" si="57"/>
        <v>12.530012004801922</v>
      </c>
      <c r="X140" s="40">
        <f t="shared" si="58"/>
        <v>13.284951113799012</v>
      </c>
      <c r="Y140" s="40">
        <f t="shared" si="59"/>
        <v>10.76923076923077</v>
      </c>
    </row>
    <row r="141" spans="1:25" s="36" customFormat="1" ht="12.5" x14ac:dyDescent="0.25">
      <c r="A141" s="36">
        <v>2010</v>
      </c>
      <c r="B141" s="40">
        <v>12.1</v>
      </c>
      <c r="C141" s="40">
        <v>12.6</v>
      </c>
      <c r="D141" s="40">
        <v>19.100000000000001</v>
      </c>
      <c r="E141" s="40">
        <v>28.2</v>
      </c>
      <c r="F141" s="40">
        <v>34.6</v>
      </c>
      <c r="G141" s="40">
        <v>42.2</v>
      </c>
      <c r="H141" s="40">
        <v>54.1</v>
      </c>
      <c r="I141" s="40">
        <v>63.3</v>
      </c>
      <c r="J141" s="40">
        <v>86.3</v>
      </c>
      <c r="K141" s="40">
        <v>108.8</v>
      </c>
      <c r="L141" s="40">
        <v>46.1</v>
      </c>
      <c r="N141" s="36">
        <v>2010</v>
      </c>
      <c r="O141" s="40">
        <f t="shared" si="49"/>
        <v>6.5193965517241379</v>
      </c>
      <c r="P141" s="40">
        <f t="shared" si="50"/>
        <v>5.8659217877094969</v>
      </c>
      <c r="Q141" s="40">
        <f t="shared" si="51"/>
        <v>7.0040337367070045</v>
      </c>
      <c r="R141" s="40">
        <f t="shared" si="52"/>
        <v>8.1881533101045303</v>
      </c>
      <c r="S141" s="40">
        <f t="shared" si="53"/>
        <v>8.65</v>
      </c>
      <c r="T141" s="40">
        <f t="shared" si="54"/>
        <v>9.1979075850043603</v>
      </c>
      <c r="U141" s="40">
        <f t="shared" si="55"/>
        <v>10.18257105213627</v>
      </c>
      <c r="V141" s="40">
        <f t="shared" si="56"/>
        <v>10.714285714285715</v>
      </c>
      <c r="W141" s="40">
        <f t="shared" si="57"/>
        <v>11.974469265991395</v>
      </c>
      <c r="X141" s="40">
        <f t="shared" si="58"/>
        <v>10.682376043200785</v>
      </c>
      <c r="Y141" s="40">
        <f t="shared" si="59"/>
        <v>9.7339527027027035</v>
      </c>
    </row>
    <row r="142" spans="1:25" s="36" customFormat="1" ht="12.5" x14ac:dyDescent="0.25">
      <c r="A142" s="36">
        <v>2011</v>
      </c>
      <c r="B142" s="40">
        <v>11.3</v>
      </c>
      <c r="C142" s="40">
        <v>13.2</v>
      </c>
      <c r="D142" s="40">
        <v>19.600000000000001</v>
      </c>
      <c r="E142" s="40">
        <v>27.9</v>
      </c>
      <c r="F142" s="40">
        <v>35</v>
      </c>
      <c r="G142" s="40">
        <v>42.8</v>
      </c>
      <c r="H142" s="40">
        <v>53.1</v>
      </c>
      <c r="I142" s="40">
        <v>63.9</v>
      </c>
      <c r="J142" s="40">
        <v>91.2</v>
      </c>
      <c r="K142" s="40">
        <v>119.7</v>
      </c>
      <c r="L142" s="40">
        <v>47.8</v>
      </c>
      <c r="N142" s="36">
        <v>2011</v>
      </c>
      <c r="O142" s="40">
        <f t="shared" si="49"/>
        <v>6.3805759457933373</v>
      </c>
      <c r="P142" s="40">
        <f t="shared" si="50"/>
        <v>6.019151846785225</v>
      </c>
      <c r="Q142" s="40">
        <f t="shared" si="51"/>
        <v>6.7123287671232879</v>
      </c>
      <c r="R142" s="40">
        <f t="shared" si="52"/>
        <v>7.8436885015462465</v>
      </c>
      <c r="S142" s="40">
        <f t="shared" si="53"/>
        <v>8.44187168355041</v>
      </c>
      <c r="T142" s="40">
        <f t="shared" si="54"/>
        <v>9.0162207710132716</v>
      </c>
      <c r="U142" s="40">
        <f t="shared" si="55"/>
        <v>9.8662207357859515</v>
      </c>
      <c r="V142" s="40">
        <f t="shared" si="56"/>
        <v>10.492610837438423</v>
      </c>
      <c r="W142" s="40">
        <f t="shared" si="57"/>
        <v>12.217012726054923</v>
      </c>
      <c r="X142" s="40">
        <f t="shared" si="58"/>
        <v>11.849138784399129</v>
      </c>
      <c r="Y142" s="40">
        <f t="shared" si="59"/>
        <v>9.8842018196856891</v>
      </c>
    </row>
    <row r="143" spans="1:25" s="36" customFormat="1" ht="12.5" x14ac:dyDescent="0.25">
      <c r="A143" s="36">
        <v>2012</v>
      </c>
      <c r="B143" s="40">
        <v>10.4</v>
      </c>
      <c r="C143" s="40">
        <v>15.6</v>
      </c>
      <c r="D143" s="40">
        <v>18.3</v>
      </c>
      <c r="E143" s="40">
        <v>25.7</v>
      </c>
      <c r="F143" s="40">
        <v>36.1</v>
      </c>
      <c r="G143" s="40">
        <v>43.8</v>
      </c>
      <c r="H143" s="40">
        <v>50.7</v>
      </c>
      <c r="I143" s="40">
        <v>61.1</v>
      </c>
      <c r="J143" s="40">
        <v>76</v>
      </c>
      <c r="K143" s="40">
        <v>111.5</v>
      </c>
      <c r="L143" s="40">
        <v>44.9</v>
      </c>
      <c r="N143" s="36">
        <v>2012</v>
      </c>
      <c r="O143" s="40">
        <f t="shared" si="49"/>
        <v>5.3858104609010882</v>
      </c>
      <c r="P143" s="40">
        <f t="shared" si="50"/>
        <v>6.9861173309449169</v>
      </c>
      <c r="Q143" s="40">
        <f t="shared" si="51"/>
        <v>6.5031982942430702</v>
      </c>
      <c r="R143" s="40">
        <f t="shared" si="52"/>
        <v>7.0141921397379914</v>
      </c>
      <c r="S143" s="40">
        <f t="shared" si="53"/>
        <v>8.7663914521612423</v>
      </c>
      <c r="T143" s="40">
        <f t="shared" si="54"/>
        <v>9.0495867768595026</v>
      </c>
      <c r="U143" s="40">
        <f t="shared" si="55"/>
        <v>9.540835528791872</v>
      </c>
      <c r="V143" s="40">
        <f t="shared" si="56"/>
        <v>9.7092006991895765</v>
      </c>
      <c r="W143" s="40">
        <f t="shared" si="57"/>
        <v>10.693682285071056</v>
      </c>
      <c r="X143" s="40">
        <f t="shared" si="58"/>
        <v>10.53875236294896</v>
      </c>
      <c r="Y143" s="40">
        <f t="shared" si="59"/>
        <v>9.1820040899795501</v>
      </c>
    </row>
    <row r="144" spans="1:25" s="36" customFormat="1" ht="12.5" x14ac:dyDescent="0.25">
      <c r="A144" s="36">
        <v>2013</v>
      </c>
      <c r="B144" s="40">
        <v>10.1</v>
      </c>
      <c r="C144" s="40">
        <v>14.3</v>
      </c>
      <c r="D144" s="40">
        <v>21.3</v>
      </c>
      <c r="E144" s="40">
        <v>25.1</v>
      </c>
      <c r="F144" s="40">
        <v>33</v>
      </c>
      <c r="G144" s="40">
        <v>39.9</v>
      </c>
      <c r="H144" s="40">
        <v>54.1</v>
      </c>
      <c r="I144" s="40">
        <v>60.2</v>
      </c>
      <c r="J144" s="40">
        <v>73.8</v>
      </c>
      <c r="K144" s="40">
        <v>111.7</v>
      </c>
      <c r="L144" s="40">
        <v>44.3</v>
      </c>
      <c r="N144" s="36">
        <v>2013</v>
      </c>
      <c r="O144" s="40">
        <f t="shared" si="49"/>
        <v>5.1451859398879263</v>
      </c>
      <c r="P144" s="40">
        <f t="shared" si="50"/>
        <v>6.2363715656345402</v>
      </c>
      <c r="Q144" s="40">
        <f t="shared" si="51"/>
        <v>6.9021386908619569</v>
      </c>
      <c r="R144" s="40">
        <f t="shared" si="52"/>
        <v>6.6684378320935185</v>
      </c>
      <c r="S144" s="40">
        <f t="shared" si="53"/>
        <v>7.4542579625028234</v>
      </c>
      <c r="T144" s="40">
        <f t="shared" si="54"/>
        <v>7.7566096423017106</v>
      </c>
      <c r="U144" s="40">
        <f t="shared" si="55"/>
        <v>9.4563887432267091</v>
      </c>
      <c r="V144" s="40">
        <f t="shared" si="56"/>
        <v>9.3623639191290824</v>
      </c>
      <c r="W144" s="40">
        <f t="shared" si="57"/>
        <v>9.5546349041947174</v>
      </c>
      <c r="X144" s="40">
        <f t="shared" si="58"/>
        <v>9.9812349209185971</v>
      </c>
      <c r="Y144" s="40">
        <f t="shared" si="59"/>
        <v>8.5636961144403632</v>
      </c>
    </row>
    <row r="145" spans="1:25" s="36" customFormat="1" ht="12.5" x14ac:dyDescent="0.25">
      <c r="A145" s="36">
        <v>2014</v>
      </c>
      <c r="B145" s="40">
        <v>11.1</v>
      </c>
      <c r="C145" s="40">
        <v>15.5</v>
      </c>
      <c r="D145" s="40">
        <v>22.3</v>
      </c>
      <c r="E145" s="40">
        <v>25.1</v>
      </c>
      <c r="F145" s="40">
        <v>35.200000000000003</v>
      </c>
      <c r="G145" s="40">
        <v>45</v>
      </c>
      <c r="H145" s="40">
        <v>51.4</v>
      </c>
      <c r="I145" s="40">
        <v>66</v>
      </c>
      <c r="J145" s="40">
        <v>71.3</v>
      </c>
      <c r="K145" s="40">
        <v>120.1</v>
      </c>
      <c r="L145" s="40">
        <v>46.3</v>
      </c>
      <c r="N145" s="36">
        <v>2014</v>
      </c>
      <c r="O145" s="40">
        <f t="shared" si="49"/>
        <v>5.829831932773109</v>
      </c>
      <c r="P145" s="40">
        <f t="shared" si="50"/>
        <v>6.2124248496993983</v>
      </c>
      <c r="Q145" s="40">
        <f t="shared" si="51"/>
        <v>6.9774718397997493</v>
      </c>
      <c r="R145" s="40">
        <f t="shared" si="52"/>
        <v>6.6879829469757528</v>
      </c>
      <c r="S145" s="40">
        <f t="shared" si="53"/>
        <v>7.9118903124297608</v>
      </c>
      <c r="T145" s="40">
        <f t="shared" si="54"/>
        <v>8.6621751684311832</v>
      </c>
      <c r="U145" s="40">
        <f t="shared" si="55"/>
        <v>8.6604886267902277</v>
      </c>
      <c r="V145" s="40">
        <f t="shared" si="56"/>
        <v>9.6237970253718288</v>
      </c>
      <c r="W145" s="40">
        <f t="shared" si="57"/>
        <v>9.1363403382880577</v>
      </c>
      <c r="X145" s="40">
        <f t="shared" si="58"/>
        <v>10.390172160221471</v>
      </c>
      <c r="Y145" s="40">
        <f t="shared" si="59"/>
        <v>8.7144739318652373</v>
      </c>
    </row>
    <row r="146" spans="1:25" s="36" customFormat="1" ht="12.5" x14ac:dyDescent="0.25">
      <c r="A146" s="36" t="s">
        <v>45</v>
      </c>
      <c r="B146" s="40">
        <v>10</v>
      </c>
      <c r="C146" s="40">
        <v>15.8</v>
      </c>
      <c r="D146" s="40">
        <v>21</v>
      </c>
      <c r="E146" s="40">
        <v>25.4</v>
      </c>
      <c r="F146" s="40">
        <v>37.5</v>
      </c>
      <c r="G146" s="40">
        <v>38.1</v>
      </c>
      <c r="H146" s="40">
        <v>48.7</v>
      </c>
      <c r="I146" s="40">
        <v>60.2</v>
      </c>
      <c r="J146" s="40">
        <v>69.3</v>
      </c>
      <c r="K146" s="40">
        <v>147</v>
      </c>
      <c r="L146" s="40">
        <v>47.3</v>
      </c>
      <c r="N146" s="36" t="s">
        <v>45</v>
      </c>
      <c r="O146" s="40">
        <f t="shared" si="49"/>
        <v>5.5555555555555554</v>
      </c>
      <c r="P146" s="40">
        <f t="shared" si="50"/>
        <v>6.0513213328226731</v>
      </c>
      <c r="Q146" s="40">
        <f t="shared" si="51"/>
        <v>6.8181818181818175</v>
      </c>
      <c r="R146" s="40">
        <f t="shared" si="52"/>
        <v>6.8611561318206382</v>
      </c>
      <c r="S146" s="40">
        <f t="shared" si="53"/>
        <v>8.1081081081081088</v>
      </c>
      <c r="T146" s="40">
        <f t="shared" si="54"/>
        <v>7.0165745856353583</v>
      </c>
      <c r="U146" s="40">
        <f t="shared" si="55"/>
        <v>8.2950093680803949</v>
      </c>
      <c r="V146" s="40">
        <f t="shared" si="56"/>
        <v>9.0964037473556978</v>
      </c>
      <c r="W146" s="40">
        <f t="shared" si="57"/>
        <v>8.8846153846153832</v>
      </c>
      <c r="X146" s="40">
        <f t="shared" si="58"/>
        <v>12.937863052279527</v>
      </c>
      <c r="Y146" s="40">
        <f t="shared" si="59"/>
        <v>8.9430894308943092</v>
      </c>
    </row>
    <row r="147" spans="1:25" s="36" customFormat="1" ht="12.5" x14ac:dyDescent="0.25">
      <c r="A147" s="36" t="s">
        <v>46</v>
      </c>
      <c r="B147" s="40">
        <v>12.9</v>
      </c>
      <c r="C147" s="40">
        <v>15.4</v>
      </c>
      <c r="D147" s="40">
        <v>22</v>
      </c>
      <c r="E147" s="40">
        <v>27.8</v>
      </c>
      <c r="F147" s="40">
        <v>35.5</v>
      </c>
      <c r="G147" s="40">
        <v>41.7</v>
      </c>
      <c r="H147" s="40">
        <v>49.4</v>
      </c>
      <c r="I147" s="40">
        <v>63</v>
      </c>
      <c r="J147" s="40">
        <v>76.3</v>
      </c>
      <c r="K147" s="40">
        <v>114.3</v>
      </c>
      <c r="L147" s="40">
        <v>45.8</v>
      </c>
      <c r="N147" s="36" t="s">
        <v>46</v>
      </c>
      <c r="O147" s="40">
        <f t="shared" si="49"/>
        <v>6.2258687258687262</v>
      </c>
      <c r="P147" s="40">
        <f t="shared" si="50"/>
        <v>5.8113207547169807</v>
      </c>
      <c r="Q147" s="40">
        <f t="shared" si="51"/>
        <v>6.524317912218268</v>
      </c>
      <c r="R147" s="40">
        <f t="shared" si="52"/>
        <v>6.5535124941065543</v>
      </c>
      <c r="S147" s="40">
        <f t="shared" si="53"/>
        <v>7.0144240268721596</v>
      </c>
      <c r="T147" s="40">
        <f t="shared" si="54"/>
        <v>7.5365985902765233</v>
      </c>
      <c r="U147" s="40">
        <f t="shared" si="55"/>
        <v>8.0877537655533729</v>
      </c>
      <c r="V147" s="40">
        <f t="shared" si="56"/>
        <v>8.9781958101752881</v>
      </c>
      <c r="W147" s="40">
        <f t="shared" si="57"/>
        <v>9.3082835183603745</v>
      </c>
      <c r="X147" s="40">
        <f t="shared" si="58"/>
        <v>10.234598853868194</v>
      </c>
      <c r="Y147" s="40">
        <f t="shared" si="59"/>
        <v>8.2641645615301318</v>
      </c>
    </row>
    <row r="148" spans="1:25" s="36" customFormat="1" ht="12.5" x14ac:dyDescent="0.25">
      <c r="A148" s="36" t="s">
        <v>47</v>
      </c>
      <c r="B148" s="40">
        <v>12.2</v>
      </c>
      <c r="C148" s="40">
        <v>17.899999999999999</v>
      </c>
      <c r="D148" s="40">
        <v>22.5</v>
      </c>
      <c r="E148" s="40">
        <v>27.7</v>
      </c>
      <c r="F148" s="40">
        <v>36</v>
      </c>
      <c r="G148" s="40">
        <v>44.2</v>
      </c>
      <c r="H148" s="40">
        <v>55.2</v>
      </c>
      <c r="I148" s="40">
        <v>64.3</v>
      </c>
      <c r="J148" s="40">
        <v>76</v>
      </c>
      <c r="K148" s="40">
        <v>110.3</v>
      </c>
      <c r="L148" s="40">
        <v>46.6</v>
      </c>
      <c r="N148" s="36" t="s">
        <v>47</v>
      </c>
      <c r="O148" s="40">
        <f t="shared" si="49"/>
        <v>5.7330827067669166</v>
      </c>
      <c r="P148" s="40">
        <f t="shared" si="50"/>
        <v>6.7470787787410478</v>
      </c>
      <c r="Q148" s="40">
        <f t="shared" si="51"/>
        <v>6.3078216989066442</v>
      </c>
      <c r="R148" s="40">
        <f t="shared" si="52"/>
        <v>6.5453686200378076</v>
      </c>
      <c r="S148" s="40">
        <f t="shared" si="53"/>
        <v>7.4028377544725483</v>
      </c>
      <c r="T148" s="40">
        <f t="shared" si="54"/>
        <v>7.6246334310850443</v>
      </c>
      <c r="U148" s="40">
        <f t="shared" si="55"/>
        <v>8.5887661428349151</v>
      </c>
      <c r="V148" s="40">
        <f t="shared" si="56"/>
        <v>8.788955713504647</v>
      </c>
      <c r="W148" s="40">
        <f t="shared" si="57"/>
        <v>9.1954022988505741</v>
      </c>
      <c r="X148" s="40">
        <f t="shared" si="58"/>
        <v>8.9398605932890263</v>
      </c>
      <c r="Y148" s="40">
        <f t="shared" si="59"/>
        <v>8.0944936598923043</v>
      </c>
    </row>
    <row r="149" spans="1:25" s="36" customFormat="1" ht="12.5" x14ac:dyDescent="0.25">
      <c r="A149" s="36" t="s">
        <v>48</v>
      </c>
      <c r="B149" s="40">
        <v>15.2</v>
      </c>
      <c r="C149" s="40">
        <v>19.8</v>
      </c>
      <c r="D149" s="40">
        <v>23.7</v>
      </c>
      <c r="E149" s="40">
        <v>32.299999999999997</v>
      </c>
      <c r="F149" s="40">
        <v>36.6</v>
      </c>
      <c r="G149" s="40">
        <v>46.6</v>
      </c>
      <c r="H149" s="40">
        <v>52.1</v>
      </c>
      <c r="I149" s="40">
        <v>64.5</v>
      </c>
      <c r="J149" s="40">
        <v>71.8</v>
      </c>
      <c r="K149" s="40">
        <v>109.1</v>
      </c>
      <c r="L149" s="40">
        <v>47.2</v>
      </c>
      <c r="N149" s="36" t="s">
        <v>48</v>
      </c>
      <c r="O149" s="40">
        <f t="shared" si="49"/>
        <v>6.4162093710426333</v>
      </c>
      <c r="P149" s="40">
        <f t="shared" si="50"/>
        <v>6.7901234567901234</v>
      </c>
      <c r="Q149" s="40">
        <f t="shared" si="51"/>
        <v>6.552391484655792</v>
      </c>
      <c r="R149" s="40">
        <f t="shared" si="52"/>
        <v>7.4372553534423211</v>
      </c>
      <c r="S149" s="40">
        <f t="shared" si="53"/>
        <v>6.9383886255924176</v>
      </c>
      <c r="T149" s="40">
        <f t="shared" si="54"/>
        <v>7.9117147707979631</v>
      </c>
      <c r="U149" s="40">
        <f t="shared" si="55"/>
        <v>8.0925753339546453</v>
      </c>
      <c r="V149" s="40">
        <f t="shared" si="56"/>
        <v>8.5725677830940992</v>
      </c>
      <c r="W149" s="40">
        <f t="shared" si="57"/>
        <v>8.2169832913710223</v>
      </c>
      <c r="X149" s="40">
        <f t="shared" si="58"/>
        <v>9.0210021498263586</v>
      </c>
      <c r="Y149" s="40">
        <f t="shared" si="59"/>
        <v>7.9729729729729737</v>
      </c>
    </row>
    <row r="150" spans="1:25" s="36" customFormat="1" ht="12.5" x14ac:dyDescent="0.25">
      <c r="A150" s="36" t="s">
        <v>49</v>
      </c>
      <c r="B150" s="40">
        <v>16.5</v>
      </c>
      <c r="C150" s="40">
        <v>19.2</v>
      </c>
      <c r="D150" s="40">
        <v>25.4</v>
      </c>
      <c r="E150" s="40">
        <v>30.7</v>
      </c>
      <c r="F150" s="40">
        <v>40</v>
      </c>
      <c r="G150" s="40">
        <v>46.9</v>
      </c>
      <c r="H150" s="40">
        <v>57.5</v>
      </c>
      <c r="I150" s="40">
        <v>69.2</v>
      </c>
      <c r="J150" s="40">
        <v>82.3</v>
      </c>
      <c r="K150" s="40">
        <v>116.6</v>
      </c>
      <c r="L150" s="40">
        <v>50.4</v>
      </c>
      <c r="N150" s="36" t="s">
        <v>49</v>
      </c>
      <c r="O150" s="40">
        <f t="shared" si="49"/>
        <v>6.7374438546345452</v>
      </c>
      <c r="P150" s="40">
        <f t="shared" si="50"/>
        <v>6.6875653082549631</v>
      </c>
      <c r="Q150" s="40">
        <f t="shared" si="51"/>
        <v>6.9933920704845818</v>
      </c>
      <c r="R150" s="40">
        <f t="shared" si="52"/>
        <v>7.0412844036697244</v>
      </c>
      <c r="S150" s="40">
        <f t="shared" si="53"/>
        <v>7.7654824305960002</v>
      </c>
      <c r="T150" s="40">
        <f t="shared" si="54"/>
        <v>8.0280725778842843</v>
      </c>
      <c r="U150" s="40">
        <f t="shared" si="55"/>
        <v>8.8393543428132197</v>
      </c>
      <c r="V150" s="40">
        <f t="shared" si="56"/>
        <v>9.0825567659797883</v>
      </c>
      <c r="W150" s="40">
        <f t="shared" si="57"/>
        <v>9.8303870043000465</v>
      </c>
      <c r="X150" s="40">
        <f t="shared" si="58"/>
        <v>9.7207169654022501</v>
      </c>
      <c r="Y150" s="40">
        <f t="shared" si="59"/>
        <v>8.5728865453308387</v>
      </c>
    </row>
    <row r="151" spans="1:25" x14ac:dyDescent="0.35">
      <c r="A151" s="36" t="s">
        <v>50</v>
      </c>
      <c r="B151" s="40">
        <v>18.600000000000001</v>
      </c>
      <c r="C151" s="40">
        <v>19.899999999999999</v>
      </c>
      <c r="D151" s="40">
        <v>28.8</v>
      </c>
      <c r="E151" s="40">
        <v>35.299999999999997</v>
      </c>
      <c r="F151" s="40">
        <v>38.9</v>
      </c>
      <c r="G151" s="40">
        <v>49.5</v>
      </c>
      <c r="H151" s="40">
        <v>58.1</v>
      </c>
      <c r="I151" s="40">
        <v>65.7</v>
      </c>
      <c r="J151" s="40">
        <v>79.7</v>
      </c>
      <c r="K151" s="40">
        <v>125.3</v>
      </c>
      <c r="L151" s="40">
        <v>52</v>
      </c>
      <c r="N151" s="36" t="s">
        <v>50</v>
      </c>
      <c r="O151" s="40">
        <f t="shared" si="49"/>
        <v>9.207920792079209</v>
      </c>
      <c r="P151" s="40">
        <f t="shared" si="50"/>
        <v>7.9441117764471052</v>
      </c>
      <c r="Q151" s="40">
        <f t="shared" si="51"/>
        <v>8.3429895712630362</v>
      </c>
      <c r="R151" s="40">
        <f t="shared" si="52"/>
        <v>10.140764148233265</v>
      </c>
      <c r="S151" s="40">
        <f t="shared" si="53"/>
        <v>8.9445849620602438</v>
      </c>
      <c r="T151" s="40">
        <f t="shared" si="54"/>
        <v>10.204081632653059</v>
      </c>
      <c r="U151" s="40">
        <f t="shared" si="55"/>
        <v>11.281553398058254</v>
      </c>
      <c r="V151" s="40">
        <f t="shared" si="56"/>
        <v>10.804144055254069</v>
      </c>
      <c r="W151" s="40">
        <f t="shared" si="57"/>
        <v>11.631640396964389</v>
      </c>
      <c r="X151" s="40">
        <f t="shared" si="58"/>
        <v>13.311377881653033</v>
      </c>
      <c r="Y151" s="40">
        <f t="shared" si="59"/>
        <v>10.799584631360332</v>
      </c>
    </row>
    <row r="152" spans="1:25" x14ac:dyDescent="0.35">
      <c r="A152" s="36" t="s">
        <v>51</v>
      </c>
      <c r="B152" s="40">
        <v>17.899999999999999</v>
      </c>
      <c r="C152" s="40">
        <v>20.8</v>
      </c>
      <c r="D152" s="40">
        <v>27</v>
      </c>
      <c r="E152" s="40">
        <v>35.9</v>
      </c>
      <c r="F152" s="40">
        <v>41.2</v>
      </c>
      <c r="G152" s="40">
        <v>47.6</v>
      </c>
      <c r="H152" s="40">
        <v>56.1</v>
      </c>
      <c r="I152" s="40">
        <v>70.599999999999994</v>
      </c>
      <c r="J152" s="40">
        <v>86.5</v>
      </c>
      <c r="K152" s="40">
        <v>121.3</v>
      </c>
      <c r="L152" s="40">
        <v>52.5</v>
      </c>
      <c r="N152" s="36" t="s">
        <v>51</v>
      </c>
      <c r="O152" s="40">
        <f t="shared" si="49"/>
        <v>7.1031746031746028</v>
      </c>
      <c r="P152" s="40">
        <f t="shared" si="50"/>
        <v>7.3342736248236946</v>
      </c>
      <c r="Q152" s="40">
        <f t="shared" si="51"/>
        <v>7.723112128146453</v>
      </c>
      <c r="R152" s="40">
        <f t="shared" si="52"/>
        <v>8.677785835146242</v>
      </c>
      <c r="S152" s="40">
        <f t="shared" si="53"/>
        <v>8.4253578732106345</v>
      </c>
      <c r="T152" s="40">
        <f t="shared" si="54"/>
        <v>9.2661086237103376</v>
      </c>
      <c r="U152" s="40">
        <f t="shared" si="55"/>
        <v>9.8179908995449772</v>
      </c>
      <c r="V152" s="40">
        <f t="shared" si="56"/>
        <v>10.67917107850552</v>
      </c>
      <c r="W152" s="40">
        <f t="shared" si="57"/>
        <v>11.496544391281233</v>
      </c>
      <c r="X152" s="40">
        <f t="shared" si="58"/>
        <v>12.097337189588112</v>
      </c>
      <c r="Y152" s="40">
        <f t="shared" si="59"/>
        <v>9.9281391830559773</v>
      </c>
    </row>
    <row r="153" spans="1:25" x14ac:dyDescent="0.35">
      <c r="A153" s="36" t="s">
        <v>52</v>
      </c>
      <c r="B153" s="40">
        <v>18.5</v>
      </c>
      <c r="C153" s="40">
        <v>20.9</v>
      </c>
      <c r="D153" s="40">
        <v>27.7</v>
      </c>
      <c r="E153" s="40">
        <v>34.5</v>
      </c>
      <c r="F153" s="40">
        <v>41.1</v>
      </c>
      <c r="G153" s="40">
        <v>50.5</v>
      </c>
      <c r="H153" s="40">
        <v>61.8</v>
      </c>
      <c r="I153" s="40">
        <v>69.599999999999994</v>
      </c>
      <c r="J153" s="40">
        <v>85.5</v>
      </c>
      <c r="K153" s="40">
        <v>123.2</v>
      </c>
      <c r="L153" s="40">
        <v>53.3</v>
      </c>
      <c r="N153" s="36" t="s">
        <v>52</v>
      </c>
      <c r="O153" s="40">
        <f t="shared" si="49"/>
        <v>7.063764795723559</v>
      </c>
      <c r="P153" s="40">
        <f t="shared" si="50"/>
        <v>6.5764631843926988</v>
      </c>
      <c r="Q153" s="40">
        <f t="shared" si="51"/>
        <v>6.8530430479960422</v>
      </c>
      <c r="R153" s="40">
        <f t="shared" si="52"/>
        <v>7.4002574002573995</v>
      </c>
      <c r="S153" s="40">
        <f t="shared" si="53"/>
        <v>8.0762428767930849</v>
      </c>
      <c r="T153" s="40">
        <f t="shared" si="54"/>
        <v>8.7688834867164438</v>
      </c>
      <c r="U153" s="40">
        <f t="shared" si="55"/>
        <v>10.127826941986234</v>
      </c>
      <c r="V153" s="40">
        <f t="shared" si="56"/>
        <v>9.8291201807654272</v>
      </c>
      <c r="W153" s="40">
        <f t="shared" si="57"/>
        <v>10.733115741903088</v>
      </c>
      <c r="X153" s="40">
        <f t="shared" si="58"/>
        <v>11.964649898028552</v>
      </c>
      <c r="Y153" s="40">
        <f t="shared" si="59"/>
        <v>9.3887616698960699</v>
      </c>
    </row>
    <row r="154" spans="1:25" x14ac:dyDescent="0.35">
      <c r="A154" s="36" t="s">
        <v>53</v>
      </c>
      <c r="B154" s="40">
        <v>20</v>
      </c>
      <c r="C154" s="40">
        <v>21.6</v>
      </c>
      <c r="D154" s="40">
        <v>30.2</v>
      </c>
      <c r="E154" s="40">
        <v>39.4</v>
      </c>
      <c r="F154" s="40">
        <v>45.6</v>
      </c>
      <c r="G154" s="40">
        <v>57.8</v>
      </c>
      <c r="H154" s="40">
        <v>67.7</v>
      </c>
      <c r="I154" s="40">
        <v>81.099999999999994</v>
      </c>
      <c r="J154" s="40">
        <v>97.1</v>
      </c>
      <c r="K154" s="40">
        <v>141.1</v>
      </c>
      <c r="L154" s="40">
        <v>60.2</v>
      </c>
      <c r="N154" s="36" t="s">
        <v>53</v>
      </c>
      <c r="O154" s="40">
        <f t="shared" si="49"/>
        <v>7.0028011204481793</v>
      </c>
      <c r="P154" s="40">
        <f t="shared" si="50"/>
        <v>6.7732831608654758</v>
      </c>
      <c r="Q154" s="40">
        <f t="shared" si="51"/>
        <v>7.0975323149236189</v>
      </c>
      <c r="R154" s="40">
        <f t="shared" si="52"/>
        <v>7.9821717990275518</v>
      </c>
      <c r="S154" s="40">
        <f t="shared" si="53"/>
        <v>7.8920041536863978</v>
      </c>
      <c r="T154" s="40">
        <f t="shared" si="54"/>
        <v>9.5050156224305216</v>
      </c>
      <c r="U154" s="40">
        <f t="shared" si="55"/>
        <v>9.694973507088644</v>
      </c>
      <c r="V154" s="40">
        <f t="shared" si="56"/>
        <v>10.550279692988159</v>
      </c>
      <c r="W154" s="40">
        <f t="shared" si="57"/>
        <v>10.999093792478478</v>
      </c>
      <c r="X154" s="40">
        <f t="shared" si="58"/>
        <v>12.015668909137359</v>
      </c>
      <c r="Y154" s="40">
        <f t="shared" si="59"/>
        <v>9.6582704957484378</v>
      </c>
    </row>
    <row r="156" spans="1:25" s="36" customFormat="1" ht="13" x14ac:dyDescent="0.3">
      <c r="A156" s="35" t="s">
        <v>59</v>
      </c>
      <c r="N156" s="35" t="s">
        <v>59</v>
      </c>
    </row>
    <row r="157" spans="1:25" s="36" customFormat="1" ht="13" x14ac:dyDescent="0.3">
      <c r="B157" s="62" t="s">
        <v>25</v>
      </c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O157" s="62" t="s">
        <v>25</v>
      </c>
      <c r="P157" s="62"/>
      <c r="Q157" s="62"/>
      <c r="R157" s="62"/>
      <c r="S157" s="62"/>
      <c r="T157" s="62"/>
      <c r="U157" s="62"/>
      <c r="V157" s="62"/>
      <c r="W157" s="62"/>
      <c r="X157" s="62"/>
      <c r="Y157" s="62"/>
    </row>
    <row r="158" spans="1:25" s="36" customFormat="1" ht="12.5" x14ac:dyDescent="0.25">
      <c r="B158" s="37" t="s">
        <v>34</v>
      </c>
      <c r="C158" s="38" t="s">
        <v>35</v>
      </c>
      <c r="D158" s="39" t="s">
        <v>36</v>
      </c>
      <c r="E158" s="39" t="s">
        <v>37</v>
      </c>
      <c r="F158" s="39" t="s">
        <v>38</v>
      </c>
      <c r="G158" s="39" t="s">
        <v>39</v>
      </c>
      <c r="H158" s="39" t="s">
        <v>40</v>
      </c>
      <c r="I158" s="39" t="s">
        <v>41</v>
      </c>
      <c r="J158" s="39" t="s">
        <v>42</v>
      </c>
      <c r="K158" s="39" t="s">
        <v>43</v>
      </c>
      <c r="L158" s="37" t="s">
        <v>44</v>
      </c>
      <c r="O158" s="37" t="s">
        <v>34</v>
      </c>
      <c r="P158" s="38" t="s">
        <v>35</v>
      </c>
      <c r="Q158" s="39" t="s">
        <v>36</v>
      </c>
      <c r="R158" s="39" t="s">
        <v>37</v>
      </c>
      <c r="S158" s="39" t="s">
        <v>38</v>
      </c>
      <c r="T158" s="39" t="s">
        <v>39</v>
      </c>
      <c r="U158" s="39" t="s">
        <v>40</v>
      </c>
      <c r="V158" s="39" t="s">
        <v>41</v>
      </c>
      <c r="W158" s="39" t="s">
        <v>42</v>
      </c>
      <c r="X158" s="39" t="s">
        <v>43</v>
      </c>
      <c r="Y158" s="37" t="s">
        <v>44</v>
      </c>
    </row>
    <row r="159" spans="1:25" s="36" customFormat="1" ht="12.5" x14ac:dyDescent="0.25">
      <c r="A159" s="36">
        <v>1997</v>
      </c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N159" s="36">
        <v>1997</v>
      </c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</row>
    <row r="160" spans="1:25" s="36" customFormat="1" ht="12.5" x14ac:dyDescent="0.25">
      <c r="A160" s="36">
        <v>1998</v>
      </c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N160" s="36">
        <v>1998</v>
      </c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</row>
    <row r="161" spans="1:25" s="36" customFormat="1" ht="12.5" x14ac:dyDescent="0.25">
      <c r="A161" s="36">
        <v>1999</v>
      </c>
      <c r="B161" s="40">
        <f>B6+B37+B68+B130</f>
        <v>43.699999999999996</v>
      </c>
      <c r="C161" s="40">
        <f t="shared" ref="C161:K161" si="60">C6+C37+C68+C130</f>
        <v>55.7</v>
      </c>
      <c r="D161" s="40">
        <f t="shared" si="60"/>
        <v>63.5</v>
      </c>
      <c r="E161" s="40">
        <f t="shared" si="60"/>
        <v>75.7</v>
      </c>
      <c r="F161" s="40">
        <f t="shared" si="60"/>
        <v>86.899999999999991</v>
      </c>
      <c r="G161" s="40">
        <f t="shared" si="60"/>
        <v>100.2</v>
      </c>
      <c r="H161" s="40">
        <f t="shared" si="60"/>
        <v>111.19999999999999</v>
      </c>
      <c r="I161" s="40">
        <f t="shared" si="60"/>
        <v>124.09999999999998</v>
      </c>
      <c r="J161" s="40">
        <f t="shared" si="60"/>
        <v>138.5</v>
      </c>
      <c r="K161" s="40">
        <f t="shared" si="60"/>
        <v>167.4</v>
      </c>
      <c r="L161" s="40">
        <f>L6+L37+L68+L130</f>
        <v>96.600000000000009</v>
      </c>
      <c r="N161" s="36">
        <v>1999</v>
      </c>
      <c r="O161" s="40">
        <f>O6+O37+O68+O130</f>
        <v>36.507936507936506</v>
      </c>
      <c r="P161" s="40">
        <f t="shared" ref="P161:Y161" si="61">P6+P37+P68+P130</f>
        <v>37.94277929155313</v>
      </c>
      <c r="Q161" s="40">
        <f t="shared" si="61"/>
        <v>35.654126895002811</v>
      </c>
      <c r="R161" s="40">
        <f t="shared" si="61"/>
        <v>30.923202614379086</v>
      </c>
      <c r="S161" s="40">
        <f t="shared" si="61"/>
        <v>28.966666666666669</v>
      </c>
      <c r="T161" s="40">
        <f t="shared" si="61"/>
        <v>27.694859038142621</v>
      </c>
      <c r="U161" s="40">
        <f t="shared" si="61"/>
        <v>26.931460402034396</v>
      </c>
      <c r="V161" s="40">
        <f t="shared" si="61"/>
        <v>25.757575757575758</v>
      </c>
      <c r="W161" s="40">
        <f t="shared" si="61"/>
        <v>24.504600141542817</v>
      </c>
      <c r="X161" s="40">
        <f t="shared" si="61"/>
        <v>21.39297124600639</v>
      </c>
      <c r="Y161" s="40">
        <f t="shared" si="61"/>
        <v>26.878130217028385</v>
      </c>
    </row>
    <row r="162" spans="1:25" s="36" customFormat="1" ht="12.5" x14ac:dyDescent="0.25">
      <c r="A162" s="36">
        <v>2000</v>
      </c>
      <c r="B162" s="40">
        <f t="shared" ref="B162:L162" si="62">B7+B38+B69+B131</f>
        <v>45.5259</v>
      </c>
      <c r="C162" s="40">
        <f t="shared" si="62"/>
        <v>56.43010000000001</v>
      </c>
      <c r="D162" s="40">
        <f t="shared" si="62"/>
        <v>73.346800000000002</v>
      </c>
      <c r="E162" s="40">
        <f t="shared" si="62"/>
        <v>79.506399999999999</v>
      </c>
      <c r="F162" s="40">
        <f t="shared" si="62"/>
        <v>92.708299999999994</v>
      </c>
      <c r="G162" s="40">
        <f t="shared" si="62"/>
        <v>102.7029</v>
      </c>
      <c r="H162" s="40">
        <f t="shared" si="62"/>
        <v>117.66830000000002</v>
      </c>
      <c r="I162" s="40">
        <f t="shared" si="62"/>
        <v>128.69999999999999</v>
      </c>
      <c r="J162" s="40">
        <f t="shared" si="62"/>
        <v>141.39100000000002</v>
      </c>
      <c r="K162" s="40">
        <f t="shared" si="62"/>
        <v>177.24369999999999</v>
      </c>
      <c r="L162" s="40">
        <f t="shared" si="62"/>
        <v>101.53530000000001</v>
      </c>
      <c r="N162" s="36">
        <v>2000</v>
      </c>
      <c r="O162" s="40">
        <f t="shared" ref="O162:Y162" si="63">O7+O38+O69+O131</f>
        <v>35.945321555239033</v>
      </c>
      <c r="P162" s="40">
        <f t="shared" si="63"/>
        <v>36.69166958179504</v>
      </c>
      <c r="Q162" s="40">
        <f t="shared" si="63"/>
        <v>34.094793704715514</v>
      </c>
      <c r="R162" s="40">
        <f t="shared" si="63"/>
        <v>29.812425568677799</v>
      </c>
      <c r="S162" s="40">
        <f t="shared" si="63"/>
        <v>28.177315796272239</v>
      </c>
      <c r="T162" s="40">
        <f t="shared" si="63"/>
        <v>27.74288180164265</v>
      </c>
      <c r="U162" s="40">
        <f t="shared" si="63"/>
        <v>26.262560657861322</v>
      </c>
      <c r="V162" s="40">
        <f t="shared" si="63"/>
        <v>25.715292746728945</v>
      </c>
      <c r="W162" s="40">
        <f t="shared" si="63"/>
        <v>23.671090853052267</v>
      </c>
      <c r="X162" s="40">
        <f t="shared" si="63"/>
        <v>20.875752761056297</v>
      </c>
      <c r="Y162" s="40">
        <f t="shared" si="63"/>
        <v>26.323795074520994</v>
      </c>
    </row>
    <row r="163" spans="1:25" s="36" customFormat="1" ht="12.5" x14ac:dyDescent="0.25">
      <c r="A163" s="36">
        <v>2001</v>
      </c>
      <c r="B163" s="40">
        <f t="shared" ref="B163:L163" si="64">B8+B39+B70+B132</f>
        <v>39.655200000000001</v>
      </c>
      <c r="C163" s="40">
        <f t="shared" si="64"/>
        <v>52.431400000000004</v>
      </c>
      <c r="D163" s="40">
        <f t="shared" si="64"/>
        <v>65.333499999999987</v>
      </c>
      <c r="E163" s="40">
        <f t="shared" si="64"/>
        <v>80.334199999999996</v>
      </c>
      <c r="F163" s="40">
        <f t="shared" si="64"/>
        <v>93.485599999999991</v>
      </c>
      <c r="G163" s="40">
        <f t="shared" si="64"/>
        <v>106.48350000000001</v>
      </c>
      <c r="H163" s="40">
        <f t="shared" si="64"/>
        <v>127.87260000000001</v>
      </c>
      <c r="I163" s="40">
        <f t="shared" si="64"/>
        <v>143.3511</v>
      </c>
      <c r="J163" s="40">
        <f t="shared" si="64"/>
        <v>162.73269999999999</v>
      </c>
      <c r="K163" s="40">
        <f t="shared" si="64"/>
        <v>203.8407</v>
      </c>
      <c r="L163" s="40">
        <f t="shared" si="64"/>
        <v>107.5573</v>
      </c>
      <c r="N163" s="36">
        <v>2001</v>
      </c>
      <c r="O163" s="40">
        <f t="shared" ref="O163:Y163" si="65">O8+O39+O70+O132</f>
        <v>30.970245128781052</v>
      </c>
      <c r="P163" s="40">
        <f t="shared" si="65"/>
        <v>30.603062092264334</v>
      </c>
      <c r="Q163" s="40">
        <f t="shared" si="65"/>
        <v>30.057268150939851</v>
      </c>
      <c r="R163" s="40">
        <f t="shared" si="65"/>
        <v>28.749825534579941</v>
      </c>
      <c r="S163" s="40">
        <f t="shared" si="65"/>
        <v>29.031613931234475</v>
      </c>
      <c r="T163" s="40">
        <f t="shared" si="65"/>
        <v>27.376233181896595</v>
      </c>
      <c r="U163" s="40">
        <f t="shared" si="65"/>
        <v>28.452571593353888</v>
      </c>
      <c r="V163" s="40">
        <f t="shared" si="65"/>
        <v>27.058736922575982</v>
      </c>
      <c r="W163" s="40">
        <f t="shared" si="65"/>
        <v>26.757364730225028</v>
      </c>
      <c r="X163" s="40">
        <f t="shared" si="65"/>
        <v>22.944757736315616</v>
      </c>
      <c r="Y163" s="40">
        <f t="shared" si="65"/>
        <v>27.003170366264168</v>
      </c>
    </row>
    <row r="164" spans="1:25" s="36" customFormat="1" ht="12.5" x14ac:dyDescent="0.25">
      <c r="A164" s="36">
        <v>2002</v>
      </c>
      <c r="B164" s="40">
        <f t="shared" ref="B164:L164" si="66">B9+B40+B71+B133</f>
        <v>39.680399999999999</v>
      </c>
      <c r="C164" s="40">
        <f t="shared" si="66"/>
        <v>50.503600000000006</v>
      </c>
      <c r="D164" s="40">
        <f t="shared" si="66"/>
        <v>65.162800000000004</v>
      </c>
      <c r="E164" s="40">
        <f t="shared" si="66"/>
        <v>82.253</v>
      </c>
      <c r="F164" s="40">
        <f t="shared" si="66"/>
        <v>92.911799999999999</v>
      </c>
      <c r="G164" s="40">
        <f t="shared" si="66"/>
        <v>111.34869999999999</v>
      </c>
      <c r="H164" s="40">
        <f t="shared" si="66"/>
        <v>126.9485</v>
      </c>
      <c r="I164" s="40">
        <f t="shared" si="66"/>
        <v>145.50490000000002</v>
      </c>
      <c r="J164" s="40">
        <f t="shared" si="66"/>
        <v>162.76949999999999</v>
      </c>
      <c r="K164" s="40">
        <f t="shared" si="66"/>
        <v>209.87060000000002</v>
      </c>
      <c r="L164" s="40">
        <f t="shared" si="66"/>
        <v>108.6827</v>
      </c>
      <c r="N164" s="36">
        <v>2002</v>
      </c>
      <c r="O164" s="40">
        <f t="shared" ref="O164:Y164" si="67">O9+O40+O71+O133</f>
        <v>29.270365307885292</v>
      </c>
      <c r="P164" s="40">
        <f t="shared" si="67"/>
        <v>29.814560747707688</v>
      </c>
      <c r="Q164" s="40">
        <f t="shared" si="67"/>
        <v>29.696259872123811</v>
      </c>
      <c r="R164" s="40">
        <f t="shared" si="67"/>
        <v>27.867315084662728</v>
      </c>
      <c r="S164" s="40">
        <f t="shared" si="67"/>
        <v>27.733640424243944</v>
      </c>
      <c r="T164" s="40">
        <f t="shared" si="67"/>
        <v>27.807948845763104</v>
      </c>
      <c r="U164" s="40">
        <f t="shared" si="67"/>
        <v>27.84780942967144</v>
      </c>
      <c r="V164" s="40">
        <f t="shared" si="67"/>
        <v>27.244654563457033</v>
      </c>
      <c r="W164" s="40">
        <f t="shared" si="67"/>
        <v>25.665751325116545</v>
      </c>
      <c r="X164" s="40">
        <f t="shared" si="67"/>
        <v>23.758183655996703</v>
      </c>
      <c r="Y164" s="40">
        <f t="shared" si="67"/>
        <v>26.75663612346645</v>
      </c>
    </row>
    <row r="165" spans="1:25" s="36" customFormat="1" ht="12.5" x14ac:dyDescent="0.25">
      <c r="A165" s="36">
        <v>2003</v>
      </c>
      <c r="B165" s="40">
        <f t="shared" ref="B165:L165" si="68">B10+B41+B72+B134</f>
        <v>40.671599999999998</v>
      </c>
      <c r="C165" s="40">
        <f t="shared" si="68"/>
        <v>50.704799999999999</v>
      </c>
      <c r="D165" s="40">
        <f t="shared" si="68"/>
        <v>67.045100000000005</v>
      </c>
      <c r="E165" s="40">
        <f t="shared" si="68"/>
        <v>82.474699999999999</v>
      </c>
      <c r="F165" s="40">
        <f t="shared" si="68"/>
        <v>98.085900000000009</v>
      </c>
      <c r="G165" s="40">
        <f t="shared" si="68"/>
        <v>114.4507</v>
      </c>
      <c r="H165" s="40">
        <f t="shared" si="68"/>
        <v>131.74039999999999</v>
      </c>
      <c r="I165" s="40">
        <f t="shared" si="68"/>
        <v>145.5206</v>
      </c>
      <c r="J165" s="40">
        <f t="shared" si="68"/>
        <v>169.35120000000001</v>
      </c>
      <c r="K165" s="40">
        <f t="shared" si="68"/>
        <v>214.8939</v>
      </c>
      <c r="L165" s="40">
        <f t="shared" si="68"/>
        <v>111.4851</v>
      </c>
      <c r="N165" s="36">
        <v>2003</v>
      </c>
      <c r="O165" s="40">
        <f t="shared" ref="O165:Y165" si="69">O10+O41+O72+O134</f>
        <v>29.13248491681416</v>
      </c>
      <c r="P165" s="40">
        <f t="shared" si="69"/>
        <v>29.257517950990504</v>
      </c>
      <c r="Q165" s="40">
        <f t="shared" si="69"/>
        <v>29.903014381702747</v>
      </c>
      <c r="R165" s="40">
        <f t="shared" si="69"/>
        <v>27.645848934285937</v>
      </c>
      <c r="S165" s="40">
        <f t="shared" si="69"/>
        <v>27.119443067387266</v>
      </c>
      <c r="T165" s="40">
        <f t="shared" si="69"/>
        <v>27.818545924140057</v>
      </c>
      <c r="U165" s="40">
        <f t="shared" si="69"/>
        <v>27.525528523435597</v>
      </c>
      <c r="V165" s="40">
        <f t="shared" si="69"/>
        <v>26.115756644935935</v>
      </c>
      <c r="W165" s="40">
        <f t="shared" si="69"/>
        <v>26.783557179128618</v>
      </c>
      <c r="X165" s="40">
        <f t="shared" si="69"/>
        <v>23.745310886213638</v>
      </c>
      <c r="Y165" s="40">
        <f t="shared" si="69"/>
        <v>26.663090385367823</v>
      </c>
    </row>
    <row r="166" spans="1:25" s="36" customFormat="1" ht="12.5" x14ac:dyDescent="0.25">
      <c r="A166" s="36">
        <v>2004</v>
      </c>
      <c r="B166" s="40">
        <f t="shared" ref="B166:L166" si="70">B11+B42+B73+B135</f>
        <v>43.573700000000002</v>
      </c>
      <c r="C166" s="40">
        <f t="shared" si="70"/>
        <v>54.2729</v>
      </c>
      <c r="D166" s="40">
        <f t="shared" si="70"/>
        <v>72.763800000000003</v>
      </c>
      <c r="E166" s="40">
        <f t="shared" si="70"/>
        <v>86.542299999999997</v>
      </c>
      <c r="F166" s="40">
        <f t="shared" si="70"/>
        <v>106.80630000000001</v>
      </c>
      <c r="G166" s="40">
        <f t="shared" si="70"/>
        <v>123.9957</v>
      </c>
      <c r="H166" s="40">
        <f t="shared" si="70"/>
        <v>141.1866</v>
      </c>
      <c r="I166" s="40">
        <f t="shared" si="70"/>
        <v>163.22370000000001</v>
      </c>
      <c r="J166" s="40">
        <f t="shared" si="70"/>
        <v>183.1798</v>
      </c>
      <c r="K166" s="40">
        <f t="shared" si="70"/>
        <v>232.56100000000001</v>
      </c>
      <c r="L166" s="40">
        <f t="shared" si="70"/>
        <v>120.7997</v>
      </c>
      <c r="N166" s="36">
        <v>2004</v>
      </c>
      <c r="O166" s="40">
        <f t="shared" ref="O166:Y166" si="71">O11+O42+O73+O135</f>
        <v>29.579714532813242</v>
      </c>
      <c r="P166" s="40">
        <f t="shared" si="71"/>
        <v>30.435131267272009</v>
      </c>
      <c r="Q166" s="40">
        <f t="shared" si="71"/>
        <v>29.252531522419076</v>
      </c>
      <c r="R166" s="40">
        <f t="shared" si="71"/>
        <v>27.660343587694761</v>
      </c>
      <c r="S166" s="40">
        <f t="shared" si="71"/>
        <v>28.610488232755635</v>
      </c>
      <c r="T166" s="40">
        <f t="shared" si="71"/>
        <v>28.450728398322177</v>
      </c>
      <c r="U166" s="40">
        <f t="shared" si="71"/>
        <v>28.83224453370854</v>
      </c>
      <c r="V166" s="40">
        <f t="shared" si="71"/>
        <v>28.720826068388931</v>
      </c>
      <c r="W166" s="40">
        <f t="shared" si="71"/>
        <v>27.55854467015088</v>
      </c>
      <c r="X166" s="40">
        <f t="shared" si="71"/>
        <v>25.123735702807448</v>
      </c>
      <c r="Y166" s="40">
        <f t="shared" si="71"/>
        <v>27.806686880275343</v>
      </c>
    </row>
    <row r="167" spans="1:25" s="36" customFormat="1" ht="12.5" x14ac:dyDescent="0.25">
      <c r="A167" s="36">
        <v>2005</v>
      </c>
      <c r="B167" s="40">
        <f t="shared" ref="B167:L167" si="72">B12+B43+B74+B136</f>
        <v>46.107000000000006</v>
      </c>
      <c r="C167" s="40">
        <f t="shared" si="72"/>
        <v>59.0565</v>
      </c>
      <c r="D167" s="40">
        <f t="shared" si="72"/>
        <v>80.0886</v>
      </c>
      <c r="E167" s="40">
        <f t="shared" si="72"/>
        <v>95.732599999999991</v>
      </c>
      <c r="F167" s="40">
        <f t="shared" si="72"/>
        <v>115.16909999999999</v>
      </c>
      <c r="G167" s="40">
        <f t="shared" si="72"/>
        <v>140.61350000000002</v>
      </c>
      <c r="H167" s="40">
        <f t="shared" si="72"/>
        <v>153.88729999999998</v>
      </c>
      <c r="I167" s="40">
        <f t="shared" si="72"/>
        <v>189.0127</v>
      </c>
      <c r="J167" s="40">
        <f t="shared" si="72"/>
        <v>209.37020000000001</v>
      </c>
      <c r="K167" s="40">
        <f t="shared" si="72"/>
        <v>275.16229999999996</v>
      </c>
      <c r="L167" s="40">
        <f t="shared" si="72"/>
        <v>136.4091</v>
      </c>
      <c r="N167" s="36">
        <v>2005</v>
      </c>
      <c r="O167" s="40">
        <f t="shared" ref="O167:Y167" si="73">O12+O43+O74+O136</f>
        <v>30.017343614503009</v>
      </c>
      <c r="P167" s="40">
        <f t="shared" si="73"/>
        <v>33.006582705224695</v>
      </c>
      <c r="Q167" s="40">
        <f t="shared" si="73"/>
        <v>30.277458115891843</v>
      </c>
      <c r="R167" s="40">
        <f t="shared" si="73"/>
        <v>30.866747488295907</v>
      </c>
      <c r="S167" s="40">
        <f t="shared" si="73"/>
        <v>32.288651643181957</v>
      </c>
      <c r="T167" s="40">
        <f t="shared" si="73"/>
        <v>32.357493423269013</v>
      </c>
      <c r="U167" s="40">
        <f t="shared" si="73"/>
        <v>32.123518965817048</v>
      </c>
      <c r="V167" s="40">
        <f t="shared" si="73"/>
        <v>32.361425786282723</v>
      </c>
      <c r="W167" s="40">
        <f t="shared" si="73"/>
        <v>30.670683428075872</v>
      </c>
      <c r="X167" s="40">
        <f t="shared" si="73"/>
        <v>27.801762440795706</v>
      </c>
      <c r="Y167" s="40">
        <f t="shared" si="73"/>
        <v>30.767688323358559</v>
      </c>
    </row>
    <row r="168" spans="1:25" s="36" customFormat="1" ht="12.5" x14ac:dyDescent="0.25">
      <c r="A168" s="36">
        <v>2006</v>
      </c>
      <c r="B168" s="40">
        <f t="shared" ref="B168:L168" si="74">B13+B44+B75+B137</f>
        <v>52.2864</v>
      </c>
      <c r="C168" s="40">
        <f t="shared" si="74"/>
        <v>66.505400000000009</v>
      </c>
      <c r="D168" s="40">
        <f t="shared" si="74"/>
        <v>86.5702</v>
      </c>
      <c r="E168" s="40">
        <f t="shared" si="74"/>
        <v>103.8156</v>
      </c>
      <c r="F168" s="40">
        <f t="shared" si="74"/>
        <v>126.23759999999999</v>
      </c>
      <c r="G168" s="40">
        <f t="shared" si="74"/>
        <v>145.54060000000001</v>
      </c>
      <c r="H168" s="40">
        <f t="shared" si="74"/>
        <v>165.505</v>
      </c>
      <c r="I168" s="40">
        <f t="shared" si="74"/>
        <v>189.05510000000001</v>
      </c>
      <c r="J168" s="40">
        <f t="shared" si="74"/>
        <v>224.41730000000001</v>
      </c>
      <c r="K168" s="40">
        <f t="shared" si="74"/>
        <v>273.76009999999997</v>
      </c>
      <c r="L168" s="40">
        <f t="shared" si="74"/>
        <v>143.36799999999999</v>
      </c>
      <c r="N168" s="36">
        <v>2006</v>
      </c>
      <c r="O168" s="40">
        <f t="shared" ref="O168:Y168" si="75">O13+O44+O75+O137</f>
        <v>33.607879787476108</v>
      </c>
      <c r="P168" s="40">
        <f t="shared" si="75"/>
        <v>33.292851178521296</v>
      </c>
      <c r="Q168" s="40">
        <f t="shared" si="75"/>
        <v>31.894515865431018</v>
      </c>
      <c r="R168" s="40">
        <f t="shared" si="75"/>
        <v>31.180022555566744</v>
      </c>
      <c r="S168" s="40">
        <f t="shared" si="75"/>
        <v>33.200492020447726</v>
      </c>
      <c r="T168" s="40">
        <f t="shared" si="75"/>
        <v>33.223865932643079</v>
      </c>
      <c r="U168" s="40">
        <f t="shared" si="75"/>
        <v>32.651267965299553</v>
      </c>
      <c r="V168" s="40">
        <f t="shared" si="75"/>
        <v>31.822009598693285</v>
      </c>
      <c r="W168" s="40">
        <f t="shared" si="75"/>
        <v>31.364001067188283</v>
      </c>
      <c r="X168" s="40">
        <f t="shared" si="75"/>
        <v>28.387193042070908</v>
      </c>
      <c r="Y168" s="40">
        <f t="shared" si="75"/>
        <v>31.448254320054996</v>
      </c>
    </row>
    <row r="169" spans="1:25" s="36" customFormat="1" ht="12.5" x14ac:dyDescent="0.25">
      <c r="A169" s="36">
        <v>2007</v>
      </c>
      <c r="B169" s="40">
        <f t="shared" ref="B169:L169" si="76">B14+B45+B76+B138</f>
        <v>51.879100000000001</v>
      </c>
      <c r="C169" s="40">
        <f t="shared" si="76"/>
        <v>63.871699999999997</v>
      </c>
      <c r="D169" s="40">
        <f t="shared" si="76"/>
        <v>80.112100000000012</v>
      </c>
      <c r="E169" s="40">
        <f t="shared" si="76"/>
        <v>101.88330000000001</v>
      </c>
      <c r="F169" s="40">
        <f t="shared" si="76"/>
        <v>118.8719</v>
      </c>
      <c r="G169" s="40">
        <f t="shared" si="76"/>
        <v>141.63800000000001</v>
      </c>
      <c r="H169" s="40">
        <f t="shared" si="76"/>
        <v>163.47460000000001</v>
      </c>
      <c r="I169" s="40">
        <f t="shared" si="76"/>
        <v>182.4915</v>
      </c>
      <c r="J169" s="40">
        <f t="shared" si="76"/>
        <v>216.2433</v>
      </c>
      <c r="K169" s="40">
        <f t="shared" si="76"/>
        <v>274.48090000000002</v>
      </c>
      <c r="L169" s="40">
        <f t="shared" si="76"/>
        <v>139.47560000000001</v>
      </c>
      <c r="N169" s="36">
        <v>2007</v>
      </c>
      <c r="O169" s="40">
        <f t="shared" ref="O169:Y169" si="77">O14+O45+O76+O138</f>
        <v>30.095549807316686</v>
      </c>
      <c r="P169" s="40">
        <f t="shared" si="77"/>
        <v>32.691815542607245</v>
      </c>
      <c r="Q169" s="40">
        <f t="shared" si="77"/>
        <v>30.770604645160198</v>
      </c>
      <c r="R169" s="40">
        <f t="shared" si="77"/>
        <v>31.141668299401488</v>
      </c>
      <c r="S169" s="40">
        <f t="shared" si="77"/>
        <v>30.30261857140745</v>
      </c>
      <c r="T169" s="40">
        <f t="shared" si="77"/>
        <v>30.871444034146517</v>
      </c>
      <c r="U169" s="40">
        <f t="shared" si="77"/>
        <v>32.272760026098602</v>
      </c>
      <c r="V169" s="40">
        <f t="shared" si="77"/>
        <v>30.475968287484765</v>
      </c>
      <c r="W169" s="40">
        <f t="shared" si="77"/>
        <v>31.165928653826533</v>
      </c>
      <c r="X169" s="40">
        <f t="shared" si="77"/>
        <v>27.817328878332319</v>
      </c>
      <c r="Y169" s="40">
        <f t="shared" si="77"/>
        <v>30.376033973098458</v>
      </c>
    </row>
    <row r="170" spans="1:25" s="36" customFormat="1" ht="12.5" x14ac:dyDescent="0.25">
      <c r="A170" s="36">
        <v>2008</v>
      </c>
      <c r="B170" s="40">
        <f t="shared" ref="B170:L170" si="78">B15+B46+B77+B139</f>
        <v>52.4</v>
      </c>
      <c r="C170" s="40">
        <f t="shared" si="78"/>
        <v>65.600000000000009</v>
      </c>
      <c r="D170" s="40">
        <f t="shared" si="78"/>
        <v>82.9</v>
      </c>
      <c r="E170" s="40">
        <f t="shared" si="78"/>
        <v>108.5</v>
      </c>
      <c r="F170" s="40">
        <f t="shared" si="78"/>
        <v>128.20000000000002</v>
      </c>
      <c r="G170" s="40">
        <f t="shared" si="78"/>
        <v>148.19999999999999</v>
      </c>
      <c r="H170" s="40">
        <f t="shared" si="78"/>
        <v>175.3</v>
      </c>
      <c r="I170" s="40">
        <f t="shared" si="78"/>
        <v>202.8</v>
      </c>
      <c r="J170" s="40">
        <f t="shared" si="78"/>
        <v>231.4</v>
      </c>
      <c r="K170" s="40">
        <f t="shared" si="78"/>
        <v>295.7</v>
      </c>
      <c r="L170" s="40">
        <f t="shared" si="78"/>
        <v>149</v>
      </c>
      <c r="N170" s="36">
        <v>2008</v>
      </c>
      <c r="O170" s="40">
        <f t="shared" ref="O170:Y170" si="79">O15+O46+O77+O139</f>
        <v>34.092387768379965</v>
      </c>
      <c r="P170" s="40">
        <f t="shared" si="79"/>
        <v>32.800000000000004</v>
      </c>
      <c r="Q170" s="40">
        <f t="shared" si="79"/>
        <v>32.244262932711003</v>
      </c>
      <c r="R170" s="40">
        <f t="shared" si="79"/>
        <v>32.868827627991514</v>
      </c>
      <c r="S170" s="40">
        <f t="shared" si="79"/>
        <v>32.62086513994911</v>
      </c>
      <c r="T170" s="40">
        <f t="shared" si="79"/>
        <v>32.273519163763069</v>
      </c>
      <c r="U170" s="40">
        <f t="shared" si="79"/>
        <v>32.662567542388672</v>
      </c>
      <c r="V170" s="40">
        <f t="shared" si="79"/>
        <v>32.411698897235091</v>
      </c>
      <c r="W170" s="40">
        <f t="shared" si="79"/>
        <v>32.573198198198199</v>
      </c>
      <c r="X170" s="40">
        <f t="shared" si="79"/>
        <v>28.299358790314859</v>
      </c>
      <c r="Y170" s="40">
        <f t="shared" si="79"/>
        <v>31.634819532908708</v>
      </c>
    </row>
    <row r="171" spans="1:25" s="36" customFormat="1" ht="12.5" x14ac:dyDescent="0.25">
      <c r="A171" s="36">
        <v>2009</v>
      </c>
      <c r="B171" s="40">
        <f t="shared" ref="B171:L171" si="80">B16+B47+B78+B140</f>
        <v>54.8</v>
      </c>
      <c r="C171" s="40">
        <f t="shared" si="80"/>
        <v>68.3</v>
      </c>
      <c r="D171" s="40">
        <f t="shared" si="80"/>
        <v>90</v>
      </c>
      <c r="E171" s="40">
        <f t="shared" si="80"/>
        <v>103.3</v>
      </c>
      <c r="F171" s="40">
        <f t="shared" si="80"/>
        <v>121.20000000000002</v>
      </c>
      <c r="G171" s="40">
        <f t="shared" si="80"/>
        <v>138.9</v>
      </c>
      <c r="H171" s="40">
        <f t="shared" si="80"/>
        <v>160.20000000000002</v>
      </c>
      <c r="I171" s="40">
        <f t="shared" si="80"/>
        <v>188.7</v>
      </c>
      <c r="J171" s="40">
        <f t="shared" si="80"/>
        <v>212.7</v>
      </c>
      <c r="K171" s="40">
        <f t="shared" si="80"/>
        <v>278.5</v>
      </c>
      <c r="L171" s="40">
        <f t="shared" si="80"/>
        <v>141.69999999999999</v>
      </c>
      <c r="N171" s="36">
        <v>2009</v>
      </c>
      <c r="O171" s="40">
        <f t="shared" ref="O171:Y171" si="81">O16+O47+O78+O140</f>
        <v>33.68162261831592</v>
      </c>
      <c r="P171" s="40">
        <f t="shared" si="81"/>
        <v>31.96069255966308</v>
      </c>
      <c r="Q171" s="40">
        <f t="shared" si="81"/>
        <v>32.062700391877449</v>
      </c>
      <c r="R171" s="40">
        <f t="shared" si="81"/>
        <v>30.955948456697634</v>
      </c>
      <c r="S171" s="40">
        <f t="shared" si="81"/>
        <v>31.488698363211224</v>
      </c>
      <c r="T171" s="40">
        <f t="shared" si="81"/>
        <v>31.982500575638959</v>
      </c>
      <c r="U171" s="40">
        <f t="shared" si="81"/>
        <v>32.007992007992002</v>
      </c>
      <c r="V171" s="40">
        <f t="shared" si="81"/>
        <v>32.467309015829315</v>
      </c>
      <c r="W171" s="40">
        <f t="shared" si="81"/>
        <v>31.917767106842739</v>
      </c>
      <c r="X171" s="40">
        <f t="shared" si="81"/>
        <v>28.071766958975914</v>
      </c>
      <c r="Y171" s="40">
        <f t="shared" si="81"/>
        <v>31.142857142857142</v>
      </c>
    </row>
    <row r="172" spans="1:25" s="36" customFormat="1" ht="12.5" x14ac:dyDescent="0.25">
      <c r="A172" s="36">
        <v>2010</v>
      </c>
      <c r="B172" s="40">
        <f t="shared" ref="B172:L172" si="82">B17+B48+B79+B141</f>
        <v>58.500000000000007</v>
      </c>
      <c r="C172" s="40">
        <f t="shared" si="82"/>
        <v>72</v>
      </c>
      <c r="D172" s="40">
        <f t="shared" si="82"/>
        <v>87.800000000000011</v>
      </c>
      <c r="E172" s="40">
        <f t="shared" si="82"/>
        <v>107.6</v>
      </c>
      <c r="F172" s="40">
        <f t="shared" si="82"/>
        <v>124.80000000000001</v>
      </c>
      <c r="G172" s="40">
        <f t="shared" si="82"/>
        <v>141.10000000000002</v>
      </c>
      <c r="H172" s="40">
        <f t="shared" si="82"/>
        <v>163.9</v>
      </c>
      <c r="I172" s="40">
        <f t="shared" si="82"/>
        <v>178.5</v>
      </c>
      <c r="J172" s="40">
        <f t="shared" si="82"/>
        <v>223.39999999999998</v>
      </c>
      <c r="K172" s="40">
        <f t="shared" si="82"/>
        <v>266</v>
      </c>
      <c r="L172" s="40">
        <f t="shared" si="82"/>
        <v>142.29999999999998</v>
      </c>
      <c r="N172" s="36">
        <v>2010</v>
      </c>
      <c r="O172" s="40">
        <f t="shared" ref="O172:Y172" si="83">O17+O48+O79+O141</f>
        <v>31.519396551724139</v>
      </c>
      <c r="P172" s="40">
        <f t="shared" si="83"/>
        <v>33.519553072625698</v>
      </c>
      <c r="Q172" s="40">
        <f t="shared" si="83"/>
        <v>32.196552988632199</v>
      </c>
      <c r="R172" s="40">
        <f t="shared" si="83"/>
        <v>31.242740998838563</v>
      </c>
      <c r="S172" s="40">
        <f t="shared" si="83"/>
        <v>31.200000000000003</v>
      </c>
      <c r="T172" s="40">
        <f t="shared" si="83"/>
        <v>30.754141238012203</v>
      </c>
      <c r="U172" s="40">
        <f t="shared" si="83"/>
        <v>30.848861283643892</v>
      </c>
      <c r="V172" s="40">
        <f t="shared" si="83"/>
        <v>30.213270142180097</v>
      </c>
      <c r="W172" s="40">
        <f t="shared" si="83"/>
        <v>30.997641182183983</v>
      </c>
      <c r="X172" s="40">
        <f t="shared" si="83"/>
        <v>26.116838487972508</v>
      </c>
      <c r="Y172" s="40">
        <f t="shared" si="83"/>
        <v>30.046452702702702</v>
      </c>
    </row>
    <row r="173" spans="1:25" s="36" customFormat="1" ht="12.5" x14ac:dyDescent="0.25">
      <c r="A173" s="36">
        <v>2011</v>
      </c>
      <c r="B173" s="40">
        <f t="shared" ref="B173:L173" si="84">B18+B49+B80+B142</f>
        <v>59.400000000000006</v>
      </c>
      <c r="C173" s="40">
        <f t="shared" si="84"/>
        <v>71.7</v>
      </c>
      <c r="D173" s="40">
        <f t="shared" si="84"/>
        <v>90.4</v>
      </c>
      <c r="E173" s="40">
        <f t="shared" si="84"/>
        <v>114.6</v>
      </c>
      <c r="F173" s="40">
        <f t="shared" si="84"/>
        <v>133.19999999999999</v>
      </c>
      <c r="G173" s="40">
        <f t="shared" si="84"/>
        <v>146.30000000000001</v>
      </c>
      <c r="H173" s="40">
        <f t="shared" si="84"/>
        <v>168.4</v>
      </c>
      <c r="I173" s="40">
        <f t="shared" si="84"/>
        <v>190.5</v>
      </c>
      <c r="J173" s="40">
        <f t="shared" si="84"/>
        <v>235.60000000000002</v>
      </c>
      <c r="K173" s="40">
        <f t="shared" si="84"/>
        <v>285.7</v>
      </c>
      <c r="L173" s="40">
        <f t="shared" si="84"/>
        <v>149.60000000000002</v>
      </c>
      <c r="N173" s="36">
        <v>2011</v>
      </c>
      <c r="O173" s="40">
        <f t="shared" ref="O173:Y173" si="85">O18+O49+O80+O142</f>
        <v>33.540372670807457</v>
      </c>
      <c r="P173" s="40">
        <f t="shared" si="85"/>
        <v>32.694938440492479</v>
      </c>
      <c r="Q173" s="40">
        <f t="shared" si="85"/>
        <v>30.958904109589042</v>
      </c>
      <c r="R173" s="40">
        <f t="shared" si="85"/>
        <v>32.218161371942649</v>
      </c>
      <c r="S173" s="40">
        <f t="shared" si="85"/>
        <v>32.127351664254704</v>
      </c>
      <c r="T173" s="40">
        <f t="shared" si="85"/>
        <v>30.819464925215925</v>
      </c>
      <c r="U173" s="40">
        <f t="shared" si="85"/>
        <v>31.2894834633965</v>
      </c>
      <c r="V173" s="40">
        <f t="shared" si="85"/>
        <v>31.2807881773399</v>
      </c>
      <c r="W173" s="40">
        <f t="shared" si="85"/>
        <v>31.560616208975219</v>
      </c>
      <c r="X173" s="40">
        <f t="shared" si="85"/>
        <v>28.281528410215799</v>
      </c>
      <c r="Y173" s="40">
        <f t="shared" si="85"/>
        <v>30.934656741108352</v>
      </c>
    </row>
    <row r="174" spans="1:25" s="36" customFormat="1" ht="12.5" x14ac:dyDescent="0.25">
      <c r="A174" s="36">
        <v>2012</v>
      </c>
      <c r="B174" s="40">
        <f t="shared" ref="B174:L174" si="86">B19+B50+B81+B143</f>
        <v>60</v>
      </c>
      <c r="C174" s="40">
        <f t="shared" si="86"/>
        <v>77.8</v>
      </c>
      <c r="D174" s="40">
        <f t="shared" si="86"/>
        <v>90.600000000000009</v>
      </c>
      <c r="E174" s="40">
        <f t="shared" si="86"/>
        <v>112.89999999999999</v>
      </c>
      <c r="F174" s="40">
        <f t="shared" si="86"/>
        <v>133.6</v>
      </c>
      <c r="G174" s="40">
        <f t="shared" si="86"/>
        <v>154.69999999999999</v>
      </c>
      <c r="H174" s="40">
        <f t="shared" si="86"/>
        <v>167.8</v>
      </c>
      <c r="I174" s="40">
        <f t="shared" si="86"/>
        <v>198.6</v>
      </c>
      <c r="J174" s="40">
        <f t="shared" si="86"/>
        <v>214.9</v>
      </c>
      <c r="K174" s="40">
        <f t="shared" si="86"/>
        <v>284.7</v>
      </c>
      <c r="L174" s="40">
        <f t="shared" si="86"/>
        <v>149.6</v>
      </c>
      <c r="N174" s="36">
        <v>2012</v>
      </c>
      <c r="O174" s="40">
        <f t="shared" ref="O174:Y174" si="87">O19+O50+O81+O143</f>
        <v>31.071983428275505</v>
      </c>
      <c r="P174" s="40">
        <f t="shared" si="87"/>
        <v>34.8410210479176</v>
      </c>
      <c r="Q174" s="40">
        <f t="shared" si="87"/>
        <v>32.19616204690832</v>
      </c>
      <c r="R174" s="40">
        <f t="shared" si="87"/>
        <v>30.813318777292579</v>
      </c>
      <c r="S174" s="40">
        <f t="shared" si="87"/>
        <v>32.442933462846042</v>
      </c>
      <c r="T174" s="40">
        <f t="shared" si="87"/>
        <v>31.962809917355369</v>
      </c>
      <c r="U174" s="40">
        <f t="shared" si="87"/>
        <v>31.576966503575463</v>
      </c>
      <c r="V174" s="40">
        <f t="shared" si="87"/>
        <v>31.558874940409982</v>
      </c>
      <c r="W174" s="40">
        <f t="shared" si="87"/>
        <v>30.237793724496974</v>
      </c>
      <c r="X174" s="40">
        <f t="shared" si="87"/>
        <v>26.909262759924388</v>
      </c>
      <c r="Y174" s="40">
        <f t="shared" si="87"/>
        <v>30.593047034764826</v>
      </c>
    </row>
    <row r="175" spans="1:25" s="36" customFormat="1" ht="12.5" x14ac:dyDescent="0.25">
      <c r="A175" s="36">
        <v>2013</v>
      </c>
      <c r="B175" s="40">
        <f t="shared" ref="B175:L175" si="88">B20+B51+B82+B144</f>
        <v>66.199999999999989</v>
      </c>
      <c r="C175" s="40">
        <f t="shared" si="88"/>
        <v>82.699999999999989</v>
      </c>
      <c r="D175" s="40">
        <f t="shared" si="88"/>
        <v>98.3</v>
      </c>
      <c r="E175" s="40">
        <f t="shared" si="88"/>
        <v>114.30000000000001</v>
      </c>
      <c r="F175" s="40">
        <f t="shared" si="88"/>
        <v>133</v>
      </c>
      <c r="G175" s="40">
        <f t="shared" si="88"/>
        <v>153</v>
      </c>
      <c r="H175" s="40">
        <f t="shared" si="88"/>
        <v>177.1</v>
      </c>
      <c r="I175" s="40">
        <f t="shared" si="88"/>
        <v>196.2</v>
      </c>
      <c r="J175" s="40">
        <f t="shared" si="88"/>
        <v>223.89999999999998</v>
      </c>
      <c r="K175" s="40">
        <f t="shared" si="88"/>
        <v>287.39999999999998</v>
      </c>
      <c r="L175" s="40">
        <f t="shared" si="88"/>
        <v>153.1</v>
      </c>
      <c r="N175" s="36">
        <v>2013</v>
      </c>
      <c r="O175" s="40">
        <f t="shared" ref="O175:Y175" si="89">O20+O51+O82+O144</f>
        <v>33.723892002037694</v>
      </c>
      <c r="P175" s="40">
        <f t="shared" si="89"/>
        <v>36.066288704753596</v>
      </c>
      <c r="Q175" s="40">
        <f t="shared" si="89"/>
        <v>31.853532080362928</v>
      </c>
      <c r="R175" s="40">
        <f t="shared" si="89"/>
        <v>30.366631243358128</v>
      </c>
      <c r="S175" s="40">
        <f t="shared" si="89"/>
        <v>30.042918454935624</v>
      </c>
      <c r="T175" s="40">
        <f t="shared" si="89"/>
        <v>29.743390357698289</v>
      </c>
      <c r="U175" s="40">
        <f t="shared" si="89"/>
        <v>30.956126551302219</v>
      </c>
      <c r="V175" s="40">
        <f t="shared" si="89"/>
        <v>30.513219284603423</v>
      </c>
      <c r="W175" s="40">
        <f t="shared" si="89"/>
        <v>28.98757120662869</v>
      </c>
      <c r="X175" s="40">
        <f t="shared" si="89"/>
        <v>25.681351085693862</v>
      </c>
      <c r="Y175" s="40">
        <f t="shared" si="89"/>
        <v>29.595979122366131</v>
      </c>
    </row>
    <row r="176" spans="1:25" s="36" customFormat="1" ht="12.5" x14ac:dyDescent="0.25">
      <c r="A176" s="36">
        <v>2014</v>
      </c>
      <c r="B176" s="40">
        <f t="shared" ref="B176:L176" si="90">B21+B52+B83+B145</f>
        <v>65.899999999999991</v>
      </c>
      <c r="C176" s="40">
        <f t="shared" si="90"/>
        <v>81.599999999999994</v>
      </c>
      <c r="D176" s="40">
        <f t="shared" si="90"/>
        <v>103.39999999999999</v>
      </c>
      <c r="E176" s="40">
        <f t="shared" si="90"/>
        <v>117.19999999999999</v>
      </c>
      <c r="F176" s="40">
        <f t="shared" si="90"/>
        <v>140.4</v>
      </c>
      <c r="G176" s="40">
        <f t="shared" si="90"/>
        <v>155.9</v>
      </c>
      <c r="H176" s="40">
        <f t="shared" si="90"/>
        <v>174.2</v>
      </c>
      <c r="I176" s="40">
        <f t="shared" si="90"/>
        <v>197.3</v>
      </c>
      <c r="J176" s="40">
        <f t="shared" si="90"/>
        <v>215.3</v>
      </c>
      <c r="K176" s="40">
        <f t="shared" si="90"/>
        <v>288</v>
      </c>
      <c r="L176" s="40">
        <f t="shared" si="90"/>
        <v>153.89999999999998</v>
      </c>
      <c r="N176" s="36">
        <v>2014</v>
      </c>
      <c r="O176" s="40">
        <f t="shared" ref="O176:Y176" si="91">O21+O52+O83+O145</f>
        <v>34.611344537815121</v>
      </c>
      <c r="P176" s="40">
        <f t="shared" si="91"/>
        <v>32.705410821643277</v>
      </c>
      <c r="Q176" s="40">
        <f t="shared" si="91"/>
        <v>32.352941176470587</v>
      </c>
      <c r="R176" s="40">
        <f t="shared" si="91"/>
        <v>31.228350652811088</v>
      </c>
      <c r="S176" s="40">
        <f t="shared" si="91"/>
        <v>31.557653405259611</v>
      </c>
      <c r="T176" s="40">
        <f t="shared" si="91"/>
        <v>30.009624639076037</v>
      </c>
      <c r="U176" s="40">
        <f t="shared" si="91"/>
        <v>29.351305812973884</v>
      </c>
      <c r="V176" s="40">
        <f t="shared" si="91"/>
        <v>28.769320501603968</v>
      </c>
      <c r="W176" s="40">
        <f t="shared" si="91"/>
        <v>27.588416196822145</v>
      </c>
      <c r="X176" s="40">
        <f t="shared" si="91"/>
        <v>24.915650142745911</v>
      </c>
      <c r="Y176" s="40">
        <f t="shared" si="91"/>
        <v>28.966685488424623</v>
      </c>
    </row>
    <row r="177" spans="1:25" s="36" customFormat="1" ht="12.5" x14ac:dyDescent="0.25">
      <c r="A177" s="36" t="s">
        <v>45</v>
      </c>
      <c r="B177" s="40">
        <f t="shared" ref="B177:L177" si="92">B22+B53+B84+B146</f>
        <v>60.9</v>
      </c>
      <c r="C177" s="40">
        <f t="shared" si="92"/>
        <v>80.5</v>
      </c>
      <c r="D177" s="40">
        <f t="shared" si="92"/>
        <v>96.600000000000009</v>
      </c>
      <c r="E177" s="40">
        <f t="shared" si="92"/>
        <v>109.29999999999998</v>
      </c>
      <c r="F177" s="40">
        <f t="shared" si="92"/>
        <v>132.1</v>
      </c>
      <c r="G177" s="40">
        <f t="shared" si="92"/>
        <v>138.5</v>
      </c>
      <c r="H177" s="40">
        <f t="shared" si="92"/>
        <v>162.10000000000002</v>
      </c>
      <c r="I177" s="40">
        <f t="shared" si="92"/>
        <v>183</v>
      </c>
      <c r="J177" s="40">
        <f t="shared" si="92"/>
        <v>199.8</v>
      </c>
      <c r="K177" s="40">
        <f t="shared" si="92"/>
        <v>305.29999999999995</v>
      </c>
      <c r="L177" s="40">
        <f t="shared" si="92"/>
        <v>146.80000000000001</v>
      </c>
      <c r="N177" s="36" t="s">
        <v>45</v>
      </c>
      <c r="O177" s="40">
        <f t="shared" ref="O177:Y177" si="93">O22+O53+O84+O146</f>
        <v>33.833333333333336</v>
      </c>
      <c r="P177" s="40">
        <f t="shared" si="93"/>
        <v>30.831099195710454</v>
      </c>
      <c r="Q177" s="40">
        <f t="shared" si="93"/>
        <v>31.363636363636363</v>
      </c>
      <c r="R177" s="40">
        <f t="shared" si="93"/>
        <v>29.524581307401409</v>
      </c>
      <c r="S177" s="40">
        <f t="shared" si="93"/>
        <v>28.562162162162164</v>
      </c>
      <c r="T177" s="40">
        <f t="shared" si="93"/>
        <v>25.506445672191525</v>
      </c>
      <c r="U177" s="40">
        <f t="shared" si="93"/>
        <v>27.610287855561232</v>
      </c>
      <c r="V177" s="40">
        <f t="shared" si="93"/>
        <v>27.651858567543066</v>
      </c>
      <c r="W177" s="40">
        <f t="shared" si="93"/>
        <v>25.615384615384613</v>
      </c>
      <c r="X177" s="40">
        <f t="shared" si="93"/>
        <v>26.870269318781901</v>
      </c>
      <c r="Y177" s="40">
        <f t="shared" si="93"/>
        <v>27.755719417659293</v>
      </c>
    </row>
    <row r="178" spans="1:25" s="36" customFormat="1" ht="12.5" x14ac:dyDescent="0.25">
      <c r="A178" s="36" t="s">
        <v>46</v>
      </c>
      <c r="B178" s="40">
        <f t="shared" ref="B178:L178" si="94">B23+B54+B85+B147</f>
        <v>64.599999999999994</v>
      </c>
      <c r="C178" s="40">
        <f t="shared" si="94"/>
        <v>80.600000000000009</v>
      </c>
      <c r="D178" s="40">
        <f t="shared" si="94"/>
        <v>98.300000000000011</v>
      </c>
      <c r="E178" s="40">
        <f t="shared" si="94"/>
        <v>116.3</v>
      </c>
      <c r="F178" s="40">
        <f t="shared" si="94"/>
        <v>135</v>
      </c>
      <c r="G178" s="40">
        <f t="shared" si="94"/>
        <v>147.80000000000001</v>
      </c>
      <c r="H178" s="40">
        <f t="shared" si="94"/>
        <v>159.9</v>
      </c>
      <c r="I178" s="40">
        <f t="shared" si="94"/>
        <v>187.9</v>
      </c>
      <c r="J178" s="40">
        <f t="shared" si="94"/>
        <v>212.60000000000002</v>
      </c>
      <c r="K178" s="40">
        <f t="shared" si="94"/>
        <v>264.90000000000003</v>
      </c>
      <c r="L178" s="40">
        <f t="shared" si="94"/>
        <v>146.69999999999999</v>
      </c>
      <c r="N178" s="36" t="s">
        <v>46</v>
      </c>
      <c r="O178" s="40">
        <f t="shared" ref="O178:Y178" si="95">O23+O54+O85+O147</f>
        <v>31.177606177606179</v>
      </c>
      <c r="P178" s="40">
        <f t="shared" si="95"/>
        <v>30.415094339622641</v>
      </c>
      <c r="Q178" s="40">
        <f t="shared" si="95"/>
        <v>29.151838671411628</v>
      </c>
      <c r="R178" s="40">
        <f t="shared" si="95"/>
        <v>27.416313059877417</v>
      </c>
      <c r="S178" s="40">
        <f t="shared" si="95"/>
        <v>26.674570243034971</v>
      </c>
      <c r="T178" s="40">
        <f t="shared" si="95"/>
        <v>26.712452557382974</v>
      </c>
      <c r="U178" s="40">
        <f t="shared" si="95"/>
        <v>26.178781925343813</v>
      </c>
      <c r="V178" s="40">
        <f t="shared" si="95"/>
        <v>26.777825281459307</v>
      </c>
      <c r="W178" s="40">
        <f t="shared" si="95"/>
        <v>25.936318165182385</v>
      </c>
      <c r="X178" s="40">
        <f t="shared" si="95"/>
        <v>23.719555873925501</v>
      </c>
      <c r="Y178" s="40">
        <f t="shared" si="95"/>
        <v>26.470588235294116</v>
      </c>
    </row>
    <row r="179" spans="1:25" s="36" customFormat="1" ht="12.5" x14ac:dyDescent="0.25">
      <c r="A179" s="36" t="s">
        <v>47</v>
      </c>
      <c r="B179" s="40">
        <f t="shared" ref="B179:L179" si="96">B24+B55+B86+B148</f>
        <v>64.7</v>
      </c>
      <c r="C179" s="40">
        <f t="shared" si="96"/>
        <v>84.6</v>
      </c>
      <c r="D179" s="40">
        <f t="shared" si="96"/>
        <v>104.5</v>
      </c>
      <c r="E179" s="40">
        <f t="shared" si="96"/>
        <v>118.7</v>
      </c>
      <c r="F179" s="40">
        <f t="shared" si="96"/>
        <v>133.1</v>
      </c>
      <c r="G179" s="40">
        <f t="shared" si="96"/>
        <v>153.10000000000002</v>
      </c>
      <c r="H179" s="40">
        <f t="shared" si="96"/>
        <v>171</v>
      </c>
      <c r="I179" s="40">
        <f t="shared" si="96"/>
        <v>193.89999999999998</v>
      </c>
      <c r="J179" s="40">
        <f t="shared" si="96"/>
        <v>220.2</v>
      </c>
      <c r="K179" s="40">
        <f t="shared" si="96"/>
        <v>273.90000000000003</v>
      </c>
      <c r="L179" s="40">
        <f t="shared" si="96"/>
        <v>151.69999999999999</v>
      </c>
      <c r="N179" s="36" t="s">
        <v>47</v>
      </c>
      <c r="O179" s="40">
        <f t="shared" ref="O179:Y179" si="97">O24+O55+O86+O148</f>
        <v>30.404135338345867</v>
      </c>
      <c r="P179" s="40">
        <f t="shared" si="97"/>
        <v>31.888428194496797</v>
      </c>
      <c r="Q179" s="40">
        <f t="shared" si="97"/>
        <v>29.296327446033079</v>
      </c>
      <c r="R179" s="40">
        <f t="shared" si="97"/>
        <v>28.04820415879017</v>
      </c>
      <c r="S179" s="40">
        <f t="shared" si="97"/>
        <v>27.369936253341564</v>
      </c>
      <c r="T179" s="40">
        <f t="shared" si="97"/>
        <v>26.410212178713127</v>
      </c>
      <c r="U179" s="40">
        <f t="shared" si="97"/>
        <v>26.606503812042938</v>
      </c>
      <c r="V179" s="40">
        <f t="shared" si="97"/>
        <v>26.50355385456534</v>
      </c>
      <c r="W179" s="40">
        <f t="shared" si="97"/>
        <v>26.64246823956443</v>
      </c>
      <c r="X179" s="40">
        <f t="shared" si="97"/>
        <v>22.199708218511915</v>
      </c>
      <c r="Y179" s="40">
        <f t="shared" si="97"/>
        <v>26.350529789821085</v>
      </c>
    </row>
    <row r="180" spans="1:25" s="36" customFormat="1" ht="12.5" x14ac:dyDescent="0.25">
      <c r="A180" s="36" t="s">
        <v>48</v>
      </c>
      <c r="B180" s="40">
        <f t="shared" ref="B180:L180" si="98">B25+B56+B87+B149</f>
        <v>73.099999999999994</v>
      </c>
      <c r="C180" s="40">
        <f t="shared" si="98"/>
        <v>90.9</v>
      </c>
      <c r="D180" s="40">
        <f t="shared" si="98"/>
        <v>105.3</v>
      </c>
      <c r="E180" s="40">
        <f t="shared" si="98"/>
        <v>124.8</v>
      </c>
      <c r="F180" s="40">
        <f t="shared" si="98"/>
        <v>139.4</v>
      </c>
      <c r="G180" s="40">
        <f t="shared" si="98"/>
        <v>163.20000000000002</v>
      </c>
      <c r="H180" s="40">
        <f t="shared" si="98"/>
        <v>172.1</v>
      </c>
      <c r="I180" s="40">
        <f t="shared" si="98"/>
        <v>198.4</v>
      </c>
      <c r="J180" s="40">
        <f t="shared" si="98"/>
        <v>220.5</v>
      </c>
      <c r="K180" s="40">
        <f t="shared" si="98"/>
        <v>281.5</v>
      </c>
      <c r="L180" s="40">
        <f t="shared" si="98"/>
        <v>156.9</v>
      </c>
      <c r="N180" s="36" t="s">
        <v>48</v>
      </c>
      <c r="O180" s="40">
        <f t="shared" ref="O180:Y180" si="99">O25+O56+O87+O149</f>
        <v>30.856901646264244</v>
      </c>
      <c r="P180" s="40">
        <f t="shared" si="99"/>
        <v>31.172839506172838</v>
      </c>
      <c r="Q180" s="40">
        <f t="shared" si="99"/>
        <v>29.112524191318773</v>
      </c>
      <c r="R180" s="40">
        <f t="shared" si="99"/>
        <v>28.735896845498502</v>
      </c>
      <c r="S180" s="40">
        <f t="shared" si="99"/>
        <v>26.42654028436019</v>
      </c>
      <c r="T180" s="40">
        <f t="shared" si="99"/>
        <v>27.707979626485571</v>
      </c>
      <c r="U180" s="40">
        <f t="shared" si="99"/>
        <v>26.731904318111216</v>
      </c>
      <c r="V180" s="40">
        <f t="shared" si="99"/>
        <v>26.368952684742162</v>
      </c>
      <c r="W180" s="40">
        <f t="shared" si="99"/>
        <v>25.234607461661707</v>
      </c>
      <c r="X180" s="40">
        <f t="shared" si="99"/>
        <v>23.276004630395235</v>
      </c>
      <c r="Y180" s="40">
        <f t="shared" si="99"/>
        <v>26.503378378378379</v>
      </c>
    </row>
    <row r="181" spans="1:25" s="36" customFormat="1" ht="12.5" x14ac:dyDescent="0.25">
      <c r="A181" s="36" t="s">
        <v>49</v>
      </c>
      <c r="B181" s="40">
        <f t="shared" ref="B181:L181" si="100">B26+B57+B88+B150</f>
        <v>76</v>
      </c>
      <c r="C181" s="40">
        <f t="shared" si="100"/>
        <v>91.1</v>
      </c>
      <c r="D181" s="40">
        <f t="shared" si="100"/>
        <v>108.69999999999999</v>
      </c>
      <c r="E181" s="40">
        <f t="shared" si="100"/>
        <v>126.7</v>
      </c>
      <c r="F181" s="40">
        <f t="shared" si="100"/>
        <v>145.4</v>
      </c>
      <c r="G181" s="40">
        <f t="shared" si="100"/>
        <v>158.20000000000002</v>
      </c>
      <c r="H181" s="40">
        <f t="shared" si="100"/>
        <v>185.1</v>
      </c>
      <c r="I181" s="40">
        <f t="shared" si="100"/>
        <v>207.5</v>
      </c>
      <c r="J181" s="40">
        <f t="shared" si="100"/>
        <v>225.39999999999998</v>
      </c>
      <c r="K181" s="40">
        <f t="shared" si="100"/>
        <v>284.29999999999995</v>
      </c>
      <c r="L181" s="40">
        <f t="shared" si="100"/>
        <v>160.9</v>
      </c>
      <c r="N181" s="36" t="s">
        <v>49</v>
      </c>
      <c r="O181" s="40">
        <f t="shared" ref="O181:Y181" si="101">O26+O57+O88+O150</f>
        <v>31.033074724377297</v>
      </c>
      <c r="P181" s="40">
        <f t="shared" si="101"/>
        <v>31.731104144897241</v>
      </c>
      <c r="Q181" s="40">
        <f t="shared" si="101"/>
        <v>29.928414096916299</v>
      </c>
      <c r="R181" s="40">
        <f t="shared" si="101"/>
        <v>29.059633027522938</v>
      </c>
      <c r="S181" s="40">
        <f t="shared" si="101"/>
        <v>28.227528635216466</v>
      </c>
      <c r="T181" s="40">
        <f t="shared" si="101"/>
        <v>27.079767203012661</v>
      </c>
      <c r="U181" s="40">
        <f t="shared" si="101"/>
        <v>28.45503458877786</v>
      </c>
      <c r="V181" s="40">
        <f t="shared" si="101"/>
        <v>27.234545215907602</v>
      </c>
      <c r="W181" s="40">
        <f t="shared" si="101"/>
        <v>26.92307692307692</v>
      </c>
      <c r="X181" s="40">
        <f t="shared" si="101"/>
        <v>23.70154230929554</v>
      </c>
      <c r="Y181" s="40">
        <f t="shared" si="101"/>
        <v>27.368600102058174</v>
      </c>
    </row>
    <row r="182" spans="1:25" x14ac:dyDescent="0.35">
      <c r="A182" s="36" t="s">
        <v>50</v>
      </c>
      <c r="B182" s="40">
        <f t="shared" ref="B182:L182" si="102">B27+B58+B89+B151</f>
        <v>75.2</v>
      </c>
      <c r="C182" s="40">
        <f t="shared" si="102"/>
        <v>87.300000000000011</v>
      </c>
      <c r="D182" s="40">
        <f t="shared" si="102"/>
        <v>113.8</v>
      </c>
      <c r="E182" s="40">
        <f t="shared" si="102"/>
        <v>125</v>
      </c>
      <c r="F182" s="40">
        <f t="shared" si="102"/>
        <v>136.80000000000001</v>
      </c>
      <c r="G182" s="40">
        <f t="shared" si="102"/>
        <v>156.4</v>
      </c>
      <c r="H182" s="40">
        <f t="shared" si="102"/>
        <v>172.3</v>
      </c>
      <c r="I182" s="40">
        <f t="shared" si="102"/>
        <v>189.3</v>
      </c>
      <c r="J182" s="40">
        <f t="shared" si="102"/>
        <v>213.3</v>
      </c>
      <c r="K182" s="40">
        <f t="shared" si="102"/>
        <v>287.3</v>
      </c>
      <c r="L182" s="40">
        <f t="shared" si="102"/>
        <v>155.69999999999999</v>
      </c>
      <c r="N182" s="36" t="s">
        <v>50</v>
      </c>
      <c r="O182" s="40">
        <f t="shared" ref="O182:Y182" si="103">O27+O58+O89+O151</f>
        <v>37.227722772277225</v>
      </c>
      <c r="P182" s="40">
        <f t="shared" si="103"/>
        <v>34.850299401197603</v>
      </c>
      <c r="Q182" s="40">
        <f t="shared" si="103"/>
        <v>32.966396292004632</v>
      </c>
      <c r="R182" s="40">
        <f t="shared" si="103"/>
        <v>35.909221488078138</v>
      </c>
      <c r="S182" s="40">
        <f t="shared" si="103"/>
        <v>31.455507013106462</v>
      </c>
      <c r="T182" s="40">
        <f t="shared" si="103"/>
        <v>32.240775097917954</v>
      </c>
      <c r="U182" s="40">
        <f t="shared" si="103"/>
        <v>33.456310679611654</v>
      </c>
      <c r="V182" s="40">
        <f t="shared" si="103"/>
        <v>31.12974839664529</v>
      </c>
      <c r="W182" s="40">
        <f t="shared" si="103"/>
        <v>31.129597197898423</v>
      </c>
      <c r="X182" s="40">
        <f t="shared" si="103"/>
        <v>30.521619037501331</v>
      </c>
      <c r="Y182" s="40">
        <f t="shared" si="103"/>
        <v>32.336448598130843</v>
      </c>
    </row>
    <row r="183" spans="1:25" x14ac:dyDescent="0.35">
      <c r="A183" s="36" t="s">
        <v>51</v>
      </c>
      <c r="B183" s="40">
        <f t="shared" ref="B183:L183" si="104">B28+B59+B90+B152</f>
        <v>80.3</v>
      </c>
      <c r="C183" s="40">
        <f t="shared" si="104"/>
        <v>92.199999999999989</v>
      </c>
      <c r="D183" s="40">
        <f t="shared" si="104"/>
        <v>109</v>
      </c>
      <c r="E183" s="40">
        <f t="shared" si="104"/>
        <v>127.1</v>
      </c>
      <c r="F183" s="40">
        <f t="shared" si="104"/>
        <v>146</v>
      </c>
      <c r="G183" s="40">
        <f t="shared" si="104"/>
        <v>161.5</v>
      </c>
      <c r="H183" s="40">
        <f t="shared" si="104"/>
        <v>172.6</v>
      </c>
      <c r="I183" s="40">
        <f t="shared" si="104"/>
        <v>198.79999999999998</v>
      </c>
      <c r="J183" s="40">
        <f t="shared" si="104"/>
        <v>226.29999999999998</v>
      </c>
      <c r="K183" s="40">
        <f t="shared" si="104"/>
        <v>278.40000000000003</v>
      </c>
      <c r="L183" s="40">
        <f t="shared" si="104"/>
        <v>159.30000000000001</v>
      </c>
      <c r="N183" s="36" t="s">
        <v>51</v>
      </c>
      <c r="O183" s="40">
        <f t="shared" ref="O183:Y183" si="105">O28+O59+O90+O152</f>
        <v>31.86507936507936</v>
      </c>
      <c r="P183" s="40">
        <f t="shared" si="105"/>
        <v>32.510578279266568</v>
      </c>
      <c r="Q183" s="40">
        <f t="shared" si="105"/>
        <v>31.178489702517162</v>
      </c>
      <c r="R183" s="40">
        <f t="shared" si="105"/>
        <v>30.722745951172346</v>
      </c>
      <c r="S183" s="40">
        <f t="shared" si="105"/>
        <v>29.856850715746418</v>
      </c>
      <c r="T183" s="40">
        <f t="shared" si="105"/>
        <v>31.438582830445785</v>
      </c>
      <c r="U183" s="40">
        <f t="shared" si="105"/>
        <v>30.206510325516277</v>
      </c>
      <c r="V183" s="40">
        <f t="shared" si="105"/>
        <v>30.07109363182574</v>
      </c>
      <c r="W183" s="40">
        <f t="shared" si="105"/>
        <v>30.077086656034027</v>
      </c>
      <c r="X183" s="40">
        <f t="shared" si="105"/>
        <v>27.765034407100828</v>
      </c>
      <c r="Y183" s="40">
        <f t="shared" si="105"/>
        <v>30.124810892586993</v>
      </c>
    </row>
    <row r="184" spans="1:25" x14ac:dyDescent="0.35">
      <c r="A184" s="36" t="s">
        <v>52</v>
      </c>
      <c r="B184" s="40">
        <f t="shared" ref="B184:L184" si="106">B29+B60+B91+B153</f>
        <v>89.399999999999991</v>
      </c>
      <c r="C184" s="40">
        <f t="shared" si="106"/>
        <v>106.1</v>
      </c>
      <c r="D184" s="40">
        <f t="shared" si="106"/>
        <v>125.8</v>
      </c>
      <c r="E184" s="40">
        <f t="shared" si="106"/>
        <v>143.89999999999998</v>
      </c>
      <c r="F184" s="40">
        <f t="shared" si="106"/>
        <v>161.19999999999999</v>
      </c>
      <c r="G184" s="40">
        <f t="shared" si="106"/>
        <v>179.3</v>
      </c>
      <c r="H184" s="40">
        <f t="shared" si="106"/>
        <v>191.89999999999998</v>
      </c>
      <c r="I184" s="40">
        <f t="shared" si="106"/>
        <v>218.1</v>
      </c>
      <c r="J184" s="40">
        <f t="shared" si="106"/>
        <v>238.7</v>
      </c>
      <c r="K184" s="40">
        <f t="shared" si="106"/>
        <v>295.7</v>
      </c>
      <c r="L184" s="40">
        <f t="shared" si="106"/>
        <v>175</v>
      </c>
      <c r="N184" s="36" t="s">
        <v>52</v>
      </c>
      <c r="O184" s="40">
        <f t="shared" ref="O184:Y184" si="107">O29+O60+O91+O153</f>
        <v>34.13516609392898</v>
      </c>
      <c r="P184" s="40">
        <f t="shared" si="107"/>
        <v>33.385777218376333</v>
      </c>
      <c r="Q184" s="40">
        <f t="shared" si="107"/>
        <v>31.12320633349827</v>
      </c>
      <c r="R184" s="40">
        <f t="shared" si="107"/>
        <v>30.866580866580865</v>
      </c>
      <c r="S184" s="40">
        <f t="shared" si="107"/>
        <v>31.676164275889175</v>
      </c>
      <c r="T184" s="40">
        <f t="shared" si="107"/>
        <v>31.133877409272444</v>
      </c>
      <c r="U184" s="40">
        <f t="shared" si="107"/>
        <v>31.448705342510657</v>
      </c>
      <c r="V184" s="40">
        <f t="shared" si="107"/>
        <v>30.800734359553736</v>
      </c>
      <c r="W184" s="40">
        <f t="shared" si="107"/>
        <v>29.964850615114234</v>
      </c>
      <c r="X184" s="40">
        <f t="shared" si="107"/>
        <v>28.717102068563662</v>
      </c>
      <c r="Y184" s="40">
        <f t="shared" si="107"/>
        <v>30.826140567200984</v>
      </c>
    </row>
    <row r="185" spans="1:25" x14ac:dyDescent="0.35">
      <c r="A185" s="36" t="s">
        <v>53</v>
      </c>
      <c r="B185" s="40">
        <f t="shared" ref="B185:L185" si="108">B30+B61+B92+B154</f>
        <v>96.600000000000009</v>
      </c>
      <c r="C185" s="40">
        <f t="shared" si="108"/>
        <v>110.5</v>
      </c>
      <c r="D185" s="40">
        <f t="shared" si="108"/>
        <v>135.9</v>
      </c>
      <c r="E185" s="40">
        <f t="shared" si="108"/>
        <v>157.6</v>
      </c>
      <c r="F185" s="40">
        <f t="shared" si="108"/>
        <v>175.2</v>
      </c>
      <c r="G185" s="40">
        <f t="shared" si="108"/>
        <v>188.10000000000002</v>
      </c>
      <c r="H185" s="40">
        <f t="shared" si="108"/>
        <v>210.89999999999998</v>
      </c>
      <c r="I185" s="40">
        <f t="shared" si="108"/>
        <v>240.1</v>
      </c>
      <c r="J185" s="40">
        <f t="shared" si="108"/>
        <v>267.5</v>
      </c>
      <c r="K185" s="40">
        <f t="shared" si="108"/>
        <v>327.7</v>
      </c>
      <c r="L185" s="40">
        <f t="shared" si="108"/>
        <v>191</v>
      </c>
      <c r="N185" s="36" t="s">
        <v>53</v>
      </c>
      <c r="O185" s="40">
        <f t="shared" ref="O185:Y185" si="109">O30+O61+O92+O154</f>
        <v>33.82352941176471</v>
      </c>
      <c r="P185" s="40">
        <f t="shared" si="109"/>
        <v>34.650360614612737</v>
      </c>
      <c r="Q185" s="40">
        <f t="shared" si="109"/>
        <v>31.938895417156289</v>
      </c>
      <c r="R185" s="40">
        <f t="shared" si="109"/>
        <v>31.928687196110207</v>
      </c>
      <c r="S185" s="40">
        <f t="shared" si="109"/>
        <v>30.321910695742474</v>
      </c>
      <c r="T185" s="40">
        <f t="shared" si="109"/>
        <v>30.932412432165762</v>
      </c>
      <c r="U185" s="40">
        <f t="shared" si="109"/>
        <v>30.201918946011745</v>
      </c>
      <c r="V185" s="40">
        <f t="shared" si="109"/>
        <v>31.234551840770127</v>
      </c>
      <c r="W185" s="40">
        <f t="shared" si="109"/>
        <v>30.30131400090621</v>
      </c>
      <c r="X185" s="40">
        <f t="shared" si="109"/>
        <v>27.90598654517585</v>
      </c>
      <c r="Y185" s="40">
        <f t="shared" si="109"/>
        <v>30.643349911759991</v>
      </c>
    </row>
    <row r="187" spans="1:25" s="36" customFormat="1" ht="13" x14ac:dyDescent="0.3">
      <c r="A187" s="35" t="s">
        <v>60</v>
      </c>
      <c r="N187" s="35"/>
    </row>
    <row r="188" spans="1:25" s="36" customFormat="1" ht="13" x14ac:dyDescent="0.3">
      <c r="B188" s="62" t="s">
        <v>25</v>
      </c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</row>
    <row r="189" spans="1:25" s="36" customFormat="1" ht="12.5" x14ac:dyDescent="0.25">
      <c r="B189" s="37" t="s">
        <v>34</v>
      </c>
      <c r="C189" s="38" t="s">
        <v>35</v>
      </c>
      <c r="D189" s="39" t="s">
        <v>36</v>
      </c>
      <c r="E189" s="39" t="s">
        <v>37</v>
      </c>
      <c r="F189" s="39" t="s">
        <v>38</v>
      </c>
      <c r="G189" s="39" t="s">
        <v>39</v>
      </c>
      <c r="H189" s="39" t="s">
        <v>40</v>
      </c>
      <c r="I189" s="39" t="s">
        <v>41</v>
      </c>
      <c r="J189" s="39" t="s">
        <v>42</v>
      </c>
      <c r="K189" s="39" t="s">
        <v>43</v>
      </c>
      <c r="L189" s="37" t="s">
        <v>44</v>
      </c>
      <c r="O189" s="37"/>
      <c r="P189" s="38"/>
      <c r="Q189" s="39"/>
      <c r="R189" s="39"/>
      <c r="S189" s="39"/>
      <c r="T189" s="39"/>
      <c r="U189" s="39"/>
      <c r="V189" s="39"/>
      <c r="W189" s="39"/>
      <c r="X189" s="39"/>
      <c r="Y189" s="37"/>
    </row>
    <row r="190" spans="1:25" s="36" customFormat="1" ht="12.5" x14ac:dyDescent="0.25">
      <c r="A190" s="36">
        <v>1997</v>
      </c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</row>
    <row r="191" spans="1:25" s="36" customFormat="1" ht="12.5" x14ac:dyDescent="0.25">
      <c r="A191" s="36">
        <v>1998</v>
      </c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</row>
    <row r="192" spans="1:25" s="36" customFormat="1" ht="12.5" x14ac:dyDescent="0.25">
      <c r="A192" s="36">
        <v>1999</v>
      </c>
      <c r="B192" s="40">
        <v>119.7</v>
      </c>
      <c r="C192" s="40">
        <v>146.80000000000001</v>
      </c>
      <c r="D192" s="40">
        <v>178.1</v>
      </c>
      <c r="E192" s="40">
        <v>244.8</v>
      </c>
      <c r="F192" s="40">
        <v>300</v>
      </c>
      <c r="G192" s="40">
        <v>361.8</v>
      </c>
      <c r="H192" s="40">
        <v>412.9</v>
      </c>
      <c r="I192" s="40">
        <v>481.8</v>
      </c>
      <c r="J192" s="40">
        <v>565.20000000000005</v>
      </c>
      <c r="K192" s="40">
        <v>782.5</v>
      </c>
      <c r="L192" s="40">
        <v>359.4</v>
      </c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</row>
    <row r="193" spans="1:25" s="36" customFormat="1" ht="12.5" x14ac:dyDescent="0.25">
      <c r="A193" s="36">
        <v>2000</v>
      </c>
      <c r="B193" s="40">
        <v>126.6532</v>
      </c>
      <c r="C193" s="40">
        <v>153.7954</v>
      </c>
      <c r="D193" s="40">
        <v>215.12610000000001</v>
      </c>
      <c r="E193" s="40">
        <v>266.68880000000001</v>
      </c>
      <c r="F193" s="40">
        <v>329.01749999999998</v>
      </c>
      <c r="G193" s="40">
        <v>370.19549999999998</v>
      </c>
      <c r="H193" s="40">
        <v>448.04579999999999</v>
      </c>
      <c r="I193" s="40">
        <v>500.48039999999997</v>
      </c>
      <c r="J193" s="40">
        <v>597.31510000000003</v>
      </c>
      <c r="K193" s="40">
        <v>849.04100000000005</v>
      </c>
      <c r="L193" s="40">
        <v>385.71679999999998</v>
      </c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</row>
    <row r="194" spans="1:25" s="36" customFormat="1" ht="12.5" x14ac:dyDescent="0.25">
      <c r="A194" s="36">
        <v>2001</v>
      </c>
      <c r="B194" s="40">
        <v>128.0429</v>
      </c>
      <c r="C194" s="40">
        <v>171.32730000000001</v>
      </c>
      <c r="D194" s="40">
        <v>217.36340000000001</v>
      </c>
      <c r="E194" s="40">
        <v>279.42500000000001</v>
      </c>
      <c r="F194" s="40">
        <v>322.01310000000001</v>
      </c>
      <c r="G194" s="40">
        <v>388.9633</v>
      </c>
      <c r="H194" s="40">
        <v>449.4237</v>
      </c>
      <c r="I194" s="40">
        <v>529.77750000000003</v>
      </c>
      <c r="J194" s="40">
        <v>608.17909999999995</v>
      </c>
      <c r="K194" s="40">
        <v>888.39769999999999</v>
      </c>
      <c r="L194" s="40">
        <v>398.31360000000001</v>
      </c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</row>
    <row r="195" spans="1:25" s="36" customFormat="1" ht="12.5" x14ac:dyDescent="0.25">
      <c r="A195" s="36">
        <v>2002</v>
      </c>
      <c r="B195" s="40">
        <v>135.5651</v>
      </c>
      <c r="C195" s="40">
        <v>169.39240000000001</v>
      </c>
      <c r="D195" s="40">
        <v>219.43100000000001</v>
      </c>
      <c r="E195" s="40">
        <v>295.15940000000001</v>
      </c>
      <c r="F195" s="40">
        <v>335.01479999999998</v>
      </c>
      <c r="G195" s="40">
        <v>400.42039999999997</v>
      </c>
      <c r="H195" s="40">
        <v>455.86529999999999</v>
      </c>
      <c r="I195" s="40">
        <v>534.06769999999995</v>
      </c>
      <c r="J195" s="40">
        <v>634.18949999999995</v>
      </c>
      <c r="K195" s="40">
        <v>883.36130000000003</v>
      </c>
      <c r="L195" s="40">
        <v>406.18970000000002</v>
      </c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</row>
    <row r="196" spans="1:25" s="36" customFormat="1" ht="12.5" x14ac:dyDescent="0.25">
      <c r="A196" s="36">
        <v>2003</v>
      </c>
      <c r="B196" s="40">
        <v>139.60910000000001</v>
      </c>
      <c r="C196" s="40">
        <v>173.30520000000001</v>
      </c>
      <c r="D196" s="40">
        <v>224.20849999999999</v>
      </c>
      <c r="E196" s="40">
        <v>298.32580000000002</v>
      </c>
      <c r="F196" s="40">
        <v>361.68110000000001</v>
      </c>
      <c r="G196" s="40">
        <v>411.4187</v>
      </c>
      <c r="H196" s="40">
        <v>478.61169999999998</v>
      </c>
      <c r="I196" s="40">
        <v>557.21379999999999</v>
      </c>
      <c r="J196" s="40">
        <v>632.29539999999997</v>
      </c>
      <c r="K196" s="40">
        <v>904.99509999999998</v>
      </c>
      <c r="L196" s="40">
        <v>418.12520000000001</v>
      </c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</row>
    <row r="197" spans="1:25" s="36" customFormat="1" ht="12.5" x14ac:dyDescent="0.25">
      <c r="A197" s="36">
        <v>2004</v>
      </c>
      <c r="B197" s="40">
        <v>147.30940000000001</v>
      </c>
      <c r="C197" s="40">
        <v>178.32320000000001</v>
      </c>
      <c r="D197" s="40">
        <v>248.74359999999999</v>
      </c>
      <c r="E197" s="40">
        <v>312.875</v>
      </c>
      <c r="F197" s="40">
        <v>373.31169999999997</v>
      </c>
      <c r="G197" s="40">
        <v>435.8261</v>
      </c>
      <c r="H197" s="40">
        <v>489.68299999999999</v>
      </c>
      <c r="I197" s="40">
        <v>568.31129999999996</v>
      </c>
      <c r="J197" s="40">
        <v>664.69330000000002</v>
      </c>
      <c r="K197" s="40">
        <v>925.66250000000002</v>
      </c>
      <c r="L197" s="40">
        <v>434.42680000000001</v>
      </c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</row>
    <row r="198" spans="1:25" s="36" customFormat="1" ht="12.5" x14ac:dyDescent="0.25">
      <c r="A198" s="36">
        <v>2005</v>
      </c>
      <c r="B198" s="40">
        <v>153.60120000000001</v>
      </c>
      <c r="C198" s="40">
        <v>178.92339999999999</v>
      </c>
      <c r="D198" s="40">
        <v>264.51560000000001</v>
      </c>
      <c r="E198" s="40">
        <v>310.14800000000002</v>
      </c>
      <c r="F198" s="40">
        <v>356.68599999999998</v>
      </c>
      <c r="G198" s="40">
        <v>434.56240000000003</v>
      </c>
      <c r="H198" s="40">
        <v>479.0487</v>
      </c>
      <c r="I198" s="40">
        <v>584.06790000000001</v>
      </c>
      <c r="J198" s="40">
        <v>682.6395</v>
      </c>
      <c r="K198" s="40">
        <v>989.72969999999998</v>
      </c>
      <c r="L198" s="40">
        <v>443.35180000000003</v>
      </c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</row>
    <row r="199" spans="1:25" s="36" customFormat="1" ht="12.5" x14ac:dyDescent="0.25">
      <c r="A199" s="36">
        <v>2006</v>
      </c>
      <c r="B199" s="40">
        <v>155.5778</v>
      </c>
      <c r="C199" s="40">
        <v>199.75880000000001</v>
      </c>
      <c r="D199" s="40">
        <v>271.42660000000001</v>
      </c>
      <c r="E199" s="40">
        <v>332.95549999999997</v>
      </c>
      <c r="F199" s="40">
        <v>380.22809999999998</v>
      </c>
      <c r="G199" s="40">
        <v>438.06040000000002</v>
      </c>
      <c r="H199" s="40">
        <v>506.88690000000003</v>
      </c>
      <c r="I199" s="40">
        <v>594.10170000000005</v>
      </c>
      <c r="J199" s="40">
        <v>715.52509999999995</v>
      </c>
      <c r="K199" s="40">
        <v>964.37890000000004</v>
      </c>
      <c r="L199" s="40">
        <v>455.8854</v>
      </c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</row>
    <row r="200" spans="1:25" s="36" customFormat="1" ht="12.5" x14ac:dyDescent="0.25">
      <c r="A200" s="36">
        <v>2007</v>
      </c>
      <c r="B200" s="40">
        <v>172.38130000000001</v>
      </c>
      <c r="C200" s="40">
        <v>195.37520000000001</v>
      </c>
      <c r="D200" s="40">
        <v>260.35270000000003</v>
      </c>
      <c r="E200" s="40">
        <v>327.16070000000002</v>
      </c>
      <c r="F200" s="40">
        <v>392.2826</v>
      </c>
      <c r="G200" s="40">
        <v>458.79939999999999</v>
      </c>
      <c r="H200" s="40">
        <v>506.54050000000001</v>
      </c>
      <c r="I200" s="40">
        <v>598.80460000000005</v>
      </c>
      <c r="J200" s="40">
        <v>693.84519999999998</v>
      </c>
      <c r="K200" s="40">
        <v>986.72630000000004</v>
      </c>
      <c r="L200" s="40">
        <v>459.16329999999999</v>
      </c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</row>
    <row r="201" spans="1:25" s="36" customFormat="1" ht="12.5" x14ac:dyDescent="0.25">
      <c r="A201" s="36">
        <v>2008</v>
      </c>
      <c r="B201" s="40">
        <v>153.69999999999999</v>
      </c>
      <c r="C201" s="40">
        <v>200</v>
      </c>
      <c r="D201" s="40">
        <v>257.10000000000002</v>
      </c>
      <c r="E201" s="40">
        <v>330.1</v>
      </c>
      <c r="F201" s="40">
        <v>393</v>
      </c>
      <c r="G201" s="40">
        <v>459.2</v>
      </c>
      <c r="H201" s="40">
        <v>536.70000000000005</v>
      </c>
      <c r="I201" s="40">
        <v>625.70000000000005</v>
      </c>
      <c r="J201" s="40">
        <v>710.4</v>
      </c>
      <c r="K201" s="40">
        <v>1044.9000000000001</v>
      </c>
      <c r="L201" s="40">
        <v>471</v>
      </c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</row>
    <row r="202" spans="1:25" s="36" customFormat="1" ht="12.5" x14ac:dyDescent="0.25">
      <c r="A202" s="36">
        <v>2009</v>
      </c>
      <c r="B202" s="40">
        <v>162.69999999999999</v>
      </c>
      <c r="C202" s="40">
        <v>213.7</v>
      </c>
      <c r="D202" s="40">
        <v>280.7</v>
      </c>
      <c r="E202" s="40">
        <v>333.7</v>
      </c>
      <c r="F202" s="40">
        <v>384.9</v>
      </c>
      <c r="G202" s="40">
        <v>434.3</v>
      </c>
      <c r="H202" s="40">
        <v>500.5</v>
      </c>
      <c r="I202" s="40">
        <v>581.20000000000005</v>
      </c>
      <c r="J202" s="40">
        <v>666.4</v>
      </c>
      <c r="K202" s="40">
        <v>992.1</v>
      </c>
      <c r="L202" s="40">
        <v>455</v>
      </c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</row>
    <row r="203" spans="1:25" s="36" customFormat="1" ht="12.5" x14ac:dyDescent="0.25">
      <c r="A203" s="36">
        <v>2010</v>
      </c>
      <c r="B203" s="40">
        <v>185.6</v>
      </c>
      <c r="C203" s="40">
        <v>214.8</v>
      </c>
      <c r="D203" s="40">
        <v>272.7</v>
      </c>
      <c r="E203" s="40">
        <v>344.4</v>
      </c>
      <c r="F203" s="40">
        <v>400</v>
      </c>
      <c r="G203" s="40">
        <v>458.8</v>
      </c>
      <c r="H203" s="40">
        <v>531.29999999999995</v>
      </c>
      <c r="I203" s="40">
        <v>590.79999999999995</v>
      </c>
      <c r="J203" s="40">
        <v>720.7</v>
      </c>
      <c r="K203" s="40">
        <v>1018.5</v>
      </c>
      <c r="L203" s="40">
        <v>473.6</v>
      </c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</row>
    <row r="204" spans="1:25" s="36" customFormat="1" ht="12.5" x14ac:dyDescent="0.25">
      <c r="A204" s="36">
        <v>2011</v>
      </c>
      <c r="B204" s="40">
        <v>177.1</v>
      </c>
      <c r="C204" s="40">
        <v>219.3</v>
      </c>
      <c r="D204" s="40">
        <v>292</v>
      </c>
      <c r="E204" s="40">
        <v>355.7</v>
      </c>
      <c r="F204" s="40">
        <v>414.6</v>
      </c>
      <c r="G204" s="40">
        <v>474.7</v>
      </c>
      <c r="H204" s="40">
        <v>538.20000000000005</v>
      </c>
      <c r="I204" s="40">
        <v>609</v>
      </c>
      <c r="J204" s="40">
        <v>746.5</v>
      </c>
      <c r="K204" s="40">
        <v>1010.2</v>
      </c>
      <c r="L204" s="40">
        <v>483.6</v>
      </c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</row>
    <row r="205" spans="1:25" s="36" customFormat="1" ht="12.5" x14ac:dyDescent="0.25">
      <c r="A205" s="36">
        <v>2012</v>
      </c>
      <c r="B205" s="40">
        <v>193.1</v>
      </c>
      <c r="C205" s="40">
        <v>223.3</v>
      </c>
      <c r="D205" s="40">
        <v>281.39999999999998</v>
      </c>
      <c r="E205" s="40">
        <v>366.4</v>
      </c>
      <c r="F205" s="40">
        <v>411.8</v>
      </c>
      <c r="G205" s="40">
        <v>484</v>
      </c>
      <c r="H205" s="40">
        <v>531.4</v>
      </c>
      <c r="I205" s="40">
        <v>629.29999999999995</v>
      </c>
      <c r="J205" s="40">
        <v>710.7</v>
      </c>
      <c r="K205" s="40">
        <v>1058</v>
      </c>
      <c r="L205" s="40">
        <v>489</v>
      </c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</row>
    <row r="206" spans="1:25" s="36" customFormat="1" ht="12.5" x14ac:dyDescent="0.25">
      <c r="A206" s="36">
        <v>2013</v>
      </c>
      <c r="B206" s="40">
        <v>196.3</v>
      </c>
      <c r="C206" s="40">
        <v>229.3</v>
      </c>
      <c r="D206" s="40">
        <v>308.60000000000002</v>
      </c>
      <c r="E206" s="40">
        <v>376.4</v>
      </c>
      <c r="F206" s="40">
        <v>442.7</v>
      </c>
      <c r="G206" s="40">
        <v>514.4</v>
      </c>
      <c r="H206" s="40">
        <v>572.1</v>
      </c>
      <c r="I206" s="40">
        <v>643</v>
      </c>
      <c r="J206" s="40">
        <v>772.4</v>
      </c>
      <c r="K206" s="40">
        <v>1119.0999999999999</v>
      </c>
      <c r="L206" s="40">
        <v>517.29999999999995</v>
      </c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</row>
    <row r="207" spans="1:25" s="36" customFormat="1" ht="12.5" x14ac:dyDescent="0.25">
      <c r="A207" s="36">
        <v>2014</v>
      </c>
      <c r="B207" s="40">
        <v>190.4</v>
      </c>
      <c r="C207" s="40">
        <v>249.5</v>
      </c>
      <c r="D207" s="40">
        <v>319.60000000000002</v>
      </c>
      <c r="E207" s="40">
        <v>375.3</v>
      </c>
      <c r="F207" s="40">
        <v>444.9</v>
      </c>
      <c r="G207" s="40">
        <v>519.5</v>
      </c>
      <c r="H207" s="40">
        <v>593.5</v>
      </c>
      <c r="I207" s="40">
        <v>685.8</v>
      </c>
      <c r="J207" s="40">
        <v>780.4</v>
      </c>
      <c r="K207" s="40">
        <v>1155.9000000000001</v>
      </c>
      <c r="L207" s="40">
        <v>531.29999999999995</v>
      </c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</row>
    <row r="208" spans="1:25" s="36" customFormat="1" ht="12.5" x14ac:dyDescent="0.25">
      <c r="A208" s="36" t="s">
        <v>45</v>
      </c>
      <c r="B208" s="40">
        <v>180</v>
      </c>
      <c r="C208" s="40">
        <v>261.10000000000002</v>
      </c>
      <c r="D208" s="40">
        <v>308</v>
      </c>
      <c r="E208" s="40">
        <v>370.2</v>
      </c>
      <c r="F208" s="40">
        <v>462.5</v>
      </c>
      <c r="G208" s="40">
        <v>543</v>
      </c>
      <c r="H208" s="40">
        <v>587.1</v>
      </c>
      <c r="I208" s="40">
        <v>661.8</v>
      </c>
      <c r="J208" s="40">
        <v>780</v>
      </c>
      <c r="K208" s="40">
        <v>1136.2</v>
      </c>
      <c r="L208" s="40">
        <v>528.9</v>
      </c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</row>
    <row r="209" spans="1:25" s="36" customFormat="1" ht="12.5" x14ac:dyDescent="0.25">
      <c r="A209" s="36" t="s">
        <v>46</v>
      </c>
      <c r="B209" s="40">
        <v>207.2</v>
      </c>
      <c r="C209" s="40">
        <v>265</v>
      </c>
      <c r="D209" s="40">
        <v>337.2</v>
      </c>
      <c r="E209" s="40">
        <v>424.2</v>
      </c>
      <c r="F209" s="40">
        <v>506.1</v>
      </c>
      <c r="G209" s="40">
        <v>553.29999999999995</v>
      </c>
      <c r="H209" s="40">
        <v>610.79999999999995</v>
      </c>
      <c r="I209" s="40">
        <v>701.7</v>
      </c>
      <c r="J209" s="40">
        <v>819.7</v>
      </c>
      <c r="K209" s="40">
        <v>1116.8</v>
      </c>
      <c r="L209" s="40">
        <v>554.20000000000005</v>
      </c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</row>
    <row r="210" spans="1:25" s="36" customFormat="1" ht="12.5" x14ac:dyDescent="0.25">
      <c r="A210" s="36" t="s">
        <v>47</v>
      </c>
      <c r="B210" s="40">
        <v>212.8</v>
      </c>
      <c r="C210" s="40">
        <v>265.3</v>
      </c>
      <c r="D210" s="40">
        <v>356.7</v>
      </c>
      <c r="E210" s="40">
        <v>423.2</v>
      </c>
      <c r="F210" s="40">
        <v>486.3</v>
      </c>
      <c r="G210" s="40">
        <v>579.70000000000005</v>
      </c>
      <c r="H210" s="40">
        <v>642.70000000000005</v>
      </c>
      <c r="I210" s="40">
        <v>731.6</v>
      </c>
      <c r="J210" s="40">
        <v>826.5</v>
      </c>
      <c r="K210" s="40">
        <v>1233.8</v>
      </c>
      <c r="L210" s="40">
        <v>575.70000000000005</v>
      </c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</row>
    <row r="211" spans="1:25" s="36" customFormat="1" ht="12.5" x14ac:dyDescent="0.25">
      <c r="A211" s="36" t="s">
        <v>48</v>
      </c>
      <c r="B211" s="40">
        <v>236.9</v>
      </c>
      <c r="C211" s="40">
        <v>291.60000000000002</v>
      </c>
      <c r="D211" s="40">
        <v>361.7</v>
      </c>
      <c r="E211" s="40">
        <v>434.3</v>
      </c>
      <c r="F211" s="40">
        <v>527.5</v>
      </c>
      <c r="G211" s="40">
        <v>589</v>
      </c>
      <c r="H211" s="40">
        <v>643.79999999999995</v>
      </c>
      <c r="I211" s="40">
        <v>752.4</v>
      </c>
      <c r="J211" s="40">
        <v>873.8</v>
      </c>
      <c r="K211" s="40">
        <v>1209.4000000000001</v>
      </c>
      <c r="L211" s="40">
        <v>592</v>
      </c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</row>
    <row r="212" spans="1:25" s="36" customFormat="1" ht="12.5" x14ac:dyDescent="0.25">
      <c r="A212" s="36" t="s">
        <v>49</v>
      </c>
      <c r="B212" s="40">
        <v>244.9</v>
      </c>
      <c r="C212" s="40">
        <v>287.10000000000002</v>
      </c>
      <c r="D212" s="40">
        <v>363.2</v>
      </c>
      <c r="E212" s="40">
        <v>436</v>
      </c>
      <c r="F212" s="40">
        <v>515.1</v>
      </c>
      <c r="G212" s="40">
        <v>584.20000000000005</v>
      </c>
      <c r="H212" s="40">
        <v>650.5</v>
      </c>
      <c r="I212" s="40">
        <v>761.9</v>
      </c>
      <c r="J212" s="40">
        <v>837.2</v>
      </c>
      <c r="K212" s="40">
        <v>1199.5</v>
      </c>
      <c r="L212" s="40">
        <v>587.9</v>
      </c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</row>
    <row r="213" spans="1:25" x14ac:dyDescent="0.35">
      <c r="A213" s="36" t="s">
        <v>50</v>
      </c>
      <c r="B213" s="40">
        <v>202</v>
      </c>
      <c r="C213" s="40">
        <v>250.5</v>
      </c>
      <c r="D213" s="40">
        <v>345.2</v>
      </c>
      <c r="E213" s="40">
        <v>348.1</v>
      </c>
      <c r="F213" s="40">
        <v>434.9</v>
      </c>
      <c r="G213" s="40">
        <v>485.1</v>
      </c>
      <c r="H213" s="40">
        <v>515</v>
      </c>
      <c r="I213" s="40">
        <v>608.1</v>
      </c>
      <c r="J213" s="40">
        <v>685.2</v>
      </c>
      <c r="K213" s="40">
        <v>941.3</v>
      </c>
      <c r="L213" s="40">
        <v>481.5</v>
      </c>
    </row>
    <row r="214" spans="1:25" x14ac:dyDescent="0.35">
      <c r="A214" s="36" t="s">
        <v>51</v>
      </c>
      <c r="B214" s="40">
        <v>252</v>
      </c>
      <c r="C214" s="40">
        <v>283.60000000000002</v>
      </c>
      <c r="D214" s="40">
        <v>349.6</v>
      </c>
      <c r="E214" s="40">
        <v>413.7</v>
      </c>
      <c r="F214" s="40">
        <v>489</v>
      </c>
      <c r="G214" s="40">
        <v>513.70000000000005</v>
      </c>
      <c r="H214" s="40">
        <v>571.4</v>
      </c>
      <c r="I214" s="40">
        <v>661.1</v>
      </c>
      <c r="J214" s="40">
        <v>752.4</v>
      </c>
      <c r="K214" s="40">
        <v>1002.7</v>
      </c>
      <c r="L214" s="40">
        <v>528.79999999999995</v>
      </c>
    </row>
    <row r="215" spans="1:25" x14ac:dyDescent="0.35">
      <c r="A215" s="36" t="s">
        <v>52</v>
      </c>
      <c r="B215" s="40">
        <v>261.89999999999998</v>
      </c>
      <c r="C215" s="40">
        <v>317.8</v>
      </c>
      <c r="D215" s="40">
        <v>404.2</v>
      </c>
      <c r="E215" s="40">
        <v>466.2</v>
      </c>
      <c r="F215" s="40">
        <v>508.9</v>
      </c>
      <c r="G215" s="40">
        <v>575.9</v>
      </c>
      <c r="H215" s="40">
        <v>610.20000000000005</v>
      </c>
      <c r="I215" s="40">
        <v>708.1</v>
      </c>
      <c r="J215" s="40">
        <v>796.6</v>
      </c>
      <c r="K215" s="40">
        <v>1029.7</v>
      </c>
      <c r="L215" s="40">
        <v>567.70000000000005</v>
      </c>
    </row>
    <row r="216" spans="1:25" x14ac:dyDescent="0.35">
      <c r="A216" s="36" t="s">
        <v>53</v>
      </c>
      <c r="B216" s="40">
        <v>285.60000000000002</v>
      </c>
      <c r="C216" s="40">
        <v>318.89999999999998</v>
      </c>
      <c r="D216" s="40">
        <v>425.5</v>
      </c>
      <c r="E216" s="40">
        <v>493.6</v>
      </c>
      <c r="F216" s="40">
        <v>577.79999999999995</v>
      </c>
      <c r="G216" s="40">
        <v>608.1</v>
      </c>
      <c r="H216" s="40">
        <v>698.3</v>
      </c>
      <c r="I216" s="40">
        <v>768.7</v>
      </c>
      <c r="J216" s="40">
        <v>882.8</v>
      </c>
      <c r="K216" s="40">
        <v>1174.3</v>
      </c>
      <c r="L216" s="40">
        <v>623.29999999999995</v>
      </c>
    </row>
    <row r="218" spans="1:25" s="36" customFormat="1" ht="13" x14ac:dyDescent="0.3">
      <c r="A218" s="35" t="s">
        <v>62</v>
      </c>
      <c r="N218" s="35"/>
    </row>
    <row r="219" spans="1:25" s="36" customFormat="1" ht="13" x14ac:dyDescent="0.3">
      <c r="B219" s="62" t="s">
        <v>25</v>
      </c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</row>
    <row r="220" spans="1:25" s="36" customFormat="1" ht="12.5" x14ac:dyDescent="0.25">
      <c r="B220" s="37" t="s">
        <v>34</v>
      </c>
      <c r="C220" s="38" t="s">
        <v>35</v>
      </c>
      <c r="D220" s="39" t="s">
        <v>36</v>
      </c>
      <c r="E220" s="39" t="s">
        <v>37</v>
      </c>
      <c r="F220" s="39" t="s">
        <v>38</v>
      </c>
      <c r="G220" s="39" t="s">
        <v>39</v>
      </c>
      <c r="H220" s="39" t="s">
        <v>40</v>
      </c>
      <c r="I220" s="39" t="s">
        <v>41</v>
      </c>
      <c r="J220" s="39" t="s">
        <v>42</v>
      </c>
      <c r="K220" s="39" t="s">
        <v>43</v>
      </c>
      <c r="L220" s="37" t="s">
        <v>44</v>
      </c>
      <c r="O220" s="37"/>
      <c r="P220" s="38"/>
      <c r="Q220" s="39"/>
      <c r="R220" s="39"/>
      <c r="S220" s="39"/>
      <c r="T220" s="39"/>
      <c r="U220" s="39"/>
      <c r="V220" s="39"/>
      <c r="W220" s="39"/>
      <c r="X220" s="39"/>
      <c r="Y220" s="37"/>
    </row>
    <row r="221" spans="1:25" s="36" customFormat="1" ht="12.5" x14ac:dyDescent="0.25">
      <c r="A221" s="36">
        <v>1997</v>
      </c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</row>
    <row r="222" spans="1:25" s="36" customFormat="1" ht="12.5" x14ac:dyDescent="0.25">
      <c r="A222" s="36">
        <v>1998</v>
      </c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</row>
    <row r="223" spans="1:25" s="36" customFormat="1" ht="12.5" x14ac:dyDescent="0.25">
      <c r="A223" s="36">
        <v>1999</v>
      </c>
      <c r="B223" s="40">
        <f>100*(B161/B192)</f>
        <v>36.507936507936506</v>
      </c>
      <c r="C223" s="40">
        <f t="shared" ref="C223:L223" si="110">100*(C161/C192)</f>
        <v>37.94277929155313</v>
      </c>
      <c r="D223" s="40">
        <f t="shared" si="110"/>
        <v>35.654126895002811</v>
      </c>
      <c r="E223" s="40">
        <f t="shared" si="110"/>
        <v>30.923202614379086</v>
      </c>
      <c r="F223" s="40">
        <f t="shared" si="110"/>
        <v>28.966666666666661</v>
      </c>
      <c r="G223" s="40">
        <f t="shared" si="110"/>
        <v>27.694859038142621</v>
      </c>
      <c r="H223" s="40">
        <f t="shared" si="110"/>
        <v>26.931460402034389</v>
      </c>
      <c r="I223" s="40">
        <f t="shared" si="110"/>
        <v>25.757575757575751</v>
      </c>
      <c r="J223" s="40">
        <f t="shared" si="110"/>
        <v>24.504600141542817</v>
      </c>
      <c r="K223" s="40">
        <f t="shared" si="110"/>
        <v>21.39297124600639</v>
      </c>
      <c r="L223" s="40">
        <f t="shared" si="110"/>
        <v>26.878130217028385</v>
      </c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</row>
    <row r="224" spans="1:25" s="36" customFormat="1" ht="12.5" x14ac:dyDescent="0.25">
      <c r="A224" s="36">
        <v>2000</v>
      </c>
      <c r="B224" s="40">
        <f t="shared" ref="B224:L224" si="111">100*(B162/B193)</f>
        <v>35.945321555239026</v>
      </c>
      <c r="C224" s="40">
        <f t="shared" si="111"/>
        <v>36.69166958179504</v>
      </c>
      <c r="D224" s="40">
        <f t="shared" si="111"/>
        <v>34.094793704715514</v>
      </c>
      <c r="E224" s="40">
        <f t="shared" si="111"/>
        <v>29.812425568677796</v>
      </c>
      <c r="F224" s="40">
        <f t="shared" si="111"/>
        <v>28.177315796272236</v>
      </c>
      <c r="G224" s="40">
        <f t="shared" si="111"/>
        <v>27.74288180164265</v>
      </c>
      <c r="H224" s="40">
        <f t="shared" si="111"/>
        <v>26.262560657861322</v>
      </c>
      <c r="I224" s="40">
        <f t="shared" si="111"/>
        <v>25.715292746728942</v>
      </c>
      <c r="J224" s="40">
        <f t="shared" si="111"/>
        <v>23.671090853052267</v>
      </c>
      <c r="K224" s="40">
        <f t="shared" si="111"/>
        <v>20.875752761056297</v>
      </c>
      <c r="L224" s="40">
        <f t="shared" si="111"/>
        <v>26.323795074521001</v>
      </c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</row>
    <row r="225" spans="1:25" s="36" customFormat="1" ht="12.5" x14ac:dyDescent="0.25">
      <c r="A225" s="36">
        <v>2001</v>
      </c>
      <c r="B225" s="40">
        <f t="shared" ref="B225:L225" si="112">100*(B163/B194)</f>
        <v>30.970245128781055</v>
      </c>
      <c r="C225" s="40">
        <f t="shared" si="112"/>
        <v>30.603062092264338</v>
      </c>
      <c r="D225" s="40">
        <f t="shared" si="112"/>
        <v>30.057268150939848</v>
      </c>
      <c r="E225" s="40">
        <f t="shared" si="112"/>
        <v>28.749825534579937</v>
      </c>
      <c r="F225" s="40">
        <f t="shared" si="112"/>
        <v>29.031613931234475</v>
      </c>
      <c r="G225" s="40">
        <f t="shared" si="112"/>
        <v>27.376233181896598</v>
      </c>
      <c r="H225" s="40">
        <f t="shared" si="112"/>
        <v>28.452571593353891</v>
      </c>
      <c r="I225" s="40">
        <f t="shared" si="112"/>
        <v>27.058736922575989</v>
      </c>
      <c r="J225" s="40">
        <f t="shared" si="112"/>
        <v>26.757364730225031</v>
      </c>
      <c r="K225" s="40">
        <f t="shared" si="112"/>
        <v>22.944757736315616</v>
      </c>
      <c r="L225" s="40">
        <f t="shared" si="112"/>
        <v>27.003170366264168</v>
      </c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</row>
    <row r="226" spans="1:25" s="36" customFormat="1" ht="12.5" x14ac:dyDescent="0.25">
      <c r="A226" s="36">
        <v>2002</v>
      </c>
      <c r="B226" s="40">
        <f t="shared" ref="B226:L226" si="113">100*(B164/B195)</f>
        <v>29.270365307885289</v>
      </c>
      <c r="C226" s="40">
        <f t="shared" si="113"/>
        <v>29.814560747707691</v>
      </c>
      <c r="D226" s="40">
        <f t="shared" si="113"/>
        <v>29.696259872123811</v>
      </c>
      <c r="E226" s="40">
        <f t="shared" si="113"/>
        <v>27.867315084662724</v>
      </c>
      <c r="F226" s="40">
        <f t="shared" si="113"/>
        <v>27.733640424243944</v>
      </c>
      <c r="G226" s="40">
        <f t="shared" si="113"/>
        <v>27.807948845763104</v>
      </c>
      <c r="H226" s="40">
        <f t="shared" si="113"/>
        <v>27.84780942967144</v>
      </c>
      <c r="I226" s="40">
        <f t="shared" si="113"/>
        <v>27.24465456345704</v>
      </c>
      <c r="J226" s="40">
        <f t="shared" si="113"/>
        <v>25.665751325116549</v>
      </c>
      <c r="K226" s="40">
        <f t="shared" si="113"/>
        <v>23.758183655996703</v>
      </c>
      <c r="L226" s="40">
        <f t="shared" si="113"/>
        <v>26.75663612346645</v>
      </c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</row>
    <row r="227" spans="1:25" s="36" customFormat="1" ht="12.5" x14ac:dyDescent="0.25">
      <c r="A227" s="36">
        <v>2003</v>
      </c>
      <c r="B227" s="40">
        <f t="shared" ref="B227:L227" si="114">100*(B165/B196)</f>
        <v>29.132484916814157</v>
      </c>
      <c r="C227" s="40">
        <f t="shared" si="114"/>
        <v>29.257517950990504</v>
      </c>
      <c r="D227" s="40">
        <f t="shared" si="114"/>
        <v>29.903014381702747</v>
      </c>
      <c r="E227" s="40">
        <f t="shared" si="114"/>
        <v>27.645848934285937</v>
      </c>
      <c r="F227" s="40">
        <f t="shared" si="114"/>
        <v>27.119443067387266</v>
      </c>
      <c r="G227" s="40">
        <f t="shared" si="114"/>
        <v>27.818545924140054</v>
      </c>
      <c r="H227" s="40">
        <f t="shared" si="114"/>
        <v>27.525528523435593</v>
      </c>
      <c r="I227" s="40">
        <f t="shared" si="114"/>
        <v>26.115756644935928</v>
      </c>
      <c r="J227" s="40">
        <f t="shared" si="114"/>
        <v>26.783557179128621</v>
      </c>
      <c r="K227" s="40">
        <f t="shared" si="114"/>
        <v>23.745310886213638</v>
      </c>
      <c r="L227" s="40">
        <f t="shared" si="114"/>
        <v>26.663090385367827</v>
      </c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</row>
    <row r="228" spans="1:25" s="36" customFormat="1" ht="12.5" x14ac:dyDescent="0.25">
      <c r="A228" s="36">
        <v>2004</v>
      </c>
      <c r="B228" s="40">
        <f t="shared" ref="B228:L228" si="115">100*(B166/B197)</f>
        <v>29.579714532813249</v>
      </c>
      <c r="C228" s="40">
        <f t="shared" si="115"/>
        <v>30.435131267272009</v>
      </c>
      <c r="D228" s="40">
        <f t="shared" si="115"/>
        <v>29.252531522419073</v>
      </c>
      <c r="E228" s="40">
        <f t="shared" si="115"/>
        <v>27.660343587694765</v>
      </c>
      <c r="F228" s="40">
        <f t="shared" si="115"/>
        <v>28.610488232755632</v>
      </c>
      <c r="G228" s="40">
        <f t="shared" si="115"/>
        <v>28.450728398322173</v>
      </c>
      <c r="H228" s="40">
        <f t="shared" si="115"/>
        <v>28.83224453370854</v>
      </c>
      <c r="I228" s="40">
        <f t="shared" si="115"/>
        <v>28.720826068388934</v>
      </c>
      <c r="J228" s="40">
        <f t="shared" si="115"/>
        <v>27.55854467015088</v>
      </c>
      <c r="K228" s="40">
        <f t="shared" si="115"/>
        <v>25.123735702807448</v>
      </c>
      <c r="L228" s="40">
        <f t="shared" si="115"/>
        <v>27.806686880275343</v>
      </c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</row>
    <row r="229" spans="1:25" s="36" customFormat="1" ht="12.5" x14ac:dyDescent="0.25">
      <c r="A229" s="36">
        <v>2005</v>
      </c>
      <c r="B229" s="40">
        <f t="shared" ref="B229:L229" si="116">100*(B167/B198)</f>
        <v>30.017343614503016</v>
      </c>
      <c r="C229" s="40">
        <f t="shared" si="116"/>
        <v>33.006582705224695</v>
      </c>
      <c r="D229" s="40">
        <f t="shared" si="116"/>
        <v>30.277458115891843</v>
      </c>
      <c r="E229" s="40">
        <f t="shared" si="116"/>
        <v>30.866747488295903</v>
      </c>
      <c r="F229" s="40">
        <f t="shared" si="116"/>
        <v>32.28865164318195</v>
      </c>
      <c r="G229" s="40">
        <f t="shared" si="116"/>
        <v>32.35749342326902</v>
      </c>
      <c r="H229" s="40">
        <f t="shared" si="116"/>
        <v>32.123518965817041</v>
      </c>
      <c r="I229" s="40">
        <f t="shared" si="116"/>
        <v>32.361425786282723</v>
      </c>
      <c r="J229" s="40">
        <f t="shared" si="116"/>
        <v>30.670683428075872</v>
      </c>
      <c r="K229" s="40">
        <f t="shared" si="116"/>
        <v>27.801762440795702</v>
      </c>
      <c r="L229" s="40">
        <f t="shared" si="116"/>
        <v>30.767688323358559</v>
      </c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</row>
    <row r="230" spans="1:25" s="36" customFormat="1" ht="12.5" x14ac:dyDescent="0.25">
      <c r="A230" s="36">
        <v>2006</v>
      </c>
      <c r="B230" s="40">
        <f t="shared" ref="B230:L230" si="117">100*(B168/B199)</f>
        <v>33.607879787476108</v>
      </c>
      <c r="C230" s="40">
        <f t="shared" si="117"/>
        <v>33.292851178521296</v>
      </c>
      <c r="D230" s="40">
        <f t="shared" si="117"/>
        <v>31.894515865431021</v>
      </c>
      <c r="E230" s="40">
        <f t="shared" si="117"/>
        <v>31.18002255556674</v>
      </c>
      <c r="F230" s="40">
        <f t="shared" si="117"/>
        <v>33.200492020447726</v>
      </c>
      <c r="G230" s="40">
        <f t="shared" si="117"/>
        <v>33.223865932643079</v>
      </c>
      <c r="H230" s="40">
        <f t="shared" si="117"/>
        <v>32.651267965299553</v>
      </c>
      <c r="I230" s="40">
        <f t="shared" si="117"/>
        <v>31.822009598693285</v>
      </c>
      <c r="J230" s="40">
        <f t="shared" si="117"/>
        <v>31.364001067188283</v>
      </c>
      <c r="K230" s="40">
        <f t="shared" si="117"/>
        <v>28.387193042070908</v>
      </c>
      <c r="L230" s="40">
        <f t="shared" si="117"/>
        <v>31.448254320054996</v>
      </c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</row>
    <row r="231" spans="1:25" s="36" customFormat="1" ht="12.5" x14ac:dyDescent="0.25">
      <c r="A231" s="36">
        <v>2007</v>
      </c>
      <c r="B231" s="40">
        <f t="shared" ref="B231:L231" si="118">100*(B169/B200)</f>
        <v>30.095549807316686</v>
      </c>
      <c r="C231" s="40">
        <f t="shared" si="118"/>
        <v>32.691815542607252</v>
      </c>
      <c r="D231" s="40">
        <f t="shared" si="118"/>
        <v>30.770604645160198</v>
      </c>
      <c r="E231" s="40">
        <f t="shared" si="118"/>
        <v>31.141668299401488</v>
      </c>
      <c r="F231" s="40">
        <f t="shared" si="118"/>
        <v>30.302618571407447</v>
      </c>
      <c r="G231" s="40">
        <f t="shared" si="118"/>
        <v>30.871444034146517</v>
      </c>
      <c r="H231" s="40">
        <f t="shared" si="118"/>
        <v>32.272760026098609</v>
      </c>
      <c r="I231" s="40">
        <f t="shared" si="118"/>
        <v>30.475968287484761</v>
      </c>
      <c r="J231" s="40">
        <f t="shared" si="118"/>
        <v>31.16592865382653</v>
      </c>
      <c r="K231" s="40">
        <f t="shared" si="118"/>
        <v>27.817328878332319</v>
      </c>
      <c r="L231" s="40">
        <f t="shared" si="118"/>
        <v>30.376033973098465</v>
      </c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</row>
    <row r="232" spans="1:25" s="36" customFormat="1" ht="12.5" x14ac:dyDescent="0.25">
      <c r="A232" s="36">
        <v>2008</v>
      </c>
      <c r="B232" s="40">
        <f t="shared" ref="B232:L232" si="119">100*(B170/B201)</f>
        <v>34.092387768379965</v>
      </c>
      <c r="C232" s="40">
        <f t="shared" si="119"/>
        <v>32.800000000000004</v>
      </c>
      <c r="D232" s="40">
        <f t="shared" si="119"/>
        <v>32.244262932711003</v>
      </c>
      <c r="E232" s="40">
        <f t="shared" si="119"/>
        <v>32.868827627991514</v>
      </c>
      <c r="F232" s="40">
        <f t="shared" si="119"/>
        <v>32.62086513994911</v>
      </c>
      <c r="G232" s="40">
        <f t="shared" si="119"/>
        <v>32.273519163763062</v>
      </c>
      <c r="H232" s="40">
        <f t="shared" si="119"/>
        <v>32.662567542388672</v>
      </c>
      <c r="I232" s="40">
        <f t="shared" si="119"/>
        <v>32.411698897235098</v>
      </c>
      <c r="J232" s="40">
        <f t="shared" si="119"/>
        <v>32.573198198198199</v>
      </c>
      <c r="K232" s="40">
        <f t="shared" si="119"/>
        <v>28.299358790314859</v>
      </c>
      <c r="L232" s="40">
        <f t="shared" si="119"/>
        <v>31.634819532908704</v>
      </c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</row>
    <row r="233" spans="1:25" s="36" customFormat="1" ht="12.5" x14ac:dyDescent="0.25">
      <c r="A233" s="36">
        <v>2009</v>
      </c>
      <c r="B233" s="40">
        <f t="shared" ref="B233:L233" si="120">100*(B171/B202)</f>
        <v>33.68162261831592</v>
      </c>
      <c r="C233" s="40">
        <f t="shared" si="120"/>
        <v>31.96069255966308</v>
      </c>
      <c r="D233" s="40">
        <f t="shared" si="120"/>
        <v>32.062700391877449</v>
      </c>
      <c r="E233" s="40">
        <f t="shared" si="120"/>
        <v>30.955948456697634</v>
      </c>
      <c r="F233" s="40">
        <f t="shared" si="120"/>
        <v>31.488698363211231</v>
      </c>
      <c r="G233" s="40">
        <f t="shared" si="120"/>
        <v>31.982500575638962</v>
      </c>
      <c r="H233" s="40">
        <f t="shared" si="120"/>
        <v>32.007992007992009</v>
      </c>
      <c r="I233" s="40">
        <f t="shared" si="120"/>
        <v>32.467309015829315</v>
      </c>
      <c r="J233" s="40">
        <f t="shared" si="120"/>
        <v>31.917767106842739</v>
      </c>
      <c r="K233" s="40">
        <f t="shared" si="120"/>
        <v>28.071766958975907</v>
      </c>
      <c r="L233" s="40">
        <f t="shared" si="120"/>
        <v>31.142857142857139</v>
      </c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</row>
    <row r="234" spans="1:25" s="36" customFormat="1" ht="12.5" x14ac:dyDescent="0.25">
      <c r="A234" s="36">
        <v>2010</v>
      </c>
      <c r="B234" s="40">
        <f t="shared" ref="B234:L234" si="121">100*(B172/B203)</f>
        <v>31.519396551724142</v>
      </c>
      <c r="C234" s="40">
        <f t="shared" si="121"/>
        <v>33.519553072625698</v>
      </c>
      <c r="D234" s="40">
        <f t="shared" si="121"/>
        <v>32.196552988632206</v>
      </c>
      <c r="E234" s="40">
        <f t="shared" si="121"/>
        <v>31.24274099883856</v>
      </c>
      <c r="F234" s="40">
        <f t="shared" si="121"/>
        <v>31.200000000000006</v>
      </c>
      <c r="G234" s="40">
        <f t="shared" si="121"/>
        <v>30.75414123801221</v>
      </c>
      <c r="H234" s="40">
        <f t="shared" si="121"/>
        <v>30.848861283643895</v>
      </c>
      <c r="I234" s="40">
        <f t="shared" si="121"/>
        <v>30.2132701421801</v>
      </c>
      <c r="J234" s="40">
        <f t="shared" si="121"/>
        <v>30.997641182183983</v>
      </c>
      <c r="K234" s="40">
        <f t="shared" si="121"/>
        <v>26.116838487972512</v>
      </c>
      <c r="L234" s="40">
        <f t="shared" si="121"/>
        <v>30.046452702702698</v>
      </c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</row>
    <row r="235" spans="1:25" s="36" customFormat="1" ht="12.5" x14ac:dyDescent="0.25">
      <c r="A235" s="36">
        <v>2011</v>
      </c>
      <c r="B235" s="40">
        <f t="shared" ref="B235:L235" si="122">100*(B173/B204)</f>
        <v>33.540372670807457</v>
      </c>
      <c r="C235" s="40">
        <f t="shared" si="122"/>
        <v>32.694938440492479</v>
      </c>
      <c r="D235" s="40">
        <f t="shared" si="122"/>
        <v>30.958904109589042</v>
      </c>
      <c r="E235" s="40">
        <f t="shared" si="122"/>
        <v>32.218161371942649</v>
      </c>
      <c r="F235" s="40">
        <f t="shared" si="122"/>
        <v>32.127351664254697</v>
      </c>
      <c r="G235" s="40">
        <f t="shared" si="122"/>
        <v>30.819464925215929</v>
      </c>
      <c r="H235" s="40">
        <f t="shared" si="122"/>
        <v>31.289483463396508</v>
      </c>
      <c r="I235" s="40">
        <f t="shared" si="122"/>
        <v>31.2807881773399</v>
      </c>
      <c r="J235" s="40">
        <f t="shared" si="122"/>
        <v>31.560616208975222</v>
      </c>
      <c r="K235" s="40">
        <f t="shared" si="122"/>
        <v>28.281528410215795</v>
      </c>
      <c r="L235" s="40">
        <f t="shared" si="122"/>
        <v>30.934656741108356</v>
      </c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</row>
    <row r="236" spans="1:25" s="36" customFormat="1" ht="12.5" x14ac:dyDescent="0.25">
      <c r="A236" s="36">
        <v>2012</v>
      </c>
      <c r="B236" s="40">
        <f t="shared" ref="B236:L236" si="123">100*(B174/B205)</f>
        <v>31.071983428275509</v>
      </c>
      <c r="C236" s="40">
        <f t="shared" si="123"/>
        <v>34.8410210479176</v>
      </c>
      <c r="D236" s="40">
        <f t="shared" si="123"/>
        <v>32.19616204690832</v>
      </c>
      <c r="E236" s="40">
        <f t="shared" si="123"/>
        <v>30.813318777292576</v>
      </c>
      <c r="F236" s="40">
        <f t="shared" si="123"/>
        <v>32.442933462846042</v>
      </c>
      <c r="G236" s="40">
        <f t="shared" si="123"/>
        <v>31.962809917355369</v>
      </c>
      <c r="H236" s="40">
        <f t="shared" si="123"/>
        <v>31.576966503575466</v>
      </c>
      <c r="I236" s="40">
        <f t="shared" si="123"/>
        <v>31.558874940409982</v>
      </c>
      <c r="J236" s="40">
        <f t="shared" si="123"/>
        <v>30.237793724496974</v>
      </c>
      <c r="K236" s="40">
        <f t="shared" si="123"/>
        <v>26.909262759924385</v>
      </c>
      <c r="L236" s="40">
        <f t="shared" si="123"/>
        <v>30.593047034764826</v>
      </c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</row>
    <row r="237" spans="1:25" s="36" customFormat="1" ht="12.5" x14ac:dyDescent="0.25">
      <c r="A237" s="36">
        <v>2013</v>
      </c>
      <c r="B237" s="40">
        <f t="shared" ref="B237:L237" si="124">100*(B175/B206)</f>
        <v>33.723892002037694</v>
      </c>
      <c r="C237" s="40">
        <f t="shared" si="124"/>
        <v>36.066288704753589</v>
      </c>
      <c r="D237" s="40">
        <f t="shared" si="124"/>
        <v>31.853532080362928</v>
      </c>
      <c r="E237" s="40">
        <f t="shared" si="124"/>
        <v>30.366631243358132</v>
      </c>
      <c r="F237" s="40">
        <f t="shared" si="124"/>
        <v>30.042918454935624</v>
      </c>
      <c r="G237" s="40">
        <f t="shared" si="124"/>
        <v>29.743390357698292</v>
      </c>
      <c r="H237" s="40">
        <f t="shared" si="124"/>
        <v>30.956126551302216</v>
      </c>
      <c r="I237" s="40">
        <f t="shared" si="124"/>
        <v>30.513219284603423</v>
      </c>
      <c r="J237" s="40">
        <f t="shared" si="124"/>
        <v>28.987571206628687</v>
      </c>
      <c r="K237" s="40">
        <f t="shared" si="124"/>
        <v>25.681351085693858</v>
      </c>
      <c r="L237" s="40">
        <f t="shared" si="124"/>
        <v>29.595979122366135</v>
      </c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</row>
    <row r="238" spans="1:25" s="36" customFormat="1" ht="12.5" x14ac:dyDescent="0.25">
      <c r="A238" s="36">
        <v>2014</v>
      </c>
      <c r="B238" s="40">
        <f t="shared" ref="B238:L238" si="125">100*(B176/B207)</f>
        <v>34.611344537815121</v>
      </c>
      <c r="C238" s="40">
        <f t="shared" si="125"/>
        <v>32.705410821643284</v>
      </c>
      <c r="D238" s="40">
        <f t="shared" si="125"/>
        <v>32.352941176470587</v>
      </c>
      <c r="E238" s="40">
        <f t="shared" si="125"/>
        <v>31.228350652811081</v>
      </c>
      <c r="F238" s="40">
        <f t="shared" si="125"/>
        <v>31.557653405259611</v>
      </c>
      <c r="G238" s="40">
        <f t="shared" si="125"/>
        <v>30.009624639076037</v>
      </c>
      <c r="H238" s="40">
        <f t="shared" si="125"/>
        <v>29.351305812973884</v>
      </c>
      <c r="I238" s="40">
        <f t="shared" si="125"/>
        <v>28.769320501603968</v>
      </c>
      <c r="J238" s="40">
        <f t="shared" si="125"/>
        <v>27.588416196822145</v>
      </c>
      <c r="K238" s="40">
        <f t="shared" si="125"/>
        <v>24.915650142745911</v>
      </c>
      <c r="L238" s="40">
        <f t="shared" si="125"/>
        <v>28.966685488424616</v>
      </c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</row>
    <row r="239" spans="1:25" s="36" customFormat="1" ht="12.5" x14ac:dyDescent="0.25">
      <c r="A239" s="36" t="s">
        <v>45</v>
      </c>
      <c r="B239" s="40">
        <f t="shared" ref="B239:L239" si="126">100*(B177/B208)</f>
        <v>33.833333333333329</v>
      </c>
      <c r="C239" s="40">
        <f t="shared" si="126"/>
        <v>30.831099195710454</v>
      </c>
      <c r="D239" s="40">
        <f t="shared" si="126"/>
        <v>31.363636363636367</v>
      </c>
      <c r="E239" s="40">
        <f t="shared" si="126"/>
        <v>29.524581307401398</v>
      </c>
      <c r="F239" s="40">
        <f t="shared" si="126"/>
        <v>28.562162162162164</v>
      </c>
      <c r="G239" s="40">
        <f t="shared" si="126"/>
        <v>25.506445672191528</v>
      </c>
      <c r="H239" s="40">
        <f t="shared" si="126"/>
        <v>27.610287855561239</v>
      </c>
      <c r="I239" s="40">
        <f t="shared" si="126"/>
        <v>27.651858567543066</v>
      </c>
      <c r="J239" s="40">
        <f t="shared" si="126"/>
        <v>25.615384615384617</v>
      </c>
      <c r="K239" s="40">
        <f t="shared" si="126"/>
        <v>26.870269318781897</v>
      </c>
      <c r="L239" s="40">
        <f t="shared" si="126"/>
        <v>27.755719417659297</v>
      </c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</row>
    <row r="240" spans="1:25" s="36" customFormat="1" ht="12.5" x14ac:dyDescent="0.25">
      <c r="A240" s="36" t="s">
        <v>46</v>
      </c>
      <c r="B240" s="40">
        <f t="shared" ref="B240:L240" si="127">100*(B178/B209)</f>
        <v>31.177606177606176</v>
      </c>
      <c r="C240" s="40">
        <f t="shared" si="127"/>
        <v>30.415094339622645</v>
      </c>
      <c r="D240" s="40">
        <f t="shared" si="127"/>
        <v>29.151838671411628</v>
      </c>
      <c r="E240" s="40">
        <f t="shared" si="127"/>
        <v>27.416313059877417</v>
      </c>
      <c r="F240" s="40">
        <f t="shared" si="127"/>
        <v>26.674570243034974</v>
      </c>
      <c r="G240" s="40">
        <f t="shared" si="127"/>
        <v>26.712452557382981</v>
      </c>
      <c r="H240" s="40">
        <f t="shared" si="127"/>
        <v>26.178781925343813</v>
      </c>
      <c r="I240" s="40">
        <f t="shared" si="127"/>
        <v>26.777825281459311</v>
      </c>
      <c r="J240" s="40">
        <f t="shared" si="127"/>
        <v>25.936318165182389</v>
      </c>
      <c r="K240" s="40">
        <f t="shared" si="127"/>
        <v>23.719555873925504</v>
      </c>
      <c r="L240" s="40">
        <f t="shared" si="127"/>
        <v>26.470588235294112</v>
      </c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</row>
    <row r="241" spans="1:25" s="36" customFormat="1" ht="12.5" x14ac:dyDescent="0.25">
      <c r="A241" s="36" t="s">
        <v>47</v>
      </c>
      <c r="B241" s="40">
        <f t="shared" ref="B241:L241" si="128">100*(B179/B210)</f>
        <v>30.404135338345867</v>
      </c>
      <c r="C241" s="40">
        <f t="shared" si="128"/>
        <v>31.888428194496793</v>
      </c>
      <c r="D241" s="40">
        <f t="shared" si="128"/>
        <v>29.296327446033082</v>
      </c>
      <c r="E241" s="40">
        <f t="shared" si="128"/>
        <v>28.048204158790174</v>
      </c>
      <c r="F241" s="40">
        <f t="shared" si="128"/>
        <v>27.36993625334156</v>
      </c>
      <c r="G241" s="40">
        <f t="shared" si="128"/>
        <v>26.410212178713127</v>
      </c>
      <c r="H241" s="40">
        <f t="shared" si="128"/>
        <v>26.606503812042941</v>
      </c>
      <c r="I241" s="40">
        <f t="shared" si="128"/>
        <v>26.503553854565332</v>
      </c>
      <c r="J241" s="40">
        <f t="shared" si="128"/>
        <v>26.642468239564426</v>
      </c>
      <c r="K241" s="40">
        <f t="shared" si="128"/>
        <v>22.199708218511919</v>
      </c>
      <c r="L241" s="40">
        <f t="shared" si="128"/>
        <v>26.350529789821081</v>
      </c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</row>
    <row r="242" spans="1:25" s="36" customFormat="1" ht="12.5" x14ac:dyDescent="0.25">
      <c r="A242" s="36" t="s">
        <v>48</v>
      </c>
      <c r="B242" s="40">
        <f t="shared" ref="B242:L242" si="129">100*(B180/B211)</f>
        <v>30.856901646264244</v>
      </c>
      <c r="C242" s="40">
        <f t="shared" si="129"/>
        <v>31.172839506172838</v>
      </c>
      <c r="D242" s="40">
        <f t="shared" si="129"/>
        <v>29.112524191318773</v>
      </c>
      <c r="E242" s="40">
        <f t="shared" si="129"/>
        <v>28.735896845498505</v>
      </c>
      <c r="F242" s="40">
        <f t="shared" si="129"/>
        <v>26.42654028436019</v>
      </c>
      <c r="G242" s="40">
        <f t="shared" si="129"/>
        <v>27.707979626485574</v>
      </c>
      <c r="H242" s="40">
        <f t="shared" si="129"/>
        <v>26.731904318111216</v>
      </c>
      <c r="I242" s="40">
        <f t="shared" si="129"/>
        <v>26.368952684742158</v>
      </c>
      <c r="J242" s="40">
        <f t="shared" si="129"/>
        <v>25.234607461661707</v>
      </c>
      <c r="K242" s="40">
        <f t="shared" si="129"/>
        <v>23.276004630395235</v>
      </c>
      <c r="L242" s="40">
        <f t="shared" si="129"/>
        <v>26.503378378378379</v>
      </c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</row>
    <row r="243" spans="1:25" s="36" customFormat="1" ht="12.5" x14ac:dyDescent="0.25">
      <c r="A243" s="36" t="s">
        <v>49</v>
      </c>
      <c r="B243" s="40">
        <f t="shared" ref="B243:L243" si="130">100*(B181/B212)</f>
        <v>31.033074724377297</v>
      </c>
      <c r="C243" s="40">
        <f t="shared" si="130"/>
        <v>31.731104144897245</v>
      </c>
      <c r="D243" s="40">
        <f t="shared" si="130"/>
        <v>29.928414096916296</v>
      </c>
      <c r="E243" s="40">
        <f t="shared" si="130"/>
        <v>29.059633027522935</v>
      </c>
      <c r="F243" s="40">
        <f t="shared" si="130"/>
        <v>28.227528635216466</v>
      </c>
      <c r="G243" s="40">
        <f t="shared" si="130"/>
        <v>27.079767203012668</v>
      </c>
      <c r="H243" s="40">
        <f t="shared" si="130"/>
        <v>28.45503458877786</v>
      </c>
      <c r="I243" s="40">
        <f t="shared" si="130"/>
        <v>27.234545215907602</v>
      </c>
      <c r="J243" s="40">
        <f t="shared" si="130"/>
        <v>26.923076923076916</v>
      </c>
      <c r="K243" s="40">
        <f t="shared" si="130"/>
        <v>23.701542309295537</v>
      </c>
      <c r="L243" s="40">
        <f t="shared" si="130"/>
        <v>27.368600102058178</v>
      </c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</row>
    <row r="244" spans="1:25" x14ac:dyDescent="0.35">
      <c r="A244" s="36" t="s">
        <v>50</v>
      </c>
      <c r="B244" s="40">
        <f t="shared" ref="B244:L244" si="131">100*(B182/B213)</f>
        <v>37.227722772277225</v>
      </c>
      <c r="C244" s="40">
        <f t="shared" si="131"/>
        <v>34.85029940119761</v>
      </c>
      <c r="D244" s="40">
        <f t="shared" si="131"/>
        <v>32.966396292004632</v>
      </c>
      <c r="E244" s="40">
        <f t="shared" si="131"/>
        <v>35.909221488078138</v>
      </c>
      <c r="F244" s="40">
        <f t="shared" si="131"/>
        <v>31.455507013106466</v>
      </c>
      <c r="G244" s="40">
        <f t="shared" si="131"/>
        <v>32.240775097917954</v>
      </c>
      <c r="H244" s="40">
        <f t="shared" si="131"/>
        <v>33.456310679611647</v>
      </c>
      <c r="I244" s="40">
        <f t="shared" si="131"/>
        <v>31.12974839664529</v>
      </c>
      <c r="J244" s="40">
        <f t="shared" si="131"/>
        <v>31.129597197898423</v>
      </c>
      <c r="K244" s="40">
        <f t="shared" si="131"/>
        <v>30.521619037501331</v>
      </c>
      <c r="L244" s="40">
        <f t="shared" si="131"/>
        <v>32.336448598130843</v>
      </c>
    </row>
    <row r="245" spans="1:25" x14ac:dyDescent="0.35">
      <c r="A245" s="36" t="s">
        <v>51</v>
      </c>
      <c r="B245" s="40">
        <f t="shared" ref="B245:L245" si="132">100*(B183/B214)</f>
        <v>31.865079365079364</v>
      </c>
      <c r="C245" s="40">
        <f t="shared" si="132"/>
        <v>32.510578279266568</v>
      </c>
      <c r="D245" s="40">
        <f t="shared" si="132"/>
        <v>31.178489702517158</v>
      </c>
      <c r="E245" s="40">
        <f t="shared" si="132"/>
        <v>30.72274595117235</v>
      </c>
      <c r="F245" s="40">
        <f t="shared" si="132"/>
        <v>29.856850715746418</v>
      </c>
      <c r="G245" s="40">
        <f t="shared" si="132"/>
        <v>31.438582830445782</v>
      </c>
      <c r="H245" s="40">
        <f t="shared" si="132"/>
        <v>30.206510325516277</v>
      </c>
      <c r="I245" s="40">
        <f t="shared" si="132"/>
        <v>30.07109363182574</v>
      </c>
      <c r="J245" s="40">
        <f t="shared" si="132"/>
        <v>30.077086656034023</v>
      </c>
      <c r="K245" s="40">
        <f t="shared" si="132"/>
        <v>27.765034407100831</v>
      </c>
      <c r="L245" s="40">
        <f t="shared" si="132"/>
        <v>30.124810892586996</v>
      </c>
    </row>
    <row r="246" spans="1:25" x14ac:dyDescent="0.35">
      <c r="A246" s="36" t="s">
        <v>52</v>
      </c>
      <c r="B246" s="40">
        <f t="shared" ref="B246:L246" si="133">100*(B184/B215)</f>
        <v>34.13516609392898</v>
      </c>
      <c r="C246" s="40">
        <f t="shared" si="133"/>
        <v>33.385777218376333</v>
      </c>
      <c r="D246" s="40">
        <f t="shared" si="133"/>
        <v>31.123206333498267</v>
      </c>
      <c r="E246" s="40">
        <f t="shared" si="133"/>
        <v>30.866580866580861</v>
      </c>
      <c r="F246" s="40">
        <f t="shared" si="133"/>
        <v>31.676164275889175</v>
      </c>
      <c r="G246" s="40">
        <f t="shared" si="133"/>
        <v>31.133877409272447</v>
      </c>
      <c r="H246" s="40">
        <f t="shared" si="133"/>
        <v>31.448705342510646</v>
      </c>
      <c r="I246" s="40">
        <f t="shared" si="133"/>
        <v>30.800734359553733</v>
      </c>
      <c r="J246" s="40">
        <f t="shared" si="133"/>
        <v>29.964850615114237</v>
      </c>
      <c r="K246" s="40">
        <f t="shared" si="133"/>
        <v>28.717102068563655</v>
      </c>
      <c r="L246" s="40">
        <f t="shared" si="133"/>
        <v>30.826140567200984</v>
      </c>
    </row>
    <row r="247" spans="1:25" x14ac:dyDescent="0.35">
      <c r="A247" s="36" t="s">
        <v>53</v>
      </c>
      <c r="B247" s="40">
        <f t="shared" ref="B247:L247" si="134">100*(B185/B216)</f>
        <v>33.82352941176471</v>
      </c>
      <c r="C247" s="40">
        <f t="shared" si="134"/>
        <v>34.650360614612737</v>
      </c>
      <c r="D247" s="40">
        <f t="shared" si="134"/>
        <v>31.938895417156289</v>
      </c>
      <c r="E247" s="40">
        <f t="shared" si="134"/>
        <v>31.928687196110207</v>
      </c>
      <c r="F247" s="40">
        <f t="shared" si="134"/>
        <v>30.321910695742471</v>
      </c>
      <c r="G247" s="40">
        <f t="shared" si="134"/>
        <v>30.932412432165762</v>
      </c>
      <c r="H247" s="40">
        <f t="shared" si="134"/>
        <v>30.201918946011741</v>
      </c>
      <c r="I247" s="40">
        <f t="shared" si="134"/>
        <v>31.234551840770131</v>
      </c>
      <c r="J247" s="40">
        <f t="shared" si="134"/>
        <v>30.30131400090621</v>
      </c>
      <c r="K247" s="40">
        <f t="shared" si="134"/>
        <v>27.90598654517585</v>
      </c>
      <c r="L247" s="40">
        <f t="shared" si="134"/>
        <v>30.643349911759987</v>
      </c>
    </row>
    <row r="249" spans="1:25" s="36" customFormat="1" ht="13" x14ac:dyDescent="0.3">
      <c r="A249" s="35" t="s">
        <v>61</v>
      </c>
      <c r="N249" s="35"/>
    </row>
    <row r="250" spans="1:25" s="36" customFormat="1" ht="13" x14ac:dyDescent="0.3">
      <c r="B250" s="62" t="s">
        <v>25</v>
      </c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</row>
    <row r="251" spans="1:25" s="36" customFormat="1" ht="12.5" x14ac:dyDescent="0.25">
      <c r="B251" s="37" t="s">
        <v>34</v>
      </c>
      <c r="C251" s="38" t="s">
        <v>35</v>
      </c>
      <c r="D251" s="39" t="s">
        <v>36</v>
      </c>
      <c r="E251" s="39" t="s">
        <v>37</v>
      </c>
      <c r="F251" s="39" t="s">
        <v>38</v>
      </c>
      <c r="G251" s="39" t="s">
        <v>39</v>
      </c>
      <c r="H251" s="39" t="s">
        <v>40</v>
      </c>
      <c r="I251" s="39" t="s">
        <v>41</v>
      </c>
      <c r="J251" s="39" t="s">
        <v>42</v>
      </c>
      <c r="K251" s="39" t="s">
        <v>43</v>
      </c>
      <c r="L251" s="37" t="s">
        <v>44</v>
      </c>
      <c r="O251" s="37"/>
      <c r="P251" s="38"/>
      <c r="Q251" s="39"/>
      <c r="R251" s="39"/>
      <c r="S251" s="39"/>
      <c r="T251" s="39"/>
      <c r="U251" s="39"/>
      <c r="V251" s="39"/>
      <c r="W251" s="39"/>
      <c r="X251" s="39"/>
      <c r="Y251" s="37"/>
    </row>
    <row r="252" spans="1:25" s="36" customFormat="1" ht="12.5" x14ac:dyDescent="0.25">
      <c r="A252" s="36">
        <v>1997</v>
      </c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 spans="1:25" s="36" customFormat="1" ht="12.5" x14ac:dyDescent="0.25">
      <c r="A253" s="36">
        <v>1998</v>
      </c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 spans="1:25" s="36" customFormat="1" ht="12.5" x14ac:dyDescent="0.25">
      <c r="A254" s="36">
        <v>1999</v>
      </c>
      <c r="B254" s="41"/>
      <c r="C254" s="41">
        <v>97</v>
      </c>
      <c r="D254" s="41">
        <v>148</v>
      </c>
      <c r="E254" s="41">
        <v>206</v>
      </c>
      <c r="F254" s="41">
        <v>281</v>
      </c>
      <c r="G254" s="41">
        <v>371</v>
      </c>
      <c r="H254" s="41">
        <v>464</v>
      </c>
      <c r="I254" s="41">
        <v>570</v>
      </c>
      <c r="J254" s="41">
        <v>719</v>
      </c>
      <c r="K254" s="41">
        <v>942</v>
      </c>
      <c r="L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 spans="1:25" s="36" customFormat="1" ht="12.5" x14ac:dyDescent="0.25">
      <c r="A255" s="36">
        <v>2000</v>
      </c>
      <c r="B255" s="41"/>
      <c r="C255" s="41">
        <v>106.783</v>
      </c>
      <c r="D255" s="41">
        <v>163.38200000000001</v>
      </c>
      <c r="E255" s="41">
        <v>231.46</v>
      </c>
      <c r="F255" s="41">
        <v>310.49400000000003</v>
      </c>
      <c r="G255" s="41">
        <v>396.58</v>
      </c>
      <c r="H255" s="41">
        <v>489.46</v>
      </c>
      <c r="I255" s="41">
        <v>596.96</v>
      </c>
      <c r="J255" s="41">
        <v>739.39</v>
      </c>
      <c r="K255" s="41">
        <v>993.10400000000004</v>
      </c>
      <c r="L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 spans="1:25" s="36" customFormat="1" ht="12.5" x14ac:dyDescent="0.25">
      <c r="A256" s="36">
        <v>2001</v>
      </c>
      <c r="B256" s="41"/>
      <c r="C256" s="41">
        <v>113.5</v>
      </c>
      <c r="D256" s="41">
        <v>173.411</v>
      </c>
      <c r="E256" s="41">
        <v>244.04499999999999</v>
      </c>
      <c r="F256" s="41">
        <v>325.81099999999998</v>
      </c>
      <c r="G256" s="41">
        <v>421.93700000000001</v>
      </c>
      <c r="H256" s="41">
        <v>523.69600000000003</v>
      </c>
      <c r="I256" s="41">
        <v>644.57600000000002</v>
      </c>
      <c r="J256" s="41">
        <v>806.79399999999998</v>
      </c>
      <c r="K256" s="41">
        <v>1076.1559999999999</v>
      </c>
      <c r="L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 spans="1:25" s="36" customFormat="1" ht="12.5" x14ac:dyDescent="0.25">
      <c r="A257" s="36">
        <v>2002</v>
      </c>
      <c r="B257" s="41"/>
      <c r="C257" s="41">
        <v>122.93300000000001</v>
      </c>
      <c r="D257" s="41">
        <v>187.864</v>
      </c>
      <c r="E257" s="41">
        <v>258.786</v>
      </c>
      <c r="F257" s="41">
        <v>341.44200000000001</v>
      </c>
      <c r="G257" s="41">
        <v>434.79599999999999</v>
      </c>
      <c r="H257" s="41">
        <v>541.21100000000001</v>
      </c>
      <c r="I257" s="41">
        <v>661.81899999999996</v>
      </c>
      <c r="J257" s="41">
        <v>820.94899999999996</v>
      </c>
      <c r="K257" s="41">
        <v>1085.077</v>
      </c>
      <c r="L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 spans="1:25" s="36" customFormat="1" ht="12.5" x14ac:dyDescent="0.25">
      <c r="A258" s="36">
        <v>2003</v>
      </c>
      <c r="B258" s="41"/>
      <c r="C258" s="41">
        <v>123.733</v>
      </c>
      <c r="D258" s="41">
        <v>192.99299999999999</v>
      </c>
      <c r="E258" s="41">
        <v>262.79000000000002</v>
      </c>
      <c r="F258" s="41">
        <v>350.59100000000001</v>
      </c>
      <c r="G258" s="41">
        <v>444.86</v>
      </c>
      <c r="H258" s="41">
        <v>558.15499999999997</v>
      </c>
      <c r="I258" s="41">
        <v>672.995</v>
      </c>
      <c r="J258" s="41">
        <v>827.71600000000001</v>
      </c>
      <c r="K258" s="41">
        <v>1092.0909999999999</v>
      </c>
      <c r="L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 spans="1:25" s="36" customFormat="1" ht="12.5" x14ac:dyDescent="0.25">
      <c r="A259" s="36">
        <v>2004</v>
      </c>
      <c r="B259" s="41"/>
      <c r="C259" s="41">
        <v>132.33099999999999</v>
      </c>
      <c r="D259" s="41">
        <v>204.77099999999999</v>
      </c>
      <c r="E259" s="41">
        <v>281.45499999999998</v>
      </c>
      <c r="F259" s="41">
        <v>375.25099999999998</v>
      </c>
      <c r="G259" s="41">
        <v>472.42899999999997</v>
      </c>
      <c r="H259" s="41">
        <v>578.53899999999999</v>
      </c>
      <c r="I259" s="41">
        <v>709.23599999999999</v>
      </c>
      <c r="J259" s="41">
        <v>884.65099999999995</v>
      </c>
      <c r="K259" s="41">
        <v>1184.0309999999999</v>
      </c>
      <c r="L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 spans="1:25" s="36" customFormat="1" ht="12.5" x14ac:dyDescent="0.25">
      <c r="A260" s="36">
        <v>2005</v>
      </c>
      <c r="B260" s="41"/>
      <c r="C260" s="41">
        <v>134.61600000000001</v>
      </c>
      <c r="D260" s="41">
        <v>205.74299999999999</v>
      </c>
      <c r="E260" s="41">
        <v>280.82499999999999</v>
      </c>
      <c r="F260" s="41">
        <v>364.23599999999999</v>
      </c>
      <c r="G260" s="41">
        <v>472.875</v>
      </c>
      <c r="H260" s="41">
        <v>596.38400000000001</v>
      </c>
      <c r="I260" s="41">
        <v>730.75699999999995</v>
      </c>
      <c r="J260" s="41">
        <v>915.01</v>
      </c>
      <c r="K260" s="41">
        <v>1224.241</v>
      </c>
      <c r="L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 spans="1:25" s="36" customFormat="1" ht="12.5" x14ac:dyDescent="0.25">
      <c r="A261" s="36">
        <v>2006</v>
      </c>
      <c r="B261" s="41"/>
      <c r="C261" s="41">
        <v>142.5</v>
      </c>
      <c r="D261" s="41">
        <v>214.892</v>
      </c>
      <c r="E261" s="41">
        <v>293.38900000000001</v>
      </c>
      <c r="F261" s="41">
        <v>383.82400000000001</v>
      </c>
      <c r="G261" s="41">
        <v>497.08199999999999</v>
      </c>
      <c r="H261" s="41">
        <v>623.80999999999995</v>
      </c>
      <c r="I261" s="41">
        <v>762.58299999999997</v>
      </c>
      <c r="J261" s="41">
        <v>938.61099999999999</v>
      </c>
      <c r="K261" s="41">
        <v>1273.7049999999999</v>
      </c>
      <c r="L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 spans="1:25" s="36" customFormat="1" ht="12.5" x14ac:dyDescent="0.25">
      <c r="A262" s="36">
        <v>2007</v>
      </c>
      <c r="B262" s="41"/>
      <c r="C262" s="41">
        <v>150</v>
      </c>
      <c r="D262" s="41">
        <v>224</v>
      </c>
      <c r="E262" s="41">
        <v>306</v>
      </c>
      <c r="F262" s="41">
        <v>405</v>
      </c>
      <c r="G262" s="41">
        <v>523</v>
      </c>
      <c r="H262" s="41">
        <v>648</v>
      </c>
      <c r="I262" s="41">
        <v>785</v>
      </c>
      <c r="J262" s="41">
        <v>986</v>
      </c>
      <c r="K262" s="41">
        <v>1301</v>
      </c>
      <c r="L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 spans="1:25" s="36" customFormat="1" ht="12.5" x14ac:dyDescent="0.25">
      <c r="A263" s="36">
        <v>2008</v>
      </c>
      <c r="B263" s="41"/>
      <c r="C263" s="41">
        <v>146</v>
      </c>
      <c r="D263" s="41">
        <v>224</v>
      </c>
      <c r="E263" s="41">
        <v>305</v>
      </c>
      <c r="F263" s="41">
        <v>408</v>
      </c>
      <c r="G263" s="41">
        <v>522</v>
      </c>
      <c r="H263" s="41">
        <v>664</v>
      </c>
      <c r="I263" s="41">
        <v>817</v>
      </c>
      <c r="J263" s="41">
        <v>1026</v>
      </c>
      <c r="K263" s="41">
        <v>1356</v>
      </c>
      <c r="L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 spans="1:25" s="36" customFormat="1" ht="12.5" x14ac:dyDescent="0.25">
      <c r="A264" s="36">
        <v>2009</v>
      </c>
      <c r="B264" s="41"/>
      <c r="C264" s="41">
        <v>158</v>
      </c>
      <c r="D264" s="41">
        <v>235</v>
      </c>
      <c r="E264" s="41">
        <v>315</v>
      </c>
      <c r="F264" s="41">
        <v>410</v>
      </c>
      <c r="G264" s="41">
        <v>520</v>
      </c>
      <c r="H264" s="41">
        <v>647</v>
      </c>
      <c r="I264" s="41">
        <v>796</v>
      </c>
      <c r="J264" s="41">
        <v>985</v>
      </c>
      <c r="K264" s="41">
        <v>1348</v>
      </c>
      <c r="L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 spans="1:25" s="36" customFormat="1" ht="12.5" x14ac:dyDescent="0.25">
      <c r="A265" s="36">
        <v>2010</v>
      </c>
      <c r="B265" s="41"/>
      <c r="C265" s="41">
        <v>160</v>
      </c>
      <c r="D265" s="41">
        <v>238</v>
      </c>
      <c r="E265" s="41">
        <v>315</v>
      </c>
      <c r="F265" s="41">
        <v>413</v>
      </c>
      <c r="G265" s="41">
        <v>522</v>
      </c>
      <c r="H265" s="41">
        <v>651</v>
      </c>
      <c r="I265" s="41">
        <v>801</v>
      </c>
      <c r="J265" s="41">
        <v>1015</v>
      </c>
      <c r="K265" s="41">
        <v>1368</v>
      </c>
      <c r="L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 spans="1:25" s="36" customFormat="1" ht="12.5" x14ac:dyDescent="0.25">
      <c r="A266" s="36">
        <v>2011</v>
      </c>
      <c r="B266" s="41"/>
      <c r="C266" s="41">
        <v>173</v>
      </c>
      <c r="D266" s="41">
        <v>256</v>
      </c>
      <c r="E266" s="41">
        <v>341</v>
      </c>
      <c r="F266" s="41">
        <v>436</v>
      </c>
      <c r="G266" s="41">
        <v>556</v>
      </c>
      <c r="H266" s="41">
        <v>680</v>
      </c>
      <c r="I266" s="41">
        <v>834</v>
      </c>
      <c r="J266" s="41">
        <v>1044</v>
      </c>
      <c r="K266" s="41">
        <v>1405</v>
      </c>
      <c r="L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 spans="1:25" s="36" customFormat="1" ht="12.5" x14ac:dyDescent="0.25">
      <c r="A267" s="36">
        <v>2012</v>
      </c>
      <c r="B267" s="41"/>
      <c r="C267" s="41">
        <v>168</v>
      </c>
      <c r="D267" s="41">
        <v>244</v>
      </c>
      <c r="E267" s="41">
        <v>315</v>
      </c>
      <c r="F267" s="41">
        <v>396</v>
      </c>
      <c r="G267" s="41">
        <v>477</v>
      </c>
      <c r="H267" s="41">
        <v>578</v>
      </c>
      <c r="I267" s="41">
        <v>689</v>
      </c>
      <c r="J267" s="41">
        <v>833</v>
      </c>
      <c r="K267" s="41">
        <v>1104</v>
      </c>
      <c r="L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 spans="1:25" s="36" customFormat="1" ht="12.5" x14ac:dyDescent="0.25">
      <c r="A268" s="36">
        <v>2013</v>
      </c>
      <c r="C268" s="41">
        <v>174</v>
      </c>
      <c r="D268" s="41">
        <v>256</v>
      </c>
      <c r="E268" s="41">
        <v>333</v>
      </c>
      <c r="F268" s="41">
        <v>417</v>
      </c>
      <c r="G268" s="41">
        <v>504</v>
      </c>
      <c r="H268" s="41">
        <v>600</v>
      </c>
      <c r="I268" s="41">
        <v>720</v>
      </c>
      <c r="J268" s="41">
        <v>882</v>
      </c>
      <c r="K268" s="41">
        <v>1150</v>
      </c>
    </row>
    <row r="269" spans="1:25" s="36" customFormat="1" ht="12.5" x14ac:dyDescent="0.25">
      <c r="A269" s="36">
        <v>2014</v>
      </c>
      <c r="C269" s="41">
        <v>188</v>
      </c>
      <c r="D269" s="41">
        <v>273</v>
      </c>
      <c r="E269" s="41">
        <v>358</v>
      </c>
      <c r="F269" s="41">
        <v>442</v>
      </c>
      <c r="G269" s="41">
        <v>535</v>
      </c>
      <c r="H269" s="41">
        <v>635</v>
      </c>
      <c r="I269" s="41">
        <v>765</v>
      </c>
      <c r="J269" s="41">
        <v>931</v>
      </c>
      <c r="K269" s="41">
        <v>1210</v>
      </c>
    </row>
    <row r="270" spans="1:25" s="36" customFormat="1" ht="12.5" x14ac:dyDescent="0.25">
      <c r="A270" s="36" t="s">
        <v>45</v>
      </c>
      <c r="C270" s="36">
        <v>199</v>
      </c>
      <c r="D270" s="36">
        <v>298</v>
      </c>
      <c r="E270" s="36">
        <v>386</v>
      </c>
      <c r="F270" s="36">
        <v>487</v>
      </c>
      <c r="G270" s="36">
        <v>608</v>
      </c>
      <c r="H270" s="36">
        <v>744</v>
      </c>
      <c r="I270" s="36">
        <v>903</v>
      </c>
      <c r="J270" s="36">
        <v>1112</v>
      </c>
      <c r="K270" s="36">
        <v>1509</v>
      </c>
    </row>
    <row r="271" spans="1:25" s="36" customFormat="1" ht="12.5" x14ac:dyDescent="0.25">
      <c r="A271" s="36" t="s">
        <v>46</v>
      </c>
      <c r="C271" s="36">
        <v>209</v>
      </c>
      <c r="D271" s="36">
        <v>312</v>
      </c>
      <c r="E271" s="36">
        <v>410</v>
      </c>
      <c r="F271" s="36">
        <v>523</v>
      </c>
      <c r="G271" s="36">
        <v>648</v>
      </c>
      <c r="H271" s="36">
        <v>788</v>
      </c>
      <c r="I271" s="36">
        <v>961</v>
      </c>
      <c r="J271" s="36">
        <v>1217</v>
      </c>
      <c r="K271" s="36">
        <v>1619</v>
      </c>
    </row>
    <row r="272" spans="1:25" s="36" customFormat="1" ht="12.5" x14ac:dyDescent="0.25">
      <c r="A272" s="36" t="s">
        <v>47</v>
      </c>
      <c r="C272" s="36">
        <v>216</v>
      </c>
      <c r="D272" s="36">
        <v>322</v>
      </c>
      <c r="E272" s="36">
        <v>432</v>
      </c>
      <c r="F272" s="36">
        <v>548</v>
      </c>
      <c r="G272" s="36">
        <v>681</v>
      </c>
      <c r="H272" s="36">
        <v>812</v>
      </c>
      <c r="I272" s="36">
        <v>986</v>
      </c>
      <c r="J272" s="36">
        <v>1252</v>
      </c>
      <c r="K272" s="36">
        <v>1713</v>
      </c>
    </row>
    <row r="273" spans="1:11" s="36" customFormat="1" ht="12.5" x14ac:dyDescent="0.25">
      <c r="A273" s="36" t="s">
        <v>48</v>
      </c>
      <c r="C273" s="36">
        <v>220</v>
      </c>
      <c r="D273" s="36">
        <v>329</v>
      </c>
      <c r="E273" s="36">
        <v>431</v>
      </c>
      <c r="F273" s="36">
        <v>544</v>
      </c>
      <c r="G273" s="36">
        <v>679</v>
      </c>
      <c r="H273" s="36">
        <v>836</v>
      </c>
      <c r="I273" s="36">
        <v>1024</v>
      </c>
      <c r="J273" s="36">
        <v>1273</v>
      </c>
      <c r="K273" s="36">
        <v>1723</v>
      </c>
    </row>
    <row r="274" spans="1:11" s="36" customFormat="1" ht="12.5" x14ac:dyDescent="0.25">
      <c r="A274" s="36" t="s">
        <v>49</v>
      </c>
      <c r="C274" s="36">
        <v>228</v>
      </c>
      <c r="D274" s="36">
        <v>335</v>
      </c>
      <c r="E274" s="36">
        <v>446</v>
      </c>
      <c r="F274" s="36">
        <v>568</v>
      </c>
      <c r="G274" s="36">
        <v>708</v>
      </c>
      <c r="H274" s="36">
        <v>873</v>
      </c>
      <c r="I274" s="36">
        <v>1051</v>
      </c>
      <c r="J274" s="36">
        <v>1296</v>
      </c>
      <c r="K274" s="36">
        <v>1733</v>
      </c>
    </row>
    <row r="275" spans="1:11" x14ac:dyDescent="0.35">
      <c r="A275" s="36" t="s">
        <v>50</v>
      </c>
      <c r="C275" s="36">
        <v>250</v>
      </c>
      <c r="D275" s="36">
        <v>368</v>
      </c>
      <c r="E275" s="36">
        <v>484</v>
      </c>
      <c r="F275" s="36">
        <v>604</v>
      </c>
      <c r="G275" s="36">
        <v>735</v>
      </c>
      <c r="H275" s="36">
        <v>885</v>
      </c>
      <c r="I275" s="36">
        <v>1070</v>
      </c>
      <c r="J275" s="36">
        <v>1333</v>
      </c>
      <c r="K275" s="36">
        <v>1741</v>
      </c>
    </row>
    <row r="276" spans="1:11" x14ac:dyDescent="0.35">
      <c r="A276" s="36" t="s">
        <v>51</v>
      </c>
      <c r="C276" s="36">
        <v>253</v>
      </c>
      <c r="D276" s="36">
        <v>369</v>
      </c>
      <c r="E276" s="36">
        <v>479</v>
      </c>
      <c r="F276" s="36">
        <v>612</v>
      </c>
      <c r="G276" s="36">
        <v>761</v>
      </c>
      <c r="H276" s="36">
        <v>918</v>
      </c>
      <c r="I276" s="36">
        <v>1102</v>
      </c>
      <c r="J276" s="36">
        <v>1366</v>
      </c>
      <c r="K276" s="36">
        <v>1808</v>
      </c>
    </row>
    <row r="277" spans="1:11" x14ac:dyDescent="0.35">
      <c r="A277" s="36" t="s">
        <v>52</v>
      </c>
      <c r="C277" s="36">
        <v>249</v>
      </c>
      <c r="D277" s="36">
        <v>380</v>
      </c>
      <c r="E277" s="36">
        <v>502</v>
      </c>
      <c r="F277" s="36">
        <v>627</v>
      </c>
      <c r="G277" s="36">
        <v>768</v>
      </c>
      <c r="H277" s="36">
        <v>933</v>
      </c>
      <c r="I277" s="36">
        <v>1132</v>
      </c>
      <c r="J277" s="36">
        <v>1404</v>
      </c>
      <c r="K277" s="36">
        <v>1871</v>
      </c>
    </row>
    <row r="278" spans="1:11" x14ac:dyDescent="0.35">
      <c r="A278" s="36" t="s">
        <v>53</v>
      </c>
      <c r="C278" s="36">
        <v>286</v>
      </c>
      <c r="D278" s="36">
        <v>417</v>
      </c>
      <c r="E278" s="36">
        <v>541</v>
      </c>
      <c r="F278" s="36">
        <v>684</v>
      </c>
      <c r="G278" s="36">
        <v>843</v>
      </c>
      <c r="H278" s="36">
        <v>1037</v>
      </c>
      <c r="I278" s="36">
        <v>1250</v>
      </c>
      <c r="J278" s="36">
        <v>1521</v>
      </c>
      <c r="K278" s="36">
        <v>2062</v>
      </c>
    </row>
  </sheetData>
  <mergeCells count="18">
    <mergeCell ref="B2:L2"/>
    <mergeCell ref="O2:Y2"/>
    <mergeCell ref="B33:L33"/>
    <mergeCell ref="O33:Y33"/>
    <mergeCell ref="B64:L64"/>
    <mergeCell ref="O64:Y64"/>
    <mergeCell ref="B95:L95"/>
    <mergeCell ref="O95:Y95"/>
    <mergeCell ref="B126:L126"/>
    <mergeCell ref="O126:Y126"/>
    <mergeCell ref="B157:L157"/>
    <mergeCell ref="O157:Y157"/>
    <mergeCell ref="B188:L188"/>
    <mergeCell ref="O188:Y188"/>
    <mergeCell ref="B219:L219"/>
    <mergeCell ref="O219:Y219"/>
    <mergeCell ref="B250:L250"/>
    <mergeCell ref="O250:Y250"/>
  </mergeCells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BBC8-8FA0-4A96-836C-5F47BC7D6A48}">
  <dimension ref="A1:DB19"/>
  <sheetViews>
    <sheetView topLeftCell="CM1" workbookViewId="0">
      <selection activeCell="A21" sqref="A21"/>
    </sheetView>
  </sheetViews>
  <sheetFormatPr defaultRowHeight="14.5" x14ac:dyDescent="0.35"/>
  <cols>
    <col min="1" max="1" width="15.6328125" customWidth="1"/>
    <col min="2" max="3" width="20.6328125" customWidth="1"/>
    <col min="4" max="5" width="10.6328125" customWidth="1"/>
    <col min="6" max="6" width="15.6328125" customWidth="1"/>
    <col min="7" max="95" width="10.6328125" customWidth="1"/>
    <col min="96" max="96" width="20.6328125" customWidth="1"/>
    <col min="97" max="98" width="15.6328125" customWidth="1"/>
    <col min="99" max="100" width="20.6328125" customWidth="1"/>
    <col min="101" max="101" width="18.6328125" customWidth="1"/>
    <col min="102" max="103" width="22.6328125" customWidth="1"/>
    <col min="104" max="104" width="13.6328125" customWidth="1"/>
    <col min="105" max="105" width="14.6328125" customWidth="1"/>
    <col min="106" max="106" width="10.6328125" customWidth="1"/>
  </cols>
  <sheetData>
    <row r="1" spans="1:106" ht="29" x14ac:dyDescent="0.35">
      <c r="A1" s="59" t="s">
        <v>63</v>
      </c>
      <c r="B1" s="59" t="s">
        <v>64</v>
      </c>
      <c r="C1" s="59" t="s">
        <v>65</v>
      </c>
      <c r="D1" s="59" t="s">
        <v>66</v>
      </c>
      <c r="E1" s="59" t="s">
        <v>67</v>
      </c>
      <c r="F1" s="59" t="s">
        <v>68</v>
      </c>
      <c r="G1" s="59" t="s">
        <v>246</v>
      </c>
      <c r="H1" s="59" t="s">
        <v>247</v>
      </c>
      <c r="I1" s="59" t="s">
        <v>248</v>
      </c>
      <c r="J1" s="59" t="s">
        <v>249</v>
      </c>
      <c r="K1" s="59" t="s">
        <v>250</v>
      </c>
      <c r="L1" s="59" t="s">
        <v>251</v>
      </c>
      <c r="M1" s="59" t="s">
        <v>252</v>
      </c>
      <c r="N1" s="59" t="s">
        <v>69</v>
      </c>
      <c r="O1" s="59" t="s">
        <v>70</v>
      </c>
      <c r="P1" s="59" t="s">
        <v>71</v>
      </c>
      <c r="Q1" s="59" t="s">
        <v>72</v>
      </c>
      <c r="R1" s="59" t="s">
        <v>73</v>
      </c>
      <c r="S1" s="59" t="s">
        <v>74</v>
      </c>
      <c r="T1" s="59" t="s">
        <v>75</v>
      </c>
      <c r="U1" s="59" t="s">
        <v>76</v>
      </c>
      <c r="V1" s="59" t="s">
        <v>77</v>
      </c>
      <c r="W1" s="59" t="s">
        <v>78</v>
      </c>
      <c r="X1" s="59" t="s">
        <v>79</v>
      </c>
      <c r="Y1" s="59" t="s">
        <v>80</v>
      </c>
      <c r="Z1" s="59" t="s">
        <v>81</v>
      </c>
      <c r="AA1" s="59" t="s">
        <v>82</v>
      </c>
      <c r="AB1" s="59" t="s">
        <v>83</v>
      </c>
      <c r="AC1" s="59" t="s">
        <v>84</v>
      </c>
      <c r="AD1" s="59" t="s">
        <v>85</v>
      </c>
      <c r="AE1" s="59" t="s">
        <v>86</v>
      </c>
      <c r="AF1" s="59" t="s">
        <v>87</v>
      </c>
      <c r="AG1" s="59" t="s">
        <v>88</v>
      </c>
      <c r="AH1" s="59" t="s">
        <v>89</v>
      </c>
      <c r="AI1" s="59" t="s">
        <v>90</v>
      </c>
      <c r="AJ1" s="59" t="s">
        <v>91</v>
      </c>
      <c r="AK1" s="59" t="s">
        <v>92</v>
      </c>
      <c r="AL1" s="59" t="s">
        <v>93</v>
      </c>
      <c r="AM1" s="59" t="s">
        <v>94</v>
      </c>
      <c r="AN1" s="59" t="s">
        <v>95</v>
      </c>
      <c r="AO1" s="59" t="s">
        <v>96</v>
      </c>
      <c r="AP1" s="59" t="s">
        <v>97</v>
      </c>
      <c r="AQ1" s="59" t="s">
        <v>98</v>
      </c>
      <c r="AR1" s="59" t="s">
        <v>99</v>
      </c>
      <c r="AS1" s="59" t="s">
        <v>100</v>
      </c>
      <c r="AT1" s="59" t="s">
        <v>101</v>
      </c>
      <c r="AU1" s="59" t="s">
        <v>102</v>
      </c>
      <c r="AV1" s="59" t="s">
        <v>103</v>
      </c>
      <c r="AW1" s="59" t="s">
        <v>104</v>
      </c>
      <c r="AX1" s="59" t="s">
        <v>105</v>
      </c>
      <c r="AY1" s="59" t="s">
        <v>106</v>
      </c>
      <c r="AZ1" s="59" t="s">
        <v>107</v>
      </c>
      <c r="BA1" s="59" t="s">
        <v>108</v>
      </c>
      <c r="BB1" s="59" t="s">
        <v>109</v>
      </c>
      <c r="BC1" s="59" t="s">
        <v>110</v>
      </c>
      <c r="BD1" s="59" t="s">
        <v>111</v>
      </c>
      <c r="BE1" s="59" t="s">
        <v>112</v>
      </c>
      <c r="BF1" s="59" t="s">
        <v>113</v>
      </c>
      <c r="BG1" s="59" t="s">
        <v>114</v>
      </c>
      <c r="BH1" s="59" t="s">
        <v>115</v>
      </c>
      <c r="BI1" s="59" t="s">
        <v>116</v>
      </c>
      <c r="BJ1" s="59" t="s">
        <v>117</v>
      </c>
      <c r="BK1" s="59" t="s">
        <v>118</v>
      </c>
      <c r="BL1" s="59" t="s">
        <v>119</v>
      </c>
      <c r="BM1" s="59" t="s">
        <v>120</v>
      </c>
      <c r="BN1" s="59" t="s">
        <v>121</v>
      </c>
      <c r="BO1" s="59" t="s">
        <v>122</v>
      </c>
      <c r="BP1" s="59" t="s">
        <v>123</v>
      </c>
      <c r="BQ1" s="59" t="s">
        <v>124</v>
      </c>
      <c r="BR1" s="59" t="s">
        <v>125</v>
      </c>
      <c r="BS1" s="59" t="s">
        <v>126</v>
      </c>
      <c r="BT1" s="59" t="s">
        <v>127</v>
      </c>
      <c r="BU1" s="59" t="s">
        <v>128</v>
      </c>
      <c r="BV1" s="59" t="s">
        <v>129</v>
      </c>
      <c r="BW1" s="59" t="s">
        <v>130</v>
      </c>
      <c r="BX1" s="59" t="s">
        <v>131</v>
      </c>
      <c r="BY1" s="59" t="s">
        <v>132</v>
      </c>
      <c r="BZ1" s="59" t="s">
        <v>133</v>
      </c>
      <c r="CA1" s="59" t="s">
        <v>134</v>
      </c>
      <c r="CB1" s="59" t="s">
        <v>135</v>
      </c>
      <c r="CC1" s="59" t="s">
        <v>136</v>
      </c>
      <c r="CD1" s="59" t="s">
        <v>137</v>
      </c>
      <c r="CE1" s="59" t="s">
        <v>138</v>
      </c>
      <c r="CF1" s="59" t="s">
        <v>139</v>
      </c>
      <c r="CG1" s="59" t="s">
        <v>140</v>
      </c>
      <c r="CH1" s="59" t="s">
        <v>141</v>
      </c>
      <c r="CI1" s="59" t="s">
        <v>142</v>
      </c>
      <c r="CJ1" s="59" t="s">
        <v>143</v>
      </c>
      <c r="CK1" s="59" t="s">
        <v>144</v>
      </c>
      <c r="CL1" s="59" t="s">
        <v>145</v>
      </c>
      <c r="CM1" s="59" t="s">
        <v>146</v>
      </c>
      <c r="CN1" s="59" t="s">
        <v>147</v>
      </c>
      <c r="CO1" s="59" t="s">
        <v>148</v>
      </c>
      <c r="CP1" s="59" t="s">
        <v>149</v>
      </c>
      <c r="CQ1" s="59" t="s">
        <v>150</v>
      </c>
      <c r="CR1" s="59" t="s">
        <v>151</v>
      </c>
      <c r="CS1" s="59" t="s">
        <v>152</v>
      </c>
      <c r="CT1" s="59" t="s">
        <v>153</v>
      </c>
      <c r="CU1" s="59" t="s">
        <v>154</v>
      </c>
      <c r="CV1" s="59" t="s">
        <v>155</v>
      </c>
      <c r="CW1" s="59" t="s">
        <v>156</v>
      </c>
      <c r="CX1" s="59" t="s">
        <v>157</v>
      </c>
      <c r="CY1" s="59" t="s">
        <v>158</v>
      </c>
      <c r="CZ1" s="59" t="s">
        <v>159</v>
      </c>
      <c r="DA1" s="59" t="s">
        <v>160</v>
      </c>
      <c r="DB1" s="59" t="s">
        <v>161</v>
      </c>
    </row>
    <row r="2" spans="1:106" x14ac:dyDescent="0.35">
      <c r="A2" t="s">
        <v>162</v>
      </c>
      <c r="B2" t="s">
        <v>163</v>
      </c>
      <c r="C2" s="42" t="s">
        <v>164</v>
      </c>
      <c r="D2" t="s">
        <v>165</v>
      </c>
      <c r="E2" t="s">
        <v>166</v>
      </c>
      <c r="F2" t="s">
        <v>167</v>
      </c>
      <c r="G2" s="44">
        <v>12.428419999999999</v>
      </c>
      <c r="H2" s="44">
        <v>14.383609999999999</v>
      </c>
      <c r="I2" s="44">
        <v>17.648759999999999</v>
      </c>
      <c r="J2" s="44">
        <v>20.41208</v>
      </c>
      <c r="K2" s="44">
        <v>23.462160000000001</v>
      </c>
      <c r="L2" s="44">
        <v>25.215299999999999</v>
      </c>
      <c r="M2" s="44">
        <v>28.082899999999999</v>
      </c>
      <c r="N2" s="44">
        <v>32.33867</v>
      </c>
      <c r="O2" s="44">
        <v>36.157789999999999</v>
      </c>
      <c r="P2" s="44">
        <v>39.090560000000004</v>
      </c>
      <c r="Q2" s="44">
        <v>41.019669999999998</v>
      </c>
      <c r="R2" s="44">
        <v>42.766300000000001</v>
      </c>
      <c r="S2" s="44">
        <v>44.871380000000002</v>
      </c>
      <c r="T2" s="44">
        <v>46.36383</v>
      </c>
      <c r="U2" s="44">
        <v>47.849769999999999</v>
      </c>
      <c r="V2" s="44">
        <v>49.608339999999998</v>
      </c>
      <c r="W2" s="44">
        <v>52.216670000000001</v>
      </c>
      <c r="X2" s="44">
        <v>55.85</v>
      </c>
      <c r="Y2" s="44">
        <v>60.058329999999998</v>
      </c>
      <c r="Z2" s="44">
        <v>62.6</v>
      </c>
      <c r="AA2" s="44">
        <v>64.2</v>
      </c>
      <c r="AB2" s="44">
        <v>65.475009999999997</v>
      </c>
      <c r="AC2" s="44">
        <v>67.183329999999998</v>
      </c>
      <c r="AD2" s="44">
        <v>68.816670000000002</v>
      </c>
      <c r="AE2" s="44">
        <v>70.066670000000002</v>
      </c>
      <c r="AF2" s="44">
        <v>71.158330000000007</v>
      </c>
      <c r="AG2" s="44">
        <v>72.116659999999996</v>
      </c>
      <c r="AH2" s="44">
        <v>72.691670000000002</v>
      </c>
      <c r="AI2" s="44">
        <v>73.591669999999993</v>
      </c>
      <c r="AJ2" s="44">
        <v>74.5</v>
      </c>
      <c r="AK2" s="44">
        <v>75.525000000000006</v>
      </c>
      <c r="AL2" s="44">
        <v>76.541669999999996</v>
      </c>
      <c r="AM2" s="44">
        <v>78.099999999999994</v>
      </c>
      <c r="AN2" s="44">
        <v>79.933329999999998</v>
      </c>
      <c r="AO2" s="44">
        <v>81.783330000000007</v>
      </c>
      <c r="AP2" s="44">
        <v>84.724999999999994</v>
      </c>
      <c r="AQ2" s="44">
        <v>86.575000000000003</v>
      </c>
      <c r="AR2" s="44">
        <v>89.433329999999998</v>
      </c>
      <c r="AS2" s="44">
        <v>93.424999999999997</v>
      </c>
      <c r="AT2" s="44">
        <v>96.041669999999996</v>
      </c>
      <c r="AU2" s="44">
        <v>98.508330000000001</v>
      </c>
      <c r="AV2" s="44">
        <v>99.958330000000004</v>
      </c>
      <c r="AW2" s="44">
        <v>100.00830000000001</v>
      </c>
      <c r="AX2" s="44">
        <v>100.65</v>
      </c>
      <c r="AY2" s="44">
        <v>103.3584</v>
      </c>
      <c r="AZ2" s="44">
        <v>105.91670000000001</v>
      </c>
      <c r="BA2" s="44">
        <v>107.8</v>
      </c>
      <c r="BB2" s="44">
        <v>108.75</v>
      </c>
      <c r="BC2" s="44">
        <v>111.5583</v>
      </c>
      <c r="BD2" s="44">
        <v>121.6583</v>
      </c>
      <c r="BE2" s="44">
        <v>130.54169999999999</v>
      </c>
      <c r="BF2" s="44">
        <v>133.85830000000001</v>
      </c>
      <c r="BG2" s="44">
        <v>138.36670000000001</v>
      </c>
      <c r="BH2" s="44">
        <v>143.83789999999999</v>
      </c>
      <c r="BI2" s="45">
        <v>147.99189999999999</v>
      </c>
      <c r="BJ2" s="45">
        <v>150.75460000000001</v>
      </c>
      <c r="BK2" s="45">
        <v>153.65610000000001</v>
      </c>
      <c r="BL2" s="45">
        <v>156.5676</v>
      </c>
      <c r="BM2" s="45">
        <v>159.61060000000001</v>
      </c>
      <c r="BN2" s="45">
        <v>162.77709999999999</v>
      </c>
      <c r="BO2" s="45">
        <v>166.03989999999999</v>
      </c>
      <c r="BP2" s="45">
        <v>169.36959999999999</v>
      </c>
      <c r="BQ2" s="45">
        <v>172.756</v>
      </c>
      <c r="BR2" s="45">
        <v>176.21119999999999</v>
      </c>
      <c r="BS2" s="45">
        <v>179.7353</v>
      </c>
      <c r="BT2" s="45">
        <v>183.33009999999999</v>
      </c>
      <c r="BU2" s="45">
        <v>186.9966</v>
      </c>
      <c r="BV2" s="45">
        <v>190.73660000000001</v>
      </c>
      <c r="BW2" s="45">
        <v>194.5513</v>
      </c>
      <c r="BX2" s="45">
        <v>198.44239999999999</v>
      </c>
      <c r="BY2" s="45">
        <v>202.41120000000001</v>
      </c>
      <c r="BZ2" s="45">
        <v>206.45939999999999</v>
      </c>
      <c r="CA2" s="45">
        <v>210.58860000000001</v>
      </c>
      <c r="CB2" s="45">
        <v>214.8004</v>
      </c>
      <c r="CC2" s="45">
        <v>219.09639999999999</v>
      </c>
      <c r="CD2" s="45">
        <v>223.47829999999999</v>
      </c>
      <c r="CE2" s="45">
        <v>227.9479</v>
      </c>
      <c r="CF2" s="45">
        <v>232.5068</v>
      </c>
      <c r="CG2" s="45">
        <v>237.15700000000001</v>
      </c>
      <c r="CH2" s="45">
        <v>241.90010000000001</v>
      </c>
      <c r="CI2" s="45">
        <v>246.7381</v>
      </c>
      <c r="CJ2" s="45">
        <v>251.6729</v>
      </c>
      <c r="CK2" s="45">
        <v>256.70639999999997</v>
      </c>
      <c r="CL2" s="45">
        <v>261.84050000000002</v>
      </c>
      <c r="CM2" s="45">
        <v>267.07729999999998</v>
      </c>
      <c r="CN2" s="45">
        <v>272.41890000000001</v>
      </c>
      <c r="CO2" s="45">
        <v>277.86720000000003</v>
      </c>
      <c r="CP2" s="45">
        <v>283.42450000000002</v>
      </c>
      <c r="CQ2" t="s">
        <v>168</v>
      </c>
      <c r="CR2" t="b">
        <v>0</v>
      </c>
      <c r="CS2" t="s">
        <v>169</v>
      </c>
      <c r="CT2">
        <v>2015</v>
      </c>
      <c r="CU2">
        <v>2026</v>
      </c>
      <c r="CV2">
        <v>1</v>
      </c>
      <c r="CW2" s="43">
        <v>46155</v>
      </c>
      <c r="CX2" s="42" t="s">
        <v>170</v>
      </c>
      <c r="CY2" s="42" t="s">
        <v>171</v>
      </c>
      <c r="CZ2" t="s">
        <v>172</v>
      </c>
      <c r="DA2" t="s">
        <v>173</v>
      </c>
      <c r="DB2" t="s">
        <v>174</v>
      </c>
    </row>
    <row r="3" spans="1:106" x14ac:dyDescent="0.35">
      <c r="A3" t="s">
        <v>162</v>
      </c>
      <c r="B3" t="s">
        <v>295</v>
      </c>
      <c r="C3" s="42" t="s">
        <v>164</v>
      </c>
      <c r="D3" t="s">
        <v>165</v>
      </c>
      <c r="E3" t="s">
        <v>166</v>
      </c>
      <c r="F3" t="s">
        <v>167</v>
      </c>
      <c r="G3" s="44">
        <v>1E-3</v>
      </c>
      <c r="H3" s="44">
        <v>1E-3</v>
      </c>
      <c r="I3" s="44">
        <v>1E-3</v>
      </c>
      <c r="J3" s="44">
        <v>1E-3</v>
      </c>
      <c r="K3" s="44">
        <v>1E-3</v>
      </c>
      <c r="L3" s="44">
        <v>1E-3</v>
      </c>
      <c r="M3" s="44">
        <v>1E-3</v>
      </c>
      <c r="N3" s="44">
        <v>1E-3</v>
      </c>
      <c r="O3" s="44">
        <v>1E-3</v>
      </c>
      <c r="P3" s="44">
        <v>1E-3</v>
      </c>
      <c r="Q3" s="44">
        <v>1E-3</v>
      </c>
      <c r="R3" s="44">
        <v>1E-3</v>
      </c>
      <c r="S3" s="44">
        <v>1E-3</v>
      </c>
      <c r="T3" s="44">
        <v>1E-3</v>
      </c>
      <c r="U3" s="44">
        <v>1E-3</v>
      </c>
      <c r="V3" s="44">
        <v>30.675000000000001</v>
      </c>
      <c r="W3" s="44">
        <v>32.891669999999998</v>
      </c>
      <c r="X3" s="44">
        <v>36.691670000000002</v>
      </c>
      <c r="Y3" s="44">
        <v>39.424999999999997</v>
      </c>
      <c r="Z3" s="44">
        <v>40.566670000000002</v>
      </c>
      <c r="AA3" s="44">
        <v>43.775010000000002</v>
      </c>
      <c r="AB3" s="44">
        <v>45.774999999999999</v>
      </c>
      <c r="AC3" s="44">
        <v>48.15</v>
      </c>
      <c r="AD3" s="44">
        <v>50.466670000000001</v>
      </c>
      <c r="AE3" s="44">
        <v>55.483330000000002</v>
      </c>
      <c r="AF3" s="44">
        <v>58.258339999999997</v>
      </c>
      <c r="AG3" s="44">
        <v>63.166670000000003</v>
      </c>
      <c r="AH3" s="44">
        <v>71.474999999999994</v>
      </c>
      <c r="AI3" s="44">
        <v>67.808329999999998</v>
      </c>
      <c r="AJ3" s="44">
        <v>65.674999999999997</v>
      </c>
      <c r="AK3" s="44">
        <v>68.05</v>
      </c>
      <c r="AL3" s="44">
        <v>71.849999999999994</v>
      </c>
      <c r="AM3" s="44">
        <v>78.141660000000002</v>
      </c>
      <c r="AN3" s="44">
        <v>82.441670000000002</v>
      </c>
      <c r="AO3" s="44">
        <v>84.833340000000007</v>
      </c>
      <c r="AP3" s="44">
        <v>97.424980000000005</v>
      </c>
      <c r="AQ3" s="44">
        <v>89.791669999999996</v>
      </c>
      <c r="AR3" s="44">
        <v>104.8167</v>
      </c>
      <c r="AS3" s="44">
        <v>120.1917</v>
      </c>
      <c r="AT3" s="44">
        <v>122.5333</v>
      </c>
      <c r="AU3" s="44">
        <v>121.2</v>
      </c>
      <c r="AV3" s="44">
        <v>115.1416</v>
      </c>
      <c r="AW3" s="44">
        <v>100</v>
      </c>
      <c r="AX3" s="44">
        <v>97.616659999999996</v>
      </c>
      <c r="AY3" s="44">
        <v>105.6</v>
      </c>
      <c r="AZ3" s="44">
        <v>113.00830000000001</v>
      </c>
      <c r="BA3" s="44">
        <v>113.4333</v>
      </c>
      <c r="BB3" s="44">
        <v>103.575</v>
      </c>
      <c r="BC3" s="44">
        <v>118.1</v>
      </c>
      <c r="BD3" s="44">
        <v>150.91669999999999</v>
      </c>
      <c r="BE3" s="44">
        <v>135.04169999999999</v>
      </c>
      <c r="BF3" s="44">
        <v>128.51669999999999</v>
      </c>
      <c r="BG3" s="44">
        <v>123.1083</v>
      </c>
      <c r="BH3" s="44">
        <v>136.9272</v>
      </c>
      <c r="BI3" s="45">
        <v>125.241</v>
      </c>
      <c r="BJ3" s="45">
        <v>119.1574</v>
      </c>
      <c r="BK3" s="45">
        <v>118.08450000000001</v>
      </c>
      <c r="BL3" s="45">
        <v>119.9965</v>
      </c>
      <c r="BM3" s="45">
        <v>121.0129</v>
      </c>
      <c r="BN3" s="45">
        <v>121.84050000000001</v>
      </c>
      <c r="BO3" s="45">
        <v>122.58920000000001</v>
      </c>
      <c r="BP3" s="45">
        <v>123.16930000000001</v>
      </c>
      <c r="BQ3" s="45">
        <v>123.6977</v>
      </c>
      <c r="BR3" s="45">
        <v>124.2002</v>
      </c>
      <c r="BS3" s="45">
        <v>124.70480000000001</v>
      </c>
      <c r="BT3" s="45">
        <v>125.2114</v>
      </c>
      <c r="BU3" s="45">
        <v>125.72</v>
      </c>
      <c r="BV3" s="45">
        <v>126.2307</v>
      </c>
      <c r="BW3" s="45">
        <v>126.7435</v>
      </c>
      <c r="BX3" s="45">
        <v>127.25839999999999</v>
      </c>
      <c r="BY3" s="45">
        <v>127.7753</v>
      </c>
      <c r="BZ3" s="45">
        <v>128.2944</v>
      </c>
      <c r="CA3" s="45">
        <v>128.81559999999999</v>
      </c>
      <c r="CB3" s="45">
        <v>129.3389</v>
      </c>
      <c r="CC3" s="45">
        <v>129.86429999999999</v>
      </c>
      <c r="CD3" s="45">
        <v>130.39179999999999</v>
      </c>
      <c r="CE3" s="45">
        <v>130.92150000000001</v>
      </c>
      <c r="CF3" s="45">
        <v>131.45330000000001</v>
      </c>
      <c r="CG3" s="45">
        <v>131.9873</v>
      </c>
      <c r="CH3" s="45">
        <v>132.52350000000001</v>
      </c>
      <c r="CI3" s="45">
        <v>133.06190000000001</v>
      </c>
      <c r="CJ3" s="45">
        <v>133.60239999999999</v>
      </c>
      <c r="CK3" s="45">
        <v>134.14510000000001</v>
      </c>
      <c r="CL3" s="45">
        <v>134.6901</v>
      </c>
      <c r="CM3" s="45">
        <v>135.2372</v>
      </c>
      <c r="CN3" s="45">
        <v>135.78649999999999</v>
      </c>
      <c r="CO3" s="45">
        <v>136.3382</v>
      </c>
      <c r="CP3" s="45">
        <v>136.892</v>
      </c>
      <c r="CQ3" t="s">
        <v>168</v>
      </c>
      <c r="CR3" t="b">
        <v>0</v>
      </c>
      <c r="CS3" t="s">
        <v>169</v>
      </c>
      <c r="CT3">
        <v>2015</v>
      </c>
      <c r="CU3">
        <v>2026</v>
      </c>
      <c r="CV3">
        <v>1</v>
      </c>
      <c r="CW3" s="43">
        <v>46155</v>
      </c>
      <c r="CX3" s="42" t="s">
        <v>296</v>
      </c>
      <c r="CY3" s="42" t="s">
        <v>297</v>
      </c>
      <c r="CZ3" t="s">
        <v>172</v>
      </c>
      <c r="DA3" t="s">
        <v>298</v>
      </c>
      <c r="DB3" t="s">
        <v>174</v>
      </c>
    </row>
    <row r="4" spans="1:106" x14ac:dyDescent="0.35">
      <c r="A4" t="s">
        <v>162</v>
      </c>
      <c r="B4" t="s">
        <v>175</v>
      </c>
      <c r="C4" s="42" t="s">
        <v>164</v>
      </c>
      <c r="D4" t="s">
        <v>165</v>
      </c>
      <c r="E4" t="s">
        <v>166</v>
      </c>
      <c r="F4" t="s">
        <v>167</v>
      </c>
      <c r="G4" s="44">
        <v>1E-3</v>
      </c>
      <c r="H4" s="44">
        <v>1E-3</v>
      </c>
      <c r="I4" s="44">
        <v>1E-3</v>
      </c>
      <c r="J4" s="44">
        <v>1E-3</v>
      </c>
      <c r="K4" s="44">
        <v>1E-3</v>
      </c>
      <c r="L4" s="44">
        <v>1E-3</v>
      </c>
      <c r="M4" s="44">
        <v>1E-3</v>
      </c>
      <c r="N4" s="44">
        <v>1E-3</v>
      </c>
      <c r="O4" s="44">
        <v>1E-3</v>
      </c>
      <c r="P4" s="44">
        <v>1E-3</v>
      </c>
      <c r="Q4" s="44">
        <v>1E-3</v>
      </c>
      <c r="R4" s="44">
        <v>1E-3</v>
      </c>
      <c r="S4" s="44">
        <v>1E-3</v>
      </c>
      <c r="T4" s="44">
        <v>1E-3</v>
      </c>
      <c r="U4" s="44">
        <v>1E-3</v>
      </c>
      <c r="V4" s="44">
        <v>54.45</v>
      </c>
      <c r="W4" s="44">
        <v>57.25</v>
      </c>
      <c r="X4" s="44">
        <v>60.849989999999998</v>
      </c>
      <c r="Y4" s="44">
        <v>65.474999999999994</v>
      </c>
      <c r="Z4" s="44">
        <v>68.408339999999995</v>
      </c>
      <c r="AA4" s="44">
        <v>70.058329999999998</v>
      </c>
      <c r="AB4" s="44">
        <v>71.233339999999998</v>
      </c>
      <c r="AC4" s="44">
        <v>72.691670000000002</v>
      </c>
      <c r="AD4" s="44">
        <v>74.158330000000007</v>
      </c>
      <c r="AE4" s="44">
        <v>75.55</v>
      </c>
      <c r="AF4" s="44">
        <v>76.641660000000002</v>
      </c>
      <c r="AG4" s="44">
        <v>77.208340000000007</v>
      </c>
      <c r="AH4" s="44">
        <v>77.266660000000002</v>
      </c>
      <c r="AI4" s="44">
        <v>78.091660000000005</v>
      </c>
      <c r="AJ4" s="44">
        <v>79.25</v>
      </c>
      <c r="AK4" s="44">
        <v>80.266660000000002</v>
      </c>
      <c r="AL4" s="44">
        <v>81.125</v>
      </c>
      <c r="AM4" s="44">
        <v>82.35</v>
      </c>
      <c r="AN4" s="44">
        <v>83.441670000000002</v>
      </c>
      <c r="AO4" s="44">
        <v>84.85</v>
      </c>
      <c r="AP4" s="44">
        <v>86.224999999999994</v>
      </c>
      <c r="AQ4" s="44">
        <v>87.741659999999996</v>
      </c>
      <c r="AR4" s="44">
        <v>90.266670000000005</v>
      </c>
      <c r="AS4" s="44">
        <v>93.166659999999993</v>
      </c>
      <c r="AT4" s="44">
        <v>95.35</v>
      </c>
      <c r="AU4" s="44">
        <v>97.325000000000003</v>
      </c>
      <c r="AV4" s="44">
        <v>98.924999999999997</v>
      </c>
      <c r="AW4" s="44">
        <v>100.00830000000001</v>
      </c>
      <c r="AX4" s="44">
        <v>101.33329999999999</v>
      </c>
      <c r="AY4" s="44">
        <v>103.75</v>
      </c>
      <c r="AZ4" s="44">
        <v>105.875</v>
      </c>
      <c r="BA4" s="44">
        <v>107.72499999999999</v>
      </c>
      <c r="BB4" s="44">
        <v>109.22499999999999</v>
      </c>
      <c r="BC4" s="44">
        <v>111.8417</v>
      </c>
      <c r="BD4" s="44">
        <v>118.4833</v>
      </c>
      <c r="BE4" s="44">
        <v>125.77500000000001</v>
      </c>
      <c r="BF4" s="44">
        <v>130.45830000000001</v>
      </c>
      <c r="BG4" s="44">
        <v>135.0667</v>
      </c>
      <c r="BH4" s="44">
        <v>140.07910000000001</v>
      </c>
      <c r="BI4" s="45">
        <v>144.43989999999999</v>
      </c>
      <c r="BJ4" s="45">
        <v>148.0479</v>
      </c>
      <c r="BK4" s="45">
        <v>151.46559999999999</v>
      </c>
      <c r="BL4" s="45">
        <v>154.68950000000001</v>
      </c>
      <c r="BM4" s="45">
        <v>157.86070000000001</v>
      </c>
      <c r="BN4" s="45">
        <v>161.09979999999999</v>
      </c>
      <c r="BO4" s="45">
        <v>164.4358</v>
      </c>
      <c r="BP4" s="45">
        <v>167.86170000000001</v>
      </c>
      <c r="BQ4" s="45">
        <v>171.36789999999999</v>
      </c>
      <c r="BR4" s="45">
        <v>174.95339999999999</v>
      </c>
      <c r="BS4" s="45">
        <v>178.60220000000001</v>
      </c>
      <c r="BT4" s="45">
        <v>182.3272</v>
      </c>
      <c r="BU4" s="45">
        <v>186.12989999999999</v>
      </c>
      <c r="BV4" s="45">
        <v>190.01179999999999</v>
      </c>
      <c r="BW4" s="45">
        <v>193.97479999999999</v>
      </c>
      <c r="BX4" s="45">
        <v>198.0204</v>
      </c>
      <c r="BY4" s="45">
        <v>202.15029999999999</v>
      </c>
      <c r="BZ4" s="45">
        <v>206.3664</v>
      </c>
      <c r="CA4" s="45">
        <v>210.6704</v>
      </c>
      <c r="CB4" s="45">
        <v>215.0641</v>
      </c>
      <c r="CC4" s="45">
        <v>219.5496</v>
      </c>
      <c r="CD4" s="45">
        <v>224.12860000000001</v>
      </c>
      <c r="CE4" s="45">
        <v>228.8031</v>
      </c>
      <c r="CF4" s="45">
        <v>233.57499999999999</v>
      </c>
      <c r="CG4" s="45">
        <v>238.44659999999999</v>
      </c>
      <c r="CH4" s="45">
        <v>243.41970000000001</v>
      </c>
      <c r="CI4" s="45">
        <v>248.49639999999999</v>
      </c>
      <c r="CJ4" s="45">
        <v>253.67910000000001</v>
      </c>
      <c r="CK4" s="45">
        <v>258.96980000000002</v>
      </c>
      <c r="CL4" s="45">
        <v>264.37099999999998</v>
      </c>
      <c r="CM4" s="45">
        <v>269.88479999999998</v>
      </c>
      <c r="CN4" s="45">
        <v>275.51369999999997</v>
      </c>
      <c r="CO4" s="45">
        <v>281.25979999999998</v>
      </c>
      <c r="CP4" s="45">
        <v>287.12580000000003</v>
      </c>
      <c r="CQ4" t="s">
        <v>168</v>
      </c>
      <c r="CR4" t="b">
        <v>0</v>
      </c>
      <c r="CS4" t="s">
        <v>169</v>
      </c>
      <c r="CT4">
        <v>2015</v>
      </c>
      <c r="CU4">
        <v>2026</v>
      </c>
      <c r="CV4">
        <v>1</v>
      </c>
      <c r="CW4" s="43">
        <v>46155</v>
      </c>
      <c r="CX4" s="42" t="s">
        <v>176</v>
      </c>
      <c r="CY4" s="42" t="s">
        <v>177</v>
      </c>
      <c r="CZ4" t="s">
        <v>172</v>
      </c>
      <c r="DA4" t="s">
        <v>178</v>
      </c>
      <c r="DB4" t="s">
        <v>174</v>
      </c>
    </row>
    <row r="5" spans="1:106" x14ac:dyDescent="0.35">
      <c r="A5" t="s">
        <v>162</v>
      </c>
      <c r="B5" t="s">
        <v>179</v>
      </c>
      <c r="C5" s="42" t="s">
        <v>164</v>
      </c>
      <c r="D5" t="s">
        <v>165</v>
      </c>
      <c r="E5" t="s">
        <v>180</v>
      </c>
      <c r="F5" t="s">
        <v>167</v>
      </c>
      <c r="G5" s="44">
        <v>8.8851910000000007</v>
      </c>
      <c r="H5" s="44">
        <v>10.51064</v>
      </c>
      <c r="I5" s="44">
        <v>12.96881</v>
      </c>
      <c r="J5" s="44">
        <v>15.10153</v>
      </c>
      <c r="K5" s="44">
        <v>17.378810000000001</v>
      </c>
      <c r="L5" s="44">
        <v>19.118310000000001</v>
      </c>
      <c r="M5" s="44">
        <v>21.755420000000001</v>
      </c>
      <c r="N5" s="44">
        <v>25.429400000000001</v>
      </c>
      <c r="O5" s="44">
        <v>28.572310000000002</v>
      </c>
      <c r="P5" s="44">
        <v>31.209060000000001</v>
      </c>
      <c r="Q5" s="44">
        <v>33.024369999999998</v>
      </c>
      <c r="R5" s="44">
        <v>34.779710000000001</v>
      </c>
      <c r="S5" s="44">
        <v>36.217959999999998</v>
      </c>
      <c r="T5" s="44">
        <v>37.703310000000002</v>
      </c>
      <c r="U5" s="44">
        <v>39.338819999999998</v>
      </c>
      <c r="V5" s="44">
        <v>41.312820000000002</v>
      </c>
      <c r="W5" s="44">
        <v>43.578150000000001</v>
      </c>
      <c r="X5" s="44">
        <v>46.900959999999998</v>
      </c>
      <c r="Y5" s="44">
        <v>50.50714</v>
      </c>
      <c r="Z5" s="44">
        <v>52.582990000000002</v>
      </c>
      <c r="AA5" s="44">
        <v>54.242400000000004</v>
      </c>
      <c r="AB5" s="44">
        <v>55.1663</v>
      </c>
      <c r="AC5" s="44">
        <v>56.78875</v>
      </c>
      <c r="AD5" s="44">
        <v>58.715499999999999</v>
      </c>
      <c r="AE5" s="44">
        <v>59.921779999999998</v>
      </c>
      <c r="AF5" s="44">
        <v>60.771979999999999</v>
      </c>
      <c r="AG5" s="44">
        <v>61.187100000000001</v>
      </c>
      <c r="AH5" s="44">
        <v>61.265810000000002</v>
      </c>
      <c r="AI5" s="44">
        <v>61.704949999999997</v>
      </c>
      <c r="AJ5" s="44">
        <v>62.134689999999999</v>
      </c>
      <c r="AK5" s="44">
        <v>62.913609999999998</v>
      </c>
      <c r="AL5" s="44">
        <v>64.117680000000007</v>
      </c>
      <c r="AM5" s="44">
        <v>65.270910000000001</v>
      </c>
      <c r="AN5" s="44">
        <v>67.199070000000006</v>
      </c>
      <c r="AO5" s="44">
        <v>68.096230000000006</v>
      </c>
      <c r="AP5" s="44">
        <v>70.813059999999993</v>
      </c>
      <c r="AQ5" s="44">
        <v>71.345640000000003</v>
      </c>
      <c r="AR5" s="44">
        <v>71.976439999999997</v>
      </c>
      <c r="AS5" s="44">
        <v>74.839039999999997</v>
      </c>
      <c r="AT5" s="44">
        <v>76.048360000000002</v>
      </c>
      <c r="AU5" s="44">
        <v>77.717609999999993</v>
      </c>
      <c r="AV5" s="44">
        <v>78.584919999999997</v>
      </c>
      <c r="AW5" s="44">
        <v>78.293620000000004</v>
      </c>
      <c r="AX5" s="44">
        <v>79.282340000000005</v>
      </c>
      <c r="AY5" s="44">
        <v>80.711160000000007</v>
      </c>
      <c r="AZ5" s="44">
        <v>82.358630000000005</v>
      </c>
      <c r="BA5" s="44">
        <v>83.448729999999998</v>
      </c>
      <c r="BB5" s="44">
        <v>83.470160000000007</v>
      </c>
      <c r="BC5" s="44">
        <v>85.875540000000001</v>
      </c>
      <c r="BD5" s="44">
        <v>93.461160000000007</v>
      </c>
      <c r="BE5" s="44">
        <v>100.0031</v>
      </c>
      <c r="BF5" s="44">
        <v>102.9905</v>
      </c>
      <c r="BG5" s="44">
        <v>106.8064</v>
      </c>
      <c r="BH5" s="45">
        <v>111.0258</v>
      </c>
      <c r="BI5" s="45">
        <v>114.22969999999999</v>
      </c>
      <c r="BJ5" s="45">
        <v>116.3638</v>
      </c>
      <c r="BK5" s="45">
        <v>118.60339999999999</v>
      </c>
      <c r="BL5" s="45">
        <v>120.8507</v>
      </c>
      <c r="BM5" s="45">
        <v>123.2483</v>
      </c>
      <c r="BN5" s="45">
        <v>125.7128</v>
      </c>
      <c r="BO5" s="45">
        <v>128.22659999999999</v>
      </c>
      <c r="BP5" s="45">
        <v>130.79060000000001</v>
      </c>
      <c r="BQ5" s="45">
        <v>133.40600000000001</v>
      </c>
      <c r="BR5" s="45">
        <v>136.0735</v>
      </c>
      <c r="BS5" s="45">
        <v>138.7945</v>
      </c>
      <c r="BT5" s="45">
        <v>141.56989999999999</v>
      </c>
      <c r="BU5" s="45">
        <v>144.4007</v>
      </c>
      <c r="BV5" s="45">
        <v>147.28819999999999</v>
      </c>
      <c r="BW5" s="45">
        <v>150.23339999999999</v>
      </c>
      <c r="BX5" s="45">
        <v>153.23750000000001</v>
      </c>
      <c r="BY5" s="45">
        <v>156.30170000000001</v>
      </c>
      <c r="BZ5" s="45">
        <v>159.4271</v>
      </c>
      <c r="CA5" s="45">
        <v>162.61510000000001</v>
      </c>
      <c r="CB5" s="45">
        <v>165.86670000000001</v>
      </c>
      <c r="CC5" s="45">
        <v>169.18350000000001</v>
      </c>
      <c r="CD5" s="45">
        <v>172.56649999999999</v>
      </c>
      <c r="CE5" s="45">
        <v>176.0172</v>
      </c>
      <c r="CF5" s="45">
        <v>179.5368</v>
      </c>
      <c r="CG5" s="45">
        <v>183.12690000000001</v>
      </c>
      <c r="CH5" s="45">
        <v>186.78880000000001</v>
      </c>
      <c r="CI5" s="45">
        <v>190.52379999999999</v>
      </c>
      <c r="CJ5" s="45">
        <v>194.33359999999999</v>
      </c>
      <c r="CK5" s="45">
        <v>198.21950000000001</v>
      </c>
      <c r="CL5" s="45">
        <v>202.1831</v>
      </c>
      <c r="CM5" s="45">
        <v>206.226</v>
      </c>
      <c r="CN5" s="45">
        <v>210.34979999999999</v>
      </c>
      <c r="CO5" s="45">
        <v>214.55600000000001</v>
      </c>
      <c r="CP5" s="45">
        <v>218.84630000000001</v>
      </c>
      <c r="CQ5" t="s">
        <v>168</v>
      </c>
      <c r="CR5" t="b">
        <v>1</v>
      </c>
      <c r="CS5" t="s">
        <v>169</v>
      </c>
      <c r="CT5">
        <v>2023</v>
      </c>
      <c r="CU5">
        <v>2025</v>
      </c>
      <c r="CV5">
        <v>4</v>
      </c>
      <c r="CW5" s="43">
        <v>46155</v>
      </c>
      <c r="CX5" s="42" t="s">
        <v>181</v>
      </c>
      <c r="CY5" t="s">
        <v>169</v>
      </c>
      <c r="CZ5" t="s">
        <v>172</v>
      </c>
      <c r="DA5" t="s">
        <v>182</v>
      </c>
      <c r="DB5" t="s">
        <v>174</v>
      </c>
    </row>
    <row r="6" spans="1:106" x14ac:dyDescent="0.35">
      <c r="A6" t="s">
        <v>162</v>
      </c>
      <c r="B6" t="s">
        <v>183</v>
      </c>
      <c r="C6" s="42" t="s">
        <v>164</v>
      </c>
      <c r="D6" t="s">
        <v>184</v>
      </c>
      <c r="E6" t="s">
        <v>185</v>
      </c>
      <c r="F6" t="s">
        <v>167</v>
      </c>
      <c r="G6" s="44">
        <v>48988</v>
      </c>
      <c r="H6" s="44">
        <v>57233</v>
      </c>
      <c r="I6" s="44">
        <v>70474</v>
      </c>
      <c r="J6" s="44">
        <v>82570</v>
      </c>
      <c r="K6" s="44">
        <v>94811</v>
      </c>
      <c r="L6" s="44">
        <v>109917</v>
      </c>
      <c r="M6" s="44">
        <v>130985</v>
      </c>
      <c r="N6" s="44">
        <v>153233</v>
      </c>
      <c r="O6" s="44">
        <v>172721</v>
      </c>
      <c r="P6" s="44">
        <v>190883</v>
      </c>
      <c r="Q6" s="44">
        <v>210722</v>
      </c>
      <c r="R6" s="44">
        <v>227316</v>
      </c>
      <c r="S6" s="44">
        <v>248664</v>
      </c>
      <c r="T6" s="44">
        <v>274186</v>
      </c>
      <c r="U6" s="44">
        <v>301124</v>
      </c>
      <c r="V6" s="44">
        <v>338673</v>
      </c>
      <c r="W6" s="44">
        <v>370725</v>
      </c>
      <c r="X6" s="44">
        <v>404573</v>
      </c>
      <c r="Y6" s="44">
        <v>431907</v>
      </c>
      <c r="Z6" s="44">
        <v>454101</v>
      </c>
      <c r="AA6" s="44">
        <v>481753</v>
      </c>
      <c r="AB6" s="44">
        <v>505949</v>
      </c>
      <c r="AC6" s="44">
        <v>531875</v>
      </c>
      <c r="AD6" s="44">
        <v>570493</v>
      </c>
      <c r="AE6" s="44">
        <v>609948</v>
      </c>
      <c r="AF6" s="44">
        <v>643770</v>
      </c>
      <c r="AG6" s="44">
        <v>675819</v>
      </c>
      <c r="AH6" s="44">
        <v>708151</v>
      </c>
      <c r="AI6" s="44">
        <v>736985</v>
      </c>
      <c r="AJ6" s="44">
        <v>762109</v>
      </c>
      <c r="AK6" s="44">
        <v>797938</v>
      </c>
      <c r="AL6" s="44">
        <v>835800</v>
      </c>
      <c r="AM6" s="44">
        <v>873660</v>
      </c>
      <c r="AN6" s="44">
        <v>906653</v>
      </c>
      <c r="AO6" s="44">
        <v>951695</v>
      </c>
      <c r="AP6" s="44">
        <v>980317</v>
      </c>
      <c r="AQ6" s="44">
        <v>953638</v>
      </c>
      <c r="AR6" s="44">
        <v>988252</v>
      </c>
      <c r="AS6" s="44">
        <v>1020931</v>
      </c>
      <c r="AT6" s="44">
        <v>1058894</v>
      </c>
      <c r="AU6" s="44">
        <v>1109368</v>
      </c>
      <c r="AV6" s="44">
        <v>1156436</v>
      </c>
      <c r="AW6" s="44">
        <v>1187125</v>
      </c>
      <c r="AX6" s="44">
        <v>1247100</v>
      </c>
      <c r="AY6" s="44">
        <v>1294413</v>
      </c>
      <c r="AZ6" s="44">
        <v>1343506</v>
      </c>
      <c r="BA6" s="44">
        <v>1377461</v>
      </c>
      <c r="BB6" s="44">
        <v>1203098</v>
      </c>
      <c r="BC6" s="44">
        <v>1325178</v>
      </c>
      <c r="BD6" s="44">
        <v>1549599</v>
      </c>
      <c r="BE6" s="44">
        <v>1652281</v>
      </c>
      <c r="BF6" s="44">
        <v>1700131</v>
      </c>
      <c r="BG6" s="44">
        <v>1776885</v>
      </c>
      <c r="BH6" s="45">
        <v>1853570</v>
      </c>
      <c r="BI6" s="45">
        <v>1914842</v>
      </c>
      <c r="BJ6" s="45">
        <v>1977583</v>
      </c>
      <c r="BK6" s="45">
        <v>2052431</v>
      </c>
      <c r="BL6" s="45">
        <v>2121032</v>
      </c>
      <c r="BM6" s="45">
        <v>2191978</v>
      </c>
      <c r="BN6" s="45">
        <v>2265518</v>
      </c>
      <c r="BO6" s="45">
        <v>2341464</v>
      </c>
      <c r="BP6" s="45">
        <v>2421115</v>
      </c>
      <c r="BQ6" s="45">
        <v>2504039</v>
      </c>
      <c r="BR6" s="45">
        <v>2589915</v>
      </c>
      <c r="BS6" s="45">
        <v>2678748</v>
      </c>
      <c r="BT6" s="45">
        <v>2770708</v>
      </c>
      <c r="BU6" s="45">
        <v>2865915</v>
      </c>
      <c r="BV6" s="45">
        <v>2965067</v>
      </c>
      <c r="BW6" s="45">
        <v>3068116</v>
      </c>
      <c r="BX6" s="45">
        <v>3174784</v>
      </c>
      <c r="BY6" s="45">
        <v>3283786</v>
      </c>
      <c r="BZ6" s="45">
        <v>3393880</v>
      </c>
      <c r="CA6" s="45">
        <v>3505126</v>
      </c>
      <c r="CB6" s="45">
        <v>3618765</v>
      </c>
      <c r="CC6" s="45">
        <v>3735824</v>
      </c>
      <c r="CD6" s="45">
        <v>3855486</v>
      </c>
      <c r="CE6" s="45">
        <v>3977853</v>
      </c>
      <c r="CF6" s="45">
        <v>4102794</v>
      </c>
      <c r="CG6" s="45">
        <v>4230867</v>
      </c>
      <c r="CH6" s="45">
        <v>4361720</v>
      </c>
      <c r="CI6" s="45">
        <v>4495058</v>
      </c>
      <c r="CJ6" s="45">
        <v>4631692</v>
      </c>
      <c r="CK6" s="45">
        <v>4771308</v>
      </c>
      <c r="CL6" s="45">
        <v>4914273</v>
      </c>
      <c r="CM6" s="45">
        <v>5061211</v>
      </c>
      <c r="CN6" s="45">
        <v>5212478</v>
      </c>
      <c r="CO6" s="45">
        <v>5367832</v>
      </c>
      <c r="CP6" s="45">
        <v>5527898</v>
      </c>
      <c r="CQ6" t="s">
        <v>168</v>
      </c>
      <c r="CR6" t="b">
        <v>1</v>
      </c>
      <c r="CS6" t="s">
        <v>169</v>
      </c>
      <c r="CT6" t="s">
        <v>169</v>
      </c>
      <c r="CU6">
        <v>2025</v>
      </c>
      <c r="CV6">
        <v>4</v>
      </c>
      <c r="CW6" s="43">
        <v>46155</v>
      </c>
      <c r="CX6" t="s">
        <v>186</v>
      </c>
      <c r="CY6" t="s">
        <v>187</v>
      </c>
      <c r="CZ6" t="s">
        <v>172</v>
      </c>
      <c r="DA6" t="s">
        <v>188</v>
      </c>
      <c r="DB6" t="s">
        <v>174</v>
      </c>
    </row>
    <row r="7" spans="1:106" x14ac:dyDescent="0.35">
      <c r="A7" t="s">
        <v>162</v>
      </c>
      <c r="B7" t="s">
        <v>189</v>
      </c>
      <c r="C7" s="42" t="s">
        <v>164</v>
      </c>
      <c r="D7" t="s">
        <v>184</v>
      </c>
      <c r="E7" s="42" t="s">
        <v>190</v>
      </c>
      <c r="F7" t="s">
        <v>167</v>
      </c>
      <c r="G7" s="44">
        <v>551375</v>
      </c>
      <c r="H7" s="44">
        <v>544335</v>
      </c>
      <c r="I7" s="44">
        <v>543607</v>
      </c>
      <c r="J7" s="44">
        <v>546626</v>
      </c>
      <c r="K7" s="44">
        <v>545408</v>
      </c>
      <c r="L7" s="44">
        <v>574834</v>
      </c>
      <c r="M7" s="44">
        <v>602077</v>
      </c>
      <c r="N7" s="44">
        <v>602808</v>
      </c>
      <c r="O7" s="44">
        <v>604520</v>
      </c>
      <c r="P7" s="44">
        <v>611514</v>
      </c>
      <c r="Q7" s="44">
        <v>638005</v>
      </c>
      <c r="R7" s="44">
        <v>653525</v>
      </c>
      <c r="S7" s="44">
        <v>686449</v>
      </c>
      <c r="T7" s="44">
        <v>727133</v>
      </c>
      <c r="U7" s="44">
        <v>765263</v>
      </c>
      <c r="V7" s="44">
        <v>819586</v>
      </c>
      <c r="W7" s="44">
        <v>850651</v>
      </c>
      <c r="X7" s="44">
        <v>862650</v>
      </c>
      <c r="Y7" s="44">
        <v>855170</v>
      </c>
      <c r="Z7" s="44">
        <v>863546</v>
      </c>
      <c r="AA7" s="44">
        <v>888080</v>
      </c>
      <c r="AB7" s="44">
        <v>917100</v>
      </c>
      <c r="AC7" s="44">
        <v>936509</v>
      </c>
      <c r="AD7" s="44">
        <v>971534</v>
      </c>
      <c r="AE7" s="44">
        <v>1017854</v>
      </c>
      <c r="AF7" s="44">
        <v>1059254</v>
      </c>
      <c r="AG7" s="44">
        <v>1104548</v>
      </c>
      <c r="AH7" s="44">
        <v>1155881</v>
      </c>
      <c r="AI7" s="44">
        <v>1194415</v>
      </c>
      <c r="AJ7" s="44">
        <v>1226503</v>
      </c>
      <c r="AK7" s="44">
        <v>1268258</v>
      </c>
      <c r="AL7" s="44">
        <v>1303476</v>
      </c>
      <c r="AM7" s="44">
        <v>1338472</v>
      </c>
      <c r="AN7" s="44">
        <v>1349155</v>
      </c>
      <c r="AO7" s="44">
        <v>1397444</v>
      </c>
      <c r="AP7" s="44">
        <v>1384614</v>
      </c>
      <c r="AQ7" s="44">
        <v>1336656</v>
      </c>
      <c r="AR7" s="44">
        <v>1372907</v>
      </c>
      <c r="AS7" s="44">
        <v>1364172</v>
      </c>
      <c r="AT7" s="44">
        <v>1392361</v>
      </c>
      <c r="AU7" s="44">
        <v>1427390</v>
      </c>
      <c r="AV7" s="44">
        <v>1471584</v>
      </c>
      <c r="AW7" s="44">
        <v>1516223</v>
      </c>
      <c r="AX7" s="44">
        <v>1572915</v>
      </c>
      <c r="AY7" s="44">
        <v>1603724</v>
      </c>
      <c r="AZ7" s="44">
        <v>1631242</v>
      </c>
      <c r="BA7" s="44">
        <v>1650664</v>
      </c>
      <c r="BB7" s="44">
        <v>1441233</v>
      </c>
      <c r="BC7" s="44">
        <v>1542035</v>
      </c>
      <c r="BD7" s="44">
        <v>1657618</v>
      </c>
      <c r="BE7" s="44">
        <v>1652281</v>
      </c>
      <c r="BF7" s="44">
        <v>1650727</v>
      </c>
      <c r="BG7" s="44">
        <v>1663641</v>
      </c>
      <c r="BH7" s="45">
        <v>1669498</v>
      </c>
      <c r="BI7" s="45">
        <v>1676292</v>
      </c>
      <c r="BJ7" s="45">
        <v>1699433</v>
      </c>
      <c r="BK7" s="45">
        <v>1730460</v>
      </c>
      <c r="BL7" s="45">
        <v>1755050</v>
      </c>
      <c r="BM7" s="45">
        <v>1778468</v>
      </c>
      <c r="BN7" s="45">
        <v>1802102</v>
      </c>
      <c r="BO7" s="45">
        <v>1825999</v>
      </c>
      <c r="BP7" s="45">
        <v>1851099</v>
      </c>
      <c r="BQ7" s="45">
        <v>1876966</v>
      </c>
      <c r="BR7" s="45">
        <v>1903280</v>
      </c>
      <c r="BS7" s="45">
        <v>1929968</v>
      </c>
      <c r="BT7" s="45">
        <v>1957089</v>
      </c>
      <c r="BU7" s="45">
        <v>1984653</v>
      </c>
      <c r="BV7" s="45">
        <v>2013061</v>
      </c>
      <c r="BW7" s="45">
        <v>2042187</v>
      </c>
      <c r="BX7" s="45">
        <v>2071760</v>
      </c>
      <c r="BY7" s="45">
        <v>2100884</v>
      </c>
      <c r="BZ7" s="45">
        <v>2128756</v>
      </c>
      <c r="CA7" s="45">
        <v>2155434</v>
      </c>
      <c r="CB7" s="45">
        <v>2181690</v>
      </c>
      <c r="CC7" s="45">
        <v>2208109</v>
      </c>
      <c r="CD7" s="45">
        <v>2234163</v>
      </c>
      <c r="CE7" s="45">
        <v>2259884</v>
      </c>
      <c r="CF7" s="45">
        <v>2285171</v>
      </c>
      <c r="CG7" s="45">
        <v>2310308</v>
      </c>
      <c r="CH7" s="45">
        <v>2335070</v>
      </c>
      <c r="CI7" s="45">
        <v>2359278</v>
      </c>
      <c r="CJ7" s="45">
        <v>2383336</v>
      </c>
      <c r="CK7" s="45">
        <v>2407047</v>
      </c>
      <c r="CL7" s="45">
        <v>2430568</v>
      </c>
      <c r="CM7" s="45">
        <v>2454169</v>
      </c>
      <c r="CN7" s="45">
        <v>2477968</v>
      </c>
      <c r="CO7" s="45">
        <v>2501795</v>
      </c>
      <c r="CP7" s="45">
        <v>2525890</v>
      </c>
      <c r="CQ7" t="s">
        <v>168</v>
      </c>
      <c r="CR7" t="b">
        <v>1</v>
      </c>
      <c r="CS7" s="42" t="s">
        <v>191</v>
      </c>
      <c r="CT7" t="s">
        <v>169</v>
      </c>
      <c r="CU7">
        <v>2025</v>
      </c>
      <c r="CV7">
        <v>4</v>
      </c>
      <c r="CW7" s="43">
        <v>46155</v>
      </c>
      <c r="CX7" t="s">
        <v>192</v>
      </c>
      <c r="CY7" s="42" t="s">
        <v>193</v>
      </c>
      <c r="CZ7" t="s">
        <v>172</v>
      </c>
      <c r="DA7" t="s">
        <v>194</v>
      </c>
      <c r="DB7" t="s">
        <v>174</v>
      </c>
    </row>
    <row r="8" spans="1:106" x14ac:dyDescent="0.35">
      <c r="A8" t="s">
        <v>162</v>
      </c>
      <c r="B8" t="s">
        <v>195</v>
      </c>
      <c r="C8" s="42" t="s">
        <v>164</v>
      </c>
      <c r="D8" t="s">
        <v>196</v>
      </c>
      <c r="E8" t="s">
        <v>169</v>
      </c>
      <c r="F8" t="s">
        <v>167</v>
      </c>
      <c r="G8" s="44">
        <v>443.82279999999997</v>
      </c>
      <c r="H8" s="44">
        <v>522.59</v>
      </c>
      <c r="I8" s="44">
        <v>680.21559999999999</v>
      </c>
      <c r="J8" s="44">
        <v>768.13599999999997</v>
      </c>
      <c r="K8" s="44">
        <v>847.30409999999995</v>
      </c>
      <c r="L8" s="44">
        <v>962.32060000000001</v>
      </c>
      <c r="M8" s="44">
        <v>1113.615</v>
      </c>
      <c r="N8" s="44">
        <v>1341.2919999999999</v>
      </c>
      <c r="O8" s="44">
        <v>1499.1110000000001</v>
      </c>
      <c r="P8" s="44">
        <v>1630.3979999999999</v>
      </c>
      <c r="Q8" s="44">
        <v>1765.7249999999999</v>
      </c>
      <c r="R8" s="44">
        <v>1873.078</v>
      </c>
      <c r="S8" s="44">
        <v>2033.7349999999999</v>
      </c>
      <c r="T8" s="44">
        <v>2196.1669999999999</v>
      </c>
      <c r="U8" s="44">
        <v>2344.0970000000002</v>
      </c>
      <c r="V8" s="44">
        <v>2544.2060000000001</v>
      </c>
      <c r="W8" s="44">
        <v>2783.6970000000001</v>
      </c>
      <c r="X8" s="44">
        <v>3060.33</v>
      </c>
      <c r="Y8" s="44">
        <v>3325.8649999999998</v>
      </c>
      <c r="Z8" s="44">
        <v>3484.6619999999998</v>
      </c>
      <c r="AA8" s="44">
        <v>3599.4430000000002</v>
      </c>
      <c r="AB8" s="44">
        <v>3712.4380000000001</v>
      </c>
      <c r="AC8" s="44">
        <v>3821.7930000000001</v>
      </c>
      <c r="AD8" s="44">
        <v>3934.5360000000001</v>
      </c>
      <c r="AE8" s="44">
        <v>4171.8540000000003</v>
      </c>
      <c r="AF8" s="44">
        <v>4293.5780000000004</v>
      </c>
      <c r="AG8" s="44">
        <v>4546.107</v>
      </c>
      <c r="AH8" s="44">
        <v>4765.2</v>
      </c>
      <c r="AI8" s="44">
        <v>5033.759</v>
      </c>
      <c r="AJ8" s="44">
        <v>5116.0169999999998</v>
      </c>
      <c r="AK8" s="44">
        <v>5339.8959999999997</v>
      </c>
      <c r="AL8" s="44">
        <v>5605.3909999999996</v>
      </c>
      <c r="AM8" s="44">
        <v>5797.88</v>
      </c>
      <c r="AN8" s="44">
        <v>6072.0959999999995</v>
      </c>
      <c r="AO8" s="44">
        <v>6454.8339999999998</v>
      </c>
      <c r="AP8" s="44">
        <v>6535.5969999999998</v>
      </c>
      <c r="AQ8" s="44">
        <v>6546.0709999999999</v>
      </c>
      <c r="AR8" s="44">
        <v>6617.7969999999996</v>
      </c>
      <c r="AS8" s="44">
        <v>6742.7129999999997</v>
      </c>
      <c r="AT8" s="44">
        <v>6807.28</v>
      </c>
      <c r="AU8" s="44">
        <v>7033.8789999999999</v>
      </c>
      <c r="AV8" s="44">
        <v>7175.1580000000004</v>
      </c>
      <c r="AW8" s="44">
        <v>7261.3119999999999</v>
      </c>
      <c r="AX8" s="44">
        <v>7441.2449999999999</v>
      </c>
      <c r="AY8" s="44">
        <v>7653.6130000000003</v>
      </c>
      <c r="AZ8" s="44">
        <v>7840.8389999999999</v>
      </c>
      <c r="BA8" s="44">
        <v>8057.3760000000002</v>
      </c>
      <c r="BB8" s="44">
        <v>8020.5469999999996</v>
      </c>
      <c r="BC8" s="44">
        <v>8417.8979999999992</v>
      </c>
      <c r="BD8" s="44">
        <v>8937.1170000000002</v>
      </c>
      <c r="BE8" s="44">
        <v>9494.5</v>
      </c>
      <c r="BF8" s="44">
        <v>9965.3520000000008</v>
      </c>
      <c r="BG8" s="44">
        <v>10414.709999999999</v>
      </c>
      <c r="BH8" s="45">
        <v>10827.94</v>
      </c>
      <c r="BI8" s="45">
        <v>11219.16</v>
      </c>
      <c r="BJ8" s="45">
        <v>11544.3</v>
      </c>
      <c r="BK8" s="45">
        <v>11847.99</v>
      </c>
      <c r="BL8" s="45">
        <v>12160.08</v>
      </c>
      <c r="BM8" s="45">
        <v>12490.43</v>
      </c>
      <c r="BN8" s="45">
        <v>12849.4</v>
      </c>
      <c r="BO8" s="45">
        <v>13230.62</v>
      </c>
      <c r="BP8" s="45">
        <v>13633.08</v>
      </c>
      <c r="BQ8" s="45">
        <v>14050.9</v>
      </c>
      <c r="BR8" s="45">
        <v>14482.18</v>
      </c>
      <c r="BS8" s="45">
        <v>14927.37</v>
      </c>
      <c r="BT8" s="45">
        <v>15386.96</v>
      </c>
      <c r="BU8" s="45">
        <v>15861.44</v>
      </c>
      <c r="BV8" s="45">
        <v>16352.97</v>
      </c>
      <c r="BW8" s="45">
        <v>16863.580000000002</v>
      </c>
      <c r="BX8" s="45">
        <v>17390.89</v>
      </c>
      <c r="BY8" s="45">
        <v>17938.14</v>
      </c>
      <c r="BZ8" s="45">
        <v>18509.37</v>
      </c>
      <c r="CA8" s="45">
        <v>19105.48</v>
      </c>
      <c r="CB8" s="45">
        <v>19723.8</v>
      </c>
      <c r="CC8" s="45">
        <v>20361.04</v>
      </c>
      <c r="CD8" s="45">
        <v>21018.880000000001</v>
      </c>
      <c r="CE8" s="45">
        <v>21698.47</v>
      </c>
      <c r="CF8" s="45">
        <v>22401.29</v>
      </c>
      <c r="CG8" s="45">
        <v>23126.400000000001</v>
      </c>
      <c r="CH8" s="45">
        <v>23873.99</v>
      </c>
      <c r="CI8" s="45">
        <v>24645.97</v>
      </c>
      <c r="CJ8" s="45">
        <v>25441.33</v>
      </c>
      <c r="CK8" s="45">
        <v>26260.74</v>
      </c>
      <c r="CL8" s="45">
        <v>27104.7</v>
      </c>
      <c r="CM8" s="45">
        <v>27972.49</v>
      </c>
      <c r="CN8" s="45">
        <v>28863.89</v>
      </c>
      <c r="CO8" s="45">
        <v>29780.51</v>
      </c>
      <c r="CP8" s="45">
        <v>30722.25</v>
      </c>
      <c r="CQ8" t="s">
        <v>197</v>
      </c>
      <c r="CR8" t="b">
        <v>1</v>
      </c>
      <c r="CS8" t="s">
        <v>169</v>
      </c>
      <c r="CT8" t="s">
        <v>169</v>
      </c>
      <c r="CU8">
        <v>2025</v>
      </c>
      <c r="CV8">
        <v>4</v>
      </c>
      <c r="CW8" s="43">
        <v>46155</v>
      </c>
      <c r="CX8" t="s">
        <v>197</v>
      </c>
      <c r="CY8" t="s">
        <v>169</v>
      </c>
      <c r="CZ8" t="s">
        <v>172</v>
      </c>
      <c r="DA8" t="s">
        <v>198</v>
      </c>
      <c r="DB8" t="s">
        <v>174</v>
      </c>
    </row>
    <row r="9" spans="1:106" x14ac:dyDescent="0.35">
      <c r="A9" t="s">
        <v>162</v>
      </c>
      <c r="B9" t="s">
        <v>199</v>
      </c>
      <c r="C9" s="42" t="s">
        <v>164</v>
      </c>
      <c r="D9" t="s">
        <v>200</v>
      </c>
      <c r="E9" t="s">
        <v>201</v>
      </c>
      <c r="F9" t="s">
        <v>167</v>
      </c>
      <c r="G9" s="44">
        <v>22200.85</v>
      </c>
      <c r="H9" s="44">
        <v>22307.42</v>
      </c>
      <c r="I9" s="44">
        <v>22183.98</v>
      </c>
      <c r="J9" s="44">
        <v>22056.639999999999</v>
      </c>
      <c r="K9" s="44">
        <v>22121.9</v>
      </c>
      <c r="L9" s="44">
        <v>22269.040000000001</v>
      </c>
      <c r="M9" s="44">
        <v>22553.8</v>
      </c>
      <c r="N9" s="44">
        <v>22216.92</v>
      </c>
      <c r="O9" s="44">
        <v>21309.78</v>
      </c>
      <c r="P9" s="44">
        <v>20835.84</v>
      </c>
      <c r="Q9" s="44">
        <v>20624.75</v>
      </c>
      <c r="R9" s="44">
        <v>20831.11</v>
      </c>
      <c r="S9" s="44">
        <v>20982.34</v>
      </c>
      <c r="T9" s="44">
        <v>20962.990000000002</v>
      </c>
      <c r="U9" s="44">
        <v>21258.47</v>
      </c>
      <c r="V9" s="44">
        <v>21913.11</v>
      </c>
      <c r="W9" s="44">
        <v>22346.09</v>
      </c>
      <c r="X9" s="44">
        <v>22485.16</v>
      </c>
      <c r="Y9" s="44">
        <v>21891.05</v>
      </c>
      <c r="Z9" s="44">
        <v>21562.48</v>
      </c>
      <c r="AA9" s="44">
        <v>21402.75</v>
      </c>
      <c r="AB9" s="44">
        <v>21525.75</v>
      </c>
      <c r="AC9" s="44">
        <v>21863.25</v>
      </c>
      <c r="AD9" s="44">
        <v>22196.25</v>
      </c>
      <c r="AE9" s="44">
        <v>22742.75</v>
      </c>
      <c r="AF9" s="44">
        <v>23182.25</v>
      </c>
      <c r="AG9" s="44">
        <v>23604.25</v>
      </c>
      <c r="AH9" s="44">
        <v>23976.75</v>
      </c>
      <c r="AI9" s="44">
        <v>24186.25</v>
      </c>
      <c r="AJ9" s="44">
        <v>24407</v>
      </c>
      <c r="AK9" s="44">
        <v>24458.75</v>
      </c>
      <c r="AL9" s="44">
        <v>24686.75</v>
      </c>
      <c r="AM9" s="44">
        <v>24997</v>
      </c>
      <c r="AN9" s="44">
        <v>25195.25</v>
      </c>
      <c r="AO9" s="44">
        <v>25345</v>
      </c>
      <c r="AP9" s="44">
        <v>25574</v>
      </c>
      <c r="AQ9" s="44">
        <v>25092</v>
      </c>
      <c r="AR9" s="44">
        <v>25016.75</v>
      </c>
      <c r="AS9" s="44">
        <v>25117.5</v>
      </c>
      <c r="AT9" s="44">
        <v>25213.25</v>
      </c>
      <c r="AU9" s="44">
        <v>25513.5</v>
      </c>
      <c r="AV9" s="44">
        <v>25959.5</v>
      </c>
      <c r="AW9" s="44">
        <v>26503.5</v>
      </c>
      <c r="AX9" s="44">
        <v>26771</v>
      </c>
      <c r="AY9" s="44">
        <v>27065</v>
      </c>
      <c r="AZ9" s="44">
        <v>27494.25</v>
      </c>
      <c r="BA9" s="44">
        <v>27781.25</v>
      </c>
      <c r="BB9" s="44">
        <v>27840.75</v>
      </c>
      <c r="BC9" s="44">
        <v>28196</v>
      </c>
      <c r="BD9" s="44">
        <v>28563.75</v>
      </c>
      <c r="BE9" s="44">
        <v>28820.5</v>
      </c>
      <c r="BF9" s="44">
        <v>29125.25</v>
      </c>
      <c r="BG9" s="44">
        <v>29584</v>
      </c>
      <c r="BH9" s="45">
        <v>29645.35</v>
      </c>
      <c r="BI9" s="45">
        <v>29724.6</v>
      </c>
      <c r="BJ9" s="45">
        <v>29991.5</v>
      </c>
      <c r="BK9" s="45">
        <v>30234.42</v>
      </c>
      <c r="BL9" s="45">
        <v>30420.38</v>
      </c>
      <c r="BM9" s="45">
        <v>30596.97</v>
      </c>
      <c r="BN9" s="45">
        <v>30753.09</v>
      </c>
      <c r="BO9" s="45">
        <v>30887.08</v>
      </c>
      <c r="BP9" s="45">
        <v>31011.96</v>
      </c>
      <c r="BQ9" s="45">
        <v>31140.560000000001</v>
      </c>
      <c r="BR9" s="45">
        <v>31269.69</v>
      </c>
      <c r="BS9" s="45">
        <v>31398.82</v>
      </c>
      <c r="BT9" s="45">
        <v>31527.96</v>
      </c>
      <c r="BU9" s="45">
        <v>31657.1</v>
      </c>
      <c r="BV9" s="45">
        <v>31786.23</v>
      </c>
      <c r="BW9" s="45">
        <v>31916.48</v>
      </c>
      <c r="BX9" s="45">
        <v>32045.81</v>
      </c>
      <c r="BY9" s="45">
        <v>32153.21</v>
      </c>
      <c r="BZ9" s="45">
        <v>32222.51</v>
      </c>
      <c r="CA9" s="45">
        <v>32258.43</v>
      </c>
      <c r="CB9" s="45">
        <v>32280.93</v>
      </c>
      <c r="CC9" s="45">
        <v>32303.88</v>
      </c>
      <c r="CD9" s="45">
        <v>32315.42</v>
      </c>
      <c r="CE9" s="45">
        <v>32317.06</v>
      </c>
      <c r="CF9" s="45">
        <v>32303.29</v>
      </c>
      <c r="CG9" s="45">
        <v>32283.54</v>
      </c>
      <c r="CH9" s="45">
        <v>32255.34</v>
      </c>
      <c r="CI9" s="45">
        <v>32215.54</v>
      </c>
      <c r="CJ9" s="45">
        <v>32173.21</v>
      </c>
      <c r="CK9" s="45">
        <v>32124.47</v>
      </c>
      <c r="CL9" s="45">
        <v>32072.880000000001</v>
      </c>
      <c r="CM9" s="45">
        <v>32023.7</v>
      </c>
      <c r="CN9" s="45">
        <v>31978.799999999999</v>
      </c>
      <c r="CO9" s="45">
        <v>31934.46</v>
      </c>
      <c r="CP9" s="45">
        <v>31895.24</v>
      </c>
      <c r="CQ9" t="s">
        <v>168</v>
      </c>
      <c r="CR9" t="b">
        <v>1</v>
      </c>
      <c r="CS9" t="s">
        <v>169</v>
      </c>
      <c r="CT9" t="s">
        <v>169</v>
      </c>
      <c r="CU9">
        <v>2025</v>
      </c>
      <c r="CV9">
        <v>4</v>
      </c>
      <c r="CW9" s="43">
        <v>46155</v>
      </c>
      <c r="CX9" t="s">
        <v>202</v>
      </c>
      <c r="CY9" t="s">
        <v>203</v>
      </c>
      <c r="CZ9" t="s">
        <v>172</v>
      </c>
      <c r="DA9" t="s">
        <v>204</v>
      </c>
      <c r="DB9" t="s">
        <v>174</v>
      </c>
    </row>
    <row r="10" spans="1:106" x14ac:dyDescent="0.35">
      <c r="A10" t="s">
        <v>162</v>
      </c>
      <c r="B10" t="s">
        <v>205</v>
      </c>
      <c r="C10" s="42" t="s">
        <v>164</v>
      </c>
      <c r="D10" t="s">
        <v>165</v>
      </c>
      <c r="E10" t="s">
        <v>166</v>
      </c>
      <c r="F10" t="s">
        <v>167</v>
      </c>
      <c r="G10" s="44">
        <v>1E-3</v>
      </c>
      <c r="H10" s="44">
        <v>1E-3</v>
      </c>
      <c r="I10" s="44">
        <v>1E-3</v>
      </c>
      <c r="J10" s="44">
        <v>1E-3</v>
      </c>
      <c r="K10" s="44">
        <v>1E-3</v>
      </c>
      <c r="L10" s="44">
        <v>1E-3</v>
      </c>
      <c r="M10" s="44">
        <v>1E-3</v>
      </c>
      <c r="N10" s="44">
        <v>1E-3</v>
      </c>
      <c r="O10" s="44">
        <v>1E-3</v>
      </c>
      <c r="P10" s="44">
        <v>1E-3</v>
      </c>
      <c r="Q10" s="44">
        <v>1E-3</v>
      </c>
      <c r="R10" s="44">
        <v>1E-3</v>
      </c>
      <c r="S10" s="44">
        <v>1E-3</v>
      </c>
      <c r="T10" s="44">
        <v>1E-3</v>
      </c>
      <c r="U10" s="44">
        <v>1E-3</v>
      </c>
      <c r="V10" s="44">
        <v>30.233329999999999</v>
      </c>
      <c r="W10" s="44">
        <v>31.883330000000001</v>
      </c>
      <c r="X10" s="44">
        <v>34.5</v>
      </c>
      <c r="Y10" s="44">
        <v>37.241669999999999</v>
      </c>
      <c r="Z10" s="44">
        <v>38.08334</v>
      </c>
      <c r="AA10" s="44">
        <v>37.583329999999997</v>
      </c>
      <c r="AB10" s="44">
        <v>39.208329999999997</v>
      </c>
      <c r="AC10" s="44">
        <v>40.04166</v>
      </c>
      <c r="AD10" s="44">
        <v>40.200000000000003</v>
      </c>
      <c r="AE10" s="44">
        <v>39.016669999999998</v>
      </c>
      <c r="AF10" s="44">
        <v>37.383339999999997</v>
      </c>
      <c r="AG10" s="44">
        <v>37.366660000000003</v>
      </c>
      <c r="AH10" s="44">
        <v>37.391669999999998</v>
      </c>
      <c r="AI10" s="44">
        <v>37.583329999999997</v>
      </c>
      <c r="AJ10" s="44">
        <v>38.424999999999997</v>
      </c>
      <c r="AK10" s="44">
        <v>39.125</v>
      </c>
      <c r="AL10" s="44">
        <v>41.79166</v>
      </c>
      <c r="AM10" s="44">
        <v>47.283340000000003</v>
      </c>
      <c r="AN10" s="44">
        <v>58.966670000000001</v>
      </c>
      <c r="AO10" s="44">
        <v>63.233330000000002</v>
      </c>
      <c r="AP10" s="44">
        <v>74.933329999999998</v>
      </c>
      <c r="AQ10" s="44">
        <v>80.141670000000005</v>
      </c>
      <c r="AR10" s="44">
        <v>77.908339999999995</v>
      </c>
      <c r="AS10" s="44">
        <v>85.666659999999993</v>
      </c>
      <c r="AT10" s="44">
        <v>92.483339999999998</v>
      </c>
      <c r="AU10" s="44">
        <v>99.124989999999997</v>
      </c>
      <c r="AV10" s="44">
        <v>103.4417</v>
      </c>
      <c r="AW10" s="44">
        <v>100</v>
      </c>
      <c r="AX10" s="44">
        <v>97.05</v>
      </c>
      <c r="AY10" s="44">
        <v>100.7</v>
      </c>
      <c r="AZ10" s="44">
        <v>107.5333</v>
      </c>
      <c r="BA10" s="44">
        <v>111.6083</v>
      </c>
      <c r="BB10" s="44">
        <v>106.45</v>
      </c>
      <c r="BC10" s="44">
        <v>111.45829999999999</v>
      </c>
      <c r="BD10" s="44">
        <v>183.64169999999999</v>
      </c>
      <c r="BE10" s="44">
        <v>211.9667</v>
      </c>
      <c r="BF10" s="44">
        <v>172.24170000000001</v>
      </c>
      <c r="BG10" s="44">
        <v>174.91669999999999</v>
      </c>
      <c r="BH10" s="44">
        <v>184.185</v>
      </c>
      <c r="BI10" s="45">
        <v>183.0643</v>
      </c>
      <c r="BJ10" s="45">
        <v>164.06710000000001</v>
      </c>
      <c r="BK10" s="45">
        <v>159.7159</v>
      </c>
      <c r="BL10" s="45">
        <v>158.18520000000001</v>
      </c>
      <c r="BM10" s="45">
        <v>162.71639999999999</v>
      </c>
      <c r="BN10" s="45">
        <v>169.2467</v>
      </c>
      <c r="BO10" s="45">
        <v>176.22800000000001</v>
      </c>
      <c r="BP10" s="45">
        <v>183.11199999999999</v>
      </c>
      <c r="BQ10" s="45">
        <v>189.75120000000001</v>
      </c>
      <c r="BR10" s="45">
        <v>196.5147</v>
      </c>
      <c r="BS10" s="45">
        <v>203.51929999999999</v>
      </c>
      <c r="BT10" s="45">
        <v>210.77369999999999</v>
      </c>
      <c r="BU10" s="45">
        <v>218.28649999999999</v>
      </c>
      <c r="BV10" s="45">
        <v>226.06720000000001</v>
      </c>
      <c r="BW10" s="45">
        <v>234.12520000000001</v>
      </c>
      <c r="BX10" s="45">
        <v>242.47040000000001</v>
      </c>
      <c r="BY10" s="45">
        <v>251.113</v>
      </c>
      <c r="BZ10" s="45">
        <v>260.06380000000001</v>
      </c>
      <c r="CA10" s="45">
        <v>269.33359999999999</v>
      </c>
      <c r="CB10" s="45">
        <v>278.93369999999999</v>
      </c>
      <c r="CC10" s="45">
        <v>288.87610000000001</v>
      </c>
      <c r="CD10" s="45">
        <v>299.17290000000003</v>
      </c>
      <c r="CE10" s="45">
        <v>309.83670000000001</v>
      </c>
      <c r="CF10" s="45">
        <v>320.88060000000002</v>
      </c>
      <c r="CG10" s="45">
        <v>332.31810000000002</v>
      </c>
      <c r="CH10" s="45">
        <v>344.16340000000002</v>
      </c>
      <c r="CI10" s="45">
        <v>356.43079999999998</v>
      </c>
      <c r="CJ10" s="45">
        <v>369.13549999999998</v>
      </c>
      <c r="CK10" s="45">
        <v>382.29309999999998</v>
      </c>
      <c r="CL10" s="45">
        <v>395.9196</v>
      </c>
      <c r="CM10" s="45">
        <v>410.03190000000001</v>
      </c>
      <c r="CN10" s="45">
        <v>424.6472</v>
      </c>
      <c r="CO10" s="45">
        <v>439.78339999999997</v>
      </c>
      <c r="CP10" s="45">
        <v>455.45909999999998</v>
      </c>
      <c r="CQ10" s="42" t="s">
        <v>206</v>
      </c>
      <c r="CR10" t="b">
        <v>0</v>
      </c>
      <c r="CS10" t="s">
        <v>169</v>
      </c>
      <c r="CT10">
        <v>2015</v>
      </c>
      <c r="CU10">
        <v>2026</v>
      </c>
      <c r="CV10">
        <v>1</v>
      </c>
      <c r="CW10" s="43">
        <v>46155</v>
      </c>
      <c r="CX10" s="42" t="s">
        <v>207</v>
      </c>
      <c r="CY10" s="42" t="s">
        <v>208</v>
      </c>
      <c r="CZ10" t="s">
        <v>172</v>
      </c>
      <c r="DA10" t="s">
        <v>209</v>
      </c>
      <c r="DB10" t="s">
        <v>174</v>
      </c>
    </row>
    <row r="11" spans="1:106" x14ac:dyDescent="0.35">
      <c r="A11" t="s">
        <v>162</v>
      </c>
      <c r="B11" t="s">
        <v>210</v>
      </c>
      <c r="C11" s="42" t="s">
        <v>164</v>
      </c>
      <c r="D11" t="s">
        <v>165</v>
      </c>
      <c r="E11" t="s">
        <v>166</v>
      </c>
      <c r="F11" t="s">
        <v>167</v>
      </c>
      <c r="G11" s="44">
        <v>1E-3</v>
      </c>
      <c r="H11" s="44">
        <v>1E-3</v>
      </c>
      <c r="I11" s="44">
        <v>1E-3</v>
      </c>
      <c r="J11" s="44">
        <v>1E-3</v>
      </c>
      <c r="K11" s="44">
        <v>1E-3</v>
      </c>
      <c r="L11" s="44">
        <v>1E-3</v>
      </c>
      <c r="M11" s="44">
        <v>1E-3</v>
      </c>
      <c r="N11" s="44">
        <v>1E-3</v>
      </c>
      <c r="O11" s="44">
        <v>1E-3</v>
      </c>
      <c r="P11" s="44">
        <v>1E-3</v>
      </c>
      <c r="Q11" s="44">
        <v>1E-3</v>
      </c>
      <c r="R11" s="44">
        <v>1E-3</v>
      </c>
      <c r="S11" s="44">
        <v>1E-3</v>
      </c>
      <c r="T11" s="44">
        <v>1E-3</v>
      </c>
      <c r="U11" s="44">
        <v>1E-3</v>
      </c>
      <c r="V11" s="44">
        <v>41.158329999999999</v>
      </c>
      <c r="W11" s="44">
        <v>43.241669999999999</v>
      </c>
      <c r="X11" s="44">
        <v>46.641669999999998</v>
      </c>
      <c r="Y11" s="44">
        <v>50.05</v>
      </c>
      <c r="Z11" s="44">
        <v>52.05</v>
      </c>
      <c r="AA11" s="44">
        <v>53.616669999999999</v>
      </c>
      <c r="AB11" s="44">
        <v>54.641669999999998</v>
      </c>
      <c r="AC11" s="44">
        <v>56.875</v>
      </c>
      <c r="AD11" s="44">
        <v>58.908329999999999</v>
      </c>
      <c r="AE11" s="44">
        <v>59.608330000000002</v>
      </c>
      <c r="AF11" s="44">
        <v>61.066659999999999</v>
      </c>
      <c r="AG11" s="44">
        <v>62.375</v>
      </c>
      <c r="AH11" s="44">
        <v>63.075000000000003</v>
      </c>
      <c r="AI11" s="44">
        <v>65.366669999999999</v>
      </c>
      <c r="AJ11" s="44">
        <v>66.091669999999993</v>
      </c>
      <c r="AK11" s="44">
        <v>67.016670000000005</v>
      </c>
      <c r="AL11" s="44">
        <v>67.733339999999998</v>
      </c>
      <c r="AM11" s="44">
        <v>68.900000000000006</v>
      </c>
      <c r="AN11" s="44">
        <v>70.666659999999993</v>
      </c>
      <c r="AO11" s="44">
        <v>73.658330000000007</v>
      </c>
      <c r="AP11" s="44">
        <v>79.224999999999994</v>
      </c>
      <c r="AQ11" s="44">
        <v>83.325000000000003</v>
      </c>
      <c r="AR11" s="44">
        <v>86.625</v>
      </c>
      <c r="AS11" s="44">
        <v>92.100009999999997</v>
      </c>
      <c r="AT11" s="44">
        <v>95.8</v>
      </c>
      <c r="AU11" s="44">
        <v>100.1417</v>
      </c>
      <c r="AV11" s="44">
        <v>101.27500000000001</v>
      </c>
      <c r="AW11" s="44">
        <v>99.999979999999994</v>
      </c>
      <c r="AX11" s="44">
        <v>98.724999999999994</v>
      </c>
      <c r="AY11" s="44">
        <v>101.5333</v>
      </c>
      <c r="AZ11" s="44">
        <v>104.3083</v>
      </c>
      <c r="BA11" s="44">
        <v>106.36669999999999</v>
      </c>
      <c r="BB11" s="44">
        <v>107.50830000000001</v>
      </c>
      <c r="BC11" s="44">
        <v>108.52500000000001</v>
      </c>
      <c r="BD11" s="44">
        <v>118.29170000000001</v>
      </c>
      <c r="BE11" s="44">
        <v>133.5667</v>
      </c>
      <c r="BF11" s="44">
        <v>138.875</v>
      </c>
      <c r="BG11" s="44">
        <v>145.16669999999999</v>
      </c>
      <c r="BH11" s="44">
        <v>150.37710000000001</v>
      </c>
      <c r="BI11" s="45">
        <v>157.21080000000001</v>
      </c>
      <c r="BJ11" s="45">
        <v>160.77119999999999</v>
      </c>
      <c r="BK11" s="45">
        <v>162.89250000000001</v>
      </c>
      <c r="BL11" s="45">
        <v>165.0051</v>
      </c>
      <c r="BM11" s="45">
        <v>167.2475</v>
      </c>
      <c r="BN11" s="45">
        <v>169.60050000000001</v>
      </c>
      <c r="BO11" s="45">
        <v>172.03120000000001</v>
      </c>
      <c r="BP11" s="45">
        <v>174.51390000000001</v>
      </c>
      <c r="BQ11" s="45">
        <v>177.03280000000001</v>
      </c>
      <c r="BR11" s="45">
        <v>179.58590000000001</v>
      </c>
      <c r="BS11" s="45">
        <v>182.17580000000001</v>
      </c>
      <c r="BT11" s="45">
        <v>184.80289999999999</v>
      </c>
      <c r="BU11" s="45">
        <v>187.46799999999999</v>
      </c>
      <c r="BV11" s="45">
        <v>190.17160000000001</v>
      </c>
      <c r="BW11" s="45">
        <v>192.91409999999999</v>
      </c>
      <c r="BX11" s="45">
        <v>195.6962</v>
      </c>
      <c r="BY11" s="45">
        <v>198.51830000000001</v>
      </c>
      <c r="BZ11" s="45">
        <v>201.38120000000001</v>
      </c>
      <c r="CA11" s="45">
        <v>204.28540000000001</v>
      </c>
      <c r="CB11" s="45">
        <v>207.23140000000001</v>
      </c>
      <c r="CC11" s="45">
        <v>210.22</v>
      </c>
      <c r="CD11" s="45">
        <v>213.2516</v>
      </c>
      <c r="CE11" s="45">
        <v>216.32689999999999</v>
      </c>
      <c r="CF11" s="45">
        <v>219.44669999999999</v>
      </c>
      <c r="CG11" s="45">
        <v>222.6114</v>
      </c>
      <c r="CH11" s="45">
        <v>225.82169999999999</v>
      </c>
      <c r="CI11" s="45">
        <v>229.07839999999999</v>
      </c>
      <c r="CJ11" s="45">
        <v>232.38200000000001</v>
      </c>
      <c r="CK11" s="45">
        <v>235.73320000000001</v>
      </c>
      <c r="CL11" s="45">
        <v>239.1328</v>
      </c>
      <c r="CM11" s="45">
        <v>242.5813</v>
      </c>
      <c r="CN11" s="45">
        <v>246.0797</v>
      </c>
      <c r="CO11" s="45">
        <v>249.6284</v>
      </c>
      <c r="CP11" s="45">
        <v>253.22839999999999</v>
      </c>
      <c r="CQ11" s="42" t="s">
        <v>206</v>
      </c>
      <c r="CR11" t="b">
        <v>0</v>
      </c>
      <c r="CS11" t="s">
        <v>169</v>
      </c>
      <c r="CT11">
        <v>2015</v>
      </c>
      <c r="CU11">
        <v>2026</v>
      </c>
      <c r="CV11">
        <v>1</v>
      </c>
      <c r="CW11" s="43">
        <v>46155</v>
      </c>
      <c r="CX11" s="42" t="s">
        <v>211</v>
      </c>
      <c r="CY11" s="42" t="s">
        <v>212</v>
      </c>
      <c r="CZ11" t="s">
        <v>172</v>
      </c>
      <c r="DA11" t="s">
        <v>213</v>
      </c>
      <c r="DB11" t="s">
        <v>174</v>
      </c>
    </row>
    <row r="12" spans="1:106" x14ac:dyDescent="0.35">
      <c r="A12" t="s">
        <v>162</v>
      </c>
      <c r="B12" t="s">
        <v>214</v>
      </c>
      <c r="C12" s="42" t="s">
        <v>164</v>
      </c>
      <c r="D12" t="s">
        <v>184</v>
      </c>
      <c r="E12" s="42" t="s">
        <v>190</v>
      </c>
      <c r="F12" t="s">
        <v>167</v>
      </c>
      <c r="G12" s="44">
        <v>1063550</v>
      </c>
      <c r="H12" s="44">
        <v>1036973</v>
      </c>
      <c r="I12" s="44">
        <v>1021204</v>
      </c>
      <c r="J12" s="44">
        <v>1051973</v>
      </c>
      <c r="K12" s="44">
        <v>1077816</v>
      </c>
      <c r="L12" s="44">
        <v>1122953</v>
      </c>
      <c r="M12" s="44">
        <v>1164860</v>
      </c>
      <c r="N12" s="44">
        <v>1140989</v>
      </c>
      <c r="O12" s="44">
        <v>1134663</v>
      </c>
      <c r="P12" s="44">
        <v>1157191</v>
      </c>
      <c r="Q12" s="44">
        <v>1205632</v>
      </c>
      <c r="R12" s="44">
        <v>1232675</v>
      </c>
      <c r="S12" s="44">
        <v>1283200</v>
      </c>
      <c r="T12" s="44">
        <v>1323173</v>
      </c>
      <c r="U12" s="44">
        <v>1395353</v>
      </c>
      <c r="V12" s="44">
        <v>1471002</v>
      </c>
      <c r="W12" s="44">
        <v>1506644</v>
      </c>
      <c r="X12" s="44">
        <v>1515202</v>
      </c>
      <c r="Y12" s="44">
        <v>1493903</v>
      </c>
      <c r="Z12" s="44">
        <v>1498023</v>
      </c>
      <c r="AA12" s="44">
        <v>1532082</v>
      </c>
      <c r="AB12" s="44">
        <v>1584459</v>
      </c>
      <c r="AC12" s="44">
        <v>1622576</v>
      </c>
      <c r="AD12" s="44">
        <v>1665005</v>
      </c>
      <c r="AE12" s="44">
        <v>1746257</v>
      </c>
      <c r="AF12" s="44">
        <v>1802946</v>
      </c>
      <c r="AG12" s="44">
        <v>1856033</v>
      </c>
      <c r="AH12" s="44">
        <v>1940007</v>
      </c>
      <c r="AI12" s="44">
        <v>1986393</v>
      </c>
      <c r="AJ12" s="44">
        <v>2020341</v>
      </c>
      <c r="AK12" s="44">
        <v>2085366</v>
      </c>
      <c r="AL12" s="44">
        <v>2133872</v>
      </c>
      <c r="AM12" s="44">
        <v>2193421</v>
      </c>
      <c r="AN12" s="44">
        <v>2241453</v>
      </c>
      <c r="AO12" s="44">
        <v>2307148</v>
      </c>
      <c r="AP12" s="44">
        <v>2306008</v>
      </c>
      <c r="AQ12" s="44">
        <v>2200222</v>
      </c>
      <c r="AR12" s="44">
        <v>2249959</v>
      </c>
      <c r="AS12" s="44">
        <v>2269116</v>
      </c>
      <c r="AT12" s="44">
        <v>2303794</v>
      </c>
      <c r="AU12" s="44">
        <v>2343384</v>
      </c>
      <c r="AV12" s="44">
        <v>2417439</v>
      </c>
      <c r="AW12" s="44">
        <v>2469182</v>
      </c>
      <c r="AX12" s="44">
        <v>2523665</v>
      </c>
      <c r="AY12" s="44">
        <v>2599961</v>
      </c>
      <c r="AZ12" s="44">
        <v>2640295</v>
      </c>
      <c r="BA12" s="44">
        <v>2673465</v>
      </c>
      <c r="BB12" s="44">
        <v>2404838</v>
      </c>
      <c r="BC12" s="44">
        <v>2610286</v>
      </c>
      <c r="BD12" s="44">
        <v>2744708</v>
      </c>
      <c r="BE12" s="44">
        <v>2752164</v>
      </c>
      <c r="BF12" s="44">
        <v>2781895</v>
      </c>
      <c r="BG12" s="44">
        <v>2820520</v>
      </c>
      <c r="BH12" s="45">
        <v>2838512</v>
      </c>
      <c r="BI12" s="45">
        <v>2860532</v>
      </c>
      <c r="BJ12" s="45">
        <v>2909994</v>
      </c>
      <c r="BK12" s="45">
        <v>2959876</v>
      </c>
      <c r="BL12" s="45">
        <v>3002989</v>
      </c>
      <c r="BM12" s="45">
        <v>3046656</v>
      </c>
      <c r="BN12" s="45">
        <v>3090264</v>
      </c>
      <c r="BO12" s="45">
        <v>3133231</v>
      </c>
      <c r="BP12" s="45">
        <v>3177630</v>
      </c>
      <c r="BQ12" s="45">
        <v>3223384</v>
      </c>
      <c r="BR12" s="45">
        <v>3270088</v>
      </c>
      <c r="BS12" s="45">
        <v>3317569</v>
      </c>
      <c r="BT12" s="45">
        <v>3365837</v>
      </c>
      <c r="BU12" s="45">
        <v>3414918</v>
      </c>
      <c r="BV12" s="45">
        <v>3465496</v>
      </c>
      <c r="BW12" s="45">
        <v>3517360</v>
      </c>
      <c r="BX12" s="45">
        <v>3570045</v>
      </c>
      <c r="BY12" s="45">
        <v>3622006</v>
      </c>
      <c r="BZ12" s="45">
        <v>3671858</v>
      </c>
      <c r="CA12" s="45">
        <v>3719699</v>
      </c>
      <c r="CB12" s="45">
        <v>3766856</v>
      </c>
      <c r="CC12" s="45">
        <v>3814342</v>
      </c>
      <c r="CD12" s="45">
        <v>3861242</v>
      </c>
      <c r="CE12" s="45">
        <v>3907611</v>
      </c>
      <c r="CF12" s="45">
        <v>3952918</v>
      </c>
      <c r="CG12" s="45">
        <v>3997789</v>
      </c>
      <c r="CH12" s="45">
        <v>4042041</v>
      </c>
      <c r="CI12" s="45">
        <v>4085362</v>
      </c>
      <c r="CJ12" s="45">
        <v>4128453</v>
      </c>
      <c r="CK12" s="45">
        <v>4170974</v>
      </c>
      <c r="CL12" s="45">
        <v>4213194</v>
      </c>
      <c r="CM12" s="45">
        <v>4255581</v>
      </c>
      <c r="CN12" s="45">
        <v>4298342</v>
      </c>
      <c r="CO12" s="45">
        <v>4341179</v>
      </c>
      <c r="CP12" s="45">
        <v>4384511</v>
      </c>
      <c r="CQ12" t="s">
        <v>168</v>
      </c>
      <c r="CR12" t="b">
        <v>1</v>
      </c>
      <c r="CS12" s="42" t="s">
        <v>191</v>
      </c>
      <c r="CT12" t="s">
        <v>169</v>
      </c>
      <c r="CU12">
        <v>2025</v>
      </c>
      <c r="CV12">
        <v>4</v>
      </c>
      <c r="CW12" s="43">
        <v>46155</v>
      </c>
      <c r="CX12" t="s">
        <v>215</v>
      </c>
      <c r="CY12" s="42" t="s">
        <v>216</v>
      </c>
      <c r="CZ12" t="s">
        <v>172</v>
      </c>
      <c r="DA12" t="s">
        <v>217</v>
      </c>
      <c r="DB12" t="s">
        <v>174</v>
      </c>
    </row>
    <row r="13" spans="1:106" x14ac:dyDescent="0.35">
      <c r="A13" t="s">
        <v>162</v>
      </c>
      <c r="B13" t="s">
        <v>218</v>
      </c>
      <c r="C13" s="42" t="s">
        <v>164</v>
      </c>
      <c r="D13" t="s">
        <v>184</v>
      </c>
      <c r="E13" t="s">
        <v>185</v>
      </c>
      <c r="F13" t="s">
        <v>167</v>
      </c>
      <c r="G13" s="44">
        <v>52440</v>
      </c>
      <c r="H13" s="44">
        <v>61574</v>
      </c>
      <c r="I13" s="44">
        <v>76596</v>
      </c>
      <c r="J13" s="44">
        <v>89178</v>
      </c>
      <c r="K13" s="44">
        <v>100757</v>
      </c>
      <c r="L13" s="44">
        <v>118851</v>
      </c>
      <c r="M13" s="44">
        <v>143308</v>
      </c>
      <c r="N13" s="44">
        <v>170398</v>
      </c>
      <c r="O13" s="44">
        <v>191360</v>
      </c>
      <c r="P13" s="44">
        <v>209806</v>
      </c>
      <c r="Q13" s="44">
        <v>226997</v>
      </c>
      <c r="R13" s="44">
        <v>247814</v>
      </c>
      <c r="S13" s="44">
        <v>269034</v>
      </c>
      <c r="T13" s="44">
        <v>292095</v>
      </c>
      <c r="U13" s="44">
        <v>308544</v>
      </c>
      <c r="V13" s="44">
        <v>341617</v>
      </c>
      <c r="W13" s="44">
        <v>379456</v>
      </c>
      <c r="X13" s="44">
        <v>424197</v>
      </c>
      <c r="Y13" s="44">
        <v>465139</v>
      </c>
      <c r="Z13" s="44">
        <v>496994</v>
      </c>
      <c r="AA13" s="44">
        <v>527363</v>
      </c>
      <c r="AB13" s="44">
        <v>546235</v>
      </c>
      <c r="AC13" s="44">
        <v>579311</v>
      </c>
      <c r="AD13" s="44">
        <v>615831</v>
      </c>
      <c r="AE13" s="44">
        <v>640021</v>
      </c>
      <c r="AF13" s="44">
        <v>654745</v>
      </c>
      <c r="AG13" s="44">
        <v>688023</v>
      </c>
      <c r="AH13" s="44">
        <v>728537</v>
      </c>
      <c r="AI13" s="44">
        <v>761188</v>
      </c>
      <c r="AJ13" s="44">
        <v>785771</v>
      </c>
      <c r="AK13" s="44">
        <v>814318</v>
      </c>
      <c r="AL13" s="44">
        <v>853679</v>
      </c>
      <c r="AM13" s="44">
        <v>892146</v>
      </c>
      <c r="AN13" s="44">
        <v>936606</v>
      </c>
      <c r="AO13" s="44">
        <v>989024</v>
      </c>
      <c r="AP13" s="44">
        <v>1024014</v>
      </c>
      <c r="AQ13" s="44">
        <v>1050092</v>
      </c>
      <c r="AR13" s="44">
        <v>1070069</v>
      </c>
      <c r="AS13" s="44">
        <v>1084990</v>
      </c>
      <c r="AT13" s="44">
        <v>1130017</v>
      </c>
      <c r="AU13" s="44">
        <v>1175937</v>
      </c>
      <c r="AV13" s="44">
        <v>1217891</v>
      </c>
      <c r="AW13" s="44">
        <v>1287116</v>
      </c>
      <c r="AX13" s="44">
        <v>1312733</v>
      </c>
      <c r="AY13" s="44">
        <v>1348375</v>
      </c>
      <c r="AZ13" s="44">
        <v>1402614</v>
      </c>
      <c r="BA13" s="44">
        <v>1456540</v>
      </c>
      <c r="BB13" s="44">
        <v>1454341</v>
      </c>
      <c r="BC13" s="44">
        <v>1519777</v>
      </c>
      <c r="BD13" s="44">
        <v>1613529</v>
      </c>
      <c r="BE13" s="44">
        <v>1740150</v>
      </c>
      <c r="BF13" s="44">
        <v>1863165</v>
      </c>
      <c r="BG13" s="44">
        <v>1950418</v>
      </c>
      <c r="BH13" s="45">
        <v>2023422</v>
      </c>
      <c r="BI13" s="45">
        <v>2087289</v>
      </c>
      <c r="BJ13" s="45">
        <v>2162079</v>
      </c>
      <c r="BK13" s="45">
        <v>2242304</v>
      </c>
      <c r="BL13" s="45">
        <v>2315441</v>
      </c>
      <c r="BM13" s="45">
        <v>2393350</v>
      </c>
      <c r="BN13" s="45">
        <v>2476248</v>
      </c>
      <c r="BO13" s="45">
        <v>2558837</v>
      </c>
      <c r="BP13" s="45">
        <v>2645641</v>
      </c>
      <c r="BQ13" s="45">
        <v>2735936</v>
      </c>
      <c r="BR13" s="45">
        <v>2829028</v>
      </c>
      <c r="BS13" s="45">
        <v>2926137</v>
      </c>
      <c r="BT13" s="45">
        <v>3026665</v>
      </c>
      <c r="BU13" s="45">
        <v>3130740</v>
      </c>
      <c r="BV13" s="45">
        <v>3238877</v>
      </c>
      <c r="BW13" s="45">
        <v>3351490</v>
      </c>
      <c r="BX13" s="45">
        <v>3468218</v>
      </c>
      <c r="BY13" s="45">
        <v>3587917</v>
      </c>
      <c r="BZ13" s="45">
        <v>3709050</v>
      </c>
      <c r="CA13" s="45">
        <v>3831292</v>
      </c>
      <c r="CB13" s="45">
        <v>3955782</v>
      </c>
      <c r="CC13" s="45">
        <v>4083997</v>
      </c>
      <c r="CD13" s="45">
        <v>4215208</v>
      </c>
      <c r="CE13" s="45">
        <v>4349458</v>
      </c>
      <c r="CF13" s="45">
        <v>4486396</v>
      </c>
      <c r="CG13" s="45">
        <v>4626836</v>
      </c>
      <c r="CH13" s="45">
        <v>4770446</v>
      </c>
      <c r="CI13" s="45">
        <v>4916729</v>
      </c>
      <c r="CJ13" s="45">
        <v>5066546</v>
      </c>
      <c r="CK13" s="45">
        <v>5219690</v>
      </c>
      <c r="CL13" s="45">
        <v>5376386</v>
      </c>
      <c r="CM13" s="45">
        <v>5537296</v>
      </c>
      <c r="CN13" s="45">
        <v>5702985</v>
      </c>
      <c r="CO13" s="45">
        <v>5873131</v>
      </c>
      <c r="CP13" s="45">
        <v>6048411</v>
      </c>
      <c r="CQ13" t="s">
        <v>168</v>
      </c>
      <c r="CR13" t="b">
        <v>1</v>
      </c>
      <c r="CS13" t="s">
        <v>169</v>
      </c>
      <c r="CT13" t="s">
        <v>169</v>
      </c>
      <c r="CU13">
        <v>2025</v>
      </c>
      <c r="CV13">
        <v>4</v>
      </c>
      <c r="CW13" s="43">
        <v>46155</v>
      </c>
      <c r="CX13" t="s">
        <v>219</v>
      </c>
      <c r="CY13" t="s">
        <v>220</v>
      </c>
      <c r="CZ13" t="s">
        <v>172</v>
      </c>
      <c r="DA13" t="s">
        <v>221</v>
      </c>
      <c r="DB13" t="s">
        <v>174</v>
      </c>
    </row>
    <row r="14" spans="1:106" x14ac:dyDescent="0.35">
      <c r="A14" t="s">
        <v>162</v>
      </c>
      <c r="B14" t="s">
        <v>222</v>
      </c>
      <c r="C14" s="42" t="s">
        <v>164</v>
      </c>
      <c r="D14" t="s">
        <v>184</v>
      </c>
      <c r="E14" s="42" t="s">
        <v>190</v>
      </c>
      <c r="F14" t="s">
        <v>167</v>
      </c>
      <c r="G14" s="44">
        <v>600127</v>
      </c>
      <c r="H14" s="44">
        <v>595007</v>
      </c>
      <c r="I14" s="44">
        <v>599956</v>
      </c>
      <c r="J14" s="44">
        <v>599113</v>
      </c>
      <c r="K14" s="44">
        <v>588180</v>
      </c>
      <c r="L14" s="44">
        <v>631121</v>
      </c>
      <c r="M14" s="44">
        <v>668934</v>
      </c>
      <c r="N14" s="44">
        <v>680140</v>
      </c>
      <c r="O14" s="44">
        <v>679707</v>
      </c>
      <c r="P14" s="44">
        <v>682582</v>
      </c>
      <c r="Q14" s="44">
        <v>697850</v>
      </c>
      <c r="R14" s="44">
        <v>723364</v>
      </c>
      <c r="S14" s="44">
        <v>753842</v>
      </c>
      <c r="T14" s="44">
        <v>784877</v>
      </c>
      <c r="U14" s="44">
        <v>794123</v>
      </c>
      <c r="V14" s="44">
        <v>837202</v>
      </c>
      <c r="W14" s="44">
        <v>880745</v>
      </c>
      <c r="X14" s="44">
        <v>915377</v>
      </c>
      <c r="Y14" s="44">
        <v>934194</v>
      </c>
      <c r="Z14" s="44">
        <v>959658</v>
      </c>
      <c r="AA14" s="44">
        <v>984991</v>
      </c>
      <c r="AB14" s="44">
        <v>1003216</v>
      </c>
      <c r="AC14" s="44">
        <v>1033438</v>
      </c>
      <c r="AD14" s="44">
        <v>1061145</v>
      </c>
      <c r="AE14" s="44">
        <v>1082261</v>
      </c>
      <c r="AF14" s="44">
        <v>1091321</v>
      </c>
      <c r="AG14" s="44">
        <v>1138283</v>
      </c>
      <c r="AH14" s="44">
        <v>1202414</v>
      </c>
      <c r="AI14" s="44">
        <v>1245868</v>
      </c>
      <c r="AJ14" s="44">
        <v>1275228</v>
      </c>
      <c r="AK14" s="44">
        <v>1303644</v>
      </c>
      <c r="AL14" s="44">
        <v>1340203</v>
      </c>
      <c r="AM14" s="44">
        <v>1373808</v>
      </c>
      <c r="AN14" s="44">
        <v>1398855</v>
      </c>
      <c r="AO14" s="44">
        <v>1455734</v>
      </c>
      <c r="AP14" s="44">
        <v>1448377</v>
      </c>
      <c r="AQ14" s="44">
        <v>1471733</v>
      </c>
      <c r="AR14" s="44">
        <v>1486258</v>
      </c>
      <c r="AS14" s="44">
        <v>1450518</v>
      </c>
      <c r="AT14" s="44">
        <v>1486025</v>
      </c>
      <c r="AU14" s="44">
        <v>1512963</v>
      </c>
      <c r="AV14" s="44">
        <v>1548542</v>
      </c>
      <c r="AW14" s="44">
        <v>1642001</v>
      </c>
      <c r="AX14" s="44">
        <v>1653979</v>
      </c>
      <c r="AY14" s="44">
        <v>1669528</v>
      </c>
      <c r="AZ14" s="44">
        <v>1702200</v>
      </c>
      <c r="BA14" s="44">
        <v>1742944</v>
      </c>
      <c r="BB14" s="44">
        <v>1733465</v>
      </c>
      <c r="BC14" s="44">
        <v>1762861</v>
      </c>
      <c r="BD14" s="44">
        <v>1725226</v>
      </c>
      <c r="BE14" s="44">
        <v>1740150</v>
      </c>
      <c r="BF14" s="44">
        <v>1808439</v>
      </c>
      <c r="BG14" s="44">
        <v>1828770</v>
      </c>
      <c r="BH14" s="45">
        <v>1825287</v>
      </c>
      <c r="BI14" s="45">
        <v>1829884</v>
      </c>
      <c r="BJ14" s="45">
        <v>1860584</v>
      </c>
      <c r="BK14" s="45">
        <v>1893104</v>
      </c>
      <c r="BL14" s="45">
        <v>1918424</v>
      </c>
      <c r="BM14" s="45">
        <v>1944303</v>
      </c>
      <c r="BN14" s="45">
        <v>1972135</v>
      </c>
      <c r="BO14" s="45">
        <v>1997880</v>
      </c>
      <c r="BP14" s="45">
        <v>2025079</v>
      </c>
      <c r="BQ14" s="45">
        <v>2053060</v>
      </c>
      <c r="BR14" s="45">
        <v>2081221</v>
      </c>
      <c r="BS14" s="45">
        <v>2110385</v>
      </c>
      <c r="BT14" s="45">
        <v>2140020</v>
      </c>
      <c r="BU14" s="45">
        <v>2170138</v>
      </c>
      <c r="BV14" s="45">
        <v>2201010</v>
      </c>
      <c r="BW14" s="45">
        <v>2232818</v>
      </c>
      <c r="BX14" s="45">
        <v>2265219</v>
      </c>
      <c r="BY14" s="45">
        <v>2297393</v>
      </c>
      <c r="BZ14" s="45">
        <v>2328336</v>
      </c>
      <c r="CA14" s="45">
        <v>2357866</v>
      </c>
      <c r="CB14" s="45">
        <v>2386695</v>
      </c>
      <c r="CC14" s="45">
        <v>2415689</v>
      </c>
      <c r="CD14" s="45">
        <v>2444367</v>
      </c>
      <c r="CE14" s="45">
        <v>2472718</v>
      </c>
      <c r="CF14" s="45">
        <v>2500515</v>
      </c>
      <c r="CG14" s="45">
        <v>2528184</v>
      </c>
      <c r="CH14" s="45">
        <v>2555504</v>
      </c>
      <c r="CI14" s="45">
        <v>2582185</v>
      </c>
      <c r="CJ14" s="45">
        <v>2608656</v>
      </c>
      <c r="CK14" s="45">
        <v>2634774</v>
      </c>
      <c r="CL14" s="45">
        <v>2660624</v>
      </c>
      <c r="CM14" s="45">
        <v>2686489</v>
      </c>
      <c r="CN14" s="45">
        <v>2712590</v>
      </c>
      <c r="CO14" s="45">
        <v>2738712</v>
      </c>
      <c r="CP14" s="45">
        <v>2765114</v>
      </c>
      <c r="CQ14" t="s">
        <v>168</v>
      </c>
      <c r="CR14" t="b">
        <v>1</v>
      </c>
      <c r="CS14" s="42" t="s">
        <v>191</v>
      </c>
      <c r="CT14" t="s">
        <v>169</v>
      </c>
      <c r="CU14">
        <v>2025</v>
      </c>
      <c r="CV14">
        <v>4</v>
      </c>
      <c r="CW14" s="43">
        <v>46155</v>
      </c>
      <c r="CX14" t="s">
        <v>223</v>
      </c>
      <c r="CY14" s="42" t="s">
        <v>224</v>
      </c>
      <c r="CZ14" t="s">
        <v>172</v>
      </c>
      <c r="DA14" t="s">
        <v>225</v>
      </c>
      <c r="DB14" t="s">
        <v>174</v>
      </c>
    </row>
    <row r="15" spans="1:106" x14ac:dyDescent="0.35">
      <c r="A15" t="s">
        <v>162</v>
      </c>
      <c r="B15" t="s">
        <v>226</v>
      </c>
      <c r="C15" s="42" t="s">
        <v>164</v>
      </c>
      <c r="D15" t="s">
        <v>184</v>
      </c>
      <c r="E15" t="s">
        <v>185</v>
      </c>
      <c r="F15" t="s">
        <v>167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3324.067</v>
      </c>
      <c r="M15" s="44">
        <v>4804.6559999999999</v>
      </c>
      <c r="N15" s="44">
        <v>3941.471</v>
      </c>
      <c r="O15" s="44">
        <v>4009.9169999999999</v>
      </c>
      <c r="P15" s="44">
        <v>4771.875</v>
      </c>
      <c r="Q15" s="44">
        <v>5948.7960000000003</v>
      </c>
      <c r="R15" s="44">
        <v>6943.8890000000001</v>
      </c>
      <c r="S15" s="44">
        <v>7967.9319999999998</v>
      </c>
      <c r="T15" s="44">
        <v>9440.8080000000009</v>
      </c>
      <c r="U15" s="44">
        <v>11208</v>
      </c>
      <c r="V15" s="44">
        <v>16658</v>
      </c>
      <c r="W15" s="44">
        <v>22590</v>
      </c>
      <c r="X15" s="44">
        <v>28306</v>
      </c>
      <c r="Y15" s="44">
        <v>25937</v>
      </c>
      <c r="Z15" s="44">
        <v>25963</v>
      </c>
      <c r="AA15" s="44">
        <v>25461</v>
      </c>
      <c r="AB15" s="44">
        <v>29017</v>
      </c>
      <c r="AC15" s="44">
        <v>34011</v>
      </c>
      <c r="AD15" s="44">
        <v>36501</v>
      </c>
      <c r="AE15" s="44">
        <v>36224</v>
      </c>
      <c r="AF15" s="44">
        <v>37878</v>
      </c>
      <c r="AG15" s="44">
        <v>36262</v>
      </c>
      <c r="AH15" s="44">
        <v>43203</v>
      </c>
      <c r="AI15" s="44">
        <v>42209</v>
      </c>
      <c r="AJ15" s="44">
        <v>42235</v>
      </c>
      <c r="AK15" s="44">
        <v>42046</v>
      </c>
      <c r="AL15" s="44">
        <v>46532</v>
      </c>
      <c r="AM15" s="44">
        <v>52682</v>
      </c>
      <c r="AN15" s="44">
        <v>59871</v>
      </c>
      <c r="AO15" s="44">
        <v>65950</v>
      </c>
      <c r="AP15" s="44">
        <v>69044</v>
      </c>
      <c r="AQ15" s="44">
        <v>79699</v>
      </c>
      <c r="AR15" s="44">
        <v>71206</v>
      </c>
      <c r="AS15" s="44">
        <v>70107</v>
      </c>
      <c r="AT15" s="44">
        <v>75414</v>
      </c>
      <c r="AU15" s="44">
        <v>87119</v>
      </c>
      <c r="AV15" s="44">
        <v>91668</v>
      </c>
      <c r="AW15" s="44">
        <v>117521</v>
      </c>
      <c r="AX15" s="44">
        <v>105134</v>
      </c>
      <c r="AY15" s="44">
        <v>107493</v>
      </c>
      <c r="AZ15" s="44">
        <v>119689</v>
      </c>
      <c r="BA15" s="44">
        <v>127866</v>
      </c>
      <c r="BB15" s="44">
        <v>103273</v>
      </c>
      <c r="BC15" s="44">
        <v>122286</v>
      </c>
      <c r="BD15" s="44">
        <v>125690</v>
      </c>
      <c r="BE15" s="44">
        <v>135863</v>
      </c>
      <c r="BF15" s="44">
        <v>143542</v>
      </c>
      <c r="BG15" s="44">
        <v>141511</v>
      </c>
      <c r="BH15" s="45">
        <v>145174.5</v>
      </c>
      <c r="BI15" s="45">
        <v>149181.20000000001</v>
      </c>
      <c r="BJ15" s="45">
        <v>154257.5</v>
      </c>
      <c r="BK15" s="45">
        <v>158647.9</v>
      </c>
      <c r="BL15" s="45">
        <v>163701.5</v>
      </c>
      <c r="BM15" s="45">
        <v>168772.9</v>
      </c>
      <c r="BN15" s="45">
        <v>173526.1</v>
      </c>
      <c r="BO15" s="45">
        <v>178224</v>
      </c>
      <c r="BP15" s="45">
        <v>182852.1</v>
      </c>
      <c r="BQ15" s="45">
        <v>187386</v>
      </c>
      <c r="BR15" s="45">
        <v>191890.5</v>
      </c>
      <c r="BS15" s="45">
        <v>196339.6</v>
      </c>
      <c r="BT15" s="45">
        <v>200669.2</v>
      </c>
      <c r="BU15" s="45">
        <v>204809.7</v>
      </c>
      <c r="BV15" s="45">
        <v>208855.5</v>
      </c>
      <c r="BW15" s="45">
        <v>212890.5</v>
      </c>
      <c r="BX15" s="45">
        <v>216910.6</v>
      </c>
      <c r="BY15" s="45">
        <v>220929.4</v>
      </c>
      <c r="BZ15" s="45">
        <v>224973.8</v>
      </c>
      <c r="CA15" s="45">
        <v>229058</v>
      </c>
      <c r="CB15" s="45">
        <v>233169.6</v>
      </c>
      <c r="CC15" s="45">
        <v>237299</v>
      </c>
      <c r="CD15" s="45">
        <v>241453.4</v>
      </c>
      <c r="CE15" s="45">
        <v>245631.8</v>
      </c>
      <c r="CF15" s="45">
        <v>249837.1</v>
      </c>
      <c r="CG15" s="45">
        <v>254076.4</v>
      </c>
      <c r="CH15" s="45">
        <v>258356</v>
      </c>
      <c r="CI15" s="45">
        <v>262680.90000000002</v>
      </c>
      <c r="CJ15" s="45">
        <v>267056.2</v>
      </c>
      <c r="CK15" s="45">
        <v>271486.2</v>
      </c>
      <c r="CL15" s="45">
        <v>275972.7</v>
      </c>
      <c r="CM15" s="45">
        <v>280521.90000000002</v>
      </c>
      <c r="CN15" s="45">
        <v>285132.79999999999</v>
      </c>
      <c r="CO15" s="45">
        <v>289810.8</v>
      </c>
      <c r="CP15" s="45">
        <v>294557.90000000002</v>
      </c>
      <c r="CQ15" t="s">
        <v>168</v>
      </c>
      <c r="CR15" t="b">
        <v>1</v>
      </c>
      <c r="CS15" t="s">
        <v>169</v>
      </c>
      <c r="CT15" t="s">
        <v>169</v>
      </c>
      <c r="CU15">
        <v>2025</v>
      </c>
      <c r="CV15">
        <v>4</v>
      </c>
      <c r="CW15" s="43">
        <v>46155</v>
      </c>
      <c r="CX15" t="s">
        <v>227</v>
      </c>
      <c r="CY15" t="s">
        <v>228</v>
      </c>
      <c r="CZ15" t="s">
        <v>172</v>
      </c>
      <c r="DA15" t="s">
        <v>229</v>
      </c>
      <c r="DB15" t="s">
        <v>174</v>
      </c>
    </row>
    <row r="16" spans="1:106" x14ac:dyDescent="0.35">
      <c r="A16" t="s">
        <v>162</v>
      </c>
      <c r="B16" t="s">
        <v>230</v>
      </c>
      <c r="C16" s="42" t="s">
        <v>164</v>
      </c>
      <c r="D16" t="s">
        <v>184</v>
      </c>
      <c r="E16" t="s">
        <v>185</v>
      </c>
      <c r="F16" t="s">
        <v>167</v>
      </c>
      <c r="G16" s="44">
        <v>6360.9690000000001</v>
      </c>
      <c r="H16" s="44">
        <v>7803.6729999999998</v>
      </c>
      <c r="I16" s="44">
        <v>10283.92</v>
      </c>
      <c r="J16" s="44">
        <v>12746.07</v>
      </c>
      <c r="K16" s="44">
        <v>15092.6</v>
      </c>
      <c r="L16" s="44">
        <v>17959.91</v>
      </c>
      <c r="M16" s="44">
        <v>21383.19</v>
      </c>
      <c r="N16" s="44">
        <v>26158.69</v>
      </c>
      <c r="O16" s="44">
        <v>32390.98</v>
      </c>
      <c r="P16" s="44">
        <v>37756.629999999997</v>
      </c>
      <c r="Q16" s="44">
        <v>39197.33</v>
      </c>
      <c r="R16" s="44">
        <v>41956.05</v>
      </c>
      <c r="S16" s="44">
        <v>45767.41</v>
      </c>
      <c r="T16" s="44">
        <v>49662.21</v>
      </c>
      <c r="U16" s="44">
        <v>51541</v>
      </c>
      <c r="V16" s="44">
        <v>53010</v>
      </c>
      <c r="W16" s="44">
        <v>55060</v>
      </c>
      <c r="X16" s="44">
        <v>60163</v>
      </c>
      <c r="Y16" s="44">
        <v>74094</v>
      </c>
      <c r="Z16" s="44">
        <v>83953</v>
      </c>
      <c r="AA16" s="44">
        <v>89524</v>
      </c>
      <c r="AB16" s="44">
        <v>91610</v>
      </c>
      <c r="AC16" s="44">
        <v>95233</v>
      </c>
      <c r="AD16" s="44">
        <v>98487</v>
      </c>
      <c r="AE16" s="44">
        <v>101294</v>
      </c>
      <c r="AF16" s="44">
        <v>102123</v>
      </c>
      <c r="AG16" s="44">
        <v>104082</v>
      </c>
      <c r="AH16" s="44">
        <v>107870</v>
      </c>
      <c r="AI16" s="44">
        <v>116202</v>
      </c>
      <c r="AJ16" s="44">
        <v>121564</v>
      </c>
      <c r="AK16" s="44">
        <v>132461</v>
      </c>
      <c r="AL16" s="44">
        <v>142261</v>
      </c>
      <c r="AM16" s="44">
        <v>148357</v>
      </c>
      <c r="AN16" s="44">
        <v>152949</v>
      </c>
      <c r="AO16" s="44">
        <v>163192</v>
      </c>
      <c r="AP16" s="44">
        <v>174405</v>
      </c>
      <c r="AQ16" s="44">
        <v>192693</v>
      </c>
      <c r="AR16" s="44">
        <v>200560</v>
      </c>
      <c r="AS16" s="44">
        <v>206318</v>
      </c>
      <c r="AT16" s="44">
        <v>215584</v>
      </c>
      <c r="AU16" s="44">
        <v>219182</v>
      </c>
      <c r="AV16" s="44">
        <v>224042</v>
      </c>
      <c r="AW16" s="44">
        <v>228890</v>
      </c>
      <c r="AX16" s="44">
        <v>231999</v>
      </c>
      <c r="AY16" s="44">
        <v>234279</v>
      </c>
      <c r="AZ16" s="44">
        <v>241344</v>
      </c>
      <c r="BA16" s="44">
        <v>248526</v>
      </c>
      <c r="BB16" s="44">
        <v>269857</v>
      </c>
      <c r="BC16" s="44">
        <v>277780</v>
      </c>
      <c r="BD16" s="44">
        <v>295285</v>
      </c>
      <c r="BE16" s="44">
        <v>325409</v>
      </c>
      <c r="BF16" s="44">
        <v>356688</v>
      </c>
      <c r="BG16" s="44">
        <v>382478</v>
      </c>
      <c r="BH16" s="45">
        <v>408468.6</v>
      </c>
      <c r="BI16" s="45">
        <v>427648.2</v>
      </c>
      <c r="BJ16" s="45">
        <v>438613.3</v>
      </c>
      <c r="BK16" s="45">
        <v>452920.9</v>
      </c>
      <c r="BL16" s="45">
        <v>472421.9</v>
      </c>
      <c r="BM16" s="45">
        <v>492424.5</v>
      </c>
      <c r="BN16" s="45">
        <v>510923.8</v>
      </c>
      <c r="BO16" s="45">
        <v>528001.4</v>
      </c>
      <c r="BP16" s="45">
        <v>545914.9</v>
      </c>
      <c r="BQ16" s="45">
        <v>564895.6</v>
      </c>
      <c r="BR16" s="45">
        <v>585558.80000000005</v>
      </c>
      <c r="BS16" s="45">
        <v>606678.4</v>
      </c>
      <c r="BT16" s="45">
        <v>628203.69999999995</v>
      </c>
      <c r="BU16" s="45">
        <v>650300.69999999995</v>
      </c>
      <c r="BV16" s="45">
        <v>673204.5</v>
      </c>
      <c r="BW16" s="45">
        <v>696539.7</v>
      </c>
      <c r="BX16" s="45">
        <v>720138.4</v>
      </c>
      <c r="BY16" s="45">
        <v>744958.2</v>
      </c>
      <c r="BZ16" s="45">
        <v>772248.4</v>
      </c>
      <c r="CA16" s="45">
        <v>801550.8</v>
      </c>
      <c r="CB16" s="45">
        <v>831203</v>
      </c>
      <c r="CC16" s="45">
        <v>860813.1</v>
      </c>
      <c r="CD16" s="45">
        <v>891325.1</v>
      </c>
      <c r="CE16" s="45">
        <v>922975.2</v>
      </c>
      <c r="CF16" s="45">
        <v>956345.2</v>
      </c>
      <c r="CG16" s="45">
        <v>990965.9</v>
      </c>
      <c r="CH16" s="45">
        <v>1027055</v>
      </c>
      <c r="CI16" s="45">
        <v>1064894</v>
      </c>
      <c r="CJ16" s="45">
        <v>1103988</v>
      </c>
      <c r="CK16" s="45">
        <v>1144837</v>
      </c>
      <c r="CL16" s="45">
        <v>1187366</v>
      </c>
      <c r="CM16" s="45">
        <v>1231254</v>
      </c>
      <c r="CN16" s="45">
        <v>1276398</v>
      </c>
      <c r="CO16" s="45">
        <v>1323467</v>
      </c>
      <c r="CP16" s="45">
        <v>1372158</v>
      </c>
      <c r="CQ16" t="s">
        <v>168</v>
      </c>
      <c r="CR16" t="b">
        <v>1</v>
      </c>
      <c r="CS16" t="s">
        <v>169</v>
      </c>
      <c r="CT16" t="s">
        <v>169</v>
      </c>
      <c r="CU16">
        <v>2025</v>
      </c>
      <c r="CV16">
        <v>4</v>
      </c>
      <c r="CW16" s="43">
        <v>46155</v>
      </c>
      <c r="CX16" t="s">
        <v>231</v>
      </c>
      <c r="CY16" s="42" t="s">
        <v>232</v>
      </c>
      <c r="CZ16" t="s">
        <v>172</v>
      </c>
      <c r="DA16" t="s">
        <v>233</v>
      </c>
      <c r="DB16" t="s">
        <v>174</v>
      </c>
    </row>
    <row r="17" spans="1:106" x14ac:dyDescent="0.35">
      <c r="A17" t="s">
        <v>162</v>
      </c>
      <c r="B17" t="s">
        <v>234</v>
      </c>
      <c r="C17" s="42" t="s">
        <v>164</v>
      </c>
      <c r="D17" t="s">
        <v>184</v>
      </c>
      <c r="E17" t="s">
        <v>185</v>
      </c>
      <c r="F17" t="s">
        <v>167</v>
      </c>
      <c r="G17" s="44">
        <v>1988.171</v>
      </c>
      <c r="H17" s="44">
        <v>2332.3789999999999</v>
      </c>
      <c r="I17" s="44">
        <v>2935.27</v>
      </c>
      <c r="J17" s="44">
        <v>3544.4969999999998</v>
      </c>
      <c r="K17" s="44">
        <v>4021.7429999999999</v>
      </c>
      <c r="L17" s="44">
        <v>4257.1980000000003</v>
      </c>
      <c r="M17" s="44">
        <v>4895.9880000000003</v>
      </c>
      <c r="N17" s="44">
        <v>6048.98</v>
      </c>
      <c r="O17" s="44">
        <v>7498.6660000000002</v>
      </c>
      <c r="P17" s="44">
        <v>9239.7659999999996</v>
      </c>
      <c r="Q17" s="44">
        <v>10816.16</v>
      </c>
      <c r="R17" s="44">
        <v>11670.34</v>
      </c>
      <c r="S17" s="44">
        <v>12633.28</v>
      </c>
      <c r="T17" s="44">
        <v>13330.14</v>
      </c>
      <c r="U17" s="44">
        <v>14539</v>
      </c>
      <c r="V17" s="44">
        <v>15941</v>
      </c>
      <c r="W17" s="44">
        <v>16732</v>
      </c>
      <c r="X17" s="44">
        <v>16087</v>
      </c>
      <c r="Y17" s="44">
        <v>16809</v>
      </c>
      <c r="Z17" s="44">
        <v>17345</v>
      </c>
      <c r="AA17" s="44">
        <v>18236</v>
      </c>
      <c r="AB17" s="44">
        <v>20640</v>
      </c>
      <c r="AC17" s="44">
        <v>22139</v>
      </c>
      <c r="AD17" s="44">
        <v>22935</v>
      </c>
      <c r="AE17" s="44">
        <v>25451</v>
      </c>
      <c r="AF17" s="44">
        <v>26412</v>
      </c>
      <c r="AG17" s="44">
        <v>28043</v>
      </c>
      <c r="AH17" s="44">
        <v>29184</v>
      </c>
      <c r="AI17" s="44">
        <v>31509</v>
      </c>
      <c r="AJ17" s="44">
        <v>32332</v>
      </c>
      <c r="AK17" s="44">
        <v>38095</v>
      </c>
      <c r="AL17" s="44">
        <v>41782</v>
      </c>
      <c r="AM17" s="44">
        <v>44252</v>
      </c>
      <c r="AN17" s="44">
        <v>46524</v>
      </c>
      <c r="AO17" s="44">
        <v>46150</v>
      </c>
      <c r="AP17" s="44">
        <v>47871</v>
      </c>
      <c r="AQ17" s="44">
        <v>46193</v>
      </c>
      <c r="AR17" s="44">
        <v>47029</v>
      </c>
      <c r="AS17" s="44">
        <v>49399</v>
      </c>
      <c r="AT17" s="44">
        <v>49960</v>
      </c>
      <c r="AU17" s="44">
        <v>51670</v>
      </c>
      <c r="AV17" s="44">
        <v>53315</v>
      </c>
      <c r="AW17" s="44">
        <v>55969</v>
      </c>
      <c r="AX17" s="44">
        <v>59056</v>
      </c>
      <c r="AY17" s="44">
        <v>62484</v>
      </c>
      <c r="AZ17" s="44">
        <v>64888</v>
      </c>
      <c r="BA17" s="44">
        <v>70534</v>
      </c>
      <c r="BB17" s="44">
        <v>70354</v>
      </c>
      <c r="BC17" s="44">
        <v>75605</v>
      </c>
      <c r="BD17" s="44">
        <v>81896</v>
      </c>
      <c r="BE17" s="44">
        <v>83778</v>
      </c>
      <c r="BF17" s="44">
        <v>67987</v>
      </c>
      <c r="BG17" s="44">
        <v>68636</v>
      </c>
      <c r="BH17" s="45">
        <v>72481.7</v>
      </c>
      <c r="BI17" s="45">
        <v>75736.759999999995</v>
      </c>
      <c r="BJ17" s="45">
        <v>78960.62</v>
      </c>
      <c r="BK17" s="45">
        <v>82312.28</v>
      </c>
      <c r="BL17" s="45">
        <v>85507.88</v>
      </c>
      <c r="BM17" s="45">
        <v>88626.13</v>
      </c>
      <c r="BN17" s="45">
        <v>91638.3</v>
      </c>
      <c r="BO17" s="45">
        <v>94768.01</v>
      </c>
      <c r="BP17" s="45">
        <v>98045.64</v>
      </c>
      <c r="BQ17" s="45">
        <v>101469.5</v>
      </c>
      <c r="BR17" s="45">
        <v>105017.7</v>
      </c>
      <c r="BS17" s="45">
        <v>108693</v>
      </c>
      <c r="BT17" s="45">
        <v>112500.3</v>
      </c>
      <c r="BU17" s="45">
        <v>116444.4</v>
      </c>
      <c r="BV17" s="45">
        <v>120542.7</v>
      </c>
      <c r="BW17" s="45">
        <v>124815.9</v>
      </c>
      <c r="BX17" s="45">
        <v>129240.3</v>
      </c>
      <c r="BY17" s="45">
        <v>133753.60000000001</v>
      </c>
      <c r="BZ17" s="45">
        <v>138310</v>
      </c>
      <c r="CA17" s="45">
        <v>142923.20000000001</v>
      </c>
      <c r="CB17" s="45">
        <v>147651.70000000001</v>
      </c>
      <c r="CC17" s="45">
        <v>152530.29999999999</v>
      </c>
      <c r="CD17" s="45">
        <v>157514.5</v>
      </c>
      <c r="CE17" s="45">
        <v>162615.29999999999</v>
      </c>
      <c r="CF17" s="45">
        <v>167810.8</v>
      </c>
      <c r="CG17" s="45">
        <v>173136.8</v>
      </c>
      <c r="CH17" s="45">
        <v>178577.2</v>
      </c>
      <c r="CI17" s="45">
        <v>184124.2</v>
      </c>
      <c r="CJ17" s="45">
        <v>189816.3</v>
      </c>
      <c r="CK17" s="45">
        <v>195633</v>
      </c>
      <c r="CL17" s="45">
        <v>201595.9</v>
      </c>
      <c r="CM17" s="45">
        <v>207731.3</v>
      </c>
      <c r="CN17" s="45">
        <v>214050.5</v>
      </c>
      <c r="CO17" s="45">
        <v>220541.9</v>
      </c>
      <c r="CP17" s="45">
        <v>227236.7</v>
      </c>
      <c r="CQ17" t="s">
        <v>168</v>
      </c>
      <c r="CR17" t="b">
        <v>1</v>
      </c>
      <c r="CS17" t="s">
        <v>169</v>
      </c>
      <c r="CT17" t="s">
        <v>169</v>
      </c>
      <c r="CU17">
        <v>2025</v>
      </c>
      <c r="CV17">
        <v>4</v>
      </c>
      <c r="CW17" s="43">
        <v>46155</v>
      </c>
      <c r="CX17" s="42" t="s">
        <v>235</v>
      </c>
      <c r="CY17" t="s">
        <v>236</v>
      </c>
      <c r="CZ17" t="s">
        <v>172</v>
      </c>
      <c r="DA17" t="s">
        <v>237</v>
      </c>
      <c r="DB17" t="s">
        <v>174</v>
      </c>
    </row>
    <row r="18" spans="1:106" x14ac:dyDescent="0.35">
      <c r="A18" t="s">
        <v>162</v>
      </c>
      <c r="B18" t="s">
        <v>238</v>
      </c>
      <c r="C18" s="42" t="s">
        <v>164</v>
      </c>
      <c r="D18" t="s">
        <v>184</v>
      </c>
      <c r="E18" t="s">
        <v>185</v>
      </c>
      <c r="F18" t="s">
        <v>167</v>
      </c>
      <c r="G18" s="44">
        <v>7641.5309999999999</v>
      </c>
      <c r="H18" s="44">
        <v>10304.1</v>
      </c>
      <c r="I18" s="44">
        <v>14877.54</v>
      </c>
      <c r="J18" s="44">
        <v>17231.52</v>
      </c>
      <c r="K18" s="44">
        <v>17950.57</v>
      </c>
      <c r="L18" s="44">
        <v>19247.240000000002</v>
      </c>
      <c r="M18" s="44">
        <v>21350</v>
      </c>
      <c r="N18" s="44">
        <v>25402.2</v>
      </c>
      <c r="O18" s="44">
        <v>28632.5</v>
      </c>
      <c r="P18" s="44">
        <v>31023.07</v>
      </c>
      <c r="Q18" s="44">
        <v>32817.24</v>
      </c>
      <c r="R18" s="44">
        <v>34356.22</v>
      </c>
      <c r="S18" s="44">
        <v>37361.01</v>
      </c>
      <c r="T18" s="44">
        <v>40358.879999999997</v>
      </c>
      <c r="U18" s="44">
        <v>43468</v>
      </c>
      <c r="V18" s="44">
        <v>48427</v>
      </c>
      <c r="W18" s="44">
        <v>52575</v>
      </c>
      <c r="X18" s="44">
        <v>59428</v>
      </c>
      <c r="Y18" s="44">
        <v>64309</v>
      </c>
      <c r="Z18" s="44">
        <v>66881</v>
      </c>
      <c r="AA18" s="44">
        <v>65381</v>
      </c>
      <c r="AB18" s="44">
        <v>69515</v>
      </c>
      <c r="AC18" s="44">
        <v>74361</v>
      </c>
      <c r="AD18" s="44">
        <v>74213</v>
      </c>
      <c r="AE18" s="44">
        <v>75259</v>
      </c>
      <c r="AF18" s="44">
        <v>89276</v>
      </c>
      <c r="AG18" s="44">
        <v>96527</v>
      </c>
      <c r="AH18" s="44">
        <v>105299</v>
      </c>
      <c r="AI18" s="44">
        <v>111887</v>
      </c>
      <c r="AJ18" s="44">
        <v>112170</v>
      </c>
      <c r="AK18" s="44">
        <v>115973</v>
      </c>
      <c r="AL18" s="44">
        <v>123898</v>
      </c>
      <c r="AM18" s="44">
        <v>134381</v>
      </c>
      <c r="AN18" s="44">
        <v>143582</v>
      </c>
      <c r="AO18" s="44">
        <v>155326</v>
      </c>
      <c r="AP18" s="44">
        <v>159860</v>
      </c>
      <c r="AQ18" s="44">
        <v>151348</v>
      </c>
      <c r="AR18" s="44">
        <v>152420</v>
      </c>
      <c r="AS18" s="44">
        <v>157594</v>
      </c>
      <c r="AT18" s="44">
        <v>153730</v>
      </c>
      <c r="AU18" s="44">
        <v>158986</v>
      </c>
      <c r="AV18" s="44">
        <v>162609</v>
      </c>
      <c r="AW18" s="44">
        <v>171392</v>
      </c>
      <c r="AX18" s="44">
        <v>178455</v>
      </c>
      <c r="AY18" s="44">
        <v>188174</v>
      </c>
      <c r="AZ18" s="44">
        <v>194691</v>
      </c>
      <c r="BA18" s="44">
        <v>199912</v>
      </c>
      <c r="BB18" s="44">
        <v>199452</v>
      </c>
      <c r="BC18" s="44">
        <v>228715</v>
      </c>
      <c r="BD18" s="44">
        <v>255016</v>
      </c>
      <c r="BE18" s="44">
        <v>286379</v>
      </c>
      <c r="BF18" s="44">
        <v>308660</v>
      </c>
      <c r="BG18" s="44">
        <v>333753</v>
      </c>
      <c r="BH18" s="45">
        <v>362542.1</v>
      </c>
      <c r="BI18" s="45">
        <v>389228.79999999999</v>
      </c>
      <c r="BJ18" s="45">
        <v>407111.6</v>
      </c>
      <c r="BK18" s="45">
        <v>420010.5</v>
      </c>
      <c r="BL18" s="45">
        <v>439355.5</v>
      </c>
      <c r="BM18" s="45">
        <v>459326.5</v>
      </c>
      <c r="BN18" s="45">
        <v>476653.5</v>
      </c>
      <c r="BO18" s="45">
        <v>493827.2</v>
      </c>
      <c r="BP18" s="45">
        <v>511149.8</v>
      </c>
      <c r="BQ18" s="45">
        <v>529101.9</v>
      </c>
      <c r="BR18" s="45">
        <v>547594.30000000005</v>
      </c>
      <c r="BS18" s="45">
        <v>566949.19999999995</v>
      </c>
      <c r="BT18" s="45">
        <v>587003.80000000005</v>
      </c>
      <c r="BU18" s="45">
        <v>607775.1</v>
      </c>
      <c r="BV18" s="45">
        <v>629380.1</v>
      </c>
      <c r="BW18" s="45">
        <v>651907</v>
      </c>
      <c r="BX18" s="45">
        <v>675277.2</v>
      </c>
      <c r="BY18" s="45">
        <v>699319.9</v>
      </c>
      <c r="BZ18" s="45">
        <v>723752.6</v>
      </c>
      <c r="CA18" s="45">
        <v>748482.6</v>
      </c>
      <c r="CB18" s="45">
        <v>773679.7</v>
      </c>
      <c r="CC18" s="45">
        <v>799625.4</v>
      </c>
      <c r="CD18" s="45">
        <v>826209.2</v>
      </c>
      <c r="CE18" s="45">
        <v>853433.1</v>
      </c>
      <c r="CF18" s="45">
        <v>881245.1</v>
      </c>
      <c r="CG18" s="45">
        <v>909784.4</v>
      </c>
      <c r="CH18" s="45">
        <v>938988.9</v>
      </c>
      <c r="CI18" s="45">
        <v>968755.1</v>
      </c>
      <c r="CJ18" s="45">
        <v>999233.1</v>
      </c>
      <c r="CK18" s="45">
        <v>1030397</v>
      </c>
      <c r="CL18" s="45">
        <v>1062272</v>
      </c>
      <c r="CM18" s="45">
        <v>1094979</v>
      </c>
      <c r="CN18" s="45">
        <v>1128630</v>
      </c>
      <c r="CO18" s="45">
        <v>1163173</v>
      </c>
      <c r="CP18" s="45">
        <v>1198726</v>
      </c>
      <c r="CQ18" t="s">
        <v>168</v>
      </c>
      <c r="CR18" t="b">
        <v>1</v>
      </c>
      <c r="CS18" t="s">
        <v>169</v>
      </c>
      <c r="CT18" t="s">
        <v>169</v>
      </c>
      <c r="CU18">
        <v>2025</v>
      </c>
      <c r="CV18">
        <v>4</v>
      </c>
      <c r="CW18" s="43">
        <v>46155</v>
      </c>
      <c r="CX18" t="s">
        <v>239</v>
      </c>
      <c r="CY18" t="s">
        <v>240</v>
      </c>
      <c r="CZ18" t="s">
        <v>172</v>
      </c>
      <c r="DA18" t="s">
        <v>241</v>
      </c>
      <c r="DB18" t="s">
        <v>174</v>
      </c>
    </row>
    <row r="19" spans="1:106" x14ac:dyDescent="0.35">
      <c r="A19" t="s">
        <v>162</v>
      </c>
      <c r="B19" t="s">
        <v>242</v>
      </c>
      <c r="C19" s="42" t="s">
        <v>164</v>
      </c>
      <c r="D19" t="s">
        <v>184</v>
      </c>
      <c r="E19" t="s">
        <v>185</v>
      </c>
      <c r="F19" t="s">
        <v>167</v>
      </c>
      <c r="G19" s="44">
        <v>39415</v>
      </c>
      <c r="H19" s="44">
        <v>46638</v>
      </c>
      <c r="I19" s="44">
        <v>60354</v>
      </c>
      <c r="J19" s="44">
        <v>67771</v>
      </c>
      <c r="K19" s="44">
        <v>74977</v>
      </c>
      <c r="L19" s="44">
        <v>85729</v>
      </c>
      <c r="M19" s="44">
        <v>100478</v>
      </c>
      <c r="N19" s="44">
        <v>119136</v>
      </c>
      <c r="O19" s="44">
        <v>127752</v>
      </c>
      <c r="P19" s="44">
        <v>135864</v>
      </c>
      <c r="Q19" s="44">
        <v>145677</v>
      </c>
      <c r="R19" s="44">
        <v>156083</v>
      </c>
      <c r="S19" s="44">
        <v>170692</v>
      </c>
      <c r="T19" s="44">
        <v>184154</v>
      </c>
      <c r="U19" s="44">
        <v>199368</v>
      </c>
      <c r="V19" s="44">
        <v>223044</v>
      </c>
      <c r="W19" s="44">
        <v>248844</v>
      </c>
      <c r="X19" s="44">
        <v>275236</v>
      </c>
      <c r="Y19" s="44">
        <v>291176</v>
      </c>
      <c r="Z19" s="44">
        <v>300545</v>
      </c>
      <c r="AA19" s="44">
        <v>308154</v>
      </c>
      <c r="AB19" s="44">
        <v>319660</v>
      </c>
      <c r="AC19" s="44">
        <v>334245</v>
      </c>
      <c r="AD19" s="44">
        <v>349339</v>
      </c>
      <c r="AE19" s="44">
        <v>379553</v>
      </c>
      <c r="AF19" s="44">
        <v>398158</v>
      </c>
      <c r="AG19" s="44">
        <v>429264</v>
      </c>
      <c r="AH19" s="44">
        <v>457052</v>
      </c>
      <c r="AI19" s="44">
        <v>486996</v>
      </c>
      <c r="AJ19" s="44">
        <v>499473</v>
      </c>
      <c r="AK19" s="44">
        <v>522419</v>
      </c>
      <c r="AL19" s="44">
        <v>553541</v>
      </c>
      <c r="AM19" s="44">
        <v>579722</v>
      </c>
      <c r="AN19" s="44">
        <v>611957</v>
      </c>
      <c r="AO19" s="44">
        <v>654408</v>
      </c>
      <c r="AP19" s="44">
        <v>668570</v>
      </c>
      <c r="AQ19" s="44">
        <v>656970</v>
      </c>
      <c r="AR19" s="44">
        <v>662226</v>
      </c>
      <c r="AS19" s="44">
        <v>677441</v>
      </c>
      <c r="AT19" s="44">
        <v>686534</v>
      </c>
      <c r="AU19" s="44">
        <v>717872</v>
      </c>
      <c r="AV19" s="44">
        <v>745029</v>
      </c>
      <c r="AW19" s="44">
        <v>769817</v>
      </c>
      <c r="AX19" s="44">
        <v>796848</v>
      </c>
      <c r="AY19" s="44">
        <v>828601</v>
      </c>
      <c r="AZ19" s="44">
        <v>862329</v>
      </c>
      <c r="BA19" s="44">
        <v>895388</v>
      </c>
      <c r="BB19" s="44">
        <v>893197</v>
      </c>
      <c r="BC19" s="44">
        <v>949480</v>
      </c>
      <c r="BD19" s="44">
        <v>1021159</v>
      </c>
      <c r="BE19" s="44">
        <v>1094554</v>
      </c>
      <c r="BF19" s="44">
        <v>1161074</v>
      </c>
      <c r="BG19" s="44">
        <v>1232458</v>
      </c>
      <c r="BH19" s="45">
        <v>1283976</v>
      </c>
      <c r="BI19" s="45">
        <v>1333966</v>
      </c>
      <c r="BJ19" s="45">
        <v>1384950</v>
      </c>
      <c r="BK19" s="45">
        <v>1432887</v>
      </c>
      <c r="BL19" s="45">
        <v>1479676</v>
      </c>
      <c r="BM19" s="45">
        <v>1528696</v>
      </c>
      <c r="BN19" s="45">
        <v>1580652</v>
      </c>
      <c r="BO19" s="45">
        <v>1634636</v>
      </c>
      <c r="BP19" s="45">
        <v>1691171</v>
      </c>
      <c r="BQ19" s="45">
        <v>1750228</v>
      </c>
      <c r="BR19" s="45">
        <v>1811431</v>
      </c>
      <c r="BS19" s="45">
        <v>1874825</v>
      </c>
      <c r="BT19" s="45">
        <v>1940496</v>
      </c>
      <c r="BU19" s="45">
        <v>2008528</v>
      </c>
      <c r="BV19" s="45">
        <v>2079218</v>
      </c>
      <c r="BW19" s="45">
        <v>2152926</v>
      </c>
      <c r="BX19" s="45">
        <v>2229241</v>
      </c>
      <c r="BY19" s="45">
        <v>2307090</v>
      </c>
      <c r="BZ19" s="45">
        <v>2385682</v>
      </c>
      <c r="CA19" s="45">
        <v>2465255</v>
      </c>
      <c r="CB19" s="45">
        <v>2546816</v>
      </c>
      <c r="CC19" s="45">
        <v>2630966</v>
      </c>
      <c r="CD19" s="45">
        <v>2716938</v>
      </c>
      <c r="CE19" s="45">
        <v>2804922</v>
      </c>
      <c r="CF19" s="45">
        <v>2894538</v>
      </c>
      <c r="CG19" s="45">
        <v>2986404</v>
      </c>
      <c r="CH19" s="45">
        <v>3080246</v>
      </c>
      <c r="CI19" s="45">
        <v>3175923</v>
      </c>
      <c r="CJ19" s="45">
        <v>3274106</v>
      </c>
      <c r="CK19" s="45">
        <v>3374436</v>
      </c>
      <c r="CL19" s="45">
        <v>3477289</v>
      </c>
      <c r="CM19" s="45">
        <v>3583119</v>
      </c>
      <c r="CN19" s="45">
        <v>3692118</v>
      </c>
      <c r="CO19" s="45">
        <v>3804086</v>
      </c>
      <c r="CP19" s="45">
        <v>3919563</v>
      </c>
      <c r="CQ19" t="s">
        <v>168</v>
      </c>
      <c r="CR19" t="b">
        <v>1</v>
      </c>
      <c r="CS19" t="s">
        <v>169</v>
      </c>
      <c r="CT19" t="s">
        <v>169</v>
      </c>
      <c r="CU19">
        <v>2025</v>
      </c>
      <c r="CV19">
        <v>4</v>
      </c>
      <c r="CW19" s="43">
        <v>46155</v>
      </c>
      <c r="CX19" t="s">
        <v>243</v>
      </c>
      <c r="CY19" t="s">
        <v>244</v>
      </c>
      <c r="CZ19" t="s">
        <v>172</v>
      </c>
      <c r="DA19" t="s">
        <v>245</v>
      </c>
      <c r="DB19" t="s">
        <v>174</v>
      </c>
    </row>
  </sheetData>
  <pageMargins left="0.7" right="0.7" top="0.75" bottom="0.75" header="0.3" footer="0.3"/>
  <customProperties>
    <customPr name="Commands" r:id="rId1"/>
    <customPr name="PostPullCommands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DDEE-9C78-4095-8838-D4D1B450630A}">
  <dimension ref="A1:R94"/>
  <sheetViews>
    <sheetView workbookViewId="0">
      <pane xSplit="1" ySplit="6" topLeftCell="H31" activePane="bottomRight" state="frozen"/>
      <selection pane="topRight" activeCell="B1" sqref="B1"/>
      <selection pane="bottomLeft" activeCell="A7" sqref="A7"/>
      <selection pane="bottomRight" activeCell="O15" sqref="O15"/>
    </sheetView>
  </sheetViews>
  <sheetFormatPr defaultRowHeight="14.5" x14ac:dyDescent="0.35"/>
  <cols>
    <col min="1" max="1" width="8.7265625" style="46"/>
    <col min="2" max="18" width="17.54296875" style="46" bestFit="1" customWidth="1"/>
  </cols>
  <sheetData>
    <row r="1" spans="1:18" x14ac:dyDescent="0.35">
      <c r="B1" s="47" t="str">
        <f>GMWA!$C$2</f>
        <v>MAY013E</v>
      </c>
      <c r="C1" s="46" t="str">
        <f t="shared" ref="C1:R1" si="0">$B$1</f>
        <v>MAY013E</v>
      </c>
      <c r="D1" s="46" t="str">
        <f t="shared" si="0"/>
        <v>MAY013E</v>
      </c>
      <c r="E1" s="46" t="str">
        <f t="shared" si="0"/>
        <v>MAY013E</v>
      </c>
      <c r="F1" s="46" t="str">
        <f t="shared" si="0"/>
        <v>MAY013E</v>
      </c>
      <c r="G1" s="46" t="str">
        <f t="shared" si="0"/>
        <v>MAY013E</v>
      </c>
      <c r="H1" s="46" t="str">
        <f t="shared" si="0"/>
        <v>MAY013E</v>
      </c>
      <c r="I1" s="46" t="str">
        <f t="shared" si="0"/>
        <v>MAY013E</v>
      </c>
      <c r="J1" s="46" t="str">
        <f t="shared" si="0"/>
        <v>MAY013E</v>
      </c>
      <c r="K1" s="46" t="str">
        <f t="shared" si="0"/>
        <v>MAY013E</v>
      </c>
      <c r="L1" s="46" t="str">
        <f t="shared" si="0"/>
        <v>MAY013E</v>
      </c>
      <c r="M1" s="46" t="str">
        <f t="shared" si="0"/>
        <v>MAY013E</v>
      </c>
      <c r="N1" s="46" t="str">
        <f t="shared" si="0"/>
        <v>MAY013E</v>
      </c>
      <c r="O1" s="46" t="str">
        <f t="shared" si="0"/>
        <v>MAY013E</v>
      </c>
      <c r="P1" s="46" t="str">
        <f t="shared" si="0"/>
        <v>MAY013E</v>
      </c>
      <c r="Q1" s="46" t="str">
        <f t="shared" si="0"/>
        <v>MAY013E</v>
      </c>
      <c r="R1" s="46" t="str">
        <f t="shared" si="0"/>
        <v>MAY013E</v>
      </c>
    </row>
    <row r="2" spans="1:18" x14ac:dyDescent="0.35">
      <c r="B2" s="46" t="s">
        <v>253</v>
      </c>
      <c r="C2" s="46" t="s">
        <v>253</v>
      </c>
      <c r="D2" s="46" t="s">
        <v>253</v>
      </c>
      <c r="E2" s="46" t="s">
        <v>253</v>
      </c>
      <c r="F2" s="46" t="s">
        <v>253</v>
      </c>
      <c r="G2" s="46" t="s">
        <v>253</v>
      </c>
      <c r="H2" s="46" t="s">
        <v>253</v>
      </c>
      <c r="I2" s="46" t="s">
        <v>253</v>
      </c>
      <c r="J2" s="46" t="s">
        <v>253</v>
      </c>
      <c r="K2" s="46" t="s">
        <v>253</v>
      </c>
      <c r="L2" s="46" t="s">
        <v>253</v>
      </c>
      <c r="M2" s="46" t="s">
        <v>253</v>
      </c>
      <c r="N2" s="46" t="s">
        <v>253</v>
      </c>
      <c r="O2" s="46" t="s">
        <v>253</v>
      </c>
      <c r="P2" s="46" t="s">
        <v>253</v>
      </c>
      <c r="Q2" s="46" t="s">
        <v>253</v>
      </c>
      <c r="R2" s="46" t="s">
        <v>253</v>
      </c>
    </row>
    <row r="3" spans="1:18" x14ac:dyDescent="0.35">
      <c r="B3" s="46" t="s">
        <v>194</v>
      </c>
      <c r="C3" s="46" t="s">
        <v>225</v>
      </c>
      <c r="D3" s="46" t="s">
        <v>188</v>
      </c>
      <c r="E3" s="46" t="s">
        <v>221</v>
      </c>
      <c r="F3" s="46" t="s">
        <v>245</v>
      </c>
      <c r="G3" s="47" t="s">
        <v>204</v>
      </c>
      <c r="H3" s="47" t="s">
        <v>198</v>
      </c>
      <c r="I3" s="47" t="s">
        <v>233</v>
      </c>
      <c r="J3" s="47" t="s">
        <v>229</v>
      </c>
      <c r="K3" s="47" t="s">
        <v>241</v>
      </c>
      <c r="L3" s="47" t="s">
        <v>237</v>
      </c>
      <c r="M3" s="47" t="s">
        <v>182</v>
      </c>
      <c r="N3" s="47" t="s">
        <v>173</v>
      </c>
      <c r="O3" s="47" t="s">
        <v>213</v>
      </c>
      <c r="P3" s="47" t="s">
        <v>209</v>
      </c>
      <c r="Q3" s="47" t="s">
        <v>298</v>
      </c>
      <c r="R3" s="47" t="s">
        <v>178</v>
      </c>
    </row>
    <row r="4" spans="1:18" x14ac:dyDescent="0.35">
      <c r="B4" s="46" t="s">
        <v>172</v>
      </c>
      <c r="C4" s="46" t="s">
        <v>172</v>
      </c>
      <c r="D4" s="46" t="s">
        <v>172</v>
      </c>
      <c r="E4" s="46" t="s">
        <v>172</v>
      </c>
      <c r="F4" s="46" t="s">
        <v>172</v>
      </c>
      <c r="G4" s="46" t="s">
        <v>172</v>
      </c>
      <c r="H4" s="46" t="s">
        <v>172</v>
      </c>
      <c r="I4" s="46" t="s">
        <v>172</v>
      </c>
      <c r="J4" s="46" t="s">
        <v>172</v>
      </c>
      <c r="K4" s="46" t="s">
        <v>172</v>
      </c>
      <c r="L4" s="46" t="s">
        <v>172</v>
      </c>
      <c r="M4" s="46" t="s">
        <v>172</v>
      </c>
      <c r="N4" s="46" t="s">
        <v>172</v>
      </c>
      <c r="O4" s="46" t="s">
        <v>172</v>
      </c>
      <c r="P4" s="46" t="s">
        <v>172</v>
      </c>
      <c r="Q4" s="46" t="s">
        <v>172</v>
      </c>
      <c r="R4" s="46" t="s">
        <v>172</v>
      </c>
    </row>
    <row r="5" spans="1:18" x14ac:dyDescent="0.35">
      <c r="B5" s="46" t="s">
        <v>254</v>
      </c>
      <c r="C5" s="46" t="s">
        <v>254</v>
      </c>
      <c r="D5" s="46" t="s">
        <v>254</v>
      </c>
      <c r="E5" s="46" t="s">
        <v>254</v>
      </c>
      <c r="F5" s="46" t="s">
        <v>254</v>
      </c>
      <c r="G5" s="46" t="s">
        <v>254</v>
      </c>
      <c r="H5" s="46" t="s">
        <v>254</v>
      </c>
      <c r="I5" s="46" t="s">
        <v>254</v>
      </c>
      <c r="J5" s="46" t="s">
        <v>254</v>
      </c>
      <c r="K5" s="46" t="s">
        <v>254</v>
      </c>
      <c r="L5" s="46" t="s">
        <v>254</v>
      </c>
      <c r="M5" s="46" t="s">
        <v>254</v>
      </c>
      <c r="N5" s="46" t="s">
        <v>254</v>
      </c>
      <c r="O5" s="46" t="s">
        <v>254</v>
      </c>
      <c r="P5" s="46" t="s">
        <v>254</v>
      </c>
      <c r="Q5" s="46" t="s">
        <v>254</v>
      </c>
      <c r="R5" s="46" t="s">
        <v>254</v>
      </c>
    </row>
    <row r="6" spans="1:18" x14ac:dyDescent="0.35">
      <c r="A6" s="46">
        <f>A84+5</f>
        <v>2055</v>
      </c>
      <c r="B6" s="48" t="str" cm="1">
        <f t="array" ref="B6">_xlfn.CONCAT(INDEX([2]GMWA!$A$2:$CR$60,MATCH(1,([2]GMWA!$CQ$2:$CQ$60=B$3)*([2]GMWA!$CP$2:$CP$60=B$4),0),$A6-1966),"0",(INDEX([2]GMWA!$A$2:$CR$60,MATCH(1,([2]GMWA!$CQ$2:$CQ$60=B$3)*([2]GMWA!$CP$2:$CP$60=B$4),0),$A6-1965)))</f>
        <v>202104</v>
      </c>
      <c r="C6" s="48" t="str" cm="1">
        <f t="array" ref="C6">_xlfn.CONCAT(INDEX([2]GMWA!$A$2:$CR$60,MATCH(1,([2]GMWA!$CQ$2:$CQ$60=C$3)*([2]GMWA!$CP$2:$CP$60=C$4),0),$A6-1966),"0",(INDEX([2]GMWA!$A$2:$CR$60,MATCH(1,([2]GMWA!$CQ$2:$CQ$60=C$3)*([2]GMWA!$CP$2:$CP$60=C$4),0),$A6-1965)))</f>
        <v>202104</v>
      </c>
      <c r="D6" s="48" t="str" cm="1">
        <f t="array" ref="D6">_xlfn.CONCAT(INDEX([2]GMWA!$A$2:$CR$60,MATCH(1,([2]GMWA!$CQ$2:$CQ$60=D$3)*([2]GMWA!$CP$2:$CP$60=D$4),0),$A6-1966),"0",(INDEX([2]GMWA!$A$2:$CR$60,MATCH(1,([2]GMWA!$CQ$2:$CQ$60=D$3)*([2]GMWA!$CP$2:$CP$60=D$4),0),$A6-1965)))</f>
        <v>202104</v>
      </c>
      <c r="E6" s="48" t="str" cm="1">
        <f t="array" ref="E6">_xlfn.CONCAT(INDEX([2]GMWA!$A$2:$CR$60,MATCH(1,([2]GMWA!$CQ$2:$CQ$60=E$3)*([2]GMWA!$CP$2:$CP$60=E$4),0),$A6-1966),"0",(INDEX([2]GMWA!$A$2:$CR$60,MATCH(1,([2]GMWA!$CQ$2:$CQ$60=E$3)*([2]GMWA!$CP$2:$CP$60=E$4),0),$A6-1965)))</f>
        <v>202104</v>
      </c>
      <c r="F6" s="48" t="str" cm="1">
        <f t="array" ref="F6">_xlfn.CONCAT(INDEX([2]GMWA!$A$2:$CR$60,MATCH(1,([2]GMWA!$CQ$2:$CQ$60=F$3)*([2]GMWA!$CP$2:$CP$60=F$4),0),$A6-1966),"0",(INDEX([2]GMWA!$A$2:$CR$60,MATCH(1,([2]GMWA!$CQ$2:$CQ$60=F$3)*([2]GMWA!$CP$2:$CP$60=F$4),0),$A6-1965)))</f>
        <v>202104</v>
      </c>
      <c r="G6" s="48" t="str" cm="1">
        <f t="array" ref="G6">_xlfn.CONCAT(INDEX([2]GMWA!$A$2:$CR$60,MATCH(1,([2]GMWA!$CQ$2:$CQ$60=G$3)*([2]GMWA!$CP$2:$CP$60=G$4),0),$A6-1966),"0",(INDEX([2]GMWA!$A$2:$CR$60,MATCH(1,([2]GMWA!$CQ$2:$CQ$60=G$3)*([2]GMWA!$CP$2:$CP$60=G$4),0),$A6-1965)))</f>
        <v>202104</v>
      </c>
      <c r="H6" s="48" t="str" cm="1">
        <f t="array" ref="H6">_xlfn.CONCAT(INDEX([2]GMWA!$A$2:$CR$60,MATCH(1,([2]GMWA!$CQ$2:$CQ$60=H$3)*([2]GMWA!$CP$2:$CP$60=H$4),0),$A6-1966),"0",(INDEX([2]GMWA!$A$2:$CR$60,MATCH(1,([2]GMWA!$CQ$2:$CQ$60=H$3)*([2]GMWA!$CP$2:$CP$60=H$4),0),$A6-1965)))</f>
        <v>202104</v>
      </c>
      <c r="I6" s="48" t="str" cm="1">
        <f t="array" ref="I6">_xlfn.CONCAT(INDEX([2]GMWA!$A$2:$CR$60,MATCH(1,([2]GMWA!$CQ$2:$CQ$60=I$3)*([2]GMWA!$CP$2:$CP$60=I$4),0),$A6-1966),"0",(INDEX([2]GMWA!$A$2:$CR$60,MATCH(1,([2]GMWA!$CQ$2:$CQ$60=I$3)*([2]GMWA!$CP$2:$CP$60=I$4),0),$A6-1965)))</f>
        <v>202104</v>
      </c>
      <c r="J6" s="48" t="str" cm="1">
        <f t="array" ref="J6">_xlfn.CONCAT(INDEX([2]GMWA!$A$2:$CR$60,MATCH(1,([2]GMWA!$CQ$2:$CQ$60=J$3)*([2]GMWA!$CP$2:$CP$60=J$4),0),$A6-1966),"0",(INDEX([2]GMWA!$A$2:$CR$60,MATCH(1,([2]GMWA!$CQ$2:$CQ$60=J$3)*([2]GMWA!$CP$2:$CP$60=J$4),0),$A6-1965)))</f>
        <v>202104</v>
      </c>
      <c r="K6" s="48" t="str" cm="1">
        <f t="array" ref="K6">_xlfn.CONCAT(INDEX([2]GMWA!$A$2:$CR$60,MATCH(1,([2]GMWA!$CQ$2:$CQ$60=K$3)*([2]GMWA!$CP$2:$CP$60=K$4),0),$A6-1966),"0",(INDEX([2]GMWA!$A$2:$CR$60,MATCH(1,([2]GMWA!$CQ$2:$CQ$60=K$3)*([2]GMWA!$CP$2:$CP$60=K$4),0),$A6-1965)))</f>
        <v>202104</v>
      </c>
      <c r="L6" s="48" t="str" cm="1">
        <f t="array" ref="L6">_xlfn.CONCAT(INDEX([2]GMWA!$A$2:$CR$60,MATCH(1,([2]GMWA!$CQ$2:$CQ$60=L$3)*([2]GMWA!$CP$2:$CP$60=L$4),0),$A6-1966),"0",(INDEX([2]GMWA!$A$2:$CR$60,MATCH(1,([2]GMWA!$CQ$2:$CQ$60=L$3)*([2]GMWA!$CP$2:$CP$60=L$4),0),$A6-1965)))</f>
        <v>202104</v>
      </c>
      <c r="M6" s="48" t="str" cm="1">
        <f t="array" ref="M6">_xlfn.CONCAT(INDEX([2]GMWA!$A$2:$CR$60,MATCH(1,([2]GMWA!$CQ$2:$CQ$60=M$3)*([2]GMWA!$CP$2:$CP$60=M$4),0),$A6-1966),"0",(INDEX([2]GMWA!$A$2:$CR$60,MATCH(1,([2]GMWA!$CQ$2:$CQ$60=M$3)*([2]GMWA!$CP$2:$CP$60=M$4),0),$A6-1965)))</f>
        <v>202104</v>
      </c>
      <c r="N6" s="48" t="str" cm="1">
        <f t="array" ref="N6">_xlfn.CONCAT(INDEX([2]GMWA!$A$2:$CR$60,MATCH(1,([2]GMWA!$CQ$2:$CQ$60=N$3)*([2]GMWA!$CP$2:$CP$60=N$4),0),$A6-1966),"0",(INDEX([2]GMWA!$A$2:$CR$60,MATCH(1,([2]GMWA!$CQ$2:$CQ$60=N$3)*([2]GMWA!$CP$2:$CP$60=N$4),0),$A6-1965)))</f>
        <v>202104</v>
      </c>
      <c r="O6" s="48" t="str" cm="1">
        <f t="array" ref="O6">_xlfn.CONCAT(INDEX([2]GMWA!$A$2:$CR$60,MATCH(1,([2]GMWA!$CQ$2:$CQ$60=O$3)*([2]GMWA!$CP$2:$CP$60=O$4),0),$A6-1966),"0",(INDEX([2]GMWA!$A$2:$CR$60,MATCH(1,([2]GMWA!$CQ$2:$CQ$60=O$3)*([2]GMWA!$CP$2:$CP$60=O$4),0),$A6-1965)))</f>
        <v>202104</v>
      </c>
      <c r="P6" s="48" t="str" cm="1">
        <f t="array" ref="P6">_xlfn.CONCAT(INDEX([2]GMWA!$A$2:$CR$60,MATCH(1,([2]GMWA!$CQ$2:$CQ$60=P$3)*([2]GMWA!$CP$2:$CP$60=P$4),0),$A6-1966),"0",(INDEX([2]GMWA!$A$2:$CR$60,MATCH(1,([2]GMWA!$CQ$2:$CQ$60=P$3)*([2]GMWA!$CP$2:$CP$60=P$4),0),$A6-1965)))</f>
        <v>202104</v>
      </c>
      <c r="Q6" s="48" t="e" cm="1">
        <f t="array" ref="Q6">_xlfn.CONCAT(INDEX([2]GMWA!$A$2:$CR$60,MATCH(1,([2]GMWA!$CQ$2:$CQ$60=Q$3)*([2]GMWA!$CP$2:$CP$60=Q$4),0),$A6-1966),"0",(INDEX([2]GMWA!$A$2:$CR$60,MATCH(1,([2]GMWA!$CQ$2:$CQ$60=Q$3)*([2]GMWA!$CP$2:$CP$60=Q$4),0),$A6-1965)))</f>
        <v>#N/A</v>
      </c>
      <c r="R6" s="48" t="str" cm="1">
        <f t="array" ref="R6">_xlfn.CONCAT(INDEX([2]GMWA!$A$2:$CR$60,MATCH(1,([2]GMWA!$CQ$2:$CQ$60=R$3)*([2]GMWA!$CP$2:$CP$60=R$4),0),$A6-1966),"0",(INDEX([2]GMWA!$A$2:$CR$60,MATCH(1,([2]GMWA!$CQ$2:$CQ$60=R$3)*([2]GMWA!$CP$2:$CP$60=R$4),0),$A6-1965)))</f>
        <v>202104</v>
      </c>
    </row>
    <row r="7" spans="1:18" x14ac:dyDescent="0.35">
      <c r="A7" s="46">
        <v>1973</v>
      </c>
      <c r="B7" s="46" cm="1">
        <f t="array" ref="B7">INDEX(GMWA!$A$2:$DB$60,MATCH(1,(GMWA!$DA$2:$DA$60=B$3)*(GMWA!$CZ$2:$CZ$60=B$4),0),$A7-1966)</f>
        <v>551375</v>
      </c>
      <c r="C7" s="46" cm="1">
        <f t="array" ref="C7">INDEX(GMWA!$A$2:$DB$60,MATCH(1,(GMWA!$DA$2:$DA$60=C$3)*(GMWA!$CZ$2:$CZ$60=C$4),0),$A7-1966)</f>
        <v>600127</v>
      </c>
      <c r="D7" s="46" cm="1">
        <f t="array" ref="D7">INDEX(GMWA!$A$2:$DB$60,MATCH(1,(GMWA!$DA$2:$DA$60=D$3)*(GMWA!$CZ$2:$CZ$60=D$4),0),$A7-1966)</f>
        <v>48988</v>
      </c>
      <c r="E7" s="46" cm="1">
        <f t="array" ref="E7">INDEX(GMWA!$A$2:$DB$60,MATCH(1,(GMWA!$DA$2:$DA$60=E$3)*(GMWA!$CZ$2:$CZ$60=E$4),0),$A7-1966)</f>
        <v>52440</v>
      </c>
      <c r="F7" s="46" cm="1">
        <f t="array" ref="F7">INDEX(GMWA!$A$2:$DB$60,MATCH(1,(GMWA!$DA$2:$DA$60=F$3)*(GMWA!$CZ$2:$CZ$60=F$4),0),$A7-1966)</f>
        <v>39415</v>
      </c>
      <c r="G7" s="46" cm="1">
        <f t="array" ref="G7">INDEX(GMWA!$A$2:$DB$60,MATCH(1,(GMWA!$DA$2:$DA$60=G$3)*(GMWA!$CZ$2:$CZ$60=G$4),0),$A7-1966)</f>
        <v>22200.85</v>
      </c>
      <c r="H7" s="46" cm="1">
        <f t="array" ref="H7">INDEX(GMWA!$A$2:$DB$60,MATCH(1,(GMWA!$DA$2:$DA$60=H$3)*(GMWA!$CZ$2:$CZ$60=H$4),0),$A7-1966)</f>
        <v>443.82279999999997</v>
      </c>
      <c r="I7" s="46" cm="1">
        <f t="array" ref="I7">INDEX(GMWA!$A$2:$DB$60,MATCH(1,(GMWA!$DA$2:$DA$60=I$3)*(GMWA!$CZ$2:$CZ$60=I$4),0),$A7-1966)</f>
        <v>6360.9690000000001</v>
      </c>
      <c r="J7" s="46" cm="1">
        <f t="array" ref="J7">INDEX(GMWA!$A$2:$DB$60,MATCH(1,(GMWA!$DA$2:$DA$60=J$3)*(GMWA!$CZ$2:$CZ$60=J$4),0),$A7-1966)</f>
        <v>0</v>
      </c>
      <c r="K7" s="46" cm="1">
        <f t="array" ref="K7">INDEX(GMWA!$A$2:$DB$60,MATCH(1,(GMWA!$DA$2:$DA$60=K$3)*(GMWA!$CZ$2:$CZ$60=K$4),0),$A7-1966)</f>
        <v>7641.5309999999999</v>
      </c>
      <c r="L7" s="46" cm="1">
        <f t="array" ref="L7">INDEX(GMWA!$A$2:$DB$60,MATCH(1,(GMWA!$DA$2:$DA$60=L$3)*(GMWA!$CZ$2:$CZ$60=L$4),0),$A7-1966)</f>
        <v>1988.171</v>
      </c>
      <c r="M7" s="46" cm="1">
        <f t="array" ref="M7">INDEX(GMWA!$A$2:$DB$60,MATCH(1,(GMWA!$DA$2:$DA$60=M$3)*(GMWA!$CZ$2:$CZ$60=M$4),0),$A7-1966)</f>
        <v>8.8851910000000007</v>
      </c>
      <c r="N7" s="46" cm="1">
        <f t="array" ref="N7">INDEX(GMWA!$A$2:$DB$60,MATCH(1,(GMWA!$DA$2:$DA$60=N$3)*(GMWA!$CZ$2:$CZ$60=N$4),0),$A7-1966)</f>
        <v>12.428419999999999</v>
      </c>
      <c r="O7" s="46" cm="1">
        <f t="array" ref="O7">INDEX(GMWA!$A$2:$DB$60,MATCH(1,(GMWA!$DA$2:$DA$60=O$3)*(GMWA!$CZ$2:$CZ$60=O$4),0),$A7-1966)</f>
        <v>1E-3</v>
      </c>
      <c r="P7" s="46" cm="1">
        <f t="array" ref="P7">INDEX(GMWA!$A$2:$DB$60,MATCH(1,(GMWA!$DA$2:$DA$60=P$3)*(GMWA!$CZ$2:$CZ$60=P$4),0),$A7-1966)</f>
        <v>1E-3</v>
      </c>
      <c r="Q7" s="46" cm="1">
        <f t="array" ref="Q7">INDEX(GMWA!$A$2:$DB$60,MATCH(1,(GMWA!$DA$2:$DA$60=Q$3)*(GMWA!$CZ$2:$CZ$60=Q$4),0),$A7-1966)</f>
        <v>1E-3</v>
      </c>
      <c r="R7" s="46" cm="1">
        <f t="array" ref="R7">INDEX(GMWA!$A$2:$DB$60,MATCH(1,(GMWA!$DA$2:$DA$60=R$3)*(GMWA!$CZ$2:$CZ$60=R$4),0),$A7-1966)</f>
        <v>1E-3</v>
      </c>
    </row>
    <row r="8" spans="1:18" x14ac:dyDescent="0.35">
      <c r="A8" s="46">
        <f>+A7+1</f>
        <v>1974</v>
      </c>
      <c r="B8" s="46" cm="1">
        <f t="array" ref="B8">INDEX(GMWA!$A$2:$DB$60,MATCH(1,(GMWA!$DA$2:$DA$60=B$3)*(GMWA!$CZ$2:$CZ$60=B$4),0),$A8-1966)</f>
        <v>544335</v>
      </c>
      <c r="C8" s="46" cm="1">
        <f t="array" ref="C8">INDEX(GMWA!$A$2:$DB$60,MATCH(1,(GMWA!$DA$2:$DA$60=C$3)*(GMWA!$CZ$2:$CZ$60=C$4),0),$A8-1966)</f>
        <v>595007</v>
      </c>
      <c r="D8" s="46" cm="1">
        <f t="array" ref="D8">INDEX(GMWA!$A$2:$DB$60,MATCH(1,(GMWA!$DA$2:$DA$60=D$3)*(GMWA!$CZ$2:$CZ$60=D$4),0),$A8-1966)</f>
        <v>57233</v>
      </c>
      <c r="E8" s="46" cm="1">
        <f t="array" ref="E8">INDEX(GMWA!$A$2:$DB$60,MATCH(1,(GMWA!$DA$2:$DA$60=E$3)*(GMWA!$CZ$2:$CZ$60=E$4),0),$A8-1966)</f>
        <v>61574</v>
      </c>
      <c r="F8" s="46" cm="1">
        <f t="array" ref="F8">INDEX(GMWA!$A$2:$DB$60,MATCH(1,(GMWA!$DA$2:$DA$60=F$3)*(GMWA!$CZ$2:$CZ$60=F$4),0),$A8-1966)</f>
        <v>46638</v>
      </c>
      <c r="G8" s="46" cm="1">
        <f t="array" ref="G8">INDEX(GMWA!$A$2:$DB$60,MATCH(1,(GMWA!$DA$2:$DA$60=G$3)*(GMWA!$CZ$2:$CZ$60=G$4),0),$A8-1966)</f>
        <v>22307.42</v>
      </c>
      <c r="H8" s="46" cm="1">
        <f t="array" ref="H8">INDEX(GMWA!$A$2:$DB$60,MATCH(1,(GMWA!$DA$2:$DA$60=H$3)*(GMWA!$CZ$2:$CZ$60=H$4),0),$A8-1966)</f>
        <v>522.59</v>
      </c>
      <c r="I8" s="46" cm="1">
        <f t="array" ref="I8">INDEX(GMWA!$A$2:$DB$60,MATCH(1,(GMWA!$DA$2:$DA$60=I$3)*(GMWA!$CZ$2:$CZ$60=I$4),0),$A8-1966)</f>
        <v>7803.6729999999998</v>
      </c>
      <c r="J8" s="46" cm="1">
        <f t="array" ref="J8">INDEX(GMWA!$A$2:$DB$60,MATCH(1,(GMWA!$DA$2:$DA$60=J$3)*(GMWA!$CZ$2:$CZ$60=J$4),0),$A8-1966)</f>
        <v>0</v>
      </c>
      <c r="K8" s="46" cm="1">
        <f t="array" ref="K8">INDEX(GMWA!$A$2:$DB$60,MATCH(1,(GMWA!$DA$2:$DA$60=K$3)*(GMWA!$CZ$2:$CZ$60=K$4),0),$A8-1966)</f>
        <v>10304.1</v>
      </c>
      <c r="L8" s="46" cm="1">
        <f t="array" ref="L8">INDEX(GMWA!$A$2:$DB$60,MATCH(1,(GMWA!$DA$2:$DA$60=L$3)*(GMWA!$CZ$2:$CZ$60=L$4),0),$A8-1966)</f>
        <v>2332.3789999999999</v>
      </c>
      <c r="M8" s="46" cm="1">
        <f t="array" ref="M8">INDEX(GMWA!$A$2:$DB$60,MATCH(1,(GMWA!$DA$2:$DA$60=M$3)*(GMWA!$CZ$2:$CZ$60=M$4),0),$A8-1966)</f>
        <v>10.51064</v>
      </c>
      <c r="N8" s="46" cm="1">
        <f t="array" ref="N8">INDEX(GMWA!$A$2:$DB$60,MATCH(1,(GMWA!$DA$2:$DA$60=N$3)*(GMWA!$CZ$2:$CZ$60=N$4),0),$A8-1966)</f>
        <v>14.383609999999999</v>
      </c>
      <c r="O8" s="46" cm="1">
        <f t="array" ref="O8">INDEX(GMWA!$A$2:$DB$60,MATCH(1,(GMWA!$DA$2:$DA$60=O$3)*(GMWA!$CZ$2:$CZ$60=O$4),0),$A8-1966)</f>
        <v>1E-3</v>
      </c>
      <c r="P8" s="46" cm="1">
        <f t="array" ref="P8">INDEX(GMWA!$A$2:$DB$60,MATCH(1,(GMWA!$DA$2:$DA$60=P$3)*(GMWA!$CZ$2:$CZ$60=P$4),0),$A8-1966)</f>
        <v>1E-3</v>
      </c>
      <c r="Q8" s="46" cm="1">
        <f t="array" ref="Q8">INDEX(GMWA!$A$2:$DB$60,MATCH(1,(GMWA!$DA$2:$DA$60=Q$3)*(GMWA!$CZ$2:$CZ$60=Q$4),0),$A8-1966)</f>
        <v>1E-3</v>
      </c>
      <c r="R8" s="46" cm="1">
        <f t="array" ref="R8">INDEX(GMWA!$A$2:$DB$60,MATCH(1,(GMWA!$DA$2:$DA$60=R$3)*(GMWA!$CZ$2:$CZ$60=R$4),0),$A8-1966)</f>
        <v>1E-3</v>
      </c>
    </row>
    <row r="9" spans="1:18" x14ac:dyDescent="0.35">
      <c r="A9" s="46">
        <f t="shared" ref="A9:A47" si="1">+A8+1</f>
        <v>1975</v>
      </c>
      <c r="B9" s="46" cm="1">
        <f t="array" ref="B9">INDEX(GMWA!$A$2:$DB$60,MATCH(1,(GMWA!$DA$2:$DA$60=B$3)*(GMWA!$CZ$2:$CZ$60=B$4),0),$A9-1966)</f>
        <v>543607</v>
      </c>
      <c r="C9" s="46" cm="1">
        <f t="array" ref="C9">INDEX(GMWA!$A$2:$DB$60,MATCH(1,(GMWA!$DA$2:$DA$60=C$3)*(GMWA!$CZ$2:$CZ$60=C$4),0),$A9-1966)</f>
        <v>599956</v>
      </c>
      <c r="D9" s="46" cm="1">
        <f t="array" ref="D9">INDEX(GMWA!$A$2:$DB$60,MATCH(1,(GMWA!$DA$2:$DA$60=D$3)*(GMWA!$CZ$2:$CZ$60=D$4),0),$A9-1966)</f>
        <v>70474</v>
      </c>
      <c r="E9" s="46" cm="1">
        <f t="array" ref="E9">INDEX(GMWA!$A$2:$DB$60,MATCH(1,(GMWA!$DA$2:$DA$60=E$3)*(GMWA!$CZ$2:$CZ$60=E$4),0),$A9-1966)</f>
        <v>76596</v>
      </c>
      <c r="F9" s="46" cm="1">
        <f t="array" ref="F9">INDEX(GMWA!$A$2:$DB$60,MATCH(1,(GMWA!$DA$2:$DA$60=F$3)*(GMWA!$CZ$2:$CZ$60=F$4),0),$A9-1966)</f>
        <v>60354</v>
      </c>
      <c r="G9" s="46" cm="1">
        <f t="array" ref="G9">INDEX(GMWA!$A$2:$DB$60,MATCH(1,(GMWA!$DA$2:$DA$60=G$3)*(GMWA!$CZ$2:$CZ$60=G$4),0),$A9-1966)</f>
        <v>22183.98</v>
      </c>
      <c r="H9" s="46" cm="1">
        <f t="array" ref="H9">INDEX(GMWA!$A$2:$DB$60,MATCH(1,(GMWA!$DA$2:$DA$60=H$3)*(GMWA!$CZ$2:$CZ$60=H$4),0),$A9-1966)</f>
        <v>680.21559999999999</v>
      </c>
      <c r="I9" s="46" cm="1">
        <f t="array" ref="I9">INDEX(GMWA!$A$2:$DB$60,MATCH(1,(GMWA!$DA$2:$DA$60=I$3)*(GMWA!$CZ$2:$CZ$60=I$4),0),$A9-1966)</f>
        <v>10283.92</v>
      </c>
      <c r="J9" s="46" cm="1">
        <f t="array" ref="J9">INDEX(GMWA!$A$2:$DB$60,MATCH(1,(GMWA!$DA$2:$DA$60=J$3)*(GMWA!$CZ$2:$CZ$60=J$4),0),$A9-1966)</f>
        <v>0</v>
      </c>
      <c r="K9" s="46" cm="1">
        <f t="array" ref="K9">INDEX(GMWA!$A$2:$DB$60,MATCH(1,(GMWA!$DA$2:$DA$60=K$3)*(GMWA!$CZ$2:$CZ$60=K$4),0),$A9-1966)</f>
        <v>14877.54</v>
      </c>
      <c r="L9" s="46" cm="1">
        <f t="array" ref="L9">INDEX(GMWA!$A$2:$DB$60,MATCH(1,(GMWA!$DA$2:$DA$60=L$3)*(GMWA!$CZ$2:$CZ$60=L$4),0),$A9-1966)</f>
        <v>2935.27</v>
      </c>
      <c r="M9" s="46" cm="1">
        <f t="array" ref="M9">INDEX(GMWA!$A$2:$DB$60,MATCH(1,(GMWA!$DA$2:$DA$60=M$3)*(GMWA!$CZ$2:$CZ$60=M$4),0),$A9-1966)</f>
        <v>12.96881</v>
      </c>
      <c r="N9" s="46" cm="1">
        <f t="array" ref="N9">INDEX(GMWA!$A$2:$DB$60,MATCH(1,(GMWA!$DA$2:$DA$60=N$3)*(GMWA!$CZ$2:$CZ$60=N$4),0),$A9-1966)</f>
        <v>17.648759999999999</v>
      </c>
      <c r="O9" s="46" cm="1">
        <f t="array" ref="O9">INDEX(GMWA!$A$2:$DB$60,MATCH(1,(GMWA!$DA$2:$DA$60=O$3)*(GMWA!$CZ$2:$CZ$60=O$4),0),$A9-1966)</f>
        <v>1E-3</v>
      </c>
      <c r="P9" s="46" cm="1">
        <f t="array" ref="P9">INDEX(GMWA!$A$2:$DB$60,MATCH(1,(GMWA!$DA$2:$DA$60=P$3)*(GMWA!$CZ$2:$CZ$60=P$4),0),$A9-1966)</f>
        <v>1E-3</v>
      </c>
      <c r="Q9" s="46" cm="1">
        <f t="array" ref="Q9">INDEX(GMWA!$A$2:$DB$60,MATCH(1,(GMWA!$DA$2:$DA$60=Q$3)*(GMWA!$CZ$2:$CZ$60=Q$4),0),$A9-1966)</f>
        <v>1E-3</v>
      </c>
      <c r="R9" s="46" cm="1">
        <f t="array" ref="R9">INDEX(GMWA!$A$2:$DB$60,MATCH(1,(GMWA!$DA$2:$DA$60=R$3)*(GMWA!$CZ$2:$CZ$60=R$4),0),$A9-1966)</f>
        <v>1E-3</v>
      </c>
    </row>
    <row r="10" spans="1:18" x14ac:dyDescent="0.35">
      <c r="A10" s="46">
        <f t="shared" si="1"/>
        <v>1976</v>
      </c>
      <c r="B10" s="46" cm="1">
        <f t="array" ref="B10">INDEX(GMWA!$A$2:$DB$60,MATCH(1,(GMWA!$DA$2:$DA$60=B$3)*(GMWA!$CZ$2:$CZ$60=B$4),0),$A10-1966)</f>
        <v>546626</v>
      </c>
      <c r="C10" s="46" cm="1">
        <f t="array" ref="C10">INDEX(GMWA!$A$2:$DB$60,MATCH(1,(GMWA!$DA$2:$DA$60=C$3)*(GMWA!$CZ$2:$CZ$60=C$4),0),$A10-1966)</f>
        <v>599113</v>
      </c>
      <c r="D10" s="46" cm="1">
        <f t="array" ref="D10">INDEX(GMWA!$A$2:$DB$60,MATCH(1,(GMWA!$DA$2:$DA$60=D$3)*(GMWA!$CZ$2:$CZ$60=D$4),0),$A10-1966)</f>
        <v>82570</v>
      </c>
      <c r="E10" s="46" cm="1">
        <f t="array" ref="E10">INDEX(GMWA!$A$2:$DB$60,MATCH(1,(GMWA!$DA$2:$DA$60=E$3)*(GMWA!$CZ$2:$CZ$60=E$4),0),$A10-1966)</f>
        <v>89178</v>
      </c>
      <c r="F10" s="46" cm="1">
        <f t="array" ref="F10">INDEX(GMWA!$A$2:$DB$60,MATCH(1,(GMWA!$DA$2:$DA$60=F$3)*(GMWA!$CZ$2:$CZ$60=F$4),0),$A10-1966)</f>
        <v>67771</v>
      </c>
      <c r="G10" s="46" cm="1">
        <f t="array" ref="G10">INDEX(GMWA!$A$2:$DB$60,MATCH(1,(GMWA!$DA$2:$DA$60=G$3)*(GMWA!$CZ$2:$CZ$60=G$4),0),$A10-1966)</f>
        <v>22056.639999999999</v>
      </c>
      <c r="H10" s="46" cm="1">
        <f t="array" ref="H10">INDEX(GMWA!$A$2:$DB$60,MATCH(1,(GMWA!$DA$2:$DA$60=H$3)*(GMWA!$CZ$2:$CZ$60=H$4),0),$A10-1966)</f>
        <v>768.13599999999997</v>
      </c>
      <c r="I10" s="46" cm="1">
        <f t="array" ref="I10">INDEX(GMWA!$A$2:$DB$60,MATCH(1,(GMWA!$DA$2:$DA$60=I$3)*(GMWA!$CZ$2:$CZ$60=I$4),0),$A10-1966)</f>
        <v>12746.07</v>
      </c>
      <c r="J10" s="46" cm="1">
        <f t="array" ref="J10">INDEX(GMWA!$A$2:$DB$60,MATCH(1,(GMWA!$DA$2:$DA$60=J$3)*(GMWA!$CZ$2:$CZ$60=J$4),0),$A10-1966)</f>
        <v>0</v>
      </c>
      <c r="K10" s="46" cm="1">
        <f t="array" ref="K10">INDEX(GMWA!$A$2:$DB$60,MATCH(1,(GMWA!$DA$2:$DA$60=K$3)*(GMWA!$CZ$2:$CZ$60=K$4),0),$A10-1966)</f>
        <v>17231.52</v>
      </c>
      <c r="L10" s="46" cm="1">
        <f t="array" ref="L10">INDEX(GMWA!$A$2:$DB$60,MATCH(1,(GMWA!$DA$2:$DA$60=L$3)*(GMWA!$CZ$2:$CZ$60=L$4),0),$A10-1966)</f>
        <v>3544.4969999999998</v>
      </c>
      <c r="M10" s="46" cm="1">
        <f t="array" ref="M10">INDEX(GMWA!$A$2:$DB$60,MATCH(1,(GMWA!$DA$2:$DA$60=M$3)*(GMWA!$CZ$2:$CZ$60=M$4),0),$A10-1966)</f>
        <v>15.10153</v>
      </c>
      <c r="N10" s="46" cm="1">
        <f t="array" ref="N10">INDEX(GMWA!$A$2:$DB$60,MATCH(1,(GMWA!$DA$2:$DA$60=N$3)*(GMWA!$CZ$2:$CZ$60=N$4),0),$A10-1966)</f>
        <v>20.41208</v>
      </c>
      <c r="O10" s="46" cm="1">
        <f t="array" ref="O10">INDEX(GMWA!$A$2:$DB$60,MATCH(1,(GMWA!$DA$2:$DA$60=O$3)*(GMWA!$CZ$2:$CZ$60=O$4),0),$A10-1966)</f>
        <v>1E-3</v>
      </c>
      <c r="P10" s="46" cm="1">
        <f t="array" ref="P10">INDEX(GMWA!$A$2:$DB$60,MATCH(1,(GMWA!$DA$2:$DA$60=P$3)*(GMWA!$CZ$2:$CZ$60=P$4),0),$A10-1966)</f>
        <v>1E-3</v>
      </c>
      <c r="Q10" s="46" cm="1">
        <f t="array" ref="Q10">INDEX(GMWA!$A$2:$DB$60,MATCH(1,(GMWA!$DA$2:$DA$60=Q$3)*(GMWA!$CZ$2:$CZ$60=Q$4),0),$A10-1966)</f>
        <v>1E-3</v>
      </c>
      <c r="R10" s="46" cm="1">
        <f t="array" ref="R10">INDEX(GMWA!$A$2:$DB$60,MATCH(1,(GMWA!$DA$2:$DA$60=R$3)*(GMWA!$CZ$2:$CZ$60=R$4),0),$A10-1966)</f>
        <v>1E-3</v>
      </c>
    </row>
    <row r="11" spans="1:18" x14ac:dyDescent="0.35">
      <c r="A11" s="46">
        <f t="shared" si="1"/>
        <v>1977</v>
      </c>
      <c r="B11" s="46" cm="1">
        <f t="array" ref="B11">INDEX(GMWA!$A$2:$DB$60,MATCH(1,(GMWA!$DA$2:$DA$60=B$3)*(GMWA!$CZ$2:$CZ$60=B$4),0),$A11-1966)</f>
        <v>545408</v>
      </c>
      <c r="C11" s="46" cm="1">
        <f t="array" ref="C11">INDEX(GMWA!$A$2:$DB$60,MATCH(1,(GMWA!$DA$2:$DA$60=C$3)*(GMWA!$CZ$2:$CZ$60=C$4),0),$A11-1966)</f>
        <v>588180</v>
      </c>
      <c r="D11" s="46" cm="1">
        <f t="array" ref="D11">INDEX(GMWA!$A$2:$DB$60,MATCH(1,(GMWA!$DA$2:$DA$60=D$3)*(GMWA!$CZ$2:$CZ$60=D$4),0),$A11-1966)</f>
        <v>94811</v>
      </c>
      <c r="E11" s="46" cm="1">
        <f t="array" ref="E11">INDEX(GMWA!$A$2:$DB$60,MATCH(1,(GMWA!$DA$2:$DA$60=E$3)*(GMWA!$CZ$2:$CZ$60=E$4),0),$A11-1966)</f>
        <v>100757</v>
      </c>
      <c r="F11" s="46" cm="1">
        <f t="array" ref="F11">INDEX(GMWA!$A$2:$DB$60,MATCH(1,(GMWA!$DA$2:$DA$60=F$3)*(GMWA!$CZ$2:$CZ$60=F$4),0),$A11-1966)</f>
        <v>74977</v>
      </c>
      <c r="G11" s="46" cm="1">
        <f t="array" ref="G11">INDEX(GMWA!$A$2:$DB$60,MATCH(1,(GMWA!$DA$2:$DA$60=G$3)*(GMWA!$CZ$2:$CZ$60=G$4),0),$A11-1966)</f>
        <v>22121.9</v>
      </c>
      <c r="H11" s="46" cm="1">
        <f t="array" ref="H11">INDEX(GMWA!$A$2:$DB$60,MATCH(1,(GMWA!$DA$2:$DA$60=H$3)*(GMWA!$CZ$2:$CZ$60=H$4),0),$A11-1966)</f>
        <v>847.30409999999995</v>
      </c>
      <c r="I11" s="46" cm="1">
        <f t="array" ref="I11">INDEX(GMWA!$A$2:$DB$60,MATCH(1,(GMWA!$DA$2:$DA$60=I$3)*(GMWA!$CZ$2:$CZ$60=I$4),0),$A11-1966)</f>
        <v>15092.6</v>
      </c>
      <c r="J11" s="46" cm="1">
        <f t="array" ref="J11">INDEX(GMWA!$A$2:$DB$60,MATCH(1,(GMWA!$DA$2:$DA$60=J$3)*(GMWA!$CZ$2:$CZ$60=J$4),0),$A11-1966)</f>
        <v>0</v>
      </c>
      <c r="K11" s="46" cm="1">
        <f t="array" ref="K11">INDEX(GMWA!$A$2:$DB$60,MATCH(1,(GMWA!$DA$2:$DA$60=K$3)*(GMWA!$CZ$2:$CZ$60=K$4),0),$A11-1966)</f>
        <v>17950.57</v>
      </c>
      <c r="L11" s="46" cm="1">
        <f t="array" ref="L11">INDEX(GMWA!$A$2:$DB$60,MATCH(1,(GMWA!$DA$2:$DA$60=L$3)*(GMWA!$CZ$2:$CZ$60=L$4),0),$A11-1966)</f>
        <v>4021.7429999999999</v>
      </c>
      <c r="M11" s="46" cm="1">
        <f t="array" ref="M11">INDEX(GMWA!$A$2:$DB$60,MATCH(1,(GMWA!$DA$2:$DA$60=M$3)*(GMWA!$CZ$2:$CZ$60=M$4),0),$A11-1966)</f>
        <v>17.378810000000001</v>
      </c>
      <c r="N11" s="46" cm="1">
        <f t="array" ref="N11">INDEX(GMWA!$A$2:$DB$60,MATCH(1,(GMWA!$DA$2:$DA$60=N$3)*(GMWA!$CZ$2:$CZ$60=N$4),0),$A11-1966)</f>
        <v>23.462160000000001</v>
      </c>
      <c r="O11" s="46" cm="1">
        <f t="array" ref="O11">INDEX(GMWA!$A$2:$DB$60,MATCH(1,(GMWA!$DA$2:$DA$60=O$3)*(GMWA!$CZ$2:$CZ$60=O$4),0),$A11-1966)</f>
        <v>1E-3</v>
      </c>
      <c r="P11" s="46" cm="1">
        <f t="array" ref="P11">INDEX(GMWA!$A$2:$DB$60,MATCH(1,(GMWA!$DA$2:$DA$60=P$3)*(GMWA!$CZ$2:$CZ$60=P$4),0),$A11-1966)</f>
        <v>1E-3</v>
      </c>
      <c r="Q11" s="46" cm="1">
        <f t="array" ref="Q11">INDEX(GMWA!$A$2:$DB$60,MATCH(1,(GMWA!$DA$2:$DA$60=Q$3)*(GMWA!$CZ$2:$CZ$60=Q$4),0),$A11-1966)</f>
        <v>1E-3</v>
      </c>
      <c r="R11" s="46" cm="1">
        <f t="array" ref="R11">INDEX(GMWA!$A$2:$DB$60,MATCH(1,(GMWA!$DA$2:$DA$60=R$3)*(GMWA!$CZ$2:$CZ$60=R$4),0),$A11-1966)</f>
        <v>1E-3</v>
      </c>
    </row>
    <row r="12" spans="1:18" x14ac:dyDescent="0.35">
      <c r="A12" s="46">
        <f t="shared" si="1"/>
        <v>1978</v>
      </c>
      <c r="B12" s="46" cm="1">
        <f t="array" ref="B12">INDEX(GMWA!$A$2:$DB$60,MATCH(1,(GMWA!$DA$2:$DA$60=B$3)*(GMWA!$CZ$2:$CZ$60=B$4),0),$A12-1966)</f>
        <v>574834</v>
      </c>
      <c r="C12" s="46" cm="1">
        <f t="array" ref="C12">INDEX(GMWA!$A$2:$DB$60,MATCH(1,(GMWA!$DA$2:$DA$60=C$3)*(GMWA!$CZ$2:$CZ$60=C$4),0),$A12-1966)</f>
        <v>631121</v>
      </c>
      <c r="D12" s="46" cm="1">
        <f t="array" ref="D12">INDEX(GMWA!$A$2:$DB$60,MATCH(1,(GMWA!$DA$2:$DA$60=D$3)*(GMWA!$CZ$2:$CZ$60=D$4),0),$A12-1966)</f>
        <v>109917</v>
      </c>
      <c r="E12" s="46" cm="1">
        <f t="array" ref="E12">INDEX(GMWA!$A$2:$DB$60,MATCH(1,(GMWA!$DA$2:$DA$60=E$3)*(GMWA!$CZ$2:$CZ$60=E$4),0),$A12-1966)</f>
        <v>118851</v>
      </c>
      <c r="F12" s="46" cm="1">
        <f t="array" ref="F12">INDEX(GMWA!$A$2:$DB$60,MATCH(1,(GMWA!$DA$2:$DA$60=F$3)*(GMWA!$CZ$2:$CZ$60=F$4),0),$A12-1966)</f>
        <v>85729</v>
      </c>
      <c r="G12" s="46" cm="1">
        <f t="array" ref="G12">INDEX(GMWA!$A$2:$DB$60,MATCH(1,(GMWA!$DA$2:$DA$60=G$3)*(GMWA!$CZ$2:$CZ$60=G$4),0),$A12-1966)</f>
        <v>22269.040000000001</v>
      </c>
      <c r="H12" s="46" cm="1">
        <f t="array" ref="H12">INDEX(GMWA!$A$2:$DB$60,MATCH(1,(GMWA!$DA$2:$DA$60=H$3)*(GMWA!$CZ$2:$CZ$60=H$4),0),$A12-1966)</f>
        <v>962.32060000000001</v>
      </c>
      <c r="I12" s="46" cm="1">
        <f t="array" ref="I12">INDEX(GMWA!$A$2:$DB$60,MATCH(1,(GMWA!$DA$2:$DA$60=I$3)*(GMWA!$CZ$2:$CZ$60=I$4),0),$A12-1966)</f>
        <v>17959.91</v>
      </c>
      <c r="J12" s="46" cm="1">
        <f t="array" ref="J12">INDEX(GMWA!$A$2:$DB$60,MATCH(1,(GMWA!$DA$2:$DA$60=J$3)*(GMWA!$CZ$2:$CZ$60=J$4),0),$A12-1966)</f>
        <v>3324.067</v>
      </c>
      <c r="K12" s="46" cm="1">
        <f t="array" ref="K12">INDEX(GMWA!$A$2:$DB$60,MATCH(1,(GMWA!$DA$2:$DA$60=K$3)*(GMWA!$CZ$2:$CZ$60=K$4),0),$A12-1966)</f>
        <v>19247.240000000002</v>
      </c>
      <c r="L12" s="46" cm="1">
        <f t="array" ref="L12">INDEX(GMWA!$A$2:$DB$60,MATCH(1,(GMWA!$DA$2:$DA$60=L$3)*(GMWA!$CZ$2:$CZ$60=L$4),0),$A12-1966)</f>
        <v>4257.1980000000003</v>
      </c>
      <c r="M12" s="46" cm="1">
        <f t="array" ref="M12">INDEX(GMWA!$A$2:$DB$60,MATCH(1,(GMWA!$DA$2:$DA$60=M$3)*(GMWA!$CZ$2:$CZ$60=M$4),0),$A12-1966)</f>
        <v>19.118310000000001</v>
      </c>
      <c r="N12" s="46" cm="1">
        <f t="array" ref="N12">INDEX(GMWA!$A$2:$DB$60,MATCH(1,(GMWA!$DA$2:$DA$60=N$3)*(GMWA!$CZ$2:$CZ$60=N$4),0),$A12-1966)</f>
        <v>25.215299999999999</v>
      </c>
      <c r="O12" s="46" cm="1">
        <f t="array" ref="O12">INDEX(GMWA!$A$2:$DB$60,MATCH(1,(GMWA!$DA$2:$DA$60=O$3)*(GMWA!$CZ$2:$CZ$60=O$4),0),$A12-1966)</f>
        <v>1E-3</v>
      </c>
      <c r="P12" s="46" cm="1">
        <f t="array" ref="P12">INDEX(GMWA!$A$2:$DB$60,MATCH(1,(GMWA!$DA$2:$DA$60=P$3)*(GMWA!$CZ$2:$CZ$60=P$4),0),$A12-1966)</f>
        <v>1E-3</v>
      </c>
      <c r="Q12" s="46" cm="1">
        <f t="array" ref="Q12">INDEX(GMWA!$A$2:$DB$60,MATCH(1,(GMWA!$DA$2:$DA$60=Q$3)*(GMWA!$CZ$2:$CZ$60=Q$4),0),$A12-1966)</f>
        <v>1E-3</v>
      </c>
      <c r="R12" s="46" cm="1">
        <f t="array" ref="R12">INDEX(GMWA!$A$2:$DB$60,MATCH(1,(GMWA!$DA$2:$DA$60=R$3)*(GMWA!$CZ$2:$CZ$60=R$4),0),$A12-1966)</f>
        <v>1E-3</v>
      </c>
    </row>
    <row r="13" spans="1:18" x14ac:dyDescent="0.35">
      <c r="A13" s="46">
        <f t="shared" si="1"/>
        <v>1979</v>
      </c>
      <c r="B13" s="46" cm="1">
        <f t="array" ref="B13">INDEX(GMWA!$A$2:$DB$60,MATCH(1,(GMWA!$DA$2:$DA$60=B$3)*(GMWA!$CZ$2:$CZ$60=B$4),0),$A13-1966)</f>
        <v>602077</v>
      </c>
      <c r="C13" s="46" cm="1">
        <f t="array" ref="C13">INDEX(GMWA!$A$2:$DB$60,MATCH(1,(GMWA!$DA$2:$DA$60=C$3)*(GMWA!$CZ$2:$CZ$60=C$4),0),$A13-1966)</f>
        <v>668934</v>
      </c>
      <c r="D13" s="46" cm="1">
        <f t="array" ref="D13">INDEX(GMWA!$A$2:$DB$60,MATCH(1,(GMWA!$DA$2:$DA$60=D$3)*(GMWA!$CZ$2:$CZ$60=D$4),0),$A13-1966)</f>
        <v>130985</v>
      </c>
      <c r="E13" s="46" cm="1">
        <f t="array" ref="E13">INDEX(GMWA!$A$2:$DB$60,MATCH(1,(GMWA!$DA$2:$DA$60=E$3)*(GMWA!$CZ$2:$CZ$60=E$4),0),$A13-1966)</f>
        <v>143308</v>
      </c>
      <c r="F13" s="46" cm="1">
        <f t="array" ref="F13">INDEX(GMWA!$A$2:$DB$60,MATCH(1,(GMWA!$DA$2:$DA$60=F$3)*(GMWA!$CZ$2:$CZ$60=F$4),0),$A13-1966)</f>
        <v>100478</v>
      </c>
      <c r="G13" s="46" cm="1">
        <f t="array" ref="G13">INDEX(GMWA!$A$2:$DB$60,MATCH(1,(GMWA!$DA$2:$DA$60=G$3)*(GMWA!$CZ$2:$CZ$60=G$4),0),$A13-1966)</f>
        <v>22553.8</v>
      </c>
      <c r="H13" s="46" cm="1">
        <f t="array" ref="H13">INDEX(GMWA!$A$2:$DB$60,MATCH(1,(GMWA!$DA$2:$DA$60=H$3)*(GMWA!$CZ$2:$CZ$60=H$4),0),$A13-1966)</f>
        <v>1113.615</v>
      </c>
      <c r="I13" s="46" cm="1">
        <f t="array" ref="I13">INDEX(GMWA!$A$2:$DB$60,MATCH(1,(GMWA!$DA$2:$DA$60=I$3)*(GMWA!$CZ$2:$CZ$60=I$4),0),$A13-1966)</f>
        <v>21383.19</v>
      </c>
      <c r="J13" s="46" cm="1">
        <f t="array" ref="J13">INDEX(GMWA!$A$2:$DB$60,MATCH(1,(GMWA!$DA$2:$DA$60=J$3)*(GMWA!$CZ$2:$CZ$60=J$4),0),$A13-1966)</f>
        <v>4804.6559999999999</v>
      </c>
      <c r="K13" s="46" cm="1">
        <f t="array" ref="K13">INDEX(GMWA!$A$2:$DB$60,MATCH(1,(GMWA!$DA$2:$DA$60=K$3)*(GMWA!$CZ$2:$CZ$60=K$4),0),$A13-1966)</f>
        <v>21350</v>
      </c>
      <c r="L13" s="46" cm="1">
        <f t="array" ref="L13">INDEX(GMWA!$A$2:$DB$60,MATCH(1,(GMWA!$DA$2:$DA$60=L$3)*(GMWA!$CZ$2:$CZ$60=L$4),0),$A13-1966)</f>
        <v>4895.9880000000003</v>
      </c>
      <c r="M13" s="46" cm="1">
        <f t="array" ref="M13">INDEX(GMWA!$A$2:$DB$60,MATCH(1,(GMWA!$DA$2:$DA$60=M$3)*(GMWA!$CZ$2:$CZ$60=M$4),0),$A13-1966)</f>
        <v>21.755420000000001</v>
      </c>
      <c r="N13" s="46" cm="1">
        <f t="array" ref="N13">INDEX(GMWA!$A$2:$DB$60,MATCH(1,(GMWA!$DA$2:$DA$60=N$3)*(GMWA!$CZ$2:$CZ$60=N$4),0),$A13-1966)</f>
        <v>28.082899999999999</v>
      </c>
      <c r="O13" s="46" cm="1">
        <f t="array" ref="O13">INDEX(GMWA!$A$2:$DB$60,MATCH(1,(GMWA!$DA$2:$DA$60=O$3)*(GMWA!$CZ$2:$CZ$60=O$4),0),$A13-1966)</f>
        <v>1E-3</v>
      </c>
      <c r="P13" s="46" cm="1">
        <f t="array" ref="P13">INDEX(GMWA!$A$2:$DB$60,MATCH(1,(GMWA!$DA$2:$DA$60=P$3)*(GMWA!$CZ$2:$CZ$60=P$4),0),$A13-1966)</f>
        <v>1E-3</v>
      </c>
      <c r="Q13" s="46" cm="1">
        <f t="array" ref="Q13">INDEX(GMWA!$A$2:$DB$60,MATCH(1,(GMWA!$DA$2:$DA$60=Q$3)*(GMWA!$CZ$2:$CZ$60=Q$4),0),$A13-1966)</f>
        <v>1E-3</v>
      </c>
      <c r="R13" s="46" cm="1">
        <f t="array" ref="R13">INDEX(GMWA!$A$2:$DB$60,MATCH(1,(GMWA!$DA$2:$DA$60=R$3)*(GMWA!$CZ$2:$CZ$60=R$4),0),$A13-1966)</f>
        <v>1E-3</v>
      </c>
    </row>
    <row r="14" spans="1:18" x14ac:dyDescent="0.35">
      <c r="A14" s="46">
        <f t="shared" si="1"/>
        <v>1980</v>
      </c>
      <c r="B14" s="46" cm="1">
        <f t="array" ref="B14">INDEX(GMWA!$A$2:$DB$60,MATCH(1,(GMWA!$DA$2:$DA$60=B$3)*(GMWA!$CZ$2:$CZ$60=B$4),0),$A14-1966)</f>
        <v>602808</v>
      </c>
      <c r="C14" s="46" cm="1">
        <f t="array" ref="C14">INDEX(GMWA!$A$2:$DB$60,MATCH(1,(GMWA!$DA$2:$DA$60=C$3)*(GMWA!$CZ$2:$CZ$60=C$4),0),$A14-1966)</f>
        <v>680140</v>
      </c>
      <c r="D14" s="46" cm="1">
        <f t="array" ref="D14">INDEX(GMWA!$A$2:$DB$60,MATCH(1,(GMWA!$DA$2:$DA$60=D$3)*(GMWA!$CZ$2:$CZ$60=D$4),0),$A14-1966)</f>
        <v>153233</v>
      </c>
      <c r="E14" s="46" cm="1">
        <f t="array" ref="E14">INDEX(GMWA!$A$2:$DB$60,MATCH(1,(GMWA!$DA$2:$DA$60=E$3)*(GMWA!$CZ$2:$CZ$60=E$4),0),$A14-1966)</f>
        <v>170398</v>
      </c>
      <c r="F14" s="46" cm="1">
        <f t="array" ref="F14">INDEX(GMWA!$A$2:$DB$60,MATCH(1,(GMWA!$DA$2:$DA$60=F$3)*(GMWA!$CZ$2:$CZ$60=F$4),0),$A14-1966)</f>
        <v>119136</v>
      </c>
      <c r="G14" s="46" cm="1">
        <f t="array" ref="G14">INDEX(GMWA!$A$2:$DB$60,MATCH(1,(GMWA!$DA$2:$DA$60=G$3)*(GMWA!$CZ$2:$CZ$60=G$4),0),$A14-1966)</f>
        <v>22216.92</v>
      </c>
      <c r="H14" s="46" cm="1">
        <f t="array" ref="H14">INDEX(GMWA!$A$2:$DB$60,MATCH(1,(GMWA!$DA$2:$DA$60=H$3)*(GMWA!$CZ$2:$CZ$60=H$4),0),$A14-1966)</f>
        <v>1341.2919999999999</v>
      </c>
      <c r="I14" s="46" cm="1">
        <f t="array" ref="I14">INDEX(GMWA!$A$2:$DB$60,MATCH(1,(GMWA!$DA$2:$DA$60=I$3)*(GMWA!$CZ$2:$CZ$60=I$4),0),$A14-1966)</f>
        <v>26158.69</v>
      </c>
      <c r="J14" s="46" cm="1">
        <f t="array" ref="J14">INDEX(GMWA!$A$2:$DB$60,MATCH(1,(GMWA!$DA$2:$DA$60=J$3)*(GMWA!$CZ$2:$CZ$60=J$4),0),$A14-1966)</f>
        <v>3941.471</v>
      </c>
      <c r="K14" s="46" cm="1">
        <f t="array" ref="K14">INDEX(GMWA!$A$2:$DB$60,MATCH(1,(GMWA!$DA$2:$DA$60=K$3)*(GMWA!$CZ$2:$CZ$60=K$4),0),$A14-1966)</f>
        <v>25402.2</v>
      </c>
      <c r="L14" s="46" cm="1">
        <f t="array" ref="L14">INDEX(GMWA!$A$2:$DB$60,MATCH(1,(GMWA!$DA$2:$DA$60=L$3)*(GMWA!$CZ$2:$CZ$60=L$4),0),$A14-1966)</f>
        <v>6048.98</v>
      </c>
      <c r="M14" s="46" cm="1">
        <f t="array" ref="M14">INDEX(GMWA!$A$2:$DB$60,MATCH(1,(GMWA!$DA$2:$DA$60=M$3)*(GMWA!$CZ$2:$CZ$60=M$4),0),$A14-1966)</f>
        <v>25.429400000000001</v>
      </c>
      <c r="N14" s="46" cm="1">
        <f t="array" ref="N14">INDEX(GMWA!$A$2:$DB$60,MATCH(1,(GMWA!$DA$2:$DA$60=N$3)*(GMWA!$CZ$2:$CZ$60=N$4),0),$A14-1966)</f>
        <v>32.33867</v>
      </c>
      <c r="O14" s="46" cm="1">
        <f t="array" ref="O14">INDEX(GMWA!$A$2:$DB$60,MATCH(1,(GMWA!$DA$2:$DA$60=O$3)*(GMWA!$CZ$2:$CZ$60=O$4),0),$A14-1966)</f>
        <v>1E-3</v>
      </c>
      <c r="P14" s="46" cm="1">
        <f t="array" ref="P14">INDEX(GMWA!$A$2:$DB$60,MATCH(1,(GMWA!$DA$2:$DA$60=P$3)*(GMWA!$CZ$2:$CZ$60=P$4),0),$A14-1966)</f>
        <v>1E-3</v>
      </c>
      <c r="Q14" s="46" cm="1">
        <f t="array" ref="Q14">INDEX(GMWA!$A$2:$DB$60,MATCH(1,(GMWA!$DA$2:$DA$60=Q$3)*(GMWA!$CZ$2:$CZ$60=Q$4),0),$A14-1966)</f>
        <v>1E-3</v>
      </c>
      <c r="R14" s="46" cm="1">
        <f t="array" ref="R14">INDEX(GMWA!$A$2:$DB$60,MATCH(1,(GMWA!$DA$2:$DA$60=R$3)*(GMWA!$CZ$2:$CZ$60=R$4),0),$A14-1966)</f>
        <v>1E-3</v>
      </c>
    </row>
    <row r="15" spans="1:18" x14ac:dyDescent="0.35">
      <c r="A15" s="46">
        <f t="shared" si="1"/>
        <v>1981</v>
      </c>
      <c r="B15" s="46" cm="1">
        <f t="array" ref="B15">INDEX(GMWA!$A$2:$DB$60,MATCH(1,(GMWA!$DA$2:$DA$60=B$3)*(GMWA!$CZ$2:$CZ$60=B$4),0),$A15-1966)</f>
        <v>604520</v>
      </c>
      <c r="C15" s="46" cm="1">
        <f t="array" ref="C15">INDEX(GMWA!$A$2:$DB$60,MATCH(1,(GMWA!$DA$2:$DA$60=C$3)*(GMWA!$CZ$2:$CZ$60=C$4),0),$A15-1966)</f>
        <v>679707</v>
      </c>
      <c r="D15" s="46" cm="1">
        <f t="array" ref="D15">INDEX(GMWA!$A$2:$DB$60,MATCH(1,(GMWA!$DA$2:$DA$60=D$3)*(GMWA!$CZ$2:$CZ$60=D$4),0),$A15-1966)</f>
        <v>172721</v>
      </c>
      <c r="E15" s="46" cm="1">
        <f t="array" ref="E15">INDEX(GMWA!$A$2:$DB$60,MATCH(1,(GMWA!$DA$2:$DA$60=E$3)*(GMWA!$CZ$2:$CZ$60=E$4),0),$A15-1966)</f>
        <v>191360</v>
      </c>
      <c r="F15" s="46" cm="1">
        <f t="array" ref="F15">INDEX(GMWA!$A$2:$DB$60,MATCH(1,(GMWA!$DA$2:$DA$60=F$3)*(GMWA!$CZ$2:$CZ$60=F$4),0),$A15-1966)</f>
        <v>127752</v>
      </c>
      <c r="G15" s="46" cm="1">
        <f t="array" ref="G15">INDEX(GMWA!$A$2:$DB$60,MATCH(1,(GMWA!$DA$2:$DA$60=G$3)*(GMWA!$CZ$2:$CZ$60=G$4),0),$A15-1966)</f>
        <v>21309.78</v>
      </c>
      <c r="H15" s="46" cm="1">
        <f t="array" ref="H15">INDEX(GMWA!$A$2:$DB$60,MATCH(1,(GMWA!$DA$2:$DA$60=H$3)*(GMWA!$CZ$2:$CZ$60=H$4),0),$A15-1966)</f>
        <v>1499.1110000000001</v>
      </c>
      <c r="I15" s="46" cm="1">
        <f t="array" ref="I15">INDEX(GMWA!$A$2:$DB$60,MATCH(1,(GMWA!$DA$2:$DA$60=I$3)*(GMWA!$CZ$2:$CZ$60=I$4),0),$A15-1966)</f>
        <v>32390.98</v>
      </c>
      <c r="J15" s="46" cm="1">
        <f t="array" ref="J15">INDEX(GMWA!$A$2:$DB$60,MATCH(1,(GMWA!$DA$2:$DA$60=J$3)*(GMWA!$CZ$2:$CZ$60=J$4),0),$A15-1966)</f>
        <v>4009.9169999999999</v>
      </c>
      <c r="K15" s="46" cm="1">
        <f t="array" ref="K15">INDEX(GMWA!$A$2:$DB$60,MATCH(1,(GMWA!$DA$2:$DA$60=K$3)*(GMWA!$CZ$2:$CZ$60=K$4),0),$A15-1966)</f>
        <v>28632.5</v>
      </c>
      <c r="L15" s="46" cm="1">
        <f t="array" ref="L15">INDEX(GMWA!$A$2:$DB$60,MATCH(1,(GMWA!$DA$2:$DA$60=L$3)*(GMWA!$CZ$2:$CZ$60=L$4),0),$A15-1966)</f>
        <v>7498.6660000000002</v>
      </c>
      <c r="M15" s="46" cm="1">
        <f t="array" ref="M15">INDEX(GMWA!$A$2:$DB$60,MATCH(1,(GMWA!$DA$2:$DA$60=M$3)*(GMWA!$CZ$2:$CZ$60=M$4),0),$A15-1966)</f>
        <v>28.572310000000002</v>
      </c>
      <c r="N15" s="46" cm="1">
        <f t="array" ref="N15">INDEX(GMWA!$A$2:$DB$60,MATCH(1,(GMWA!$DA$2:$DA$60=N$3)*(GMWA!$CZ$2:$CZ$60=N$4),0),$A15-1966)</f>
        <v>36.157789999999999</v>
      </c>
      <c r="O15" s="46" cm="1">
        <f t="array" ref="O15">INDEX(GMWA!$A$2:$DB$60,MATCH(1,(GMWA!$DA$2:$DA$60=O$3)*(GMWA!$CZ$2:$CZ$60=O$4),0),$A15-1966)</f>
        <v>1E-3</v>
      </c>
      <c r="P15" s="46" cm="1">
        <f t="array" ref="P15">INDEX(GMWA!$A$2:$DB$60,MATCH(1,(GMWA!$DA$2:$DA$60=P$3)*(GMWA!$CZ$2:$CZ$60=P$4),0),$A15-1966)</f>
        <v>1E-3</v>
      </c>
      <c r="Q15" s="46" cm="1">
        <f t="array" ref="Q15">INDEX(GMWA!$A$2:$DB$60,MATCH(1,(GMWA!$DA$2:$DA$60=Q$3)*(GMWA!$CZ$2:$CZ$60=Q$4),0),$A15-1966)</f>
        <v>1E-3</v>
      </c>
      <c r="R15" s="46" cm="1">
        <f t="array" ref="R15">INDEX(GMWA!$A$2:$DB$60,MATCH(1,(GMWA!$DA$2:$DA$60=R$3)*(GMWA!$CZ$2:$CZ$60=R$4),0),$A15-1966)</f>
        <v>1E-3</v>
      </c>
    </row>
    <row r="16" spans="1:18" x14ac:dyDescent="0.35">
      <c r="A16" s="46">
        <f t="shared" si="1"/>
        <v>1982</v>
      </c>
      <c r="B16" s="46" cm="1">
        <f t="array" ref="B16">INDEX(GMWA!$A$2:$DB$60,MATCH(1,(GMWA!$DA$2:$DA$60=B$3)*(GMWA!$CZ$2:$CZ$60=B$4),0),$A16-1966)</f>
        <v>611514</v>
      </c>
      <c r="C16" s="46" cm="1">
        <f t="array" ref="C16">INDEX(GMWA!$A$2:$DB$60,MATCH(1,(GMWA!$DA$2:$DA$60=C$3)*(GMWA!$CZ$2:$CZ$60=C$4),0),$A16-1966)</f>
        <v>682582</v>
      </c>
      <c r="D16" s="46" cm="1">
        <f t="array" ref="D16">INDEX(GMWA!$A$2:$DB$60,MATCH(1,(GMWA!$DA$2:$DA$60=D$3)*(GMWA!$CZ$2:$CZ$60=D$4),0),$A16-1966)</f>
        <v>190883</v>
      </c>
      <c r="E16" s="46" cm="1">
        <f t="array" ref="E16">INDEX(GMWA!$A$2:$DB$60,MATCH(1,(GMWA!$DA$2:$DA$60=E$3)*(GMWA!$CZ$2:$CZ$60=E$4),0),$A16-1966)</f>
        <v>209806</v>
      </c>
      <c r="F16" s="46" cm="1">
        <f t="array" ref="F16">INDEX(GMWA!$A$2:$DB$60,MATCH(1,(GMWA!$DA$2:$DA$60=F$3)*(GMWA!$CZ$2:$CZ$60=F$4),0),$A16-1966)</f>
        <v>135864</v>
      </c>
      <c r="G16" s="46" cm="1">
        <f t="array" ref="G16">INDEX(GMWA!$A$2:$DB$60,MATCH(1,(GMWA!$DA$2:$DA$60=G$3)*(GMWA!$CZ$2:$CZ$60=G$4),0),$A16-1966)</f>
        <v>20835.84</v>
      </c>
      <c r="H16" s="46" cm="1">
        <f t="array" ref="H16">INDEX(GMWA!$A$2:$DB$60,MATCH(1,(GMWA!$DA$2:$DA$60=H$3)*(GMWA!$CZ$2:$CZ$60=H$4),0),$A16-1966)</f>
        <v>1630.3979999999999</v>
      </c>
      <c r="I16" s="46" cm="1">
        <f t="array" ref="I16">INDEX(GMWA!$A$2:$DB$60,MATCH(1,(GMWA!$DA$2:$DA$60=I$3)*(GMWA!$CZ$2:$CZ$60=I$4),0),$A16-1966)</f>
        <v>37756.629999999997</v>
      </c>
      <c r="J16" s="46" cm="1">
        <f t="array" ref="J16">INDEX(GMWA!$A$2:$DB$60,MATCH(1,(GMWA!$DA$2:$DA$60=J$3)*(GMWA!$CZ$2:$CZ$60=J$4),0),$A16-1966)</f>
        <v>4771.875</v>
      </c>
      <c r="K16" s="46" cm="1">
        <f t="array" ref="K16">INDEX(GMWA!$A$2:$DB$60,MATCH(1,(GMWA!$DA$2:$DA$60=K$3)*(GMWA!$CZ$2:$CZ$60=K$4),0),$A16-1966)</f>
        <v>31023.07</v>
      </c>
      <c r="L16" s="46" cm="1">
        <f t="array" ref="L16">INDEX(GMWA!$A$2:$DB$60,MATCH(1,(GMWA!$DA$2:$DA$60=L$3)*(GMWA!$CZ$2:$CZ$60=L$4),0),$A16-1966)</f>
        <v>9239.7659999999996</v>
      </c>
      <c r="M16" s="46" cm="1">
        <f t="array" ref="M16">INDEX(GMWA!$A$2:$DB$60,MATCH(1,(GMWA!$DA$2:$DA$60=M$3)*(GMWA!$CZ$2:$CZ$60=M$4),0),$A16-1966)</f>
        <v>31.209060000000001</v>
      </c>
      <c r="N16" s="46" cm="1">
        <f t="array" ref="N16">INDEX(GMWA!$A$2:$DB$60,MATCH(1,(GMWA!$DA$2:$DA$60=N$3)*(GMWA!$CZ$2:$CZ$60=N$4),0),$A16-1966)</f>
        <v>39.090560000000004</v>
      </c>
      <c r="O16" s="46" cm="1">
        <f t="array" ref="O16">INDEX(GMWA!$A$2:$DB$60,MATCH(1,(GMWA!$DA$2:$DA$60=O$3)*(GMWA!$CZ$2:$CZ$60=O$4),0),$A16-1966)</f>
        <v>1E-3</v>
      </c>
      <c r="P16" s="46" cm="1">
        <f t="array" ref="P16">INDEX(GMWA!$A$2:$DB$60,MATCH(1,(GMWA!$DA$2:$DA$60=P$3)*(GMWA!$CZ$2:$CZ$60=P$4),0),$A16-1966)</f>
        <v>1E-3</v>
      </c>
      <c r="Q16" s="46" cm="1">
        <f t="array" ref="Q16">INDEX(GMWA!$A$2:$DB$60,MATCH(1,(GMWA!$DA$2:$DA$60=Q$3)*(GMWA!$CZ$2:$CZ$60=Q$4),0),$A16-1966)</f>
        <v>1E-3</v>
      </c>
      <c r="R16" s="46" cm="1">
        <f t="array" ref="R16">INDEX(GMWA!$A$2:$DB$60,MATCH(1,(GMWA!$DA$2:$DA$60=R$3)*(GMWA!$CZ$2:$CZ$60=R$4),0),$A16-1966)</f>
        <v>1E-3</v>
      </c>
    </row>
    <row r="17" spans="1:18" x14ac:dyDescent="0.35">
      <c r="A17" s="46">
        <f t="shared" si="1"/>
        <v>1983</v>
      </c>
      <c r="B17" s="46" cm="1">
        <f t="array" ref="B17">INDEX(GMWA!$A$2:$DB$60,MATCH(1,(GMWA!$DA$2:$DA$60=B$3)*(GMWA!$CZ$2:$CZ$60=B$4),0),$A17-1966)</f>
        <v>638005</v>
      </c>
      <c r="C17" s="46" cm="1">
        <f t="array" ref="C17">INDEX(GMWA!$A$2:$DB$60,MATCH(1,(GMWA!$DA$2:$DA$60=C$3)*(GMWA!$CZ$2:$CZ$60=C$4),0),$A17-1966)</f>
        <v>697850</v>
      </c>
      <c r="D17" s="46" cm="1">
        <f t="array" ref="D17">INDEX(GMWA!$A$2:$DB$60,MATCH(1,(GMWA!$DA$2:$DA$60=D$3)*(GMWA!$CZ$2:$CZ$60=D$4),0),$A17-1966)</f>
        <v>210722</v>
      </c>
      <c r="E17" s="46" cm="1">
        <f t="array" ref="E17">INDEX(GMWA!$A$2:$DB$60,MATCH(1,(GMWA!$DA$2:$DA$60=E$3)*(GMWA!$CZ$2:$CZ$60=E$4),0),$A17-1966)</f>
        <v>226997</v>
      </c>
      <c r="F17" s="46" cm="1">
        <f t="array" ref="F17">INDEX(GMWA!$A$2:$DB$60,MATCH(1,(GMWA!$DA$2:$DA$60=F$3)*(GMWA!$CZ$2:$CZ$60=F$4),0),$A17-1966)</f>
        <v>145677</v>
      </c>
      <c r="G17" s="46" cm="1">
        <f t="array" ref="G17">INDEX(GMWA!$A$2:$DB$60,MATCH(1,(GMWA!$DA$2:$DA$60=G$3)*(GMWA!$CZ$2:$CZ$60=G$4),0),$A17-1966)</f>
        <v>20624.75</v>
      </c>
      <c r="H17" s="46" cm="1">
        <f t="array" ref="H17">INDEX(GMWA!$A$2:$DB$60,MATCH(1,(GMWA!$DA$2:$DA$60=H$3)*(GMWA!$CZ$2:$CZ$60=H$4),0),$A17-1966)</f>
        <v>1765.7249999999999</v>
      </c>
      <c r="I17" s="46" cm="1">
        <f t="array" ref="I17">INDEX(GMWA!$A$2:$DB$60,MATCH(1,(GMWA!$DA$2:$DA$60=I$3)*(GMWA!$CZ$2:$CZ$60=I$4),0),$A17-1966)</f>
        <v>39197.33</v>
      </c>
      <c r="J17" s="46" cm="1">
        <f t="array" ref="J17">INDEX(GMWA!$A$2:$DB$60,MATCH(1,(GMWA!$DA$2:$DA$60=J$3)*(GMWA!$CZ$2:$CZ$60=J$4),0),$A17-1966)</f>
        <v>5948.7960000000003</v>
      </c>
      <c r="K17" s="46" cm="1">
        <f t="array" ref="K17">INDEX(GMWA!$A$2:$DB$60,MATCH(1,(GMWA!$DA$2:$DA$60=K$3)*(GMWA!$CZ$2:$CZ$60=K$4),0),$A17-1966)</f>
        <v>32817.24</v>
      </c>
      <c r="L17" s="46" cm="1">
        <f t="array" ref="L17">INDEX(GMWA!$A$2:$DB$60,MATCH(1,(GMWA!$DA$2:$DA$60=L$3)*(GMWA!$CZ$2:$CZ$60=L$4),0),$A17-1966)</f>
        <v>10816.16</v>
      </c>
      <c r="M17" s="46" cm="1">
        <f t="array" ref="M17">INDEX(GMWA!$A$2:$DB$60,MATCH(1,(GMWA!$DA$2:$DA$60=M$3)*(GMWA!$CZ$2:$CZ$60=M$4),0),$A17-1966)</f>
        <v>33.024369999999998</v>
      </c>
      <c r="N17" s="46" cm="1">
        <f t="array" ref="N17">INDEX(GMWA!$A$2:$DB$60,MATCH(1,(GMWA!$DA$2:$DA$60=N$3)*(GMWA!$CZ$2:$CZ$60=N$4),0),$A17-1966)</f>
        <v>41.019669999999998</v>
      </c>
      <c r="O17" s="46" cm="1">
        <f t="array" ref="O17">INDEX(GMWA!$A$2:$DB$60,MATCH(1,(GMWA!$DA$2:$DA$60=O$3)*(GMWA!$CZ$2:$CZ$60=O$4),0),$A17-1966)</f>
        <v>1E-3</v>
      </c>
      <c r="P17" s="46" cm="1">
        <f t="array" ref="P17">INDEX(GMWA!$A$2:$DB$60,MATCH(1,(GMWA!$DA$2:$DA$60=P$3)*(GMWA!$CZ$2:$CZ$60=P$4),0),$A17-1966)</f>
        <v>1E-3</v>
      </c>
      <c r="Q17" s="46" cm="1">
        <f t="array" ref="Q17">INDEX(GMWA!$A$2:$DB$60,MATCH(1,(GMWA!$DA$2:$DA$60=Q$3)*(GMWA!$CZ$2:$CZ$60=Q$4),0),$A17-1966)</f>
        <v>1E-3</v>
      </c>
      <c r="R17" s="46" cm="1">
        <f t="array" ref="R17">INDEX(GMWA!$A$2:$DB$60,MATCH(1,(GMWA!$DA$2:$DA$60=R$3)*(GMWA!$CZ$2:$CZ$60=R$4),0),$A17-1966)</f>
        <v>1E-3</v>
      </c>
    </row>
    <row r="18" spans="1:18" x14ac:dyDescent="0.35">
      <c r="A18" s="46">
        <f t="shared" si="1"/>
        <v>1984</v>
      </c>
      <c r="B18" s="46" cm="1">
        <f t="array" ref="B18">INDEX(GMWA!$A$2:$DB$60,MATCH(1,(GMWA!$DA$2:$DA$60=B$3)*(GMWA!$CZ$2:$CZ$60=B$4),0),$A18-1966)</f>
        <v>653525</v>
      </c>
      <c r="C18" s="46" cm="1">
        <f t="array" ref="C18">INDEX(GMWA!$A$2:$DB$60,MATCH(1,(GMWA!$DA$2:$DA$60=C$3)*(GMWA!$CZ$2:$CZ$60=C$4),0),$A18-1966)</f>
        <v>723364</v>
      </c>
      <c r="D18" s="46" cm="1">
        <f t="array" ref="D18">INDEX(GMWA!$A$2:$DB$60,MATCH(1,(GMWA!$DA$2:$DA$60=D$3)*(GMWA!$CZ$2:$CZ$60=D$4),0),$A18-1966)</f>
        <v>227316</v>
      </c>
      <c r="E18" s="46" cm="1">
        <f t="array" ref="E18">INDEX(GMWA!$A$2:$DB$60,MATCH(1,(GMWA!$DA$2:$DA$60=E$3)*(GMWA!$CZ$2:$CZ$60=E$4),0),$A18-1966)</f>
        <v>247814</v>
      </c>
      <c r="F18" s="46" cm="1">
        <f t="array" ref="F18">INDEX(GMWA!$A$2:$DB$60,MATCH(1,(GMWA!$DA$2:$DA$60=F$3)*(GMWA!$CZ$2:$CZ$60=F$4),0),$A18-1966)</f>
        <v>156083</v>
      </c>
      <c r="G18" s="46" cm="1">
        <f t="array" ref="G18">INDEX(GMWA!$A$2:$DB$60,MATCH(1,(GMWA!$DA$2:$DA$60=G$3)*(GMWA!$CZ$2:$CZ$60=G$4),0),$A18-1966)</f>
        <v>20831.11</v>
      </c>
      <c r="H18" s="46" cm="1">
        <f t="array" ref="H18">INDEX(GMWA!$A$2:$DB$60,MATCH(1,(GMWA!$DA$2:$DA$60=H$3)*(GMWA!$CZ$2:$CZ$60=H$4),0),$A18-1966)</f>
        <v>1873.078</v>
      </c>
      <c r="I18" s="46" cm="1">
        <f t="array" ref="I18">INDEX(GMWA!$A$2:$DB$60,MATCH(1,(GMWA!$DA$2:$DA$60=I$3)*(GMWA!$CZ$2:$CZ$60=I$4),0),$A18-1966)</f>
        <v>41956.05</v>
      </c>
      <c r="J18" s="46" cm="1">
        <f t="array" ref="J18">INDEX(GMWA!$A$2:$DB$60,MATCH(1,(GMWA!$DA$2:$DA$60=J$3)*(GMWA!$CZ$2:$CZ$60=J$4),0),$A18-1966)</f>
        <v>6943.8890000000001</v>
      </c>
      <c r="K18" s="46" cm="1">
        <f t="array" ref="K18">INDEX(GMWA!$A$2:$DB$60,MATCH(1,(GMWA!$DA$2:$DA$60=K$3)*(GMWA!$CZ$2:$CZ$60=K$4),0),$A18-1966)</f>
        <v>34356.22</v>
      </c>
      <c r="L18" s="46" cm="1">
        <f t="array" ref="L18">INDEX(GMWA!$A$2:$DB$60,MATCH(1,(GMWA!$DA$2:$DA$60=L$3)*(GMWA!$CZ$2:$CZ$60=L$4),0),$A18-1966)</f>
        <v>11670.34</v>
      </c>
      <c r="M18" s="46" cm="1">
        <f t="array" ref="M18">INDEX(GMWA!$A$2:$DB$60,MATCH(1,(GMWA!$DA$2:$DA$60=M$3)*(GMWA!$CZ$2:$CZ$60=M$4),0),$A18-1966)</f>
        <v>34.779710000000001</v>
      </c>
      <c r="N18" s="46" cm="1">
        <f t="array" ref="N18">INDEX(GMWA!$A$2:$DB$60,MATCH(1,(GMWA!$DA$2:$DA$60=N$3)*(GMWA!$CZ$2:$CZ$60=N$4),0),$A18-1966)</f>
        <v>42.766300000000001</v>
      </c>
      <c r="O18" s="46" cm="1">
        <f t="array" ref="O18">INDEX(GMWA!$A$2:$DB$60,MATCH(1,(GMWA!$DA$2:$DA$60=O$3)*(GMWA!$CZ$2:$CZ$60=O$4),0),$A18-1966)</f>
        <v>1E-3</v>
      </c>
      <c r="P18" s="46" cm="1">
        <f t="array" ref="P18">INDEX(GMWA!$A$2:$DB$60,MATCH(1,(GMWA!$DA$2:$DA$60=P$3)*(GMWA!$CZ$2:$CZ$60=P$4),0),$A18-1966)</f>
        <v>1E-3</v>
      </c>
      <c r="Q18" s="46" cm="1">
        <f t="array" ref="Q18">INDEX(GMWA!$A$2:$DB$60,MATCH(1,(GMWA!$DA$2:$DA$60=Q$3)*(GMWA!$CZ$2:$CZ$60=Q$4),0),$A18-1966)</f>
        <v>1E-3</v>
      </c>
      <c r="R18" s="46" cm="1">
        <f t="array" ref="R18">INDEX(GMWA!$A$2:$DB$60,MATCH(1,(GMWA!$DA$2:$DA$60=R$3)*(GMWA!$CZ$2:$CZ$60=R$4),0),$A18-1966)</f>
        <v>1E-3</v>
      </c>
    </row>
    <row r="19" spans="1:18" x14ac:dyDescent="0.35">
      <c r="A19" s="46">
        <f t="shared" si="1"/>
        <v>1985</v>
      </c>
      <c r="B19" s="46" cm="1">
        <f t="array" ref="B19">INDEX(GMWA!$A$2:$DB$60,MATCH(1,(GMWA!$DA$2:$DA$60=B$3)*(GMWA!$CZ$2:$CZ$60=B$4),0),$A19-1966)</f>
        <v>686449</v>
      </c>
      <c r="C19" s="46" cm="1">
        <f t="array" ref="C19">INDEX(GMWA!$A$2:$DB$60,MATCH(1,(GMWA!$DA$2:$DA$60=C$3)*(GMWA!$CZ$2:$CZ$60=C$4),0),$A19-1966)</f>
        <v>753842</v>
      </c>
      <c r="D19" s="46" cm="1">
        <f t="array" ref="D19">INDEX(GMWA!$A$2:$DB$60,MATCH(1,(GMWA!$DA$2:$DA$60=D$3)*(GMWA!$CZ$2:$CZ$60=D$4),0),$A19-1966)</f>
        <v>248664</v>
      </c>
      <c r="E19" s="46" cm="1">
        <f t="array" ref="E19">INDEX(GMWA!$A$2:$DB$60,MATCH(1,(GMWA!$DA$2:$DA$60=E$3)*(GMWA!$CZ$2:$CZ$60=E$4),0),$A19-1966)</f>
        <v>269034</v>
      </c>
      <c r="F19" s="46" cm="1">
        <f t="array" ref="F19">INDEX(GMWA!$A$2:$DB$60,MATCH(1,(GMWA!$DA$2:$DA$60=F$3)*(GMWA!$CZ$2:$CZ$60=F$4),0),$A19-1966)</f>
        <v>170692</v>
      </c>
      <c r="G19" s="46" cm="1">
        <f t="array" ref="G19">INDEX(GMWA!$A$2:$DB$60,MATCH(1,(GMWA!$DA$2:$DA$60=G$3)*(GMWA!$CZ$2:$CZ$60=G$4),0),$A19-1966)</f>
        <v>20982.34</v>
      </c>
      <c r="H19" s="46" cm="1">
        <f t="array" ref="H19">INDEX(GMWA!$A$2:$DB$60,MATCH(1,(GMWA!$DA$2:$DA$60=H$3)*(GMWA!$CZ$2:$CZ$60=H$4),0),$A19-1966)</f>
        <v>2033.7349999999999</v>
      </c>
      <c r="I19" s="46" cm="1">
        <f t="array" ref="I19">INDEX(GMWA!$A$2:$DB$60,MATCH(1,(GMWA!$DA$2:$DA$60=I$3)*(GMWA!$CZ$2:$CZ$60=I$4),0),$A19-1966)</f>
        <v>45767.41</v>
      </c>
      <c r="J19" s="46" cm="1">
        <f t="array" ref="J19">INDEX(GMWA!$A$2:$DB$60,MATCH(1,(GMWA!$DA$2:$DA$60=J$3)*(GMWA!$CZ$2:$CZ$60=J$4),0),$A19-1966)</f>
        <v>7967.9319999999998</v>
      </c>
      <c r="K19" s="46" cm="1">
        <f t="array" ref="K19">INDEX(GMWA!$A$2:$DB$60,MATCH(1,(GMWA!$DA$2:$DA$60=K$3)*(GMWA!$CZ$2:$CZ$60=K$4),0),$A19-1966)</f>
        <v>37361.01</v>
      </c>
      <c r="L19" s="46" cm="1">
        <f t="array" ref="L19">INDEX(GMWA!$A$2:$DB$60,MATCH(1,(GMWA!$DA$2:$DA$60=L$3)*(GMWA!$CZ$2:$CZ$60=L$4),0),$A19-1966)</f>
        <v>12633.28</v>
      </c>
      <c r="M19" s="46" cm="1">
        <f t="array" ref="M19">INDEX(GMWA!$A$2:$DB$60,MATCH(1,(GMWA!$DA$2:$DA$60=M$3)*(GMWA!$CZ$2:$CZ$60=M$4),0),$A19-1966)</f>
        <v>36.217959999999998</v>
      </c>
      <c r="N19" s="46" cm="1">
        <f t="array" ref="N19">INDEX(GMWA!$A$2:$DB$60,MATCH(1,(GMWA!$DA$2:$DA$60=N$3)*(GMWA!$CZ$2:$CZ$60=N$4),0),$A19-1966)</f>
        <v>44.871380000000002</v>
      </c>
      <c r="O19" s="46" cm="1">
        <f t="array" ref="O19">INDEX(GMWA!$A$2:$DB$60,MATCH(1,(GMWA!$DA$2:$DA$60=O$3)*(GMWA!$CZ$2:$CZ$60=O$4),0),$A19-1966)</f>
        <v>1E-3</v>
      </c>
      <c r="P19" s="46" cm="1">
        <f t="array" ref="P19">INDEX(GMWA!$A$2:$DB$60,MATCH(1,(GMWA!$DA$2:$DA$60=P$3)*(GMWA!$CZ$2:$CZ$60=P$4),0),$A19-1966)</f>
        <v>1E-3</v>
      </c>
      <c r="Q19" s="46" cm="1">
        <f t="array" ref="Q19">INDEX(GMWA!$A$2:$DB$60,MATCH(1,(GMWA!$DA$2:$DA$60=Q$3)*(GMWA!$CZ$2:$CZ$60=Q$4),0),$A19-1966)</f>
        <v>1E-3</v>
      </c>
      <c r="R19" s="46" cm="1">
        <f t="array" ref="R19">INDEX(GMWA!$A$2:$DB$60,MATCH(1,(GMWA!$DA$2:$DA$60=R$3)*(GMWA!$CZ$2:$CZ$60=R$4),0),$A19-1966)</f>
        <v>1E-3</v>
      </c>
    </row>
    <row r="20" spans="1:18" x14ac:dyDescent="0.35">
      <c r="A20" s="46">
        <f t="shared" si="1"/>
        <v>1986</v>
      </c>
      <c r="B20" s="46" cm="1">
        <f t="array" ref="B20">INDEX(GMWA!$A$2:$DB$60,MATCH(1,(GMWA!$DA$2:$DA$60=B$3)*(GMWA!$CZ$2:$CZ$60=B$4),0),$A20-1966)</f>
        <v>727133</v>
      </c>
      <c r="C20" s="46" cm="1">
        <f t="array" ref="C20">INDEX(GMWA!$A$2:$DB$60,MATCH(1,(GMWA!$DA$2:$DA$60=C$3)*(GMWA!$CZ$2:$CZ$60=C$4),0),$A20-1966)</f>
        <v>784877</v>
      </c>
      <c r="D20" s="46" cm="1">
        <f t="array" ref="D20">INDEX(GMWA!$A$2:$DB$60,MATCH(1,(GMWA!$DA$2:$DA$60=D$3)*(GMWA!$CZ$2:$CZ$60=D$4),0),$A20-1966)</f>
        <v>274186</v>
      </c>
      <c r="E20" s="46" cm="1">
        <f t="array" ref="E20">INDEX(GMWA!$A$2:$DB$60,MATCH(1,(GMWA!$DA$2:$DA$60=E$3)*(GMWA!$CZ$2:$CZ$60=E$4),0),$A20-1966)</f>
        <v>292095</v>
      </c>
      <c r="F20" s="46" cm="1">
        <f t="array" ref="F20">INDEX(GMWA!$A$2:$DB$60,MATCH(1,(GMWA!$DA$2:$DA$60=F$3)*(GMWA!$CZ$2:$CZ$60=F$4),0),$A20-1966)</f>
        <v>184154</v>
      </c>
      <c r="G20" s="46" cm="1">
        <f t="array" ref="G20">INDEX(GMWA!$A$2:$DB$60,MATCH(1,(GMWA!$DA$2:$DA$60=G$3)*(GMWA!$CZ$2:$CZ$60=G$4),0),$A20-1966)</f>
        <v>20962.990000000002</v>
      </c>
      <c r="H20" s="46" cm="1">
        <f t="array" ref="H20">INDEX(GMWA!$A$2:$DB$60,MATCH(1,(GMWA!$DA$2:$DA$60=H$3)*(GMWA!$CZ$2:$CZ$60=H$4),0),$A20-1966)</f>
        <v>2196.1669999999999</v>
      </c>
      <c r="I20" s="46" cm="1">
        <f t="array" ref="I20">INDEX(GMWA!$A$2:$DB$60,MATCH(1,(GMWA!$DA$2:$DA$60=I$3)*(GMWA!$CZ$2:$CZ$60=I$4),0),$A20-1966)</f>
        <v>49662.21</v>
      </c>
      <c r="J20" s="46" cm="1">
        <f t="array" ref="J20">INDEX(GMWA!$A$2:$DB$60,MATCH(1,(GMWA!$DA$2:$DA$60=J$3)*(GMWA!$CZ$2:$CZ$60=J$4),0),$A20-1966)</f>
        <v>9440.8080000000009</v>
      </c>
      <c r="K20" s="46" cm="1">
        <f t="array" ref="K20">INDEX(GMWA!$A$2:$DB$60,MATCH(1,(GMWA!$DA$2:$DA$60=K$3)*(GMWA!$CZ$2:$CZ$60=K$4),0),$A20-1966)</f>
        <v>40358.879999999997</v>
      </c>
      <c r="L20" s="46" cm="1">
        <f t="array" ref="L20">INDEX(GMWA!$A$2:$DB$60,MATCH(1,(GMWA!$DA$2:$DA$60=L$3)*(GMWA!$CZ$2:$CZ$60=L$4),0),$A20-1966)</f>
        <v>13330.14</v>
      </c>
      <c r="M20" s="46" cm="1">
        <f t="array" ref="M20">INDEX(GMWA!$A$2:$DB$60,MATCH(1,(GMWA!$DA$2:$DA$60=M$3)*(GMWA!$CZ$2:$CZ$60=M$4),0),$A20-1966)</f>
        <v>37.703310000000002</v>
      </c>
      <c r="N20" s="46" cm="1">
        <f t="array" ref="N20">INDEX(GMWA!$A$2:$DB$60,MATCH(1,(GMWA!$DA$2:$DA$60=N$3)*(GMWA!$CZ$2:$CZ$60=N$4),0),$A20-1966)</f>
        <v>46.36383</v>
      </c>
      <c r="O20" s="46" cm="1">
        <f t="array" ref="O20">INDEX(GMWA!$A$2:$DB$60,MATCH(1,(GMWA!$DA$2:$DA$60=O$3)*(GMWA!$CZ$2:$CZ$60=O$4),0),$A20-1966)</f>
        <v>1E-3</v>
      </c>
      <c r="P20" s="46" cm="1">
        <f t="array" ref="P20">INDEX(GMWA!$A$2:$DB$60,MATCH(1,(GMWA!$DA$2:$DA$60=P$3)*(GMWA!$CZ$2:$CZ$60=P$4),0),$A20-1966)</f>
        <v>1E-3</v>
      </c>
      <c r="Q20" s="46" cm="1">
        <f t="array" ref="Q20">INDEX(GMWA!$A$2:$DB$60,MATCH(1,(GMWA!$DA$2:$DA$60=Q$3)*(GMWA!$CZ$2:$CZ$60=Q$4),0),$A20-1966)</f>
        <v>1E-3</v>
      </c>
      <c r="R20" s="46" cm="1">
        <f t="array" ref="R20">INDEX(GMWA!$A$2:$DB$60,MATCH(1,(GMWA!$DA$2:$DA$60=R$3)*(GMWA!$CZ$2:$CZ$60=R$4),0),$A20-1966)</f>
        <v>1E-3</v>
      </c>
    </row>
    <row r="21" spans="1:18" x14ac:dyDescent="0.35">
      <c r="A21" s="46">
        <f t="shared" si="1"/>
        <v>1987</v>
      </c>
      <c r="B21" s="46" cm="1">
        <f t="array" ref="B21">INDEX(GMWA!$A$2:$DB$60,MATCH(1,(GMWA!$DA$2:$DA$60=B$3)*(GMWA!$CZ$2:$CZ$60=B$4),0),$A21-1966)</f>
        <v>765263</v>
      </c>
      <c r="C21" s="46" cm="1">
        <f t="array" ref="C21">INDEX(GMWA!$A$2:$DB$60,MATCH(1,(GMWA!$DA$2:$DA$60=C$3)*(GMWA!$CZ$2:$CZ$60=C$4),0),$A21-1966)</f>
        <v>794123</v>
      </c>
      <c r="D21" s="46" cm="1">
        <f t="array" ref="D21">INDEX(GMWA!$A$2:$DB$60,MATCH(1,(GMWA!$DA$2:$DA$60=D$3)*(GMWA!$CZ$2:$CZ$60=D$4),0),$A21-1966)</f>
        <v>301124</v>
      </c>
      <c r="E21" s="46" cm="1">
        <f t="array" ref="E21">INDEX(GMWA!$A$2:$DB$60,MATCH(1,(GMWA!$DA$2:$DA$60=E$3)*(GMWA!$CZ$2:$CZ$60=E$4),0),$A21-1966)</f>
        <v>308544</v>
      </c>
      <c r="F21" s="46" cm="1">
        <f t="array" ref="F21">INDEX(GMWA!$A$2:$DB$60,MATCH(1,(GMWA!$DA$2:$DA$60=F$3)*(GMWA!$CZ$2:$CZ$60=F$4),0),$A21-1966)</f>
        <v>199368</v>
      </c>
      <c r="G21" s="46" cm="1">
        <f t="array" ref="G21">INDEX(GMWA!$A$2:$DB$60,MATCH(1,(GMWA!$DA$2:$DA$60=G$3)*(GMWA!$CZ$2:$CZ$60=G$4),0),$A21-1966)</f>
        <v>21258.47</v>
      </c>
      <c r="H21" s="46" cm="1">
        <f t="array" ref="H21">INDEX(GMWA!$A$2:$DB$60,MATCH(1,(GMWA!$DA$2:$DA$60=H$3)*(GMWA!$CZ$2:$CZ$60=H$4),0),$A21-1966)</f>
        <v>2344.0970000000002</v>
      </c>
      <c r="I21" s="46" cm="1">
        <f t="array" ref="I21">INDEX(GMWA!$A$2:$DB$60,MATCH(1,(GMWA!$DA$2:$DA$60=I$3)*(GMWA!$CZ$2:$CZ$60=I$4),0),$A21-1966)</f>
        <v>51541</v>
      </c>
      <c r="J21" s="46" cm="1">
        <f t="array" ref="J21">INDEX(GMWA!$A$2:$DB$60,MATCH(1,(GMWA!$DA$2:$DA$60=J$3)*(GMWA!$CZ$2:$CZ$60=J$4),0),$A21-1966)</f>
        <v>11208</v>
      </c>
      <c r="K21" s="46" cm="1">
        <f t="array" ref="K21">INDEX(GMWA!$A$2:$DB$60,MATCH(1,(GMWA!$DA$2:$DA$60=K$3)*(GMWA!$CZ$2:$CZ$60=K$4),0),$A21-1966)</f>
        <v>43468</v>
      </c>
      <c r="L21" s="46" cm="1">
        <f t="array" ref="L21">INDEX(GMWA!$A$2:$DB$60,MATCH(1,(GMWA!$DA$2:$DA$60=L$3)*(GMWA!$CZ$2:$CZ$60=L$4),0),$A21-1966)</f>
        <v>14539</v>
      </c>
      <c r="M21" s="46" cm="1">
        <f t="array" ref="M21">INDEX(GMWA!$A$2:$DB$60,MATCH(1,(GMWA!$DA$2:$DA$60=M$3)*(GMWA!$CZ$2:$CZ$60=M$4),0),$A21-1966)</f>
        <v>39.338819999999998</v>
      </c>
      <c r="N21" s="46" cm="1">
        <f t="array" ref="N21">INDEX(GMWA!$A$2:$DB$60,MATCH(1,(GMWA!$DA$2:$DA$60=N$3)*(GMWA!$CZ$2:$CZ$60=N$4),0),$A21-1966)</f>
        <v>47.849769999999999</v>
      </c>
      <c r="O21" s="46" cm="1">
        <f t="array" ref="O21">INDEX(GMWA!$A$2:$DB$60,MATCH(1,(GMWA!$DA$2:$DA$60=O$3)*(GMWA!$CZ$2:$CZ$60=O$4),0),$A21-1966)</f>
        <v>1E-3</v>
      </c>
      <c r="P21" s="46" cm="1">
        <f t="array" ref="P21">INDEX(GMWA!$A$2:$DB$60,MATCH(1,(GMWA!$DA$2:$DA$60=P$3)*(GMWA!$CZ$2:$CZ$60=P$4),0),$A21-1966)</f>
        <v>1E-3</v>
      </c>
      <c r="Q21" s="46" cm="1">
        <f t="array" ref="Q21">INDEX(GMWA!$A$2:$DB$60,MATCH(1,(GMWA!$DA$2:$DA$60=Q$3)*(GMWA!$CZ$2:$CZ$60=Q$4),0),$A21-1966)</f>
        <v>1E-3</v>
      </c>
      <c r="R21" s="46" cm="1">
        <f t="array" ref="R21">INDEX(GMWA!$A$2:$DB$60,MATCH(1,(GMWA!$DA$2:$DA$60=R$3)*(GMWA!$CZ$2:$CZ$60=R$4),0),$A21-1966)</f>
        <v>1E-3</v>
      </c>
    </row>
    <row r="22" spans="1:18" x14ac:dyDescent="0.35">
      <c r="A22" s="46">
        <f t="shared" si="1"/>
        <v>1988</v>
      </c>
      <c r="B22" s="46" cm="1">
        <f t="array" ref="B22">INDEX(GMWA!$A$2:$DB$60,MATCH(1,(GMWA!$DA$2:$DA$60=B$3)*(GMWA!$CZ$2:$CZ$60=B$4),0),$A22-1966)</f>
        <v>819586</v>
      </c>
      <c r="C22" s="46" cm="1">
        <f t="array" ref="C22">INDEX(GMWA!$A$2:$DB$60,MATCH(1,(GMWA!$DA$2:$DA$60=C$3)*(GMWA!$CZ$2:$CZ$60=C$4),0),$A22-1966)</f>
        <v>837202</v>
      </c>
      <c r="D22" s="46" cm="1">
        <f t="array" ref="D22">INDEX(GMWA!$A$2:$DB$60,MATCH(1,(GMWA!$DA$2:$DA$60=D$3)*(GMWA!$CZ$2:$CZ$60=D$4),0),$A22-1966)</f>
        <v>338673</v>
      </c>
      <c r="E22" s="46" cm="1">
        <f t="array" ref="E22">INDEX(GMWA!$A$2:$DB$60,MATCH(1,(GMWA!$DA$2:$DA$60=E$3)*(GMWA!$CZ$2:$CZ$60=E$4),0),$A22-1966)</f>
        <v>341617</v>
      </c>
      <c r="F22" s="46" cm="1">
        <f t="array" ref="F22">INDEX(GMWA!$A$2:$DB$60,MATCH(1,(GMWA!$DA$2:$DA$60=F$3)*(GMWA!$CZ$2:$CZ$60=F$4),0),$A22-1966)</f>
        <v>223044</v>
      </c>
      <c r="G22" s="46" cm="1">
        <f t="array" ref="G22">INDEX(GMWA!$A$2:$DB$60,MATCH(1,(GMWA!$DA$2:$DA$60=G$3)*(GMWA!$CZ$2:$CZ$60=G$4),0),$A22-1966)</f>
        <v>21913.11</v>
      </c>
      <c r="H22" s="46" cm="1">
        <f t="array" ref="H22">INDEX(GMWA!$A$2:$DB$60,MATCH(1,(GMWA!$DA$2:$DA$60=H$3)*(GMWA!$CZ$2:$CZ$60=H$4),0),$A22-1966)</f>
        <v>2544.2060000000001</v>
      </c>
      <c r="I22" s="46" cm="1">
        <f t="array" ref="I22">INDEX(GMWA!$A$2:$DB$60,MATCH(1,(GMWA!$DA$2:$DA$60=I$3)*(GMWA!$CZ$2:$CZ$60=I$4),0),$A22-1966)</f>
        <v>53010</v>
      </c>
      <c r="J22" s="46" cm="1">
        <f t="array" ref="J22">INDEX(GMWA!$A$2:$DB$60,MATCH(1,(GMWA!$DA$2:$DA$60=J$3)*(GMWA!$CZ$2:$CZ$60=J$4),0),$A22-1966)</f>
        <v>16658</v>
      </c>
      <c r="K22" s="46" cm="1">
        <f t="array" ref="K22">INDEX(GMWA!$A$2:$DB$60,MATCH(1,(GMWA!$DA$2:$DA$60=K$3)*(GMWA!$CZ$2:$CZ$60=K$4),0),$A22-1966)</f>
        <v>48427</v>
      </c>
      <c r="L22" s="46" cm="1">
        <f t="array" ref="L22">INDEX(GMWA!$A$2:$DB$60,MATCH(1,(GMWA!$DA$2:$DA$60=L$3)*(GMWA!$CZ$2:$CZ$60=L$4),0),$A22-1966)</f>
        <v>15941</v>
      </c>
      <c r="M22" s="46" cm="1">
        <f t="array" ref="M22">INDEX(GMWA!$A$2:$DB$60,MATCH(1,(GMWA!$DA$2:$DA$60=M$3)*(GMWA!$CZ$2:$CZ$60=M$4),0),$A22-1966)</f>
        <v>41.312820000000002</v>
      </c>
      <c r="N22" s="46" cm="1">
        <f t="array" ref="N22">INDEX(GMWA!$A$2:$DB$60,MATCH(1,(GMWA!$DA$2:$DA$60=N$3)*(GMWA!$CZ$2:$CZ$60=N$4),0),$A22-1966)</f>
        <v>49.608339999999998</v>
      </c>
      <c r="O22" s="46" cm="1">
        <f t="array" ref="O22">INDEX(GMWA!$A$2:$DB$60,MATCH(1,(GMWA!$DA$2:$DA$60=O$3)*(GMWA!$CZ$2:$CZ$60=O$4),0),$A22-1966)</f>
        <v>41.158329999999999</v>
      </c>
      <c r="P22" s="46" cm="1">
        <f t="array" ref="P22">INDEX(GMWA!$A$2:$DB$60,MATCH(1,(GMWA!$DA$2:$DA$60=P$3)*(GMWA!$CZ$2:$CZ$60=P$4),0),$A22-1966)</f>
        <v>30.233329999999999</v>
      </c>
      <c r="Q22" s="46" cm="1">
        <f t="array" ref="Q22">INDEX(GMWA!$A$2:$DB$60,MATCH(1,(GMWA!$DA$2:$DA$60=Q$3)*(GMWA!$CZ$2:$CZ$60=Q$4),0),$A22-1966)</f>
        <v>30.675000000000001</v>
      </c>
      <c r="R22" s="46" cm="1">
        <f t="array" ref="R22">INDEX(GMWA!$A$2:$DB$60,MATCH(1,(GMWA!$DA$2:$DA$60=R$3)*(GMWA!$CZ$2:$CZ$60=R$4),0),$A22-1966)</f>
        <v>54.45</v>
      </c>
    </row>
    <row r="23" spans="1:18" x14ac:dyDescent="0.35">
      <c r="A23" s="46">
        <f t="shared" si="1"/>
        <v>1989</v>
      </c>
      <c r="B23" s="46" cm="1">
        <f t="array" ref="B23">INDEX(GMWA!$A$2:$DB$60,MATCH(1,(GMWA!$DA$2:$DA$60=B$3)*(GMWA!$CZ$2:$CZ$60=B$4),0),$A23-1966)</f>
        <v>850651</v>
      </c>
      <c r="C23" s="46" cm="1">
        <f t="array" ref="C23">INDEX(GMWA!$A$2:$DB$60,MATCH(1,(GMWA!$DA$2:$DA$60=C$3)*(GMWA!$CZ$2:$CZ$60=C$4),0),$A23-1966)</f>
        <v>880745</v>
      </c>
      <c r="D23" s="46" cm="1">
        <f t="array" ref="D23">INDEX(GMWA!$A$2:$DB$60,MATCH(1,(GMWA!$DA$2:$DA$60=D$3)*(GMWA!$CZ$2:$CZ$60=D$4),0),$A23-1966)</f>
        <v>370725</v>
      </c>
      <c r="E23" s="46" cm="1">
        <f t="array" ref="E23">INDEX(GMWA!$A$2:$DB$60,MATCH(1,(GMWA!$DA$2:$DA$60=E$3)*(GMWA!$CZ$2:$CZ$60=E$4),0),$A23-1966)</f>
        <v>379456</v>
      </c>
      <c r="F23" s="46" cm="1">
        <f t="array" ref="F23">INDEX(GMWA!$A$2:$DB$60,MATCH(1,(GMWA!$DA$2:$DA$60=F$3)*(GMWA!$CZ$2:$CZ$60=F$4),0),$A23-1966)</f>
        <v>248844</v>
      </c>
      <c r="G23" s="46" cm="1">
        <f t="array" ref="G23">INDEX(GMWA!$A$2:$DB$60,MATCH(1,(GMWA!$DA$2:$DA$60=G$3)*(GMWA!$CZ$2:$CZ$60=G$4),0),$A23-1966)</f>
        <v>22346.09</v>
      </c>
      <c r="H23" s="46" cm="1">
        <f t="array" ref="H23">INDEX(GMWA!$A$2:$DB$60,MATCH(1,(GMWA!$DA$2:$DA$60=H$3)*(GMWA!$CZ$2:$CZ$60=H$4),0),$A23-1966)</f>
        <v>2783.6970000000001</v>
      </c>
      <c r="I23" s="46" cm="1">
        <f t="array" ref="I23">INDEX(GMWA!$A$2:$DB$60,MATCH(1,(GMWA!$DA$2:$DA$60=I$3)*(GMWA!$CZ$2:$CZ$60=I$4),0),$A23-1966)</f>
        <v>55060</v>
      </c>
      <c r="J23" s="46" cm="1">
        <f t="array" ref="J23">INDEX(GMWA!$A$2:$DB$60,MATCH(1,(GMWA!$DA$2:$DA$60=J$3)*(GMWA!$CZ$2:$CZ$60=J$4),0),$A23-1966)</f>
        <v>22590</v>
      </c>
      <c r="K23" s="46" cm="1">
        <f t="array" ref="K23">INDEX(GMWA!$A$2:$DB$60,MATCH(1,(GMWA!$DA$2:$DA$60=K$3)*(GMWA!$CZ$2:$CZ$60=K$4),0),$A23-1966)</f>
        <v>52575</v>
      </c>
      <c r="L23" s="46" cm="1">
        <f t="array" ref="L23">INDEX(GMWA!$A$2:$DB$60,MATCH(1,(GMWA!$DA$2:$DA$60=L$3)*(GMWA!$CZ$2:$CZ$60=L$4),0),$A23-1966)</f>
        <v>16732</v>
      </c>
      <c r="M23" s="46" cm="1">
        <f t="array" ref="M23">INDEX(GMWA!$A$2:$DB$60,MATCH(1,(GMWA!$DA$2:$DA$60=M$3)*(GMWA!$CZ$2:$CZ$60=M$4),0),$A23-1966)</f>
        <v>43.578150000000001</v>
      </c>
      <c r="N23" s="46" cm="1">
        <f t="array" ref="N23">INDEX(GMWA!$A$2:$DB$60,MATCH(1,(GMWA!$DA$2:$DA$60=N$3)*(GMWA!$CZ$2:$CZ$60=N$4),0),$A23-1966)</f>
        <v>52.216670000000001</v>
      </c>
      <c r="O23" s="46" cm="1">
        <f t="array" ref="O23">INDEX(GMWA!$A$2:$DB$60,MATCH(1,(GMWA!$DA$2:$DA$60=O$3)*(GMWA!$CZ$2:$CZ$60=O$4),0),$A23-1966)</f>
        <v>43.241669999999999</v>
      </c>
      <c r="P23" s="46" cm="1">
        <f t="array" ref="P23">INDEX(GMWA!$A$2:$DB$60,MATCH(1,(GMWA!$DA$2:$DA$60=P$3)*(GMWA!$CZ$2:$CZ$60=P$4),0),$A23-1966)</f>
        <v>31.883330000000001</v>
      </c>
      <c r="Q23" s="46" cm="1">
        <f t="array" ref="Q23">INDEX(GMWA!$A$2:$DB$60,MATCH(1,(GMWA!$DA$2:$DA$60=Q$3)*(GMWA!$CZ$2:$CZ$60=Q$4),0),$A23-1966)</f>
        <v>32.891669999999998</v>
      </c>
      <c r="R23" s="46" cm="1">
        <f t="array" ref="R23">INDEX(GMWA!$A$2:$DB$60,MATCH(1,(GMWA!$DA$2:$DA$60=R$3)*(GMWA!$CZ$2:$CZ$60=R$4),0),$A23-1966)</f>
        <v>57.25</v>
      </c>
    </row>
    <row r="24" spans="1:18" x14ac:dyDescent="0.35">
      <c r="A24" s="46">
        <f t="shared" si="1"/>
        <v>1990</v>
      </c>
      <c r="B24" s="46" cm="1">
        <f t="array" ref="B24">INDEX(GMWA!$A$2:$DB$60,MATCH(1,(GMWA!$DA$2:$DA$60=B$3)*(GMWA!$CZ$2:$CZ$60=B$4),0),$A24-1966)</f>
        <v>862650</v>
      </c>
      <c r="C24" s="46" cm="1">
        <f t="array" ref="C24">INDEX(GMWA!$A$2:$DB$60,MATCH(1,(GMWA!$DA$2:$DA$60=C$3)*(GMWA!$CZ$2:$CZ$60=C$4),0),$A24-1966)</f>
        <v>915377</v>
      </c>
      <c r="D24" s="46" cm="1">
        <f t="array" ref="D24">INDEX(GMWA!$A$2:$DB$60,MATCH(1,(GMWA!$DA$2:$DA$60=D$3)*(GMWA!$CZ$2:$CZ$60=D$4),0),$A24-1966)</f>
        <v>404573</v>
      </c>
      <c r="E24" s="46" cm="1">
        <f t="array" ref="E24">INDEX(GMWA!$A$2:$DB$60,MATCH(1,(GMWA!$DA$2:$DA$60=E$3)*(GMWA!$CZ$2:$CZ$60=E$4),0),$A24-1966)</f>
        <v>424197</v>
      </c>
      <c r="F24" s="46" cm="1">
        <f t="array" ref="F24">INDEX(GMWA!$A$2:$DB$60,MATCH(1,(GMWA!$DA$2:$DA$60=F$3)*(GMWA!$CZ$2:$CZ$60=F$4),0),$A24-1966)</f>
        <v>275236</v>
      </c>
      <c r="G24" s="46" cm="1">
        <f t="array" ref="G24">INDEX(GMWA!$A$2:$DB$60,MATCH(1,(GMWA!$DA$2:$DA$60=G$3)*(GMWA!$CZ$2:$CZ$60=G$4),0),$A24-1966)</f>
        <v>22485.16</v>
      </c>
      <c r="H24" s="46" cm="1">
        <f t="array" ref="H24">INDEX(GMWA!$A$2:$DB$60,MATCH(1,(GMWA!$DA$2:$DA$60=H$3)*(GMWA!$CZ$2:$CZ$60=H$4),0),$A24-1966)</f>
        <v>3060.33</v>
      </c>
      <c r="I24" s="46" cm="1">
        <f t="array" ref="I24">INDEX(GMWA!$A$2:$DB$60,MATCH(1,(GMWA!$DA$2:$DA$60=I$3)*(GMWA!$CZ$2:$CZ$60=I$4),0),$A24-1966)</f>
        <v>60163</v>
      </c>
      <c r="J24" s="46" cm="1">
        <f t="array" ref="J24">INDEX(GMWA!$A$2:$DB$60,MATCH(1,(GMWA!$DA$2:$DA$60=J$3)*(GMWA!$CZ$2:$CZ$60=J$4),0),$A24-1966)</f>
        <v>28306</v>
      </c>
      <c r="K24" s="46" cm="1">
        <f t="array" ref="K24">INDEX(GMWA!$A$2:$DB$60,MATCH(1,(GMWA!$DA$2:$DA$60=K$3)*(GMWA!$CZ$2:$CZ$60=K$4),0),$A24-1966)</f>
        <v>59428</v>
      </c>
      <c r="L24" s="46" cm="1">
        <f t="array" ref="L24">INDEX(GMWA!$A$2:$DB$60,MATCH(1,(GMWA!$DA$2:$DA$60=L$3)*(GMWA!$CZ$2:$CZ$60=L$4),0),$A24-1966)</f>
        <v>16087</v>
      </c>
      <c r="M24" s="46" cm="1">
        <f t="array" ref="M24">INDEX(GMWA!$A$2:$DB$60,MATCH(1,(GMWA!$DA$2:$DA$60=M$3)*(GMWA!$CZ$2:$CZ$60=M$4),0),$A24-1966)</f>
        <v>46.900959999999998</v>
      </c>
      <c r="N24" s="46" cm="1">
        <f t="array" ref="N24">INDEX(GMWA!$A$2:$DB$60,MATCH(1,(GMWA!$DA$2:$DA$60=N$3)*(GMWA!$CZ$2:$CZ$60=N$4),0),$A24-1966)</f>
        <v>55.85</v>
      </c>
      <c r="O24" s="46" cm="1">
        <f t="array" ref="O24">INDEX(GMWA!$A$2:$DB$60,MATCH(1,(GMWA!$DA$2:$DA$60=O$3)*(GMWA!$CZ$2:$CZ$60=O$4),0),$A24-1966)</f>
        <v>46.641669999999998</v>
      </c>
      <c r="P24" s="46" cm="1">
        <f t="array" ref="P24">INDEX(GMWA!$A$2:$DB$60,MATCH(1,(GMWA!$DA$2:$DA$60=P$3)*(GMWA!$CZ$2:$CZ$60=P$4),0),$A24-1966)</f>
        <v>34.5</v>
      </c>
      <c r="Q24" s="46" cm="1">
        <f t="array" ref="Q24">INDEX(GMWA!$A$2:$DB$60,MATCH(1,(GMWA!$DA$2:$DA$60=Q$3)*(GMWA!$CZ$2:$CZ$60=Q$4),0),$A24-1966)</f>
        <v>36.691670000000002</v>
      </c>
      <c r="R24" s="46" cm="1">
        <f t="array" ref="R24">INDEX(GMWA!$A$2:$DB$60,MATCH(1,(GMWA!$DA$2:$DA$60=R$3)*(GMWA!$CZ$2:$CZ$60=R$4),0),$A24-1966)</f>
        <v>60.849989999999998</v>
      </c>
    </row>
    <row r="25" spans="1:18" x14ac:dyDescent="0.35">
      <c r="A25" s="46">
        <f t="shared" si="1"/>
        <v>1991</v>
      </c>
      <c r="B25" s="46" cm="1">
        <f t="array" ref="B25">INDEX(GMWA!$A$2:$DB$60,MATCH(1,(GMWA!$DA$2:$DA$60=B$3)*(GMWA!$CZ$2:$CZ$60=B$4),0),$A25-1966)</f>
        <v>855170</v>
      </c>
      <c r="C25" s="46" cm="1">
        <f t="array" ref="C25">INDEX(GMWA!$A$2:$DB$60,MATCH(1,(GMWA!$DA$2:$DA$60=C$3)*(GMWA!$CZ$2:$CZ$60=C$4),0),$A25-1966)</f>
        <v>934194</v>
      </c>
      <c r="D25" s="46" cm="1">
        <f t="array" ref="D25">INDEX(GMWA!$A$2:$DB$60,MATCH(1,(GMWA!$DA$2:$DA$60=D$3)*(GMWA!$CZ$2:$CZ$60=D$4),0),$A25-1966)</f>
        <v>431907</v>
      </c>
      <c r="E25" s="46" cm="1">
        <f t="array" ref="E25">INDEX(GMWA!$A$2:$DB$60,MATCH(1,(GMWA!$DA$2:$DA$60=E$3)*(GMWA!$CZ$2:$CZ$60=E$4),0),$A25-1966)</f>
        <v>465139</v>
      </c>
      <c r="F25" s="46" cm="1">
        <f t="array" ref="F25">INDEX(GMWA!$A$2:$DB$60,MATCH(1,(GMWA!$DA$2:$DA$60=F$3)*(GMWA!$CZ$2:$CZ$60=F$4),0),$A25-1966)</f>
        <v>291176</v>
      </c>
      <c r="G25" s="46" cm="1">
        <f t="array" ref="G25">INDEX(GMWA!$A$2:$DB$60,MATCH(1,(GMWA!$DA$2:$DA$60=G$3)*(GMWA!$CZ$2:$CZ$60=G$4),0),$A25-1966)</f>
        <v>21891.05</v>
      </c>
      <c r="H25" s="46" cm="1">
        <f t="array" ref="H25">INDEX(GMWA!$A$2:$DB$60,MATCH(1,(GMWA!$DA$2:$DA$60=H$3)*(GMWA!$CZ$2:$CZ$60=H$4),0),$A25-1966)</f>
        <v>3325.8649999999998</v>
      </c>
      <c r="I25" s="46" cm="1">
        <f t="array" ref="I25">INDEX(GMWA!$A$2:$DB$60,MATCH(1,(GMWA!$DA$2:$DA$60=I$3)*(GMWA!$CZ$2:$CZ$60=I$4),0),$A25-1966)</f>
        <v>74094</v>
      </c>
      <c r="J25" s="46" cm="1">
        <f t="array" ref="J25">INDEX(GMWA!$A$2:$DB$60,MATCH(1,(GMWA!$DA$2:$DA$60=J$3)*(GMWA!$CZ$2:$CZ$60=J$4),0),$A25-1966)</f>
        <v>25937</v>
      </c>
      <c r="K25" s="46" cm="1">
        <f t="array" ref="K25">INDEX(GMWA!$A$2:$DB$60,MATCH(1,(GMWA!$DA$2:$DA$60=K$3)*(GMWA!$CZ$2:$CZ$60=K$4),0),$A25-1966)</f>
        <v>64309</v>
      </c>
      <c r="L25" s="46" cm="1">
        <f t="array" ref="L25">INDEX(GMWA!$A$2:$DB$60,MATCH(1,(GMWA!$DA$2:$DA$60=L$3)*(GMWA!$CZ$2:$CZ$60=L$4),0),$A25-1966)</f>
        <v>16809</v>
      </c>
      <c r="M25" s="46" cm="1">
        <f t="array" ref="M25">INDEX(GMWA!$A$2:$DB$60,MATCH(1,(GMWA!$DA$2:$DA$60=M$3)*(GMWA!$CZ$2:$CZ$60=M$4),0),$A25-1966)</f>
        <v>50.50714</v>
      </c>
      <c r="N25" s="46" cm="1">
        <f t="array" ref="N25">INDEX(GMWA!$A$2:$DB$60,MATCH(1,(GMWA!$DA$2:$DA$60=N$3)*(GMWA!$CZ$2:$CZ$60=N$4),0),$A25-1966)</f>
        <v>60.058329999999998</v>
      </c>
      <c r="O25" s="46" cm="1">
        <f t="array" ref="O25">INDEX(GMWA!$A$2:$DB$60,MATCH(1,(GMWA!$DA$2:$DA$60=O$3)*(GMWA!$CZ$2:$CZ$60=O$4),0),$A25-1966)</f>
        <v>50.05</v>
      </c>
      <c r="P25" s="46" cm="1">
        <f t="array" ref="P25">INDEX(GMWA!$A$2:$DB$60,MATCH(1,(GMWA!$DA$2:$DA$60=P$3)*(GMWA!$CZ$2:$CZ$60=P$4),0),$A25-1966)</f>
        <v>37.241669999999999</v>
      </c>
      <c r="Q25" s="46" cm="1">
        <f t="array" ref="Q25">INDEX(GMWA!$A$2:$DB$60,MATCH(1,(GMWA!$DA$2:$DA$60=Q$3)*(GMWA!$CZ$2:$CZ$60=Q$4),0),$A25-1966)</f>
        <v>39.424999999999997</v>
      </c>
      <c r="R25" s="46" cm="1">
        <f t="array" ref="R25">INDEX(GMWA!$A$2:$DB$60,MATCH(1,(GMWA!$DA$2:$DA$60=R$3)*(GMWA!$CZ$2:$CZ$60=R$4),0),$A25-1966)</f>
        <v>65.474999999999994</v>
      </c>
    </row>
    <row r="26" spans="1:18" x14ac:dyDescent="0.35">
      <c r="A26" s="46">
        <f t="shared" si="1"/>
        <v>1992</v>
      </c>
      <c r="B26" s="46" cm="1">
        <f t="array" ref="B26">INDEX(GMWA!$A$2:$DB$60,MATCH(1,(GMWA!$DA$2:$DA$60=B$3)*(GMWA!$CZ$2:$CZ$60=B$4),0),$A26-1966)</f>
        <v>863546</v>
      </c>
      <c r="C26" s="46" cm="1">
        <f t="array" ref="C26">INDEX(GMWA!$A$2:$DB$60,MATCH(1,(GMWA!$DA$2:$DA$60=C$3)*(GMWA!$CZ$2:$CZ$60=C$4),0),$A26-1966)</f>
        <v>959658</v>
      </c>
      <c r="D26" s="46" cm="1">
        <f t="array" ref="D26">INDEX(GMWA!$A$2:$DB$60,MATCH(1,(GMWA!$DA$2:$DA$60=D$3)*(GMWA!$CZ$2:$CZ$60=D$4),0),$A26-1966)</f>
        <v>454101</v>
      </c>
      <c r="E26" s="46" cm="1">
        <f t="array" ref="E26">INDEX(GMWA!$A$2:$DB$60,MATCH(1,(GMWA!$DA$2:$DA$60=E$3)*(GMWA!$CZ$2:$CZ$60=E$4),0),$A26-1966)</f>
        <v>496994</v>
      </c>
      <c r="F26" s="46" cm="1">
        <f t="array" ref="F26">INDEX(GMWA!$A$2:$DB$60,MATCH(1,(GMWA!$DA$2:$DA$60=F$3)*(GMWA!$CZ$2:$CZ$60=F$4),0),$A26-1966)</f>
        <v>300545</v>
      </c>
      <c r="G26" s="46" cm="1">
        <f t="array" ref="G26">INDEX(GMWA!$A$2:$DB$60,MATCH(1,(GMWA!$DA$2:$DA$60=G$3)*(GMWA!$CZ$2:$CZ$60=G$4),0),$A26-1966)</f>
        <v>21562.48</v>
      </c>
      <c r="H26" s="46" cm="1">
        <f t="array" ref="H26">INDEX(GMWA!$A$2:$DB$60,MATCH(1,(GMWA!$DA$2:$DA$60=H$3)*(GMWA!$CZ$2:$CZ$60=H$4),0),$A26-1966)</f>
        <v>3484.6619999999998</v>
      </c>
      <c r="I26" s="46" cm="1">
        <f t="array" ref="I26">INDEX(GMWA!$A$2:$DB$60,MATCH(1,(GMWA!$DA$2:$DA$60=I$3)*(GMWA!$CZ$2:$CZ$60=I$4),0),$A26-1966)</f>
        <v>83953</v>
      </c>
      <c r="J26" s="46" cm="1">
        <f t="array" ref="J26">INDEX(GMWA!$A$2:$DB$60,MATCH(1,(GMWA!$DA$2:$DA$60=J$3)*(GMWA!$CZ$2:$CZ$60=J$4),0),$A26-1966)</f>
        <v>25963</v>
      </c>
      <c r="K26" s="46" cm="1">
        <f t="array" ref="K26">INDEX(GMWA!$A$2:$DB$60,MATCH(1,(GMWA!$DA$2:$DA$60=K$3)*(GMWA!$CZ$2:$CZ$60=K$4),0),$A26-1966)</f>
        <v>66881</v>
      </c>
      <c r="L26" s="46" cm="1">
        <f t="array" ref="L26">INDEX(GMWA!$A$2:$DB$60,MATCH(1,(GMWA!$DA$2:$DA$60=L$3)*(GMWA!$CZ$2:$CZ$60=L$4),0),$A26-1966)</f>
        <v>17345</v>
      </c>
      <c r="M26" s="46" cm="1">
        <f t="array" ref="M26">INDEX(GMWA!$A$2:$DB$60,MATCH(1,(GMWA!$DA$2:$DA$60=M$3)*(GMWA!$CZ$2:$CZ$60=M$4),0),$A26-1966)</f>
        <v>52.582990000000002</v>
      </c>
      <c r="N26" s="46" cm="1">
        <f t="array" ref="N26">INDEX(GMWA!$A$2:$DB$60,MATCH(1,(GMWA!$DA$2:$DA$60=N$3)*(GMWA!$CZ$2:$CZ$60=N$4),0),$A26-1966)</f>
        <v>62.6</v>
      </c>
      <c r="O26" s="46" cm="1">
        <f t="array" ref="O26">INDEX(GMWA!$A$2:$DB$60,MATCH(1,(GMWA!$DA$2:$DA$60=O$3)*(GMWA!$CZ$2:$CZ$60=O$4),0),$A26-1966)</f>
        <v>52.05</v>
      </c>
      <c r="P26" s="46" cm="1">
        <f t="array" ref="P26">INDEX(GMWA!$A$2:$DB$60,MATCH(1,(GMWA!$DA$2:$DA$60=P$3)*(GMWA!$CZ$2:$CZ$60=P$4),0),$A26-1966)</f>
        <v>38.08334</v>
      </c>
      <c r="Q26" s="46" cm="1">
        <f t="array" ref="Q26">INDEX(GMWA!$A$2:$DB$60,MATCH(1,(GMWA!$DA$2:$DA$60=Q$3)*(GMWA!$CZ$2:$CZ$60=Q$4),0),$A26-1966)</f>
        <v>40.566670000000002</v>
      </c>
      <c r="R26" s="46" cm="1">
        <f t="array" ref="R26">INDEX(GMWA!$A$2:$DB$60,MATCH(1,(GMWA!$DA$2:$DA$60=R$3)*(GMWA!$CZ$2:$CZ$60=R$4),0),$A26-1966)</f>
        <v>68.408339999999995</v>
      </c>
    </row>
    <row r="27" spans="1:18" x14ac:dyDescent="0.35">
      <c r="A27" s="46">
        <f t="shared" si="1"/>
        <v>1993</v>
      </c>
      <c r="B27" s="46" cm="1">
        <f t="array" ref="B27">INDEX(GMWA!$A$2:$DB$60,MATCH(1,(GMWA!$DA$2:$DA$60=B$3)*(GMWA!$CZ$2:$CZ$60=B$4),0),$A27-1966)</f>
        <v>888080</v>
      </c>
      <c r="C27" s="46" cm="1">
        <f t="array" ref="C27">INDEX(GMWA!$A$2:$DB$60,MATCH(1,(GMWA!$DA$2:$DA$60=C$3)*(GMWA!$CZ$2:$CZ$60=C$4),0),$A27-1966)</f>
        <v>984991</v>
      </c>
      <c r="D27" s="46" cm="1">
        <f t="array" ref="D27">INDEX(GMWA!$A$2:$DB$60,MATCH(1,(GMWA!$DA$2:$DA$60=D$3)*(GMWA!$CZ$2:$CZ$60=D$4),0),$A27-1966)</f>
        <v>481753</v>
      </c>
      <c r="E27" s="46" cm="1">
        <f t="array" ref="E27">INDEX(GMWA!$A$2:$DB$60,MATCH(1,(GMWA!$DA$2:$DA$60=E$3)*(GMWA!$CZ$2:$CZ$60=E$4),0),$A27-1966)</f>
        <v>527363</v>
      </c>
      <c r="F27" s="46" cm="1">
        <f t="array" ref="F27">INDEX(GMWA!$A$2:$DB$60,MATCH(1,(GMWA!$DA$2:$DA$60=F$3)*(GMWA!$CZ$2:$CZ$60=F$4),0),$A27-1966)</f>
        <v>308154</v>
      </c>
      <c r="G27" s="46" cm="1">
        <f t="array" ref="G27">INDEX(GMWA!$A$2:$DB$60,MATCH(1,(GMWA!$DA$2:$DA$60=G$3)*(GMWA!$CZ$2:$CZ$60=G$4),0),$A27-1966)</f>
        <v>21402.75</v>
      </c>
      <c r="H27" s="46" cm="1">
        <f t="array" ref="H27">INDEX(GMWA!$A$2:$DB$60,MATCH(1,(GMWA!$DA$2:$DA$60=H$3)*(GMWA!$CZ$2:$CZ$60=H$4),0),$A27-1966)</f>
        <v>3599.4430000000002</v>
      </c>
      <c r="I27" s="46" cm="1">
        <f t="array" ref="I27">INDEX(GMWA!$A$2:$DB$60,MATCH(1,(GMWA!$DA$2:$DA$60=I$3)*(GMWA!$CZ$2:$CZ$60=I$4),0),$A27-1966)</f>
        <v>89524</v>
      </c>
      <c r="J27" s="46" cm="1">
        <f t="array" ref="J27">INDEX(GMWA!$A$2:$DB$60,MATCH(1,(GMWA!$DA$2:$DA$60=J$3)*(GMWA!$CZ$2:$CZ$60=J$4),0),$A27-1966)</f>
        <v>25461</v>
      </c>
      <c r="K27" s="46" cm="1">
        <f t="array" ref="K27">INDEX(GMWA!$A$2:$DB$60,MATCH(1,(GMWA!$DA$2:$DA$60=K$3)*(GMWA!$CZ$2:$CZ$60=K$4),0),$A27-1966)</f>
        <v>65381</v>
      </c>
      <c r="L27" s="46" cm="1">
        <f t="array" ref="L27">INDEX(GMWA!$A$2:$DB$60,MATCH(1,(GMWA!$DA$2:$DA$60=L$3)*(GMWA!$CZ$2:$CZ$60=L$4),0),$A27-1966)</f>
        <v>18236</v>
      </c>
      <c r="M27" s="46" cm="1">
        <f t="array" ref="M27">INDEX(GMWA!$A$2:$DB$60,MATCH(1,(GMWA!$DA$2:$DA$60=M$3)*(GMWA!$CZ$2:$CZ$60=M$4),0),$A27-1966)</f>
        <v>54.242400000000004</v>
      </c>
      <c r="N27" s="46" cm="1">
        <f t="array" ref="N27">INDEX(GMWA!$A$2:$DB$60,MATCH(1,(GMWA!$DA$2:$DA$60=N$3)*(GMWA!$CZ$2:$CZ$60=N$4),0),$A27-1966)</f>
        <v>64.2</v>
      </c>
      <c r="O27" s="46" cm="1">
        <f t="array" ref="O27">INDEX(GMWA!$A$2:$DB$60,MATCH(1,(GMWA!$DA$2:$DA$60=O$3)*(GMWA!$CZ$2:$CZ$60=O$4),0),$A27-1966)</f>
        <v>53.616669999999999</v>
      </c>
      <c r="P27" s="46" cm="1">
        <f t="array" ref="P27">INDEX(GMWA!$A$2:$DB$60,MATCH(1,(GMWA!$DA$2:$DA$60=P$3)*(GMWA!$CZ$2:$CZ$60=P$4),0),$A27-1966)</f>
        <v>37.583329999999997</v>
      </c>
      <c r="Q27" s="46" cm="1">
        <f t="array" ref="Q27">INDEX(GMWA!$A$2:$DB$60,MATCH(1,(GMWA!$DA$2:$DA$60=Q$3)*(GMWA!$CZ$2:$CZ$60=Q$4),0),$A27-1966)</f>
        <v>43.775010000000002</v>
      </c>
      <c r="R27" s="46" cm="1">
        <f t="array" ref="R27">INDEX(GMWA!$A$2:$DB$60,MATCH(1,(GMWA!$DA$2:$DA$60=R$3)*(GMWA!$CZ$2:$CZ$60=R$4),0),$A27-1966)</f>
        <v>70.058329999999998</v>
      </c>
    </row>
    <row r="28" spans="1:18" x14ac:dyDescent="0.35">
      <c r="A28" s="46">
        <f t="shared" si="1"/>
        <v>1994</v>
      </c>
      <c r="B28" s="46" cm="1">
        <f t="array" ref="B28">INDEX(GMWA!$A$2:$DB$60,MATCH(1,(GMWA!$DA$2:$DA$60=B$3)*(GMWA!$CZ$2:$CZ$60=B$4),0),$A28-1966)</f>
        <v>917100</v>
      </c>
      <c r="C28" s="46" cm="1">
        <f t="array" ref="C28">INDEX(GMWA!$A$2:$DB$60,MATCH(1,(GMWA!$DA$2:$DA$60=C$3)*(GMWA!$CZ$2:$CZ$60=C$4),0),$A28-1966)</f>
        <v>1003216</v>
      </c>
      <c r="D28" s="46" cm="1">
        <f t="array" ref="D28">INDEX(GMWA!$A$2:$DB$60,MATCH(1,(GMWA!$DA$2:$DA$60=D$3)*(GMWA!$CZ$2:$CZ$60=D$4),0),$A28-1966)</f>
        <v>505949</v>
      </c>
      <c r="E28" s="46" cm="1">
        <f t="array" ref="E28">INDEX(GMWA!$A$2:$DB$60,MATCH(1,(GMWA!$DA$2:$DA$60=E$3)*(GMWA!$CZ$2:$CZ$60=E$4),0),$A28-1966)</f>
        <v>546235</v>
      </c>
      <c r="F28" s="46" cm="1">
        <f t="array" ref="F28">INDEX(GMWA!$A$2:$DB$60,MATCH(1,(GMWA!$DA$2:$DA$60=F$3)*(GMWA!$CZ$2:$CZ$60=F$4),0),$A28-1966)</f>
        <v>319660</v>
      </c>
      <c r="G28" s="46" cm="1">
        <f t="array" ref="G28">INDEX(GMWA!$A$2:$DB$60,MATCH(1,(GMWA!$DA$2:$DA$60=G$3)*(GMWA!$CZ$2:$CZ$60=G$4),0),$A28-1966)</f>
        <v>21525.75</v>
      </c>
      <c r="H28" s="46" cm="1">
        <f t="array" ref="H28">INDEX(GMWA!$A$2:$DB$60,MATCH(1,(GMWA!$DA$2:$DA$60=H$3)*(GMWA!$CZ$2:$CZ$60=H$4),0),$A28-1966)</f>
        <v>3712.4380000000001</v>
      </c>
      <c r="I28" s="46" cm="1">
        <f t="array" ref="I28">INDEX(GMWA!$A$2:$DB$60,MATCH(1,(GMWA!$DA$2:$DA$60=I$3)*(GMWA!$CZ$2:$CZ$60=I$4),0),$A28-1966)</f>
        <v>91610</v>
      </c>
      <c r="J28" s="46" cm="1">
        <f t="array" ref="J28">INDEX(GMWA!$A$2:$DB$60,MATCH(1,(GMWA!$DA$2:$DA$60=J$3)*(GMWA!$CZ$2:$CZ$60=J$4),0),$A28-1966)</f>
        <v>29017</v>
      </c>
      <c r="K28" s="46" cm="1">
        <f t="array" ref="K28">INDEX(GMWA!$A$2:$DB$60,MATCH(1,(GMWA!$DA$2:$DA$60=K$3)*(GMWA!$CZ$2:$CZ$60=K$4),0),$A28-1966)</f>
        <v>69515</v>
      </c>
      <c r="L28" s="46" cm="1">
        <f t="array" ref="L28">INDEX(GMWA!$A$2:$DB$60,MATCH(1,(GMWA!$DA$2:$DA$60=L$3)*(GMWA!$CZ$2:$CZ$60=L$4),0),$A28-1966)</f>
        <v>20640</v>
      </c>
      <c r="M28" s="46" cm="1">
        <f t="array" ref="M28">INDEX(GMWA!$A$2:$DB$60,MATCH(1,(GMWA!$DA$2:$DA$60=M$3)*(GMWA!$CZ$2:$CZ$60=M$4),0),$A28-1966)</f>
        <v>55.1663</v>
      </c>
      <c r="N28" s="46" cm="1">
        <f t="array" ref="N28">INDEX(GMWA!$A$2:$DB$60,MATCH(1,(GMWA!$DA$2:$DA$60=N$3)*(GMWA!$CZ$2:$CZ$60=N$4),0),$A28-1966)</f>
        <v>65.475009999999997</v>
      </c>
      <c r="O28" s="46" cm="1">
        <f t="array" ref="O28">INDEX(GMWA!$A$2:$DB$60,MATCH(1,(GMWA!$DA$2:$DA$60=O$3)*(GMWA!$CZ$2:$CZ$60=O$4),0),$A28-1966)</f>
        <v>54.641669999999998</v>
      </c>
      <c r="P28" s="46" cm="1">
        <f t="array" ref="P28">INDEX(GMWA!$A$2:$DB$60,MATCH(1,(GMWA!$DA$2:$DA$60=P$3)*(GMWA!$CZ$2:$CZ$60=P$4),0),$A28-1966)</f>
        <v>39.208329999999997</v>
      </c>
      <c r="Q28" s="46" cm="1">
        <f t="array" ref="Q28">INDEX(GMWA!$A$2:$DB$60,MATCH(1,(GMWA!$DA$2:$DA$60=Q$3)*(GMWA!$CZ$2:$CZ$60=Q$4),0),$A28-1966)</f>
        <v>45.774999999999999</v>
      </c>
      <c r="R28" s="46" cm="1">
        <f t="array" ref="R28">INDEX(GMWA!$A$2:$DB$60,MATCH(1,(GMWA!$DA$2:$DA$60=R$3)*(GMWA!$CZ$2:$CZ$60=R$4),0),$A28-1966)</f>
        <v>71.233339999999998</v>
      </c>
    </row>
    <row r="29" spans="1:18" x14ac:dyDescent="0.35">
      <c r="A29" s="46">
        <f t="shared" si="1"/>
        <v>1995</v>
      </c>
      <c r="B29" s="46" cm="1">
        <f t="array" ref="B29">INDEX(GMWA!$A$2:$DB$60,MATCH(1,(GMWA!$DA$2:$DA$60=B$3)*(GMWA!$CZ$2:$CZ$60=B$4),0),$A29-1966)</f>
        <v>936509</v>
      </c>
      <c r="C29" s="46" cm="1">
        <f t="array" ref="C29">INDEX(GMWA!$A$2:$DB$60,MATCH(1,(GMWA!$DA$2:$DA$60=C$3)*(GMWA!$CZ$2:$CZ$60=C$4),0),$A29-1966)</f>
        <v>1033438</v>
      </c>
      <c r="D29" s="46" cm="1">
        <f t="array" ref="D29">INDEX(GMWA!$A$2:$DB$60,MATCH(1,(GMWA!$DA$2:$DA$60=D$3)*(GMWA!$CZ$2:$CZ$60=D$4),0),$A29-1966)</f>
        <v>531875</v>
      </c>
      <c r="E29" s="46" cm="1">
        <f t="array" ref="E29">INDEX(GMWA!$A$2:$DB$60,MATCH(1,(GMWA!$DA$2:$DA$60=E$3)*(GMWA!$CZ$2:$CZ$60=E$4),0),$A29-1966)</f>
        <v>579311</v>
      </c>
      <c r="F29" s="46" cm="1">
        <f t="array" ref="F29">INDEX(GMWA!$A$2:$DB$60,MATCH(1,(GMWA!$DA$2:$DA$60=F$3)*(GMWA!$CZ$2:$CZ$60=F$4),0),$A29-1966)</f>
        <v>334245</v>
      </c>
      <c r="G29" s="46" cm="1">
        <f t="array" ref="G29">INDEX(GMWA!$A$2:$DB$60,MATCH(1,(GMWA!$DA$2:$DA$60=G$3)*(GMWA!$CZ$2:$CZ$60=G$4),0),$A29-1966)</f>
        <v>21863.25</v>
      </c>
      <c r="H29" s="46" cm="1">
        <f t="array" ref="H29">INDEX(GMWA!$A$2:$DB$60,MATCH(1,(GMWA!$DA$2:$DA$60=H$3)*(GMWA!$CZ$2:$CZ$60=H$4),0),$A29-1966)</f>
        <v>3821.7930000000001</v>
      </c>
      <c r="I29" s="46" cm="1">
        <f t="array" ref="I29">INDEX(GMWA!$A$2:$DB$60,MATCH(1,(GMWA!$DA$2:$DA$60=I$3)*(GMWA!$CZ$2:$CZ$60=I$4),0),$A29-1966)</f>
        <v>95233</v>
      </c>
      <c r="J29" s="46" cm="1">
        <f t="array" ref="J29">INDEX(GMWA!$A$2:$DB$60,MATCH(1,(GMWA!$DA$2:$DA$60=J$3)*(GMWA!$CZ$2:$CZ$60=J$4),0),$A29-1966)</f>
        <v>34011</v>
      </c>
      <c r="K29" s="46" cm="1">
        <f t="array" ref="K29">INDEX(GMWA!$A$2:$DB$60,MATCH(1,(GMWA!$DA$2:$DA$60=K$3)*(GMWA!$CZ$2:$CZ$60=K$4),0),$A29-1966)</f>
        <v>74361</v>
      </c>
      <c r="L29" s="46" cm="1">
        <f t="array" ref="L29">INDEX(GMWA!$A$2:$DB$60,MATCH(1,(GMWA!$DA$2:$DA$60=L$3)*(GMWA!$CZ$2:$CZ$60=L$4),0),$A29-1966)</f>
        <v>22139</v>
      </c>
      <c r="M29" s="46" cm="1">
        <f t="array" ref="M29">INDEX(GMWA!$A$2:$DB$60,MATCH(1,(GMWA!$DA$2:$DA$60=M$3)*(GMWA!$CZ$2:$CZ$60=M$4),0),$A29-1966)</f>
        <v>56.78875</v>
      </c>
      <c r="N29" s="46" cm="1">
        <f t="array" ref="N29">INDEX(GMWA!$A$2:$DB$60,MATCH(1,(GMWA!$DA$2:$DA$60=N$3)*(GMWA!$CZ$2:$CZ$60=N$4),0),$A29-1966)</f>
        <v>67.183329999999998</v>
      </c>
      <c r="O29" s="46" cm="1">
        <f t="array" ref="O29">INDEX(GMWA!$A$2:$DB$60,MATCH(1,(GMWA!$DA$2:$DA$60=O$3)*(GMWA!$CZ$2:$CZ$60=O$4),0),$A29-1966)</f>
        <v>56.875</v>
      </c>
      <c r="P29" s="46" cm="1">
        <f t="array" ref="P29">INDEX(GMWA!$A$2:$DB$60,MATCH(1,(GMWA!$DA$2:$DA$60=P$3)*(GMWA!$CZ$2:$CZ$60=P$4),0),$A29-1966)</f>
        <v>40.04166</v>
      </c>
      <c r="Q29" s="46" cm="1">
        <f t="array" ref="Q29">INDEX(GMWA!$A$2:$DB$60,MATCH(1,(GMWA!$DA$2:$DA$60=Q$3)*(GMWA!$CZ$2:$CZ$60=Q$4),0),$A29-1966)</f>
        <v>48.15</v>
      </c>
      <c r="R29" s="46" cm="1">
        <f t="array" ref="R29">INDEX(GMWA!$A$2:$DB$60,MATCH(1,(GMWA!$DA$2:$DA$60=R$3)*(GMWA!$CZ$2:$CZ$60=R$4),0),$A29-1966)</f>
        <v>72.691670000000002</v>
      </c>
    </row>
    <row r="30" spans="1:18" x14ac:dyDescent="0.35">
      <c r="A30" s="46">
        <f t="shared" si="1"/>
        <v>1996</v>
      </c>
      <c r="B30" s="46" cm="1">
        <f t="array" ref="B30">INDEX(GMWA!$A$2:$DB$60,MATCH(1,(GMWA!$DA$2:$DA$60=B$3)*(GMWA!$CZ$2:$CZ$60=B$4),0),$A30-1966)</f>
        <v>971534</v>
      </c>
      <c r="C30" s="46" cm="1">
        <f t="array" ref="C30">INDEX(GMWA!$A$2:$DB$60,MATCH(1,(GMWA!$DA$2:$DA$60=C$3)*(GMWA!$CZ$2:$CZ$60=C$4),0),$A30-1966)</f>
        <v>1061145</v>
      </c>
      <c r="D30" s="46" cm="1">
        <f t="array" ref="D30">INDEX(GMWA!$A$2:$DB$60,MATCH(1,(GMWA!$DA$2:$DA$60=D$3)*(GMWA!$CZ$2:$CZ$60=D$4),0),$A30-1966)</f>
        <v>570493</v>
      </c>
      <c r="E30" s="46" cm="1">
        <f t="array" ref="E30">INDEX(GMWA!$A$2:$DB$60,MATCH(1,(GMWA!$DA$2:$DA$60=E$3)*(GMWA!$CZ$2:$CZ$60=E$4),0),$A30-1966)</f>
        <v>615831</v>
      </c>
      <c r="F30" s="46" cm="1">
        <f t="array" ref="F30">INDEX(GMWA!$A$2:$DB$60,MATCH(1,(GMWA!$DA$2:$DA$60=F$3)*(GMWA!$CZ$2:$CZ$60=F$4),0),$A30-1966)</f>
        <v>349339</v>
      </c>
      <c r="G30" s="46" cm="1">
        <f t="array" ref="G30">INDEX(GMWA!$A$2:$DB$60,MATCH(1,(GMWA!$DA$2:$DA$60=G$3)*(GMWA!$CZ$2:$CZ$60=G$4),0),$A30-1966)</f>
        <v>22196.25</v>
      </c>
      <c r="H30" s="46" cm="1">
        <f t="array" ref="H30">INDEX(GMWA!$A$2:$DB$60,MATCH(1,(GMWA!$DA$2:$DA$60=H$3)*(GMWA!$CZ$2:$CZ$60=H$4),0),$A30-1966)</f>
        <v>3934.5360000000001</v>
      </c>
      <c r="I30" s="46" cm="1">
        <f t="array" ref="I30">INDEX(GMWA!$A$2:$DB$60,MATCH(1,(GMWA!$DA$2:$DA$60=I$3)*(GMWA!$CZ$2:$CZ$60=I$4),0),$A30-1966)</f>
        <v>98487</v>
      </c>
      <c r="J30" s="46" cm="1">
        <f t="array" ref="J30">INDEX(GMWA!$A$2:$DB$60,MATCH(1,(GMWA!$DA$2:$DA$60=J$3)*(GMWA!$CZ$2:$CZ$60=J$4),0),$A30-1966)</f>
        <v>36501</v>
      </c>
      <c r="K30" s="46" cm="1">
        <f t="array" ref="K30">INDEX(GMWA!$A$2:$DB$60,MATCH(1,(GMWA!$DA$2:$DA$60=K$3)*(GMWA!$CZ$2:$CZ$60=K$4),0),$A30-1966)</f>
        <v>74213</v>
      </c>
      <c r="L30" s="46" cm="1">
        <f t="array" ref="L30">INDEX(GMWA!$A$2:$DB$60,MATCH(1,(GMWA!$DA$2:$DA$60=L$3)*(GMWA!$CZ$2:$CZ$60=L$4),0),$A30-1966)</f>
        <v>22935</v>
      </c>
      <c r="M30" s="46" cm="1">
        <f t="array" ref="M30">INDEX(GMWA!$A$2:$DB$60,MATCH(1,(GMWA!$DA$2:$DA$60=M$3)*(GMWA!$CZ$2:$CZ$60=M$4),0),$A30-1966)</f>
        <v>58.715499999999999</v>
      </c>
      <c r="N30" s="46" cm="1">
        <f t="array" ref="N30">INDEX(GMWA!$A$2:$DB$60,MATCH(1,(GMWA!$DA$2:$DA$60=N$3)*(GMWA!$CZ$2:$CZ$60=N$4),0),$A30-1966)</f>
        <v>68.816670000000002</v>
      </c>
      <c r="O30" s="46" cm="1">
        <f t="array" ref="O30">INDEX(GMWA!$A$2:$DB$60,MATCH(1,(GMWA!$DA$2:$DA$60=O$3)*(GMWA!$CZ$2:$CZ$60=O$4),0),$A30-1966)</f>
        <v>58.908329999999999</v>
      </c>
      <c r="P30" s="46" cm="1">
        <f t="array" ref="P30">INDEX(GMWA!$A$2:$DB$60,MATCH(1,(GMWA!$DA$2:$DA$60=P$3)*(GMWA!$CZ$2:$CZ$60=P$4),0),$A30-1966)</f>
        <v>40.200000000000003</v>
      </c>
      <c r="Q30" s="46" cm="1">
        <f t="array" ref="Q30">INDEX(GMWA!$A$2:$DB$60,MATCH(1,(GMWA!$DA$2:$DA$60=Q$3)*(GMWA!$CZ$2:$CZ$60=Q$4),0),$A30-1966)</f>
        <v>50.466670000000001</v>
      </c>
      <c r="R30" s="46" cm="1">
        <f t="array" ref="R30">INDEX(GMWA!$A$2:$DB$60,MATCH(1,(GMWA!$DA$2:$DA$60=R$3)*(GMWA!$CZ$2:$CZ$60=R$4),0),$A30-1966)</f>
        <v>74.158330000000007</v>
      </c>
    </row>
    <row r="31" spans="1:18" x14ac:dyDescent="0.35">
      <c r="A31" s="46">
        <f t="shared" si="1"/>
        <v>1997</v>
      </c>
      <c r="B31" s="46" cm="1">
        <f t="array" ref="B31">INDEX(GMWA!$A$2:$DB$60,MATCH(1,(GMWA!$DA$2:$DA$60=B$3)*(GMWA!$CZ$2:$CZ$60=B$4),0),$A31-1966)</f>
        <v>1017854</v>
      </c>
      <c r="C31" s="46" cm="1">
        <f t="array" ref="C31">INDEX(GMWA!$A$2:$DB$60,MATCH(1,(GMWA!$DA$2:$DA$60=C$3)*(GMWA!$CZ$2:$CZ$60=C$4),0),$A31-1966)</f>
        <v>1082261</v>
      </c>
      <c r="D31" s="46" cm="1">
        <f t="array" ref="D31">INDEX(GMWA!$A$2:$DB$60,MATCH(1,(GMWA!$DA$2:$DA$60=D$3)*(GMWA!$CZ$2:$CZ$60=D$4),0),$A31-1966)</f>
        <v>609948</v>
      </c>
      <c r="E31" s="46" cm="1">
        <f t="array" ref="E31">INDEX(GMWA!$A$2:$DB$60,MATCH(1,(GMWA!$DA$2:$DA$60=E$3)*(GMWA!$CZ$2:$CZ$60=E$4),0),$A31-1966)</f>
        <v>640021</v>
      </c>
      <c r="F31" s="46" cm="1">
        <f t="array" ref="F31">INDEX(GMWA!$A$2:$DB$60,MATCH(1,(GMWA!$DA$2:$DA$60=F$3)*(GMWA!$CZ$2:$CZ$60=F$4),0),$A31-1966)</f>
        <v>379553</v>
      </c>
      <c r="G31" s="46" cm="1">
        <f t="array" ref="G31">INDEX(GMWA!$A$2:$DB$60,MATCH(1,(GMWA!$DA$2:$DA$60=G$3)*(GMWA!$CZ$2:$CZ$60=G$4),0),$A31-1966)</f>
        <v>22742.75</v>
      </c>
      <c r="H31" s="46" cm="1">
        <f t="array" ref="H31">INDEX(GMWA!$A$2:$DB$60,MATCH(1,(GMWA!$DA$2:$DA$60=H$3)*(GMWA!$CZ$2:$CZ$60=H$4),0),$A31-1966)</f>
        <v>4171.8540000000003</v>
      </c>
      <c r="I31" s="46" cm="1">
        <f t="array" ref="I31">INDEX(GMWA!$A$2:$DB$60,MATCH(1,(GMWA!$DA$2:$DA$60=I$3)*(GMWA!$CZ$2:$CZ$60=I$4),0),$A31-1966)</f>
        <v>101294</v>
      </c>
      <c r="J31" s="46" cm="1">
        <f t="array" ref="J31">INDEX(GMWA!$A$2:$DB$60,MATCH(1,(GMWA!$DA$2:$DA$60=J$3)*(GMWA!$CZ$2:$CZ$60=J$4),0),$A31-1966)</f>
        <v>36224</v>
      </c>
      <c r="K31" s="46" cm="1">
        <f t="array" ref="K31">INDEX(GMWA!$A$2:$DB$60,MATCH(1,(GMWA!$DA$2:$DA$60=K$3)*(GMWA!$CZ$2:$CZ$60=K$4),0),$A31-1966)</f>
        <v>75259</v>
      </c>
      <c r="L31" s="46" cm="1">
        <f t="array" ref="L31">INDEX(GMWA!$A$2:$DB$60,MATCH(1,(GMWA!$DA$2:$DA$60=L$3)*(GMWA!$CZ$2:$CZ$60=L$4),0),$A31-1966)</f>
        <v>25451</v>
      </c>
      <c r="M31" s="46" cm="1">
        <f t="array" ref="M31">INDEX(GMWA!$A$2:$DB$60,MATCH(1,(GMWA!$DA$2:$DA$60=M$3)*(GMWA!$CZ$2:$CZ$60=M$4),0),$A31-1966)</f>
        <v>59.921779999999998</v>
      </c>
      <c r="N31" s="46" cm="1">
        <f t="array" ref="N31">INDEX(GMWA!$A$2:$DB$60,MATCH(1,(GMWA!$DA$2:$DA$60=N$3)*(GMWA!$CZ$2:$CZ$60=N$4),0),$A31-1966)</f>
        <v>70.066670000000002</v>
      </c>
      <c r="O31" s="46" cm="1">
        <f t="array" ref="O31">INDEX(GMWA!$A$2:$DB$60,MATCH(1,(GMWA!$DA$2:$DA$60=O$3)*(GMWA!$CZ$2:$CZ$60=O$4),0),$A31-1966)</f>
        <v>59.608330000000002</v>
      </c>
      <c r="P31" s="46" cm="1">
        <f t="array" ref="P31">INDEX(GMWA!$A$2:$DB$60,MATCH(1,(GMWA!$DA$2:$DA$60=P$3)*(GMWA!$CZ$2:$CZ$60=P$4),0),$A31-1966)</f>
        <v>39.016669999999998</v>
      </c>
      <c r="Q31" s="46" cm="1">
        <f t="array" ref="Q31">INDEX(GMWA!$A$2:$DB$60,MATCH(1,(GMWA!$DA$2:$DA$60=Q$3)*(GMWA!$CZ$2:$CZ$60=Q$4),0),$A31-1966)</f>
        <v>55.483330000000002</v>
      </c>
      <c r="R31" s="46" cm="1">
        <f t="array" ref="R31">INDEX(GMWA!$A$2:$DB$60,MATCH(1,(GMWA!$DA$2:$DA$60=R$3)*(GMWA!$CZ$2:$CZ$60=R$4),0),$A31-1966)</f>
        <v>75.55</v>
      </c>
    </row>
    <row r="32" spans="1:18" x14ac:dyDescent="0.35">
      <c r="A32" s="46">
        <f t="shared" si="1"/>
        <v>1998</v>
      </c>
      <c r="B32" s="46" cm="1">
        <f t="array" ref="B32">INDEX(GMWA!$A$2:$DB$60,MATCH(1,(GMWA!$DA$2:$DA$60=B$3)*(GMWA!$CZ$2:$CZ$60=B$4),0),$A32-1966)</f>
        <v>1059254</v>
      </c>
      <c r="C32" s="46" cm="1">
        <f t="array" ref="C32">INDEX(GMWA!$A$2:$DB$60,MATCH(1,(GMWA!$DA$2:$DA$60=C$3)*(GMWA!$CZ$2:$CZ$60=C$4),0),$A32-1966)</f>
        <v>1091321</v>
      </c>
      <c r="D32" s="46" cm="1">
        <f t="array" ref="D32">INDEX(GMWA!$A$2:$DB$60,MATCH(1,(GMWA!$DA$2:$DA$60=D$3)*(GMWA!$CZ$2:$CZ$60=D$4),0),$A32-1966)</f>
        <v>643770</v>
      </c>
      <c r="E32" s="46" cm="1">
        <f t="array" ref="E32">INDEX(GMWA!$A$2:$DB$60,MATCH(1,(GMWA!$DA$2:$DA$60=E$3)*(GMWA!$CZ$2:$CZ$60=E$4),0),$A32-1966)</f>
        <v>654745</v>
      </c>
      <c r="F32" s="46" cm="1">
        <f t="array" ref="F32">INDEX(GMWA!$A$2:$DB$60,MATCH(1,(GMWA!$DA$2:$DA$60=F$3)*(GMWA!$CZ$2:$CZ$60=F$4),0),$A32-1966)</f>
        <v>398158</v>
      </c>
      <c r="G32" s="46" cm="1">
        <f t="array" ref="G32">INDEX(GMWA!$A$2:$DB$60,MATCH(1,(GMWA!$DA$2:$DA$60=G$3)*(GMWA!$CZ$2:$CZ$60=G$4),0),$A32-1966)</f>
        <v>23182.25</v>
      </c>
      <c r="H32" s="46" cm="1">
        <f t="array" ref="H32">INDEX(GMWA!$A$2:$DB$60,MATCH(1,(GMWA!$DA$2:$DA$60=H$3)*(GMWA!$CZ$2:$CZ$60=H$4),0),$A32-1966)</f>
        <v>4293.5780000000004</v>
      </c>
      <c r="I32" s="46" cm="1">
        <f t="array" ref="I32">INDEX(GMWA!$A$2:$DB$60,MATCH(1,(GMWA!$DA$2:$DA$60=I$3)*(GMWA!$CZ$2:$CZ$60=I$4),0),$A32-1966)</f>
        <v>102123</v>
      </c>
      <c r="J32" s="46" cm="1">
        <f t="array" ref="J32">INDEX(GMWA!$A$2:$DB$60,MATCH(1,(GMWA!$DA$2:$DA$60=J$3)*(GMWA!$CZ$2:$CZ$60=J$4),0),$A32-1966)</f>
        <v>37878</v>
      </c>
      <c r="K32" s="46" cm="1">
        <f t="array" ref="K32">INDEX(GMWA!$A$2:$DB$60,MATCH(1,(GMWA!$DA$2:$DA$60=K$3)*(GMWA!$CZ$2:$CZ$60=K$4),0),$A32-1966)</f>
        <v>89276</v>
      </c>
      <c r="L32" s="46" cm="1">
        <f t="array" ref="L32">INDEX(GMWA!$A$2:$DB$60,MATCH(1,(GMWA!$DA$2:$DA$60=L$3)*(GMWA!$CZ$2:$CZ$60=L$4),0),$A32-1966)</f>
        <v>26412</v>
      </c>
      <c r="M32" s="46" cm="1">
        <f t="array" ref="M32">INDEX(GMWA!$A$2:$DB$60,MATCH(1,(GMWA!$DA$2:$DA$60=M$3)*(GMWA!$CZ$2:$CZ$60=M$4),0),$A32-1966)</f>
        <v>60.771979999999999</v>
      </c>
      <c r="N32" s="46" cm="1">
        <f t="array" ref="N32">INDEX(GMWA!$A$2:$DB$60,MATCH(1,(GMWA!$DA$2:$DA$60=N$3)*(GMWA!$CZ$2:$CZ$60=N$4),0),$A32-1966)</f>
        <v>71.158330000000007</v>
      </c>
      <c r="O32" s="46" cm="1">
        <f t="array" ref="O32">INDEX(GMWA!$A$2:$DB$60,MATCH(1,(GMWA!$DA$2:$DA$60=O$3)*(GMWA!$CZ$2:$CZ$60=O$4),0),$A32-1966)</f>
        <v>61.066659999999999</v>
      </c>
      <c r="P32" s="46" cm="1">
        <f t="array" ref="P32">INDEX(GMWA!$A$2:$DB$60,MATCH(1,(GMWA!$DA$2:$DA$60=P$3)*(GMWA!$CZ$2:$CZ$60=P$4),0),$A32-1966)</f>
        <v>37.383339999999997</v>
      </c>
      <c r="Q32" s="46" cm="1">
        <f t="array" ref="Q32">INDEX(GMWA!$A$2:$DB$60,MATCH(1,(GMWA!$DA$2:$DA$60=Q$3)*(GMWA!$CZ$2:$CZ$60=Q$4),0),$A32-1966)</f>
        <v>58.258339999999997</v>
      </c>
      <c r="R32" s="46" cm="1">
        <f t="array" ref="R32">INDEX(GMWA!$A$2:$DB$60,MATCH(1,(GMWA!$DA$2:$DA$60=R$3)*(GMWA!$CZ$2:$CZ$60=R$4),0),$A32-1966)</f>
        <v>76.641660000000002</v>
      </c>
    </row>
    <row r="33" spans="1:18" x14ac:dyDescent="0.35">
      <c r="A33" s="46">
        <f t="shared" si="1"/>
        <v>1999</v>
      </c>
      <c r="B33" s="46" cm="1">
        <f t="array" ref="B33">INDEX(GMWA!$A$2:$DB$60,MATCH(1,(GMWA!$DA$2:$DA$60=B$3)*(GMWA!$CZ$2:$CZ$60=B$4),0),$A33-1966)</f>
        <v>1104548</v>
      </c>
      <c r="C33" s="46" cm="1">
        <f t="array" ref="C33">INDEX(GMWA!$A$2:$DB$60,MATCH(1,(GMWA!$DA$2:$DA$60=C$3)*(GMWA!$CZ$2:$CZ$60=C$4),0),$A33-1966)</f>
        <v>1138283</v>
      </c>
      <c r="D33" s="46" cm="1">
        <f t="array" ref="D33">INDEX(GMWA!$A$2:$DB$60,MATCH(1,(GMWA!$DA$2:$DA$60=D$3)*(GMWA!$CZ$2:$CZ$60=D$4),0),$A33-1966)</f>
        <v>675819</v>
      </c>
      <c r="E33" s="46" cm="1">
        <f t="array" ref="E33">INDEX(GMWA!$A$2:$DB$60,MATCH(1,(GMWA!$DA$2:$DA$60=E$3)*(GMWA!$CZ$2:$CZ$60=E$4),0),$A33-1966)</f>
        <v>688023</v>
      </c>
      <c r="F33" s="46" cm="1">
        <f t="array" ref="F33">INDEX(GMWA!$A$2:$DB$60,MATCH(1,(GMWA!$DA$2:$DA$60=F$3)*(GMWA!$CZ$2:$CZ$60=F$4),0),$A33-1966)</f>
        <v>429264</v>
      </c>
      <c r="G33" s="46" cm="1">
        <f t="array" ref="G33">INDEX(GMWA!$A$2:$DB$60,MATCH(1,(GMWA!$DA$2:$DA$60=G$3)*(GMWA!$CZ$2:$CZ$60=G$4),0),$A33-1966)</f>
        <v>23604.25</v>
      </c>
      <c r="H33" s="46" cm="1">
        <f t="array" ref="H33">INDEX(GMWA!$A$2:$DB$60,MATCH(1,(GMWA!$DA$2:$DA$60=H$3)*(GMWA!$CZ$2:$CZ$60=H$4),0),$A33-1966)</f>
        <v>4546.107</v>
      </c>
      <c r="I33" s="46" cm="1">
        <f t="array" ref="I33">INDEX(GMWA!$A$2:$DB$60,MATCH(1,(GMWA!$DA$2:$DA$60=I$3)*(GMWA!$CZ$2:$CZ$60=I$4),0),$A33-1966)</f>
        <v>104082</v>
      </c>
      <c r="J33" s="46" cm="1">
        <f t="array" ref="J33">INDEX(GMWA!$A$2:$DB$60,MATCH(1,(GMWA!$DA$2:$DA$60=J$3)*(GMWA!$CZ$2:$CZ$60=J$4),0),$A33-1966)</f>
        <v>36262</v>
      </c>
      <c r="K33" s="46" cm="1">
        <f t="array" ref="K33">INDEX(GMWA!$A$2:$DB$60,MATCH(1,(GMWA!$DA$2:$DA$60=K$3)*(GMWA!$CZ$2:$CZ$60=K$4),0),$A33-1966)</f>
        <v>96527</v>
      </c>
      <c r="L33" s="46" cm="1">
        <f t="array" ref="L33">INDEX(GMWA!$A$2:$DB$60,MATCH(1,(GMWA!$DA$2:$DA$60=L$3)*(GMWA!$CZ$2:$CZ$60=L$4),0),$A33-1966)</f>
        <v>28043</v>
      </c>
      <c r="M33" s="46" cm="1">
        <f t="array" ref="M33">INDEX(GMWA!$A$2:$DB$60,MATCH(1,(GMWA!$DA$2:$DA$60=M$3)*(GMWA!$CZ$2:$CZ$60=M$4),0),$A33-1966)</f>
        <v>61.187100000000001</v>
      </c>
      <c r="N33" s="46" cm="1">
        <f t="array" ref="N33">INDEX(GMWA!$A$2:$DB$60,MATCH(1,(GMWA!$DA$2:$DA$60=N$3)*(GMWA!$CZ$2:$CZ$60=N$4),0),$A33-1966)</f>
        <v>72.116659999999996</v>
      </c>
      <c r="O33" s="46" cm="1">
        <f t="array" ref="O33">INDEX(GMWA!$A$2:$DB$60,MATCH(1,(GMWA!$DA$2:$DA$60=O$3)*(GMWA!$CZ$2:$CZ$60=O$4),0),$A33-1966)</f>
        <v>62.375</v>
      </c>
      <c r="P33" s="46" cm="1">
        <f t="array" ref="P33">INDEX(GMWA!$A$2:$DB$60,MATCH(1,(GMWA!$DA$2:$DA$60=P$3)*(GMWA!$CZ$2:$CZ$60=P$4),0),$A33-1966)</f>
        <v>37.366660000000003</v>
      </c>
      <c r="Q33" s="46" cm="1">
        <f t="array" ref="Q33">INDEX(GMWA!$A$2:$DB$60,MATCH(1,(GMWA!$DA$2:$DA$60=Q$3)*(GMWA!$CZ$2:$CZ$60=Q$4),0),$A33-1966)</f>
        <v>63.166670000000003</v>
      </c>
      <c r="R33" s="46" cm="1">
        <f t="array" ref="R33">INDEX(GMWA!$A$2:$DB$60,MATCH(1,(GMWA!$DA$2:$DA$60=R$3)*(GMWA!$CZ$2:$CZ$60=R$4),0),$A33-1966)</f>
        <v>77.208340000000007</v>
      </c>
    </row>
    <row r="34" spans="1:18" x14ac:dyDescent="0.35">
      <c r="A34" s="46">
        <f t="shared" si="1"/>
        <v>2000</v>
      </c>
      <c r="B34" s="46" cm="1">
        <f t="array" ref="B34">INDEX(GMWA!$A$2:$DB$60,MATCH(1,(GMWA!$DA$2:$DA$60=B$3)*(GMWA!$CZ$2:$CZ$60=B$4),0),$A34-1966)</f>
        <v>1155881</v>
      </c>
      <c r="C34" s="46" cm="1">
        <f t="array" ref="C34">INDEX(GMWA!$A$2:$DB$60,MATCH(1,(GMWA!$DA$2:$DA$60=C$3)*(GMWA!$CZ$2:$CZ$60=C$4),0),$A34-1966)</f>
        <v>1202414</v>
      </c>
      <c r="D34" s="46" cm="1">
        <f t="array" ref="D34">INDEX(GMWA!$A$2:$DB$60,MATCH(1,(GMWA!$DA$2:$DA$60=D$3)*(GMWA!$CZ$2:$CZ$60=D$4),0),$A34-1966)</f>
        <v>708151</v>
      </c>
      <c r="E34" s="46" cm="1">
        <f t="array" ref="E34">INDEX(GMWA!$A$2:$DB$60,MATCH(1,(GMWA!$DA$2:$DA$60=E$3)*(GMWA!$CZ$2:$CZ$60=E$4),0),$A34-1966)</f>
        <v>728537</v>
      </c>
      <c r="F34" s="46" cm="1">
        <f t="array" ref="F34">INDEX(GMWA!$A$2:$DB$60,MATCH(1,(GMWA!$DA$2:$DA$60=F$3)*(GMWA!$CZ$2:$CZ$60=F$4),0),$A34-1966)</f>
        <v>457052</v>
      </c>
      <c r="G34" s="46" cm="1">
        <f t="array" ref="G34">INDEX(GMWA!$A$2:$DB$60,MATCH(1,(GMWA!$DA$2:$DA$60=G$3)*(GMWA!$CZ$2:$CZ$60=G$4),0),$A34-1966)</f>
        <v>23976.75</v>
      </c>
      <c r="H34" s="46" cm="1">
        <f t="array" ref="H34">INDEX(GMWA!$A$2:$DB$60,MATCH(1,(GMWA!$DA$2:$DA$60=H$3)*(GMWA!$CZ$2:$CZ$60=H$4),0),$A34-1966)</f>
        <v>4765.2</v>
      </c>
      <c r="I34" s="46" cm="1">
        <f t="array" ref="I34">INDEX(GMWA!$A$2:$DB$60,MATCH(1,(GMWA!$DA$2:$DA$60=I$3)*(GMWA!$CZ$2:$CZ$60=I$4),0),$A34-1966)</f>
        <v>107870</v>
      </c>
      <c r="J34" s="46" cm="1">
        <f t="array" ref="J34">INDEX(GMWA!$A$2:$DB$60,MATCH(1,(GMWA!$DA$2:$DA$60=J$3)*(GMWA!$CZ$2:$CZ$60=J$4),0),$A34-1966)</f>
        <v>43203</v>
      </c>
      <c r="K34" s="46" cm="1">
        <f t="array" ref="K34">INDEX(GMWA!$A$2:$DB$60,MATCH(1,(GMWA!$DA$2:$DA$60=K$3)*(GMWA!$CZ$2:$CZ$60=K$4),0),$A34-1966)</f>
        <v>105299</v>
      </c>
      <c r="L34" s="46" cm="1">
        <f t="array" ref="L34">INDEX(GMWA!$A$2:$DB$60,MATCH(1,(GMWA!$DA$2:$DA$60=L$3)*(GMWA!$CZ$2:$CZ$60=L$4),0),$A34-1966)</f>
        <v>29184</v>
      </c>
      <c r="M34" s="46" cm="1">
        <f t="array" ref="M34">INDEX(GMWA!$A$2:$DB$60,MATCH(1,(GMWA!$DA$2:$DA$60=M$3)*(GMWA!$CZ$2:$CZ$60=M$4),0),$A34-1966)</f>
        <v>61.265810000000002</v>
      </c>
      <c r="N34" s="46" cm="1">
        <f t="array" ref="N34">INDEX(GMWA!$A$2:$DB$60,MATCH(1,(GMWA!$DA$2:$DA$60=N$3)*(GMWA!$CZ$2:$CZ$60=N$4),0),$A34-1966)</f>
        <v>72.691670000000002</v>
      </c>
      <c r="O34" s="46" cm="1">
        <f t="array" ref="O34">INDEX(GMWA!$A$2:$DB$60,MATCH(1,(GMWA!$DA$2:$DA$60=O$3)*(GMWA!$CZ$2:$CZ$60=O$4),0),$A34-1966)</f>
        <v>63.075000000000003</v>
      </c>
      <c r="P34" s="46" cm="1">
        <f t="array" ref="P34">INDEX(GMWA!$A$2:$DB$60,MATCH(1,(GMWA!$DA$2:$DA$60=P$3)*(GMWA!$CZ$2:$CZ$60=P$4),0),$A34-1966)</f>
        <v>37.391669999999998</v>
      </c>
      <c r="Q34" s="46" cm="1">
        <f t="array" ref="Q34">INDEX(GMWA!$A$2:$DB$60,MATCH(1,(GMWA!$DA$2:$DA$60=Q$3)*(GMWA!$CZ$2:$CZ$60=Q$4),0),$A34-1966)</f>
        <v>71.474999999999994</v>
      </c>
      <c r="R34" s="46" cm="1">
        <f t="array" ref="R34">INDEX(GMWA!$A$2:$DB$60,MATCH(1,(GMWA!$DA$2:$DA$60=R$3)*(GMWA!$CZ$2:$CZ$60=R$4),0),$A34-1966)</f>
        <v>77.266660000000002</v>
      </c>
    </row>
    <row r="35" spans="1:18" x14ac:dyDescent="0.35">
      <c r="A35" s="46">
        <f t="shared" si="1"/>
        <v>2001</v>
      </c>
      <c r="B35" s="46" cm="1">
        <f t="array" ref="B35">INDEX(GMWA!$A$2:$DB$60,MATCH(1,(GMWA!$DA$2:$DA$60=B$3)*(GMWA!$CZ$2:$CZ$60=B$4),0),$A35-1966)</f>
        <v>1194415</v>
      </c>
      <c r="C35" s="46" cm="1">
        <f t="array" ref="C35">INDEX(GMWA!$A$2:$DB$60,MATCH(1,(GMWA!$DA$2:$DA$60=C$3)*(GMWA!$CZ$2:$CZ$60=C$4),0),$A35-1966)</f>
        <v>1245868</v>
      </c>
      <c r="D35" s="46" cm="1">
        <f t="array" ref="D35">INDEX(GMWA!$A$2:$DB$60,MATCH(1,(GMWA!$DA$2:$DA$60=D$3)*(GMWA!$CZ$2:$CZ$60=D$4),0),$A35-1966)</f>
        <v>736985</v>
      </c>
      <c r="E35" s="46" cm="1">
        <f t="array" ref="E35">INDEX(GMWA!$A$2:$DB$60,MATCH(1,(GMWA!$DA$2:$DA$60=E$3)*(GMWA!$CZ$2:$CZ$60=E$4),0),$A35-1966)</f>
        <v>761188</v>
      </c>
      <c r="F35" s="46" cm="1">
        <f t="array" ref="F35">INDEX(GMWA!$A$2:$DB$60,MATCH(1,(GMWA!$DA$2:$DA$60=F$3)*(GMWA!$CZ$2:$CZ$60=F$4),0),$A35-1966)</f>
        <v>486996</v>
      </c>
      <c r="G35" s="46" cm="1">
        <f t="array" ref="G35">INDEX(GMWA!$A$2:$DB$60,MATCH(1,(GMWA!$DA$2:$DA$60=G$3)*(GMWA!$CZ$2:$CZ$60=G$4),0),$A35-1966)</f>
        <v>24186.25</v>
      </c>
      <c r="H35" s="46" cm="1">
        <f t="array" ref="H35">INDEX(GMWA!$A$2:$DB$60,MATCH(1,(GMWA!$DA$2:$DA$60=H$3)*(GMWA!$CZ$2:$CZ$60=H$4),0),$A35-1966)</f>
        <v>5033.759</v>
      </c>
      <c r="I35" s="46" cm="1">
        <f t="array" ref="I35">INDEX(GMWA!$A$2:$DB$60,MATCH(1,(GMWA!$DA$2:$DA$60=I$3)*(GMWA!$CZ$2:$CZ$60=I$4),0),$A35-1966)</f>
        <v>116202</v>
      </c>
      <c r="J35" s="46" cm="1">
        <f t="array" ref="J35">INDEX(GMWA!$A$2:$DB$60,MATCH(1,(GMWA!$DA$2:$DA$60=J$3)*(GMWA!$CZ$2:$CZ$60=J$4),0),$A35-1966)</f>
        <v>42209</v>
      </c>
      <c r="K35" s="46" cm="1">
        <f t="array" ref="K35">INDEX(GMWA!$A$2:$DB$60,MATCH(1,(GMWA!$DA$2:$DA$60=K$3)*(GMWA!$CZ$2:$CZ$60=K$4),0),$A35-1966)</f>
        <v>111887</v>
      </c>
      <c r="L35" s="46" cm="1">
        <f t="array" ref="L35">INDEX(GMWA!$A$2:$DB$60,MATCH(1,(GMWA!$DA$2:$DA$60=L$3)*(GMWA!$CZ$2:$CZ$60=L$4),0),$A35-1966)</f>
        <v>31509</v>
      </c>
      <c r="M35" s="46" cm="1">
        <f t="array" ref="M35">INDEX(GMWA!$A$2:$DB$60,MATCH(1,(GMWA!$DA$2:$DA$60=M$3)*(GMWA!$CZ$2:$CZ$60=M$4),0),$A35-1966)</f>
        <v>61.704949999999997</v>
      </c>
      <c r="N35" s="46" cm="1">
        <f t="array" ref="N35">INDEX(GMWA!$A$2:$DB$60,MATCH(1,(GMWA!$DA$2:$DA$60=N$3)*(GMWA!$CZ$2:$CZ$60=N$4),0),$A35-1966)</f>
        <v>73.591669999999993</v>
      </c>
      <c r="O35" s="46" cm="1">
        <f t="array" ref="O35">INDEX(GMWA!$A$2:$DB$60,MATCH(1,(GMWA!$DA$2:$DA$60=O$3)*(GMWA!$CZ$2:$CZ$60=O$4),0),$A35-1966)</f>
        <v>65.366669999999999</v>
      </c>
      <c r="P35" s="46" cm="1">
        <f t="array" ref="P35">INDEX(GMWA!$A$2:$DB$60,MATCH(1,(GMWA!$DA$2:$DA$60=P$3)*(GMWA!$CZ$2:$CZ$60=P$4),0),$A35-1966)</f>
        <v>37.583329999999997</v>
      </c>
      <c r="Q35" s="46" cm="1">
        <f t="array" ref="Q35">INDEX(GMWA!$A$2:$DB$60,MATCH(1,(GMWA!$DA$2:$DA$60=Q$3)*(GMWA!$CZ$2:$CZ$60=Q$4),0),$A35-1966)</f>
        <v>67.808329999999998</v>
      </c>
      <c r="R35" s="46" cm="1">
        <f t="array" ref="R35">INDEX(GMWA!$A$2:$DB$60,MATCH(1,(GMWA!$DA$2:$DA$60=R$3)*(GMWA!$CZ$2:$CZ$60=R$4),0),$A35-1966)</f>
        <v>78.091660000000005</v>
      </c>
    </row>
    <row r="36" spans="1:18" x14ac:dyDescent="0.35">
      <c r="A36" s="46">
        <f t="shared" si="1"/>
        <v>2002</v>
      </c>
      <c r="B36" s="46" cm="1">
        <f t="array" ref="B36">INDEX(GMWA!$A$2:$DB$60,MATCH(1,(GMWA!$DA$2:$DA$60=B$3)*(GMWA!$CZ$2:$CZ$60=B$4),0),$A36-1966)</f>
        <v>1226503</v>
      </c>
      <c r="C36" s="46" cm="1">
        <f t="array" ref="C36">INDEX(GMWA!$A$2:$DB$60,MATCH(1,(GMWA!$DA$2:$DA$60=C$3)*(GMWA!$CZ$2:$CZ$60=C$4),0),$A36-1966)</f>
        <v>1275228</v>
      </c>
      <c r="D36" s="46" cm="1">
        <f t="array" ref="D36">INDEX(GMWA!$A$2:$DB$60,MATCH(1,(GMWA!$DA$2:$DA$60=D$3)*(GMWA!$CZ$2:$CZ$60=D$4),0),$A36-1966)</f>
        <v>762109</v>
      </c>
      <c r="E36" s="46" cm="1">
        <f t="array" ref="E36">INDEX(GMWA!$A$2:$DB$60,MATCH(1,(GMWA!$DA$2:$DA$60=E$3)*(GMWA!$CZ$2:$CZ$60=E$4),0),$A36-1966)</f>
        <v>785771</v>
      </c>
      <c r="F36" s="46" cm="1">
        <f t="array" ref="F36">INDEX(GMWA!$A$2:$DB$60,MATCH(1,(GMWA!$DA$2:$DA$60=F$3)*(GMWA!$CZ$2:$CZ$60=F$4),0),$A36-1966)</f>
        <v>499473</v>
      </c>
      <c r="G36" s="46" cm="1">
        <f t="array" ref="G36">INDEX(GMWA!$A$2:$DB$60,MATCH(1,(GMWA!$DA$2:$DA$60=G$3)*(GMWA!$CZ$2:$CZ$60=G$4),0),$A36-1966)</f>
        <v>24407</v>
      </c>
      <c r="H36" s="46" cm="1">
        <f t="array" ref="H36">INDEX(GMWA!$A$2:$DB$60,MATCH(1,(GMWA!$DA$2:$DA$60=H$3)*(GMWA!$CZ$2:$CZ$60=H$4),0),$A36-1966)</f>
        <v>5116.0169999999998</v>
      </c>
      <c r="I36" s="46" cm="1">
        <f t="array" ref="I36">INDEX(GMWA!$A$2:$DB$60,MATCH(1,(GMWA!$DA$2:$DA$60=I$3)*(GMWA!$CZ$2:$CZ$60=I$4),0),$A36-1966)</f>
        <v>121564</v>
      </c>
      <c r="J36" s="46" cm="1">
        <f t="array" ref="J36">INDEX(GMWA!$A$2:$DB$60,MATCH(1,(GMWA!$DA$2:$DA$60=J$3)*(GMWA!$CZ$2:$CZ$60=J$4),0),$A36-1966)</f>
        <v>42235</v>
      </c>
      <c r="K36" s="46" cm="1">
        <f t="array" ref="K36">INDEX(GMWA!$A$2:$DB$60,MATCH(1,(GMWA!$DA$2:$DA$60=K$3)*(GMWA!$CZ$2:$CZ$60=K$4),0),$A36-1966)</f>
        <v>112170</v>
      </c>
      <c r="L36" s="46" cm="1">
        <f t="array" ref="L36">INDEX(GMWA!$A$2:$DB$60,MATCH(1,(GMWA!$DA$2:$DA$60=L$3)*(GMWA!$CZ$2:$CZ$60=L$4),0),$A36-1966)</f>
        <v>32332</v>
      </c>
      <c r="M36" s="46" cm="1">
        <f t="array" ref="M36">INDEX(GMWA!$A$2:$DB$60,MATCH(1,(GMWA!$DA$2:$DA$60=M$3)*(GMWA!$CZ$2:$CZ$60=M$4),0),$A36-1966)</f>
        <v>62.134689999999999</v>
      </c>
      <c r="N36" s="46" cm="1">
        <f t="array" ref="N36">INDEX(GMWA!$A$2:$DB$60,MATCH(1,(GMWA!$DA$2:$DA$60=N$3)*(GMWA!$CZ$2:$CZ$60=N$4),0),$A36-1966)</f>
        <v>74.5</v>
      </c>
      <c r="O36" s="46" cm="1">
        <f t="array" ref="O36">INDEX(GMWA!$A$2:$DB$60,MATCH(1,(GMWA!$DA$2:$DA$60=O$3)*(GMWA!$CZ$2:$CZ$60=O$4),0),$A36-1966)</f>
        <v>66.091669999999993</v>
      </c>
      <c r="P36" s="46" cm="1">
        <f t="array" ref="P36">INDEX(GMWA!$A$2:$DB$60,MATCH(1,(GMWA!$DA$2:$DA$60=P$3)*(GMWA!$CZ$2:$CZ$60=P$4),0),$A36-1966)</f>
        <v>38.424999999999997</v>
      </c>
      <c r="Q36" s="46" cm="1">
        <f t="array" ref="Q36">INDEX(GMWA!$A$2:$DB$60,MATCH(1,(GMWA!$DA$2:$DA$60=Q$3)*(GMWA!$CZ$2:$CZ$60=Q$4),0),$A36-1966)</f>
        <v>65.674999999999997</v>
      </c>
      <c r="R36" s="46" cm="1">
        <f t="array" ref="R36">INDEX(GMWA!$A$2:$DB$60,MATCH(1,(GMWA!$DA$2:$DA$60=R$3)*(GMWA!$CZ$2:$CZ$60=R$4),0),$A36-1966)</f>
        <v>79.25</v>
      </c>
    </row>
    <row r="37" spans="1:18" x14ac:dyDescent="0.35">
      <c r="A37" s="46">
        <f t="shared" si="1"/>
        <v>2003</v>
      </c>
      <c r="B37" s="46" cm="1">
        <f t="array" ref="B37">INDEX(GMWA!$A$2:$DB$60,MATCH(1,(GMWA!$DA$2:$DA$60=B$3)*(GMWA!$CZ$2:$CZ$60=B$4),0),$A37-1966)</f>
        <v>1268258</v>
      </c>
      <c r="C37" s="46" cm="1">
        <f t="array" ref="C37">INDEX(GMWA!$A$2:$DB$60,MATCH(1,(GMWA!$DA$2:$DA$60=C$3)*(GMWA!$CZ$2:$CZ$60=C$4),0),$A37-1966)</f>
        <v>1303644</v>
      </c>
      <c r="D37" s="46" cm="1">
        <f t="array" ref="D37">INDEX(GMWA!$A$2:$DB$60,MATCH(1,(GMWA!$DA$2:$DA$60=D$3)*(GMWA!$CZ$2:$CZ$60=D$4),0),$A37-1966)</f>
        <v>797938</v>
      </c>
      <c r="E37" s="46" cm="1">
        <f t="array" ref="E37">INDEX(GMWA!$A$2:$DB$60,MATCH(1,(GMWA!$DA$2:$DA$60=E$3)*(GMWA!$CZ$2:$CZ$60=E$4),0),$A37-1966)</f>
        <v>814318</v>
      </c>
      <c r="F37" s="46" cm="1">
        <f t="array" ref="F37">INDEX(GMWA!$A$2:$DB$60,MATCH(1,(GMWA!$DA$2:$DA$60=F$3)*(GMWA!$CZ$2:$CZ$60=F$4),0),$A37-1966)</f>
        <v>522419</v>
      </c>
      <c r="G37" s="46" cm="1">
        <f t="array" ref="G37">INDEX(GMWA!$A$2:$DB$60,MATCH(1,(GMWA!$DA$2:$DA$60=G$3)*(GMWA!$CZ$2:$CZ$60=G$4),0),$A37-1966)</f>
        <v>24458.75</v>
      </c>
      <c r="H37" s="46" cm="1">
        <f t="array" ref="H37">INDEX(GMWA!$A$2:$DB$60,MATCH(1,(GMWA!$DA$2:$DA$60=H$3)*(GMWA!$CZ$2:$CZ$60=H$4),0),$A37-1966)</f>
        <v>5339.8959999999997</v>
      </c>
      <c r="I37" s="46" cm="1">
        <f t="array" ref="I37">INDEX(GMWA!$A$2:$DB$60,MATCH(1,(GMWA!$DA$2:$DA$60=I$3)*(GMWA!$CZ$2:$CZ$60=I$4),0),$A37-1966)</f>
        <v>132461</v>
      </c>
      <c r="J37" s="46" cm="1">
        <f t="array" ref="J37">INDEX(GMWA!$A$2:$DB$60,MATCH(1,(GMWA!$DA$2:$DA$60=J$3)*(GMWA!$CZ$2:$CZ$60=J$4),0),$A37-1966)</f>
        <v>42046</v>
      </c>
      <c r="K37" s="46" cm="1">
        <f t="array" ref="K37">INDEX(GMWA!$A$2:$DB$60,MATCH(1,(GMWA!$DA$2:$DA$60=K$3)*(GMWA!$CZ$2:$CZ$60=K$4),0),$A37-1966)</f>
        <v>115973</v>
      </c>
      <c r="L37" s="46" cm="1">
        <f t="array" ref="L37">INDEX(GMWA!$A$2:$DB$60,MATCH(1,(GMWA!$DA$2:$DA$60=L$3)*(GMWA!$CZ$2:$CZ$60=L$4),0),$A37-1966)</f>
        <v>38095</v>
      </c>
      <c r="M37" s="46" cm="1">
        <f t="array" ref="M37">INDEX(GMWA!$A$2:$DB$60,MATCH(1,(GMWA!$DA$2:$DA$60=M$3)*(GMWA!$CZ$2:$CZ$60=M$4),0),$A37-1966)</f>
        <v>62.913609999999998</v>
      </c>
      <c r="N37" s="46" cm="1">
        <f t="array" ref="N37">INDEX(GMWA!$A$2:$DB$60,MATCH(1,(GMWA!$DA$2:$DA$60=N$3)*(GMWA!$CZ$2:$CZ$60=N$4),0),$A37-1966)</f>
        <v>75.525000000000006</v>
      </c>
      <c r="O37" s="46" cm="1">
        <f t="array" ref="O37">INDEX(GMWA!$A$2:$DB$60,MATCH(1,(GMWA!$DA$2:$DA$60=O$3)*(GMWA!$CZ$2:$CZ$60=O$4),0),$A37-1966)</f>
        <v>67.016670000000005</v>
      </c>
      <c r="P37" s="46" cm="1">
        <f t="array" ref="P37">INDEX(GMWA!$A$2:$DB$60,MATCH(1,(GMWA!$DA$2:$DA$60=P$3)*(GMWA!$CZ$2:$CZ$60=P$4),0),$A37-1966)</f>
        <v>39.125</v>
      </c>
      <c r="Q37" s="46" cm="1">
        <f t="array" ref="Q37">INDEX(GMWA!$A$2:$DB$60,MATCH(1,(GMWA!$DA$2:$DA$60=Q$3)*(GMWA!$CZ$2:$CZ$60=Q$4),0),$A37-1966)</f>
        <v>68.05</v>
      </c>
      <c r="R37" s="46" cm="1">
        <f t="array" ref="R37">INDEX(GMWA!$A$2:$DB$60,MATCH(1,(GMWA!$DA$2:$DA$60=R$3)*(GMWA!$CZ$2:$CZ$60=R$4),0),$A37-1966)</f>
        <v>80.266660000000002</v>
      </c>
    </row>
    <row r="38" spans="1:18" x14ac:dyDescent="0.35">
      <c r="A38" s="46">
        <f t="shared" si="1"/>
        <v>2004</v>
      </c>
      <c r="B38" s="46" cm="1">
        <f t="array" ref="B38">INDEX(GMWA!$A$2:$DB$60,MATCH(1,(GMWA!$DA$2:$DA$60=B$3)*(GMWA!$CZ$2:$CZ$60=B$4),0),$A38-1966)</f>
        <v>1303476</v>
      </c>
      <c r="C38" s="46" cm="1">
        <f t="array" ref="C38">INDEX(GMWA!$A$2:$DB$60,MATCH(1,(GMWA!$DA$2:$DA$60=C$3)*(GMWA!$CZ$2:$CZ$60=C$4),0),$A38-1966)</f>
        <v>1340203</v>
      </c>
      <c r="D38" s="46" cm="1">
        <f t="array" ref="D38">INDEX(GMWA!$A$2:$DB$60,MATCH(1,(GMWA!$DA$2:$DA$60=D$3)*(GMWA!$CZ$2:$CZ$60=D$4),0),$A38-1966)</f>
        <v>835800</v>
      </c>
      <c r="E38" s="46" cm="1">
        <f t="array" ref="E38">INDEX(GMWA!$A$2:$DB$60,MATCH(1,(GMWA!$DA$2:$DA$60=E$3)*(GMWA!$CZ$2:$CZ$60=E$4),0),$A38-1966)</f>
        <v>853679</v>
      </c>
      <c r="F38" s="46" cm="1">
        <f t="array" ref="F38">INDEX(GMWA!$A$2:$DB$60,MATCH(1,(GMWA!$DA$2:$DA$60=F$3)*(GMWA!$CZ$2:$CZ$60=F$4),0),$A38-1966)</f>
        <v>553541</v>
      </c>
      <c r="G38" s="46" cm="1">
        <f t="array" ref="G38">INDEX(GMWA!$A$2:$DB$60,MATCH(1,(GMWA!$DA$2:$DA$60=G$3)*(GMWA!$CZ$2:$CZ$60=G$4),0),$A38-1966)</f>
        <v>24686.75</v>
      </c>
      <c r="H38" s="46" cm="1">
        <f t="array" ref="H38">INDEX(GMWA!$A$2:$DB$60,MATCH(1,(GMWA!$DA$2:$DA$60=H$3)*(GMWA!$CZ$2:$CZ$60=H$4),0),$A38-1966)</f>
        <v>5605.3909999999996</v>
      </c>
      <c r="I38" s="46" cm="1">
        <f t="array" ref="I38">INDEX(GMWA!$A$2:$DB$60,MATCH(1,(GMWA!$DA$2:$DA$60=I$3)*(GMWA!$CZ$2:$CZ$60=I$4),0),$A38-1966)</f>
        <v>142261</v>
      </c>
      <c r="J38" s="46" cm="1">
        <f t="array" ref="J38">INDEX(GMWA!$A$2:$DB$60,MATCH(1,(GMWA!$DA$2:$DA$60=J$3)*(GMWA!$CZ$2:$CZ$60=J$4),0),$A38-1966)</f>
        <v>46532</v>
      </c>
      <c r="K38" s="46" cm="1">
        <f t="array" ref="K38">INDEX(GMWA!$A$2:$DB$60,MATCH(1,(GMWA!$DA$2:$DA$60=K$3)*(GMWA!$CZ$2:$CZ$60=K$4),0),$A38-1966)</f>
        <v>123898</v>
      </c>
      <c r="L38" s="46" cm="1">
        <f t="array" ref="L38">INDEX(GMWA!$A$2:$DB$60,MATCH(1,(GMWA!$DA$2:$DA$60=L$3)*(GMWA!$CZ$2:$CZ$60=L$4),0),$A38-1966)</f>
        <v>41782</v>
      </c>
      <c r="M38" s="46" cm="1">
        <f t="array" ref="M38">INDEX(GMWA!$A$2:$DB$60,MATCH(1,(GMWA!$DA$2:$DA$60=M$3)*(GMWA!$CZ$2:$CZ$60=M$4),0),$A38-1966)</f>
        <v>64.117680000000007</v>
      </c>
      <c r="N38" s="46" cm="1">
        <f t="array" ref="N38">INDEX(GMWA!$A$2:$DB$60,MATCH(1,(GMWA!$DA$2:$DA$60=N$3)*(GMWA!$CZ$2:$CZ$60=N$4),0),$A38-1966)</f>
        <v>76.541669999999996</v>
      </c>
      <c r="O38" s="46" cm="1">
        <f t="array" ref="O38">INDEX(GMWA!$A$2:$DB$60,MATCH(1,(GMWA!$DA$2:$DA$60=O$3)*(GMWA!$CZ$2:$CZ$60=O$4),0),$A38-1966)</f>
        <v>67.733339999999998</v>
      </c>
      <c r="P38" s="46" cm="1">
        <f t="array" ref="P38">INDEX(GMWA!$A$2:$DB$60,MATCH(1,(GMWA!$DA$2:$DA$60=P$3)*(GMWA!$CZ$2:$CZ$60=P$4),0),$A38-1966)</f>
        <v>41.79166</v>
      </c>
      <c r="Q38" s="46" cm="1">
        <f t="array" ref="Q38">INDEX(GMWA!$A$2:$DB$60,MATCH(1,(GMWA!$DA$2:$DA$60=Q$3)*(GMWA!$CZ$2:$CZ$60=Q$4),0),$A38-1966)</f>
        <v>71.849999999999994</v>
      </c>
      <c r="R38" s="46" cm="1">
        <f t="array" ref="R38">INDEX(GMWA!$A$2:$DB$60,MATCH(1,(GMWA!$DA$2:$DA$60=R$3)*(GMWA!$CZ$2:$CZ$60=R$4),0),$A38-1966)</f>
        <v>81.125</v>
      </c>
    </row>
    <row r="39" spans="1:18" x14ac:dyDescent="0.35">
      <c r="A39" s="46">
        <f t="shared" si="1"/>
        <v>2005</v>
      </c>
      <c r="B39" s="46" cm="1">
        <f t="array" ref="B39">INDEX(GMWA!$A$2:$DB$60,MATCH(1,(GMWA!$DA$2:$DA$60=B$3)*(GMWA!$CZ$2:$CZ$60=B$4),0),$A39-1966)</f>
        <v>1338472</v>
      </c>
      <c r="C39" s="46" cm="1">
        <f t="array" ref="C39">INDEX(GMWA!$A$2:$DB$60,MATCH(1,(GMWA!$DA$2:$DA$60=C$3)*(GMWA!$CZ$2:$CZ$60=C$4),0),$A39-1966)</f>
        <v>1373808</v>
      </c>
      <c r="D39" s="46" cm="1">
        <f t="array" ref="D39">INDEX(GMWA!$A$2:$DB$60,MATCH(1,(GMWA!$DA$2:$DA$60=D$3)*(GMWA!$CZ$2:$CZ$60=D$4),0),$A39-1966)</f>
        <v>873660</v>
      </c>
      <c r="E39" s="46" cm="1">
        <f t="array" ref="E39">INDEX(GMWA!$A$2:$DB$60,MATCH(1,(GMWA!$DA$2:$DA$60=E$3)*(GMWA!$CZ$2:$CZ$60=E$4),0),$A39-1966)</f>
        <v>892146</v>
      </c>
      <c r="F39" s="46" cm="1">
        <f t="array" ref="F39">INDEX(GMWA!$A$2:$DB$60,MATCH(1,(GMWA!$DA$2:$DA$60=F$3)*(GMWA!$CZ$2:$CZ$60=F$4),0),$A39-1966)</f>
        <v>579722</v>
      </c>
      <c r="G39" s="46" cm="1">
        <f t="array" ref="G39">INDEX(GMWA!$A$2:$DB$60,MATCH(1,(GMWA!$DA$2:$DA$60=G$3)*(GMWA!$CZ$2:$CZ$60=G$4),0),$A39-1966)</f>
        <v>24997</v>
      </c>
      <c r="H39" s="46" cm="1">
        <f t="array" ref="H39">INDEX(GMWA!$A$2:$DB$60,MATCH(1,(GMWA!$DA$2:$DA$60=H$3)*(GMWA!$CZ$2:$CZ$60=H$4),0),$A39-1966)</f>
        <v>5797.88</v>
      </c>
      <c r="I39" s="46" cm="1">
        <f t="array" ref="I39">INDEX(GMWA!$A$2:$DB$60,MATCH(1,(GMWA!$DA$2:$DA$60=I$3)*(GMWA!$CZ$2:$CZ$60=I$4),0),$A39-1966)</f>
        <v>148357</v>
      </c>
      <c r="J39" s="46" cm="1">
        <f t="array" ref="J39">INDEX(GMWA!$A$2:$DB$60,MATCH(1,(GMWA!$DA$2:$DA$60=J$3)*(GMWA!$CZ$2:$CZ$60=J$4),0),$A39-1966)</f>
        <v>52682</v>
      </c>
      <c r="K39" s="46" cm="1">
        <f t="array" ref="K39">INDEX(GMWA!$A$2:$DB$60,MATCH(1,(GMWA!$DA$2:$DA$60=K$3)*(GMWA!$CZ$2:$CZ$60=K$4),0),$A39-1966)</f>
        <v>134381</v>
      </c>
      <c r="L39" s="46" cm="1">
        <f t="array" ref="L39">INDEX(GMWA!$A$2:$DB$60,MATCH(1,(GMWA!$DA$2:$DA$60=L$3)*(GMWA!$CZ$2:$CZ$60=L$4),0),$A39-1966)</f>
        <v>44252</v>
      </c>
      <c r="M39" s="46" cm="1">
        <f t="array" ref="M39">INDEX(GMWA!$A$2:$DB$60,MATCH(1,(GMWA!$DA$2:$DA$60=M$3)*(GMWA!$CZ$2:$CZ$60=M$4),0),$A39-1966)</f>
        <v>65.270910000000001</v>
      </c>
      <c r="N39" s="46" cm="1">
        <f t="array" ref="N39">INDEX(GMWA!$A$2:$DB$60,MATCH(1,(GMWA!$DA$2:$DA$60=N$3)*(GMWA!$CZ$2:$CZ$60=N$4),0),$A39-1966)</f>
        <v>78.099999999999994</v>
      </c>
      <c r="O39" s="46" cm="1">
        <f t="array" ref="O39">INDEX(GMWA!$A$2:$DB$60,MATCH(1,(GMWA!$DA$2:$DA$60=O$3)*(GMWA!$CZ$2:$CZ$60=O$4),0),$A39-1966)</f>
        <v>68.900000000000006</v>
      </c>
      <c r="P39" s="46" cm="1">
        <f t="array" ref="P39">INDEX(GMWA!$A$2:$DB$60,MATCH(1,(GMWA!$DA$2:$DA$60=P$3)*(GMWA!$CZ$2:$CZ$60=P$4),0),$A39-1966)</f>
        <v>47.283340000000003</v>
      </c>
      <c r="Q39" s="46" cm="1">
        <f t="array" ref="Q39">INDEX(GMWA!$A$2:$DB$60,MATCH(1,(GMWA!$DA$2:$DA$60=Q$3)*(GMWA!$CZ$2:$CZ$60=Q$4),0),$A39-1966)</f>
        <v>78.141660000000002</v>
      </c>
      <c r="R39" s="46" cm="1">
        <f t="array" ref="R39">INDEX(GMWA!$A$2:$DB$60,MATCH(1,(GMWA!$DA$2:$DA$60=R$3)*(GMWA!$CZ$2:$CZ$60=R$4),0),$A39-1966)</f>
        <v>82.35</v>
      </c>
    </row>
    <row r="40" spans="1:18" x14ac:dyDescent="0.35">
      <c r="A40" s="46">
        <f t="shared" si="1"/>
        <v>2006</v>
      </c>
      <c r="B40" s="46" cm="1">
        <f t="array" ref="B40">INDEX(GMWA!$A$2:$DB$60,MATCH(1,(GMWA!$DA$2:$DA$60=B$3)*(GMWA!$CZ$2:$CZ$60=B$4),0),$A40-1966)</f>
        <v>1349155</v>
      </c>
      <c r="C40" s="46" cm="1">
        <f t="array" ref="C40">INDEX(GMWA!$A$2:$DB$60,MATCH(1,(GMWA!$DA$2:$DA$60=C$3)*(GMWA!$CZ$2:$CZ$60=C$4),0),$A40-1966)</f>
        <v>1398855</v>
      </c>
      <c r="D40" s="46" cm="1">
        <f t="array" ref="D40">INDEX(GMWA!$A$2:$DB$60,MATCH(1,(GMWA!$DA$2:$DA$60=D$3)*(GMWA!$CZ$2:$CZ$60=D$4),0),$A40-1966)</f>
        <v>906653</v>
      </c>
      <c r="E40" s="46" cm="1">
        <f t="array" ref="E40">INDEX(GMWA!$A$2:$DB$60,MATCH(1,(GMWA!$DA$2:$DA$60=E$3)*(GMWA!$CZ$2:$CZ$60=E$4),0),$A40-1966)</f>
        <v>936606</v>
      </c>
      <c r="F40" s="46" cm="1">
        <f t="array" ref="F40">INDEX(GMWA!$A$2:$DB$60,MATCH(1,(GMWA!$DA$2:$DA$60=F$3)*(GMWA!$CZ$2:$CZ$60=F$4),0),$A40-1966)</f>
        <v>611957</v>
      </c>
      <c r="G40" s="46" cm="1">
        <f t="array" ref="G40">INDEX(GMWA!$A$2:$DB$60,MATCH(1,(GMWA!$DA$2:$DA$60=G$3)*(GMWA!$CZ$2:$CZ$60=G$4),0),$A40-1966)</f>
        <v>25195.25</v>
      </c>
      <c r="H40" s="46" cm="1">
        <f t="array" ref="H40">INDEX(GMWA!$A$2:$DB$60,MATCH(1,(GMWA!$DA$2:$DA$60=H$3)*(GMWA!$CZ$2:$CZ$60=H$4),0),$A40-1966)</f>
        <v>6072.0959999999995</v>
      </c>
      <c r="I40" s="46" cm="1">
        <f t="array" ref="I40">INDEX(GMWA!$A$2:$DB$60,MATCH(1,(GMWA!$DA$2:$DA$60=I$3)*(GMWA!$CZ$2:$CZ$60=I$4),0),$A40-1966)</f>
        <v>152949</v>
      </c>
      <c r="J40" s="46" cm="1">
        <f t="array" ref="J40">INDEX(GMWA!$A$2:$DB$60,MATCH(1,(GMWA!$DA$2:$DA$60=J$3)*(GMWA!$CZ$2:$CZ$60=J$4),0),$A40-1966)</f>
        <v>59871</v>
      </c>
      <c r="K40" s="46" cm="1">
        <f t="array" ref="K40">INDEX(GMWA!$A$2:$DB$60,MATCH(1,(GMWA!$DA$2:$DA$60=K$3)*(GMWA!$CZ$2:$CZ$60=K$4),0),$A40-1966)</f>
        <v>143582</v>
      </c>
      <c r="L40" s="46" cm="1">
        <f t="array" ref="L40">INDEX(GMWA!$A$2:$DB$60,MATCH(1,(GMWA!$DA$2:$DA$60=L$3)*(GMWA!$CZ$2:$CZ$60=L$4),0),$A40-1966)</f>
        <v>46524</v>
      </c>
      <c r="M40" s="46" cm="1">
        <f t="array" ref="M40">INDEX(GMWA!$A$2:$DB$60,MATCH(1,(GMWA!$DA$2:$DA$60=M$3)*(GMWA!$CZ$2:$CZ$60=M$4),0),$A40-1966)</f>
        <v>67.199070000000006</v>
      </c>
      <c r="N40" s="46" cm="1">
        <f t="array" ref="N40">INDEX(GMWA!$A$2:$DB$60,MATCH(1,(GMWA!$DA$2:$DA$60=N$3)*(GMWA!$CZ$2:$CZ$60=N$4),0),$A40-1966)</f>
        <v>79.933329999999998</v>
      </c>
      <c r="O40" s="46" cm="1">
        <f t="array" ref="O40">INDEX(GMWA!$A$2:$DB$60,MATCH(1,(GMWA!$DA$2:$DA$60=O$3)*(GMWA!$CZ$2:$CZ$60=O$4),0),$A40-1966)</f>
        <v>70.666659999999993</v>
      </c>
      <c r="P40" s="46" cm="1">
        <f t="array" ref="P40">INDEX(GMWA!$A$2:$DB$60,MATCH(1,(GMWA!$DA$2:$DA$60=P$3)*(GMWA!$CZ$2:$CZ$60=P$4),0),$A40-1966)</f>
        <v>58.966670000000001</v>
      </c>
      <c r="Q40" s="46" cm="1">
        <f t="array" ref="Q40">INDEX(GMWA!$A$2:$DB$60,MATCH(1,(GMWA!$DA$2:$DA$60=Q$3)*(GMWA!$CZ$2:$CZ$60=Q$4),0),$A40-1966)</f>
        <v>82.441670000000002</v>
      </c>
      <c r="R40" s="46" cm="1">
        <f t="array" ref="R40">INDEX(GMWA!$A$2:$DB$60,MATCH(1,(GMWA!$DA$2:$DA$60=R$3)*(GMWA!$CZ$2:$CZ$60=R$4),0),$A40-1966)</f>
        <v>83.441670000000002</v>
      </c>
    </row>
    <row r="41" spans="1:18" x14ac:dyDescent="0.35">
      <c r="A41" s="46">
        <f t="shared" si="1"/>
        <v>2007</v>
      </c>
      <c r="B41" s="46" cm="1">
        <f t="array" ref="B41">INDEX(GMWA!$A$2:$DB$60,MATCH(1,(GMWA!$DA$2:$DA$60=B$3)*(GMWA!$CZ$2:$CZ$60=B$4),0),$A41-1966)</f>
        <v>1397444</v>
      </c>
      <c r="C41" s="46" cm="1">
        <f t="array" ref="C41">INDEX(GMWA!$A$2:$DB$60,MATCH(1,(GMWA!$DA$2:$DA$60=C$3)*(GMWA!$CZ$2:$CZ$60=C$4),0),$A41-1966)</f>
        <v>1455734</v>
      </c>
      <c r="D41" s="46" cm="1">
        <f t="array" ref="D41">INDEX(GMWA!$A$2:$DB$60,MATCH(1,(GMWA!$DA$2:$DA$60=D$3)*(GMWA!$CZ$2:$CZ$60=D$4),0),$A41-1966)</f>
        <v>951695</v>
      </c>
      <c r="E41" s="46" cm="1">
        <f t="array" ref="E41">INDEX(GMWA!$A$2:$DB$60,MATCH(1,(GMWA!$DA$2:$DA$60=E$3)*(GMWA!$CZ$2:$CZ$60=E$4),0),$A41-1966)</f>
        <v>989024</v>
      </c>
      <c r="F41" s="46" cm="1">
        <f t="array" ref="F41">INDEX(GMWA!$A$2:$DB$60,MATCH(1,(GMWA!$DA$2:$DA$60=F$3)*(GMWA!$CZ$2:$CZ$60=F$4),0),$A41-1966)</f>
        <v>654408</v>
      </c>
      <c r="G41" s="46" cm="1">
        <f t="array" ref="G41">INDEX(GMWA!$A$2:$DB$60,MATCH(1,(GMWA!$DA$2:$DA$60=G$3)*(GMWA!$CZ$2:$CZ$60=G$4),0),$A41-1966)</f>
        <v>25345</v>
      </c>
      <c r="H41" s="46" cm="1">
        <f t="array" ref="H41">INDEX(GMWA!$A$2:$DB$60,MATCH(1,(GMWA!$DA$2:$DA$60=H$3)*(GMWA!$CZ$2:$CZ$60=H$4),0),$A41-1966)</f>
        <v>6454.8339999999998</v>
      </c>
      <c r="I41" s="46" cm="1">
        <f t="array" ref="I41">INDEX(GMWA!$A$2:$DB$60,MATCH(1,(GMWA!$DA$2:$DA$60=I$3)*(GMWA!$CZ$2:$CZ$60=I$4),0),$A41-1966)</f>
        <v>163192</v>
      </c>
      <c r="J41" s="46" cm="1">
        <f t="array" ref="J41">INDEX(GMWA!$A$2:$DB$60,MATCH(1,(GMWA!$DA$2:$DA$60=J$3)*(GMWA!$CZ$2:$CZ$60=J$4),0),$A41-1966)</f>
        <v>65950</v>
      </c>
      <c r="K41" s="46" cm="1">
        <f t="array" ref="K41">INDEX(GMWA!$A$2:$DB$60,MATCH(1,(GMWA!$DA$2:$DA$60=K$3)*(GMWA!$CZ$2:$CZ$60=K$4),0),$A41-1966)</f>
        <v>155326</v>
      </c>
      <c r="L41" s="46" cm="1">
        <f t="array" ref="L41">INDEX(GMWA!$A$2:$DB$60,MATCH(1,(GMWA!$DA$2:$DA$60=L$3)*(GMWA!$CZ$2:$CZ$60=L$4),0),$A41-1966)</f>
        <v>46150</v>
      </c>
      <c r="M41" s="46" cm="1">
        <f t="array" ref="M41">INDEX(GMWA!$A$2:$DB$60,MATCH(1,(GMWA!$DA$2:$DA$60=M$3)*(GMWA!$CZ$2:$CZ$60=M$4),0),$A41-1966)</f>
        <v>68.096230000000006</v>
      </c>
      <c r="N41" s="46" cm="1">
        <f t="array" ref="N41">INDEX(GMWA!$A$2:$DB$60,MATCH(1,(GMWA!$DA$2:$DA$60=N$3)*(GMWA!$CZ$2:$CZ$60=N$4),0),$A41-1966)</f>
        <v>81.783330000000007</v>
      </c>
      <c r="O41" s="46" cm="1">
        <f t="array" ref="O41">INDEX(GMWA!$A$2:$DB$60,MATCH(1,(GMWA!$DA$2:$DA$60=O$3)*(GMWA!$CZ$2:$CZ$60=O$4),0),$A41-1966)</f>
        <v>73.658330000000007</v>
      </c>
      <c r="P41" s="46" cm="1">
        <f t="array" ref="P41">INDEX(GMWA!$A$2:$DB$60,MATCH(1,(GMWA!$DA$2:$DA$60=P$3)*(GMWA!$CZ$2:$CZ$60=P$4),0),$A41-1966)</f>
        <v>63.233330000000002</v>
      </c>
      <c r="Q41" s="46" cm="1">
        <f t="array" ref="Q41">INDEX(GMWA!$A$2:$DB$60,MATCH(1,(GMWA!$DA$2:$DA$60=Q$3)*(GMWA!$CZ$2:$CZ$60=Q$4),0),$A41-1966)</f>
        <v>84.833340000000007</v>
      </c>
      <c r="R41" s="46" cm="1">
        <f t="array" ref="R41">INDEX(GMWA!$A$2:$DB$60,MATCH(1,(GMWA!$DA$2:$DA$60=R$3)*(GMWA!$CZ$2:$CZ$60=R$4),0),$A41-1966)</f>
        <v>84.85</v>
      </c>
    </row>
    <row r="42" spans="1:18" x14ac:dyDescent="0.35">
      <c r="A42" s="46">
        <f t="shared" si="1"/>
        <v>2008</v>
      </c>
      <c r="B42" s="46" cm="1">
        <f t="array" ref="B42">INDEX(GMWA!$A$2:$DB$60,MATCH(1,(GMWA!$DA$2:$DA$60=B$3)*(GMWA!$CZ$2:$CZ$60=B$4),0),$A42-1966)</f>
        <v>1384614</v>
      </c>
      <c r="C42" s="46" cm="1">
        <f t="array" ref="C42">INDEX(GMWA!$A$2:$DB$60,MATCH(1,(GMWA!$DA$2:$DA$60=C$3)*(GMWA!$CZ$2:$CZ$60=C$4),0),$A42-1966)</f>
        <v>1448377</v>
      </c>
      <c r="D42" s="46" cm="1">
        <f t="array" ref="D42">INDEX(GMWA!$A$2:$DB$60,MATCH(1,(GMWA!$DA$2:$DA$60=D$3)*(GMWA!$CZ$2:$CZ$60=D$4),0),$A42-1966)</f>
        <v>980317</v>
      </c>
      <c r="E42" s="46" cm="1">
        <f t="array" ref="E42">INDEX(GMWA!$A$2:$DB$60,MATCH(1,(GMWA!$DA$2:$DA$60=E$3)*(GMWA!$CZ$2:$CZ$60=E$4),0),$A42-1966)</f>
        <v>1024014</v>
      </c>
      <c r="F42" s="46" cm="1">
        <f t="array" ref="F42">INDEX(GMWA!$A$2:$DB$60,MATCH(1,(GMWA!$DA$2:$DA$60=F$3)*(GMWA!$CZ$2:$CZ$60=F$4),0),$A42-1966)</f>
        <v>668570</v>
      </c>
      <c r="G42" s="46" cm="1">
        <f t="array" ref="G42">INDEX(GMWA!$A$2:$DB$60,MATCH(1,(GMWA!$DA$2:$DA$60=G$3)*(GMWA!$CZ$2:$CZ$60=G$4),0),$A42-1966)</f>
        <v>25574</v>
      </c>
      <c r="H42" s="46" cm="1">
        <f t="array" ref="H42">INDEX(GMWA!$A$2:$DB$60,MATCH(1,(GMWA!$DA$2:$DA$60=H$3)*(GMWA!$CZ$2:$CZ$60=H$4),0),$A42-1966)</f>
        <v>6535.5969999999998</v>
      </c>
      <c r="I42" s="46" cm="1">
        <f t="array" ref="I42">INDEX(GMWA!$A$2:$DB$60,MATCH(1,(GMWA!$DA$2:$DA$60=I$3)*(GMWA!$CZ$2:$CZ$60=I$4),0),$A42-1966)</f>
        <v>174405</v>
      </c>
      <c r="J42" s="46" cm="1">
        <f t="array" ref="J42">INDEX(GMWA!$A$2:$DB$60,MATCH(1,(GMWA!$DA$2:$DA$60=J$3)*(GMWA!$CZ$2:$CZ$60=J$4),0),$A42-1966)</f>
        <v>69044</v>
      </c>
      <c r="K42" s="46" cm="1">
        <f t="array" ref="K42">INDEX(GMWA!$A$2:$DB$60,MATCH(1,(GMWA!$DA$2:$DA$60=K$3)*(GMWA!$CZ$2:$CZ$60=K$4),0),$A42-1966)</f>
        <v>159860</v>
      </c>
      <c r="L42" s="46" cm="1">
        <f t="array" ref="L42">INDEX(GMWA!$A$2:$DB$60,MATCH(1,(GMWA!$DA$2:$DA$60=L$3)*(GMWA!$CZ$2:$CZ$60=L$4),0),$A42-1966)</f>
        <v>47871</v>
      </c>
      <c r="M42" s="46" cm="1">
        <f t="array" ref="M42">INDEX(GMWA!$A$2:$DB$60,MATCH(1,(GMWA!$DA$2:$DA$60=M$3)*(GMWA!$CZ$2:$CZ$60=M$4),0),$A42-1966)</f>
        <v>70.813059999999993</v>
      </c>
      <c r="N42" s="46" cm="1">
        <f t="array" ref="N42">INDEX(GMWA!$A$2:$DB$60,MATCH(1,(GMWA!$DA$2:$DA$60=N$3)*(GMWA!$CZ$2:$CZ$60=N$4),0),$A42-1966)</f>
        <v>84.724999999999994</v>
      </c>
      <c r="O42" s="46" cm="1">
        <f t="array" ref="O42">INDEX(GMWA!$A$2:$DB$60,MATCH(1,(GMWA!$DA$2:$DA$60=O$3)*(GMWA!$CZ$2:$CZ$60=O$4),0),$A42-1966)</f>
        <v>79.224999999999994</v>
      </c>
      <c r="P42" s="46" cm="1">
        <f t="array" ref="P42">INDEX(GMWA!$A$2:$DB$60,MATCH(1,(GMWA!$DA$2:$DA$60=P$3)*(GMWA!$CZ$2:$CZ$60=P$4),0),$A42-1966)</f>
        <v>74.933329999999998</v>
      </c>
      <c r="Q42" s="46" cm="1">
        <f t="array" ref="Q42">INDEX(GMWA!$A$2:$DB$60,MATCH(1,(GMWA!$DA$2:$DA$60=Q$3)*(GMWA!$CZ$2:$CZ$60=Q$4),0),$A42-1966)</f>
        <v>97.424980000000005</v>
      </c>
      <c r="R42" s="46" cm="1">
        <f t="array" ref="R42">INDEX(GMWA!$A$2:$DB$60,MATCH(1,(GMWA!$DA$2:$DA$60=R$3)*(GMWA!$CZ$2:$CZ$60=R$4),0),$A42-1966)</f>
        <v>86.224999999999994</v>
      </c>
    </row>
    <row r="43" spans="1:18" x14ac:dyDescent="0.35">
      <c r="A43" s="46">
        <f t="shared" si="1"/>
        <v>2009</v>
      </c>
      <c r="B43" s="46" cm="1">
        <f t="array" ref="B43">INDEX(GMWA!$A$2:$DB$60,MATCH(1,(GMWA!$DA$2:$DA$60=B$3)*(GMWA!$CZ$2:$CZ$60=B$4),0),$A43-1966)</f>
        <v>1336656</v>
      </c>
      <c r="C43" s="46" cm="1">
        <f t="array" ref="C43">INDEX(GMWA!$A$2:$DB$60,MATCH(1,(GMWA!$DA$2:$DA$60=C$3)*(GMWA!$CZ$2:$CZ$60=C$4),0),$A43-1966)</f>
        <v>1471733</v>
      </c>
      <c r="D43" s="46" cm="1">
        <f t="array" ref="D43">INDEX(GMWA!$A$2:$DB$60,MATCH(1,(GMWA!$DA$2:$DA$60=D$3)*(GMWA!$CZ$2:$CZ$60=D$4),0),$A43-1966)</f>
        <v>953638</v>
      </c>
      <c r="E43" s="46" cm="1">
        <f t="array" ref="E43">INDEX(GMWA!$A$2:$DB$60,MATCH(1,(GMWA!$DA$2:$DA$60=E$3)*(GMWA!$CZ$2:$CZ$60=E$4),0),$A43-1966)</f>
        <v>1050092</v>
      </c>
      <c r="F43" s="46" cm="1">
        <f t="array" ref="F43">INDEX(GMWA!$A$2:$DB$60,MATCH(1,(GMWA!$DA$2:$DA$60=F$3)*(GMWA!$CZ$2:$CZ$60=F$4),0),$A43-1966)</f>
        <v>656970</v>
      </c>
      <c r="G43" s="46" cm="1">
        <f t="array" ref="G43">INDEX(GMWA!$A$2:$DB$60,MATCH(1,(GMWA!$DA$2:$DA$60=G$3)*(GMWA!$CZ$2:$CZ$60=G$4),0),$A43-1966)</f>
        <v>25092</v>
      </c>
      <c r="H43" s="46" cm="1">
        <f t="array" ref="H43">INDEX(GMWA!$A$2:$DB$60,MATCH(1,(GMWA!$DA$2:$DA$60=H$3)*(GMWA!$CZ$2:$CZ$60=H$4),0),$A43-1966)</f>
        <v>6546.0709999999999</v>
      </c>
      <c r="I43" s="46" cm="1">
        <f t="array" ref="I43">INDEX(GMWA!$A$2:$DB$60,MATCH(1,(GMWA!$DA$2:$DA$60=I$3)*(GMWA!$CZ$2:$CZ$60=I$4),0),$A43-1966)</f>
        <v>192693</v>
      </c>
      <c r="J43" s="46" cm="1">
        <f t="array" ref="J43">INDEX(GMWA!$A$2:$DB$60,MATCH(1,(GMWA!$DA$2:$DA$60=J$3)*(GMWA!$CZ$2:$CZ$60=J$4),0),$A43-1966)</f>
        <v>79699</v>
      </c>
      <c r="K43" s="46" cm="1">
        <f t="array" ref="K43">INDEX(GMWA!$A$2:$DB$60,MATCH(1,(GMWA!$DA$2:$DA$60=K$3)*(GMWA!$CZ$2:$CZ$60=K$4),0),$A43-1966)</f>
        <v>151348</v>
      </c>
      <c r="L43" s="46" cm="1">
        <f t="array" ref="L43">INDEX(GMWA!$A$2:$DB$60,MATCH(1,(GMWA!$DA$2:$DA$60=L$3)*(GMWA!$CZ$2:$CZ$60=L$4),0),$A43-1966)</f>
        <v>46193</v>
      </c>
      <c r="M43" s="46" cm="1">
        <f t="array" ref="M43">INDEX(GMWA!$A$2:$DB$60,MATCH(1,(GMWA!$DA$2:$DA$60=M$3)*(GMWA!$CZ$2:$CZ$60=M$4),0),$A43-1966)</f>
        <v>71.345640000000003</v>
      </c>
      <c r="N43" s="46" cm="1">
        <f t="array" ref="N43">INDEX(GMWA!$A$2:$DB$60,MATCH(1,(GMWA!$DA$2:$DA$60=N$3)*(GMWA!$CZ$2:$CZ$60=N$4),0),$A43-1966)</f>
        <v>86.575000000000003</v>
      </c>
      <c r="O43" s="46" cm="1">
        <f t="array" ref="O43">INDEX(GMWA!$A$2:$DB$60,MATCH(1,(GMWA!$DA$2:$DA$60=O$3)*(GMWA!$CZ$2:$CZ$60=O$4),0),$A43-1966)</f>
        <v>83.325000000000003</v>
      </c>
      <c r="P43" s="46" cm="1">
        <f t="array" ref="P43">INDEX(GMWA!$A$2:$DB$60,MATCH(1,(GMWA!$DA$2:$DA$60=P$3)*(GMWA!$CZ$2:$CZ$60=P$4),0),$A43-1966)</f>
        <v>80.141670000000005</v>
      </c>
      <c r="Q43" s="46" cm="1">
        <f t="array" ref="Q43">INDEX(GMWA!$A$2:$DB$60,MATCH(1,(GMWA!$DA$2:$DA$60=Q$3)*(GMWA!$CZ$2:$CZ$60=Q$4),0),$A43-1966)</f>
        <v>89.791669999999996</v>
      </c>
      <c r="R43" s="46" cm="1">
        <f t="array" ref="R43">INDEX(GMWA!$A$2:$DB$60,MATCH(1,(GMWA!$DA$2:$DA$60=R$3)*(GMWA!$CZ$2:$CZ$60=R$4),0),$A43-1966)</f>
        <v>87.741659999999996</v>
      </c>
    </row>
    <row r="44" spans="1:18" x14ac:dyDescent="0.35">
      <c r="A44" s="46">
        <f t="shared" si="1"/>
        <v>2010</v>
      </c>
      <c r="B44" s="46" cm="1">
        <f t="array" ref="B44">INDEX(GMWA!$A$2:$DB$60,MATCH(1,(GMWA!$DA$2:$DA$60=B$3)*(GMWA!$CZ$2:$CZ$60=B$4),0),$A44-1966)</f>
        <v>1372907</v>
      </c>
      <c r="C44" s="46" cm="1">
        <f t="array" ref="C44">INDEX(GMWA!$A$2:$DB$60,MATCH(1,(GMWA!$DA$2:$DA$60=C$3)*(GMWA!$CZ$2:$CZ$60=C$4),0),$A44-1966)</f>
        <v>1486258</v>
      </c>
      <c r="D44" s="46" cm="1">
        <f t="array" ref="D44">INDEX(GMWA!$A$2:$DB$60,MATCH(1,(GMWA!$DA$2:$DA$60=D$3)*(GMWA!$CZ$2:$CZ$60=D$4),0),$A44-1966)</f>
        <v>988252</v>
      </c>
      <c r="E44" s="46" cm="1">
        <f t="array" ref="E44">INDEX(GMWA!$A$2:$DB$60,MATCH(1,(GMWA!$DA$2:$DA$60=E$3)*(GMWA!$CZ$2:$CZ$60=E$4),0),$A44-1966)</f>
        <v>1070069</v>
      </c>
      <c r="F44" s="46" cm="1">
        <f t="array" ref="F44">INDEX(GMWA!$A$2:$DB$60,MATCH(1,(GMWA!$DA$2:$DA$60=F$3)*(GMWA!$CZ$2:$CZ$60=F$4),0),$A44-1966)</f>
        <v>662226</v>
      </c>
      <c r="G44" s="46" cm="1">
        <f t="array" ref="G44">INDEX(GMWA!$A$2:$DB$60,MATCH(1,(GMWA!$DA$2:$DA$60=G$3)*(GMWA!$CZ$2:$CZ$60=G$4),0),$A44-1966)</f>
        <v>25016.75</v>
      </c>
      <c r="H44" s="46" cm="1">
        <f t="array" ref="H44">INDEX(GMWA!$A$2:$DB$60,MATCH(1,(GMWA!$DA$2:$DA$60=H$3)*(GMWA!$CZ$2:$CZ$60=H$4),0),$A44-1966)</f>
        <v>6617.7969999999996</v>
      </c>
      <c r="I44" s="46" cm="1">
        <f t="array" ref="I44">INDEX(GMWA!$A$2:$DB$60,MATCH(1,(GMWA!$DA$2:$DA$60=I$3)*(GMWA!$CZ$2:$CZ$60=I$4),0),$A44-1966)</f>
        <v>200560</v>
      </c>
      <c r="J44" s="46" cm="1">
        <f t="array" ref="J44">INDEX(GMWA!$A$2:$DB$60,MATCH(1,(GMWA!$DA$2:$DA$60=J$3)*(GMWA!$CZ$2:$CZ$60=J$4),0),$A44-1966)</f>
        <v>71206</v>
      </c>
      <c r="K44" s="46" cm="1">
        <f t="array" ref="K44">INDEX(GMWA!$A$2:$DB$60,MATCH(1,(GMWA!$DA$2:$DA$60=K$3)*(GMWA!$CZ$2:$CZ$60=K$4),0),$A44-1966)</f>
        <v>152420</v>
      </c>
      <c r="L44" s="46" cm="1">
        <f t="array" ref="L44">INDEX(GMWA!$A$2:$DB$60,MATCH(1,(GMWA!$DA$2:$DA$60=L$3)*(GMWA!$CZ$2:$CZ$60=L$4),0),$A44-1966)</f>
        <v>47029</v>
      </c>
      <c r="M44" s="46" cm="1">
        <f t="array" ref="M44">INDEX(GMWA!$A$2:$DB$60,MATCH(1,(GMWA!$DA$2:$DA$60=M$3)*(GMWA!$CZ$2:$CZ$60=M$4),0),$A44-1966)</f>
        <v>71.976439999999997</v>
      </c>
      <c r="N44" s="46" cm="1">
        <f t="array" ref="N44">INDEX(GMWA!$A$2:$DB$60,MATCH(1,(GMWA!$DA$2:$DA$60=N$3)*(GMWA!$CZ$2:$CZ$60=N$4),0),$A44-1966)</f>
        <v>89.433329999999998</v>
      </c>
      <c r="O44" s="46" cm="1">
        <f t="array" ref="O44">INDEX(GMWA!$A$2:$DB$60,MATCH(1,(GMWA!$DA$2:$DA$60=O$3)*(GMWA!$CZ$2:$CZ$60=O$4),0),$A44-1966)</f>
        <v>86.625</v>
      </c>
      <c r="P44" s="46" cm="1">
        <f t="array" ref="P44">INDEX(GMWA!$A$2:$DB$60,MATCH(1,(GMWA!$DA$2:$DA$60=P$3)*(GMWA!$CZ$2:$CZ$60=P$4),0),$A44-1966)</f>
        <v>77.908339999999995</v>
      </c>
      <c r="Q44" s="46" cm="1">
        <f t="array" ref="Q44">INDEX(GMWA!$A$2:$DB$60,MATCH(1,(GMWA!$DA$2:$DA$60=Q$3)*(GMWA!$CZ$2:$CZ$60=Q$4),0),$A44-1966)</f>
        <v>104.8167</v>
      </c>
      <c r="R44" s="46" cm="1">
        <f t="array" ref="R44">INDEX(GMWA!$A$2:$DB$60,MATCH(1,(GMWA!$DA$2:$DA$60=R$3)*(GMWA!$CZ$2:$CZ$60=R$4),0),$A44-1966)</f>
        <v>90.266670000000005</v>
      </c>
    </row>
    <row r="45" spans="1:18" x14ac:dyDescent="0.35">
      <c r="A45" s="46">
        <f t="shared" si="1"/>
        <v>2011</v>
      </c>
      <c r="B45" s="46" cm="1">
        <f t="array" ref="B45">INDEX(GMWA!$A$2:$DB$60,MATCH(1,(GMWA!$DA$2:$DA$60=B$3)*(GMWA!$CZ$2:$CZ$60=B$4),0),$A45-1966)</f>
        <v>1364172</v>
      </c>
      <c r="C45" s="46" cm="1">
        <f t="array" ref="C45">INDEX(GMWA!$A$2:$DB$60,MATCH(1,(GMWA!$DA$2:$DA$60=C$3)*(GMWA!$CZ$2:$CZ$60=C$4),0),$A45-1966)</f>
        <v>1450518</v>
      </c>
      <c r="D45" s="46" cm="1">
        <f t="array" ref="D45">INDEX(GMWA!$A$2:$DB$60,MATCH(1,(GMWA!$DA$2:$DA$60=D$3)*(GMWA!$CZ$2:$CZ$60=D$4),0),$A45-1966)</f>
        <v>1020931</v>
      </c>
      <c r="E45" s="46" cm="1">
        <f t="array" ref="E45">INDEX(GMWA!$A$2:$DB$60,MATCH(1,(GMWA!$DA$2:$DA$60=E$3)*(GMWA!$CZ$2:$CZ$60=E$4),0),$A45-1966)</f>
        <v>1084990</v>
      </c>
      <c r="F45" s="46" cm="1">
        <f t="array" ref="F45">INDEX(GMWA!$A$2:$DB$60,MATCH(1,(GMWA!$DA$2:$DA$60=F$3)*(GMWA!$CZ$2:$CZ$60=F$4),0),$A45-1966)</f>
        <v>677441</v>
      </c>
      <c r="G45" s="46" cm="1">
        <f t="array" ref="G45">INDEX(GMWA!$A$2:$DB$60,MATCH(1,(GMWA!$DA$2:$DA$60=G$3)*(GMWA!$CZ$2:$CZ$60=G$4),0),$A45-1966)</f>
        <v>25117.5</v>
      </c>
      <c r="H45" s="46" cm="1">
        <f t="array" ref="H45">INDEX(GMWA!$A$2:$DB$60,MATCH(1,(GMWA!$DA$2:$DA$60=H$3)*(GMWA!$CZ$2:$CZ$60=H$4),0),$A45-1966)</f>
        <v>6742.7129999999997</v>
      </c>
      <c r="I45" s="46" cm="1">
        <f t="array" ref="I45">INDEX(GMWA!$A$2:$DB$60,MATCH(1,(GMWA!$DA$2:$DA$60=I$3)*(GMWA!$CZ$2:$CZ$60=I$4),0),$A45-1966)</f>
        <v>206318</v>
      </c>
      <c r="J45" s="46" cm="1">
        <f t="array" ref="J45">INDEX(GMWA!$A$2:$DB$60,MATCH(1,(GMWA!$DA$2:$DA$60=J$3)*(GMWA!$CZ$2:$CZ$60=J$4),0),$A45-1966)</f>
        <v>70107</v>
      </c>
      <c r="K45" s="46" cm="1">
        <f t="array" ref="K45">INDEX(GMWA!$A$2:$DB$60,MATCH(1,(GMWA!$DA$2:$DA$60=K$3)*(GMWA!$CZ$2:$CZ$60=K$4),0),$A45-1966)</f>
        <v>157594</v>
      </c>
      <c r="L45" s="46" cm="1">
        <f t="array" ref="L45">INDEX(GMWA!$A$2:$DB$60,MATCH(1,(GMWA!$DA$2:$DA$60=L$3)*(GMWA!$CZ$2:$CZ$60=L$4),0),$A45-1966)</f>
        <v>49399</v>
      </c>
      <c r="M45" s="46" cm="1">
        <f t="array" ref="M45">INDEX(GMWA!$A$2:$DB$60,MATCH(1,(GMWA!$DA$2:$DA$60=M$3)*(GMWA!$CZ$2:$CZ$60=M$4),0),$A45-1966)</f>
        <v>74.839039999999997</v>
      </c>
      <c r="N45" s="46" cm="1">
        <f t="array" ref="N45">INDEX(GMWA!$A$2:$DB$60,MATCH(1,(GMWA!$DA$2:$DA$60=N$3)*(GMWA!$CZ$2:$CZ$60=N$4),0),$A45-1966)</f>
        <v>93.424999999999997</v>
      </c>
      <c r="O45" s="46" cm="1">
        <f t="array" ref="O45">INDEX(GMWA!$A$2:$DB$60,MATCH(1,(GMWA!$DA$2:$DA$60=O$3)*(GMWA!$CZ$2:$CZ$60=O$4),0),$A45-1966)</f>
        <v>92.100009999999997</v>
      </c>
      <c r="P45" s="46" cm="1">
        <f t="array" ref="P45">INDEX(GMWA!$A$2:$DB$60,MATCH(1,(GMWA!$DA$2:$DA$60=P$3)*(GMWA!$CZ$2:$CZ$60=P$4),0),$A45-1966)</f>
        <v>85.666659999999993</v>
      </c>
      <c r="Q45" s="46" cm="1">
        <f t="array" ref="Q45">INDEX(GMWA!$A$2:$DB$60,MATCH(1,(GMWA!$DA$2:$DA$60=Q$3)*(GMWA!$CZ$2:$CZ$60=Q$4),0),$A45-1966)</f>
        <v>120.1917</v>
      </c>
      <c r="R45" s="46" cm="1">
        <f t="array" ref="R45">INDEX(GMWA!$A$2:$DB$60,MATCH(1,(GMWA!$DA$2:$DA$60=R$3)*(GMWA!$CZ$2:$CZ$60=R$4),0),$A45-1966)</f>
        <v>93.166659999999993</v>
      </c>
    </row>
    <row r="46" spans="1:18" x14ac:dyDescent="0.35">
      <c r="A46" s="46">
        <f t="shared" si="1"/>
        <v>2012</v>
      </c>
      <c r="B46" s="46" cm="1">
        <f t="array" ref="B46">INDEX(GMWA!$A$2:$DB$60,MATCH(1,(GMWA!$DA$2:$DA$60=B$3)*(GMWA!$CZ$2:$CZ$60=B$4),0),$A46-1966)</f>
        <v>1392361</v>
      </c>
      <c r="C46" s="46" cm="1">
        <f t="array" ref="C46">INDEX(GMWA!$A$2:$DB$60,MATCH(1,(GMWA!$DA$2:$DA$60=C$3)*(GMWA!$CZ$2:$CZ$60=C$4),0),$A46-1966)</f>
        <v>1486025</v>
      </c>
      <c r="D46" s="46" cm="1">
        <f t="array" ref="D46">INDEX(GMWA!$A$2:$DB$60,MATCH(1,(GMWA!$DA$2:$DA$60=D$3)*(GMWA!$CZ$2:$CZ$60=D$4),0),$A46-1966)</f>
        <v>1058894</v>
      </c>
      <c r="E46" s="46" cm="1">
        <f t="array" ref="E46">INDEX(GMWA!$A$2:$DB$60,MATCH(1,(GMWA!$DA$2:$DA$60=E$3)*(GMWA!$CZ$2:$CZ$60=E$4),0),$A46-1966)</f>
        <v>1130017</v>
      </c>
      <c r="F46" s="46" cm="1">
        <f t="array" ref="F46">INDEX(GMWA!$A$2:$DB$60,MATCH(1,(GMWA!$DA$2:$DA$60=F$3)*(GMWA!$CZ$2:$CZ$60=F$4),0),$A46-1966)</f>
        <v>686534</v>
      </c>
      <c r="G46" s="46" cm="1">
        <f t="array" ref="G46">INDEX(GMWA!$A$2:$DB$60,MATCH(1,(GMWA!$DA$2:$DA$60=G$3)*(GMWA!$CZ$2:$CZ$60=G$4),0),$A46-1966)</f>
        <v>25213.25</v>
      </c>
      <c r="H46" s="46" cm="1">
        <f t="array" ref="H46">INDEX(GMWA!$A$2:$DB$60,MATCH(1,(GMWA!$DA$2:$DA$60=H$3)*(GMWA!$CZ$2:$CZ$60=H$4),0),$A46-1966)</f>
        <v>6807.28</v>
      </c>
      <c r="I46" s="46" cm="1">
        <f t="array" ref="I46">INDEX(GMWA!$A$2:$DB$60,MATCH(1,(GMWA!$DA$2:$DA$60=I$3)*(GMWA!$CZ$2:$CZ$60=I$4),0),$A46-1966)</f>
        <v>215584</v>
      </c>
      <c r="J46" s="46" cm="1">
        <f t="array" ref="J46">INDEX(GMWA!$A$2:$DB$60,MATCH(1,(GMWA!$DA$2:$DA$60=J$3)*(GMWA!$CZ$2:$CZ$60=J$4),0),$A46-1966)</f>
        <v>75414</v>
      </c>
      <c r="K46" s="46" cm="1">
        <f t="array" ref="K46">INDEX(GMWA!$A$2:$DB$60,MATCH(1,(GMWA!$DA$2:$DA$60=K$3)*(GMWA!$CZ$2:$CZ$60=K$4),0),$A46-1966)</f>
        <v>153730</v>
      </c>
      <c r="L46" s="46" cm="1">
        <f t="array" ref="L46">INDEX(GMWA!$A$2:$DB$60,MATCH(1,(GMWA!$DA$2:$DA$60=L$3)*(GMWA!$CZ$2:$CZ$60=L$4),0),$A46-1966)</f>
        <v>49960</v>
      </c>
      <c r="M46" s="46" cm="1">
        <f t="array" ref="M46">INDEX(GMWA!$A$2:$DB$60,MATCH(1,(GMWA!$DA$2:$DA$60=M$3)*(GMWA!$CZ$2:$CZ$60=M$4),0),$A46-1966)</f>
        <v>76.048360000000002</v>
      </c>
      <c r="N46" s="46" cm="1">
        <f t="array" ref="N46">INDEX(GMWA!$A$2:$DB$60,MATCH(1,(GMWA!$DA$2:$DA$60=N$3)*(GMWA!$CZ$2:$CZ$60=N$4),0),$A46-1966)</f>
        <v>96.041669999999996</v>
      </c>
      <c r="O46" s="46" cm="1">
        <f t="array" ref="O46">INDEX(GMWA!$A$2:$DB$60,MATCH(1,(GMWA!$DA$2:$DA$60=O$3)*(GMWA!$CZ$2:$CZ$60=O$4),0),$A46-1966)</f>
        <v>95.8</v>
      </c>
      <c r="P46" s="46" cm="1">
        <f t="array" ref="P46">INDEX(GMWA!$A$2:$DB$60,MATCH(1,(GMWA!$DA$2:$DA$60=P$3)*(GMWA!$CZ$2:$CZ$60=P$4),0),$A46-1966)</f>
        <v>92.483339999999998</v>
      </c>
      <c r="Q46" s="46" cm="1">
        <f t="array" ref="Q46">INDEX(GMWA!$A$2:$DB$60,MATCH(1,(GMWA!$DA$2:$DA$60=Q$3)*(GMWA!$CZ$2:$CZ$60=Q$4),0),$A46-1966)</f>
        <v>122.5333</v>
      </c>
      <c r="R46" s="46" cm="1">
        <f t="array" ref="R46">INDEX(GMWA!$A$2:$DB$60,MATCH(1,(GMWA!$DA$2:$DA$60=R$3)*(GMWA!$CZ$2:$CZ$60=R$4),0),$A46-1966)</f>
        <v>95.35</v>
      </c>
    </row>
    <row r="47" spans="1:18" x14ac:dyDescent="0.35">
      <c r="A47" s="46">
        <f t="shared" si="1"/>
        <v>2013</v>
      </c>
      <c r="B47" s="46" cm="1">
        <f t="array" ref="B47">INDEX(GMWA!$A$2:$DB$60,MATCH(1,(GMWA!$DA$2:$DA$60=B$3)*(GMWA!$CZ$2:$CZ$60=B$4),0),$A47-1966)</f>
        <v>1427390</v>
      </c>
      <c r="C47" s="46" cm="1">
        <f t="array" ref="C47">INDEX(GMWA!$A$2:$DB$60,MATCH(1,(GMWA!$DA$2:$DA$60=C$3)*(GMWA!$CZ$2:$CZ$60=C$4),0),$A47-1966)</f>
        <v>1512963</v>
      </c>
      <c r="D47" s="46" cm="1">
        <f t="array" ref="D47">INDEX(GMWA!$A$2:$DB$60,MATCH(1,(GMWA!$DA$2:$DA$60=D$3)*(GMWA!$CZ$2:$CZ$60=D$4),0),$A47-1966)</f>
        <v>1109368</v>
      </c>
      <c r="E47" s="46" cm="1">
        <f t="array" ref="E47">INDEX(GMWA!$A$2:$DB$60,MATCH(1,(GMWA!$DA$2:$DA$60=E$3)*(GMWA!$CZ$2:$CZ$60=E$4),0),$A47-1966)</f>
        <v>1175937</v>
      </c>
      <c r="F47" s="46" cm="1">
        <f t="array" ref="F47">INDEX(GMWA!$A$2:$DB$60,MATCH(1,(GMWA!$DA$2:$DA$60=F$3)*(GMWA!$CZ$2:$CZ$60=F$4),0),$A47-1966)</f>
        <v>717872</v>
      </c>
      <c r="G47" s="46" cm="1">
        <f t="array" ref="G47">INDEX(GMWA!$A$2:$DB$60,MATCH(1,(GMWA!$DA$2:$DA$60=G$3)*(GMWA!$CZ$2:$CZ$60=G$4),0),$A47-1966)</f>
        <v>25513.5</v>
      </c>
      <c r="H47" s="46" cm="1">
        <f t="array" ref="H47">INDEX(GMWA!$A$2:$DB$60,MATCH(1,(GMWA!$DA$2:$DA$60=H$3)*(GMWA!$CZ$2:$CZ$60=H$4),0),$A47-1966)</f>
        <v>7033.8789999999999</v>
      </c>
      <c r="I47" s="46" cm="1">
        <f t="array" ref="I47">INDEX(GMWA!$A$2:$DB$60,MATCH(1,(GMWA!$DA$2:$DA$60=I$3)*(GMWA!$CZ$2:$CZ$60=I$4),0),$A47-1966)</f>
        <v>219182</v>
      </c>
      <c r="J47" s="46" cm="1">
        <f t="array" ref="J47">INDEX(GMWA!$A$2:$DB$60,MATCH(1,(GMWA!$DA$2:$DA$60=J$3)*(GMWA!$CZ$2:$CZ$60=J$4),0),$A47-1966)</f>
        <v>87119</v>
      </c>
      <c r="K47" s="46" cm="1">
        <f t="array" ref="K47">INDEX(GMWA!$A$2:$DB$60,MATCH(1,(GMWA!$DA$2:$DA$60=K$3)*(GMWA!$CZ$2:$CZ$60=K$4),0),$A47-1966)</f>
        <v>158986</v>
      </c>
      <c r="L47" s="46" cm="1">
        <f t="array" ref="L47">INDEX(GMWA!$A$2:$DB$60,MATCH(1,(GMWA!$DA$2:$DA$60=L$3)*(GMWA!$CZ$2:$CZ$60=L$4),0),$A47-1966)</f>
        <v>51670</v>
      </c>
      <c r="M47" s="46" cm="1">
        <f t="array" ref="M47">INDEX(GMWA!$A$2:$DB$60,MATCH(1,(GMWA!$DA$2:$DA$60=M$3)*(GMWA!$CZ$2:$CZ$60=M$4),0),$A47-1966)</f>
        <v>77.717609999999993</v>
      </c>
      <c r="N47" s="46" cm="1">
        <f t="array" ref="N47">INDEX(GMWA!$A$2:$DB$60,MATCH(1,(GMWA!$DA$2:$DA$60=N$3)*(GMWA!$CZ$2:$CZ$60=N$4),0),$A47-1966)</f>
        <v>98.508330000000001</v>
      </c>
      <c r="O47" s="46" cm="1">
        <f t="array" ref="O47">INDEX(GMWA!$A$2:$DB$60,MATCH(1,(GMWA!$DA$2:$DA$60=O$3)*(GMWA!$CZ$2:$CZ$60=O$4),0),$A47-1966)</f>
        <v>100.1417</v>
      </c>
      <c r="P47" s="46" cm="1">
        <f t="array" ref="P47">INDEX(GMWA!$A$2:$DB$60,MATCH(1,(GMWA!$DA$2:$DA$60=P$3)*(GMWA!$CZ$2:$CZ$60=P$4),0),$A47-1966)</f>
        <v>99.124989999999997</v>
      </c>
      <c r="Q47" s="46" cm="1">
        <f t="array" ref="Q47">INDEX(GMWA!$A$2:$DB$60,MATCH(1,(GMWA!$DA$2:$DA$60=Q$3)*(GMWA!$CZ$2:$CZ$60=Q$4),0),$A47-1966)</f>
        <v>121.2</v>
      </c>
      <c r="R47" s="46" cm="1">
        <f t="array" ref="R47">INDEX(GMWA!$A$2:$DB$60,MATCH(1,(GMWA!$DA$2:$DA$60=R$3)*(GMWA!$CZ$2:$CZ$60=R$4),0),$A47-1966)</f>
        <v>97.325000000000003</v>
      </c>
    </row>
    <row r="48" spans="1:18" x14ac:dyDescent="0.35">
      <c r="A48" s="46">
        <f>+A47+1</f>
        <v>2014</v>
      </c>
      <c r="B48" s="46" cm="1">
        <f t="array" ref="B48">INDEX(GMWA!$A$2:$DB$60,MATCH(1,(GMWA!$DA$2:$DA$60=B$3)*(GMWA!$CZ$2:$CZ$60=B$4),0),$A48-1966)</f>
        <v>1471584</v>
      </c>
      <c r="C48" s="46" cm="1">
        <f t="array" ref="C48">INDEX(GMWA!$A$2:$DB$60,MATCH(1,(GMWA!$DA$2:$DA$60=C$3)*(GMWA!$CZ$2:$CZ$60=C$4),0),$A48-1966)</f>
        <v>1548542</v>
      </c>
      <c r="D48" s="46" cm="1">
        <f t="array" ref="D48">INDEX(GMWA!$A$2:$DB$60,MATCH(1,(GMWA!$DA$2:$DA$60=D$3)*(GMWA!$CZ$2:$CZ$60=D$4),0),$A48-1966)</f>
        <v>1156436</v>
      </c>
      <c r="E48" s="46" cm="1">
        <f t="array" ref="E48">INDEX(GMWA!$A$2:$DB$60,MATCH(1,(GMWA!$DA$2:$DA$60=E$3)*(GMWA!$CZ$2:$CZ$60=E$4),0),$A48-1966)</f>
        <v>1217891</v>
      </c>
      <c r="F48" s="46" cm="1">
        <f t="array" ref="F48">INDEX(GMWA!$A$2:$DB$60,MATCH(1,(GMWA!$DA$2:$DA$60=F$3)*(GMWA!$CZ$2:$CZ$60=F$4),0),$A48-1966)</f>
        <v>745029</v>
      </c>
      <c r="G48" s="46" cm="1">
        <f t="array" ref="G48">INDEX(GMWA!$A$2:$DB$60,MATCH(1,(GMWA!$DA$2:$DA$60=G$3)*(GMWA!$CZ$2:$CZ$60=G$4),0),$A48-1966)</f>
        <v>25959.5</v>
      </c>
      <c r="H48" s="46" cm="1">
        <f t="array" ref="H48">INDEX(GMWA!$A$2:$DB$60,MATCH(1,(GMWA!$DA$2:$DA$60=H$3)*(GMWA!$CZ$2:$CZ$60=H$4),0),$A48-1966)</f>
        <v>7175.1580000000004</v>
      </c>
      <c r="I48" s="46" cm="1">
        <f t="array" ref="I48">INDEX(GMWA!$A$2:$DB$60,MATCH(1,(GMWA!$DA$2:$DA$60=I$3)*(GMWA!$CZ$2:$CZ$60=I$4),0),$A48-1966)</f>
        <v>224042</v>
      </c>
      <c r="J48" s="46" cm="1">
        <f t="array" ref="J48">INDEX(GMWA!$A$2:$DB$60,MATCH(1,(GMWA!$DA$2:$DA$60=J$3)*(GMWA!$CZ$2:$CZ$60=J$4),0),$A48-1966)</f>
        <v>91668</v>
      </c>
      <c r="K48" s="46" cm="1">
        <f t="array" ref="K48">INDEX(GMWA!$A$2:$DB$60,MATCH(1,(GMWA!$DA$2:$DA$60=K$3)*(GMWA!$CZ$2:$CZ$60=K$4),0),$A48-1966)</f>
        <v>162609</v>
      </c>
      <c r="L48" s="46" cm="1">
        <f t="array" ref="L48">INDEX(GMWA!$A$2:$DB$60,MATCH(1,(GMWA!$DA$2:$DA$60=L$3)*(GMWA!$CZ$2:$CZ$60=L$4),0),$A48-1966)</f>
        <v>53315</v>
      </c>
      <c r="M48" s="46" cm="1">
        <f t="array" ref="M48">INDEX(GMWA!$A$2:$DB$60,MATCH(1,(GMWA!$DA$2:$DA$60=M$3)*(GMWA!$CZ$2:$CZ$60=M$4),0),$A48-1966)</f>
        <v>78.584919999999997</v>
      </c>
      <c r="N48" s="46" cm="1">
        <f t="array" ref="N48">INDEX(GMWA!$A$2:$DB$60,MATCH(1,(GMWA!$DA$2:$DA$60=N$3)*(GMWA!$CZ$2:$CZ$60=N$4),0),$A48-1966)</f>
        <v>99.958330000000004</v>
      </c>
      <c r="O48" s="46" cm="1">
        <f t="array" ref="O48">INDEX(GMWA!$A$2:$DB$60,MATCH(1,(GMWA!$DA$2:$DA$60=O$3)*(GMWA!$CZ$2:$CZ$60=O$4),0),$A48-1966)</f>
        <v>101.27500000000001</v>
      </c>
      <c r="P48" s="46" cm="1">
        <f t="array" ref="P48">INDEX(GMWA!$A$2:$DB$60,MATCH(1,(GMWA!$DA$2:$DA$60=P$3)*(GMWA!$CZ$2:$CZ$60=P$4),0),$A48-1966)</f>
        <v>103.4417</v>
      </c>
      <c r="Q48" s="46" cm="1">
        <f t="array" ref="Q48">INDEX(GMWA!$A$2:$DB$60,MATCH(1,(GMWA!$DA$2:$DA$60=Q$3)*(GMWA!$CZ$2:$CZ$60=Q$4),0),$A48-1966)</f>
        <v>115.1416</v>
      </c>
      <c r="R48" s="46" cm="1">
        <f t="array" ref="R48">INDEX(GMWA!$A$2:$DB$60,MATCH(1,(GMWA!$DA$2:$DA$60=R$3)*(GMWA!$CZ$2:$CZ$60=R$4),0),$A48-1966)</f>
        <v>98.924999999999997</v>
      </c>
    </row>
    <row r="49" spans="1:18" x14ac:dyDescent="0.35">
      <c r="A49" s="46">
        <f t="shared" ref="A49:A94" si="2">+A48+1</f>
        <v>2015</v>
      </c>
      <c r="B49" s="46" cm="1">
        <f t="array" ref="B49">INDEX(GMWA!$A$2:$DB$60,MATCH(1,(GMWA!$DA$2:$DA$60=B$3)*(GMWA!$CZ$2:$CZ$60=B$4),0),$A49-1966)</f>
        <v>1516223</v>
      </c>
      <c r="C49" s="46" cm="1">
        <f t="array" ref="C49">INDEX(GMWA!$A$2:$DB$60,MATCH(1,(GMWA!$DA$2:$DA$60=C$3)*(GMWA!$CZ$2:$CZ$60=C$4),0),$A49-1966)</f>
        <v>1642001</v>
      </c>
      <c r="D49" s="46" cm="1">
        <f t="array" ref="D49">INDEX(GMWA!$A$2:$DB$60,MATCH(1,(GMWA!$DA$2:$DA$60=D$3)*(GMWA!$CZ$2:$CZ$60=D$4),0),$A49-1966)</f>
        <v>1187125</v>
      </c>
      <c r="E49" s="46" cm="1">
        <f t="array" ref="E49">INDEX(GMWA!$A$2:$DB$60,MATCH(1,(GMWA!$DA$2:$DA$60=E$3)*(GMWA!$CZ$2:$CZ$60=E$4),0),$A49-1966)</f>
        <v>1287116</v>
      </c>
      <c r="F49" s="46" cm="1">
        <f t="array" ref="F49">INDEX(GMWA!$A$2:$DB$60,MATCH(1,(GMWA!$DA$2:$DA$60=F$3)*(GMWA!$CZ$2:$CZ$60=F$4),0),$A49-1966)</f>
        <v>769817</v>
      </c>
      <c r="G49" s="46" cm="1">
        <f t="array" ref="G49">INDEX(GMWA!$A$2:$DB$60,MATCH(1,(GMWA!$DA$2:$DA$60=G$3)*(GMWA!$CZ$2:$CZ$60=G$4),0),$A49-1966)</f>
        <v>26503.5</v>
      </c>
      <c r="H49" s="46" cm="1">
        <f t="array" ref="H49">INDEX(GMWA!$A$2:$DB$60,MATCH(1,(GMWA!$DA$2:$DA$60=H$3)*(GMWA!$CZ$2:$CZ$60=H$4),0),$A49-1966)</f>
        <v>7261.3119999999999</v>
      </c>
      <c r="I49" s="46" cm="1">
        <f t="array" ref="I49">INDEX(GMWA!$A$2:$DB$60,MATCH(1,(GMWA!$DA$2:$DA$60=I$3)*(GMWA!$CZ$2:$CZ$60=I$4),0),$A49-1966)</f>
        <v>228890</v>
      </c>
      <c r="J49" s="46" cm="1">
        <f t="array" ref="J49">INDEX(GMWA!$A$2:$DB$60,MATCH(1,(GMWA!$DA$2:$DA$60=J$3)*(GMWA!$CZ$2:$CZ$60=J$4),0),$A49-1966)</f>
        <v>117521</v>
      </c>
      <c r="K49" s="46" cm="1">
        <f t="array" ref="K49">INDEX(GMWA!$A$2:$DB$60,MATCH(1,(GMWA!$DA$2:$DA$60=K$3)*(GMWA!$CZ$2:$CZ$60=K$4),0),$A49-1966)</f>
        <v>171392</v>
      </c>
      <c r="L49" s="46" cm="1">
        <f t="array" ref="L49">INDEX(GMWA!$A$2:$DB$60,MATCH(1,(GMWA!$DA$2:$DA$60=L$3)*(GMWA!$CZ$2:$CZ$60=L$4),0),$A49-1966)</f>
        <v>55969</v>
      </c>
      <c r="M49" s="46" cm="1">
        <f t="array" ref="M49">INDEX(GMWA!$A$2:$DB$60,MATCH(1,(GMWA!$DA$2:$DA$60=M$3)*(GMWA!$CZ$2:$CZ$60=M$4),0),$A49-1966)</f>
        <v>78.293620000000004</v>
      </c>
      <c r="N49" s="46" cm="1">
        <f t="array" ref="N49">INDEX(GMWA!$A$2:$DB$60,MATCH(1,(GMWA!$DA$2:$DA$60=N$3)*(GMWA!$CZ$2:$CZ$60=N$4),0),$A49-1966)</f>
        <v>100.00830000000001</v>
      </c>
      <c r="O49" s="46" cm="1">
        <f t="array" ref="O49">INDEX(GMWA!$A$2:$DB$60,MATCH(1,(GMWA!$DA$2:$DA$60=O$3)*(GMWA!$CZ$2:$CZ$60=O$4),0),$A49-1966)</f>
        <v>99.999979999999994</v>
      </c>
      <c r="P49" s="46" cm="1">
        <f t="array" ref="P49">INDEX(GMWA!$A$2:$DB$60,MATCH(1,(GMWA!$DA$2:$DA$60=P$3)*(GMWA!$CZ$2:$CZ$60=P$4),0),$A49-1966)</f>
        <v>100</v>
      </c>
      <c r="Q49" s="46" cm="1">
        <f t="array" ref="Q49">INDEX(GMWA!$A$2:$DB$60,MATCH(1,(GMWA!$DA$2:$DA$60=Q$3)*(GMWA!$CZ$2:$CZ$60=Q$4),0),$A49-1966)</f>
        <v>100</v>
      </c>
      <c r="R49" s="46" cm="1">
        <f t="array" ref="R49">INDEX(GMWA!$A$2:$DB$60,MATCH(1,(GMWA!$DA$2:$DA$60=R$3)*(GMWA!$CZ$2:$CZ$60=R$4),0),$A49-1966)</f>
        <v>100.00830000000001</v>
      </c>
    </row>
    <row r="50" spans="1:18" x14ac:dyDescent="0.35">
      <c r="A50" s="46">
        <f t="shared" si="2"/>
        <v>2016</v>
      </c>
      <c r="B50" s="46" cm="1">
        <f t="array" ref="B50">INDEX(GMWA!$A$2:$DB$60,MATCH(1,(GMWA!$DA$2:$DA$60=B$3)*(GMWA!$CZ$2:$CZ$60=B$4),0),$A50-1966)</f>
        <v>1572915</v>
      </c>
      <c r="C50" s="46" cm="1">
        <f t="array" ref="C50">INDEX(GMWA!$A$2:$DB$60,MATCH(1,(GMWA!$DA$2:$DA$60=C$3)*(GMWA!$CZ$2:$CZ$60=C$4),0),$A50-1966)</f>
        <v>1653979</v>
      </c>
      <c r="D50" s="46" cm="1">
        <f t="array" ref="D50">INDEX(GMWA!$A$2:$DB$60,MATCH(1,(GMWA!$DA$2:$DA$60=D$3)*(GMWA!$CZ$2:$CZ$60=D$4),0),$A50-1966)</f>
        <v>1247100</v>
      </c>
      <c r="E50" s="46" cm="1">
        <f t="array" ref="E50">INDEX(GMWA!$A$2:$DB$60,MATCH(1,(GMWA!$DA$2:$DA$60=E$3)*(GMWA!$CZ$2:$CZ$60=E$4),0),$A50-1966)</f>
        <v>1312733</v>
      </c>
      <c r="F50" s="46" cm="1">
        <f t="array" ref="F50">INDEX(GMWA!$A$2:$DB$60,MATCH(1,(GMWA!$DA$2:$DA$60=F$3)*(GMWA!$CZ$2:$CZ$60=F$4),0),$A50-1966)</f>
        <v>796848</v>
      </c>
      <c r="G50" s="46" cm="1">
        <f t="array" ref="G50">INDEX(GMWA!$A$2:$DB$60,MATCH(1,(GMWA!$DA$2:$DA$60=G$3)*(GMWA!$CZ$2:$CZ$60=G$4),0),$A50-1966)</f>
        <v>26771</v>
      </c>
      <c r="H50" s="46" cm="1">
        <f t="array" ref="H50">INDEX(GMWA!$A$2:$DB$60,MATCH(1,(GMWA!$DA$2:$DA$60=H$3)*(GMWA!$CZ$2:$CZ$60=H$4),0),$A50-1966)</f>
        <v>7441.2449999999999</v>
      </c>
      <c r="I50" s="46" cm="1">
        <f t="array" ref="I50">INDEX(GMWA!$A$2:$DB$60,MATCH(1,(GMWA!$DA$2:$DA$60=I$3)*(GMWA!$CZ$2:$CZ$60=I$4),0),$A50-1966)</f>
        <v>231999</v>
      </c>
      <c r="J50" s="46" cm="1">
        <f t="array" ref="J50">INDEX(GMWA!$A$2:$DB$60,MATCH(1,(GMWA!$DA$2:$DA$60=J$3)*(GMWA!$CZ$2:$CZ$60=J$4),0),$A50-1966)</f>
        <v>105134</v>
      </c>
      <c r="K50" s="46" cm="1">
        <f t="array" ref="K50">INDEX(GMWA!$A$2:$DB$60,MATCH(1,(GMWA!$DA$2:$DA$60=K$3)*(GMWA!$CZ$2:$CZ$60=K$4),0),$A50-1966)</f>
        <v>178455</v>
      </c>
      <c r="L50" s="46" cm="1">
        <f t="array" ref="L50">INDEX(GMWA!$A$2:$DB$60,MATCH(1,(GMWA!$DA$2:$DA$60=L$3)*(GMWA!$CZ$2:$CZ$60=L$4),0),$A50-1966)</f>
        <v>59056</v>
      </c>
      <c r="M50" s="46" cm="1">
        <f t="array" ref="M50">INDEX(GMWA!$A$2:$DB$60,MATCH(1,(GMWA!$DA$2:$DA$60=M$3)*(GMWA!$CZ$2:$CZ$60=M$4),0),$A50-1966)</f>
        <v>79.282340000000005</v>
      </c>
      <c r="N50" s="46" cm="1">
        <f t="array" ref="N50">INDEX(GMWA!$A$2:$DB$60,MATCH(1,(GMWA!$DA$2:$DA$60=N$3)*(GMWA!$CZ$2:$CZ$60=N$4),0),$A50-1966)</f>
        <v>100.65</v>
      </c>
      <c r="O50" s="46" cm="1">
        <f t="array" ref="O50">INDEX(GMWA!$A$2:$DB$60,MATCH(1,(GMWA!$DA$2:$DA$60=O$3)*(GMWA!$CZ$2:$CZ$60=O$4),0),$A50-1966)</f>
        <v>98.724999999999994</v>
      </c>
      <c r="P50" s="46" cm="1">
        <f t="array" ref="P50">INDEX(GMWA!$A$2:$DB$60,MATCH(1,(GMWA!$DA$2:$DA$60=P$3)*(GMWA!$CZ$2:$CZ$60=P$4),0),$A50-1966)</f>
        <v>97.05</v>
      </c>
      <c r="Q50" s="46" cm="1">
        <f t="array" ref="Q50">INDEX(GMWA!$A$2:$DB$60,MATCH(1,(GMWA!$DA$2:$DA$60=Q$3)*(GMWA!$CZ$2:$CZ$60=Q$4),0),$A50-1966)</f>
        <v>97.616659999999996</v>
      </c>
      <c r="R50" s="46" cm="1">
        <f t="array" ref="R50">INDEX(GMWA!$A$2:$DB$60,MATCH(1,(GMWA!$DA$2:$DA$60=R$3)*(GMWA!$CZ$2:$CZ$60=R$4),0),$A50-1966)</f>
        <v>101.33329999999999</v>
      </c>
    </row>
    <row r="51" spans="1:18" x14ac:dyDescent="0.35">
      <c r="A51" s="46">
        <f t="shared" si="2"/>
        <v>2017</v>
      </c>
      <c r="B51" s="46" cm="1">
        <f t="array" ref="B51">INDEX(GMWA!$A$2:$DB$60,MATCH(1,(GMWA!$DA$2:$DA$60=B$3)*(GMWA!$CZ$2:$CZ$60=B$4),0),$A51-1966)</f>
        <v>1603724</v>
      </c>
      <c r="C51" s="46" cm="1">
        <f t="array" ref="C51">INDEX(GMWA!$A$2:$DB$60,MATCH(1,(GMWA!$DA$2:$DA$60=C$3)*(GMWA!$CZ$2:$CZ$60=C$4),0),$A51-1966)</f>
        <v>1669528</v>
      </c>
      <c r="D51" s="46" cm="1">
        <f t="array" ref="D51">INDEX(GMWA!$A$2:$DB$60,MATCH(1,(GMWA!$DA$2:$DA$60=D$3)*(GMWA!$CZ$2:$CZ$60=D$4),0),$A51-1966)</f>
        <v>1294413</v>
      </c>
      <c r="E51" s="46" cm="1">
        <f t="array" ref="E51">INDEX(GMWA!$A$2:$DB$60,MATCH(1,(GMWA!$DA$2:$DA$60=E$3)*(GMWA!$CZ$2:$CZ$60=E$4),0),$A51-1966)</f>
        <v>1348375</v>
      </c>
      <c r="F51" s="46" cm="1">
        <f t="array" ref="F51">INDEX(GMWA!$A$2:$DB$60,MATCH(1,(GMWA!$DA$2:$DA$60=F$3)*(GMWA!$CZ$2:$CZ$60=F$4),0),$A51-1966)</f>
        <v>828601</v>
      </c>
      <c r="G51" s="46" cm="1">
        <f t="array" ref="G51">INDEX(GMWA!$A$2:$DB$60,MATCH(1,(GMWA!$DA$2:$DA$60=G$3)*(GMWA!$CZ$2:$CZ$60=G$4),0),$A51-1966)</f>
        <v>27065</v>
      </c>
      <c r="H51" s="46" cm="1">
        <f t="array" ref="H51">INDEX(GMWA!$A$2:$DB$60,MATCH(1,(GMWA!$DA$2:$DA$60=H$3)*(GMWA!$CZ$2:$CZ$60=H$4),0),$A51-1966)</f>
        <v>7653.6130000000003</v>
      </c>
      <c r="I51" s="46" cm="1">
        <f t="array" ref="I51">INDEX(GMWA!$A$2:$DB$60,MATCH(1,(GMWA!$DA$2:$DA$60=I$3)*(GMWA!$CZ$2:$CZ$60=I$4),0),$A51-1966)</f>
        <v>234279</v>
      </c>
      <c r="J51" s="46" cm="1">
        <f t="array" ref="J51">INDEX(GMWA!$A$2:$DB$60,MATCH(1,(GMWA!$DA$2:$DA$60=J$3)*(GMWA!$CZ$2:$CZ$60=J$4),0),$A51-1966)</f>
        <v>107493</v>
      </c>
      <c r="K51" s="46" cm="1">
        <f t="array" ref="K51">INDEX(GMWA!$A$2:$DB$60,MATCH(1,(GMWA!$DA$2:$DA$60=K$3)*(GMWA!$CZ$2:$CZ$60=K$4),0),$A51-1966)</f>
        <v>188174</v>
      </c>
      <c r="L51" s="46" cm="1">
        <f t="array" ref="L51">INDEX(GMWA!$A$2:$DB$60,MATCH(1,(GMWA!$DA$2:$DA$60=L$3)*(GMWA!$CZ$2:$CZ$60=L$4),0),$A51-1966)</f>
        <v>62484</v>
      </c>
      <c r="M51" s="46" cm="1">
        <f t="array" ref="M51">INDEX(GMWA!$A$2:$DB$60,MATCH(1,(GMWA!$DA$2:$DA$60=M$3)*(GMWA!$CZ$2:$CZ$60=M$4),0),$A51-1966)</f>
        <v>80.711160000000007</v>
      </c>
      <c r="N51" s="46" cm="1">
        <f t="array" ref="N51">INDEX(GMWA!$A$2:$DB$60,MATCH(1,(GMWA!$DA$2:$DA$60=N$3)*(GMWA!$CZ$2:$CZ$60=N$4),0),$A51-1966)</f>
        <v>103.3584</v>
      </c>
      <c r="O51" s="46" cm="1">
        <f t="array" ref="O51">INDEX(GMWA!$A$2:$DB$60,MATCH(1,(GMWA!$DA$2:$DA$60=O$3)*(GMWA!$CZ$2:$CZ$60=O$4),0),$A51-1966)</f>
        <v>101.5333</v>
      </c>
      <c r="P51" s="46" cm="1">
        <f t="array" ref="P51">INDEX(GMWA!$A$2:$DB$60,MATCH(1,(GMWA!$DA$2:$DA$60=P$3)*(GMWA!$CZ$2:$CZ$60=P$4),0),$A51-1966)</f>
        <v>100.7</v>
      </c>
      <c r="Q51" s="46" cm="1">
        <f t="array" ref="Q51">INDEX(GMWA!$A$2:$DB$60,MATCH(1,(GMWA!$DA$2:$DA$60=Q$3)*(GMWA!$CZ$2:$CZ$60=Q$4),0),$A51-1966)</f>
        <v>105.6</v>
      </c>
      <c r="R51" s="46" cm="1">
        <f t="array" ref="R51">INDEX(GMWA!$A$2:$DB$60,MATCH(1,(GMWA!$DA$2:$DA$60=R$3)*(GMWA!$CZ$2:$CZ$60=R$4),0),$A51-1966)</f>
        <v>103.75</v>
      </c>
    </row>
    <row r="52" spans="1:18" x14ac:dyDescent="0.35">
      <c r="A52" s="46">
        <f t="shared" si="2"/>
        <v>2018</v>
      </c>
      <c r="B52" s="46" cm="1">
        <f t="array" ref="B52">INDEX(GMWA!$A$2:$DB$60,MATCH(1,(GMWA!$DA$2:$DA$60=B$3)*(GMWA!$CZ$2:$CZ$60=B$4),0),$A52-1966)</f>
        <v>1631242</v>
      </c>
      <c r="C52" s="46" cm="1">
        <f t="array" ref="C52">INDEX(GMWA!$A$2:$DB$60,MATCH(1,(GMWA!$DA$2:$DA$60=C$3)*(GMWA!$CZ$2:$CZ$60=C$4),0),$A52-1966)</f>
        <v>1702200</v>
      </c>
      <c r="D52" s="46" cm="1">
        <f t="array" ref="D52">INDEX(GMWA!$A$2:$DB$60,MATCH(1,(GMWA!$DA$2:$DA$60=D$3)*(GMWA!$CZ$2:$CZ$60=D$4),0),$A52-1966)</f>
        <v>1343506</v>
      </c>
      <c r="E52" s="46" cm="1">
        <f t="array" ref="E52">INDEX(GMWA!$A$2:$DB$60,MATCH(1,(GMWA!$DA$2:$DA$60=E$3)*(GMWA!$CZ$2:$CZ$60=E$4),0),$A52-1966)</f>
        <v>1402614</v>
      </c>
      <c r="F52" s="46" cm="1">
        <f t="array" ref="F52">INDEX(GMWA!$A$2:$DB$60,MATCH(1,(GMWA!$DA$2:$DA$60=F$3)*(GMWA!$CZ$2:$CZ$60=F$4),0),$A52-1966)</f>
        <v>862329</v>
      </c>
      <c r="G52" s="46" cm="1">
        <f t="array" ref="G52">INDEX(GMWA!$A$2:$DB$60,MATCH(1,(GMWA!$DA$2:$DA$60=G$3)*(GMWA!$CZ$2:$CZ$60=G$4),0),$A52-1966)</f>
        <v>27494.25</v>
      </c>
      <c r="H52" s="46" cm="1">
        <f t="array" ref="H52">INDEX(GMWA!$A$2:$DB$60,MATCH(1,(GMWA!$DA$2:$DA$60=H$3)*(GMWA!$CZ$2:$CZ$60=H$4),0),$A52-1966)</f>
        <v>7840.8389999999999</v>
      </c>
      <c r="I52" s="46" cm="1">
        <f t="array" ref="I52">INDEX(GMWA!$A$2:$DB$60,MATCH(1,(GMWA!$DA$2:$DA$60=I$3)*(GMWA!$CZ$2:$CZ$60=I$4),0),$A52-1966)</f>
        <v>241344</v>
      </c>
      <c r="J52" s="46" cm="1">
        <f t="array" ref="J52">INDEX(GMWA!$A$2:$DB$60,MATCH(1,(GMWA!$DA$2:$DA$60=J$3)*(GMWA!$CZ$2:$CZ$60=J$4),0),$A52-1966)</f>
        <v>119689</v>
      </c>
      <c r="K52" s="46" cm="1">
        <f t="array" ref="K52">INDEX(GMWA!$A$2:$DB$60,MATCH(1,(GMWA!$DA$2:$DA$60=K$3)*(GMWA!$CZ$2:$CZ$60=K$4),0),$A52-1966)</f>
        <v>194691</v>
      </c>
      <c r="L52" s="46" cm="1">
        <f t="array" ref="L52">INDEX(GMWA!$A$2:$DB$60,MATCH(1,(GMWA!$DA$2:$DA$60=L$3)*(GMWA!$CZ$2:$CZ$60=L$4),0),$A52-1966)</f>
        <v>64888</v>
      </c>
      <c r="M52" s="46" cm="1">
        <f t="array" ref="M52">INDEX(GMWA!$A$2:$DB$60,MATCH(1,(GMWA!$DA$2:$DA$60=M$3)*(GMWA!$CZ$2:$CZ$60=M$4),0),$A52-1966)</f>
        <v>82.358630000000005</v>
      </c>
      <c r="N52" s="46" cm="1">
        <f t="array" ref="N52">INDEX(GMWA!$A$2:$DB$60,MATCH(1,(GMWA!$DA$2:$DA$60=N$3)*(GMWA!$CZ$2:$CZ$60=N$4),0),$A52-1966)</f>
        <v>105.91670000000001</v>
      </c>
      <c r="O52" s="46" cm="1">
        <f t="array" ref="O52">INDEX(GMWA!$A$2:$DB$60,MATCH(1,(GMWA!$DA$2:$DA$60=O$3)*(GMWA!$CZ$2:$CZ$60=O$4),0),$A52-1966)</f>
        <v>104.3083</v>
      </c>
      <c r="P52" s="46" cm="1">
        <f t="array" ref="P52">INDEX(GMWA!$A$2:$DB$60,MATCH(1,(GMWA!$DA$2:$DA$60=P$3)*(GMWA!$CZ$2:$CZ$60=P$4),0),$A52-1966)</f>
        <v>107.5333</v>
      </c>
      <c r="Q52" s="46" cm="1">
        <f t="array" ref="Q52">INDEX(GMWA!$A$2:$DB$60,MATCH(1,(GMWA!$DA$2:$DA$60=Q$3)*(GMWA!$CZ$2:$CZ$60=Q$4),0),$A52-1966)</f>
        <v>113.00830000000001</v>
      </c>
      <c r="R52" s="46" cm="1">
        <f t="array" ref="R52">INDEX(GMWA!$A$2:$DB$60,MATCH(1,(GMWA!$DA$2:$DA$60=R$3)*(GMWA!$CZ$2:$CZ$60=R$4),0),$A52-1966)</f>
        <v>105.875</v>
      </c>
    </row>
    <row r="53" spans="1:18" x14ac:dyDescent="0.35">
      <c r="A53" s="46">
        <f t="shared" si="2"/>
        <v>2019</v>
      </c>
      <c r="B53" s="46" cm="1">
        <f t="array" ref="B53">INDEX(GMWA!$A$2:$DB$60,MATCH(1,(GMWA!$DA$2:$DA$60=B$3)*(GMWA!$CZ$2:$CZ$60=B$4),0),$A53-1966)</f>
        <v>1650664</v>
      </c>
      <c r="C53" s="46" cm="1">
        <f t="array" ref="C53">INDEX(GMWA!$A$2:$DB$60,MATCH(1,(GMWA!$DA$2:$DA$60=C$3)*(GMWA!$CZ$2:$CZ$60=C$4),0),$A53-1966)</f>
        <v>1742944</v>
      </c>
      <c r="D53" s="46" cm="1">
        <f t="array" ref="D53">INDEX(GMWA!$A$2:$DB$60,MATCH(1,(GMWA!$DA$2:$DA$60=D$3)*(GMWA!$CZ$2:$CZ$60=D$4),0),$A53-1966)</f>
        <v>1377461</v>
      </c>
      <c r="E53" s="46" cm="1">
        <f t="array" ref="E53">INDEX(GMWA!$A$2:$DB$60,MATCH(1,(GMWA!$DA$2:$DA$60=E$3)*(GMWA!$CZ$2:$CZ$60=E$4),0),$A53-1966)</f>
        <v>1456540</v>
      </c>
      <c r="F53" s="46" cm="1">
        <f t="array" ref="F53">INDEX(GMWA!$A$2:$DB$60,MATCH(1,(GMWA!$DA$2:$DA$60=F$3)*(GMWA!$CZ$2:$CZ$60=F$4),0),$A53-1966)</f>
        <v>895388</v>
      </c>
      <c r="G53" s="46" cm="1">
        <f t="array" ref="G53">INDEX(GMWA!$A$2:$DB$60,MATCH(1,(GMWA!$DA$2:$DA$60=G$3)*(GMWA!$CZ$2:$CZ$60=G$4),0),$A53-1966)</f>
        <v>27781.25</v>
      </c>
      <c r="H53" s="46" cm="1">
        <f t="array" ref="H53">INDEX(GMWA!$A$2:$DB$60,MATCH(1,(GMWA!$DA$2:$DA$60=H$3)*(GMWA!$CZ$2:$CZ$60=H$4),0),$A53-1966)</f>
        <v>8057.3760000000002</v>
      </c>
      <c r="I53" s="46" cm="1">
        <f t="array" ref="I53">INDEX(GMWA!$A$2:$DB$60,MATCH(1,(GMWA!$DA$2:$DA$60=I$3)*(GMWA!$CZ$2:$CZ$60=I$4),0),$A53-1966)</f>
        <v>248526</v>
      </c>
      <c r="J53" s="46" cm="1">
        <f t="array" ref="J53">INDEX(GMWA!$A$2:$DB$60,MATCH(1,(GMWA!$DA$2:$DA$60=J$3)*(GMWA!$CZ$2:$CZ$60=J$4),0),$A53-1966)</f>
        <v>127866</v>
      </c>
      <c r="K53" s="46" cm="1">
        <f t="array" ref="K53">INDEX(GMWA!$A$2:$DB$60,MATCH(1,(GMWA!$DA$2:$DA$60=K$3)*(GMWA!$CZ$2:$CZ$60=K$4),0),$A53-1966)</f>
        <v>199912</v>
      </c>
      <c r="L53" s="46" cm="1">
        <f t="array" ref="L53">INDEX(GMWA!$A$2:$DB$60,MATCH(1,(GMWA!$DA$2:$DA$60=L$3)*(GMWA!$CZ$2:$CZ$60=L$4),0),$A53-1966)</f>
        <v>70534</v>
      </c>
      <c r="M53" s="46" cm="1">
        <f t="array" ref="M53">INDEX(GMWA!$A$2:$DB$60,MATCH(1,(GMWA!$DA$2:$DA$60=M$3)*(GMWA!$CZ$2:$CZ$60=M$4),0),$A53-1966)</f>
        <v>83.448729999999998</v>
      </c>
      <c r="N53" s="46" cm="1">
        <f t="array" ref="N53">INDEX(GMWA!$A$2:$DB$60,MATCH(1,(GMWA!$DA$2:$DA$60=N$3)*(GMWA!$CZ$2:$CZ$60=N$4),0),$A53-1966)</f>
        <v>107.8</v>
      </c>
      <c r="O53" s="46" cm="1">
        <f t="array" ref="O53">INDEX(GMWA!$A$2:$DB$60,MATCH(1,(GMWA!$DA$2:$DA$60=O$3)*(GMWA!$CZ$2:$CZ$60=O$4),0),$A53-1966)</f>
        <v>106.36669999999999</v>
      </c>
      <c r="P53" s="46" cm="1">
        <f t="array" ref="P53">INDEX(GMWA!$A$2:$DB$60,MATCH(1,(GMWA!$DA$2:$DA$60=P$3)*(GMWA!$CZ$2:$CZ$60=P$4),0),$A53-1966)</f>
        <v>111.6083</v>
      </c>
      <c r="Q53" s="46" cm="1">
        <f t="array" ref="Q53">INDEX(GMWA!$A$2:$DB$60,MATCH(1,(GMWA!$DA$2:$DA$60=Q$3)*(GMWA!$CZ$2:$CZ$60=Q$4),0),$A53-1966)</f>
        <v>113.4333</v>
      </c>
      <c r="R53" s="46" cm="1">
        <f t="array" ref="R53">INDEX(GMWA!$A$2:$DB$60,MATCH(1,(GMWA!$DA$2:$DA$60=R$3)*(GMWA!$CZ$2:$CZ$60=R$4),0),$A53-1966)</f>
        <v>107.72499999999999</v>
      </c>
    </row>
    <row r="54" spans="1:18" x14ac:dyDescent="0.35">
      <c r="A54" s="46">
        <f t="shared" si="2"/>
        <v>2020</v>
      </c>
      <c r="B54" s="46" cm="1">
        <f t="array" ref="B54">INDEX(GMWA!$A$2:$DB$60,MATCH(1,(GMWA!$DA$2:$DA$60=B$3)*(GMWA!$CZ$2:$CZ$60=B$4),0),$A54-1966)</f>
        <v>1441233</v>
      </c>
      <c r="C54" s="46" cm="1">
        <f t="array" ref="C54">INDEX(GMWA!$A$2:$DB$60,MATCH(1,(GMWA!$DA$2:$DA$60=C$3)*(GMWA!$CZ$2:$CZ$60=C$4),0),$A54-1966)</f>
        <v>1733465</v>
      </c>
      <c r="D54" s="46" cm="1">
        <f t="array" ref="D54">INDEX(GMWA!$A$2:$DB$60,MATCH(1,(GMWA!$DA$2:$DA$60=D$3)*(GMWA!$CZ$2:$CZ$60=D$4),0),$A54-1966)</f>
        <v>1203098</v>
      </c>
      <c r="E54" s="46" cm="1">
        <f t="array" ref="E54">INDEX(GMWA!$A$2:$DB$60,MATCH(1,(GMWA!$DA$2:$DA$60=E$3)*(GMWA!$CZ$2:$CZ$60=E$4),0),$A54-1966)</f>
        <v>1454341</v>
      </c>
      <c r="F54" s="46" cm="1">
        <f t="array" ref="F54">INDEX(GMWA!$A$2:$DB$60,MATCH(1,(GMWA!$DA$2:$DA$60=F$3)*(GMWA!$CZ$2:$CZ$60=F$4),0),$A54-1966)</f>
        <v>893197</v>
      </c>
      <c r="G54" s="46" cm="1">
        <f t="array" ref="G54">INDEX(GMWA!$A$2:$DB$60,MATCH(1,(GMWA!$DA$2:$DA$60=G$3)*(GMWA!$CZ$2:$CZ$60=G$4),0),$A54-1966)</f>
        <v>27840.75</v>
      </c>
      <c r="H54" s="46" cm="1">
        <f t="array" ref="H54">INDEX(GMWA!$A$2:$DB$60,MATCH(1,(GMWA!$DA$2:$DA$60=H$3)*(GMWA!$CZ$2:$CZ$60=H$4),0),$A54-1966)</f>
        <v>8020.5469999999996</v>
      </c>
      <c r="I54" s="46" cm="1">
        <f t="array" ref="I54">INDEX(GMWA!$A$2:$DB$60,MATCH(1,(GMWA!$DA$2:$DA$60=I$3)*(GMWA!$CZ$2:$CZ$60=I$4),0),$A54-1966)</f>
        <v>269857</v>
      </c>
      <c r="J54" s="46" cm="1">
        <f t="array" ref="J54">INDEX(GMWA!$A$2:$DB$60,MATCH(1,(GMWA!$DA$2:$DA$60=J$3)*(GMWA!$CZ$2:$CZ$60=J$4),0),$A54-1966)</f>
        <v>103273</v>
      </c>
      <c r="K54" s="46" cm="1">
        <f t="array" ref="K54">INDEX(GMWA!$A$2:$DB$60,MATCH(1,(GMWA!$DA$2:$DA$60=K$3)*(GMWA!$CZ$2:$CZ$60=K$4),0),$A54-1966)</f>
        <v>199452</v>
      </c>
      <c r="L54" s="46" cm="1">
        <f t="array" ref="L54">INDEX(GMWA!$A$2:$DB$60,MATCH(1,(GMWA!$DA$2:$DA$60=L$3)*(GMWA!$CZ$2:$CZ$60=L$4),0),$A54-1966)</f>
        <v>70354</v>
      </c>
      <c r="M54" s="46" cm="1">
        <f t="array" ref="M54">INDEX(GMWA!$A$2:$DB$60,MATCH(1,(GMWA!$DA$2:$DA$60=M$3)*(GMWA!$CZ$2:$CZ$60=M$4),0),$A54-1966)</f>
        <v>83.470160000000007</v>
      </c>
      <c r="N54" s="46" cm="1">
        <f t="array" ref="N54">INDEX(GMWA!$A$2:$DB$60,MATCH(1,(GMWA!$DA$2:$DA$60=N$3)*(GMWA!$CZ$2:$CZ$60=N$4),0),$A54-1966)</f>
        <v>108.75</v>
      </c>
      <c r="O54" s="46" cm="1">
        <f t="array" ref="O54">INDEX(GMWA!$A$2:$DB$60,MATCH(1,(GMWA!$DA$2:$DA$60=O$3)*(GMWA!$CZ$2:$CZ$60=O$4),0),$A54-1966)</f>
        <v>107.50830000000001</v>
      </c>
      <c r="P54" s="46" cm="1">
        <f t="array" ref="P54">INDEX(GMWA!$A$2:$DB$60,MATCH(1,(GMWA!$DA$2:$DA$60=P$3)*(GMWA!$CZ$2:$CZ$60=P$4),0),$A54-1966)</f>
        <v>106.45</v>
      </c>
      <c r="Q54" s="46" cm="1">
        <f t="array" ref="Q54">INDEX(GMWA!$A$2:$DB$60,MATCH(1,(GMWA!$DA$2:$DA$60=Q$3)*(GMWA!$CZ$2:$CZ$60=Q$4),0),$A54-1966)</f>
        <v>103.575</v>
      </c>
      <c r="R54" s="46" cm="1">
        <f t="array" ref="R54">INDEX(GMWA!$A$2:$DB$60,MATCH(1,(GMWA!$DA$2:$DA$60=R$3)*(GMWA!$CZ$2:$CZ$60=R$4),0),$A54-1966)</f>
        <v>109.22499999999999</v>
      </c>
    </row>
    <row r="55" spans="1:18" x14ac:dyDescent="0.35">
      <c r="A55" s="46">
        <f t="shared" si="2"/>
        <v>2021</v>
      </c>
      <c r="B55" s="46" cm="1">
        <f t="array" ref="B55">INDEX(GMWA!$A$2:$DB$60,MATCH(1,(GMWA!$DA$2:$DA$60=B$3)*(GMWA!$CZ$2:$CZ$60=B$4),0),$A55-1966)</f>
        <v>1542035</v>
      </c>
      <c r="C55" s="46" cm="1">
        <f t="array" ref="C55">INDEX(GMWA!$A$2:$DB$60,MATCH(1,(GMWA!$DA$2:$DA$60=C$3)*(GMWA!$CZ$2:$CZ$60=C$4),0),$A55-1966)</f>
        <v>1762861</v>
      </c>
      <c r="D55" s="46" cm="1">
        <f t="array" ref="D55">INDEX(GMWA!$A$2:$DB$60,MATCH(1,(GMWA!$DA$2:$DA$60=D$3)*(GMWA!$CZ$2:$CZ$60=D$4),0),$A55-1966)</f>
        <v>1325178</v>
      </c>
      <c r="E55" s="46" cm="1">
        <f t="array" ref="E55">INDEX(GMWA!$A$2:$DB$60,MATCH(1,(GMWA!$DA$2:$DA$60=E$3)*(GMWA!$CZ$2:$CZ$60=E$4),0),$A55-1966)</f>
        <v>1519777</v>
      </c>
      <c r="F55" s="46" cm="1">
        <f t="array" ref="F55">INDEX(GMWA!$A$2:$DB$60,MATCH(1,(GMWA!$DA$2:$DA$60=F$3)*(GMWA!$CZ$2:$CZ$60=F$4),0),$A55-1966)</f>
        <v>949480</v>
      </c>
      <c r="G55" s="46" cm="1">
        <f t="array" ref="G55">INDEX(GMWA!$A$2:$DB$60,MATCH(1,(GMWA!$DA$2:$DA$60=G$3)*(GMWA!$CZ$2:$CZ$60=G$4),0),$A55-1966)</f>
        <v>28196</v>
      </c>
      <c r="H55" s="46" cm="1">
        <f t="array" ref="H55">INDEX(GMWA!$A$2:$DB$60,MATCH(1,(GMWA!$DA$2:$DA$60=H$3)*(GMWA!$CZ$2:$CZ$60=H$4),0),$A55-1966)</f>
        <v>8417.8979999999992</v>
      </c>
      <c r="I55" s="46" cm="1">
        <f t="array" ref="I55">INDEX(GMWA!$A$2:$DB$60,MATCH(1,(GMWA!$DA$2:$DA$60=I$3)*(GMWA!$CZ$2:$CZ$60=I$4),0),$A55-1966)</f>
        <v>277780</v>
      </c>
      <c r="J55" s="46" cm="1">
        <f t="array" ref="J55">INDEX(GMWA!$A$2:$DB$60,MATCH(1,(GMWA!$DA$2:$DA$60=J$3)*(GMWA!$CZ$2:$CZ$60=J$4),0),$A55-1966)</f>
        <v>122286</v>
      </c>
      <c r="K55" s="46" cm="1">
        <f t="array" ref="K55">INDEX(GMWA!$A$2:$DB$60,MATCH(1,(GMWA!$DA$2:$DA$60=K$3)*(GMWA!$CZ$2:$CZ$60=K$4),0),$A55-1966)</f>
        <v>228715</v>
      </c>
      <c r="L55" s="46" cm="1">
        <f t="array" ref="L55">INDEX(GMWA!$A$2:$DB$60,MATCH(1,(GMWA!$DA$2:$DA$60=L$3)*(GMWA!$CZ$2:$CZ$60=L$4),0),$A55-1966)</f>
        <v>75605</v>
      </c>
      <c r="M55" s="46" cm="1">
        <f t="array" ref="M55">INDEX(GMWA!$A$2:$DB$60,MATCH(1,(GMWA!$DA$2:$DA$60=M$3)*(GMWA!$CZ$2:$CZ$60=M$4),0),$A55-1966)</f>
        <v>85.875540000000001</v>
      </c>
      <c r="N55" s="46" cm="1">
        <f t="array" ref="N55">INDEX(GMWA!$A$2:$DB$60,MATCH(1,(GMWA!$DA$2:$DA$60=N$3)*(GMWA!$CZ$2:$CZ$60=N$4),0),$A55-1966)</f>
        <v>111.5583</v>
      </c>
      <c r="O55" s="46" cm="1">
        <f t="array" ref="O55">INDEX(GMWA!$A$2:$DB$60,MATCH(1,(GMWA!$DA$2:$DA$60=O$3)*(GMWA!$CZ$2:$CZ$60=O$4),0),$A55-1966)</f>
        <v>108.52500000000001</v>
      </c>
      <c r="P55" s="46" cm="1">
        <f t="array" ref="P55">INDEX(GMWA!$A$2:$DB$60,MATCH(1,(GMWA!$DA$2:$DA$60=P$3)*(GMWA!$CZ$2:$CZ$60=P$4),0),$A55-1966)</f>
        <v>111.45829999999999</v>
      </c>
      <c r="Q55" s="46" cm="1">
        <f t="array" ref="Q55">INDEX(GMWA!$A$2:$DB$60,MATCH(1,(GMWA!$DA$2:$DA$60=Q$3)*(GMWA!$CZ$2:$CZ$60=Q$4),0),$A55-1966)</f>
        <v>118.1</v>
      </c>
      <c r="R55" s="46" cm="1">
        <f t="array" ref="R55">INDEX(GMWA!$A$2:$DB$60,MATCH(1,(GMWA!$DA$2:$DA$60=R$3)*(GMWA!$CZ$2:$CZ$60=R$4),0),$A55-1966)</f>
        <v>111.8417</v>
      </c>
    </row>
    <row r="56" spans="1:18" x14ac:dyDescent="0.35">
      <c r="A56" s="46">
        <f t="shared" si="2"/>
        <v>2022</v>
      </c>
      <c r="B56" s="46" cm="1">
        <f t="array" ref="B56">INDEX(GMWA!$A$2:$DB$60,MATCH(1,(GMWA!$DA$2:$DA$60=B$3)*(GMWA!$CZ$2:$CZ$60=B$4),0),$A56-1966)</f>
        <v>1657618</v>
      </c>
      <c r="C56" s="46" cm="1">
        <f t="array" ref="C56">INDEX(GMWA!$A$2:$DB$60,MATCH(1,(GMWA!$DA$2:$DA$60=C$3)*(GMWA!$CZ$2:$CZ$60=C$4),0),$A56-1966)</f>
        <v>1725226</v>
      </c>
      <c r="D56" s="46" cm="1">
        <f t="array" ref="D56">INDEX(GMWA!$A$2:$DB$60,MATCH(1,(GMWA!$DA$2:$DA$60=D$3)*(GMWA!$CZ$2:$CZ$60=D$4),0),$A56-1966)</f>
        <v>1549599</v>
      </c>
      <c r="E56" s="46" cm="1">
        <f t="array" ref="E56">INDEX(GMWA!$A$2:$DB$60,MATCH(1,(GMWA!$DA$2:$DA$60=E$3)*(GMWA!$CZ$2:$CZ$60=E$4),0),$A56-1966)</f>
        <v>1613529</v>
      </c>
      <c r="F56" s="46" cm="1">
        <f t="array" ref="F56">INDEX(GMWA!$A$2:$DB$60,MATCH(1,(GMWA!$DA$2:$DA$60=F$3)*(GMWA!$CZ$2:$CZ$60=F$4),0),$A56-1966)</f>
        <v>1021159</v>
      </c>
      <c r="G56" s="46" cm="1">
        <f t="array" ref="G56">INDEX(GMWA!$A$2:$DB$60,MATCH(1,(GMWA!$DA$2:$DA$60=G$3)*(GMWA!$CZ$2:$CZ$60=G$4),0),$A56-1966)</f>
        <v>28563.75</v>
      </c>
      <c r="H56" s="46" cm="1">
        <f t="array" ref="H56">INDEX(GMWA!$A$2:$DB$60,MATCH(1,(GMWA!$DA$2:$DA$60=H$3)*(GMWA!$CZ$2:$CZ$60=H$4),0),$A56-1966)</f>
        <v>8937.1170000000002</v>
      </c>
      <c r="I56" s="46" cm="1">
        <f t="array" ref="I56">INDEX(GMWA!$A$2:$DB$60,MATCH(1,(GMWA!$DA$2:$DA$60=I$3)*(GMWA!$CZ$2:$CZ$60=I$4),0),$A56-1966)</f>
        <v>295285</v>
      </c>
      <c r="J56" s="46" cm="1">
        <f t="array" ref="J56">INDEX(GMWA!$A$2:$DB$60,MATCH(1,(GMWA!$DA$2:$DA$60=J$3)*(GMWA!$CZ$2:$CZ$60=J$4),0),$A56-1966)</f>
        <v>125690</v>
      </c>
      <c r="K56" s="46" cm="1">
        <f t="array" ref="K56">INDEX(GMWA!$A$2:$DB$60,MATCH(1,(GMWA!$DA$2:$DA$60=K$3)*(GMWA!$CZ$2:$CZ$60=K$4),0),$A56-1966)</f>
        <v>255016</v>
      </c>
      <c r="L56" s="46" cm="1">
        <f t="array" ref="L56">INDEX(GMWA!$A$2:$DB$60,MATCH(1,(GMWA!$DA$2:$DA$60=L$3)*(GMWA!$CZ$2:$CZ$60=L$4),0),$A56-1966)</f>
        <v>81896</v>
      </c>
      <c r="M56" s="46" cm="1">
        <f t="array" ref="M56">INDEX(GMWA!$A$2:$DB$60,MATCH(1,(GMWA!$DA$2:$DA$60=M$3)*(GMWA!$CZ$2:$CZ$60=M$4),0),$A56-1966)</f>
        <v>93.461160000000007</v>
      </c>
      <c r="N56" s="46" cm="1">
        <f t="array" ref="N56">INDEX(GMWA!$A$2:$DB$60,MATCH(1,(GMWA!$DA$2:$DA$60=N$3)*(GMWA!$CZ$2:$CZ$60=N$4),0),$A56-1966)</f>
        <v>121.6583</v>
      </c>
      <c r="O56" s="46" cm="1">
        <f t="array" ref="O56">INDEX(GMWA!$A$2:$DB$60,MATCH(1,(GMWA!$DA$2:$DA$60=O$3)*(GMWA!$CZ$2:$CZ$60=O$4),0),$A56-1966)</f>
        <v>118.29170000000001</v>
      </c>
      <c r="P56" s="46" cm="1">
        <f t="array" ref="P56">INDEX(GMWA!$A$2:$DB$60,MATCH(1,(GMWA!$DA$2:$DA$60=P$3)*(GMWA!$CZ$2:$CZ$60=P$4),0),$A56-1966)</f>
        <v>183.64169999999999</v>
      </c>
      <c r="Q56" s="46" cm="1">
        <f t="array" ref="Q56">INDEX(GMWA!$A$2:$DB$60,MATCH(1,(GMWA!$DA$2:$DA$60=Q$3)*(GMWA!$CZ$2:$CZ$60=Q$4),0),$A56-1966)</f>
        <v>150.91669999999999</v>
      </c>
      <c r="R56" s="46" cm="1">
        <f t="array" ref="R56">INDEX(GMWA!$A$2:$DB$60,MATCH(1,(GMWA!$DA$2:$DA$60=R$3)*(GMWA!$CZ$2:$CZ$60=R$4),0),$A56-1966)</f>
        <v>118.4833</v>
      </c>
    </row>
    <row r="57" spans="1:18" x14ac:dyDescent="0.35">
      <c r="A57" s="46">
        <f t="shared" si="2"/>
        <v>2023</v>
      </c>
      <c r="B57" s="46" cm="1">
        <f t="array" ref="B57">INDEX(GMWA!$A$2:$DB$60,MATCH(1,(GMWA!$DA$2:$DA$60=B$3)*(GMWA!$CZ$2:$CZ$60=B$4),0),$A57-1966)</f>
        <v>1652281</v>
      </c>
      <c r="C57" s="46" cm="1">
        <f t="array" ref="C57">INDEX(GMWA!$A$2:$DB$60,MATCH(1,(GMWA!$DA$2:$DA$60=C$3)*(GMWA!$CZ$2:$CZ$60=C$4),0),$A57-1966)</f>
        <v>1740150</v>
      </c>
      <c r="D57" s="46" cm="1">
        <f t="array" ref="D57">INDEX(GMWA!$A$2:$DB$60,MATCH(1,(GMWA!$DA$2:$DA$60=D$3)*(GMWA!$CZ$2:$CZ$60=D$4),0),$A57-1966)</f>
        <v>1652281</v>
      </c>
      <c r="E57" s="46" cm="1">
        <f t="array" ref="E57">INDEX(GMWA!$A$2:$DB$60,MATCH(1,(GMWA!$DA$2:$DA$60=E$3)*(GMWA!$CZ$2:$CZ$60=E$4),0),$A57-1966)</f>
        <v>1740150</v>
      </c>
      <c r="F57" s="46" cm="1">
        <f t="array" ref="F57">INDEX(GMWA!$A$2:$DB$60,MATCH(1,(GMWA!$DA$2:$DA$60=F$3)*(GMWA!$CZ$2:$CZ$60=F$4),0),$A57-1966)</f>
        <v>1094554</v>
      </c>
      <c r="G57" s="46" cm="1">
        <f t="array" ref="G57">INDEX(GMWA!$A$2:$DB$60,MATCH(1,(GMWA!$DA$2:$DA$60=G$3)*(GMWA!$CZ$2:$CZ$60=G$4),0),$A57-1966)</f>
        <v>28820.5</v>
      </c>
      <c r="H57" s="46" cm="1">
        <f t="array" ref="H57">INDEX(GMWA!$A$2:$DB$60,MATCH(1,(GMWA!$DA$2:$DA$60=H$3)*(GMWA!$CZ$2:$CZ$60=H$4),0),$A57-1966)</f>
        <v>9494.5</v>
      </c>
      <c r="I57" s="46" cm="1">
        <f t="array" ref="I57">INDEX(GMWA!$A$2:$DB$60,MATCH(1,(GMWA!$DA$2:$DA$60=I$3)*(GMWA!$CZ$2:$CZ$60=I$4),0),$A57-1966)</f>
        <v>325409</v>
      </c>
      <c r="J57" s="46" cm="1">
        <f t="array" ref="J57">INDEX(GMWA!$A$2:$DB$60,MATCH(1,(GMWA!$DA$2:$DA$60=J$3)*(GMWA!$CZ$2:$CZ$60=J$4),0),$A57-1966)</f>
        <v>135863</v>
      </c>
      <c r="K57" s="46" cm="1">
        <f t="array" ref="K57">INDEX(GMWA!$A$2:$DB$60,MATCH(1,(GMWA!$DA$2:$DA$60=K$3)*(GMWA!$CZ$2:$CZ$60=K$4),0),$A57-1966)</f>
        <v>286379</v>
      </c>
      <c r="L57" s="46" cm="1">
        <f t="array" ref="L57">INDEX(GMWA!$A$2:$DB$60,MATCH(1,(GMWA!$DA$2:$DA$60=L$3)*(GMWA!$CZ$2:$CZ$60=L$4),0),$A57-1966)</f>
        <v>83778</v>
      </c>
      <c r="M57" s="46" cm="1">
        <f t="array" ref="M57">INDEX(GMWA!$A$2:$DB$60,MATCH(1,(GMWA!$DA$2:$DA$60=M$3)*(GMWA!$CZ$2:$CZ$60=M$4),0),$A57-1966)</f>
        <v>100.0031</v>
      </c>
      <c r="N57" s="46" cm="1">
        <f t="array" ref="N57">INDEX(GMWA!$A$2:$DB$60,MATCH(1,(GMWA!$DA$2:$DA$60=N$3)*(GMWA!$CZ$2:$CZ$60=N$4),0),$A57-1966)</f>
        <v>130.54169999999999</v>
      </c>
      <c r="O57" s="46" cm="1">
        <f t="array" ref="O57">INDEX(GMWA!$A$2:$DB$60,MATCH(1,(GMWA!$DA$2:$DA$60=O$3)*(GMWA!$CZ$2:$CZ$60=O$4),0),$A57-1966)</f>
        <v>133.5667</v>
      </c>
      <c r="P57" s="46" cm="1">
        <f t="array" ref="P57">INDEX(GMWA!$A$2:$DB$60,MATCH(1,(GMWA!$DA$2:$DA$60=P$3)*(GMWA!$CZ$2:$CZ$60=P$4),0),$A57-1966)</f>
        <v>211.9667</v>
      </c>
      <c r="Q57" s="46" cm="1">
        <f t="array" ref="Q57">INDEX(GMWA!$A$2:$DB$60,MATCH(1,(GMWA!$DA$2:$DA$60=Q$3)*(GMWA!$CZ$2:$CZ$60=Q$4),0),$A57-1966)</f>
        <v>135.04169999999999</v>
      </c>
      <c r="R57" s="46" cm="1">
        <f t="array" ref="R57">INDEX(GMWA!$A$2:$DB$60,MATCH(1,(GMWA!$DA$2:$DA$60=R$3)*(GMWA!$CZ$2:$CZ$60=R$4),0),$A57-1966)</f>
        <v>125.77500000000001</v>
      </c>
    </row>
    <row r="58" spans="1:18" x14ac:dyDescent="0.35">
      <c r="A58" s="46">
        <f t="shared" si="2"/>
        <v>2024</v>
      </c>
      <c r="B58" s="46" cm="1">
        <f t="array" ref="B58">INDEX(GMWA!$A$2:$DB$60,MATCH(1,(GMWA!$DA$2:$DA$60=B$3)*(GMWA!$CZ$2:$CZ$60=B$4),0),$A58-1966)</f>
        <v>1650727</v>
      </c>
      <c r="C58" s="46" cm="1">
        <f t="array" ref="C58">INDEX(GMWA!$A$2:$DB$60,MATCH(1,(GMWA!$DA$2:$DA$60=C$3)*(GMWA!$CZ$2:$CZ$60=C$4),0),$A58-1966)</f>
        <v>1808439</v>
      </c>
      <c r="D58" s="46" cm="1">
        <f t="array" ref="D58">INDEX(GMWA!$A$2:$DB$60,MATCH(1,(GMWA!$DA$2:$DA$60=D$3)*(GMWA!$CZ$2:$CZ$60=D$4),0),$A58-1966)</f>
        <v>1700131</v>
      </c>
      <c r="E58" s="46" cm="1">
        <f t="array" ref="E58">INDEX(GMWA!$A$2:$DB$60,MATCH(1,(GMWA!$DA$2:$DA$60=E$3)*(GMWA!$CZ$2:$CZ$60=E$4),0),$A58-1966)</f>
        <v>1863165</v>
      </c>
      <c r="F58" s="46" cm="1">
        <f t="array" ref="F58">INDEX(GMWA!$A$2:$DB$60,MATCH(1,(GMWA!$DA$2:$DA$60=F$3)*(GMWA!$CZ$2:$CZ$60=F$4),0),$A58-1966)</f>
        <v>1161074</v>
      </c>
      <c r="G58" s="46" cm="1">
        <f t="array" ref="G58">INDEX(GMWA!$A$2:$DB$60,MATCH(1,(GMWA!$DA$2:$DA$60=G$3)*(GMWA!$CZ$2:$CZ$60=G$4),0),$A58-1966)</f>
        <v>29125.25</v>
      </c>
      <c r="H58" s="46" cm="1">
        <f t="array" ref="H58">INDEX(GMWA!$A$2:$DB$60,MATCH(1,(GMWA!$DA$2:$DA$60=H$3)*(GMWA!$CZ$2:$CZ$60=H$4),0),$A58-1966)</f>
        <v>9965.3520000000008</v>
      </c>
      <c r="I58" s="46" cm="1">
        <f t="array" ref="I58">INDEX(GMWA!$A$2:$DB$60,MATCH(1,(GMWA!$DA$2:$DA$60=I$3)*(GMWA!$CZ$2:$CZ$60=I$4),0),$A58-1966)</f>
        <v>356688</v>
      </c>
      <c r="J58" s="46" cm="1">
        <f t="array" ref="J58">INDEX(GMWA!$A$2:$DB$60,MATCH(1,(GMWA!$DA$2:$DA$60=J$3)*(GMWA!$CZ$2:$CZ$60=J$4),0),$A58-1966)</f>
        <v>143542</v>
      </c>
      <c r="K58" s="46" cm="1">
        <f t="array" ref="K58">INDEX(GMWA!$A$2:$DB$60,MATCH(1,(GMWA!$DA$2:$DA$60=K$3)*(GMWA!$CZ$2:$CZ$60=K$4),0),$A58-1966)</f>
        <v>308660</v>
      </c>
      <c r="L58" s="46" cm="1">
        <f t="array" ref="L58">INDEX(GMWA!$A$2:$DB$60,MATCH(1,(GMWA!$DA$2:$DA$60=L$3)*(GMWA!$CZ$2:$CZ$60=L$4),0),$A58-1966)</f>
        <v>67987</v>
      </c>
      <c r="M58" s="46" cm="1">
        <f t="array" ref="M58">INDEX(GMWA!$A$2:$DB$60,MATCH(1,(GMWA!$DA$2:$DA$60=M$3)*(GMWA!$CZ$2:$CZ$60=M$4),0),$A58-1966)</f>
        <v>102.9905</v>
      </c>
      <c r="N58" s="46" cm="1">
        <f t="array" ref="N58">INDEX(GMWA!$A$2:$DB$60,MATCH(1,(GMWA!$DA$2:$DA$60=N$3)*(GMWA!$CZ$2:$CZ$60=N$4),0),$A58-1966)</f>
        <v>133.85830000000001</v>
      </c>
      <c r="O58" s="46" cm="1">
        <f t="array" ref="O58">INDEX(GMWA!$A$2:$DB$60,MATCH(1,(GMWA!$DA$2:$DA$60=O$3)*(GMWA!$CZ$2:$CZ$60=O$4),0),$A58-1966)</f>
        <v>138.875</v>
      </c>
      <c r="P58" s="46" cm="1">
        <f t="array" ref="P58">INDEX(GMWA!$A$2:$DB$60,MATCH(1,(GMWA!$DA$2:$DA$60=P$3)*(GMWA!$CZ$2:$CZ$60=P$4),0),$A58-1966)</f>
        <v>172.24170000000001</v>
      </c>
      <c r="Q58" s="46" cm="1">
        <f t="array" ref="Q58">INDEX(GMWA!$A$2:$DB$60,MATCH(1,(GMWA!$DA$2:$DA$60=Q$3)*(GMWA!$CZ$2:$CZ$60=Q$4),0),$A58-1966)</f>
        <v>128.51669999999999</v>
      </c>
      <c r="R58" s="46" cm="1">
        <f t="array" ref="R58">INDEX(GMWA!$A$2:$DB$60,MATCH(1,(GMWA!$DA$2:$DA$60=R$3)*(GMWA!$CZ$2:$CZ$60=R$4),0),$A58-1966)</f>
        <v>130.45830000000001</v>
      </c>
    </row>
    <row r="59" spans="1:18" x14ac:dyDescent="0.35">
      <c r="A59" s="46">
        <f t="shared" si="2"/>
        <v>2025</v>
      </c>
      <c r="B59" s="46" cm="1">
        <f t="array" ref="B59">INDEX(GMWA!$A$2:$DB$60,MATCH(1,(GMWA!$DA$2:$DA$60=B$3)*(GMWA!$CZ$2:$CZ$60=B$4),0),$A59-1966)</f>
        <v>1663641</v>
      </c>
      <c r="C59" s="46" cm="1">
        <f t="array" ref="C59">INDEX(GMWA!$A$2:$DB$60,MATCH(1,(GMWA!$DA$2:$DA$60=C$3)*(GMWA!$CZ$2:$CZ$60=C$4),0),$A59-1966)</f>
        <v>1828770</v>
      </c>
      <c r="D59" s="46" cm="1">
        <f t="array" ref="D59">INDEX(GMWA!$A$2:$DB$60,MATCH(1,(GMWA!$DA$2:$DA$60=D$3)*(GMWA!$CZ$2:$CZ$60=D$4),0),$A59-1966)</f>
        <v>1776885</v>
      </c>
      <c r="E59" s="46" cm="1">
        <f t="array" ref="E59">INDEX(GMWA!$A$2:$DB$60,MATCH(1,(GMWA!$DA$2:$DA$60=E$3)*(GMWA!$CZ$2:$CZ$60=E$4),0),$A59-1966)</f>
        <v>1950418</v>
      </c>
      <c r="F59" s="46" cm="1">
        <f t="array" ref="F59">INDEX(GMWA!$A$2:$DB$60,MATCH(1,(GMWA!$DA$2:$DA$60=F$3)*(GMWA!$CZ$2:$CZ$60=F$4),0),$A59-1966)</f>
        <v>1232458</v>
      </c>
      <c r="G59" s="46" cm="1">
        <f t="array" ref="G59">INDEX(GMWA!$A$2:$DB$60,MATCH(1,(GMWA!$DA$2:$DA$60=G$3)*(GMWA!$CZ$2:$CZ$60=G$4),0),$A59-1966)</f>
        <v>29584</v>
      </c>
      <c r="H59" s="46" cm="1">
        <f t="array" ref="H59">INDEX(GMWA!$A$2:$DB$60,MATCH(1,(GMWA!$DA$2:$DA$60=H$3)*(GMWA!$CZ$2:$CZ$60=H$4),0),$A59-1966)</f>
        <v>10414.709999999999</v>
      </c>
      <c r="I59" s="46" cm="1">
        <f t="array" ref="I59">INDEX(GMWA!$A$2:$DB$60,MATCH(1,(GMWA!$DA$2:$DA$60=I$3)*(GMWA!$CZ$2:$CZ$60=I$4),0),$A59-1966)</f>
        <v>382478</v>
      </c>
      <c r="J59" s="46" cm="1">
        <f t="array" ref="J59">INDEX(GMWA!$A$2:$DB$60,MATCH(1,(GMWA!$DA$2:$DA$60=J$3)*(GMWA!$CZ$2:$CZ$60=J$4),0),$A59-1966)</f>
        <v>141511</v>
      </c>
      <c r="K59" s="46" cm="1">
        <f t="array" ref="K59">INDEX(GMWA!$A$2:$DB$60,MATCH(1,(GMWA!$DA$2:$DA$60=K$3)*(GMWA!$CZ$2:$CZ$60=K$4),0),$A59-1966)</f>
        <v>333753</v>
      </c>
      <c r="L59" s="46" cm="1">
        <f t="array" ref="L59">INDEX(GMWA!$A$2:$DB$60,MATCH(1,(GMWA!$DA$2:$DA$60=L$3)*(GMWA!$CZ$2:$CZ$60=L$4),0),$A59-1966)</f>
        <v>68636</v>
      </c>
      <c r="M59" s="46" cm="1">
        <f t="array" ref="M59">INDEX(GMWA!$A$2:$DB$60,MATCH(1,(GMWA!$DA$2:$DA$60=M$3)*(GMWA!$CZ$2:$CZ$60=M$4),0),$A59-1966)</f>
        <v>106.8064</v>
      </c>
      <c r="N59" s="46" cm="1">
        <f t="array" ref="N59">INDEX(GMWA!$A$2:$DB$60,MATCH(1,(GMWA!$DA$2:$DA$60=N$3)*(GMWA!$CZ$2:$CZ$60=N$4),0),$A59-1966)</f>
        <v>138.36670000000001</v>
      </c>
      <c r="O59" s="46" cm="1">
        <f t="array" ref="O59">INDEX(GMWA!$A$2:$DB$60,MATCH(1,(GMWA!$DA$2:$DA$60=O$3)*(GMWA!$CZ$2:$CZ$60=O$4),0),$A59-1966)</f>
        <v>145.16669999999999</v>
      </c>
      <c r="P59" s="46" cm="1">
        <f t="array" ref="P59">INDEX(GMWA!$A$2:$DB$60,MATCH(1,(GMWA!$DA$2:$DA$60=P$3)*(GMWA!$CZ$2:$CZ$60=P$4),0),$A59-1966)</f>
        <v>174.91669999999999</v>
      </c>
      <c r="Q59" s="46" cm="1">
        <f t="array" ref="Q59">INDEX(GMWA!$A$2:$DB$60,MATCH(1,(GMWA!$DA$2:$DA$60=Q$3)*(GMWA!$CZ$2:$CZ$60=Q$4),0),$A59-1966)</f>
        <v>123.1083</v>
      </c>
      <c r="R59" s="46" cm="1">
        <f t="array" ref="R59">INDEX(GMWA!$A$2:$DB$60,MATCH(1,(GMWA!$DA$2:$DA$60=R$3)*(GMWA!$CZ$2:$CZ$60=R$4),0),$A59-1966)</f>
        <v>135.0667</v>
      </c>
    </row>
    <row r="60" spans="1:18" x14ac:dyDescent="0.35">
      <c r="A60" s="46">
        <f t="shared" si="2"/>
        <v>2026</v>
      </c>
      <c r="B60" s="46" cm="1">
        <f t="array" ref="B60">INDEX(GMWA!$A$2:$DB$60,MATCH(1,(GMWA!$DA$2:$DA$60=B$3)*(GMWA!$CZ$2:$CZ$60=B$4),0),$A60-1966)</f>
        <v>1669498</v>
      </c>
      <c r="C60" s="46" cm="1">
        <f t="array" ref="C60">INDEX(GMWA!$A$2:$DB$60,MATCH(1,(GMWA!$DA$2:$DA$60=C$3)*(GMWA!$CZ$2:$CZ$60=C$4),0),$A60-1966)</f>
        <v>1825287</v>
      </c>
      <c r="D60" s="46" cm="1">
        <f t="array" ref="D60">INDEX(GMWA!$A$2:$DB$60,MATCH(1,(GMWA!$DA$2:$DA$60=D$3)*(GMWA!$CZ$2:$CZ$60=D$4),0),$A60-1966)</f>
        <v>1853570</v>
      </c>
      <c r="E60" s="46" cm="1">
        <f t="array" ref="E60">INDEX(GMWA!$A$2:$DB$60,MATCH(1,(GMWA!$DA$2:$DA$60=E$3)*(GMWA!$CZ$2:$CZ$60=E$4),0),$A60-1966)</f>
        <v>2023422</v>
      </c>
      <c r="F60" s="46" cm="1">
        <f t="array" ref="F60">INDEX(GMWA!$A$2:$DB$60,MATCH(1,(GMWA!$DA$2:$DA$60=F$3)*(GMWA!$CZ$2:$CZ$60=F$4),0),$A60-1966)</f>
        <v>1283976</v>
      </c>
      <c r="G60" s="46" cm="1">
        <f t="array" ref="G60">INDEX(GMWA!$A$2:$DB$60,MATCH(1,(GMWA!$DA$2:$DA$60=G$3)*(GMWA!$CZ$2:$CZ$60=G$4),0),$A60-1966)</f>
        <v>29645.35</v>
      </c>
      <c r="H60" s="46" cm="1">
        <f t="array" ref="H60">INDEX(GMWA!$A$2:$DB$60,MATCH(1,(GMWA!$DA$2:$DA$60=H$3)*(GMWA!$CZ$2:$CZ$60=H$4),0),$A60-1966)</f>
        <v>10827.94</v>
      </c>
      <c r="I60" s="46" cm="1">
        <f t="array" ref="I60">INDEX(GMWA!$A$2:$DB$60,MATCH(1,(GMWA!$DA$2:$DA$60=I$3)*(GMWA!$CZ$2:$CZ$60=I$4),0),$A60-1966)</f>
        <v>408468.6</v>
      </c>
      <c r="J60" s="46" cm="1">
        <f t="array" ref="J60">INDEX(GMWA!$A$2:$DB$60,MATCH(1,(GMWA!$DA$2:$DA$60=J$3)*(GMWA!$CZ$2:$CZ$60=J$4),0),$A60-1966)</f>
        <v>145174.5</v>
      </c>
      <c r="K60" s="46" cm="1">
        <f t="array" ref="K60">INDEX(GMWA!$A$2:$DB$60,MATCH(1,(GMWA!$DA$2:$DA$60=K$3)*(GMWA!$CZ$2:$CZ$60=K$4),0),$A60-1966)</f>
        <v>362542.1</v>
      </c>
      <c r="L60" s="46" cm="1">
        <f t="array" ref="L60">INDEX(GMWA!$A$2:$DB$60,MATCH(1,(GMWA!$DA$2:$DA$60=L$3)*(GMWA!$CZ$2:$CZ$60=L$4),0),$A60-1966)</f>
        <v>72481.7</v>
      </c>
      <c r="M60" s="46" cm="1">
        <f t="array" ref="M60">INDEX(GMWA!$A$2:$DB$60,MATCH(1,(GMWA!$DA$2:$DA$60=M$3)*(GMWA!$CZ$2:$CZ$60=M$4),0),$A60-1966)</f>
        <v>111.0258</v>
      </c>
      <c r="N60" s="46" cm="1">
        <f t="array" ref="N60">INDEX(GMWA!$A$2:$DB$60,MATCH(1,(GMWA!$DA$2:$DA$60=N$3)*(GMWA!$CZ$2:$CZ$60=N$4),0),$A60-1966)</f>
        <v>143.83789999999999</v>
      </c>
      <c r="O60" s="46" cm="1">
        <f t="array" ref="O60">INDEX(GMWA!$A$2:$DB$60,MATCH(1,(GMWA!$DA$2:$DA$60=O$3)*(GMWA!$CZ$2:$CZ$60=O$4),0),$A60-1966)</f>
        <v>150.37710000000001</v>
      </c>
      <c r="P60" s="46" cm="1">
        <f t="array" ref="P60">INDEX(GMWA!$A$2:$DB$60,MATCH(1,(GMWA!$DA$2:$DA$60=P$3)*(GMWA!$CZ$2:$CZ$60=P$4),0),$A60-1966)</f>
        <v>184.185</v>
      </c>
      <c r="Q60" s="46" cm="1">
        <f t="array" ref="Q60">INDEX(GMWA!$A$2:$DB$60,MATCH(1,(GMWA!$DA$2:$DA$60=Q$3)*(GMWA!$CZ$2:$CZ$60=Q$4),0),$A60-1966)</f>
        <v>136.9272</v>
      </c>
      <c r="R60" s="46" cm="1">
        <f t="array" ref="R60">INDEX(GMWA!$A$2:$DB$60,MATCH(1,(GMWA!$DA$2:$DA$60=R$3)*(GMWA!$CZ$2:$CZ$60=R$4),0),$A60-1966)</f>
        <v>140.07910000000001</v>
      </c>
    </row>
    <row r="61" spans="1:18" x14ac:dyDescent="0.35">
      <c r="A61" s="46">
        <f t="shared" si="2"/>
        <v>2027</v>
      </c>
      <c r="B61" s="46" cm="1">
        <f t="array" ref="B61">INDEX(GMWA!$A$2:$DB$60,MATCH(1,(GMWA!$DA$2:$DA$60=B$3)*(GMWA!$CZ$2:$CZ$60=B$4),0),$A61-1966)</f>
        <v>1676292</v>
      </c>
      <c r="C61" s="46" cm="1">
        <f t="array" ref="C61">INDEX(GMWA!$A$2:$DB$60,MATCH(1,(GMWA!$DA$2:$DA$60=C$3)*(GMWA!$CZ$2:$CZ$60=C$4),0),$A61-1966)</f>
        <v>1829884</v>
      </c>
      <c r="D61" s="46" cm="1">
        <f t="array" ref="D61">INDEX(GMWA!$A$2:$DB$60,MATCH(1,(GMWA!$DA$2:$DA$60=D$3)*(GMWA!$CZ$2:$CZ$60=D$4),0),$A61-1966)</f>
        <v>1914842</v>
      </c>
      <c r="E61" s="46" cm="1">
        <f t="array" ref="E61">INDEX(GMWA!$A$2:$DB$60,MATCH(1,(GMWA!$DA$2:$DA$60=E$3)*(GMWA!$CZ$2:$CZ$60=E$4),0),$A61-1966)</f>
        <v>2087289</v>
      </c>
      <c r="F61" s="46" cm="1">
        <f t="array" ref="F61">INDEX(GMWA!$A$2:$DB$60,MATCH(1,(GMWA!$DA$2:$DA$60=F$3)*(GMWA!$CZ$2:$CZ$60=F$4),0),$A61-1966)</f>
        <v>1333966</v>
      </c>
      <c r="G61" s="46" cm="1">
        <f t="array" ref="G61">INDEX(GMWA!$A$2:$DB$60,MATCH(1,(GMWA!$DA$2:$DA$60=G$3)*(GMWA!$CZ$2:$CZ$60=G$4),0),$A61-1966)</f>
        <v>29724.6</v>
      </c>
      <c r="H61" s="46" cm="1">
        <f t="array" ref="H61">INDEX(GMWA!$A$2:$DB$60,MATCH(1,(GMWA!$DA$2:$DA$60=H$3)*(GMWA!$CZ$2:$CZ$60=H$4),0),$A61-1966)</f>
        <v>11219.16</v>
      </c>
      <c r="I61" s="46" cm="1">
        <f t="array" ref="I61">INDEX(GMWA!$A$2:$DB$60,MATCH(1,(GMWA!$DA$2:$DA$60=I$3)*(GMWA!$CZ$2:$CZ$60=I$4),0),$A61-1966)</f>
        <v>427648.2</v>
      </c>
      <c r="J61" s="46" cm="1">
        <f t="array" ref="J61">INDEX(GMWA!$A$2:$DB$60,MATCH(1,(GMWA!$DA$2:$DA$60=J$3)*(GMWA!$CZ$2:$CZ$60=J$4),0),$A61-1966)</f>
        <v>149181.20000000001</v>
      </c>
      <c r="K61" s="46" cm="1">
        <f t="array" ref="K61">INDEX(GMWA!$A$2:$DB$60,MATCH(1,(GMWA!$DA$2:$DA$60=K$3)*(GMWA!$CZ$2:$CZ$60=K$4),0),$A61-1966)</f>
        <v>389228.79999999999</v>
      </c>
      <c r="L61" s="46" cm="1">
        <f t="array" ref="L61">INDEX(GMWA!$A$2:$DB$60,MATCH(1,(GMWA!$DA$2:$DA$60=L$3)*(GMWA!$CZ$2:$CZ$60=L$4),0),$A61-1966)</f>
        <v>75736.759999999995</v>
      </c>
      <c r="M61" s="46" cm="1">
        <f t="array" ref="M61">INDEX(GMWA!$A$2:$DB$60,MATCH(1,(GMWA!$DA$2:$DA$60=M$3)*(GMWA!$CZ$2:$CZ$60=M$4),0),$A61-1966)</f>
        <v>114.22969999999999</v>
      </c>
      <c r="N61" s="46" cm="1">
        <f t="array" ref="N61">INDEX(GMWA!$A$2:$DB$60,MATCH(1,(GMWA!$DA$2:$DA$60=N$3)*(GMWA!$CZ$2:$CZ$60=N$4),0),$A61-1966)</f>
        <v>147.99189999999999</v>
      </c>
      <c r="O61" s="46" cm="1">
        <f t="array" ref="O61">INDEX(GMWA!$A$2:$DB$60,MATCH(1,(GMWA!$DA$2:$DA$60=O$3)*(GMWA!$CZ$2:$CZ$60=O$4),0),$A61-1966)</f>
        <v>157.21080000000001</v>
      </c>
      <c r="P61" s="46" cm="1">
        <f t="array" ref="P61">INDEX(GMWA!$A$2:$DB$60,MATCH(1,(GMWA!$DA$2:$DA$60=P$3)*(GMWA!$CZ$2:$CZ$60=P$4),0),$A61-1966)</f>
        <v>183.0643</v>
      </c>
      <c r="Q61" s="46" cm="1">
        <f t="array" ref="Q61">INDEX(GMWA!$A$2:$DB$60,MATCH(1,(GMWA!$DA$2:$DA$60=Q$3)*(GMWA!$CZ$2:$CZ$60=Q$4),0),$A61-1966)</f>
        <v>125.241</v>
      </c>
      <c r="R61" s="46" cm="1">
        <f t="array" ref="R61">INDEX(GMWA!$A$2:$DB$60,MATCH(1,(GMWA!$DA$2:$DA$60=R$3)*(GMWA!$CZ$2:$CZ$60=R$4),0),$A61-1966)</f>
        <v>144.43989999999999</v>
      </c>
    </row>
    <row r="62" spans="1:18" x14ac:dyDescent="0.35">
      <c r="A62" s="46">
        <f t="shared" si="2"/>
        <v>2028</v>
      </c>
      <c r="B62" s="46" cm="1">
        <f t="array" ref="B62">INDEX(GMWA!$A$2:$DB$60,MATCH(1,(GMWA!$DA$2:$DA$60=B$3)*(GMWA!$CZ$2:$CZ$60=B$4),0),$A62-1966)</f>
        <v>1699433</v>
      </c>
      <c r="C62" s="46" cm="1">
        <f t="array" ref="C62">INDEX(GMWA!$A$2:$DB$60,MATCH(1,(GMWA!$DA$2:$DA$60=C$3)*(GMWA!$CZ$2:$CZ$60=C$4),0),$A62-1966)</f>
        <v>1860584</v>
      </c>
      <c r="D62" s="46" cm="1">
        <f t="array" ref="D62">INDEX(GMWA!$A$2:$DB$60,MATCH(1,(GMWA!$DA$2:$DA$60=D$3)*(GMWA!$CZ$2:$CZ$60=D$4),0),$A62-1966)</f>
        <v>1977583</v>
      </c>
      <c r="E62" s="46" cm="1">
        <f t="array" ref="E62">INDEX(GMWA!$A$2:$DB$60,MATCH(1,(GMWA!$DA$2:$DA$60=E$3)*(GMWA!$CZ$2:$CZ$60=E$4),0),$A62-1966)</f>
        <v>2162079</v>
      </c>
      <c r="F62" s="46" cm="1">
        <f t="array" ref="F62">INDEX(GMWA!$A$2:$DB$60,MATCH(1,(GMWA!$DA$2:$DA$60=F$3)*(GMWA!$CZ$2:$CZ$60=F$4),0),$A62-1966)</f>
        <v>1384950</v>
      </c>
      <c r="G62" s="46" cm="1">
        <f t="array" ref="G62">INDEX(GMWA!$A$2:$DB$60,MATCH(1,(GMWA!$DA$2:$DA$60=G$3)*(GMWA!$CZ$2:$CZ$60=G$4),0),$A62-1966)</f>
        <v>29991.5</v>
      </c>
      <c r="H62" s="46" cm="1">
        <f t="array" ref="H62">INDEX(GMWA!$A$2:$DB$60,MATCH(1,(GMWA!$DA$2:$DA$60=H$3)*(GMWA!$CZ$2:$CZ$60=H$4),0),$A62-1966)</f>
        <v>11544.3</v>
      </c>
      <c r="I62" s="46" cm="1">
        <f t="array" ref="I62">INDEX(GMWA!$A$2:$DB$60,MATCH(1,(GMWA!$DA$2:$DA$60=I$3)*(GMWA!$CZ$2:$CZ$60=I$4),0),$A62-1966)</f>
        <v>438613.3</v>
      </c>
      <c r="J62" s="46" cm="1">
        <f t="array" ref="J62">INDEX(GMWA!$A$2:$DB$60,MATCH(1,(GMWA!$DA$2:$DA$60=J$3)*(GMWA!$CZ$2:$CZ$60=J$4),0),$A62-1966)</f>
        <v>154257.5</v>
      </c>
      <c r="K62" s="46" cm="1">
        <f t="array" ref="K62">INDEX(GMWA!$A$2:$DB$60,MATCH(1,(GMWA!$DA$2:$DA$60=K$3)*(GMWA!$CZ$2:$CZ$60=K$4),0),$A62-1966)</f>
        <v>407111.6</v>
      </c>
      <c r="L62" s="46" cm="1">
        <f t="array" ref="L62">INDEX(GMWA!$A$2:$DB$60,MATCH(1,(GMWA!$DA$2:$DA$60=L$3)*(GMWA!$CZ$2:$CZ$60=L$4),0),$A62-1966)</f>
        <v>78960.62</v>
      </c>
      <c r="M62" s="46" cm="1">
        <f t="array" ref="M62">INDEX(GMWA!$A$2:$DB$60,MATCH(1,(GMWA!$DA$2:$DA$60=M$3)*(GMWA!$CZ$2:$CZ$60=M$4),0),$A62-1966)</f>
        <v>116.3638</v>
      </c>
      <c r="N62" s="46" cm="1">
        <f t="array" ref="N62">INDEX(GMWA!$A$2:$DB$60,MATCH(1,(GMWA!$DA$2:$DA$60=N$3)*(GMWA!$CZ$2:$CZ$60=N$4),0),$A62-1966)</f>
        <v>150.75460000000001</v>
      </c>
      <c r="O62" s="46" cm="1">
        <f t="array" ref="O62">INDEX(GMWA!$A$2:$DB$60,MATCH(1,(GMWA!$DA$2:$DA$60=O$3)*(GMWA!$CZ$2:$CZ$60=O$4),0),$A62-1966)</f>
        <v>160.77119999999999</v>
      </c>
      <c r="P62" s="46" cm="1">
        <f t="array" ref="P62">INDEX(GMWA!$A$2:$DB$60,MATCH(1,(GMWA!$DA$2:$DA$60=P$3)*(GMWA!$CZ$2:$CZ$60=P$4),0),$A62-1966)</f>
        <v>164.06710000000001</v>
      </c>
      <c r="Q62" s="46" cm="1">
        <f t="array" ref="Q62">INDEX(GMWA!$A$2:$DB$60,MATCH(1,(GMWA!$DA$2:$DA$60=Q$3)*(GMWA!$CZ$2:$CZ$60=Q$4),0),$A62-1966)</f>
        <v>119.1574</v>
      </c>
      <c r="R62" s="46" cm="1">
        <f t="array" ref="R62">INDEX(GMWA!$A$2:$DB$60,MATCH(1,(GMWA!$DA$2:$DA$60=R$3)*(GMWA!$CZ$2:$CZ$60=R$4),0),$A62-1966)</f>
        <v>148.0479</v>
      </c>
    </row>
    <row r="63" spans="1:18" x14ac:dyDescent="0.35">
      <c r="A63" s="46">
        <f t="shared" si="2"/>
        <v>2029</v>
      </c>
      <c r="B63" s="46" cm="1">
        <f t="array" ref="B63">INDEX(GMWA!$A$2:$DB$60,MATCH(1,(GMWA!$DA$2:$DA$60=B$3)*(GMWA!$CZ$2:$CZ$60=B$4),0),$A63-1966)</f>
        <v>1730460</v>
      </c>
      <c r="C63" s="46" cm="1">
        <f t="array" ref="C63">INDEX(GMWA!$A$2:$DB$60,MATCH(1,(GMWA!$DA$2:$DA$60=C$3)*(GMWA!$CZ$2:$CZ$60=C$4),0),$A63-1966)</f>
        <v>1893104</v>
      </c>
      <c r="D63" s="46" cm="1">
        <f t="array" ref="D63">INDEX(GMWA!$A$2:$DB$60,MATCH(1,(GMWA!$DA$2:$DA$60=D$3)*(GMWA!$CZ$2:$CZ$60=D$4),0),$A63-1966)</f>
        <v>2052431</v>
      </c>
      <c r="E63" s="46" cm="1">
        <f t="array" ref="E63">INDEX(GMWA!$A$2:$DB$60,MATCH(1,(GMWA!$DA$2:$DA$60=E$3)*(GMWA!$CZ$2:$CZ$60=E$4),0),$A63-1966)</f>
        <v>2242304</v>
      </c>
      <c r="F63" s="46" cm="1">
        <f t="array" ref="F63">INDEX(GMWA!$A$2:$DB$60,MATCH(1,(GMWA!$DA$2:$DA$60=F$3)*(GMWA!$CZ$2:$CZ$60=F$4),0),$A63-1966)</f>
        <v>1432887</v>
      </c>
      <c r="G63" s="46" cm="1">
        <f t="array" ref="G63">INDEX(GMWA!$A$2:$DB$60,MATCH(1,(GMWA!$DA$2:$DA$60=G$3)*(GMWA!$CZ$2:$CZ$60=G$4),0),$A63-1966)</f>
        <v>30234.42</v>
      </c>
      <c r="H63" s="46" cm="1">
        <f t="array" ref="H63">INDEX(GMWA!$A$2:$DB$60,MATCH(1,(GMWA!$DA$2:$DA$60=H$3)*(GMWA!$CZ$2:$CZ$60=H$4),0),$A63-1966)</f>
        <v>11847.99</v>
      </c>
      <c r="I63" s="46" cm="1">
        <f t="array" ref="I63">INDEX(GMWA!$A$2:$DB$60,MATCH(1,(GMWA!$DA$2:$DA$60=I$3)*(GMWA!$CZ$2:$CZ$60=I$4),0),$A63-1966)</f>
        <v>452920.9</v>
      </c>
      <c r="J63" s="46" cm="1">
        <f t="array" ref="J63">INDEX(GMWA!$A$2:$DB$60,MATCH(1,(GMWA!$DA$2:$DA$60=J$3)*(GMWA!$CZ$2:$CZ$60=J$4),0),$A63-1966)</f>
        <v>158647.9</v>
      </c>
      <c r="K63" s="46" cm="1">
        <f t="array" ref="K63">INDEX(GMWA!$A$2:$DB$60,MATCH(1,(GMWA!$DA$2:$DA$60=K$3)*(GMWA!$CZ$2:$CZ$60=K$4),0),$A63-1966)</f>
        <v>420010.5</v>
      </c>
      <c r="L63" s="46" cm="1">
        <f t="array" ref="L63">INDEX(GMWA!$A$2:$DB$60,MATCH(1,(GMWA!$DA$2:$DA$60=L$3)*(GMWA!$CZ$2:$CZ$60=L$4),0),$A63-1966)</f>
        <v>82312.28</v>
      </c>
      <c r="M63" s="46" cm="1">
        <f t="array" ref="M63">INDEX(GMWA!$A$2:$DB$60,MATCH(1,(GMWA!$DA$2:$DA$60=M$3)*(GMWA!$CZ$2:$CZ$60=M$4),0),$A63-1966)</f>
        <v>118.60339999999999</v>
      </c>
      <c r="N63" s="46" cm="1">
        <f t="array" ref="N63">INDEX(GMWA!$A$2:$DB$60,MATCH(1,(GMWA!$DA$2:$DA$60=N$3)*(GMWA!$CZ$2:$CZ$60=N$4),0),$A63-1966)</f>
        <v>153.65610000000001</v>
      </c>
      <c r="O63" s="46" cm="1">
        <f t="array" ref="O63">INDEX(GMWA!$A$2:$DB$60,MATCH(1,(GMWA!$DA$2:$DA$60=O$3)*(GMWA!$CZ$2:$CZ$60=O$4),0),$A63-1966)</f>
        <v>162.89250000000001</v>
      </c>
      <c r="P63" s="46" cm="1">
        <f t="array" ref="P63">INDEX(GMWA!$A$2:$DB$60,MATCH(1,(GMWA!$DA$2:$DA$60=P$3)*(GMWA!$CZ$2:$CZ$60=P$4),0),$A63-1966)</f>
        <v>159.7159</v>
      </c>
      <c r="Q63" s="46" cm="1">
        <f t="array" ref="Q63">INDEX(GMWA!$A$2:$DB$60,MATCH(1,(GMWA!$DA$2:$DA$60=Q$3)*(GMWA!$CZ$2:$CZ$60=Q$4),0),$A63-1966)</f>
        <v>118.08450000000001</v>
      </c>
      <c r="R63" s="46" cm="1">
        <f t="array" ref="R63">INDEX(GMWA!$A$2:$DB$60,MATCH(1,(GMWA!$DA$2:$DA$60=R$3)*(GMWA!$CZ$2:$CZ$60=R$4),0),$A63-1966)</f>
        <v>151.46559999999999</v>
      </c>
    </row>
    <row r="64" spans="1:18" x14ac:dyDescent="0.35">
      <c r="A64" s="46">
        <f t="shared" si="2"/>
        <v>2030</v>
      </c>
      <c r="B64" s="46" cm="1">
        <f t="array" ref="B64">INDEX(GMWA!$A$2:$DB$60,MATCH(1,(GMWA!$DA$2:$DA$60=B$3)*(GMWA!$CZ$2:$CZ$60=B$4),0),$A64-1966)</f>
        <v>1755050</v>
      </c>
      <c r="C64" s="46" cm="1">
        <f t="array" ref="C64">INDEX(GMWA!$A$2:$DB$60,MATCH(1,(GMWA!$DA$2:$DA$60=C$3)*(GMWA!$CZ$2:$CZ$60=C$4),0),$A64-1966)</f>
        <v>1918424</v>
      </c>
      <c r="D64" s="46" cm="1">
        <f t="array" ref="D64">INDEX(GMWA!$A$2:$DB$60,MATCH(1,(GMWA!$DA$2:$DA$60=D$3)*(GMWA!$CZ$2:$CZ$60=D$4),0),$A64-1966)</f>
        <v>2121032</v>
      </c>
      <c r="E64" s="46" cm="1">
        <f t="array" ref="E64">INDEX(GMWA!$A$2:$DB$60,MATCH(1,(GMWA!$DA$2:$DA$60=E$3)*(GMWA!$CZ$2:$CZ$60=E$4),0),$A64-1966)</f>
        <v>2315441</v>
      </c>
      <c r="F64" s="46" cm="1">
        <f t="array" ref="F64">INDEX(GMWA!$A$2:$DB$60,MATCH(1,(GMWA!$DA$2:$DA$60=F$3)*(GMWA!$CZ$2:$CZ$60=F$4),0),$A64-1966)</f>
        <v>1479676</v>
      </c>
      <c r="G64" s="46" cm="1">
        <f t="array" ref="G64">INDEX(GMWA!$A$2:$DB$60,MATCH(1,(GMWA!$DA$2:$DA$60=G$3)*(GMWA!$CZ$2:$CZ$60=G$4),0),$A64-1966)</f>
        <v>30420.38</v>
      </c>
      <c r="H64" s="46" cm="1">
        <f t="array" ref="H64">INDEX(GMWA!$A$2:$DB$60,MATCH(1,(GMWA!$DA$2:$DA$60=H$3)*(GMWA!$CZ$2:$CZ$60=H$4),0),$A64-1966)</f>
        <v>12160.08</v>
      </c>
      <c r="I64" s="46" cm="1">
        <f t="array" ref="I64">INDEX(GMWA!$A$2:$DB$60,MATCH(1,(GMWA!$DA$2:$DA$60=I$3)*(GMWA!$CZ$2:$CZ$60=I$4),0),$A64-1966)</f>
        <v>472421.9</v>
      </c>
      <c r="J64" s="46" cm="1">
        <f t="array" ref="J64">INDEX(GMWA!$A$2:$DB$60,MATCH(1,(GMWA!$DA$2:$DA$60=J$3)*(GMWA!$CZ$2:$CZ$60=J$4),0),$A64-1966)</f>
        <v>163701.5</v>
      </c>
      <c r="K64" s="46" cm="1">
        <f t="array" ref="K64">INDEX(GMWA!$A$2:$DB$60,MATCH(1,(GMWA!$DA$2:$DA$60=K$3)*(GMWA!$CZ$2:$CZ$60=K$4),0),$A64-1966)</f>
        <v>439355.5</v>
      </c>
      <c r="L64" s="46" cm="1">
        <f t="array" ref="L64">INDEX(GMWA!$A$2:$DB$60,MATCH(1,(GMWA!$DA$2:$DA$60=L$3)*(GMWA!$CZ$2:$CZ$60=L$4),0),$A64-1966)</f>
        <v>85507.88</v>
      </c>
      <c r="M64" s="46" cm="1">
        <f t="array" ref="M64">INDEX(GMWA!$A$2:$DB$60,MATCH(1,(GMWA!$DA$2:$DA$60=M$3)*(GMWA!$CZ$2:$CZ$60=M$4),0),$A64-1966)</f>
        <v>120.8507</v>
      </c>
      <c r="N64" s="46" cm="1">
        <f t="array" ref="N64">INDEX(GMWA!$A$2:$DB$60,MATCH(1,(GMWA!$DA$2:$DA$60=N$3)*(GMWA!$CZ$2:$CZ$60=N$4),0),$A64-1966)</f>
        <v>156.5676</v>
      </c>
      <c r="O64" s="46" cm="1">
        <f t="array" ref="O64">INDEX(GMWA!$A$2:$DB$60,MATCH(1,(GMWA!$DA$2:$DA$60=O$3)*(GMWA!$CZ$2:$CZ$60=O$4),0),$A64-1966)</f>
        <v>165.0051</v>
      </c>
      <c r="P64" s="46" cm="1">
        <f t="array" ref="P64">INDEX(GMWA!$A$2:$DB$60,MATCH(1,(GMWA!$DA$2:$DA$60=P$3)*(GMWA!$CZ$2:$CZ$60=P$4),0),$A64-1966)</f>
        <v>158.18520000000001</v>
      </c>
      <c r="Q64" s="46" cm="1">
        <f t="array" ref="Q64">INDEX(GMWA!$A$2:$DB$60,MATCH(1,(GMWA!$DA$2:$DA$60=Q$3)*(GMWA!$CZ$2:$CZ$60=Q$4),0),$A64-1966)</f>
        <v>119.9965</v>
      </c>
      <c r="R64" s="46" cm="1">
        <f t="array" ref="R64">INDEX(GMWA!$A$2:$DB$60,MATCH(1,(GMWA!$DA$2:$DA$60=R$3)*(GMWA!$CZ$2:$CZ$60=R$4),0),$A64-1966)</f>
        <v>154.68950000000001</v>
      </c>
    </row>
    <row r="65" spans="1:18" x14ac:dyDescent="0.35">
      <c r="A65" s="46">
        <f t="shared" si="2"/>
        <v>2031</v>
      </c>
      <c r="B65" s="46" cm="1">
        <f t="array" ref="B65">INDEX(GMWA!$A$2:$DB$60,MATCH(1,(GMWA!$DA$2:$DA$60=B$3)*(GMWA!$CZ$2:$CZ$60=B$4),0),$A65-1966)</f>
        <v>1778468</v>
      </c>
      <c r="C65" s="46" cm="1">
        <f t="array" ref="C65">INDEX(GMWA!$A$2:$DB$60,MATCH(1,(GMWA!$DA$2:$DA$60=C$3)*(GMWA!$CZ$2:$CZ$60=C$4),0),$A65-1966)</f>
        <v>1944303</v>
      </c>
      <c r="D65" s="46" cm="1">
        <f t="array" ref="D65">INDEX(GMWA!$A$2:$DB$60,MATCH(1,(GMWA!$DA$2:$DA$60=D$3)*(GMWA!$CZ$2:$CZ$60=D$4),0),$A65-1966)</f>
        <v>2191978</v>
      </c>
      <c r="E65" s="46" cm="1">
        <f t="array" ref="E65">INDEX(GMWA!$A$2:$DB$60,MATCH(1,(GMWA!$DA$2:$DA$60=E$3)*(GMWA!$CZ$2:$CZ$60=E$4),0),$A65-1966)</f>
        <v>2393350</v>
      </c>
      <c r="F65" s="46" cm="1">
        <f t="array" ref="F65">INDEX(GMWA!$A$2:$DB$60,MATCH(1,(GMWA!$DA$2:$DA$60=F$3)*(GMWA!$CZ$2:$CZ$60=F$4),0),$A65-1966)</f>
        <v>1528696</v>
      </c>
      <c r="G65" s="46" cm="1">
        <f t="array" ref="G65">INDEX(GMWA!$A$2:$DB$60,MATCH(1,(GMWA!$DA$2:$DA$60=G$3)*(GMWA!$CZ$2:$CZ$60=G$4),0),$A65-1966)</f>
        <v>30596.97</v>
      </c>
      <c r="H65" s="46" cm="1">
        <f t="array" ref="H65">INDEX(GMWA!$A$2:$DB$60,MATCH(1,(GMWA!$DA$2:$DA$60=H$3)*(GMWA!$CZ$2:$CZ$60=H$4),0),$A65-1966)</f>
        <v>12490.43</v>
      </c>
      <c r="I65" s="46" cm="1">
        <f t="array" ref="I65">INDEX(GMWA!$A$2:$DB$60,MATCH(1,(GMWA!$DA$2:$DA$60=I$3)*(GMWA!$CZ$2:$CZ$60=I$4),0),$A65-1966)</f>
        <v>492424.5</v>
      </c>
      <c r="J65" s="46" cm="1">
        <f t="array" ref="J65">INDEX(GMWA!$A$2:$DB$60,MATCH(1,(GMWA!$DA$2:$DA$60=J$3)*(GMWA!$CZ$2:$CZ$60=J$4),0),$A65-1966)</f>
        <v>168772.9</v>
      </c>
      <c r="K65" s="46" cm="1">
        <f t="array" ref="K65">INDEX(GMWA!$A$2:$DB$60,MATCH(1,(GMWA!$DA$2:$DA$60=K$3)*(GMWA!$CZ$2:$CZ$60=K$4),0),$A65-1966)</f>
        <v>459326.5</v>
      </c>
      <c r="L65" s="46" cm="1">
        <f t="array" ref="L65">INDEX(GMWA!$A$2:$DB$60,MATCH(1,(GMWA!$DA$2:$DA$60=L$3)*(GMWA!$CZ$2:$CZ$60=L$4),0),$A65-1966)</f>
        <v>88626.13</v>
      </c>
      <c r="M65" s="46" cm="1">
        <f t="array" ref="M65">INDEX(GMWA!$A$2:$DB$60,MATCH(1,(GMWA!$DA$2:$DA$60=M$3)*(GMWA!$CZ$2:$CZ$60=M$4),0),$A65-1966)</f>
        <v>123.2483</v>
      </c>
      <c r="N65" s="46" cm="1">
        <f t="array" ref="N65">INDEX(GMWA!$A$2:$DB$60,MATCH(1,(GMWA!$DA$2:$DA$60=N$3)*(GMWA!$CZ$2:$CZ$60=N$4),0),$A65-1966)</f>
        <v>159.61060000000001</v>
      </c>
      <c r="O65" s="46" cm="1">
        <f t="array" ref="O65">INDEX(GMWA!$A$2:$DB$60,MATCH(1,(GMWA!$DA$2:$DA$60=O$3)*(GMWA!$CZ$2:$CZ$60=O$4),0),$A65-1966)</f>
        <v>167.2475</v>
      </c>
      <c r="P65" s="46" cm="1">
        <f t="array" ref="P65">INDEX(GMWA!$A$2:$DB$60,MATCH(1,(GMWA!$DA$2:$DA$60=P$3)*(GMWA!$CZ$2:$CZ$60=P$4),0),$A65-1966)</f>
        <v>162.71639999999999</v>
      </c>
      <c r="Q65" s="46" cm="1">
        <f t="array" ref="Q65">INDEX(GMWA!$A$2:$DB$60,MATCH(1,(GMWA!$DA$2:$DA$60=Q$3)*(GMWA!$CZ$2:$CZ$60=Q$4),0),$A65-1966)</f>
        <v>121.0129</v>
      </c>
      <c r="R65" s="46" cm="1">
        <f t="array" ref="R65">INDEX(GMWA!$A$2:$DB$60,MATCH(1,(GMWA!$DA$2:$DA$60=R$3)*(GMWA!$CZ$2:$CZ$60=R$4),0),$A65-1966)</f>
        <v>157.86070000000001</v>
      </c>
    </row>
    <row r="66" spans="1:18" x14ac:dyDescent="0.35">
      <c r="A66" s="46">
        <f t="shared" si="2"/>
        <v>2032</v>
      </c>
      <c r="B66" s="46" cm="1">
        <f t="array" ref="B66">INDEX(GMWA!$A$2:$DB$60,MATCH(1,(GMWA!$DA$2:$DA$60=B$3)*(GMWA!$CZ$2:$CZ$60=B$4),0),$A66-1966)</f>
        <v>1802102</v>
      </c>
      <c r="C66" s="46" cm="1">
        <f t="array" ref="C66">INDEX(GMWA!$A$2:$DB$60,MATCH(1,(GMWA!$DA$2:$DA$60=C$3)*(GMWA!$CZ$2:$CZ$60=C$4),0),$A66-1966)</f>
        <v>1972135</v>
      </c>
      <c r="D66" s="46" cm="1">
        <f t="array" ref="D66">INDEX(GMWA!$A$2:$DB$60,MATCH(1,(GMWA!$DA$2:$DA$60=D$3)*(GMWA!$CZ$2:$CZ$60=D$4),0),$A66-1966)</f>
        <v>2265518</v>
      </c>
      <c r="E66" s="46" cm="1">
        <f t="array" ref="E66">INDEX(GMWA!$A$2:$DB$60,MATCH(1,(GMWA!$DA$2:$DA$60=E$3)*(GMWA!$CZ$2:$CZ$60=E$4),0),$A66-1966)</f>
        <v>2476248</v>
      </c>
      <c r="F66" s="46" cm="1">
        <f t="array" ref="F66">INDEX(GMWA!$A$2:$DB$60,MATCH(1,(GMWA!$DA$2:$DA$60=F$3)*(GMWA!$CZ$2:$CZ$60=F$4),0),$A66-1966)</f>
        <v>1580652</v>
      </c>
      <c r="G66" s="46" cm="1">
        <f t="array" ref="G66">INDEX(GMWA!$A$2:$DB$60,MATCH(1,(GMWA!$DA$2:$DA$60=G$3)*(GMWA!$CZ$2:$CZ$60=G$4),0),$A66-1966)</f>
        <v>30753.09</v>
      </c>
      <c r="H66" s="46" cm="1">
        <f t="array" ref="H66">INDEX(GMWA!$A$2:$DB$60,MATCH(1,(GMWA!$DA$2:$DA$60=H$3)*(GMWA!$CZ$2:$CZ$60=H$4),0),$A66-1966)</f>
        <v>12849.4</v>
      </c>
      <c r="I66" s="46" cm="1">
        <f t="array" ref="I66">INDEX(GMWA!$A$2:$DB$60,MATCH(1,(GMWA!$DA$2:$DA$60=I$3)*(GMWA!$CZ$2:$CZ$60=I$4),0),$A66-1966)</f>
        <v>510923.8</v>
      </c>
      <c r="J66" s="46" cm="1">
        <f t="array" ref="J66">INDEX(GMWA!$A$2:$DB$60,MATCH(1,(GMWA!$DA$2:$DA$60=J$3)*(GMWA!$CZ$2:$CZ$60=J$4),0),$A66-1966)</f>
        <v>173526.1</v>
      </c>
      <c r="K66" s="46" cm="1">
        <f t="array" ref="K66">INDEX(GMWA!$A$2:$DB$60,MATCH(1,(GMWA!$DA$2:$DA$60=K$3)*(GMWA!$CZ$2:$CZ$60=K$4),0),$A66-1966)</f>
        <v>476653.5</v>
      </c>
      <c r="L66" s="46" cm="1">
        <f t="array" ref="L66">INDEX(GMWA!$A$2:$DB$60,MATCH(1,(GMWA!$DA$2:$DA$60=L$3)*(GMWA!$CZ$2:$CZ$60=L$4),0),$A66-1966)</f>
        <v>91638.3</v>
      </c>
      <c r="M66" s="46" cm="1">
        <f t="array" ref="M66">INDEX(GMWA!$A$2:$DB$60,MATCH(1,(GMWA!$DA$2:$DA$60=M$3)*(GMWA!$CZ$2:$CZ$60=M$4),0),$A66-1966)</f>
        <v>125.7128</v>
      </c>
      <c r="N66" s="46" cm="1">
        <f t="array" ref="N66">INDEX(GMWA!$A$2:$DB$60,MATCH(1,(GMWA!$DA$2:$DA$60=N$3)*(GMWA!$CZ$2:$CZ$60=N$4),0),$A66-1966)</f>
        <v>162.77709999999999</v>
      </c>
      <c r="O66" s="46" cm="1">
        <f t="array" ref="O66">INDEX(GMWA!$A$2:$DB$60,MATCH(1,(GMWA!$DA$2:$DA$60=O$3)*(GMWA!$CZ$2:$CZ$60=O$4),0),$A66-1966)</f>
        <v>169.60050000000001</v>
      </c>
      <c r="P66" s="46" cm="1">
        <f t="array" ref="P66">INDEX(GMWA!$A$2:$DB$60,MATCH(1,(GMWA!$DA$2:$DA$60=P$3)*(GMWA!$CZ$2:$CZ$60=P$4),0),$A66-1966)</f>
        <v>169.2467</v>
      </c>
      <c r="Q66" s="46" cm="1">
        <f t="array" ref="Q66">INDEX(GMWA!$A$2:$DB$60,MATCH(1,(GMWA!$DA$2:$DA$60=Q$3)*(GMWA!$CZ$2:$CZ$60=Q$4),0),$A66-1966)</f>
        <v>121.84050000000001</v>
      </c>
      <c r="R66" s="46" cm="1">
        <f t="array" ref="R66">INDEX(GMWA!$A$2:$DB$60,MATCH(1,(GMWA!$DA$2:$DA$60=R$3)*(GMWA!$CZ$2:$CZ$60=R$4),0),$A66-1966)</f>
        <v>161.09979999999999</v>
      </c>
    </row>
    <row r="67" spans="1:18" x14ac:dyDescent="0.35">
      <c r="A67" s="46">
        <f t="shared" si="2"/>
        <v>2033</v>
      </c>
      <c r="B67" s="46" cm="1">
        <f t="array" ref="B67">INDEX(GMWA!$A$2:$DB$60,MATCH(1,(GMWA!$DA$2:$DA$60=B$3)*(GMWA!$CZ$2:$CZ$60=B$4),0),$A67-1966)</f>
        <v>1825999</v>
      </c>
      <c r="C67" s="46" cm="1">
        <f t="array" ref="C67">INDEX(GMWA!$A$2:$DB$60,MATCH(1,(GMWA!$DA$2:$DA$60=C$3)*(GMWA!$CZ$2:$CZ$60=C$4),0),$A67-1966)</f>
        <v>1997880</v>
      </c>
      <c r="D67" s="46" cm="1">
        <f t="array" ref="D67">INDEX(GMWA!$A$2:$DB$60,MATCH(1,(GMWA!$DA$2:$DA$60=D$3)*(GMWA!$CZ$2:$CZ$60=D$4),0),$A67-1966)</f>
        <v>2341464</v>
      </c>
      <c r="E67" s="46" cm="1">
        <f t="array" ref="E67">INDEX(GMWA!$A$2:$DB$60,MATCH(1,(GMWA!$DA$2:$DA$60=E$3)*(GMWA!$CZ$2:$CZ$60=E$4),0),$A67-1966)</f>
        <v>2558837</v>
      </c>
      <c r="F67" s="46" cm="1">
        <f t="array" ref="F67">INDEX(GMWA!$A$2:$DB$60,MATCH(1,(GMWA!$DA$2:$DA$60=F$3)*(GMWA!$CZ$2:$CZ$60=F$4),0),$A67-1966)</f>
        <v>1634636</v>
      </c>
      <c r="G67" s="46" cm="1">
        <f t="array" ref="G67">INDEX(GMWA!$A$2:$DB$60,MATCH(1,(GMWA!$DA$2:$DA$60=G$3)*(GMWA!$CZ$2:$CZ$60=G$4),0),$A67-1966)</f>
        <v>30887.08</v>
      </c>
      <c r="H67" s="46" cm="1">
        <f t="array" ref="H67">INDEX(GMWA!$A$2:$DB$60,MATCH(1,(GMWA!$DA$2:$DA$60=H$3)*(GMWA!$CZ$2:$CZ$60=H$4),0),$A67-1966)</f>
        <v>13230.62</v>
      </c>
      <c r="I67" s="46" cm="1">
        <f t="array" ref="I67">INDEX(GMWA!$A$2:$DB$60,MATCH(1,(GMWA!$DA$2:$DA$60=I$3)*(GMWA!$CZ$2:$CZ$60=I$4),0),$A67-1966)</f>
        <v>528001.4</v>
      </c>
      <c r="J67" s="46" cm="1">
        <f t="array" ref="J67">INDEX(GMWA!$A$2:$DB$60,MATCH(1,(GMWA!$DA$2:$DA$60=J$3)*(GMWA!$CZ$2:$CZ$60=J$4),0),$A67-1966)</f>
        <v>178224</v>
      </c>
      <c r="K67" s="46" cm="1">
        <f t="array" ref="K67">INDEX(GMWA!$A$2:$DB$60,MATCH(1,(GMWA!$DA$2:$DA$60=K$3)*(GMWA!$CZ$2:$CZ$60=K$4),0),$A67-1966)</f>
        <v>493827.2</v>
      </c>
      <c r="L67" s="46" cm="1">
        <f t="array" ref="L67">INDEX(GMWA!$A$2:$DB$60,MATCH(1,(GMWA!$DA$2:$DA$60=L$3)*(GMWA!$CZ$2:$CZ$60=L$4),0),$A67-1966)</f>
        <v>94768.01</v>
      </c>
      <c r="M67" s="46" cm="1">
        <f t="array" ref="M67">INDEX(GMWA!$A$2:$DB$60,MATCH(1,(GMWA!$DA$2:$DA$60=M$3)*(GMWA!$CZ$2:$CZ$60=M$4),0),$A67-1966)</f>
        <v>128.22659999999999</v>
      </c>
      <c r="N67" s="46" cm="1">
        <f t="array" ref="N67">INDEX(GMWA!$A$2:$DB$60,MATCH(1,(GMWA!$DA$2:$DA$60=N$3)*(GMWA!$CZ$2:$CZ$60=N$4),0),$A67-1966)</f>
        <v>166.03989999999999</v>
      </c>
      <c r="O67" s="46" cm="1">
        <f t="array" ref="O67">INDEX(GMWA!$A$2:$DB$60,MATCH(1,(GMWA!$DA$2:$DA$60=O$3)*(GMWA!$CZ$2:$CZ$60=O$4),0),$A67-1966)</f>
        <v>172.03120000000001</v>
      </c>
      <c r="P67" s="46" cm="1">
        <f t="array" ref="P67">INDEX(GMWA!$A$2:$DB$60,MATCH(1,(GMWA!$DA$2:$DA$60=P$3)*(GMWA!$CZ$2:$CZ$60=P$4),0),$A67-1966)</f>
        <v>176.22800000000001</v>
      </c>
      <c r="Q67" s="46" cm="1">
        <f t="array" ref="Q67">INDEX(GMWA!$A$2:$DB$60,MATCH(1,(GMWA!$DA$2:$DA$60=Q$3)*(GMWA!$CZ$2:$CZ$60=Q$4),0),$A67-1966)</f>
        <v>122.58920000000001</v>
      </c>
      <c r="R67" s="46" cm="1">
        <f t="array" ref="R67">INDEX(GMWA!$A$2:$DB$60,MATCH(1,(GMWA!$DA$2:$DA$60=R$3)*(GMWA!$CZ$2:$CZ$60=R$4),0),$A67-1966)</f>
        <v>164.4358</v>
      </c>
    </row>
    <row r="68" spans="1:18" x14ac:dyDescent="0.35">
      <c r="A68" s="46">
        <f t="shared" si="2"/>
        <v>2034</v>
      </c>
      <c r="B68" s="46" cm="1">
        <f t="array" ref="B68">INDEX(GMWA!$A$2:$DB$60,MATCH(1,(GMWA!$DA$2:$DA$60=B$3)*(GMWA!$CZ$2:$CZ$60=B$4),0),$A68-1966)</f>
        <v>1851099</v>
      </c>
      <c r="C68" s="46" cm="1">
        <f t="array" ref="C68">INDEX(GMWA!$A$2:$DB$60,MATCH(1,(GMWA!$DA$2:$DA$60=C$3)*(GMWA!$CZ$2:$CZ$60=C$4),0),$A68-1966)</f>
        <v>2025079</v>
      </c>
      <c r="D68" s="46" cm="1">
        <f t="array" ref="D68">INDEX(GMWA!$A$2:$DB$60,MATCH(1,(GMWA!$DA$2:$DA$60=D$3)*(GMWA!$CZ$2:$CZ$60=D$4),0),$A68-1966)</f>
        <v>2421115</v>
      </c>
      <c r="E68" s="46" cm="1">
        <f t="array" ref="E68">INDEX(GMWA!$A$2:$DB$60,MATCH(1,(GMWA!$DA$2:$DA$60=E$3)*(GMWA!$CZ$2:$CZ$60=E$4),0),$A68-1966)</f>
        <v>2645641</v>
      </c>
      <c r="F68" s="46" cm="1">
        <f t="array" ref="F68">INDEX(GMWA!$A$2:$DB$60,MATCH(1,(GMWA!$DA$2:$DA$60=F$3)*(GMWA!$CZ$2:$CZ$60=F$4),0),$A68-1966)</f>
        <v>1691171</v>
      </c>
      <c r="G68" s="46" cm="1">
        <f t="array" ref="G68">INDEX(GMWA!$A$2:$DB$60,MATCH(1,(GMWA!$DA$2:$DA$60=G$3)*(GMWA!$CZ$2:$CZ$60=G$4),0),$A68-1966)</f>
        <v>31011.96</v>
      </c>
      <c r="H68" s="46" cm="1">
        <f t="array" ref="H68">INDEX(GMWA!$A$2:$DB$60,MATCH(1,(GMWA!$DA$2:$DA$60=H$3)*(GMWA!$CZ$2:$CZ$60=H$4),0),$A68-1966)</f>
        <v>13633.08</v>
      </c>
      <c r="I68" s="46" cm="1">
        <f t="array" ref="I68">INDEX(GMWA!$A$2:$DB$60,MATCH(1,(GMWA!$DA$2:$DA$60=I$3)*(GMWA!$CZ$2:$CZ$60=I$4),0),$A68-1966)</f>
        <v>545914.9</v>
      </c>
      <c r="J68" s="46" cm="1">
        <f t="array" ref="J68">INDEX(GMWA!$A$2:$DB$60,MATCH(1,(GMWA!$DA$2:$DA$60=J$3)*(GMWA!$CZ$2:$CZ$60=J$4),0),$A68-1966)</f>
        <v>182852.1</v>
      </c>
      <c r="K68" s="46" cm="1">
        <f t="array" ref="K68">INDEX(GMWA!$A$2:$DB$60,MATCH(1,(GMWA!$DA$2:$DA$60=K$3)*(GMWA!$CZ$2:$CZ$60=K$4),0),$A68-1966)</f>
        <v>511149.8</v>
      </c>
      <c r="L68" s="46" cm="1">
        <f t="array" ref="L68">INDEX(GMWA!$A$2:$DB$60,MATCH(1,(GMWA!$DA$2:$DA$60=L$3)*(GMWA!$CZ$2:$CZ$60=L$4),0),$A68-1966)</f>
        <v>98045.64</v>
      </c>
      <c r="M68" s="46" cm="1">
        <f t="array" ref="M68">INDEX(GMWA!$A$2:$DB$60,MATCH(1,(GMWA!$DA$2:$DA$60=M$3)*(GMWA!$CZ$2:$CZ$60=M$4),0),$A68-1966)</f>
        <v>130.79060000000001</v>
      </c>
      <c r="N68" s="46" cm="1">
        <f t="array" ref="N68">INDEX(GMWA!$A$2:$DB$60,MATCH(1,(GMWA!$DA$2:$DA$60=N$3)*(GMWA!$CZ$2:$CZ$60=N$4),0),$A68-1966)</f>
        <v>169.36959999999999</v>
      </c>
      <c r="O68" s="46" cm="1">
        <f t="array" ref="O68">INDEX(GMWA!$A$2:$DB$60,MATCH(1,(GMWA!$DA$2:$DA$60=O$3)*(GMWA!$CZ$2:$CZ$60=O$4),0),$A68-1966)</f>
        <v>174.51390000000001</v>
      </c>
      <c r="P68" s="46" cm="1">
        <f t="array" ref="P68">INDEX(GMWA!$A$2:$DB$60,MATCH(1,(GMWA!$DA$2:$DA$60=P$3)*(GMWA!$CZ$2:$CZ$60=P$4),0),$A68-1966)</f>
        <v>183.11199999999999</v>
      </c>
      <c r="Q68" s="46" cm="1">
        <f t="array" ref="Q68">INDEX(GMWA!$A$2:$DB$60,MATCH(1,(GMWA!$DA$2:$DA$60=Q$3)*(GMWA!$CZ$2:$CZ$60=Q$4),0),$A68-1966)</f>
        <v>123.16930000000001</v>
      </c>
      <c r="R68" s="46" cm="1">
        <f t="array" ref="R68">INDEX(GMWA!$A$2:$DB$60,MATCH(1,(GMWA!$DA$2:$DA$60=R$3)*(GMWA!$CZ$2:$CZ$60=R$4),0),$A68-1966)</f>
        <v>167.86170000000001</v>
      </c>
    </row>
    <row r="69" spans="1:18" x14ac:dyDescent="0.35">
      <c r="A69" s="46">
        <f t="shared" si="2"/>
        <v>2035</v>
      </c>
      <c r="B69" s="46" cm="1">
        <f t="array" ref="B69">INDEX(GMWA!$A$2:$DB$60,MATCH(1,(GMWA!$DA$2:$DA$60=B$3)*(GMWA!$CZ$2:$CZ$60=B$4),0),$A69-1966)</f>
        <v>1876966</v>
      </c>
      <c r="C69" s="46" cm="1">
        <f t="array" ref="C69">INDEX(GMWA!$A$2:$DB$60,MATCH(1,(GMWA!$DA$2:$DA$60=C$3)*(GMWA!$CZ$2:$CZ$60=C$4),0),$A69-1966)</f>
        <v>2053060</v>
      </c>
      <c r="D69" s="46" cm="1">
        <f t="array" ref="D69">INDEX(GMWA!$A$2:$DB$60,MATCH(1,(GMWA!$DA$2:$DA$60=D$3)*(GMWA!$CZ$2:$CZ$60=D$4),0),$A69-1966)</f>
        <v>2504039</v>
      </c>
      <c r="E69" s="46" cm="1">
        <f t="array" ref="E69">INDEX(GMWA!$A$2:$DB$60,MATCH(1,(GMWA!$DA$2:$DA$60=E$3)*(GMWA!$CZ$2:$CZ$60=E$4),0),$A69-1966)</f>
        <v>2735936</v>
      </c>
      <c r="F69" s="46" cm="1">
        <f t="array" ref="F69">INDEX(GMWA!$A$2:$DB$60,MATCH(1,(GMWA!$DA$2:$DA$60=F$3)*(GMWA!$CZ$2:$CZ$60=F$4),0),$A69-1966)</f>
        <v>1750228</v>
      </c>
      <c r="G69" s="46" cm="1">
        <f t="array" ref="G69">INDEX(GMWA!$A$2:$DB$60,MATCH(1,(GMWA!$DA$2:$DA$60=G$3)*(GMWA!$CZ$2:$CZ$60=G$4),0),$A69-1966)</f>
        <v>31140.560000000001</v>
      </c>
      <c r="H69" s="46" cm="1">
        <f t="array" ref="H69">INDEX(GMWA!$A$2:$DB$60,MATCH(1,(GMWA!$DA$2:$DA$60=H$3)*(GMWA!$CZ$2:$CZ$60=H$4),0),$A69-1966)</f>
        <v>14050.9</v>
      </c>
      <c r="I69" s="46" cm="1">
        <f t="array" ref="I69">INDEX(GMWA!$A$2:$DB$60,MATCH(1,(GMWA!$DA$2:$DA$60=I$3)*(GMWA!$CZ$2:$CZ$60=I$4),0),$A69-1966)</f>
        <v>564895.6</v>
      </c>
      <c r="J69" s="46" cm="1">
        <f t="array" ref="J69">INDEX(GMWA!$A$2:$DB$60,MATCH(1,(GMWA!$DA$2:$DA$60=J$3)*(GMWA!$CZ$2:$CZ$60=J$4),0),$A69-1966)</f>
        <v>187386</v>
      </c>
      <c r="K69" s="46" cm="1">
        <f t="array" ref="K69">INDEX(GMWA!$A$2:$DB$60,MATCH(1,(GMWA!$DA$2:$DA$60=K$3)*(GMWA!$CZ$2:$CZ$60=K$4),0),$A69-1966)</f>
        <v>529101.9</v>
      </c>
      <c r="L69" s="46" cm="1">
        <f t="array" ref="L69">INDEX(GMWA!$A$2:$DB$60,MATCH(1,(GMWA!$DA$2:$DA$60=L$3)*(GMWA!$CZ$2:$CZ$60=L$4),0),$A69-1966)</f>
        <v>101469.5</v>
      </c>
      <c r="M69" s="46" cm="1">
        <f t="array" ref="M69">INDEX(GMWA!$A$2:$DB$60,MATCH(1,(GMWA!$DA$2:$DA$60=M$3)*(GMWA!$CZ$2:$CZ$60=M$4),0),$A69-1966)</f>
        <v>133.40600000000001</v>
      </c>
      <c r="N69" s="46" cm="1">
        <f t="array" ref="N69">INDEX(GMWA!$A$2:$DB$60,MATCH(1,(GMWA!$DA$2:$DA$60=N$3)*(GMWA!$CZ$2:$CZ$60=N$4),0),$A69-1966)</f>
        <v>172.756</v>
      </c>
      <c r="O69" s="46" cm="1">
        <f t="array" ref="O69">INDEX(GMWA!$A$2:$DB$60,MATCH(1,(GMWA!$DA$2:$DA$60=O$3)*(GMWA!$CZ$2:$CZ$60=O$4),0),$A69-1966)</f>
        <v>177.03280000000001</v>
      </c>
      <c r="P69" s="46" cm="1">
        <f t="array" ref="P69">INDEX(GMWA!$A$2:$DB$60,MATCH(1,(GMWA!$DA$2:$DA$60=P$3)*(GMWA!$CZ$2:$CZ$60=P$4),0),$A69-1966)</f>
        <v>189.75120000000001</v>
      </c>
      <c r="Q69" s="46" cm="1">
        <f t="array" ref="Q69">INDEX(GMWA!$A$2:$DB$60,MATCH(1,(GMWA!$DA$2:$DA$60=Q$3)*(GMWA!$CZ$2:$CZ$60=Q$4),0),$A69-1966)</f>
        <v>123.6977</v>
      </c>
      <c r="R69" s="46" cm="1">
        <f t="array" ref="R69">INDEX(GMWA!$A$2:$DB$60,MATCH(1,(GMWA!$DA$2:$DA$60=R$3)*(GMWA!$CZ$2:$CZ$60=R$4),0),$A69-1966)</f>
        <v>171.36789999999999</v>
      </c>
    </row>
    <row r="70" spans="1:18" x14ac:dyDescent="0.35">
      <c r="A70" s="46">
        <f t="shared" si="2"/>
        <v>2036</v>
      </c>
      <c r="B70" s="46" cm="1">
        <f t="array" ref="B70">INDEX(GMWA!$A$2:$DB$60,MATCH(1,(GMWA!$DA$2:$DA$60=B$3)*(GMWA!$CZ$2:$CZ$60=B$4),0),$A70-1966)</f>
        <v>1903280</v>
      </c>
      <c r="C70" s="46" cm="1">
        <f t="array" ref="C70">INDEX(GMWA!$A$2:$DB$60,MATCH(1,(GMWA!$DA$2:$DA$60=C$3)*(GMWA!$CZ$2:$CZ$60=C$4),0),$A70-1966)</f>
        <v>2081221</v>
      </c>
      <c r="D70" s="46" cm="1">
        <f t="array" ref="D70">INDEX(GMWA!$A$2:$DB$60,MATCH(1,(GMWA!$DA$2:$DA$60=D$3)*(GMWA!$CZ$2:$CZ$60=D$4),0),$A70-1966)</f>
        <v>2589915</v>
      </c>
      <c r="E70" s="46" cm="1">
        <f t="array" ref="E70">INDEX(GMWA!$A$2:$DB$60,MATCH(1,(GMWA!$DA$2:$DA$60=E$3)*(GMWA!$CZ$2:$CZ$60=E$4),0),$A70-1966)</f>
        <v>2829028</v>
      </c>
      <c r="F70" s="46" cm="1">
        <f t="array" ref="F70">INDEX(GMWA!$A$2:$DB$60,MATCH(1,(GMWA!$DA$2:$DA$60=F$3)*(GMWA!$CZ$2:$CZ$60=F$4),0),$A70-1966)</f>
        <v>1811431</v>
      </c>
      <c r="G70" s="46" cm="1">
        <f t="array" ref="G70">INDEX(GMWA!$A$2:$DB$60,MATCH(1,(GMWA!$DA$2:$DA$60=G$3)*(GMWA!$CZ$2:$CZ$60=G$4),0),$A70-1966)</f>
        <v>31269.69</v>
      </c>
      <c r="H70" s="46" cm="1">
        <f t="array" ref="H70">INDEX(GMWA!$A$2:$DB$60,MATCH(1,(GMWA!$DA$2:$DA$60=H$3)*(GMWA!$CZ$2:$CZ$60=H$4),0),$A70-1966)</f>
        <v>14482.18</v>
      </c>
      <c r="I70" s="46" cm="1">
        <f t="array" ref="I70">INDEX(GMWA!$A$2:$DB$60,MATCH(1,(GMWA!$DA$2:$DA$60=I$3)*(GMWA!$CZ$2:$CZ$60=I$4),0),$A70-1966)</f>
        <v>585558.80000000005</v>
      </c>
      <c r="J70" s="46" cm="1">
        <f t="array" ref="J70">INDEX(GMWA!$A$2:$DB$60,MATCH(1,(GMWA!$DA$2:$DA$60=J$3)*(GMWA!$CZ$2:$CZ$60=J$4),0),$A70-1966)</f>
        <v>191890.5</v>
      </c>
      <c r="K70" s="46" cm="1">
        <f t="array" ref="K70">INDEX(GMWA!$A$2:$DB$60,MATCH(1,(GMWA!$DA$2:$DA$60=K$3)*(GMWA!$CZ$2:$CZ$60=K$4),0),$A70-1966)</f>
        <v>547594.30000000005</v>
      </c>
      <c r="L70" s="46" cm="1">
        <f t="array" ref="L70">INDEX(GMWA!$A$2:$DB$60,MATCH(1,(GMWA!$DA$2:$DA$60=L$3)*(GMWA!$CZ$2:$CZ$60=L$4),0),$A70-1966)</f>
        <v>105017.7</v>
      </c>
      <c r="M70" s="46" cm="1">
        <f t="array" ref="M70">INDEX(GMWA!$A$2:$DB$60,MATCH(1,(GMWA!$DA$2:$DA$60=M$3)*(GMWA!$CZ$2:$CZ$60=M$4),0),$A70-1966)</f>
        <v>136.0735</v>
      </c>
      <c r="N70" s="46" cm="1">
        <f t="array" ref="N70">INDEX(GMWA!$A$2:$DB$60,MATCH(1,(GMWA!$DA$2:$DA$60=N$3)*(GMWA!$CZ$2:$CZ$60=N$4),0),$A70-1966)</f>
        <v>176.21119999999999</v>
      </c>
      <c r="O70" s="46" cm="1">
        <f t="array" ref="O70">INDEX(GMWA!$A$2:$DB$60,MATCH(1,(GMWA!$DA$2:$DA$60=O$3)*(GMWA!$CZ$2:$CZ$60=O$4),0),$A70-1966)</f>
        <v>179.58590000000001</v>
      </c>
      <c r="P70" s="46" cm="1">
        <f t="array" ref="P70">INDEX(GMWA!$A$2:$DB$60,MATCH(1,(GMWA!$DA$2:$DA$60=P$3)*(GMWA!$CZ$2:$CZ$60=P$4),0),$A70-1966)</f>
        <v>196.5147</v>
      </c>
      <c r="Q70" s="46" cm="1">
        <f t="array" ref="Q70">INDEX(GMWA!$A$2:$DB$60,MATCH(1,(GMWA!$DA$2:$DA$60=Q$3)*(GMWA!$CZ$2:$CZ$60=Q$4),0),$A70-1966)</f>
        <v>124.2002</v>
      </c>
      <c r="R70" s="46" cm="1">
        <f t="array" ref="R70">INDEX(GMWA!$A$2:$DB$60,MATCH(1,(GMWA!$DA$2:$DA$60=R$3)*(GMWA!$CZ$2:$CZ$60=R$4),0),$A70-1966)</f>
        <v>174.95339999999999</v>
      </c>
    </row>
    <row r="71" spans="1:18" x14ac:dyDescent="0.35">
      <c r="A71" s="46">
        <f t="shared" si="2"/>
        <v>2037</v>
      </c>
      <c r="B71" s="46" cm="1">
        <f t="array" ref="B71">INDEX(GMWA!$A$2:$DB$60,MATCH(1,(GMWA!$DA$2:$DA$60=B$3)*(GMWA!$CZ$2:$CZ$60=B$4),0),$A71-1966)</f>
        <v>1929968</v>
      </c>
      <c r="C71" s="46" cm="1">
        <f t="array" ref="C71">INDEX(GMWA!$A$2:$DB$60,MATCH(1,(GMWA!$DA$2:$DA$60=C$3)*(GMWA!$CZ$2:$CZ$60=C$4),0),$A71-1966)</f>
        <v>2110385</v>
      </c>
      <c r="D71" s="46" cm="1">
        <f t="array" ref="D71">INDEX(GMWA!$A$2:$DB$60,MATCH(1,(GMWA!$DA$2:$DA$60=D$3)*(GMWA!$CZ$2:$CZ$60=D$4),0),$A71-1966)</f>
        <v>2678748</v>
      </c>
      <c r="E71" s="46" cm="1">
        <f t="array" ref="E71">INDEX(GMWA!$A$2:$DB$60,MATCH(1,(GMWA!$DA$2:$DA$60=E$3)*(GMWA!$CZ$2:$CZ$60=E$4),0),$A71-1966)</f>
        <v>2926137</v>
      </c>
      <c r="F71" s="46" cm="1">
        <f t="array" ref="F71">INDEX(GMWA!$A$2:$DB$60,MATCH(1,(GMWA!$DA$2:$DA$60=F$3)*(GMWA!$CZ$2:$CZ$60=F$4),0),$A71-1966)</f>
        <v>1874825</v>
      </c>
      <c r="G71" s="46" cm="1">
        <f t="array" ref="G71">INDEX(GMWA!$A$2:$DB$60,MATCH(1,(GMWA!$DA$2:$DA$60=G$3)*(GMWA!$CZ$2:$CZ$60=G$4),0),$A71-1966)</f>
        <v>31398.82</v>
      </c>
      <c r="H71" s="46" cm="1">
        <f t="array" ref="H71">INDEX(GMWA!$A$2:$DB$60,MATCH(1,(GMWA!$DA$2:$DA$60=H$3)*(GMWA!$CZ$2:$CZ$60=H$4),0),$A71-1966)</f>
        <v>14927.37</v>
      </c>
      <c r="I71" s="46" cm="1">
        <f t="array" ref="I71">INDEX(GMWA!$A$2:$DB$60,MATCH(1,(GMWA!$DA$2:$DA$60=I$3)*(GMWA!$CZ$2:$CZ$60=I$4),0),$A71-1966)</f>
        <v>606678.4</v>
      </c>
      <c r="J71" s="46" cm="1">
        <f t="array" ref="J71">INDEX(GMWA!$A$2:$DB$60,MATCH(1,(GMWA!$DA$2:$DA$60=J$3)*(GMWA!$CZ$2:$CZ$60=J$4),0),$A71-1966)</f>
        <v>196339.6</v>
      </c>
      <c r="K71" s="46" cm="1">
        <f t="array" ref="K71">INDEX(GMWA!$A$2:$DB$60,MATCH(1,(GMWA!$DA$2:$DA$60=K$3)*(GMWA!$CZ$2:$CZ$60=K$4),0),$A71-1966)</f>
        <v>566949.19999999995</v>
      </c>
      <c r="L71" s="46" cm="1">
        <f t="array" ref="L71">INDEX(GMWA!$A$2:$DB$60,MATCH(1,(GMWA!$DA$2:$DA$60=L$3)*(GMWA!$CZ$2:$CZ$60=L$4),0),$A71-1966)</f>
        <v>108693</v>
      </c>
      <c r="M71" s="46" cm="1">
        <f t="array" ref="M71">INDEX(GMWA!$A$2:$DB$60,MATCH(1,(GMWA!$DA$2:$DA$60=M$3)*(GMWA!$CZ$2:$CZ$60=M$4),0),$A71-1966)</f>
        <v>138.7945</v>
      </c>
      <c r="N71" s="46" cm="1">
        <f t="array" ref="N71">INDEX(GMWA!$A$2:$DB$60,MATCH(1,(GMWA!$DA$2:$DA$60=N$3)*(GMWA!$CZ$2:$CZ$60=N$4),0),$A71-1966)</f>
        <v>179.7353</v>
      </c>
      <c r="O71" s="46" cm="1">
        <f t="array" ref="O71">INDEX(GMWA!$A$2:$DB$60,MATCH(1,(GMWA!$DA$2:$DA$60=O$3)*(GMWA!$CZ$2:$CZ$60=O$4),0),$A71-1966)</f>
        <v>182.17580000000001</v>
      </c>
      <c r="P71" s="46" cm="1">
        <f t="array" ref="P71">INDEX(GMWA!$A$2:$DB$60,MATCH(1,(GMWA!$DA$2:$DA$60=P$3)*(GMWA!$CZ$2:$CZ$60=P$4),0),$A71-1966)</f>
        <v>203.51929999999999</v>
      </c>
      <c r="Q71" s="46" cm="1">
        <f t="array" ref="Q71">INDEX(GMWA!$A$2:$DB$60,MATCH(1,(GMWA!$DA$2:$DA$60=Q$3)*(GMWA!$CZ$2:$CZ$60=Q$4),0),$A71-1966)</f>
        <v>124.70480000000001</v>
      </c>
      <c r="R71" s="46" cm="1">
        <f t="array" ref="R71">INDEX(GMWA!$A$2:$DB$60,MATCH(1,(GMWA!$DA$2:$DA$60=R$3)*(GMWA!$CZ$2:$CZ$60=R$4),0),$A71-1966)</f>
        <v>178.60220000000001</v>
      </c>
    </row>
    <row r="72" spans="1:18" x14ac:dyDescent="0.35">
      <c r="A72" s="46">
        <f t="shared" si="2"/>
        <v>2038</v>
      </c>
      <c r="B72" s="46" cm="1">
        <f t="array" ref="B72">INDEX(GMWA!$A$2:$DB$60,MATCH(1,(GMWA!$DA$2:$DA$60=B$3)*(GMWA!$CZ$2:$CZ$60=B$4),0),$A72-1966)</f>
        <v>1957089</v>
      </c>
      <c r="C72" s="46" cm="1">
        <f t="array" ref="C72">INDEX(GMWA!$A$2:$DB$60,MATCH(1,(GMWA!$DA$2:$DA$60=C$3)*(GMWA!$CZ$2:$CZ$60=C$4),0),$A72-1966)</f>
        <v>2140020</v>
      </c>
      <c r="D72" s="46" cm="1">
        <f t="array" ref="D72">INDEX(GMWA!$A$2:$DB$60,MATCH(1,(GMWA!$DA$2:$DA$60=D$3)*(GMWA!$CZ$2:$CZ$60=D$4),0),$A72-1966)</f>
        <v>2770708</v>
      </c>
      <c r="E72" s="46" cm="1">
        <f t="array" ref="E72">INDEX(GMWA!$A$2:$DB$60,MATCH(1,(GMWA!$DA$2:$DA$60=E$3)*(GMWA!$CZ$2:$CZ$60=E$4),0),$A72-1966)</f>
        <v>3026665</v>
      </c>
      <c r="F72" s="46" cm="1">
        <f t="array" ref="F72">INDEX(GMWA!$A$2:$DB$60,MATCH(1,(GMWA!$DA$2:$DA$60=F$3)*(GMWA!$CZ$2:$CZ$60=F$4),0),$A72-1966)</f>
        <v>1940496</v>
      </c>
      <c r="G72" s="46" cm="1">
        <f t="array" ref="G72">INDEX(GMWA!$A$2:$DB$60,MATCH(1,(GMWA!$DA$2:$DA$60=G$3)*(GMWA!$CZ$2:$CZ$60=G$4),0),$A72-1966)</f>
        <v>31527.96</v>
      </c>
      <c r="H72" s="46" cm="1">
        <f t="array" ref="H72">INDEX(GMWA!$A$2:$DB$60,MATCH(1,(GMWA!$DA$2:$DA$60=H$3)*(GMWA!$CZ$2:$CZ$60=H$4),0),$A72-1966)</f>
        <v>15386.96</v>
      </c>
      <c r="I72" s="46" cm="1">
        <f t="array" ref="I72">INDEX(GMWA!$A$2:$DB$60,MATCH(1,(GMWA!$DA$2:$DA$60=I$3)*(GMWA!$CZ$2:$CZ$60=I$4),0),$A72-1966)</f>
        <v>628203.69999999995</v>
      </c>
      <c r="J72" s="46" cm="1">
        <f t="array" ref="J72">INDEX(GMWA!$A$2:$DB$60,MATCH(1,(GMWA!$DA$2:$DA$60=J$3)*(GMWA!$CZ$2:$CZ$60=J$4),0),$A72-1966)</f>
        <v>200669.2</v>
      </c>
      <c r="K72" s="46" cm="1">
        <f t="array" ref="K72">INDEX(GMWA!$A$2:$DB$60,MATCH(1,(GMWA!$DA$2:$DA$60=K$3)*(GMWA!$CZ$2:$CZ$60=K$4),0),$A72-1966)</f>
        <v>587003.80000000005</v>
      </c>
      <c r="L72" s="46" cm="1">
        <f t="array" ref="L72">INDEX(GMWA!$A$2:$DB$60,MATCH(1,(GMWA!$DA$2:$DA$60=L$3)*(GMWA!$CZ$2:$CZ$60=L$4),0),$A72-1966)</f>
        <v>112500.3</v>
      </c>
      <c r="M72" s="46" cm="1">
        <f t="array" ref="M72">INDEX(GMWA!$A$2:$DB$60,MATCH(1,(GMWA!$DA$2:$DA$60=M$3)*(GMWA!$CZ$2:$CZ$60=M$4),0),$A72-1966)</f>
        <v>141.56989999999999</v>
      </c>
      <c r="N72" s="46" cm="1">
        <f t="array" ref="N72">INDEX(GMWA!$A$2:$DB$60,MATCH(1,(GMWA!$DA$2:$DA$60=N$3)*(GMWA!$CZ$2:$CZ$60=N$4),0),$A72-1966)</f>
        <v>183.33009999999999</v>
      </c>
      <c r="O72" s="46" cm="1">
        <f t="array" ref="O72">INDEX(GMWA!$A$2:$DB$60,MATCH(1,(GMWA!$DA$2:$DA$60=O$3)*(GMWA!$CZ$2:$CZ$60=O$4),0),$A72-1966)</f>
        <v>184.80289999999999</v>
      </c>
      <c r="P72" s="46" cm="1">
        <f t="array" ref="P72">INDEX(GMWA!$A$2:$DB$60,MATCH(1,(GMWA!$DA$2:$DA$60=P$3)*(GMWA!$CZ$2:$CZ$60=P$4),0),$A72-1966)</f>
        <v>210.77369999999999</v>
      </c>
      <c r="Q72" s="46" cm="1">
        <f t="array" ref="Q72">INDEX(GMWA!$A$2:$DB$60,MATCH(1,(GMWA!$DA$2:$DA$60=Q$3)*(GMWA!$CZ$2:$CZ$60=Q$4),0),$A72-1966)</f>
        <v>125.2114</v>
      </c>
      <c r="R72" s="46" cm="1">
        <f t="array" ref="R72">INDEX(GMWA!$A$2:$DB$60,MATCH(1,(GMWA!$DA$2:$DA$60=R$3)*(GMWA!$CZ$2:$CZ$60=R$4),0),$A72-1966)</f>
        <v>182.3272</v>
      </c>
    </row>
    <row r="73" spans="1:18" x14ac:dyDescent="0.35">
      <c r="A73" s="46">
        <f t="shared" si="2"/>
        <v>2039</v>
      </c>
      <c r="B73" s="46" cm="1">
        <f t="array" ref="B73">INDEX(GMWA!$A$2:$DB$60,MATCH(1,(GMWA!$DA$2:$DA$60=B$3)*(GMWA!$CZ$2:$CZ$60=B$4),0),$A73-1966)</f>
        <v>1984653</v>
      </c>
      <c r="C73" s="46" cm="1">
        <f t="array" ref="C73">INDEX(GMWA!$A$2:$DB$60,MATCH(1,(GMWA!$DA$2:$DA$60=C$3)*(GMWA!$CZ$2:$CZ$60=C$4),0),$A73-1966)</f>
        <v>2170138</v>
      </c>
      <c r="D73" s="46" cm="1">
        <f t="array" ref="D73">INDEX(GMWA!$A$2:$DB$60,MATCH(1,(GMWA!$DA$2:$DA$60=D$3)*(GMWA!$CZ$2:$CZ$60=D$4),0),$A73-1966)</f>
        <v>2865915</v>
      </c>
      <c r="E73" s="46" cm="1">
        <f t="array" ref="E73">INDEX(GMWA!$A$2:$DB$60,MATCH(1,(GMWA!$DA$2:$DA$60=E$3)*(GMWA!$CZ$2:$CZ$60=E$4),0),$A73-1966)</f>
        <v>3130740</v>
      </c>
      <c r="F73" s="46" cm="1">
        <f t="array" ref="F73">INDEX(GMWA!$A$2:$DB$60,MATCH(1,(GMWA!$DA$2:$DA$60=F$3)*(GMWA!$CZ$2:$CZ$60=F$4),0),$A73-1966)</f>
        <v>2008528</v>
      </c>
      <c r="G73" s="46" cm="1">
        <f t="array" ref="G73">INDEX(GMWA!$A$2:$DB$60,MATCH(1,(GMWA!$DA$2:$DA$60=G$3)*(GMWA!$CZ$2:$CZ$60=G$4),0),$A73-1966)</f>
        <v>31657.1</v>
      </c>
      <c r="H73" s="46" cm="1">
        <f t="array" ref="H73">INDEX(GMWA!$A$2:$DB$60,MATCH(1,(GMWA!$DA$2:$DA$60=H$3)*(GMWA!$CZ$2:$CZ$60=H$4),0),$A73-1966)</f>
        <v>15861.44</v>
      </c>
      <c r="I73" s="46" cm="1">
        <f t="array" ref="I73">INDEX(GMWA!$A$2:$DB$60,MATCH(1,(GMWA!$DA$2:$DA$60=I$3)*(GMWA!$CZ$2:$CZ$60=I$4),0),$A73-1966)</f>
        <v>650300.69999999995</v>
      </c>
      <c r="J73" s="46" cm="1">
        <f t="array" ref="J73">INDEX(GMWA!$A$2:$DB$60,MATCH(1,(GMWA!$DA$2:$DA$60=J$3)*(GMWA!$CZ$2:$CZ$60=J$4),0),$A73-1966)</f>
        <v>204809.7</v>
      </c>
      <c r="K73" s="46" cm="1">
        <f t="array" ref="K73">INDEX(GMWA!$A$2:$DB$60,MATCH(1,(GMWA!$DA$2:$DA$60=K$3)*(GMWA!$CZ$2:$CZ$60=K$4),0),$A73-1966)</f>
        <v>607775.1</v>
      </c>
      <c r="L73" s="46" cm="1">
        <f t="array" ref="L73">INDEX(GMWA!$A$2:$DB$60,MATCH(1,(GMWA!$DA$2:$DA$60=L$3)*(GMWA!$CZ$2:$CZ$60=L$4),0),$A73-1966)</f>
        <v>116444.4</v>
      </c>
      <c r="M73" s="46" cm="1">
        <f t="array" ref="M73">INDEX(GMWA!$A$2:$DB$60,MATCH(1,(GMWA!$DA$2:$DA$60=M$3)*(GMWA!$CZ$2:$CZ$60=M$4),0),$A73-1966)</f>
        <v>144.4007</v>
      </c>
      <c r="N73" s="46" cm="1">
        <f t="array" ref="N73">INDEX(GMWA!$A$2:$DB$60,MATCH(1,(GMWA!$DA$2:$DA$60=N$3)*(GMWA!$CZ$2:$CZ$60=N$4),0),$A73-1966)</f>
        <v>186.9966</v>
      </c>
      <c r="O73" s="46" cm="1">
        <f t="array" ref="O73">INDEX(GMWA!$A$2:$DB$60,MATCH(1,(GMWA!$DA$2:$DA$60=O$3)*(GMWA!$CZ$2:$CZ$60=O$4),0),$A73-1966)</f>
        <v>187.46799999999999</v>
      </c>
      <c r="P73" s="46" cm="1">
        <f t="array" ref="P73">INDEX(GMWA!$A$2:$DB$60,MATCH(1,(GMWA!$DA$2:$DA$60=P$3)*(GMWA!$CZ$2:$CZ$60=P$4),0),$A73-1966)</f>
        <v>218.28649999999999</v>
      </c>
      <c r="Q73" s="46" cm="1">
        <f t="array" ref="Q73">INDEX(GMWA!$A$2:$DB$60,MATCH(1,(GMWA!$DA$2:$DA$60=Q$3)*(GMWA!$CZ$2:$CZ$60=Q$4),0),$A73-1966)</f>
        <v>125.72</v>
      </c>
      <c r="R73" s="46" cm="1">
        <f t="array" ref="R73">INDEX(GMWA!$A$2:$DB$60,MATCH(1,(GMWA!$DA$2:$DA$60=R$3)*(GMWA!$CZ$2:$CZ$60=R$4),0),$A73-1966)</f>
        <v>186.12989999999999</v>
      </c>
    </row>
    <row r="74" spans="1:18" x14ac:dyDescent="0.35">
      <c r="A74" s="46">
        <f t="shared" si="2"/>
        <v>2040</v>
      </c>
      <c r="B74" s="46" cm="1">
        <f t="array" ref="B74">INDEX(GMWA!$A$2:$DB$60,MATCH(1,(GMWA!$DA$2:$DA$60=B$3)*(GMWA!$CZ$2:$CZ$60=B$4),0),$A74-1966)</f>
        <v>2013061</v>
      </c>
      <c r="C74" s="46" cm="1">
        <f t="array" ref="C74">INDEX(GMWA!$A$2:$DB$60,MATCH(1,(GMWA!$DA$2:$DA$60=C$3)*(GMWA!$CZ$2:$CZ$60=C$4),0),$A74-1966)</f>
        <v>2201010</v>
      </c>
      <c r="D74" s="46" cm="1">
        <f t="array" ref="D74">INDEX(GMWA!$A$2:$DB$60,MATCH(1,(GMWA!$DA$2:$DA$60=D$3)*(GMWA!$CZ$2:$CZ$60=D$4),0),$A74-1966)</f>
        <v>2965067</v>
      </c>
      <c r="E74" s="46" cm="1">
        <f t="array" ref="E74">INDEX(GMWA!$A$2:$DB$60,MATCH(1,(GMWA!$DA$2:$DA$60=E$3)*(GMWA!$CZ$2:$CZ$60=E$4),0),$A74-1966)</f>
        <v>3238877</v>
      </c>
      <c r="F74" s="46" cm="1">
        <f t="array" ref="F74">INDEX(GMWA!$A$2:$DB$60,MATCH(1,(GMWA!$DA$2:$DA$60=F$3)*(GMWA!$CZ$2:$CZ$60=F$4),0),$A74-1966)</f>
        <v>2079218</v>
      </c>
      <c r="G74" s="46" cm="1">
        <f t="array" ref="G74">INDEX(GMWA!$A$2:$DB$60,MATCH(1,(GMWA!$DA$2:$DA$60=G$3)*(GMWA!$CZ$2:$CZ$60=G$4),0),$A74-1966)</f>
        <v>31786.23</v>
      </c>
      <c r="H74" s="46" cm="1">
        <f t="array" ref="H74">INDEX(GMWA!$A$2:$DB$60,MATCH(1,(GMWA!$DA$2:$DA$60=H$3)*(GMWA!$CZ$2:$CZ$60=H$4),0),$A74-1966)</f>
        <v>16352.97</v>
      </c>
      <c r="I74" s="46" cm="1">
        <f t="array" ref="I74">INDEX(GMWA!$A$2:$DB$60,MATCH(1,(GMWA!$DA$2:$DA$60=I$3)*(GMWA!$CZ$2:$CZ$60=I$4),0),$A74-1966)</f>
        <v>673204.5</v>
      </c>
      <c r="J74" s="46" cm="1">
        <f t="array" ref="J74">INDEX(GMWA!$A$2:$DB$60,MATCH(1,(GMWA!$DA$2:$DA$60=J$3)*(GMWA!$CZ$2:$CZ$60=J$4),0),$A74-1966)</f>
        <v>208855.5</v>
      </c>
      <c r="K74" s="46" cm="1">
        <f t="array" ref="K74">INDEX(GMWA!$A$2:$DB$60,MATCH(1,(GMWA!$DA$2:$DA$60=K$3)*(GMWA!$CZ$2:$CZ$60=K$4),0),$A74-1966)</f>
        <v>629380.1</v>
      </c>
      <c r="L74" s="46" cm="1">
        <f t="array" ref="L74">INDEX(GMWA!$A$2:$DB$60,MATCH(1,(GMWA!$DA$2:$DA$60=L$3)*(GMWA!$CZ$2:$CZ$60=L$4),0),$A74-1966)</f>
        <v>120542.7</v>
      </c>
      <c r="M74" s="46" cm="1">
        <f t="array" ref="M74">INDEX(GMWA!$A$2:$DB$60,MATCH(1,(GMWA!$DA$2:$DA$60=M$3)*(GMWA!$CZ$2:$CZ$60=M$4),0),$A74-1966)</f>
        <v>147.28819999999999</v>
      </c>
      <c r="N74" s="46" cm="1">
        <f t="array" ref="N74">INDEX(GMWA!$A$2:$DB$60,MATCH(1,(GMWA!$DA$2:$DA$60=N$3)*(GMWA!$CZ$2:$CZ$60=N$4),0),$A74-1966)</f>
        <v>190.73660000000001</v>
      </c>
      <c r="O74" s="46" cm="1">
        <f t="array" ref="O74">INDEX(GMWA!$A$2:$DB$60,MATCH(1,(GMWA!$DA$2:$DA$60=O$3)*(GMWA!$CZ$2:$CZ$60=O$4),0),$A74-1966)</f>
        <v>190.17160000000001</v>
      </c>
      <c r="P74" s="46" cm="1">
        <f t="array" ref="P74">INDEX(GMWA!$A$2:$DB$60,MATCH(1,(GMWA!$DA$2:$DA$60=P$3)*(GMWA!$CZ$2:$CZ$60=P$4),0),$A74-1966)</f>
        <v>226.06720000000001</v>
      </c>
      <c r="Q74" s="46" cm="1">
        <f t="array" ref="Q74">INDEX(GMWA!$A$2:$DB$60,MATCH(1,(GMWA!$DA$2:$DA$60=Q$3)*(GMWA!$CZ$2:$CZ$60=Q$4),0),$A74-1966)</f>
        <v>126.2307</v>
      </c>
      <c r="R74" s="46" cm="1">
        <f t="array" ref="R74">INDEX(GMWA!$A$2:$DB$60,MATCH(1,(GMWA!$DA$2:$DA$60=R$3)*(GMWA!$CZ$2:$CZ$60=R$4),0),$A74-1966)</f>
        <v>190.01179999999999</v>
      </c>
    </row>
    <row r="75" spans="1:18" x14ac:dyDescent="0.35">
      <c r="A75" s="46">
        <f t="shared" si="2"/>
        <v>2041</v>
      </c>
      <c r="B75" s="46" cm="1">
        <f t="array" ref="B75">INDEX(GMWA!$A$2:$DB$60,MATCH(1,(GMWA!$DA$2:$DA$60=B$3)*(GMWA!$CZ$2:$CZ$60=B$4),0),$A75-1966)</f>
        <v>2042187</v>
      </c>
      <c r="C75" s="46" cm="1">
        <f t="array" ref="C75">INDEX(GMWA!$A$2:$DB$60,MATCH(1,(GMWA!$DA$2:$DA$60=C$3)*(GMWA!$CZ$2:$CZ$60=C$4),0),$A75-1966)</f>
        <v>2232818</v>
      </c>
      <c r="D75" s="46" cm="1">
        <f t="array" ref="D75">INDEX(GMWA!$A$2:$DB$60,MATCH(1,(GMWA!$DA$2:$DA$60=D$3)*(GMWA!$CZ$2:$CZ$60=D$4),0),$A75-1966)</f>
        <v>3068116</v>
      </c>
      <c r="E75" s="46" cm="1">
        <f t="array" ref="E75">INDEX(GMWA!$A$2:$DB$60,MATCH(1,(GMWA!$DA$2:$DA$60=E$3)*(GMWA!$CZ$2:$CZ$60=E$4),0),$A75-1966)</f>
        <v>3351490</v>
      </c>
      <c r="F75" s="46" cm="1">
        <f t="array" ref="F75">INDEX(GMWA!$A$2:$DB$60,MATCH(1,(GMWA!$DA$2:$DA$60=F$3)*(GMWA!$CZ$2:$CZ$60=F$4),0),$A75-1966)</f>
        <v>2152926</v>
      </c>
      <c r="G75" s="46" cm="1">
        <f t="array" ref="G75">INDEX(GMWA!$A$2:$DB$60,MATCH(1,(GMWA!$DA$2:$DA$60=G$3)*(GMWA!$CZ$2:$CZ$60=G$4),0),$A75-1966)</f>
        <v>31916.48</v>
      </c>
      <c r="H75" s="46" cm="1">
        <f t="array" ref="H75">INDEX(GMWA!$A$2:$DB$60,MATCH(1,(GMWA!$DA$2:$DA$60=H$3)*(GMWA!$CZ$2:$CZ$60=H$4),0),$A75-1966)</f>
        <v>16863.580000000002</v>
      </c>
      <c r="I75" s="46" cm="1">
        <f t="array" ref="I75">INDEX(GMWA!$A$2:$DB$60,MATCH(1,(GMWA!$DA$2:$DA$60=I$3)*(GMWA!$CZ$2:$CZ$60=I$4),0),$A75-1966)</f>
        <v>696539.7</v>
      </c>
      <c r="J75" s="46" cm="1">
        <f t="array" ref="J75">INDEX(GMWA!$A$2:$DB$60,MATCH(1,(GMWA!$DA$2:$DA$60=J$3)*(GMWA!$CZ$2:$CZ$60=J$4),0),$A75-1966)</f>
        <v>212890.5</v>
      </c>
      <c r="K75" s="46" cm="1">
        <f t="array" ref="K75">INDEX(GMWA!$A$2:$DB$60,MATCH(1,(GMWA!$DA$2:$DA$60=K$3)*(GMWA!$CZ$2:$CZ$60=K$4),0),$A75-1966)</f>
        <v>651907</v>
      </c>
      <c r="L75" s="46" cm="1">
        <f t="array" ref="L75">INDEX(GMWA!$A$2:$DB$60,MATCH(1,(GMWA!$DA$2:$DA$60=L$3)*(GMWA!$CZ$2:$CZ$60=L$4),0),$A75-1966)</f>
        <v>124815.9</v>
      </c>
      <c r="M75" s="46" cm="1">
        <f t="array" ref="M75">INDEX(GMWA!$A$2:$DB$60,MATCH(1,(GMWA!$DA$2:$DA$60=M$3)*(GMWA!$CZ$2:$CZ$60=M$4),0),$A75-1966)</f>
        <v>150.23339999999999</v>
      </c>
      <c r="N75" s="46" cm="1">
        <f t="array" ref="N75">INDEX(GMWA!$A$2:$DB$60,MATCH(1,(GMWA!$DA$2:$DA$60=N$3)*(GMWA!$CZ$2:$CZ$60=N$4),0),$A75-1966)</f>
        <v>194.5513</v>
      </c>
      <c r="O75" s="46" cm="1">
        <f t="array" ref="O75">INDEX(GMWA!$A$2:$DB$60,MATCH(1,(GMWA!$DA$2:$DA$60=O$3)*(GMWA!$CZ$2:$CZ$60=O$4),0),$A75-1966)</f>
        <v>192.91409999999999</v>
      </c>
      <c r="P75" s="46" cm="1">
        <f t="array" ref="P75">INDEX(GMWA!$A$2:$DB$60,MATCH(1,(GMWA!$DA$2:$DA$60=P$3)*(GMWA!$CZ$2:$CZ$60=P$4),0),$A75-1966)</f>
        <v>234.12520000000001</v>
      </c>
      <c r="Q75" s="46" cm="1">
        <f t="array" ref="Q75">INDEX(GMWA!$A$2:$DB$60,MATCH(1,(GMWA!$DA$2:$DA$60=Q$3)*(GMWA!$CZ$2:$CZ$60=Q$4),0),$A75-1966)</f>
        <v>126.7435</v>
      </c>
      <c r="R75" s="46" cm="1">
        <f t="array" ref="R75">INDEX(GMWA!$A$2:$DB$60,MATCH(1,(GMWA!$DA$2:$DA$60=R$3)*(GMWA!$CZ$2:$CZ$60=R$4),0),$A75-1966)</f>
        <v>193.97479999999999</v>
      </c>
    </row>
    <row r="76" spans="1:18" x14ac:dyDescent="0.35">
      <c r="A76" s="46">
        <f t="shared" si="2"/>
        <v>2042</v>
      </c>
      <c r="B76" s="46" cm="1">
        <f t="array" ref="B76">INDEX(GMWA!$A$2:$DB$60,MATCH(1,(GMWA!$DA$2:$DA$60=B$3)*(GMWA!$CZ$2:$CZ$60=B$4),0),$A76-1966)</f>
        <v>2071760</v>
      </c>
      <c r="C76" s="46" cm="1">
        <f t="array" ref="C76">INDEX(GMWA!$A$2:$DB$60,MATCH(1,(GMWA!$DA$2:$DA$60=C$3)*(GMWA!$CZ$2:$CZ$60=C$4),0),$A76-1966)</f>
        <v>2265219</v>
      </c>
      <c r="D76" s="46" cm="1">
        <f t="array" ref="D76">INDEX(GMWA!$A$2:$DB$60,MATCH(1,(GMWA!$DA$2:$DA$60=D$3)*(GMWA!$CZ$2:$CZ$60=D$4),0),$A76-1966)</f>
        <v>3174784</v>
      </c>
      <c r="E76" s="46" cm="1">
        <f t="array" ref="E76">INDEX(GMWA!$A$2:$DB$60,MATCH(1,(GMWA!$DA$2:$DA$60=E$3)*(GMWA!$CZ$2:$CZ$60=E$4),0),$A76-1966)</f>
        <v>3468218</v>
      </c>
      <c r="F76" s="46" cm="1">
        <f t="array" ref="F76">INDEX(GMWA!$A$2:$DB$60,MATCH(1,(GMWA!$DA$2:$DA$60=F$3)*(GMWA!$CZ$2:$CZ$60=F$4),0),$A76-1966)</f>
        <v>2229241</v>
      </c>
      <c r="G76" s="46" cm="1">
        <f t="array" ref="G76">INDEX(GMWA!$A$2:$DB$60,MATCH(1,(GMWA!$DA$2:$DA$60=G$3)*(GMWA!$CZ$2:$CZ$60=G$4),0),$A76-1966)</f>
        <v>32045.81</v>
      </c>
      <c r="H76" s="46" cm="1">
        <f t="array" ref="H76">INDEX(GMWA!$A$2:$DB$60,MATCH(1,(GMWA!$DA$2:$DA$60=H$3)*(GMWA!$CZ$2:$CZ$60=H$4),0),$A76-1966)</f>
        <v>17390.89</v>
      </c>
      <c r="I76" s="46" cm="1">
        <f t="array" ref="I76">INDEX(GMWA!$A$2:$DB$60,MATCH(1,(GMWA!$DA$2:$DA$60=I$3)*(GMWA!$CZ$2:$CZ$60=I$4),0),$A76-1966)</f>
        <v>720138.4</v>
      </c>
      <c r="J76" s="46" cm="1">
        <f t="array" ref="J76">INDEX(GMWA!$A$2:$DB$60,MATCH(1,(GMWA!$DA$2:$DA$60=J$3)*(GMWA!$CZ$2:$CZ$60=J$4),0),$A76-1966)</f>
        <v>216910.6</v>
      </c>
      <c r="K76" s="46" cm="1">
        <f t="array" ref="K76">INDEX(GMWA!$A$2:$DB$60,MATCH(1,(GMWA!$DA$2:$DA$60=K$3)*(GMWA!$CZ$2:$CZ$60=K$4),0),$A76-1966)</f>
        <v>675277.2</v>
      </c>
      <c r="L76" s="46" cm="1">
        <f t="array" ref="L76">INDEX(GMWA!$A$2:$DB$60,MATCH(1,(GMWA!$DA$2:$DA$60=L$3)*(GMWA!$CZ$2:$CZ$60=L$4),0),$A76-1966)</f>
        <v>129240.3</v>
      </c>
      <c r="M76" s="46" cm="1">
        <f t="array" ref="M76">INDEX(GMWA!$A$2:$DB$60,MATCH(1,(GMWA!$DA$2:$DA$60=M$3)*(GMWA!$CZ$2:$CZ$60=M$4),0),$A76-1966)</f>
        <v>153.23750000000001</v>
      </c>
      <c r="N76" s="46" cm="1">
        <f t="array" ref="N76">INDEX(GMWA!$A$2:$DB$60,MATCH(1,(GMWA!$DA$2:$DA$60=N$3)*(GMWA!$CZ$2:$CZ$60=N$4),0),$A76-1966)</f>
        <v>198.44239999999999</v>
      </c>
      <c r="O76" s="46" cm="1">
        <f t="array" ref="O76">INDEX(GMWA!$A$2:$DB$60,MATCH(1,(GMWA!$DA$2:$DA$60=O$3)*(GMWA!$CZ$2:$CZ$60=O$4),0),$A76-1966)</f>
        <v>195.6962</v>
      </c>
      <c r="P76" s="46" cm="1">
        <f t="array" ref="P76">INDEX(GMWA!$A$2:$DB$60,MATCH(1,(GMWA!$DA$2:$DA$60=P$3)*(GMWA!$CZ$2:$CZ$60=P$4),0),$A76-1966)</f>
        <v>242.47040000000001</v>
      </c>
      <c r="Q76" s="46" cm="1">
        <f t="array" ref="Q76">INDEX(GMWA!$A$2:$DB$60,MATCH(1,(GMWA!$DA$2:$DA$60=Q$3)*(GMWA!$CZ$2:$CZ$60=Q$4),0),$A76-1966)</f>
        <v>127.25839999999999</v>
      </c>
      <c r="R76" s="46" cm="1">
        <f t="array" ref="R76">INDEX(GMWA!$A$2:$DB$60,MATCH(1,(GMWA!$DA$2:$DA$60=R$3)*(GMWA!$CZ$2:$CZ$60=R$4),0),$A76-1966)</f>
        <v>198.0204</v>
      </c>
    </row>
    <row r="77" spans="1:18" x14ac:dyDescent="0.35">
      <c r="A77" s="46">
        <f t="shared" si="2"/>
        <v>2043</v>
      </c>
      <c r="B77" s="46" cm="1">
        <f t="array" ref="B77">INDEX(GMWA!$A$2:$DB$60,MATCH(1,(GMWA!$DA$2:$DA$60=B$3)*(GMWA!$CZ$2:$CZ$60=B$4),0),$A77-1966)</f>
        <v>2100884</v>
      </c>
      <c r="C77" s="46" cm="1">
        <f t="array" ref="C77">INDEX(GMWA!$A$2:$DB$60,MATCH(1,(GMWA!$DA$2:$DA$60=C$3)*(GMWA!$CZ$2:$CZ$60=C$4),0),$A77-1966)</f>
        <v>2297393</v>
      </c>
      <c r="D77" s="46" cm="1">
        <f t="array" ref="D77">INDEX(GMWA!$A$2:$DB$60,MATCH(1,(GMWA!$DA$2:$DA$60=D$3)*(GMWA!$CZ$2:$CZ$60=D$4),0),$A77-1966)</f>
        <v>3283786</v>
      </c>
      <c r="E77" s="46" cm="1">
        <f t="array" ref="E77">INDEX(GMWA!$A$2:$DB$60,MATCH(1,(GMWA!$DA$2:$DA$60=E$3)*(GMWA!$CZ$2:$CZ$60=E$4),0),$A77-1966)</f>
        <v>3587917</v>
      </c>
      <c r="F77" s="46" cm="1">
        <f t="array" ref="F77">INDEX(GMWA!$A$2:$DB$60,MATCH(1,(GMWA!$DA$2:$DA$60=F$3)*(GMWA!$CZ$2:$CZ$60=F$4),0),$A77-1966)</f>
        <v>2307090</v>
      </c>
      <c r="G77" s="46" cm="1">
        <f t="array" ref="G77">INDEX(GMWA!$A$2:$DB$60,MATCH(1,(GMWA!$DA$2:$DA$60=G$3)*(GMWA!$CZ$2:$CZ$60=G$4),0),$A77-1966)</f>
        <v>32153.21</v>
      </c>
      <c r="H77" s="46" cm="1">
        <f t="array" ref="H77">INDEX(GMWA!$A$2:$DB$60,MATCH(1,(GMWA!$DA$2:$DA$60=H$3)*(GMWA!$CZ$2:$CZ$60=H$4),0),$A77-1966)</f>
        <v>17938.14</v>
      </c>
      <c r="I77" s="46" cm="1">
        <f t="array" ref="I77">INDEX(GMWA!$A$2:$DB$60,MATCH(1,(GMWA!$DA$2:$DA$60=I$3)*(GMWA!$CZ$2:$CZ$60=I$4),0),$A77-1966)</f>
        <v>744958.2</v>
      </c>
      <c r="J77" s="46" cm="1">
        <f t="array" ref="J77">INDEX(GMWA!$A$2:$DB$60,MATCH(1,(GMWA!$DA$2:$DA$60=J$3)*(GMWA!$CZ$2:$CZ$60=J$4),0),$A77-1966)</f>
        <v>220929.4</v>
      </c>
      <c r="K77" s="46" cm="1">
        <f t="array" ref="K77">INDEX(GMWA!$A$2:$DB$60,MATCH(1,(GMWA!$DA$2:$DA$60=K$3)*(GMWA!$CZ$2:$CZ$60=K$4),0),$A77-1966)</f>
        <v>699319.9</v>
      </c>
      <c r="L77" s="46" cm="1">
        <f t="array" ref="L77">INDEX(GMWA!$A$2:$DB$60,MATCH(1,(GMWA!$DA$2:$DA$60=L$3)*(GMWA!$CZ$2:$CZ$60=L$4),0),$A77-1966)</f>
        <v>133753.60000000001</v>
      </c>
      <c r="M77" s="46" cm="1">
        <f t="array" ref="M77">INDEX(GMWA!$A$2:$DB$60,MATCH(1,(GMWA!$DA$2:$DA$60=M$3)*(GMWA!$CZ$2:$CZ$60=M$4),0),$A77-1966)</f>
        <v>156.30170000000001</v>
      </c>
      <c r="N77" s="46" cm="1">
        <f t="array" ref="N77">INDEX(GMWA!$A$2:$DB$60,MATCH(1,(GMWA!$DA$2:$DA$60=N$3)*(GMWA!$CZ$2:$CZ$60=N$4),0),$A77-1966)</f>
        <v>202.41120000000001</v>
      </c>
      <c r="O77" s="46" cm="1">
        <f t="array" ref="O77">INDEX(GMWA!$A$2:$DB$60,MATCH(1,(GMWA!$DA$2:$DA$60=O$3)*(GMWA!$CZ$2:$CZ$60=O$4),0),$A77-1966)</f>
        <v>198.51830000000001</v>
      </c>
      <c r="P77" s="46" cm="1">
        <f t="array" ref="P77">INDEX(GMWA!$A$2:$DB$60,MATCH(1,(GMWA!$DA$2:$DA$60=P$3)*(GMWA!$CZ$2:$CZ$60=P$4),0),$A77-1966)</f>
        <v>251.113</v>
      </c>
      <c r="Q77" s="46" cm="1">
        <f t="array" ref="Q77">INDEX(GMWA!$A$2:$DB$60,MATCH(1,(GMWA!$DA$2:$DA$60=Q$3)*(GMWA!$CZ$2:$CZ$60=Q$4),0),$A77-1966)</f>
        <v>127.7753</v>
      </c>
      <c r="R77" s="46" cm="1">
        <f t="array" ref="R77">INDEX(GMWA!$A$2:$DB$60,MATCH(1,(GMWA!$DA$2:$DA$60=R$3)*(GMWA!$CZ$2:$CZ$60=R$4),0),$A77-1966)</f>
        <v>202.15029999999999</v>
      </c>
    </row>
    <row r="78" spans="1:18" x14ac:dyDescent="0.35">
      <c r="A78" s="46">
        <f t="shared" si="2"/>
        <v>2044</v>
      </c>
      <c r="B78" s="46" cm="1">
        <f t="array" ref="B78">INDEX(GMWA!$A$2:$DB$60,MATCH(1,(GMWA!$DA$2:$DA$60=B$3)*(GMWA!$CZ$2:$CZ$60=B$4),0),$A78-1966)</f>
        <v>2128756</v>
      </c>
      <c r="C78" s="46" cm="1">
        <f t="array" ref="C78">INDEX(GMWA!$A$2:$DB$60,MATCH(1,(GMWA!$DA$2:$DA$60=C$3)*(GMWA!$CZ$2:$CZ$60=C$4),0),$A78-1966)</f>
        <v>2328336</v>
      </c>
      <c r="D78" s="46" cm="1">
        <f t="array" ref="D78">INDEX(GMWA!$A$2:$DB$60,MATCH(1,(GMWA!$DA$2:$DA$60=D$3)*(GMWA!$CZ$2:$CZ$60=D$4),0),$A78-1966)</f>
        <v>3393880</v>
      </c>
      <c r="E78" s="46" cm="1">
        <f t="array" ref="E78">INDEX(GMWA!$A$2:$DB$60,MATCH(1,(GMWA!$DA$2:$DA$60=E$3)*(GMWA!$CZ$2:$CZ$60=E$4),0),$A78-1966)</f>
        <v>3709050</v>
      </c>
      <c r="F78" s="46" cm="1">
        <f t="array" ref="F78">INDEX(GMWA!$A$2:$DB$60,MATCH(1,(GMWA!$DA$2:$DA$60=F$3)*(GMWA!$CZ$2:$CZ$60=F$4),0),$A78-1966)</f>
        <v>2385682</v>
      </c>
      <c r="G78" s="46" cm="1">
        <f t="array" ref="G78">INDEX(GMWA!$A$2:$DB$60,MATCH(1,(GMWA!$DA$2:$DA$60=G$3)*(GMWA!$CZ$2:$CZ$60=G$4),0),$A78-1966)</f>
        <v>32222.51</v>
      </c>
      <c r="H78" s="46" cm="1">
        <f t="array" ref="H78">INDEX(GMWA!$A$2:$DB$60,MATCH(1,(GMWA!$DA$2:$DA$60=H$3)*(GMWA!$CZ$2:$CZ$60=H$4),0),$A78-1966)</f>
        <v>18509.37</v>
      </c>
      <c r="I78" s="46" cm="1">
        <f t="array" ref="I78">INDEX(GMWA!$A$2:$DB$60,MATCH(1,(GMWA!$DA$2:$DA$60=I$3)*(GMWA!$CZ$2:$CZ$60=I$4),0),$A78-1966)</f>
        <v>772248.4</v>
      </c>
      <c r="J78" s="46" cm="1">
        <f t="array" ref="J78">INDEX(GMWA!$A$2:$DB$60,MATCH(1,(GMWA!$DA$2:$DA$60=J$3)*(GMWA!$CZ$2:$CZ$60=J$4),0),$A78-1966)</f>
        <v>224973.8</v>
      </c>
      <c r="K78" s="46" cm="1">
        <f t="array" ref="K78">INDEX(GMWA!$A$2:$DB$60,MATCH(1,(GMWA!$DA$2:$DA$60=K$3)*(GMWA!$CZ$2:$CZ$60=K$4),0),$A78-1966)</f>
        <v>723752.6</v>
      </c>
      <c r="L78" s="46" cm="1">
        <f t="array" ref="L78">INDEX(GMWA!$A$2:$DB$60,MATCH(1,(GMWA!$DA$2:$DA$60=L$3)*(GMWA!$CZ$2:$CZ$60=L$4),0),$A78-1966)</f>
        <v>138310</v>
      </c>
      <c r="M78" s="46" cm="1">
        <f t="array" ref="M78">INDEX(GMWA!$A$2:$DB$60,MATCH(1,(GMWA!$DA$2:$DA$60=M$3)*(GMWA!$CZ$2:$CZ$60=M$4),0),$A78-1966)</f>
        <v>159.4271</v>
      </c>
      <c r="N78" s="46" cm="1">
        <f t="array" ref="N78">INDEX(GMWA!$A$2:$DB$60,MATCH(1,(GMWA!$DA$2:$DA$60=N$3)*(GMWA!$CZ$2:$CZ$60=N$4),0),$A78-1966)</f>
        <v>206.45939999999999</v>
      </c>
      <c r="O78" s="46" cm="1">
        <f t="array" ref="O78">INDEX(GMWA!$A$2:$DB$60,MATCH(1,(GMWA!$DA$2:$DA$60=O$3)*(GMWA!$CZ$2:$CZ$60=O$4),0),$A78-1966)</f>
        <v>201.38120000000001</v>
      </c>
      <c r="P78" s="46" cm="1">
        <f t="array" ref="P78">INDEX(GMWA!$A$2:$DB$60,MATCH(1,(GMWA!$DA$2:$DA$60=P$3)*(GMWA!$CZ$2:$CZ$60=P$4),0),$A78-1966)</f>
        <v>260.06380000000001</v>
      </c>
      <c r="Q78" s="46" cm="1">
        <f t="array" ref="Q78">INDEX(GMWA!$A$2:$DB$60,MATCH(1,(GMWA!$DA$2:$DA$60=Q$3)*(GMWA!$CZ$2:$CZ$60=Q$4),0),$A78-1966)</f>
        <v>128.2944</v>
      </c>
      <c r="R78" s="46" cm="1">
        <f t="array" ref="R78">INDEX(GMWA!$A$2:$DB$60,MATCH(1,(GMWA!$DA$2:$DA$60=R$3)*(GMWA!$CZ$2:$CZ$60=R$4),0),$A78-1966)</f>
        <v>206.3664</v>
      </c>
    </row>
    <row r="79" spans="1:18" x14ac:dyDescent="0.35">
      <c r="A79" s="46">
        <f t="shared" si="2"/>
        <v>2045</v>
      </c>
      <c r="B79" s="46" cm="1">
        <f t="array" ref="B79">INDEX(GMWA!$A$2:$DB$60,MATCH(1,(GMWA!$DA$2:$DA$60=B$3)*(GMWA!$CZ$2:$CZ$60=B$4),0),$A79-1966)</f>
        <v>2155434</v>
      </c>
      <c r="C79" s="46" cm="1">
        <f t="array" ref="C79">INDEX(GMWA!$A$2:$DB$60,MATCH(1,(GMWA!$DA$2:$DA$60=C$3)*(GMWA!$CZ$2:$CZ$60=C$4),0),$A79-1966)</f>
        <v>2357866</v>
      </c>
      <c r="D79" s="46" cm="1">
        <f t="array" ref="D79">INDEX(GMWA!$A$2:$DB$60,MATCH(1,(GMWA!$DA$2:$DA$60=D$3)*(GMWA!$CZ$2:$CZ$60=D$4),0),$A79-1966)</f>
        <v>3505126</v>
      </c>
      <c r="E79" s="46" cm="1">
        <f t="array" ref="E79">INDEX(GMWA!$A$2:$DB$60,MATCH(1,(GMWA!$DA$2:$DA$60=E$3)*(GMWA!$CZ$2:$CZ$60=E$4),0),$A79-1966)</f>
        <v>3831292</v>
      </c>
      <c r="F79" s="46" cm="1">
        <f t="array" ref="F79">INDEX(GMWA!$A$2:$DB$60,MATCH(1,(GMWA!$DA$2:$DA$60=F$3)*(GMWA!$CZ$2:$CZ$60=F$4),0),$A79-1966)</f>
        <v>2465255</v>
      </c>
      <c r="G79" s="46" cm="1">
        <f t="array" ref="G79">INDEX(GMWA!$A$2:$DB$60,MATCH(1,(GMWA!$DA$2:$DA$60=G$3)*(GMWA!$CZ$2:$CZ$60=G$4),0),$A79-1966)</f>
        <v>32258.43</v>
      </c>
      <c r="H79" s="46" cm="1">
        <f t="array" ref="H79">INDEX(GMWA!$A$2:$DB$60,MATCH(1,(GMWA!$DA$2:$DA$60=H$3)*(GMWA!$CZ$2:$CZ$60=H$4),0),$A79-1966)</f>
        <v>19105.48</v>
      </c>
      <c r="I79" s="46" cm="1">
        <f t="array" ref="I79">INDEX(GMWA!$A$2:$DB$60,MATCH(1,(GMWA!$DA$2:$DA$60=I$3)*(GMWA!$CZ$2:$CZ$60=I$4),0),$A79-1966)</f>
        <v>801550.8</v>
      </c>
      <c r="J79" s="46" cm="1">
        <f t="array" ref="J79">INDEX(GMWA!$A$2:$DB$60,MATCH(1,(GMWA!$DA$2:$DA$60=J$3)*(GMWA!$CZ$2:$CZ$60=J$4),0),$A79-1966)</f>
        <v>229058</v>
      </c>
      <c r="K79" s="46" cm="1">
        <f t="array" ref="K79">INDEX(GMWA!$A$2:$DB$60,MATCH(1,(GMWA!$DA$2:$DA$60=K$3)*(GMWA!$CZ$2:$CZ$60=K$4),0),$A79-1966)</f>
        <v>748482.6</v>
      </c>
      <c r="L79" s="46" cm="1">
        <f t="array" ref="L79">INDEX(GMWA!$A$2:$DB$60,MATCH(1,(GMWA!$DA$2:$DA$60=L$3)*(GMWA!$CZ$2:$CZ$60=L$4),0),$A79-1966)</f>
        <v>142923.20000000001</v>
      </c>
      <c r="M79" s="46" cm="1">
        <f t="array" ref="M79">INDEX(GMWA!$A$2:$DB$60,MATCH(1,(GMWA!$DA$2:$DA$60=M$3)*(GMWA!$CZ$2:$CZ$60=M$4),0),$A79-1966)</f>
        <v>162.61510000000001</v>
      </c>
      <c r="N79" s="46" cm="1">
        <f t="array" ref="N79">INDEX(GMWA!$A$2:$DB$60,MATCH(1,(GMWA!$DA$2:$DA$60=N$3)*(GMWA!$CZ$2:$CZ$60=N$4),0),$A79-1966)</f>
        <v>210.58860000000001</v>
      </c>
      <c r="O79" s="46" cm="1">
        <f t="array" ref="O79">INDEX(GMWA!$A$2:$DB$60,MATCH(1,(GMWA!$DA$2:$DA$60=O$3)*(GMWA!$CZ$2:$CZ$60=O$4),0),$A79-1966)</f>
        <v>204.28540000000001</v>
      </c>
      <c r="P79" s="46" cm="1">
        <f t="array" ref="P79">INDEX(GMWA!$A$2:$DB$60,MATCH(1,(GMWA!$DA$2:$DA$60=P$3)*(GMWA!$CZ$2:$CZ$60=P$4),0),$A79-1966)</f>
        <v>269.33359999999999</v>
      </c>
      <c r="Q79" s="46" cm="1">
        <f t="array" ref="Q79">INDEX(GMWA!$A$2:$DB$60,MATCH(1,(GMWA!$DA$2:$DA$60=Q$3)*(GMWA!$CZ$2:$CZ$60=Q$4),0),$A79-1966)</f>
        <v>128.81559999999999</v>
      </c>
      <c r="R79" s="46" cm="1">
        <f t="array" ref="R79">INDEX(GMWA!$A$2:$DB$60,MATCH(1,(GMWA!$DA$2:$DA$60=R$3)*(GMWA!$CZ$2:$CZ$60=R$4),0),$A79-1966)</f>
        <v>210.6704</v>
      </c>
    </row>
    <row r="80" spans="1:18" x14ac:dyDescent="0.35">
      <c r="A80" s="46">
        <f t="shared" si="2"/>
        <v>2046</v>
      </c>
      <c r="B80" s="46" cm="1">
        <f t="array" ref="B80">INDEX(GMWA!$A$2:$DB$60,MATCH(1,(GMWA!$DA$2:$DA$60=B$3)*(GMWA!$CZ$2:$CZ$60=B$4),0),$A80-1966)</f>
        <v>2181690</v>
      </c>
      <c r="C80" s="46" cm="1">
        <f t="array" ref="C80">INDEX(GMWA!$A$2:$DB$60,MATCH(1,(GMWA!$DA$2:$DA$60=C$3)*(GMWA!$CZ$2:$CZ$60=C$4),0),$A80-1966)</f>
        <v>2386695</v>
      </c>
      <c r="D80" s="46" cm="1">
        <f t="array" ref="D80">INDEX(GMWA!$A$2:$DB$60,MATCH(1,(GMWA!$DA$2:$DA$60=D$3)*(GMWA!$CZ$2:$CZ$60=D$4),0),$A80-1966)</f>
        <v>3618765</v>
      </c>
      <c r="E80" s="46" cm="1">
        <f t="array" ref="E80">INDEX(GMWA!$A$2:$DB$60,MATCH(1,(GMWA!$DA$2:$DA$60=E$3)*(GMWA!$CZ$2:$CZ$60=E$4),0),$A80-1966)</f>
        <v>3955782</v>
      </c>
      <c r="F80" s="46" cm="1">
        <f t="array" ref="F80">INDEX(GMWA!$A$2:$DB$60,MATCH(1,(GMWA!$DA$2:$DA$60=F$3)*(GMWA!$CZ$2:$CZ$60=F$4),0),$A80-1966)</f>
        <v>2546816</v>
      </c>
      <c r="G80" s="46" cm="1">
        <f t="array" ref="G80">INDEX(GMWA!$A$2:$DB$60,MATCH(1,(GMWA!$DA$2:$DA$60=G$3)*(GMWA!$CZ$2:$CZ$60=G$4),0),$A80-1966)</f>
        <v>32280.93</v>
      </c>
      <c r="H80" s="46" cm="1">
        <f t="array" ref="H80">INDEX(GMWA!$A$2:$DB$60,MATCH(1,(GMWA!$DA$2:$DA$60=H$3)*(GMWA!$CZ$2:$CZ$60=H$4),0),$A80-1966)</f>
        <v>19723.8</v>
      </c>
      <c r="I80" s="46" cm="1">
        <f t="array" ref="I80">INDEX(GMWA!$A$2:$DB$60,MATCH(1,(GMWA!$DA$2:$DA$60=I$3)*(GMWA!$CZ$2:$CZ$60=I$4),0),$A80-1966)</f>
        <v>831203</v>
      </c>
      <c r="J80" s="46" cm="1">
        <f t="array" ref="J80">INDEX(GMWA!$A$2:$DB$60,MATCH(1,(GMWA!$DA$2:$DA$60=J$3)*(GMWA!$CZ$2:$CZ$60=J$4),0),$A80-1966)</f>
        <v>233169.6</v>
      </c>
      <c r="K80" s="46" cm="1">
        <f t="array" ref="K80">INDEX(GMWA!$A$2:$DB$60,MATCH(1,(GMWA!$DA$2:$DA$60=K$3)*(GMWA!$CZ$2:$CZ$60=K$4),0),$A80-1966)</f>
        <v>773679.7</v>
      </c>
      <c r="L80" s="46" cm="1">
        <f t="array" ref="L80">INDEX(GMWA!$A$2:$DB$60,MATCH(1,(GMWA!$DA$2:$DA$60=L$3)*(GMWA!$CZ$2:$CZ$60=L$4),0),$A80-1966)</f>
        <v>147651.70000000001</v>
      </c>
      <c r="M80" s="46" cm="1">
        <f t="array" ref="M80">INDEX(GMWA!$A$2:$DB$60,MATCH(1,(GMWA!$DA$2:$DA$60=M$3)*(GMWA!$CZ$2:$CZ$60=M$4),0),$A80-1966)</f>
        <v>165.86670000000001</v>
      </c>
      <c r="N80" s="46" cm="1">
        <f t="array" ref="N80">INDEX(GMWA!$A$2:$DB$60,MATCH(1,(GMWA!$DA$2:$DA$60=N$3)*(GMWA!$CZ$2:$CZ$60=N$4),0),$A80-1966)</f>
        <v>214.8004</v>
      </c>
      <c r="O80" s="46" cm="1">
        <f t="array" ref="O80">INDEX(GMWA!$A$2:$DB$60,MATCH(1,(GMWA!$DA$2:$DA$60=O$3)*(GMWA!$CZ$2:$CZ$60=O$4),0),$A80-1966)</f>
        <v>207.23140000000001</v>
      </c>
      <c r="P80" s="46" cm="1">
        <f t="array" ref="P80">INDEX(GMWA!$A$2:$DB$60,MATCH(1,(GMWA!$DA$2:$DA$60=P$3)*(GMWA!$CZ$2:$CZ$60=P$4),0),$A80-1966)</f>
        <v>278.93369999999999</v>
      </c>
      <c r="Q80" s="46" cm="1">
        <f t="array" ref="Q80">INDEX(GMWA!$A$2:$DB$60,MATCH(1,(GMWA!$DA$2:$DA$60=Q$3)*(GMWA!$CZ$2:$CZ$60=Q$4),0),$A80-1966)</f>
        <v>129.3389</v>
      </c>
      <c r="R80" s="46" cm="1">
        <f t="array" ref="R80">INDEX(GMWA!$A$2:$DB$60,MATCH(1,(GMWA!$DA$2:$DA$60=R$3)*(GMWA!$CZ$2:$CZ$60=R$4),0),$A80-1966)</f>
        <v>215.0641</v>
      </c>
    </row>
    <row r="81" spans="1:18" x14ac:dyDescent="0.35">
      <c r="A81" s="46">
        <f t="shared" si="2"/>
        <v>2047</v>
      </c>
      <c r="B81" s="46" cm="1">
        <f t="array" ref="B81">INDEX(GMWA!$A$2:$DB$60,MATCH(1,(GMWA!$DA$2:$DA$60=B$3)*(GMWA!$CZ$2:$CZ$60=B$4),0),$A81-1966)</f>
        <v>2208109</v>
      </c>
      <c r="C81" s="46" cm="1">
        <f t="array" ref="C81">INDEX(GMWA!$A$2:$DB$60,MATCH(1,(GMWA!$DA$2:$DA$60=C$3)*(GMWA!$CZ$2:$CZ$60=C$4),0),$A81-1966)</f>
        <v>2415689</v>
      </c>
      <c r="D81" s="46" cm="1">
        <f t="array" ref="D81">INDEX(GMWA!$A$2:$DB$60,MATCH(1,(GMWA!$DA$2:$DA$60=D$3)*(GMWA!$CZ$2:$CZ$60=D$4),0),$A81-1966)</f>
        <v>3735824</v>
      </c>
      <c r="E81" s="46" cm="1">
        <f t="array" ref="E81">INDEX(GMWA!$A$2:$DB$60,MATCH(1,(GMWA!$DA$2:$DA$60=E$3)*(GMWA!$CZ$2:$CZ$60=E$4),0),$A81-1966)</f>
        <v>4083997</v>
      </c>
      <c r="F81" s="46" cm="1">
        <f t="array" ref="F81">INDEX(GMWA!$A$2:$DB$60,MATCH(1,(GMWA!$DA$2:$DA$60=F$3)*(GMWA!$CZ$2:$CZ$60=F$4),0),$A81-1966)</f>
        <v>2630966</v>
      </c>
      <c r="G81" s="46" cm="1">
        <f t="array" ref="G81">INDEX(GMWA!$A$2:$DB$60,MATCH(1,(GMWA!$DA$2:$DA$60=G$3)*(GMWA!$CZ$2:$CZ$60=G$4),0),$A81-1966)</f>
        <v>32303.88</v>
      </c>
      <c r="H81" s="46" cm="1">
        <f t="array" ref="H81">INDEX(GMWA!$A$2:$DB$60,MATCH(1,(GMWA!$DA$2:$DA$60=H$3)*(GMWA!$CZ$2:$CZ$60=H$4),0),$A81-1966)</f>
        <v>20361.04</v>
      </c>
      <c r="I81" s="46" cm="1">
        <f t="array" ref="I81">INDEX(GMWA!$A$2:$DB$60,MATCH(1,(GMWA!$DA$2:$DA$60=I$3)*(GMWA!$CZ$2:$CZ$60=I$4),0),$A81-1966)</f>
        <v>860813.1</v>
      </c>
      <c r="J81" s="46" cm="1">
        <f t="array" ref="J81">INDEX(GMWA!$A$2:$DB$60,MATCH(1,(GMWA!$DA$2:$DA$60=J$3)*(GMWA!$CZ$2:$CZ$60=J$4),0),$A81-1966)</f>
        <v>237299</v>
      </c>
      <c r="K81" s="46" cm="1">
        <f t="array" ref="K81">INDEX(GMWA!$A$2:$DB$60,MATCH(1,(GMWA!$DA$2:$DA$60=K$3)*(GMWA!$CZ$2:$CZ$60=K$4),0),$A81-1966)</f>
        <v>799625.4</v>
      </c>
      <c r="L81" s="46" cm="1">
        <f t="array" ref="L81">INDEX(GMWA!$A$2:$DB$60,MATCH(1,(GMWA!$DA$2:$DA$60=L$3)*(GMWA!$CZ$2:$CZ$60=L$4),0),$A81-1966)</f>
        <v>152530.29999999999</v>
      </c>
      <c r="M81" s="46" cm="1">
        <f t="array" ref="M81">INDEX(GMWA!$A$2:$DB$60,MATCH(1,(GMWA!$DA$2:$DA$60=M$3)*(GMWA!$CZ$2:$CZ$60=M$4),0),$A81-1966)</f>
        <v>169.18350000000001</v>
      </c>
      <c r="N81" s="46" cm="1">
        <f t="array" ref="N81">INDEX(GMWA!$A$2:$DB$60,MATCH(1,(GMWA!$DA$2:$DA$60=N$3)*(GMWA!$CZ$2:$CZ$60=N$4),0),$A81-1966)</f>
        <v>219.09639999999999</v>
      </c>
      <c r="O81" s="46" cm="1">
        <f t="array" ref="O81">INDEX(GMWA!$A$2:$DB$60,MATCH(1,(GMWA!$DA$2:$DA$60=O$3)*(GMWA!$CZ$2:$CZ$60=O$4),0),$A81-1966)</f>
        <v>210.22</v>
      </c>
      <c r="P81" s="46" cm="1">
        <f t="array" ref="P81">INDEX(GMWA!$A$2:$DB$60,MATCH(1,(GMWA!$DA$2:$DA$60=P$3)*(GMWA!$CZ$2:$CZ$60=P$4),0),$A81-1966)</f>
        <v>288.87610000000001</v>
      </c>
      <c r="Q81" s="46" cm="1">
        <f t="array" ref="Q81">INDEX(GMWA!$A$2:$DB$60,MATCH(1,(GMWA!$DA$2:$DA$60=Q$3)*(GMWA!$CZ$2:$CZ$60=Q$4),0),$A81-1966)</f>
        <v>129.86429999999999</v>
      </c>
      <c r="R81" s="46" cm="1">
        <f t="array" ref="R81">INDEX(GMWA!$A$2:$DB$60,MATCH(1,(GMWA!$DA$2:$DA$60=R$3)*(GMWA!$CZ$2:$CZ$60=R$4),0),$A81-1966)</f>
        <v>219.5496</v>
      </c>
    </row>
    <row r="82" spans="1:18" x14ac:dyDescent="0.35">
      <c r="A82" s="46">
        <f t="shared" si="2"/>
        <v>2048</v>
      </c>
      <c r="B82" s="46" cm="1">
        <f t="array" ref="B82">INDEX(GMWA!$A$2:$DB$60,MATCH(1,(GMWA!$DA$2:$DA$60=B$3)*(GMWA!$CZ$2:$CZ$60=B$4),0),$A82-1966)</f>
        <v>2234163</v>
      </c>
      <c r="C82" s="46" cm="1">
        <f t="array" ref="C82">INDEX(GMWA!$A$2:$DB$60,MATCH(1,(GMWA!$DA$2:$DA$60=C$3)*(GMWA!$CZ$2:$CZ$60=C$4),0),$A82-1966)</f>
        <v>2444367</v>
      </c>
      <c r="D82" s="46" cm="1">
        <f t="array" ref="D82">INDEX(GMWA!$A$2:$DB$60,MATCH(1,(GMWA!$DA$2:$DA$60=D$3)*(GMWA!$CZ$2:$CZ$60=D$4),0),$A82-1966)</f>
        <v>3855486</v>
      </c>
      <c r="E82" s="46" cm="1">
        <f t="array" ref="E82">INDEX(GMWA!$A$2:$DB$60,MATCH(1,(GMWA!$DA$2:$DA$60=E$3)*(GMWA!$CZ$2:$CZ$60=E$4),0),$A82-1966)</f>
        <v>4215208</v>
      </c>
      <c r="F82" s="46" cm="1">
        <f t="array" ref="F82">INDEX(GMWA!$A$2:$DB$60,MATCH(1,(GMWA!$DA$2:$DA$60=F$3)*(GMWA!$CZ$2:$CZ$60=F$4),0),$A82-1966)</f>
        <v>2716938</v>
      </c>
      <c r="G82" s="46" cm="1">
        <f t="array" ref="G82">INDEX(GMWA!$A$2:$DB$60,MATCH(1,(GMWA!$DA$2:$DA$60=G$3)*(GMWA!$CZ$2:$CZ$60=G$4),0),$A82-1966)</f>
        <v>32315.42</v>
      </c>
      <c r="H82" s="46" cm="1">
        <f t="array" ref="H82">INDEX(GMWA!$A$2:$DB$60,MATCH(1,(GMWA!$DA$2:$DA$60=H$3)*(GMWA!$CZ$2:$CZ$60=H$4),0),$A82-1966)</f>
        <v>21018.880000000001</v>
      </c>
      <c r="I82" s="46" cm="1">
        <f t="array" ref="I82">INDEX(GMWA!$A$2:$DB$60,MATCH(1,(GMWA!$DA$2:$DA$60=I$3)*(GMWA!$CZ$2:$CZ$60=I$4),0),$A82-1966)</f>
        <v>891325.1</v>
      </c>
      <c r="J82" s="46" cm="1">
        <f t="array" ref="J82">INDEX(GMWA!$A$2:$DB$60,MATCH(1,(GMWA!$DA$2:$DA$60=J$3)*(GMWA!$CZ$2:$CZ$60=J$4),0),$A82-1966)</f>
        <v>241453.4</v>
      </c>
      <c r="K82" s="46" cm="1">
        <f t="array" ref="K82">INDEX(GMWA!$A$2:$DB$60,MATCH(1,(GMWA!$DA$2:$DA$60=K$3)*(GMWA!$CZ$2:$CZ$60=K$4),0),$A82-1966)</f>
        <v>826209.2</v>
      </c>
      <c r="L82" s="46" cm="1">
        <f t="array" ref="L82">INDEX(GMWA!$A$2:$DB$60,MATCH(1,(GMWA!$DA$2:$DA$60=L$3)*(GMWA!$CZ$2:$CZ$60=L$4),0),$A82-1966)</f>
        <v>157514.5</v>
      </c>
      <c r="M82" s="46" cm="1">
        <f t="array" ref="M82">INDEX(GMWA!$A$2:$DB$60,MATCH(1,(GMWA!$DA$2:$DA$60=M$3)*(GMWA!$CZ$2:$CZ$60=M$4),0),$A82-1966)</f>
        <v>172.56649999999999</v>
      </c>
      <c r="N82" s="46" cm="1">
        <f t="array" ref="N82">INDEX(GMWA!$A$2:$DB$60,MATCH(1,(GMWA!$DA$2:$DA$60=N$3)*(GMWA!$CZ$2:$CZ$60=N$4),0),$A82-1966)</f>
        <v>223.47829999999999</v>
      </c>
      <c r="O82" s="46" cm="1">
        <f t="array" ref="O82">INDEX(GMWA!$A$2:$DB$60,MATCH(1,(GMWA!$DA$2:$DA$60=O$3)*(GMWA!$CZ$2:$CZ$60=O$4),0),$A82-1966)</f>
        <v>213.2516</v>
      </c>
      <c r="P82" s="46" cm="1">
        <f t="array" ref="P82">INDEX(GMWA!$A$2:$DB$60,MATCH(1,(GMWA!$DA$2:$DA$60=P$3)*(GMWA!$CZ$2:$CZ$60=P$4),0),$A82-1966)</f>
        <v>299.17290000000003</v>
      </c>
      <c r="Q82" s="46" cm="1">
        <f t="array" ref="Q82">INDEX(GMWA!$A$2:$DB$60,MATCH(1,(GMWA!$DA$2:$DA$60=Q$3)*(GMWA!$CZ$2:$CZ$60=Q$4),0),$A82-1966)</f>
        <v>130.39179999999999</v>
      </c>
      <c r="R82" s="46" cm="1">
        <f t="array" ref="R82">INDEX(GMWA!$A$2:$DB$60,MATCH(1,(GMWA!$DA$2:$DA$60=R$3)*(GMWA!$CZ$2:$CZ$60=R$4),0),$A82-1966)</f>
        <v>224.12860000000001</v>
      </c>
    </row>
    <row r="83" spans="1:18" x14ac:dyDescent="0.35">
      <c r="A83" s="46">
        <f t="shared" si="2"/>
        <v>2049</v>
      </c>
      <c r="B83" s="46" cm="1">
        <f t="array" ref="B83">INDEX(GMWA!$A$2:$DB$60,MATCH(1,(GMWA!$DA$2:$DA$60=B$3)*(GMWA!$CZ$2:$CZ$60=B$4),0),$A83-1966)</f>
        <v>2259884</v>
      </c>
      <c r="C83" s="46" cm="1">
        <f t="array" ref="C83">INDEX(GMWA!$A$2:$DB$60,MATCH(1,(GMWA!$DA$2:$DA$60=C$3)*(GMWA!$CZ$2:$CZ$60=C$4),0),$A83-1966)</f>
        <v>2472718</v>
      </c>
      <c r="D83" s="46" cm="1">
        <f t="array" ref="D83">INDEX(GMWA!$A$2:$DB$60,MATCH(1,(GMWA!$DA$2:$DA$60=D$3)*(GMWA!$CZ$2:$CZ$60=D$4),0),$A83-1966)</f>
        <v>3977853</v>
      </c>
      <c r="E83" s="46" cm="1">
        <f t="array" ref="E83">INDEX(GMWA!$A$2:$DB$60,MATCH(1,(GMWA!$DA$2:$DA$60=E$3)*(GMWA!$CZ$2:$CZ$60=E$4),0),$A83-1966)</f>
        <v>4349458</v>
      </c>
      <c r="F83" s="46" cm="1">
        <f t="array" ref="F83">INDEX(GMWA!$A$2:$DB$60,MATCH(1,(GMWA!$DA$2:$DA$60=F$3)*(GMWA!$CZ$2:$CZ$60=F$4),0),$A83-1966)</f>
        <v>2804922</v>
      </c>
      <c r="G83" s="46" cm="1">
        <f t="array" ref="G83">INDEX(GMWA!$A$2:$DB$60,MATCH(1,(GMWA!$DA$2:$DA$60=G$3)*(GMWA!$CZ$2:$CZ$60=G$4),0),$A83-1966)</f>
        <v>32317.06</v>
      </c>
      <c r="H83" s="46" cm="1">
        <f t="array" ref="H83">INDEX(GMWA!$A$2:$DB$60,MATCH(1,(GMWA!$DA$2:$DA$60=H$3)*(GMWA!$CZ$2:$CZ$60=H$4),0),$A83-1966)</f>
        <v>21698.47</v>
      </c>
      <c r="I83" s="46" cm="1">
        <f t="array" ref="I83">INDEX(GMWA!$A$2:$DB$60,MATCH(1,(GMWA!$DA$2:$DA$60=I$3)*(GMWA!$CZ$2:$CZ$60=I$4),0),$A83-1966)</f>
        <v>922975.2</v>
      </c>
      <c r="J83" s="46" cm="1">
        <f t="array" ref="J83">INDEX(GMWA!$A$2:$DB$60,MATCH(1,(GMWA!$DA$2:$DA$60=J$3)*(GMWA!$CZ$2:$CZ$60=J$4),0),$A83-1966)</f>
        <v>245631.8</v>
      </c>
      <c r="K83" s="46" cm="1">
        <f t="array" ref="K83">INDEX(GMWA!$A$2:$DB$60,MATCH(1,(GMWA!$DA$2:$DA$60=K$3)*(GMWA!$CZ$2:$CZ$60=K$4),0),$A83-1966)</f>
        <v>853433.1</v>
      </c>
      <c r="L83" s="46" cm="1">
        <f t="array" ref="L83">INDEX(GMWA!$A$2:$DB$60,MATCH(1,(GMWA!$DA$2:$DA$60=L$3)*(GMWA!$CZ$2:$CZ$60=L$4),0),$A83-1966)</f>
        <v>162615.29999999999</v>
      </c>
      <c r="M83" s="46" cm="1">
        <f t="array" ref="M83">INDEX(GMWA!$A$2:$DB$60,MATCH(1,(GMWA!$DA$2:$DA$60=M$3)*(GMWA!$CZ$2:$CZ$60=M$4),0),$A83-1966)</f>
        <v>176.0172</v>
      </c>
      <c r="N83" s="46" cm="1">
        <f t="array" ref="N83">INDEX(GMWA!$A$2:$DB$60,MATCH(1,(GMWA!$DA$2:$DA$60=N$3)*(GMWA!$CZ$2:$CZ$60=N$4),0),$A83-1966)</f>
        <v>227.9479</v>
      </c>
      <c r="O83" s="46" cm="1">
        <f t="array" ref="O83">INDEX(GMWA!$A$2:$DB$60,MATCH(1,(GMWA!$DA$2:$DA$60=O$3)*(GMWA!$CZ$2:$CZ$60=O$4),0),$A83-1966)</f>
        <v>216.32689999999999</v>
      </c>
      <c r="P83" s="46" cm="1">
        <f t="array" ref="P83">INDEX(GMWA!$A$2:$DB$60,MATCH(1,(GMWA!$DA$2:$DA$60=P$3)*(GMWA!$CZ$2:$CZ$60=P$4),0),$A83-1966)</f>
        <v>309.83670000000001</v>
      </c>
      <c r="Q83" s="46" cm="1">
        <f t="array" ref="Q83">INDEX(GMWA!$A$2:$DB$60,MATCH(1,(GMWA!$DA$2:$DA$60=Q$3)*(GMWA!$CZ$2:$CZ$60=Q$4),0),$A83-1966)</f>
        <v>130.92150000000001</v>
      </c>
      <c r="R83" s="46" cm="1">
        <f t="array" ref="R83">INDEX(GMWA!$A$2:$DB$60,MATCH(1,(GMWA!$DA$2:$DA$60=R$3)*(GMWA!$CZ$2:$CZ$60=R$4),0),$A83-1966)</f>
        <v>228.8031</v>
      </c>
    </row>
    <row r="84" spans="1:18" x14ac:dyDescent="0.35">
      <c r="A84" s="46">
        <f t="shared" si="2"/>
        <v>2050</v>
      </c>
      <c r="B84" s="46" cm="1">
        <f t="array" ref="B84">INDEX(GMWA!$A$2:$DB$60,MATCH(1,(GMWA!$DA$2:$DA$60=B$3)*(GMWA!$CZ$2:$CZ$60=B$4),0),$A84-1966)</f>
        <v>2285171</v>
      </c>
      <c r="C84" s="46" cm="1">
        <f t="array" ref="C84">INDEX(GMWA!$A$2:$DB$60,MATCH(1,(GMWA!$DA$2:$DA$60=C$3)*(GMWA!$CZ$2:$CZ$60=C$4),0),$A84-1966)</f>
        <v>2500515</v>
      </c>
      <c r="D84" s="46" cm="1">
        <f t="array" ref="D84">INDEX(GMWA!$A$2:$DB$60,MATCH(1,(GMWA!$DA$2:$DA$60=D$3)*(GMWA!$CZ$2:$CZ$60=D$4),0),$A84-1966)</f>
        <v>4102794</v>
      </c>
      <c r="E84" s="46" cm="1">
        <f t="array" ref="E84">INDEX(GMWA!$A$2:$DB$60,MATCH(1,(GMWA!$DA$2:$DA$60=E$3)*(GMWA!$CZ$2:$CZ$60=E$4),0),$A84-1966)</f>
        <v>4486396</v>
      </c>
      <c r="F84" s="46" cm="1">
        <f t="array" ref="F84">INDEX(GMWA!$A$2:$DB$60,MATCH(1,(GMWA!$DA$2:$DA$60=F$3)*(GMWA!$CZ$2:$CZ$60=F$4),0),$A84-1966)</f>
        <v>2894538</v>
      </c>
      <c r="G84" s="46" cm="1">
        <f t="array" ref="G84">INDEX(GMWA!$A$2:$DB$60,MATCH(1,(GMWA!$DA$2:$DA$60=G$3)*(GMWA!$CZ$2:$CZ$60=G$4),0),$A84-1966)</f>
        <v>32303.29</v>
      </c>
      <c r="H84" s="46" cm="1">
        <f t="array" ref="H84">INDEX(GMWA!$A$2:$DB$60,MATCH(1,(GMWA!$DA$2:$DA$60=H$3)*(GMWA!$CZ$2:$CZ$60=H$4),0),$A84-1966)</f>
        <v>22401.29</v>
      </c>
      <c r="I84" s="46" cm="1">
        <f t="array" ref="I84">INDEX(GMWA!$A$2:$DB$60,MATCH(1,(GMWA!$DA$2:$DA$60=I$3)*(GMWA!$CZ$2:$CZ$60=I$4),0),$A84-1966)</f>
        <v>956345.2</v>
      </c>
      <c r="J84" s="46" cm="1">
        <f t="array" ref="J84">INDEX(GMWA!$A$2:$DB$60,MATCH(1,(GMWA!$DA$2:$DA$60=J$3)*(GMWA!$CZ$2:$CZ$60=J$4),0),$A84-1966)</f>
        <v>249837.1</v>
      </c>
      <c r="K84" s="46" cm="1">
        <f t="array" ref="K84">INDEX(GMWA!$A$2:$DB$60,MATCH(1,(GMWA!$DA$2:$DA$60=K$3)*(GMWA!$CZ$2:$CZ$60=K$4),0),$A84-1966)</f>
        <v>881245.1</v>
      </c>
      <c r="L84" s="46" cm="1">
        <f t="array" ref="L84">INDEX(GMWA!$A$2:$DB$60,MATCH(1,(GMWA!$DA$2:$DA$60=L$3)*(GMWA!$CZ$2:$CZ$60=L$4),0),$A84-1966)</f>
        <v>167810.8</v>
      </c>
      <c r="M84" s="46" cm="1">
        <f t="array" ref="M84">INDEX(GMWA!$A$2:$DB$60,MATCH(1,(GMWA!$DA$2:$DA$60=M$3)*(GMWA!$CZ$2:$CZ$60=M$4),0),$A84-1966)</f>
        <v>179.5368</v>
      </c>
      <c r="N84" s="46" cm="1">
        <f t="array" ref="N84">INDEX(GMWA!$A$2:$DB$60,MATCH(1,(GMWA!$DA$2:$DA$60=N$3)*(GMWA!$CZ$2:$CZ$60=N$4),0),$A84-1966)</f>
        <v>232.5068</v>
      </c>
      <c r="O84" s="46" cm="1">
        <f t="array" ref="O84">INDEX(GMWA!$A$2:$DB$60,MATCH(1,(GMWA!$DA$2:$DA$60=O$3)*(GMWA!$CZ$2:$CZ$60=O$4),0),$A84-1966)</f>
        <v>219.44669999999999</v>
      </c>
      <c r="P84" s="46" cm="1">
        <f t="array" ref="P84">INDEX(GMWA!$A$2:$DB$60,MATCH(1,(GMWA!$DA$2:$DA$60=P$3)*(GMWA!$CZ$2:$CZ$60=P$4),0),$A84-1966)</f>
        <v>320.88060000000002</v>
      </c>
      <c r="Q84" s="46" cm="1">
        <f t="array" ref="Q84">INDEX(GMWA!$A$2:$DB$60,MATCH(1,(GMWA!$DA$2:$DA$60=Q$3)*(GMWA!$CZ$2:$CZ$60=Q$4),0),$A84-1966)</f>
        <v>131.45330000000001</v>
      </c>
      <c r="R84" s="46" cm="1">
        <f t="array" ref="R84">INDEX(GMWA!$A$2:$DB$60,MATCH(1,(GMWA!$DA$2:$DA$60=R$3)*(GMWA!$CZ$2:$CZ$60=R$4),0),$A84-1966)</f>
        <v>233.57499999999999</v>
      </c>
    </row>
    <row r="85" spans="1:18" x14ac:dyDescent="0.35">
      <c r="A85" s="46">
        <f t="shared" si="2"/>
        <v>2051</v>
      </c>
      <c r="B85" s="46" cm="1">
        <f t="array" ref="B85">INDEX(GMWA!$A$2:$DB$60,MATCH(1,(GMWA!$DA$2:$DA$60=B$3)*(GMWA!$CZ$2:$CZ$60=B$4),0),$A85-1966)</f>
        <v>2310308</v>
      </c>
      <c r="C85" s="46" cm="1">
        <f t="array" ref="C85">INDEX(GMWA!$A$2:$DB$60,MATCH(1,(GMWA!$DA$2:$DA$60=C$3)*(GMWA!$CZ$2:$CZ$60=C$4),0),$A85-1966)</f>
        <v>2528184</v>
      </c>
      <c r="D85" s="46" cm="1">
        <f t="array" ref="D85">INDEX(GMWA!$A$2:$DB$60,MATCH(1,(GMWA!$DA$2:$DA$60=D$3)*(GMWA!$CZ$2:$CZ$60=D$4),0),$A85-1966)</f>
        <v>4230867</v>
      </c>
      <c r="E85" s="46" cm="1">
        <f t="array" ref="E85">INDEX(GMWA!$A$2:$DB$60,MATCH(1,(GMWA!$DA$2:$DA$60=E$3)*(GMWA!$CZ$2:$CZ$60=E$4),0),$A85-1966)</f>
        <v>4626836</v>
      </c>
      <c r="F85" s="46" cm="1">
        <f t="array" ref="F85">INDEX(GMWA!$A$2:$DB$60,MATCH(1,(GMWA!$DA$2:$DA$60=F$3)*(GMWA!$CZ$2:$CZ$60=F$4),0),$A85-1966)</f>
        <v>2986404</v>
      </c>
      <c r="G85" s="46" cm="1">
        <f t="array" ref="G85">INDEX(GMWA!$A$2:$DB$60,MATCH(1,(GMWA!$DA$2:$DA$60=G$3)*(GMWA!$CZ$2:$CZ$60=G$4),0),$A85-1966)</f>
        <v>32283.54</v>
      </c>
      <c r="H85" s="46" cm="1">
        <f t="array" ref="H85">INDEX(GMWA!$A$2:$DB$60,MATCH(1,(GMWA!$DA$2:$DA$60=H$3)*(GMWA!$CZ$2:$CZ$60=H$4),0),$A85-1966)</f>
        <v>23126.400000000001</v>
      </c>
      <c r="I85" s="46" cm="1">
        <f t="array" ref="I85">INDEX(GMWA!$A$2:$DB$60,MATCH(1,(GMWA!$DA$2:$DA$60=I$3)*(GMWA!$CZ$2:$CZ$60=I$4),0),$A85-1966)</f>
        <v>990965.9</v>
      </c>
      <c r="J85" s="46" cm="1">
        <f t="array" ref="J85">INDEX(GMWA!$A$2:$DB$60,MATCH(1,(GMWA!$DA$2:$DA$60=J$3)*(GMWA!$CZ$2:$CZ$60=J$4),0),$A85-1966)</f>
        <v>254076.4</v>
      </c>
      <c r="K85" s="46" cm="1">
        <f t="array" ref="K85">INDEX(GMWA!$A$2:$DB$60,MATCH(1,(GMWA!$DA$2:$DA$60=K$3)*(GMWA!$CZ$2:$CZ$60=K$4),0),$A85-1966)</f>
        <v>909784.4</v>
      </c>
      <c r="L85" s="46" cm="1">
        <f t="array" ref="L85">INDEX(GMWA!$A$2:$DB$60,MATCH(1,(GMWA!$DA$2:$DA$60=L$3)*(GMWA!$CZ$2:$CZ$60=L$4),0),$A85-1966)</f>
        <v>173136.8</v>
      </c>
      <c r="M85" s="46" cm="1">
        <f t="array" ref="M85">INDEX(GMWA!$A$2:$DB$60,MATCH(1,(GMWA!$DA$2:$DA$60=M$3)*(GMWA!$CZ$2:$CZ$60=M$4),0),$A85-1966)</f>
        <v>183.12690000000001</v>
      </c>
      <c r="N85" s="46" cm="1">
        <f t="array" ref="N85">INDEX(GMWA!$A$2:$DB$60,MATCH(1,(GMWA!$DA$2:$DA$60=N$3)*(GMWA!$CZ$2:$CZ$60=N$4),0),$A85-1966)</f>
        <v>237.15700000000001</v>
      </c>
      <c r="O85" s="46" cm="1">
        <f t="array" ref="O85">INDEX(GMWA!$A$2:$DB$60,MATCH(1,(GMWA!$DA$2:$DA$60=O$3)*(GMWA!$CZ$2:$CZ$60=O$4),0),$A85-1966)</f>
        <v>222.6114</v>
      </c>
      <c r="P85" s="46" cm="1">
        <f t="array" ref="P85">INDEX(GMWA!$A$2:$DB$60,MATCH(1,(GMWA!$DA$2:$DA$60=P$3)*(GMWA!$CZ$2:$CZ$60=P$4),0),$A85-1966)</f>
        <v>332.31810000000002</v>
      </c>
      <c r="Q85" s="46" cm="1">
        <f t="array" ref="Q85">INDEX(GMWA!$A$2:$DB$60,MATCH(1,(GMWA!$DA$2:$DA$60=Q$3)*(GMWA!$CZ$2:$CZ$60=Q$4),0),$A85-1966)</f>
        <v>131.9873</v>
      </c>
      <c r="R85" s="46" cm="1">
        <f t="array" ref="R85">INDEX(GMWA!$A$2:$DB$60,MATCH(1,(GMWA!$DA$2:$DA$60=R$3)*(GMWA!$CZ$2:$CZ$60=R$4),0),$A85-1966)</f>
        <v>238.44659999999999</v>
      </c>
    </row>
    <row r="86" spans="1:18" x14ac:dyDescent="0.35">
      <c r="A86" s="46">
        <f t="shared" si="2"/>
        <v>2052</v>
      </c>
      <c r="B86" s="46" cm="1">
        <f t="array" ref="B86">INDEX(GMWA!$A$2:$DB$60,MATCH(1,(GMWA!$DA$2:$DA$60=B$3)*(GMWA!$CZ$2:$CZ$60=B$4),0),$A86-1966)</f>
        <v>2335070</v>
      </c>
      <c r="C86" s="46" cm="1">
        <f t="array" ref="C86">INDEX(GMWA!$A$2:$DB$60,MATCH(1,(GMWA!$DA$2:$DA$60=C$3)*(GMWA!$CZ$2:$CZ$60=C$4),0),$A86-1966)</f>
        <v>2555504</v>
      </c>
      <c r="D86" s="46" cm="1">
        <f t="array" ref="D86">INDEX(GMWA!$A$2:$DB$60,MATCH(1,(GMWA!$DA$2:$DA$60=D$3)*(GMWA!$CZ$2:$CZ$60=D$4),0),$A86-1966)</f>
        <v>4361720</v>
      </c>
      <c r="E86" s="46" cm="1">
        <f t="array" ref="E86">INDEX(GMWA!$A$2:$DB$60,MATCH(1,(GMWA!$DA$2:$DA$60=E$3)*(GMWA!$CZ$2:$CZ$60=E$4),0),$A86-1966)</f>
        <v>4770446</v>
      </c>
      <c r="F86" s="46" cm="1">
        <f t="array" ref="F86">INDEX(GMWA!$A$2:$DB$60,MATCH(1,(GMWA!$DA$2:$DA$60=F$3)*(GMWA!$CZ$2:$CZ$60=F$4),0),$A86-1966)</f>
        <v>3080246</v>
      </c>
      <c r="G86" s="46" cm="1">
        <f t="array" ref="G86">INDEX(GMWA!$A$2:$DB$60,MATCH(1,(GMWA!$DA$2:$DA$60=G$3)*(GMWA!$CZ$2:$CZ$60=G$4),0),$A86-1966)</f>
        <v>32255.34</v>
      </c>
      <c r="H86" s="46" cm="1">
        <f t="array" ref="H86">INDEX(GMWA!$A$2:$DB$60,MATCH(1,(GMWA!$DA$2:$DA$60=H$3)*(GMWA!$CZ$2:$CZ$60=H$4),0),$A86-1966)</f>
        <v>23873.99</v>
      </c>
      <c r="I86" s="46" cm="1">
        <f t="array" ref="I86">INDEX(GMWA!$A$2:$DB$60,MATCH(1,(GMWA!$DA$2:$DA$60=I$3)*(GMWA!$CZ$2:$CZ$60=I$4),0),$A86-1966)</f>
        <v>1027055</v>
      </c>
      <c r="J86" s="46" cm="1">
        <f t="array" ref="J86">INDEX(GMWA!$A$2:$DB$60,MATCH(1,(GMWA!$DA$2:$DA$60=J$3)*(GMWA!$CZ$2:$CZ$60=J$4),0),$A86-1966)</f>
        <v>258356</v>
      </c>
      <c r="K86" s="46" cm="1">
        <f t="array" ref="K86">INDEX(GMWA!$A$2:$DB$60,MATCH(1,(GMWA!$DA$2:$DA$60=K$3)*(GMWA!$CZ$2:$CZ$60=K$4),0),$A86-1966)</f>
        <v>938988.9</v>
      </c>
      <c r="L86" s="46" cm="1">
        <f t="array" ref="L86">INDEX(GMWA!$A$2:$DB$60,MATCH(1,(GMWA!$DA$2:$DA$60=L$3)*(GMWA!$CZ$2:$CZ$60=L$4),0),$A86-1966)</f>
        <v>178577.2</v>
      </c>
      <c r="M86" s="46" cm="1">
        <f t="array" ref="M86">INDEX(GMWA!$A$2:$DB$60,MATCH(1,(GMWA!$DA$2:$DA$60=M$3)*(GMWA!$CZ$2:$CZ$60=M$4),0),$A86-1966)</f>
        <v>186.78880000000001</v>
      </c>
      <c r="N86" s="46" cm="1">
        <f t="array" ref="N86">INDEX(GMWA!$A$2:$DB$60,MATCH(1,(GMWA!$DA$2:$DA$60=N$3)*(GMWA!$CZ$2:$CZ$60=N$4),0),$A86-1966)</f>
        <v>241.90010000000001</v>
      </c>
      <c r="O86" s="46" cm="1">
        <f t="array" ref="O86">INDEX(GMWA!$A$2:$DB$60,MATCH(1,(GMWA!$DA$2:$DA$60=O$3)*(GMWA!$CZ$2:$CZ$60=O$4),0),$A86-1966)</f>
        <v>225.82169999999999</v>
      </c>
      <c r="P86" s="46" cm="1">
        <f t="array" ref="P86">INDEX(GMWA!$A$2:$DB$60,MATCH(1,(GMWA!$DA$2:$DA$60=P$3)*(GMWA!$CZ$2:$CZ$60=P$4),0),$A86-1966)</f>
        <v>344.16340000000002</v>
      </c>
      <c r="Q86" s="46" cm="1">
        <f t="array" ref="Q86">INDEX(GMWA!$A$2:$DB$60,MATCH(1,(GMWA!$DA$2:$DA$60=Q$3)*(GMWA!$CZ$2:$CZ$60=Q$4),0),$A86-1966)</f>
        <v>132.52350000000001</v>
      </c>
      <c r="R86" s="46" cm="1">
        <f t="array" ref="R86">INDEX(GMWA!$A$2:$DB$60,MATCH(1,(GMWA!$DA$2:$DA$60=R$3)*(GMWA!$CZ$2:$CZ$60=R$4),0),$A86-1966)</f>
        <v>243.41970000000001</v>
      </c>
    </row>
    <row r="87" spans="1:18" x14ac:dyDescent="0.35">
      <c r="A87" s="46">
        <f t="shared" si="2"/>
        <v>2053</v>
      </c>
      <c r="B87" s="46" cm="1">
        <f t="array" ref="B87">INDEX(GMWA!$A$2:$DB$60,MATCH(1,(GMWA!$DA$2:$DA$60=B$3)*(GMWA!$CZ$2:$CZ$60=B$4),0),$A87-1966)</f>
        <v>2359278</v>
      </c>
      <c r="C87" s="46" cm="1">
        <f t="array" ref="C87">INDEX(GMWA!$A$2:$DB$60,MATCH(1,(GMWA!$DA$2:$DA$60=C$3)*(GMWA!$CZ$2:$CZ$60=C$4),0),$A87-1966)</f>
        <v>2582185</v>
      </c>
      <c r="D87" s="46" cm="1">
        <f t="array" ref="D87">INDEX(GMWA!$A$2:$DB$60,MATCH(1,(GMWA!$DA$2:$DA$60=D$3)*(GMWA!$CZ$2:$CZ$60=D$4),0),$A87-1966)</f>
        <v>4495058</v>
      </c>
      <c r="E87" s="46" cm="1">
        <f t="array" ref="E87">INDEX(GMWA!$A$2:$DB$60,MATCH(1,(GMWA!$DA$2:$DA$60=E$3)*(GMWA!$CZ$2:$CZ$60=E$4),0),$A87-1966)</f>
        <v>4916729</v>
      </c>
      <c r="F87" s="46" cm="1">
        <f t="array" ref="F87">INDEX(GMWA!$A$2:$DB$60,MATCH(1,(GMWA!$DA$2:$DA$60=F$3)*(GMWA!$CZ$2:$CZ$60=F$4),0),$A87-1966)</f>
        <v>3175923</v>
      </c>
      <c r="G87" s="46" cm="1">
        <f t="array" ref="G87">INDEX(GMWA!$A$2:$DB$60,MATCH(1,(GMWA!$DA$2:$DA$60=G$3)*(GMWA!$CZ$2:$CZ$60=G$4),0),$A87-1966)</f>
        <v>32215.54</v>
      </c>
      <c r="H87" s="46" cm="1">
        <f t="array" ref="H87">INDEX(GMWA!$A$2:$DB$60,MATCH(1,(GMWA!$DA$2:$DA$60=H$3)*(GMWA!$CZ$2:$CZ$60=H$4),0),$A87-1966)</f>
        <v>24645.97</v>
      </c>
      <c r="I87" s="46" cm="1">
        <f t="array" ref="I87">INDEX(GMWA!$A$2:$DB$60,MATCH(1,(GMWA!$DA$2:$DA$60=I$3)*(GMWA!$CZ$2:$CZ$60=I$4),0),$A87-1966)</f>
        <v>1064894</v>
      </c>
      <c r="J87" s="46" cm="1">
        <f t="array" ref="J87">INDEX(GMWA!$A$2:$DB$60,MATCH(1,(GMWA!$DA$2:$DA$60=J$3)*(GMWA!$CZ$2:$CZ$60=J$4),0),$A87-1966)</f>
        <v>262680.90000000002</v>
      </c>
      <c r="K87" s="46" cm="1">
        <f t="array" ref="K87">INDEX(GMWA!$A$2:$DB$60,MATCH(1,(GMWA!$DA$2:$DA$60=K$3)*(GMWA!$CZ$2:$CZ$60=K$4),0),$A87-1966)</f>
        <v>968755.1</v>
      </c>
      <c r="L87" s="46" cm="1">
        <f t="array" ref="L87">INDEX(GMWA!$A$2:$DB$60,MATCH(1,(GMWA!$DA$2:$DA$60=L$3)*(GMWA!$CZ$2:$CZ$60=L$4),0),$A87-1966)</f>
        <v>184124.2</v>
      </c>
      <c r="M87" s="46" cm="1">
        <f t="array" ref="M87">INDEX(GMWA!$A$2:$DB$60,MATCH(1,(GMWA!$DA$2:$DA$60=M$3)*(GMWA!$CZ$2:$CZ$60=M$4),0),$A87-1966)</f>
        <v>190.52379999999999</v>
      </c>
      <c r="N87" s="46" cm="1">
        <f t="array" ref="N87">INDEX(GMWA!$A$2:$DB$60,MATCH(1,(GMWA!$DA$2:$DA$60=N$3)*(GMWA!$CZ$2:$CZ$60=N$4),0),$A87-1966)</f>
        <v>246.7381</v>
      </c>
      <c r="O87" s="46" cm="1">
        <f t="array" ref="O87">INDEX(GMWA!$A$2:$DB$60,MATCH(1,(GMWA!$DA$2:$DA$60=O$3)*(GMWA!$CZ$2:$CZ$60=O$4),0),$A87-1966)</f>
        <v>229.07839999999999</v>
      </c>
      <c r="P87" s="46" cm="1">
        <f t="array" ref="P87">INDEX(GMWA!$A$2:$DB$60,MATCH(1,(GMWA!$DA$2:$DA$60=P$3)*(GMWA!$CZ$2:$CZ$60=P$4),0),$A87-1966)</f>
        <v>356.43079999999998</v>
      </c>
      <c r="Q87" s="46" cm="1">
        <f t="array" ref="Q87">INDEX(GMWA!$A$2:$DB$60,MATCH(1,(GMWA!$DA$2:$DA$60=Q$3)*(GMWA!$CZ$2:$CZ$60=Q$4),0),$A87-1966)</f>
        <v>133.06190000000001</v>
      </c>
      <c r="R87" s="46" cm="1">
        <f t="array" ref="R87">INDEX(GMWA!$A$2:$DB$60,MATCH(1,(GMWA!$DA$2:$DA$60=R$3)*(GMWA!$CZ$2:$CZ$60=R$4),0),$A87-1966)</f>
        <v>248.49639999999999</v>
      </c>
    </row>
    <row r="88" spans="1:18" x14ac:dyDescent="0.35">
      <c r="A88" s="46">
        <f t="shared" si="2"/>
        <v>2054</v>
      </c>
      <c r="B88" s="46" cm="1">
        <f t="array" ref="B88">INDEX(GMWA!$A$2:$DB$60,MATCH(1,(GMWA!$DA$2:$DA$60=B$3)*(GMWA!$CZ$2:$CZ$60=B$4),0),$A88-1966)</f>
        <v>2383336</v>
      </c>
      <c r="C88" s="46" cm="1">
        <f t="array" ref="C88">INDEX(GMWA!$A$2:$DB$60,MATCH(1,(GMWA!$DA$2:$DA$60=C$3)*(GMWA!$CZ$2:$CZ$60=C$4),0),$A88-1966)</f>
        <v>2608656</v>
      </c>
      <c r="D88" s="46" cm="1">
        <f t="array" ref="D88">INDEX(GMWA!$A$2:$DB$60,MATCH(1,(GMWA!$DA$2:$DA$60=D$3)*(GMWA!$CZ$2:$CZ$60=D$4),0),$A88-1966)</f>
        <v>4631692</v>
      </c>
      <c r="E88" s="46" cm="1">
        <f t="array" ref="E88">INDEX(GMWA!$A$2:$DB$60,MATCH(1,(GMWA!$DA$2:$DA$60=E$3)*(GMWA!$CZ$2:$CZ$60=E$4),0),$A88-1966)</f>
        <v>5066546</v>
      </c>
      <c r="F88" s="46" cm="1">
        <f t="array" ref="F88">INDEX(GMWA!$A$2:$DB$60,MATCH(1,(GMWA!$DA$2:$DA$60=F$3)*(GMWA!$CZ$2:$CZ$60=F$4),0),$A88-1966)</f>
        <v>3274106</v>
      </c>
      <c r="G88" s="46" cm="1">
        <f t="array" ref="G88">INDEX(GMWA!$A$2:$DB$60,MATCH(1,(GMWA!$DA$2:$DA$60=G$3)*(GMWA!$CZ$2:$CZ$60=G$4),0),$A88-1966)</f>
        <v>32173.21</v>
      </c>
      <c r="H88" s="46" cm="1">
        <f t="array" ref="H88">INDEX(GMWA!$A$2:$DB$60,MATCH(1,(GMWA!$DA$2:$DA$60=H$3)*(GMWA!$CZ$2:$CZ$60=H$4),0),$A88-1966)</f>
        <v>25441.33</v>
      </c>
      <c r="I88" s="46" cm="1">
        <f t="array" ref="I88">INDEX(GMWA!$A$2:$DB$60,MATCH(1,(GMWA!$DA$2:$DA$60=I$3)*(GMWA!$CZ$2:$CZ$60=I$4),0),$A88-1966)</f>
        <v>1103988</v>
      </c>
      <c r="J88" s="46" cm="1">
        <f t="array" ref="J88">INDEX(GMWA!$A$2:$DB$60,MATCH(1,(GMWA!$DA$2:$DA$60=J$3)*(GMWA!$CZ$2:$CZ$60=J$4),0),$A88-1966)</f>
        <v>267056.2</v>
      </c>
      <c r="K88" s="46" cm="1">
        <f t="array" ref="K88">INDEX(GMWA!$A$2:$DB$60,MATCH(1,(GMWA!$DA$2:$DA$60=K$3)*(GMWA!$CZ$2:$CZ$60=K$4),0),$A88-1966)</f>
        <v>999233.1</v>
      </c>
      <c r="L88" s="46" cm="1">
        <f t="array" ref="L88">INDEX(GMWA!$A$2:$DB$60,MATCH(1,(GMWA!$DA$2:$DA$60=L$3)*(GMWA!$CZ$2:$CZ$60=L$4),0),$A88-1966)</f>
        <v>189816.3</v>
      </c>
      <c r="M88" s="46" cm="1">
        <f t="array" ref="M88">INDEX(GMWA!$A$2:$DB$60,MATCH(1,(GMWA!$DA$2:$DA$60=M$3)*(GMWA!$CZ$2:$CZ$60=M$4),0),$A88-1966)</f>
        <v>194.33359999999999</v>
      </c>
      <c r="N88" s="46" cm="1">
        <f t="array" ref="N88">INDEX(GMWA!$A$2:$DB$60,MATCH(1,(GMWA!$DA$2:$DA$60=N$3)*(GMWA!$CZ$2:$CZ$60=N$4),0),$A88-1966)</f>
        <v>251.6729</v>
      </c>
      <c r="O88" s="46" cm="1">
        <f t="array" ref="O88">INDEX(GMWA!$A$2:$DB$60,MATCH(1,(GMWA!$DA$2:$DA$60=O$3)*(GMWA!$CZ$2:$CZ$60=O$4),0),$A88-1966)</f>
        <v>232.38200000000001</v>
      </c>
      <c r="P88" s="46" cm="1">
        <f t="array" ref="P88">INDEX(GMWA!$A$2:$DB$60,MATCH(1,(GMWA!$DA$2:$DA$60=P$3)*(GMWA!$CZ$2:$CZ$60=P$4),0),$A88-1966)</f>
        <v>369.13549999999998</v>
      </c>
      <c r="Q88" s="46" cm="1">
        <f t="array" ref="Q88">INDEX(GMWA!$A$2:$DB$60,MATCH(1,(GMWA!$DA$2:$DA$60=Q$3)*(GMWA!$CZ$2:$CZ$60=Q$4),0),$A88-1966)</f>
        <v>133.60239999999999</v>
      </c>
      <c r="R88" s="46" cm="1">
        <f t="array" ref="R88">INDEX(GMWA!$A$2:$DB$60,MATCH(1,(GMWA!$DA$2:$DA$60=R$3)*(GMWA!$CZ$2:$CZ$60=R$4),0),$A88-1966)</f>
        <v>253.67910000000001</v>
      </c>
    </row>
    <row r="89" spans="1:18" x14ac:dyDescent="0.35">
      <c r="A89" s="46">
        <f t="shared" si="2"/>
        <v>2055</v>
      </c>
      <c r="B89" s="46" cm="1">
        <f t="array" ref="B89">INDEX(GMWA!$A$2:$DB$60,MATCH(1,(GMWA!$DA$2:$DA$60=B$3)*(GMWA!$CZ$2:$CZ$60=B$4),0),$A89-1966)</f>
        <v>2407047</v>
      </c>
      <c r="C89" s="46" cm="1">
        <f t="array" ref="C89">INDEX(GMWA!$A$2:$DB$60,MATCH(1,(GMWA!$DA$2:$DA$60=C$3)*(GMWA!$CZ$2:$CZ$60=C$4),0),$A89-1966)</f>
        <v>2634774</v>
      </c>
      <c r="D89" s="46" cm="1">
        <f t="array" ref="D89">INDEX(GMWA!$A$2:$DB$60,MATCH(1,(GMWA!$DA$2:$DA$60=D$3)*(GMWA!$CZ$2:$CZ$60=D$4),0),$A89-1966)</f>
        <v>4771308</v>
      </c>
      <c r="E89" s="46" cm="1">
        <f t="array" ref="E89">INDEX(GMWA!$A$2:$DB$60,MATCH(1,(GMWA!$DA$2:$DA$60=E$3)*(GMWA!$CZ$2:$CZ$60=E$4),0),$A89-1966)</f>
        <v>5219690</v>
      </c>
      <c r="F89" s="46" cm="1">
        <f t="array" ref="F89">INDEX(GMWA!$A$2:$DB$60,MATCH(1,(GMWA!$DA$2:$DA$60=F$3)*(GMWA!$CZ$2:$CZ$60=F$4),0),$A89-1966)</f>
        <v>3374436</v>
      </c>
      <c r="G89" s="46" cm="1">
        <f t="array" ref="G89">INDEX(GMWA!$A$2:$DB$60,MATCH(1,(GMWA!$DA$2:$DA$60=G$3)*(GMWA!$CZ$2:$CZ$60=G$4),0),$A89-1966)</f>
        <v>32124.47</v>
      </c>
      <c r="H89" s="46" cm="1">
        <f t="array" ref="H89">INDEX(GMWA!$A$2:$DB$60,MATCH(1,(GMWA!$DA$2:$DA$60=H$3)*(GMWA!$CZ$2:$CZ$60=H$4),0),$A89-1966)</f>
        <v>26260.74</v>
      </c>
      <c r="I89" s="46" cm="1">
        <f t="array" ref="I89">INDEX(GMWA!$A$2:$DB$60,MATCH(1,(GMWA!$DA$2:$DA$60=I$3)*(GMWA!$CZ$2:$CZ$60=I$4),0),$A89-1966)</f>
        <v>1144837</v>
      </c>
      <c r="J89" s="46" cm="1">
        <f t="array" ref="J89">INDEX(GMWA!$A$2:$DB$60,MATCH(1,(GMWA!$DA$2:$DA$60=J$3)*(GMWA!$CZ$2:$CZ$60=J$4),0),$A89-1966)</f>
        <v>271486.2</v>
      </c>
      <c r="K89" s="46" cm="1">
        <f t="array" ref="K89">INDEX(GMWA!$A$2:$DB$60,MATCH(1,(GMWA!$DA$2:$DA$60=K$3)*(GMWA!$CZ$2:$CZ$60=K$4),0),$A89-1966)</f>
        <v>1030397</v>
      </c>
      <c r="L89" s="46" cm="1">
        <f t="array" ref="L89">INDEX(GMWA!$A$2:$DB$60,MATCH(1,(GMWA!$DA$2:$DA$60=L$3)*(GMWA!$CZ$2:$CZ$60=L$4),0),$A89-1966)</f>
        <v>195633</v>
      </c>
      <c r="M89" s="46" cm="1">
        <f t="array" ref="M89">INDEX(GMWA!$A$2:$DB$60,MATCH(1,(GMWA!$DA$2:$DA$60=M$3)*(GMWA!$CZ$2:$CZ$60=M$4),0),$A89-1966)</f>
        <v>198.21950000000001</v>
      </c>
      <c r="N89" s="46" cm="1">
        <f t="array" ref="N89">INDEX(GMWA!$A$2:$DB$60,MATCH(1,(GMWA!$DA$2:$DA$60=N$3)*(GMWA!$CZ$2:$CZ$60=N$4),0),$A89-1966)</f>
        <v>256.70639999999997</v>
      </c>
      <c r="O89" s="46" cm="1">
        <f t="array" ref="O89">INDEX(GMWA!$A$2:$DB$60,MATCH(1,(GMWA!$DA$2:$DA$60=O$3)*(GMWA!$CZ$2:$CZ$60=O$4),0),$A89-1966)</f>
        <v>235.73320000000001</v>
      </c>
      <c r="P89" s="46" cm="1">
        <f t="array" ref="P89">INDEX(GMWA!$A$2:$DB$60,MATCH(1,(GMWA!$DA$2:$DA$60=P$3)*(GMWA!$CZ$2:$CZ$60=P$4),0),$A89-1966)</f>
        <v>382.29309999999998</v>
      </c>
      <c r="Q89" s="46" cm="1">
        <f t="array" ref="Q89">INDEX(GMWA!$A$2:$DB$60,MATCH(1,(GMWA!$DA$2:$DA$60=Q$3)*(GMWA!$CZ$2:$CZ$60=Q$4),0),$A89-1966)</f>
        <v>134.14510000000001</v>
      </c>
      <c r="R89" s="46" cm="1">
        <f t="array" ref="R89">INDEX(GMWA!$A$2:$DB$60,MATCH(1,(GMWA!$DA$2:$DA$60=R$3)*(GMWA!$CZ$2:$CZ$60=R$4),0),$A89-1966)</f>
        <v>258.96980000000002</v>
      </c>
    </row>
    <row r="90" spans="1:18" x14ac:dyDescent="0.35">
      <c r="A90" s="46">
        <f t="shared" si="2"/>
        <v>2056</v>
      </c>
      <c r="B90" s="46" cm="1">
        <f t="array" ref="B90">INDEX(GMWA!$A$2:$DB$60,MATCH(1,(GMWA!$DA$2:$DA$60=B$3)*(GMWA!$CZ$2:$CZ$60=B$4),0),$A90-1966)</f>
        <v>2430568</v>
      </c>
      <c r="C90" s="46" cm="1">
        <f t="array" ref="C90">INDEX(GMWA!$A$2:$DB$60,MATCH(1,(GMWA!$DA$2:$DA$60=C$3)*(GMWA!$CZ$2:$CZ$60=C$4),0),$A90-1966)</f>
        <v>2660624</v>
      </c>
      <c r="D90" s="46" cm="1">
        <f t="array" ref="D90">INDEX(GMWA!$A$2:$DB$60,MATCH(1,(GMWA!$DA$2:$DA$60=D$3)*(GMWA!$CZ$2:$CZ$60=D$4),0),$A90-1966)</f>
        <v>4914273</v>
      </c>
      <c r="E90" s="46" cm="1">
        <f t="array" ref="E90">INDEX(GMWA!$A$2:$DB$60,MATCH(1,(GMWA!$DA$2:$DA$60=E$3)*(GMWA!$CZ$2:$CZ$60=E$4),0),$A90-1966)</f>
        <v>5376386</v>
      </c>
      <c r="F90" s="46" cm="1">
        <f t="array" ref="F90">INDEX(GMWA!$A$2:$DB$60,MATCH(1,(GMWA!$DA$2:$DA$60=F$3)*(GMWA!$CZ$2:$CZ$60=F$4),0),$A90-1966)</f>
        <v>3477289</v>
      </c>
      <c r="G90" s="46" cm="1">
        <f t="array" ref="G90">INDEX(GMWA!$A$2:$DB$60,MATCH(1,(GMWA!$DA$2:$DA$60=G$3)*(GMWA!$CZ$2:$CZ$60=G$4),0),$A90-1966)</f>
        <v>32072.880000000001</v>
      </c>
      <c r="H90" s="46" cm="1">
        <f t="array" ref="H90">INDEX(GMWA!$A$2:$DB$60,MATCH(1,(GMWA!$DA$2:$DA$60=H$3)*(GMWA!$CZ$2:$CZ$60=H$4),0),$A90-1966)</f>
        <v>27104.7</v>
      </c>
      <c r="I90" s="46" cm="1">
        <f t="array" ref="I90">INDEX(GMWA!$A$2:$DB$60,MATCH(1,(GMWA!$DA$2:$DA$60=I$3)*(GMWA!$CZ$2:$CZ$60=I$4),0),$A90-1966)</f>
        <v>1187366</v>
      </c>
      <c r="J90" s="46" cm="1">
        <f t="array" ref="J90">INDEX(GMWA!$A$2:$DB$60,MATCH(1,(GMWA!$DA$2:$DA$60=J$3)*(GMWA!$CZ$2:$CZ$60=J$4),0),$A90-1966)</f>
        <v>275972.7</v>
      </c>
      <c r="K90" s="46" cm="1">
        <f t="array" ref="K90">INDEX(GMWA!$A$2:$DB$60,MATCH(1,(GMWA!$DA$2:$DA$60=K$3)*(GMWA!$CZ$2:$CZ$60=K$4),0),$A90-1966)</f>
        <v>1062272</v>
      </c>
      <c r="L90" s="46" cm="1">
        <f t="array" ref="L90">INDEX(GMWA!$A$2:$DB$60,MATCH(1,(GMWA!$DA$2:$DA$60=L$3)*(GMWA!$CZ$2:$CZ$60=L$4),0),$A90-1966)</f>
        <v>201595.9</v>
      </c>
      <c r="M90" s="46" cm="1">
        <f t="array" ref="M90">INDEX(GMWA!$A$2:$DB$60,MATCH(1,(GMWA!$DA$2:$DA$60=M$3)*(GMWA!$CZ$2:$CZ$60=M$4),0),$A90-1966)</f>
        <v>202.1831</v>
      </c>
      <c r="N90" s="46" cm="1">
        <f t="array" ref="N90">INDEX(GMWA!$A$2:$DB$60,MATCH(1,(GMWA!$DA$2:$DA$60=N$3)*(GMWA!$CZ$2:$CZ$60=N$4),0),$A90-1966)</f>
        <v>261.84050000000002</v>
      </c>
      <c r="O90" s="46" cm="1">
        <f t="array" ref="O90">INDEX(GMWA!$A$2:$DB$60,MATCH(1,(GMWA!$DA$2:$DA$60=O$3)*(GMWA!$CZ$2:$CZ$60=O$4),0),$A90-1966)</f>
        <v>239.1328</v>
      </c>
      <c r="P90" s="46" cm="1">
        <f t="array" ref="P90">INDEX(GMWA!$A$2:$DB$60,MATCH(1,(GMWA!$DA$2:$DA$60=P$3)*(GMWA!$CZ$2:$CZ$60=P$4),0),$A90-1966)</f>
        <v>395.9196</v>
      </c>
      <c r="Q90" s="46" cm="1">
        <f t="array" ref="Q90">INDEX(GMWA!$A$2:$DB$60,MATCH(1,(GMWA!$DA$2:$DA$60=Q$3)*(GMWA!$CZ$2:$CZ$60=Q$4),0),$A90-1966)</f>
        <v>134.6901</v>
      </c>
      <c r="R90" s="46" cm="1">
        <f t="array" ref="R90">INDEX(GMWA!$A$2:$DB$60,MATCH(1,(GMWA!$DA$2:$DA$60=R$3)*(GMWA!$CZ$2:$CZ$60=R$4),0),$A90-1966)</f>
        <v>264.37099999999998</v>
      </c>
    </row>
    <row r="91" spans="1:18" x14ac:dyDescent="0.35">
      <c r="A91" s="46">
        <f t="shared" si="2"/>
        <v>2057</v>
      </c>
      <c r="B91" s="46" cm="1">
        <f t="array" ref="B91">INDEX(GMWA!$A$2:$DB$60,MATCH(1,(GMWA!$DA$2:$DA$60=B$3)*(GMWA!$CZ$2:$CZ$60=B$4),0),$A91-1966)</f>
        <v>2454169</v>
      </c>
      <c r="C91" s="46" cm="1">
        <f t="array" ref="C91">INDEX(GMWA!$A$2:$DB$60,MATCH(1,(GMWA!$DA$2:$DA$60=C$3)*(GMWA!$CZ$2:$CZ$60=C$4),0),$A91-1966)</f>
        <v>2686489</v>
      </c>
      <c r="D91" s="46" cm="1">
        <f t="array" ref="D91">INDEX(GMWA!$A$2:$DB$60,MATCH(1,(GMWA!$DA$2:$DA$60=D$3)*(GMWA!$CZ$2:$CZ$60=D$4),0),$A91-1966)</f>
        <v>5061211</v>
      </c>
      <c r="E91" s="46" cm="1">
        <f t="array" ref="E91">INDEX(GMWA!$A$2:$DB$60,MATCH(1,(GMWA!$DA$2:$DA$60=E$3)*(GMWA!$CZ$2:$CZ$60=E$4),0),$A91-1966)</f>
        <v>5537296</v>
      </c>
      <c r="F91" s="46" cm="1">
        <f t="array" ref="F91">INDEX(GMWA!$A$2:$DB$60,MATCH(1,(GMWA!$DA$2:$DA$60=F$3)*(GMWA!$CZ$2:$CZ$60=F$4),0),$A91-1966)</f>
        <v>3583119</v>
      </c>
      <c r="G91" s="46" cm="1">
        <f t="array" ref="G91">INDEX(GMWA!$A$2:$DB$60,MATCH(1,(GMWA!$DA$2:$DA$60=G$3)*(GMWA!$CZ$2:$CZ$60=G$4),0),$A91-1966)</f>
        <v>32023.7</v>
      </c>
      <c r="H91" s="46" cm="1">
        <f t="array" ref="H91">INDEX(GMWA!$A$2:$DB$60,MATCH(1,(GMWA!$DA$2:$DA$60=H$3)*(GMWA!$CZ$2:$CZ$60=H$4),0),$A91-1966)</f>
        <v>27972.49</v>
      </c>
      <c r="I91" s="46" cm="1">
        <f t="array" ref="I91">INDEX(GMWA!$A$2:$DB$60,MATCH(1,(GMWA!$DA$2:$DA$60=I$3)*(GMWA!$CZ$2:$CZ$60=I$4),0),$A91-1966)</f>
        <v>1231254</v>
      </c>
      <c r="J91" s="46" cm="1">
        <f t="array" ref="J91">INDEX(GMWA!$A$2:$DB$60,MATCH(1,(GMWA!$DA$2:$DA$60=J$3)*(GMWA!$CZ$2:$CZ$60=J$4),0),$A91-1966)</f>
        <v>280521.90000000002</v>
      </c>
      <c r="K91" s="46" cm="1">
        <f t="array" ref="K91">INDEX(GMWA!$A$2:$DB$60,MATCH(1,(GMWA!$DA$2:$DA$60=K$3)*(GMWA!$CZ$2:$CZ$60=K$4),0),$A91-1966)</f>
        <v>1094979</v>
      </c>
      <c r="L91" s="46" cm="1">
        <f t="array" ref="L91">INDEX(GMWA!$A$2:$DB$60,MATCH(1,(GMWA!$DA$2:$DA$60=L$3)*(GMWA!$CZ$2:$CZ$60=L$4),0),$A91-1966)</f>
        <v>207731.3</v>
      </c>
      <c r="M91" s="46" cm="1">
        <f t="array" ref="M91">INDEX(GMWA!$A$2:$DB$60,MATCH(1,(GMWA!$DA$2:$DA$60=M$3)*(GMWA!$CZ$2:$CZ$60=M$4),0),$A91-1966)</f>
        <v>206.226</v>
      </c>
      <c r="N91" s="46" cm="1">
        <f t="array" ref="N91">INDEX(GMWA!$A$2:$DB$60,MATCH(1,(GMWA!$DA$2:$DA$60=N$3)*(GMWA!$CZ$2:$CZ$60=N$4),0),$A91-1966)</f>
        <v>267.07729999999998</v>
      </c>
      <c r="O91" s="46" cm="1">
        <f t="array" ref="O91">INDEX(GMWA!$A$2:$DB$60,MATCH(1,(GMWA!$DA$2:$DA$60=O$3)*(GMWA!$CZ$2:$CZ$60=O$4),0),$A91-1966)</f>
        <v>242.5813</v>
      </c>
      <c r="P91" s="46" cm="1">
        <f t="array" ref="P91">INDEX(GMWA!$A$2:$DB$60,MATCH(1,(GMWA!$DA$2:$DA$60=P$3)*(GMWA!$CZ$2:$CZ$60=P$4),0),$A91-1966)</f>
        <v>410.03190000000001</v>
      </c>
      <c r="Q91" s="46" cm="1">
        <f t="array" ref="Q91">INDEX(GMWA!$A$2:$DB$60,MATCH(1,(GMWA!$DA$2:$DA$60=Q$3)*(GMWA!$CZ$2:$CZ$60=Q$4),0),$A91-1966)</f>
        <v>135.2372</v>
      </c>
      <c r="R91" s="46" cm="1">
        <f t="array" ref="R91">INDEX(GMWA!$A$2:$DB$60,MATCH(1,(GMWA!$DA$2:$DA$60=R$3)*(GMWA!$CZ$2:$CZ$60=R$4),0),$A91-1966)</f>
        <v>269.88479999999998</v>
      </c>
    </row>
    <row r="92" spans="1:18" x14ac:dyDescent="0.35">
      <c r="A92" s="46">
        <f t="shared" si="2"/>
        <v>2058</v>
      </c>
      <c r="B92" s="46" cm="1">
        <f t="array" ref="B92">INDEX(GMWA!$A$2:$DB$60,MATCH(1,(GMWA!$DA$2:$DA$60=B$3)*(GMWA!$CZ$2:$CZ$60=B$4),0),$A92-1966)</f>
        <v>2477968</v>
      </c>
      <c r="C92" s="46" cm="1">
        <f t="array" ref="C92">INDEX(GMWA!$A$2:$DB$60,MATCH(1,(GMWA!$DA$2:$DA$60=C$3)*(GMWA!$CZ$2:$CZ$60=C$4),0),$A92-1966)</f>
        <v>2712590</v>
      </c>
      <c r="D92" s="46" cm="1">
        <f t="array" ref="D92">INDEX(GMWA!$A$2:$DB$60,MATCH(1,(GMWA!$DA$2:$DA$60=D$3)*(GMWA!$CZ$2:$CZ$60=D$4),0),$A92-1966)</f>
        <v>5212478</v>
      </c>
      <c r="E92" s="46" cm="1">
        <f t="array" ref="E92">INDEX(GMWA!$A$2:$DB$60,MATCH(1,(GMWA!$DA$2:$DA$60=E$3)*(GMWA!$CZ$2:$CZ$60=E$4),0),$A92-1966)</f>
        <v>5702985</v>
      </c>
      <c r="F92" s="46" cm="1">
        <f t="array" ref="F92">INDEX(GMWA!$A$2:$DB$60,MATCH(1,(GMWA!$DA$2:$DA$60=F$3)*(GMWA!$CZ$2:$CZ$60=F$4),0),$A92-1966)</f>
        <v>3692118</v>
      </c>
      <c r="G92" s="46" cm="1">
        <f t="array" ref="G92">INDEX(GMWA!$A$2:$DB$60,MATCH(1,(GMWA!$DA$2:$DA$60=G$3)*(GMWA!$CZ$2:$CZ$60=G$4),0),$A92-1966)</f>
        <v>31978.799999999999</v>
      </c>
      <c r="H92" s="46" cm="1">
        <f t="array" ref="H92">INDEX(GMWA!$A$2:$DB$60,MATCH(1,(GMWA!$DA$2:$DA$60=H$3)*(GMWA!$CZ$2:$CZ$60=H$4),0),$A92-1966)</f>
        <v>28863.89</v>
      </c>
      <c r="I92" s="46" cm="1">
        <f t="array" ref="I92">INDEX(GMWA!$A$2:$DB$60,MATCH(1,(GMWA!$DA$2:$DA$60=I$3)*(GMWA!$CZ$2:$CZ$60=I$4),0),$A92-1966)</f>
        <v>1276398</v>
      </c>
      <c r="J92" s="46" cm="1">
        <f t="array" ref="J92">INDEX(GMWA!$A$2:$DB$60,MATCH(1,(GMWA!$DA$2:$DA$60=J$3)*(GMWA!$CZ$2:$CZ$60=J$4),0),$A92-1966)</f>
        <v>285132.79999999999</v>
      </c>
      <c r="K92" s="46" cm="1">
        <f t="array" ref="K92">INDEX(GMWA!$A$2:$DB$60,MATCH(1,(GMWA!$DA$2:$DA$60=K$3)*(GMWA!$CZ$2:$CZ$60=K$4),0),$A92-1966)</f>
        <v>1128630</v>
      </c>
      <c r="L92" s="46" cm="1">
        <f t="array" ref="L92">INDEX(GMWA!$A$2:$DB$60,MATCH(1,(GMWA!$DA$2:$DA$60=L$3)*(GMWA!$CZ$2:$CZ$60=L$4),0),$A92-1966)</f>
        <v>214050.5</v>
      </c>
      <c r="M92" s="46" cm="1">
        <f t="array" ref="M92">INDEX(GMWA!$A$2:$DB$60,MATCH(1,(GMWA!$DA$2:$DA$60=M$3)*(GMWA!$CZ$2:$CZ$60=M$4),0),$A92-1966)</f>
        <v>210.34979999999999</v>
      </c>
      <c r="N92" s="46" cm="1">
        <f t="array" ref="N92">INDEX(GMWA!$A$2:$DB$60,MATCH(1,(GMWA!$DA$2:$DA$60=N$3)*(GMWA!$CZ$2:$CZ$60=N$4),0),$A92-1966)</f>
        <v>272.41890000000001</v>
      </c>
      <c r="O92" s="46" cm="1">
        <f t="array" ref="O92">INDEX(GMWA!$A$2:$DB$60,MATCH(1,(GMWA!$DA$2:$DA$60=O$3)*(GMWA!$CZ$2:$CZ$60=O$4),0),$A92-1966)</f>
        <v>246.0797</v>
      </c>
      <c r="P92" s="46" cm="1">
        <f t="array" ref="P92">INDEX(GMWA!$A$2:$DB$60,MATCH(1,(GMWA!$DA$2:$DA$60=P$3)*(GMWA!$CZ$2:$CZ$60=P$4),0),$A92-1966)</f>
        <v>424.6472</v>
      </c>
      <c r="Q92" s="46" cm="1">
        <f t="array" ref="Q92">INDEX(GMWA!$A$2:$DB$60,MATCH(1,(GMWA!$DA$2:$DA$60=Q$3)*(GMWA!$CZ$2:$CZ$60=Q$4),0),$A92-1966)</f>
        <v>135.78649999999999</v>
      </c>
      <c r="R92" s="46" cm="1">
        <f t="array" ref="R92">INDEX(GMWA!$A$2:$DB$60,MATCH(1,(GMWA!$DA$2:$DA$60=R$3)*(GMWA!$CZ$2:$CZ$60=R$4),0),$A92-1966)</f>
        <v>275.51369999999997</v>
      </c>
    </row>
    <row r="93" spans="1:18" x14ac:dyDescent="0.35">
      <c r="A93" s="46">
        <f t="shared" si="2"/>
        <v>2059</v>
      </c>
      <c r="B93" s="46" cm="1">
        <f t="array" ref="B93">INDEX(GMWA!$A$2:$DB$60,MATCH(1,(GMWA!$DA$2:$DA$60=B$3)*(GMWA!$CZ$2:$CZ$60=B$4),0),$A93-1966)</f>
        <v>2501795</v>
      </c>
      <c r="C93" s="46" cm="1">
        <f t="array" ref="C93">INDEX(GMWA!$A$2:$DB$60,MATCH(1,(GMWA!$DA$2:$DA$60=C$3)*(GMWA!$CZ$2:$CZ$60=C$4),0),$A93-1966)</f>
        <v>2738712</v>
      </c>
      <c r="D93" s="46" cm="1">
        <f t="array" ref="D93">INDEX(GMWA!$A$2:$DB$60,MATCH(1,(GMWA!$DA$2:$DA$60=D$3)*(GMWA!$CZ$2:$CZ$60=D$4),0),$A93-1966)</f>
        <v>5367832</v>
      </c>
      <c r="E93" s="46" cm="1">
        <f t="array" ref="E93">INDEX(GMWA!$A$2:$DB$60,MATCH(1,(GMWA!$DA$2:$DA$60=E$3)*(GMWA!$CZ$2:$CZ$60=E$4),0),$A93-1966)</f>
        <v>5873131</v>
      </c>
      <c r="F93" s="46" cm="1">
        <f t="array" ref="F93">INDEX(GMWA!$A$2:$DB$60,MATCH(1,(GMWA!$DA$2:$DA$60=F$3)*(GMWA!$CZ$2:$CZ$60=F$4),0),$A93-1966)</f>
        <v>3804086</v>
      </c>
      <c r="G93" s="46" cm="1">
        <f t="array" ref="G93">INDEX(GMWA!$A$2:$DB$60,MATCH(1,(GMWA!$DA$2:$DA$60=G$3)*(GMWA!$CZ$2:$CZ$60=G$4),0),$A93-1966)</f>
        <v>31934.46</v>
      </c>
      <c r="H93" s="46" cm="1">
        <f t="array" ref="H93">INDEX(GMWA!$A$2:$DB$60,MATCH(1,(GMWA!$DA$2:$DA$60=H$3)*(GMWA!$CZ$2:$CZ$60=H$4),0),$A93-1966)</f>
        <v>29780.51</v>
      </c>
      <c r="I93" s="46" cm="1">
        <f t="array" ref="I93">INDEX(GMWA!$A$2:$DB$60,MATCH(1,(GMWA!$DA$2:$DA$60=I$3)*(GMWA!$CZ$2:$CZ$60=I$4),0),$A93-1966)</f>
        <v>1323467</v>
      </c>
      <c r="J93" s="46" cm="1">
        <f t="array" ref="J93">INDEX(GMWA!$A$2:$DB$60,MATCH(1,(GMWA!$DA$2:$DA$60=J$3)*(GMWA!$CZ$2:$CZ$60=J$4),0),$A93-1966)</f>
        <v>289810.8</v>
      </c>
      <c r="K93" s="46" cm="1">
        <f t="array" ref="K93">INDEX(GMWA!$A$2:$DB$60,MATCH(1,(GMWA!$DA$2:$DA$60=K$3)*(GMWA!$CZ$2:$CZ$60=K$4),0),$A93-1966)</f>
        <v>1163173</v>
      </c>
      <c r="L93" s="46" cm="1">
        <f t="array" ref="L93">INDEX(GMWA!$A$2:$DB$60,MATCH(1,(GMWA!$DA$2:$DA$60=L$3)*(GMWA!$CZ$2:$CZ$60=L$4),0),$A93-1966)</f>
        <v>220541.9</v>
      </c>
      <c r="M93" s="46" cm="1">
        <f t="array" ref="M93">INDEX(GMWA!$A$2:$DB$60,MATCH(1,(GMWA!$DA$2:$DA$60=M$3)*(GMWA!$CZ$2:$CZ$60=M$4),0),$A93-1966)</f>
        <v>214.55600000000001</v>
      </c>
      <c r="N93" s="46" cm="1">
        <f t="array" ref="N93">INDEX(GMWA!$A$2:$DB$60,MATCH(1,(GMWA!$DA$2:$DA$60=N$3)*(GMWA!$CZ$2:$CZ$60=N$4),0),$A93-1966)</f>
        <v>277.86720000000003</v>
      </c>
      <c r="O93" s="46" cm="1">
        <f t="array" ref="O93">INDEX(GMWA!$A$2:$DB$60,MATCH(1,(GMWA!$DA$2:$DA$60=O$3)*(GMWA!$CZ$2:$CZ$60=O$4),0),$A93-1966)</f>
        <v>249.6284</v>
      </c>
      <c r="P93" s="46" cm="1">
        <f t="array" ref="P93">INDEX(GMWA!$A$2:$DB$60,MATCH(1,(GMWA!$DA$2:$DA$60=P$3)*(GMWA!$CZ$2:$CZ$60=P$4),0),$A93-1966)</f>
        <v>439.78339999999997</v>
      </c>
      <c r="Q93" s="46" cm="1">
        <f t="array" ref="Q93">INDEX(GMWA!$A$2:$DB$60,MATCH(1,(GMWA!$DA$2:$DA$60=Q$3)*(GMWA!$CZ$2:$CZ$60=Q$4),0),$A93-1966)</f>
        <v>136.3382</v>
      </c>
      <c r="R93" s="46" cm="1">
        <f t="array" ref="R93">INDEX(GMWA!$A$2:$DB$60,MATCH(1,(GMWA!$DA$2:$DA$60=R$3)*(GMWA!$CZ$2:$CZ$60=R$4),0),$A93-1966)</f>
        <v>281.25979999999998</v>
      </c>
    </row>
    <row r="94" spans="1:18" x14ac:dyDescent="0.35">
      <c r="A94" s="46">
        <f t="shared" si="2"/>
        <v>2060</v>
      </c>
      <c r="B94" s="46" cm="1">
        <f t="array" ref="B94">INDEX(GMWA!$A$2:$DB$60,MATCH(1,(GMWA!$DA$2:$DA$60=B$3)*(GMWA!$CZ$2:$CZ$60=B$4),0),$A94-1966)</f>
        <v>2525890</v>
      </c>
      <c r="C94" s="46" cm="1">
        <f t="array" ref="C94">INDEX(GMWA!$A$2:$DB$60,MATCH(1,(GMWA!$DA$2:$DA$60=C$3)*(GMWA!$CZ$2:$CZ$60=C$4),0),$A94-1966)</f>
        <v>2765114</v>
      </c>
      <c r="D94" s="46" cm="1">
        <f t="array" ref="D94">INDEX(GMWA!$A$2:$DB$60,MATCH(1,(GMWA!$DA$2:$DA$60=D$3)*(GMWA!$CZ$2:$CZ$60=D$4),0),$A94-1966)</f>
        <v>5527898</v>
      </c>
      <c r="E94" s="46" cm="1">
        <f t="array" ref="E94">INDEX(GMWA!$A$2:$DB$60,MATCH(1,(GMWA!$DA$2:$DA$60=E$3)*(GMWA!$CZ$2:$CZ$60=E$4),0),$A94-1966)</f>
        <v>6048411</v>
      </c>
      <c r="F94" s="46" cm="1">
        <f t="array" ref="F94">INDEX(GMWA!$A$2:$DB$60,MATCH(1,(GMWA!$DA$2:$DA$60=F$3)*(GMWA!$CZ$2:$CZ$60=F$4),0),$A94-1966)</f>
        <v>3919563</v>
      </c>
      <c r="G94" s="46" cm="1">
        <f t="array" ref="G94">INDEX(GMWA!$A$2:$DB$60,MATCH(1,(GMWA!$DA$2:$DA$60=G$3)*(GMWA!$CZ$2:$CZ$60=G$4),0),$A94-1966)</f>
        <v>31895.24</v>
      </c>
      <c r="H94" s="46" cm="1">
        <f t="array" ref="H94">INDEX(GMWA!$A$2:$DB$60,MATCH(1,(GMWA!$DA$2:$DA$60=H$3)*(GMWA!$CZ$2:$CZ$60=H$4),0),$A94-1966)</f>
        <v>30722.25</v>
      </c>
      <c r="I94" s="46" cm="1">
        <f t="array" ref="I94">INDEX(GMWA!$A$2:$DB$60,MATCH(1,(GMWA!$DA$2:$DA$60=I$3)*(GMWA!$CZ$2:$CZ$60=I$4),0),$A94-1966)</f>
        <v>1372158</v>
      </c>
      <c r="J94" s="46" cm="1">
        <f t="array" ref="J94">INDEX(GMWA!$A$2:$DB$60,MATCH(1,(GMWA!$DA$2:$DA$60=J$3)*(GMWA!$CZ$2:$CZ$60=J$4),0),$A94-1966)</f>
        <v>294557.90000000002</v>
      </c>
      <c r="K94" s="46" cm="1">
        <f t="array" ref="K94">INDEX(GMWA!$A$2:$DB$60,MATCH(1,(GMWA!$DA$2:$DA$60=K$3)*(GMWA!$CZ$2:$CZ$60=K$4),0),$A94-1966)</f>
        <v>1198726</v>
      </c>
      <c r="L94" s="46" cm="1">
        <f t="array" ref="L94">INDEX(GMWA!$A$2:$DB$60,MATCH(1,(GMWA!$DA$2:$DA$60=L$3)*(GMWA!$CZ$2:$CZ$60=L$4),0),$A94-1966)</f>
        <v>227236.7</v>
      </c>
      <c r="M94" s="46" cm="1">
        <f t="array" ref="M94">INDEX(GMWA!$A$2:$DB$60,MATCH(1,(GMWA!$DA$2:$DA$60=M$3)*(GMWA!$CZ$2:$CZ$60=M$4),0),$A94-1966)</f>
        <v>218.84630000000001</v>
      </c>
      <c r="N94" s="46" cm="1">
        <f t="array" ref="N94">INDEX(GMWA!$A$2:$DB$60,MATCH(1,(GMWA!$DA$2:$DA$60=N$3)*(GMWA!$CZ$2:$CZ$60=N$4),0),$A94-1966)</f>
        <v>283.42450000000002</v>
      </c>
      <c r="O94" s="46" cm="1">
        <f t="array" ref="O94">INDEX(GMWA!$A$2:$DB$60,MATCH(1,(GMWA!$DA$2:$DA$60=O$3)*(GMWA!$CZ$2:$CZ$60=O$4),0),$A94-1966)</f>
        <v>253.22839999999999</v>
      </c>
      <c r="P94" s="46" cm="1">
        <f t="array" ref="P94">INDEX(GMWA!$A$2:$DB$60,MATCH(1,(GMWA!$DA$2:$DA$60=P$3)*(GMWA!$CZ$2:$CZ$60=P$4),0),$A94-1966)</f>
        <v>455.45909999999998</v>
      </c>
      <c r="Q94" s="46" cm="1">
        <f t="array" ref="Q94">INDEX(GMWA!$A$2:$DB$60,MATCH(1,(GMWA!$DA$2:$DA$60=Q$3)*(GMWA!$CZ$2:$CZ$60=Q$4),0),$A94-1966)</f>
        <v>136.892</v>
      </c>
      <c r="R94" s="46" cm="1">
        <f t="array" ref="R94">INDEX(GMWA!$A$2:$DB$60,MATCH(1,(GMWA!$DA$2:$DA$60=R$3)*(GMWA!$CZ$2:$CZ$60=R$4),0),$A94-1966)</f>
        <v>287.12580000000003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6D31-9C0A-46F9-80F5-C367D930E9DC}">
  <dimension ref="A1:D44"/>
  <sheetViews>
    <sheetView workbookViewId="0">
      <selection activeCell="F8" sqref="F8"/>
    </sheetView>
  </sheetViews>
  <sheetFormatPr defaultRowHeight="14.5" x14ac:dyDescent="0.35"/>
  <cols>
    <col min="2" max="4" width="17.453125" customWidth="1"/>
  </cols>
  <sheetData>
    <row r="1" spans="1:4" x14ac:dyDescent="0.35">
      <c r="A1" s="42" t="s">
        <v>258</v>
      </c>
      <c r="B1" t="s">
        <v>255</v>
      </c>
      <c r="C1" t="s">
        <v>256</v>
      </c>
      <c r="D1" t="s">
        <v>257</v>
      </c>
    </row>
    <row r="2" spans="1:4" ht="72.5" customHeight="1" x14ac:dyDescent="0.35">
      <c r="A2" t="s">
        <v>261</v>
      </c>
      <c r="B2" s="52" t="s">
        <v>264</v>
      </c>
      <c r="C2" s="52" t="s">
        <v>265</v>
      </c>
      <c r="D2" s="52" t="s">
        <v>266</v>
      </c>
    </row>
    <row r="3" spans="1:4" x14ac:dyDescent="0.35">
      <c r="A3" t="s">
        <v>260</v>
      </c>
      <c r="B3" t="s">
        <v>263</v>
      </c>
      <c r="C3" t="s">
        <v>263</v>
      </c>
      <c r="D3" t="s">
        <v>263</v>
      </c>
    </row>
    <row r="4" spans="1:4" ht="13" customHeight="1" x14ac:dyDescent="0.35">
      <c r="A4" t="s">
        <v>259</v>
      </c>
      <c r="B4" t="s">
        <v>262</v>
      </c>
      <c r="C4" t="s">
        <v>262</v>
      </c>
      <c r="D4" t="s">
        <v>262</v>
      </c>
    </row>
    <row r="5" spans="1:4" x14ac:dyDescent="0.35">
      <c r="A5" t="s">
        <v>76</v>
      </c>
      <c r="B5" s="49" t="e">
        <v>#N/A</v>
      </c>
      <c r="C5" s="49" t="e">
        <v>#N/A</v>
      </c>
      <c r="D5" s="49" t="e">
        <v>#N/A</v>
      </c>
    </row>
    <row r="6" spans="1:4" x14ac:dyDescent="0.35">
      <c r="A6" t="s">
        <v>77</v>
      </c>
      <c r="B6" s="51">
        <v>184</v>
      </c>
      <c r="C6" s="51">
        <v>62</v>
      </c>
      <c r="D6" s="51">
        <v>41</v>
      </c>
    </row>
    <row r="7" spans="1:4" x14ac:dyDescent="0.35">
      <c r="A7" t="s">
        <v>78</v>
      </c>
      <c r="B7" s="51">
        <v>177</v>
      </c>
      <c r="C7" s="51">
        <v>62</v>
      </c>
      <c r="D7" s="51">
        <v>39</v>
      </c>
    </row>
    <row r="8" spans="1:4" x14ac:dyDescent="0.35">
      <c r="A8" t="s">
        <v>79</v>
      </c>
      <c r="B8" s="51">
        <v>185</v>
      </c>
      <c r="C8" s="51">
        <v>58</v>
      </c>
      <c r="D8" s="51">
        <v>38</v>
      </c>
    </row>
    <row r="9" spans="1:4" x14ac:dyDescent="0.35">
      <c r="A9" t="s">
        <v>80</v>
      </c>
      <c r="B9" s="51">
        <v>177</v>
      </c>
      <c r="C9" s="51">
        <v>54</v>
      </c>
      <c r="D9" s="51">
        <v>39</v>
      </c>
    </row>
    <row r="10" spans="1:4" x14ac:dyDescent="0.35">
      <c r="A10" t="s">
        <v>81</v>
      </c>
      <c r="B10" s="51">
        <v>172</v>
      </c>
      <c r="C10" s="51">
        <v>53</v>
      </c>
      <c r="D10" s="51">
        <v>38</v>
      </c>
    </row>
    <row r="11" spans="1:4" x14ac:dyDescent="0.35">
      <c r="A11" t="s">
        <v>82</v>
      </c>
      <c r="B11" s="51">
        <v>159</v>
      </c>
      <c r="C11" s="51">
        <v>52</v>
      </c>
      <c r="D11" s="51">
        <v>39</v>
      </c>
    </row>
    <row r="12" spans="1:4" x14ac:dyDescent="0.35">
      <c r="A12" t="s">
        <v>83</v>
      </c>
      <c r="B12" s="51">
        <v>157</v>
      </c>
      <c r="C12" s="51">
        <v>49</v>
      </c>
      <c r="D12" s="51">
        <v>41</v>
      </c>
    </row>
    <row r="13" spans="1:4" x14ac:dyDescent="0.35">
      <c r="A13" t="s">
        <v>84</v>
      </c>
      <c r="B13" s="51">
        <v>158</v>
      </c>
      <c r="C13" s="51">
        <v>49</v>
      </c>
      <c r="D13" s="51">
        <v>41</v>
      </c>
    </row>
    <row r="14" spans="1:4" x14ac:dyDescent="0.35">
      <c r="A14" t="s">
        <v>85</v>
      </c>
      <c r="B14" s="51">
        <v>156</v>
      </c>
      <c r="C14" s="51">
        <v>45</v>
      </c>
      <c r="D14" s="51">
        <v>40</v>
      </c>
    </row>
    <row r="15" spans="1:4" x14ac:dyDescent="0.35">
      <c r="A15" t="s">
        <v>86</v>
      </c>
      <c r="B15" s="51">
        <v>152</v>
      </c>
      <c r="C15" s="51">
        <v>44</v>
      </c>
      <c r="D15" s="51">
        <v>43</v>
      </c>
    </row>
    <row r="16" spans="1:4" x14ac:dyDescent="0.35">
      <c r="A16" t="s">
        <v>87</v>
      </c>
      <c r="B16" s="51">
        <v>144</v>
      </c>
      <c r="C16" s="51">
        <v>43</v>
      </c>
      <c r="D16" s="51">
        <v>43</v>
      </c>
    </row>
    <row r="17" spans="1:4" x14ac:dyDescent="0.35">
      <c r="A17" t="s">
        <v>88</v>
      </c>
      <c r="B17" s="51">
        <v>141</v>
      </c>
      <c r="C17" s="51">
        <v>40</v>
      </c>
      <c r="D17" s="51">
        <v>43</v>
      </c>
    </row>
    <row r="18" spans="1:4" x14ac:dyDescent="0.35">
      <c r="A18" t="s">
        <v>89</v>
      </c>
      <c r="B18" s="51">
        <v>121</v>
      </c>
      <c r="C18" s="51">
        <v>33</v>
      </c>
      <c r="D18" s="51">
        <v>38</v>
      </c>
    </row>
    <row r="19" spans="1:4" x14ac:dyDescent="0.35">
      <c r="A19" t="s">
        <v>90</v>
      </c>
      <c r="B19" s="51">
        <v>114</v>
      </c>
      <c r="C19" s="51">
        <v>29</v>
      </c>
      <c r="D19" s="51">
        <v>37</v>
      </c>
    </row>
    <row r="20" spans="1:4" x14ac:dyDescent="0.35">
      <c r="A20" t="s">
        <v>91</v>
      </c>
      <c r="B20" s="51">
        <v>115</v>
      </c>
      <c r="C20" s="51">
        <v>28</v>
      </c>
      <c r="D20" s="51">
        <v>28</v>
      </c>
    </row>
    <row r="21" spans="1:4" x14ac:dyDescent="0.35">
      <c r="A21" t="s">
        <v>92</v>
      </c>
      <c r="B21" s="51">
        <v>108</v>
      </c>
      <c r="C21" s="51">
        <v>28</v>
      </c>
      <c r="D21" s="51">
        <v>27</v>
      </c>
    </row>
    <row r="22" spans="1:4" x14ac:dyDescent="0.35">
      <c r="A22" t="s">
        <v>93</v>
      </c>
      <c r="B22" s="51">
        <v>106</v>
      </c>
      <c r="C22" s="51">
        <v>26</v>
      </c>
      <c r="D22" s="51">
        <v>26</v>
      </c>
    </row>
    <row r="23" spans="1:4" x14ac:dyDescent="0.35">
      <c r="A23" t="s">
        <v>94</v>
      </c>
      <c r="B23" s="51">
        <v>106</v>
      </c>
      <c r="C23" s="51">
        <v>28</v>
      </c>
      <c r="D23" s="51">
        <v>27</v>
      </c>
    </row>
    <row r="24" spans="1:4" x14ac:dyDescent="0.35">
      <c r="A24" t="s">
        <v>95</v>
      </c>
      <c r="B24" s="51">
        <v>102</v>
      </c>
      <c r="C24" s="51">
        <v>32</v>
      </c>
      <c r="D24" s="51">
        <v>35</v>
      </c>
    </row>
    <row r="25" spans="1:4" x14ac:dyDescent="0.35">
      <c r="A25" t="s">
        <v>96</v>
      </c>
      <c r="B25" s="51">
        <v>103</v>
      </c>
      <c r="C25" s="51">
        <v>39</v>
      </c>
      <c r="D25" s="51">
        <v>36</v>
      </c>
    </row>
    <row r="26" spans="1:4" x14ac:dyDescent="0.35">
      <c r="A26" t="s">
        <v>97</v>
      </c>
      <c r="B26" s="51">
        <v>109</v>
      </c>
      <c r="C26" s="51">
        <v>35</v>
      </c>
      <c r="D26" s="51">
        <v>38</v>
      </c>
    </row>
    <row r="27" spans="1:4" x14ac:dyDescent="0.35">
      <c r="A27" t="s">
        <v>98</v>
      </c>
      <c r="B27" s="51">
        <v>118</v>
      </c>
      <c r="C27" s="51">
        <v>46</v>
      </c>
      <c r="D27" s="51">
        <v>34</v>
      </c>
    </row>
    <row r="28" spans="1:4" x14ac:dyDescent="0.35">
      <c r="A28" t="s">
        <v>99</v>
      </c>
      <c r="B28" s="51">
        <v>108</v>
      </c>
      <c r="C28" s="51">
        <v>47</v>
      </c>
      <c r="D28" s="51">
        <v>41</v>
      </c>
    </row>
    <row r="29" spans="1:4" x14ac:dyDescent="0.35">
      <c r="A29" t="s">
        <v>100</v>
      </c>
      <c r="B29" s="51">
        <v>118</v>
      </c>
      <c r="C29" s="51">
        <v>44</v>
      </c>
      <c r="D29" s="51">
        <v>43</v>
      </c>
    </row>
    <row r="30" spans="1:4" x14ac:dyDescent="0.35">
      <c r="A30" t="s">
        <v>101</v>
      </c>
      <c r="B30" s="51">
        <v>112</v>
      </c>
      <c r="C30" s="51">
        <v>56</v>
      </c>
      <c r="D30" s="51">
        <v>46</v>
      </c>
    </row>
    <row r="31" spans="1:4" x14ac:dyDescent="0.35">
      <c r="A31" t="s">
        <v>102</v>
      </c>
      <c r="B31" s="51">
        <v>106</v>
      </c>
      <c r="C31" s="51">
        <v>48</v>
      </c>
      <c r="D31" s="51">
        <v>40</v>
      </c>
    </row>
    <row r="32" spans="1:4" x14ac:dyDescent="0.35">
      <c r="A32" t="s">
        <v>103</v>
      </c>
      <c r="B32" s="51">
        <v>112</v>
      </c>
      <c r="C32" s="51">
        <v>45</v>
      </c>
      <c r="D32" s="51">
        <v>35</v>
      </c>
    </row>
    <row r="33" spans="1:4" x14ac:dyDescent="0.35">
      <c r="A33" t="s">
        <v>104</v>
      </c>
      <c r="B33" s="51">
        <v>110</v>
      </c>
      <c r="C33" s="51">
        <v>42</v>
      </c>
      <c r="D33" s="51">
        <v>34</v>
      </c>
    </row>
    <row r="34" spans="1:4" x14ac:dyDescent="0.35">
      <c r="A34" t="s">
        <v>105</v>
      </c>
      <c r="B34" s="51">
        <v>103</v>
      </c>
      <c r="C34" s="51">
        <v>35</v>
      </c>
      <c r="D34" s="51">
        <v>32</v>
      </c>
    </row>
    <row r="35" spans="1:4" x14ac:dyDescent="0.35">
      <c r="A35" t="s">
        <v>106</v>
      </c>
      <c r="B35" s="51">
        <v>102.91666666666667</v>
      </c>
      <c r="C35" s="51">
        <v>33.916666666666664</v>
      </c>
      <c r="D35" s="51">
        <v>32.916666666666664</v>
      </c>
    </row>
    <row r="36" spans="1:4" x14ac:dyDescent="0.35">
      <c r="A36" t="s">
        <v>107</v>
      </c>
      <c r="B36" s="51">
        <v>101</v>
      </c>
      <c r="C36" s="51">
        <v>34</v>
      </c>
      <c r="D36" s="51">
        <v>30.916666666666668</v>
      </c>
    </row>
    <row r="37" spans="1:4" x14ac:dyDescent="0.35">
      <c r="A37" t="s">
        <v>108</v>
      </c>
      <c r="B37" s="51">
        <v>100</v>
      </c>
      <c r="C37" s="51">
        <v>31.166666666666668</v>
      </c>
      <c r="D37" s="51">
        <v>30</v>
      </c>
    </row>
    <row r="38" spans="1:4" x14ac:dyDescent="0.35">
      <c r="A38" t="s">
        <v>109</v>
      </c>
      <c r="B38" s="51">
        <v>99</v>
      </c>
      <c r="C38" s="51">
        <v>32.916666666666664</v>
      </c>
      <c r="D38" s="51">
        <v>31</v>
      </c>
    </row>
    <row r="39" spans="1:4" x14ac:dyDescent="0.35">
      <c r="A39" t="s">
        <v>110</v>
      </c>
      <c r="B39" s="51">
        <v>114</v>
      </c>
      <c r="C39" s="51">
        <v>33</v>
      </c>
      <c r="D39" s="51">
        <v>26.916666666666668</v>
      </c>
    </row>
    <row r="40" spans="1:4" x14ac:dyDescent="0.35">
      <c r="A40" t="s">
        <v>111</v>
      </c>
      <c r="B40" s="51">
        <v>115.91666666666667</v>
      </c>
      <c r="C40" s="51">
        <v>36</v>
      </c>
      <c r="D40" s="51">
        <v>31</v>
      </c>
    </row>
    <row r="41" spans="1:4" x14ac:dyDescent="0.35">
      <c r="A41" t="s">
        <v>112</v>
      </c>
      <c r="B41" s="51">
        <v>118.83333333333333</v>
      </c>
      <c r="C41" s="51">
        <v>48.916666666666664</v>
      </c>
      <c r="D41" s="51">
        <v>31.083333333333332</v>
      </c>
    </row>
    <row r="42" spans="1:4" x14ac:dyDescent="0.35">
      <c r="A42" t="s">
        <v>113</v>
      </c>
      <c r="B42" s="51">
        <v>113.12656666666668</v>
      </c>
      <c r="C42" s="51">
        <v>40.709866666666656</v>
      </c>
      <c r="D42" s="51">
        <v>30.900175000000004</v>
      </c>
    </row>
    <row r="43" spans="1:4" x14ac:dyDescent="0.35">
      <c r="A43" t="s">
        <v>114</v>
      </c>
      <c r="B43" s="51">
        <v>112.47973333333333</v>
      </c>
      <c r="C43" s="51">
        <v>33.62111666666668</v>
      </c>
      <c r="D43" s="51">
        <v>27.96898333333333</v>
      </c>
    </row>
    <row r="44" spans="1:4" x14ac:dyDescent="0.35">
      <c r="A44" t="s">
        <v>115</v>
      </c>
      <c r="B44" s="51">
        <v>109.56860833333333</v>
      </c>
      <c r="C44" s="51">
        <v>31.940700000000003</v>
      </c>
      <c r="D44" s="51">
        <v>26.408625000000001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3A29-76EF-4C4C-9BC2-30431CD865F7}">
  <sheetPr>
    <tabColor rgb="FFEF4130"/>
  </sheetPr>
  <dimension ref="A1:BZ150"/>
  <sheetViews>
    <sheetView tabSelected="1" zoomScaleNormal="100" workbookViewId="0">
      <pane xSplit="1" ySplit="3" topLeftCell="B115" activePane="bottomRight" state="frozen"/>
      <selection pane="topRight" activeCell="B1" sqref="B1"/>
      <selection pane="bottomLeft" activeCell="A4" sqref="A4"/>
      <selection pane="bottomRight" activeCell="BD149" sqref="BD149"/>
    </sheetView>
  </sheetViews>
  <sheetFormatPr defaultRowHeight="14.5" x14ac:dyDescent="0.35"/>
  <cols>
    <col min="1" max="1" width="9.54296875" customWidth="1"/>
    <col min="7" max="7" width="3.08984375" customWidth="1"/>
    <col min="13" max="14" width="3.81640625" customWidth="1"/>
    <col min="20" max="20" width="3.08984375" customWidth="1"/>
    <col min="26" max="27" width="3.81640625" customWidth="1"/>
    <col min="33" max="33" width="3.08984375" customWidth="1"/>
    <col min="39" max="40" width="3.81640625" customWidth="1"/>
    <col min="49" max="49" width="3.08984375" customWidth="1"/>
    <col min="58" max="59" width="3.81640625" customWidth="1"/>
    <col min="69" max="69" width="3.08984375" customWidth="1"/>
  </cols>
  <sheetData>
    <row r="1" spans="1:78" x14ac:dyDescent="0.35">
      <c r="A1" s="33" t="s">
        <v>916</v>
      </c>
      <c r="O1" s="33" t="s">
        <v>917</v>
      </c>
      <c r="AB1" s="33" t="s">
        <v>922</v>
      </c>
      <c r="AO1" s="33" t="s">
        <v>924</v>
      </c>
      <c r="BH1" s="33" t="s">
        <v>927</v>
      </c>
    </row>
    <row r="3" spans="1:78" x14ac:dyDescent="0.35">
      <c r="B3" t="s">
        <v>882</v>
      </c>
      <c r="C3" t="s">
        <v>883</v>
      </c>
      <c r="D3" t="s">
        <v>884</v>
      </c>
      <c r="E3" t="s">
        <v>885</v>
      </c>
      <c r="F3" t="s">
        <v>886</v>
      </c>
      <c r="H3" t="s">
        <v>882</v>
      </c>
      <c r="I3" t="s">
        <v>883</v>
      </c>
      <c r="J3" t="s">
        <v>884</v>
      </c>
      <c r="K3" t="s">
        <v>885</v>
      </c>
      <c r="L3" t="s">
        <v>886</v>
      </c>
      <c r="O3" t="s">
        <v>645</v>
      </c>
      <c r="P3" t="s">
        <v>324</v>
      </c>
      <c r="Q3" t="s">
        <v>330</v>
      </c>
      <c r="R3" t="s">
        <v>339</v>
      </c>
      <c r="S3" t="s">
        <v>342</v>
      </c>
      <c r="U3" t="s">
        <v>645</v>
      </c>
      <c r="V3" t="s">
        <v>324</v>
      </c>
      <c r="W3" t="s">
        <v>330</v>
      </c>
      <c r="X3" t="s">
        <v>339</v>
      </c>
      <c r="Y3" t="s">
        <v>342</v>
      </c>
      <c r="AB3" t="s">
        <v>306</v>
      </c>
      <c r="AC3" t="s">
        <v>645</v>
      </c>
      <c r="AD3" t="s">
        <v>330</v>
      </c>
      <c r="AE3" t="s">
        <v>342</v>
      </c>
      <c r="AF3" t="s">
        <v>357</v>
      </c>
      <c r="AH3" t="s">
        <v>306</v>
      </c>
      <c r="AI3" t="s">
        <v>645</v>
      </c>
      <c r="AJ3" t="s">
        <v>330</v>
      </c>
      <c r="AK3" t="s">
        <v>342</v>
      </c>
      <c r="AL3" t="s">
        <v>357</v>
      </c>
      <c r="AO3" t="s">
        <v>3</v>
      </c>
      <c r="AP3" t="s">
        <v>631</v>
      </c>
      <c r="AQ3" t="s">
        <v>309</v>
      </c>
      <c r="AR3" t="s">
        <v>645</v>
      </c>
      <c r="AS3" t="s">
        <v>324</v>
      </c>
      <c r="AT3" t="s">
        <v>330</v>
      </c>
      <c r="AU3" t="s">
        <v>342</v>
      </c>
      <c r="AV3" t="s">
        <v>357</v>
      </c>
      <c r="AX3" t="s">
        <v>3</v>
      </c>
      <c r="AY3" t="s">
        <v>631</v>
      </c>
      <c r="AZ3" t="s">
        <v>309</v>
      </c>
      <c r="BA3" t="s">
        <v>645</v>
      </c>
      <c r="BB3" t="s">
        <v>324</v>
      </c>
      <c r="BC3" t="s">
        <v>330</v>
      </c>
      <c r="BD3" t="s">
        <v>342</v>
      </c>
      <c r="BE3" t="s">
        <v>357</v>
      </c>
      <c r="BH3" t="s">
        <v>309</v>
      </c>
      <c r="BI3" t="s">
        <v>320</v>
      </c>
      <c r="BJ3" t="s">
        <v>324</v>
      </c>
      <c r="BK3" t="s">
        <v>330</v>
      </c>
      <c r="BL3" t="s">
        <v>339</v>
      </c>
      <c r="BM3" t="s">
        <v>342</v>
      </c>
      <c r="BN3" t="s">
        <v>351</v>
      </c>
      <c r="BO3" t="s">
        <v>352</v>
      </c>
      <c r="BP3" t="s">
        <v>357</v>
      </c>
      <c r="BR3" t="s">
        <v>309</v>
      </c>
      <c r="BS3" t="s">
        <v>320</v>
      </c>
      <c r="BT3" t="s">
        <v>324</v>
      </c>
      <c r="BU3" t="s">
        <v>330</v>
      </c>
      <c r="BV3" t="s">
        <v>339</v>
      </c>
      <c r="BW3" t="s">
        <v>342</v>
      </c>
      <c r="BX3" t="s">
        <v>351</v>
      </c>
      <c r="BY3" t="s">
        <v>352</v>
      </c>
      <c r="BZ3" t="s">
        <v>357</v>
      </c>
    </row>
    <row r="4" spans="1:78" x14ac:dyDescent="0.35">
      <c r="A4" s="101" t="s">
        <v>499</v>
      </c>
      <c r="B4">
        <f>'Total goods'!B43</f>
        <v>100578</v>
      </c>
      <c r="C4">
        <f>Durables!B43</f>
        <v>15218</v>
      </c>
      <c r="D4">
        <f>'Semi-durables'!B43</f>
        <v>14076</v>
      </c>
      <c r="E4">
        <f>'Non-durables'!B43</f>
        <v>81324</v>
      </c>
      <c r="F4">
        <f>Services!B43</f>
        <v>146925</v>
      </c>
      <c r="H4" s="34">
        <f>100*(B4/B$104)</f>
        <v>58.709394974170394</v>
      </c>
      <c r="I4" s="34">
        <f t="shared" ref="I4:L4" si="0">100*(C4/C$104)</f>
        <v>40.427171054379301</v>
      </c>
      <c r="J4" s="34">
        <f t="shared" si="0"/>
        <v>35.800396764840528</v>
      </c>
      <c r="K4" s="34">
        <f t="shared" si="0"/>
        <v>86.185737449527863</v>
      </c>
      <c r="L4" s="34">
        <f t="shared" si="0"/>
        <v>62.594258837964269</v>
      </c>
      <c r="O4">
        <f>Durables!C43</f>
        <v>6857</v>
      </c>
      <c r="P4">
        <f>Durables!H43</f>
        <v>589</v>
      </c>
      <c r="Q4">
        <f>Durables!J43</f>
        <v>10227</v>
      </c>
      <c r="R4">
        <f>Durables!O43</f>
        <v>264</v>
      </c>
      <c r="S4">
        <f>Durables!Q43</f>
        <v>411</v>
      </c>
      <c r="U4" s="34">
        <f>100*(O4/O$104)</f>
        <v>55.392196461749734</v>
      </c>
      <c r="V4" s="34">
        <f t="shared" ref="V4:Y4" si="1">100*(P4/P$104)</f>
        <v>57.407407407407405</v>
      </c>
      <c r="W4" s="34">
        <f t="shared" si="1"/>
        <v>69.33089282082571</v>
      </c>
      <c r="X4" s="34">
        <f t="shared" si="1"/>
        <v>18.00818553888131</v>
      </c>
      <c r="Y4" s="34">
        <f t="shared" si="1"/>
        <v>7.938960788101217</v>
      </c>
      <c r="AB4">
        <f>'Semi-durables'!C43</f>
        <v>7178</v>
      </c>
      <c r="AC4">
        <f>'Semi-durables'!H43</f>
        <v>2701</v>
      </c>
      <c r="AD4">
        <f>'Semi-durables'!M43</f>
        <v>1240</v>
      </c>
      <c r="AE4">
        <f>'Semi-durables'!O43</f>
        <v>3021</v>
      </c>
      <c r="AF4">
        <f>'Semi-durables'!T43</f>
        <v>170</v>
      </c>
      <c r="AH4" s="34">
        <f>100*(AB4/AB$104)</f>
        <v>34.929440389294406</v>
      </c>
      <c r="AI4" s="34">
        <f t="shared" ref="AI4:AL4" si="2">100*(AC4/AC$104)</f>
        <v>40.253353204172875</v>
      </c>
      <c r="AJ4" s="34">
        <f t="shared" si="2"/>
        <v>95.531587057010782</v>
      </c>
      <c r="AK4" s="34">
        <f t="shared" si="2"/>
        <v>32.529342091095081</v>
      </c>
      <c r="AL4" s="34">
        <f t="shared" si="2"/>
        <v>11.667810569663692</v>
      </c>
      <c r="AO4">
        <f>'Non-durables'!C43</f>
        <v>26855</v>
      </c>
      <c r="AP4">
        <f>'Non-durables'!Q43</f>
        <v>17374</v>
      </c>
      <c r="AQ4">
        <f>'Non-durables'!X43</f>
        <v>20532</v>
      </c>
      <c r="AR4">
        <f>'Non-durables'!AG43</f>
        <v>1022</v>
      </c>
      <c r="AS4">
        <f>'Non-durables'!AI43</f>
        <v>925</v>
      </c>
      <c r="AT4">
        <f>'Non-durables'!AL43</f>
        <v>9633</v>
      </c>
      <c r="AU4">
        <f>'Non-durables'!AN43</f>
        <v>7031</v>
      </c>
      <c r="AV4">
        <f>'Non-durables'!AT43</f>
        <v>2387</v>
      </c>
      <c r="AX4" s="34">
        <f>100*(AO4/AO$104)</f>
        <v>73.984792550553749</v>
      </c>
      <c r="AY4" s="34">
        <f t="shared" ref="AY4:BE4" si="3">100*(AP4/AP$104)</f>
        <v>135.70256971022417</v>
      </c>
      <c r="AZ4" s="34">
        <f t="shared" si="3"/>
        <v>122.85047567761622</v>
      </c>
      <c r="BA4" s="34">
        <f t="shared" si="3"/>
        <v>46.454545454545453</v>
      </c>
      <c r="BB4" s="34">
        <f t="shared" si="3"/>
        <v>37.02962369895917</v>
      </c>
      <c r="BC4" s="34">
        <f t="shared" si="3"/>
        <v>103.56950865498334</v>
      </c>
      <c r="BD4" s="34">
        <f t="shared" si="3"/>
        <v>88.107769423558906</v>
      </c>
      <c r="BE4" s="34">
        <f t="shared" si="3"/>
        <v>34.2713567839196</v>
      </c>
      <c r="BH4">
        <f>Services!F43</f>
        <v>61811</v>
      </c>
      <c r="BI4">
        <f>Services!Q43</f>
        <v>1588</v>
      </c>
      <c r="BJ4">
        <f>Services!U43</f>
        <v>3849</v>
      </c>
      <c r="BK4">
        <f>Services!AA43</f>
        <v>20764</v>
      </c>
      <c r="BL4">
        <f>Services!AJ43</f>
        <v>88</v>
      </c>
      <c r="BM4">
        <f>Services!AM43</f>
        <v>11489</v>
      </c>
      <c r="BN4">
        <f>Services!AV43</f>
        <v>6716</v>
      </c>
      <c r="BO4">
        <f>Services!AW43</f>
        <v>37050</v>
      </c>
      <c r="BP4">
        <f>Services!BB43</f>
        <v>24457</v>
      </c>
      <c r="BR4" s="34">
        <f>100*(BH4/BH$104)</f>
        <v>67.67652436687726</v>
      </c>
      <c r="BS4" s="34">
        <f t="shared" ref="BS4:BZ4" si="4">100*(BI4/BI$104)</f>
        <v>136.89655172413794</v>
      </c>
      <c r="BT4" s="34">
        <f t="shared" si="4"/>
        <v>83.601216333622943</v>
      </c>
      <c r="BU4" s="34">
        <f t="shared" si="4"/>
        <v>100.02890451873976</v>
      </c>
      <c r="BV4" s="34">
        <f t="shared" si="4"/>
        <v>1.5753669889008237</v>
      </c>
      <c r="BW4" s="34">
        <f t="shared" si="4"/>
        <v>68.566483647648596</v>
      </c>
      <c r="BX4" s="34">
        <f t="shared" si="4"/>
        <v>75.929903900508762</v>
      </c>
      <c r="BY4" s="34">
        <f t="shared" si="4"/>
        <v>85.924998260627561</v>
      </c>
      <c r="BZ4" s="34">
        <f t="shared" si="4"/>
        <v>57.190627630717429</v>
      </c>
    </row>
    <row r="5" spans="1:78" x14ac:dyDescent="0.35">
      <c r="A5" s="101" t="s">
        <v>500</v>
      </c>
      <c r="B5">
        <f>'Total goods'!B44</f>
        <v>101917</v>
      </c>
      <c r="C5">
        <f>Durables!B44</f>
        <v>15766</v>
      </c>
      <c r="D5">
        <f>'Semi-durables'!B44</f>
        <v>14532</v>
      </c>
      <c r="E5">
        <f>'Non-durables'!B44</f>
        <v>81018</v>
      </c>
      <c r="F5">
        <f>Services!B44</f>
        <v>149082</v>
      </c>
      <c r="H5" s="34">
        <f t="shared" ref="H5:H68" si="5">100*(B5/B$104)</f>
        <v>59.490996118261684</v>
      </c>
      <c r="I5" s="34">
        <f t="shared" ref="I5:I68" si="6">100*(C5/C$104)</f>
        <v>41.882953005870945</v>
      </c>
      <c r="J5" s="34">
        <f t="shared" ref="J5:J68" si="7">100*(D5/D$104)</f>
        <v>36.960170914085147</v>
      </c>
      <c r="K5" s="34">
        <f t="shared" ref="K5:K68" si="8">100*(E5/E$104)</f>
        <v>85.861444059390209</v>
      </c>
      <c r="L5" s="34">
        <f t="shared" ref="L5:L68" si="9">100*(F5/F$104)</f>
        <v>63.51320262774469</v>
      </c>
      <c r="O5">
        <f>Durables!C44</f>
        <v>6456</v>
      </c>
      <c r="P5">
        <f>Durables!H44</f>
        <v>580</v>
      </c>
      <c r="Q5">
        <f>Durables!J44</f>
        <v>11016</v>
      </c>
      <c r="R5">
        <f>Durables!O44</f>
        <v>392</v>
      </c>
      <c r="S5">
        <f>Durables!Q44</f>
        <v>430</v>
      </c>
      <c r="U5" s="34">
        <f t="shared" ref="U5:U68" si="10">100*(O5/O$104)</f>
        <v>52.152839486226675</v>
      </c>
      <c r="V5" s="34">
        <f t="shared" ref="V5:V68" si="11">100*(P5/P$104)</f>
        <v>56.530214424951261</v>
      </c>
      <c r="W5" s="34">
        <f t="shared" ref="W5:W68" si="12">100*(Q5/Q$104)</f>
        <v>74.679682733374008</v>
      </c>
      <c r="X5" s="34">
        <f t="shared" ref="X5:X68" si="13">100*(R5/R$104)</f>
        <v>26.739427012278309</v>
      </c>
      <c r="Y5" s="34">
        <f t="shared" ref="Y5:Y68" si="14">100*(S5/S$104)</f>
        <v>8.3059687077457998</v>
      </c>
      <c r="AB5">
        <f>'Semi-durables'!C44</f>
        <v>7430</v>
      </c>
      <c r="AC5">
        <f>'Semi-durables'!H44</f>
        <v>2672</v>
      </c>
      <c r="AD5">
        <f>'Semi-durables'!M44</f>
        <v>1462</v>
      </c>
      <c r="AE5">
        <f>'Semi-durables'!O44</f>
        <v>3060</v>
      </c>
      <c r="AF5">
        <f>'Semi-durables'!T44</f>
        <v>215</v>
      </c>
      <c r="AH5" s="34">
        <f t="shared" ref="AH5:AH68" si="15">100*(AB5/AB$104)</f>
        <v>36.155717761557177</v>
      </c>
      <c r="AI5" s="34">
        <f t="shared" ref="AI5:AI68" si="16">100*(AC5/AC$104)</f>
        <v>39.821162444113263</v>
      </c>
      <c r="AJ5" s="34">
        <f t="shared" ref="AJ5:AJ68" si="17">100*(AD5/AD$104)</f>
        <v>112.63482280431434</v>
      </c>
      <c r="AK5" s="34">
        <f t="shared" ref="AK5:AK68" si="18">100*(AE5/AE$104)</f>
        <v>32.949283945299882</v>
      </c>
      <c r="AL5" s="34">
        <f t="shared" ref="AL5:AL68" si="19">100*(AF5/AF$104)</f>
        <v>14.756348661633492</v>
      </c>
      <c r="AO5">
        <f>'Non-durables'!C44</f>
        <v>26607</v>
      </c>
      <c r="AP5">
        <f>'Non-durables'!Q44</f>
        <v>17502</v>
      </c>
      <c r="AQ5">
        <f>'Non-durables'!X44</f>
        <v>19613</v>
      </c>
      <c r="AR5">
        <f>'Non-durables'!AG44</f>
        <v>1065</v>
      </c>
      <c r="AS5">
        <f>'Non-durables'!AI44</f>
        <v>863</v>
      </c>
      <c r="AT5">
        <f>'Non-durables'!AL44</f>
        <v>10125</v>
      </c>
      <c r="AU5">
        <f>'Non-durables'!AN44</f>
        <v>6876</v>
      </c>
      <c r="AV5">
        <f>'Non-durables'!AT44</f>
        <v>2416</v>
      </c>
      <c r="AX5" s="34">
        <f t="shared" ref="AX5:AX68" si="20">100*(AO5/AO$104)</f>
        <v>73.30155931456278</v>
      </c>
      <c r="AY5" s="34">
        <f t="shared" ref="AY5:AY68" si="21">100*(AP5/AP$104)</f>
        <v>136.70233539014293</v>
      </c>
      <c r="AZ5" s="34">
        <f t="shared" ref="AZ5:AZ68" si="22">100*(AQ5/AQ$104)</f>
        <v>117.35176210135822</v>
      </c>
      <c r="BA5" s="34">
        <f t="shared" ref="BA5:BA68" si="23">100*(AR5/AR$104)</f>
        <v>48.409090909090907</v>
      </c>
      <c r="BB5" s="34">
        <f t="shared" ref="BB5:BB68" si="24">100*(AS5/AS$104)</f>
        <v>34.547638110488393</v>
      </c>
      <c r="BC5" s="34">
        <f t="shared" ref="BC5:BC68" si="25">100*(AT5/AT$104)</f>
        <v>108.85926244489841</v>
      </c>
      <c r="BD5" s="34">
        <f t="shared" ref="BD5:BD68" si="26">100*(AU5/AU$104)</f>
        <v>86.165413533834595</v>
      </c>
      <c r="BE5" s="34">
        <f t="shared" ref="BE5:BE68" si="27">100*(AV5/AV$104)</f>
        <v>34.687724335965541</v>
      </c>
      <c r="BH5">
        <f>Services!F44</f>
        <v>61867</v>
      </c>
      <c r="BI5">
        <f>Services!Q44</f>
        <v>1402</v>
      </c>
      <c r="BJ5">
        <f>Services!U44</f>
        <v>3681</v>
      </c>
      <c r="BK5">
        <f>Services!AA44</f>
        <v>20616</v>
      </c>
      <c r="BL5">
        <f>Services!AJ44</f>
        <v>94</v>
      </c>
      <c r="BM5">
        <f>Services!AM44</f>
        <v>11798</v>
      </c>
      <c r="BN5">
        <f>Services!AV44</f>
        <v>6786</v>
      </c>
      <c r="BO5">
        <f>Services!AW44</f>
        <v>39173</v>
      </c>
      <c r="BP5">
        <f>Services!BB44</f>
        <v>24485</v>
      </c>
      <c r="BR5" s="34">
        <f t="shared" ref="BR5:BR68" si="28">100*(BH5/BH$104)</f>
        <v>67.737838459264452</v>
      </c>
      <c r="BS5" s="34">
        <f t="shared" ref="BS5:BS68" si="29">100*(BI5/BI$104)</f>
        <v>120.86206896551724</v>
      </c>
      <c r="BT5" s="34">
        <f t="shared" ref="BT5:BT68" si="30">100*(BJ5/BJ$104)</f>
        <v>79.952215464813207</v>
      </c>
      <c r="BU5" s="34">
        <f t="shared" ref="BU5:BU68" si="31">100*(BK5/BK$104)</f>
        <v>99.315926389825606</v>
      </c>
      <c r="BV5" s="34">
        <f t="shared" ref="BV5:BV68" si="32">100*(BL5/BL$104)</f>
        <v>1.6827783745076978</v>
      </c>
      <c r="BW5" s="34">
        <f t="shared" ref="BW5:BW68" si="33">100*(BM5/BM$104)</f>
        <v>70.410599188350446</v>
      </c>
      <c r="BX5" s="34">
        <f t="shared" ref="BX5:BX68" si="34">100*(BN5/BN$104)</f>
        <v>76.721311475409834</v>
      </c>
      <c r="BY5" s="34">
        <f t="shared" ref="BY5:BY68" si="35">100*(BO5/BO$104)</f>
        <v>90.848581831675133</v>
      </c>
      <c r="BZ5" s="34">
        <f t="shared" ref="BZ5:BZ68" si="36">100*(BP5/BP$104)</f>
        <v>57.256103264428027</v>
      </c>
    </row>
    <row r="6" spans="1:78" x14ac:dyDescent="0.35">
      <c r="A6" s="101" t="s">
        <v>501</v>
      </c>
      <c r="B6">
        <f>'Total goods'!B45</f>
        <v>104413</v>
      </c>
      <c r="C6">
        <f>Durables!B45</f>
        <v>17586</v>
      </c>
      <c r="D6">
        <f>'Semi-durables'!B45</f>
        <v>14654</v>
      </c>
      <c r="E6">
        <f>'Non-durables'!B45</f>
        <v>80301</v>
      </c>
      <c r="F6">
        <f>Services!B45</f>
        <v>149777</v>
      </c>
      <c r="H6" s="34">
        <f t="shared" si="5"/>
        <v>60.947961357732829</v>
      </c>
      <c r="I6" s="34">
        <f t="shared" si="6"/>
        <v>46.717849268124219</v>
      </c>
      <c r="J6" s="34">
        <f t="shared" si="7"/>
        <v>37.270461366295336</v>
      </c>
      <c r="K6" s="34">
        <f t="shared" si="8"/>
        <v>85.101580135440173</v>
      </c>
      <c r="L6" s="34">
        <f t="shared" si="9"/>
        <v>63.809292536830178</v>
      </c>
      <c r="O6">
        <f>Durables!C45</f>
        <v>6296</v>
      </c>
      <c r="P6">
        <f>Durables!H45</f>
        <v>562</v>
      </c>
      <c r="Q6">
        <f>Durables!J45</f>
        <v>13761</v>
      </c>
      <c r="R6">
        <f>Durables!O45</f>
        <v>430</v>
      </c>
      <c r="S6">
        <f>Durables!Q45</f>
        <v>434</v>
      </c>
      <c r="U6" s="34">
        <f t="shared" si="10"/>
        <v>50.860327974796029</v>
      </c>
      <c r="V6" s="34">
        <f t="shared" si="11"/>
        <v>54.775828460038987</v>
      </c>
      <c r="W6" s="34">
        <f t="shared" si="12"/>
        <v>93.288590604026851</v>
      </c>
      <c r="X6" s="34">
        <f t="shared" si="13"/>
        <v>29.331514324693043</v>
      </c>
      <c r="Y6" s="34">
        <f t="shared" si="14"/>
        <v>8.3832335329341312</v>
      </c>
      <c r="AB6">
        <f>'Semi-durables'!C45</f>
        <v>7587</v>
      </c>
      <c r="AC6">
        <f>'Semi-durables'!H45</f>
        <v>2692</v>
      </c>
      <c r="AD6">
        <f>'Semi-durables'!M45</f>
        <v>1499</v>
      </c>
      <c r="AE6">
        <f>'Semi-durables'!O45</f>
        <v>2983</v>
      </c>
      <c r="AF6">
        <f>'Semi-durables'!T45</f>
        <v>226</v>
      </c>
      <c r="AH6" s="34">
        <f t="shared" si="15"/>
        <v>36.919708029197082</v>
      </c>
      <c r="AI6" s="34">
        <f t="shared" si="16"/>
        <v>40.11922503725782</v>
      </c>
      <c r="AJ6" s="34">
        <f t="shared" si="17"/>
        <v>115.4853620955316</v>
      </c>
      <c r="AK6" s="34">
        <f t="shared" si="18"/>
        <v>32.120167976741683</v>
      </c>
      <c r="AL6" s="34">
        <f t="shared" si="19"/>
        <v>15.511324639670557</v>
      </c>
      <c r="AO6">
        <f>'Non-durables'!C45</f>
        <v>26285</v>
      </c>
      <c r="AP6">
        <f>'Non-durables'!Q45</f>
        <v>17584</v>
      </c>
      <c r="AQ6">
        <f>'Non-durables'!X45</f>
        <v>20791</v>
      </c>
      <c r="AR6">
        <f>'Non-durables'!AG45</f>
        <v>1043</v>
      </c>
      <c r="AS6">
        <f>'Non-durables'!AI45</f>
        <v>820</v>
      </c>
      <c r="AT6">
        <f>'Non-durables'!AL45</f>
        <v>9370</v>
      </c>
      <c r="AU6">
        <f>'Non-durables'!AN45</f>
        <v>6606</v>
      </c>
      <c r="AV6">
        <f>'Non-durables'!AT45</f>
        <v>2457</v>
      </c>
      <c r="AX6" s="34">
        <f t="shared" si="20"/>
        <v>72.414458096864848</v>
      </c>
      <c r="AY6" s="34">
        <f t="shared" si="21"/>
        <v>137.34281027884089</v>
      </c>
      <c r="AZ6" s="34">
        <f t="shared" si="22"/>
        <v>124.40016753425478</v>
      </c>
      <c r="BA6" s="34">
        <f t="shared" si="23"/>
        <v>47.409090909090914</v>
      </c>
      <c r="BB6" s="34">
        <f t="shared" si="24"/>
        <v>32.826261008807045</v>
      </c>
      <c r="BC6" s="34">
        <f t="shared" si="25"/>
        <v>100.7418557144393</v>
      </c>
      <c r="BD6" s="34">
        <f t="shared" si="26"/>
        <v>82.781954887218049</v>
      </c>
      <c r="BE6" s="34">
        <f t="shared" si="27"/>
        <v>35.276381909547737</v>
      </c>
      <c r="BH6">
        <f>Services!F45</f>
        <v>62001</v>
      </c>
      <c r="BI6">
        <f>Services!Q45</f>
        <v>1380</v>
      </c>
      <c r="BJ6">
        <f>Services!U45</f>
        <v>3782</v>
      </c>
      <c r="BK6">
        <f>Services!AA45</f>
        <v>20812</v>
      </c>
      <c r="BL6">
        <f>Services!AJ45</f>
        <v>100</v>
      </c>
      <c r="BM6">
        <f>Services!AM45</f>
        <v>11538</v>
      </c>
      <c r="BN6">
        <f>Services!AV45</f>
        <v>6778</v>
      </c>
      <c r="BO6">
        <f>Services!AW45</f>
        <v>38231</v>
      </c>
      <c r="BP6">
        <f>Services!BB45</f>
        <v>25231</v>
      </c>
      <c r="BR6" s="34">
        <f t="shared" si="28"/>
        <v>67.884554323190955</v>
      </c>
      <c r="BS6" s="34">
        <f t="shared" si="29"/>
        <v>118.96551724137932</v>
      </c>
      <c r="BT6" s="34">
        <f t="shared" si="30"/>
        <v>82.145960034752392</v>
      </c>
      <c r="BU6" s="34">
        <f t="shared" si="31"/>
        <v>100.26014066865787</v>
      </c>
      <c r="BV6" s="34">
        <f t="shared" si="32"/>
        <v>1.790189760114572</v>
      </c>
      <c r="BW6" s="34">
        <f t="shared" si="33"/>
        <v>68.85891620911913</v>
      </c>
      <c r="BX6" s="34">
        <f t="shared" si="34"/>
        <v>76.630864895421141</v>
      </c>
      <c r="BY6" s="34">
        <f t="shared" si="35"/>
        <v>88.663930054036499</v>
      </c>
      <c r="BZ6" s="34">
        <f t="shared" si="36"/>
        <v>59.000561219717518</v>
      </c>
    </row>
    <row r="7" spans="1:78" x14ac:dyDescent="0.35">
      <c r="A7" s="101" t="s">
        <v>502</v>
      </c>
      <c r="B7">
        <f>'Total goods'!B46</f>
        <v>105009</v>
      </c>
      <c r="C7">
        <f>Durables!B46</f>
        <v>16613</v>
      </c>
      <c r="D7">
        <f>'Semi-durables'!B46</f>
        <v>15179</v>
      </c>
      <c r="E7">
        <f>'Non-durables'!B46</f>
        <v>82198</v>
      </c>
      <c r="F7">
        <f>Services!B46</f>
        <v>150986</v>
      </c>
      <c r="H7" s="34">
        <f t="shared" si="5"/>
        <v>61.295858506260394</v>
      </c>
      <c r="I7" s="34">
        <f t="shared" si="6"/>
        <v>44.133039343304198</v>
      </c>
      <c r="J7" s="34">
        <f t="shared" si="7"/>
        <v>38.605727656544076</v>
      </c>
      <c r="K7" s="34">
        <f t="shared" si="8"/>
        <v>87.111987197829563</v>
      </c>
      <c r="L7" s="34">
        <f t="shared" si="9"/>
        <v>64.32436117004508</v>
      </c>
      <c r="O7">
        <f>Durables!C46</f>
        <v>6447</v>
      </c>
      <c r="P7">
        <f>Durables!H46</f>
        <v>529</v>
      </c>
      <c r="Q7">
        <f>Durables!J46</f>
        <v>12012</v>
      </c>
      <c r="R7">
        <f>Durables!O46</f>
        <v>436</v>
      </c>
      <c r="S7">
        <f>Durables!Q46</f>
        <v>449</v>
      </c>
      <c r="U7" s="34">
        <f t="shared" si="10"/>
        <v>52.0801357137087</v>
      </c>
      <c r="V7" s="34">
        <f t="shared" si="11"/>
        <v>51.55945419103314</v>
      </c>
      <c r="W7" s="34">
        <f t="shared" si="12"/>
        <v>81.431767337807599</v>
      </c>
      <c r="X7" s="34">
        <f t="shared" si="13"/>
        <v>29.740791268758528</v>
      </c>
      <c r="Y7" s="34">
        <f t="shared" si="14"/>
        <v>8.6729766273903799</v>
      </c>
      <c r="AB7">
        <f>'Semi-durables'!C46</f>
        <v>7914</v>
      </c>
      <c r="AC7">
        <f>'Semi-durables'!H46</f>
        <v>2833</v>
      </c>
      <c r="AD7">
        <f>'Semi-durables'!M46</f>
        <v>1404</v>
      </c>
      <c r="AE7">
        <f>'Semi-durables'!O46</f>
        <v>3089</v>
      </c>
      <c r="AF7">
        <f>'Semi-durables'!T46</f>
        <v>231</v>
      </c>
      <c r="AH7" s="34">
        <f t="shared" si="15"/>
        <v>38.510948905109487</v>
      </c>
      <c r="AI7" s="34">
        <f t="shared" si="16"/>
        <v>42.22056631892697</v>
      </c>
      <c r="AJ7" s="34">
        <f t="shared" si="17"/>
        <v>108.16640986132511</v>
      </c>
      <c r="AK7" s="34">
        <f t="shared" si="18"/>
        <v>33.261548400990634</v>
      </c>
      <c r="AL7" s="34">
        <f t="shared" si="19"/>
        <v>15.854495538778313</v>
      </c>
      <c r="AO7">
        <f>'Non-durables'!C46</f>
        <v>27569</v>
      </c>
      <c r="AP7">
        <f>'Non-durables'!Q46</f>
        <v>17567</v>
      </c>
      <c r="AQ7">
        <f>'Non-durables'!X46</f>
        <v>21063</v>
      </c>
      <c r="AR7">
        <f>'Non-durables'!AG46</f>
        <v>1108</v>
      </c>
      <c r="AS7">
        <f>'Non-durables'!AI46</f>
        <v>807</v>
      </c>
      <c r="AT7">
        <f>'Non-durables'!AL46</f>
        <v>9718</v>
      </c>
      <c r="AU7">
        <f>'Non-durables'!AN46</f>
        <v>6507</v>
      </c>
      <c r="AV7">
        <f>'Non-durables'!AT46</f>
        <v>2489</v>
      </c>
      <c r="AX7" s="34">
        <f t="shared" si="20"/>
        <v>75.951843076753548</v>
      </c>
      <c r="AY7" s="34">
        <f t="shared" si="21"/>
        <v>137.2100288994767</v>
      </c>
      <c r="AZ7" s="34">
        <f t="shared" si="22"/>
        <v>126.02764315203734</v>
      </c>
      <c r="BA7" s="34">
        <f t="shared" si="23"/>
        <v>50.363636363636367</v>
      </c>
      <c r="BB7" s="34">
        <f t="shared" si="24"/>
        <v>32.305844675740595</v>
      </c>
      <c r="BC7" s="34">
        <f t="shared" si="25"/>
        <v>104.48338888291582</v>
      </c>
      <c r="BD7" s="34">
        <f t="shared" si="26"/>
        <v>81.541353383458642</v>
      </c>
      <c r="BE7" s="34">
        <f t="shared" si="27"/>
        <v>35.735821966977745</v>
      </c>
      <c r="BH7">
        <f>Services!F46</f>
        <v>62171</v>
      </c>
      <c r="BI7">
        <f>Services!Q46</f>
        <v>1426</v>
      </c>
      <c r="BJ7">
        <f>Services!U46</f>
        <v>3988</v>
      </c>
      <c r="BK7">
        <f>Services!AA46</f>
        <v>20857</v>
      </c>
      <c r="BL7">
        <f>Services!AJ46</f>
        <v>105</v>
      </c>
      <c r="BM7">
        <f>Services!AM46</f>
        <v>11677</v>
      </c>
      <c r="BN7">
        <f>Services!AV46</f>
        <v>6745</v>
      </c>
      <c r="BO7">
        <f>Services!AW46</f>
        <v>38288</v>
      </c>
      <c r="BP7">
        <f>Services!BB46</f>
        <v>25575</v>
      </c>
      <c r="BR7" s="34">
        <f t="shared" si="28"/>
        <v>68.070686389366386</v>
      </c>
      <c r="BS7" s="34">
        <f t="shared" si="29"/>
        <v>122.93103448275862</v>
      </c>
      <c r="BT7" s="34">
        <f t="shared" si="30"/>
        <v>86.620330147697658</v>
      </c>
      <c r="BU7" s="34">
        <f t="shared" si="31"/>
        <v>100.4769245592061</v>
      </c>
      <c r="BV7" s="34">
        <f t="shared" si="32"/>
        <v>1.8796992481203008</v>
      </c>
      <c r="BW7" s="34">
        <f t="shared" si="33"/>
        <v>69.688469801862013</v>
      </c>
      <c r="BX7" s="34">
        <f t="shared" si="34"/>
        <v>76.257772752967782</v>
      </c>
      <c r="BY7" s="34">
        <f t="shared" si="35"/>
        <v>88.796122359052859</v>
      </c>
      <c r="BZ7" s="34">
        <f t="shared" si="36"/>
        <v>59.804976148162005</v>
      </c>
    </row>
    <row r="8" spans="1:78" x14ac:dyDescent="0.35">
      <c r="A8" s="101" t="s">
        <v>503</v>
      </c>
      <c r="B8">
        <f>'Total goods'!B47</f>
        <v>105752</v>
      </c>
      <c r="C8">
        <f>Durables!B47</f>
        <v>16829</v>
      </c>
      <c r="D8">
        <f>'Semi-durables'!B47</f>
        <v>15444</v>
      </c>
      <c r="E8">
        <f>'Non-durables'!B47</f>
        <v>82239</v>
      </c>
      <c r="F8">
        <f>Services!B47</f>
        <v>151806</v>
      </c>
      <c r="H8" s="34">
        <f t="shared" si="5"/>
        <v>61.72956250182412</v>
      </c>
      <c r="I8" s="34">
        <f t="shared" si="6"/>
        <v>44.7068512073958</v>
      </c>
      <c r="J8" s="34">
        <f t="shared" si="7"/>
        <v>39.279719212574392</v>
      </c>
      <c r="K8" s="34">
        <f t="shared" si="8"/>
        <v>87.155438272978728</v>
      </c>
      <c r="L8" s="34">
        <f t="shared" si="9"/>
        <v>64.673704659901333</v>
      </c>
      <c r="O8">
        <f>Durables!C47</f>
        <v>6515</v>
      </c>
      <c r="P8">
        <f>Durables!H47</f>
        <v>531</v>
      </c>
      <c r="Q8">
        <f>Durables!J47</f>
        <v>11793</v>
      </c>
      <c r="R8">
        <f>Durables!O47</f>
        <v>552</v>
      </c>
      <c r="S8">
        <f>Durables!Q47</f>
        <v>484</v>
      </c>
      <c r="U8" s="34">
        <f t="shared" si="10"/>
        <v>52.629453106066727</v>
      </c>
      <c r="V8" s="34">
        <f t="shared" si="11"/>
        <v>51.754385964912288</v>
      </c>
      <c r="W8" s="34">
        <f t="shared" si="12"/>
        <v>79.947122229001423</v>
      </c>
      <c r="X8" s="34">
        <f t="shared" si="13"/>
        <v>37.653478854024556</v>
      </c>
      <c r="Y8" s="34">
        <f t="shared" si="14"/>
        <v>9.3490438477882947</v>
      </c>
      <c r="AB8">
        <f>'Semi-durables'!C47</f>
        <v>7907</v>
      </c>
      <c r="AC8">
        <f>'Semi-durables'!H47</f>
        <v>2957</v>
      </c>
      <c r="AD8">
        <f>'Semi-durables'!M47</f>
        <v>1434</v>
      </c>
      <c r="AE8">
        <f>'Semi-durables'!O47</f>
        <v>3204</v>
      </c>
      <c r="AF8">
        <f>'Semi-durables'!T47</f>
        <v>240</v>
      </c>
      <c r="AH8" s="34">
        <f t="shared" si="15"/>
        <v>38.476885644768856</v>
      </c>
      <c r="AI8" s="34">
        <f t="shared" si="16"/>
        <v>44.068554396423245</v>
      </c>
      <c r="AJ8" s="34">
        <f t="shared" si="17"/>
        <v>110.47765793528505</v>
      </c>
      <c r="AK8" s="34">
        <f t="shared" si="18"/>
        <v>34.499838483902231</v>
      </c>
      <c r="AL8" s="34">
        <f t="shared" si="19"/>
        <v>16.47220315717227</v>
      </c>
      <c r="AO8">
        <f>'Non-durables'!C47</f>
        <v>27252</v>
      </c>
      <c r="AP8">
        <f>'Non-durables'!Q47</f>
        <v>17582</v>
      </c>
      <c r="AQ8">
        <f>'Non-durables'!X47</f>
        <v>19973</v>
      </c>
      <c r="AR8">
        <f>'Non-durables'!AG47</f>
        <v>1105</v>
      </c>
      <c r="AS8">
        <f>'Non-durables'!AI47</f>
        <v>815</v>
      </c>
      <c r="AT8">
        <f>'Non-durables'!AL47</f>
        <v>10624</v>
      </c>
      <c r="AU8">
        <f>'Non-durables'!AN47</f>
        <v>6649</v>
      </c>
      <c r="AV8">
        <f>'Non-durables'!AT47</f>
        <v>2450</v>
      </c>
      <c r="AX8" s="34">
        <f t="shared" si="20"/>
        <v>75.078516722684441</v>
      </c>
      <c r="AY8" s="34">
        <f t="shared" si="21"/>
        <v>137.32718894009219</v>
      </c>
      <c r="AZ8" s="34">
        <f t="shared" si="22"/>
        <v>119.50577394842338</v>
      </c>
      <c r="BA8" s="34">
        <f t="shared" si="23"/>
        <v>50.227272727272734</v>
      </c>
      <c r="BB8" s="34">
        <f t="shared" si="24"/>
        <v>32.626100880704563</v>
      </c>
      <c r="BC8" s="34">
        <f t="shared" si="25"/>
        <v>114.22427695946674</v>
      </c>
      <c r="BD8" s="34">
        <f t="shared" si="26"/>
        <v>83.320802005012524</v>
      </c>
      <c r="BE8" s="34">
        <f t="shared" si="27"/>
        <v>35.175879396984925</v>
      </c>
      <c r="BH8">
        <f>Services!F47</f>
        <v>62358</v>
      </c>
      <c r="BI8">
        <f>Services!Q47</f>
        <v>1466</v>
      </c>
      <c r="BJ8">
        <f>Services!U47</f>
        <v>3892</v>
      </c>
      <c r="BK8">
        <f>Services!AA47</f>
        <v>21811</v>
      </c>
      <c r="BL8">
        <f>Services!AJ47</f>
        <v>110</v>
      </c>
      <c r="BM8">
        <f>Services!AM47</f>
        <v>11860</v>
      </c>
      <c r="BN8">
        <f>Services!AV47</f>
        <v>6866</v>
      </c>
      <c r="BO8">
        <f>Services!AW47</f>
        <v>38270</v>
      </c>
      <c r="BP8">
        <f>Services!BB47</f>
        <v>25278</v>
      </c>
      <c r="BR8" s="34">
        <f t="shared" si="28"/>
        <v>68.275431662159349</v>
      </c>
      <c r="BS8" s="34">
        <f t="shared" si="29"/>
        <v>126.37931034482759</v>
      </c>
      <c r="BT8" s="34">
        <f t="shared" si="30"/>
        <v>84.535186794092098</v>
      </c>
      <c r="BU8" s="34">
        <f t="shared" si="31"/>
        <v>105.07274303882841</v>
      </c>
      <c r="BV8" s="34">
        <f t="shared" si="32"/>
        <v>1.9692087361260293</v>
      </c>
      <c r="BW8" s="34">
        <f t="shared" si="33"/>
        <v>70.780615898782528</v>
      </c>
      <c r="BX8" s="34">
        <f t="shared" si="34"/>
        <v>77.625777275296784</v>
      </c>
      <c r="BY8" s="34">
        <f t="shared" si="35"/>
        <v>88.754377420626639</v>
      </c>
      <c r="BZ8" s="34">
        <f t="shared" si="36"/>
        <v>59.110466747731735</v>
      </c>
    </row>
    <row r="9" spans="1:78" x14ac:dyDescent="0.35">
      <c r="A9" s="101" t="s">
        <v>504</v>
      </c>
      <c r="B9">
        <f>'Total goods'!B48</f>
        <v>106761</v>
      </c>
      <c r="C9">
        <f>Durables!B48</f>
        <v>16945</v>
      </c>
      <c r="D9">
        <f>'Semi-durables'!B48</f>
        <v>15961</v>
      </c>
      <c r="E9">
        <f>'Non-durables'!B48</f>
        <v>82357</v>
      </c>
      <c r="F9">
        <f>Services!B48</f>
        <v>153505</v>
      </c>
      <c r="H9" s="34">
        <f t="shared" si="5"/>
        <v>62.318536030119951</v>
      </c>
      <c r="I9" s="34">
        <f t="shared" si="6"/>
        <v>45.015009430704254</v>
      </c>
      <c r="J9" s="34">
        <f t="shared" si="7"/>
        <v>40.594638587924102</v>
      </c>
      <c r="K9" s="34">
        <f t="shared" si="8"/>
        <v>87.28049258682266</v>
      </c>
      <c r="L9" s="34">
        <f t="shared" si="9"/>
        <v>65.397527329737642</v>
      </c>
      <c r="O9">
        <f>Durables!C48</f>
        <v>6790</v>
      </c>
      <c r="P9">
        <f>Durables!H48</f>
        <v>516</v>
      </c>
      <c r="Q9">
        <f>Durables!J48</f>
        <v>11154</v>
      </c>
      <c r="R9">
        <f>Durables!O48</f>
        <v>580</v>
      </c>
      <c r="S9">
        <f>Durables!Q48</f>
        <v>539</v>
      </c>
      <c r="U9" s="34">
        <f t="shared" si="10"/>
        <v>54.850957266338149</v>
      </c>
      <c r="V9" s="34">
        <f t="shared" si="11"/>
        <v>50.292397660818708</v>
      </c>
      <c r="W9" s="34">
        <f t="shared" si="12"/>
        <v>75.615212527964204</v>
      </c>
      <c r="X9" s="34">
        <f t="shared" si="13"/>
        <v>39.563437926330153</v>
      </c>
      <c r="Y9" s="34">
        <f t="shared" si="14"/>
        <v>10.411435194127874</v>
      </c>
      <c r="AB9">
        <f>'Semi-durables'!C48</f>
        <v>7999</v>
      </c>
      <c r="AC9">
        <f>'Semi-durables'!H48</f>
        <v>3098</v>
      </c>
      <c r="AD9">
        <f>'Semi-durables'!M48</f>
        <v>1696</v>
      </c>
      <c r="AE9">
        <f>'Semi-durables'!O48</f>
        <v>3318</v>
      </c>
      <c r="AF9">
        <f>'Semi-durables'!T48</f>
        <v>238</v>
      </c>
      <c r="AH9" s="34">
        <f t="shared" si="15"/>
        <v>38.924574209245741</v>
      </c>
      <c r="AI9" s="34">
        <f t="shared" si="16"/>
        <v>46.169895678092402</v>
      </c>
      <c r="AJ9" s="34">
        <f t="shared" si="17"/>
        <v>130.66255778120183</v>
      </c>
      <c r="AK9" s="34">
        <f t="shared" si="18"/>
        <v>35.727360826962425</v>
      </c>
      <c r="AL9" s="34">
        <f t="shared" si="19"/>
        <v>16.334934797529169</v>
      </c>
      <c r="AO9">
        <f>'Non-durables'!C48</f>
        <v>27628</v>
      </c>
      <c r="AP9">
        <f>'Non-durables'!Q48</f>
        <v>17697</v>
      </c>
      <c r="AQ9">
        <f>'Non-durables'!X48</f>
        <v>20666</v>
      </c>
      <c r="AR9">
        <f>'Non-durables'!AG48</f>
        <v>1105</v>
      </c>
      <c r="AS9">
        <f>'Non-durables'!AI48</f>
        <v>821</v>
      </c>
      <c r="AT9">
        <f>'Non-durables'!AL48</f>
        <v>9535</v>
      </c>
      <c r="AU9">
        <f>'Non-durables'!AN48</f>
        <v>6789</v>
      </c>
      <c r="AV9">
        <f>'Non-durables'!AT48</f>
        <v>2498</v>
      </c>
      <c r="AX9" s="34">
        <f t="shared" si="20"/>
        <v>76.114386467573965</v>
      </c>
      <c r="AY9" s="34">
        <f t="shared" si="21"/>
        <v>138.22541591814419</v>
      </c>
      <c r="AZ9" s="34">
        <f t="shared" si="22"/>
        <v>123.65224675402382</v>
      </c>
      <c r="BA9" s="34">
        <f t="shared" si="23"/>
        <v>50.227272727272734</v>
      </c>
      <c r="BB9" s="34">
        <f t="shared" si="24"/>
        <v>32.866293034427542</v>
      </c>
      <c r="BC9" s="34">
        <f t="shared" si="25"/>
        <v>102.51585850983764</v>
      </c>
      <c r="BD9" s="34">
        <f t="shared" si="26"/>
        <v>85.075187969924812</v>
      </c>
      <c r="BE9" s="34">
        <f t="shared" si="27"/>
        <v>35.865039483129934</v>
      </c>
      <c r="BH9">
        <f>Services!F48</f>
        <v>62567</v>
      </c>
      <c r="BI9">
        <f>Services!Q48</f>
        <v>1390</v>
      </c>
      <c r="BJ9">
        <f>Services!U48</f>
        <v>3862</v>
      </c>
      <c r="BK9">
        <f>Services!AA48</f>
        <v>20899</v>
      </c>
      <c r="BL9">
        <f>Services!AJ48</f>
        <v>121</v>
      </c>
      <c r="BM9">
        <f>Services!AM48</f>
        <v>11630</v>
      </c>
      <c r="BN9">
        <f>Services!AV48</f>
        <v>7007</v>
      </c>
      <c r="BO9">
        <f>Services!AW48</f>
        <v>38630</v>
      </c>
      <c r="BP9">
        <f>Services!BB48</f>
        <v>26783</v>
      </c>
      <c r="BR9" s="34">
        <f t="shared" si="28"/>
        <v>68.504264614104429</v>
      </c>
      <c r="BS9" s="34">
        <f t="shared" si="29"/>
        <v>119.82758620689656</v>
      </c>
      <c r="BT9" s="34">
        <f t="shared" si="30"/>
        <v>83.883579496090348</v>
      </c>
      <c r="BU9" s="34">
        <f t="shared" si="31"/>
        <v>100.67925619038442</v>
      </c>
      <c r="BV9" s="34">
        <f t="shared" si="32"/>
        <v>2.1661296097386322</v>
      </c>
      <c r="BW9" s="34">
        <f t="shared" si="33"/>
        <v>69.407973263308662</v>
      </c>
      <c r="BX9" s="34">
        <f t="shared" si="34"/>
        <v>79.219898247597513</v>
      </c>
      <c r="BY9" s="34">
        <f t="shared" si="35"/>
        <v>89.589276189150951</v>
      </c>
      <c r="BZ9" s="34">
        <f t="shared" si="36"/>
        <v>62.629782059676366</v>
      </c>
    </row>
    <row r="10" spans="1:78" x14ac:dyDescent="0.35">
      <c r="A10" s="101" t="s">
        <v>505</v>
      </c>
      <c r="B10">
        <f>'Total goods'!B49</f>
        <v>110142</v>
      </c>
      <c r="C10">
        <f>Durables!B49</f>
        <v>18796</v>
      </c>
      <c r="D10">
        <f>'Semi-durables'!B49</f>
        <v>16326</v>
      </c>
      <c r="E10">
        <f>'Non-durables'!B49</f>
        <v>82363</v>
      </c>
      <c r="F10">
        <f>Services!B49</f>
        <v>153987</v>
      </c>
      <c r="H10" s="34">
        <f t="shared" si="5"/>
        <v>64.292093511951663</v>
      </c>
      <c r="I10" s="34">
        <f t="shared" si="6"/>
        <v>49.932258321600301</v>
      </c>
      <c r="J10" s="34">
        <f t="shared" si="7"/>
        <v>41.522966580192275</v>
      </c>
      <c r="K10" s="34">
        <f t="shared" si="8"/>
        <v>87.28685128074693</v>
      </c>
      <c r="L10" s="34">
        <f t="shared" si="9"/>
        <v>65.602873137189746</v>
      </c>
      <c r="O10">
        <f>Durables!C49</f>
        <v>6980</v>
      </c>
      <c r="P10">
        <f>Durables!H49</f>
        <v>516</v>
      </c>
      <c r="Q10">
        <f>Durables!J49</f>
        <v>13276</v>
      </c>
      <c r="R10">
        <f>Durables!O49</f>
        <v>616</v>
      </c>
      <c r="S10">
        <f>Durables!Q49</f>
        <v>586</v>
      </c>
      <c r="U10" s="34">
        <f t="shared" si="10"/>
        <v>56.38581468616205</v>
      </c>
      <c r="V10" s="34">
        <f t="shared" si="11"/>
        <v>50.292397660818708</v>
      </c>
      <c r="W10" s="34">
        <f t="shared" si="12"/>
        <v>90.000677920141001</v>
      </c>
      <c r="X10" s="34">
        <f t="shared" si="13"/>
        <v>42.019099590723059</v>
      </c>
      <c r="Y10" s="34">
        <f t="shared" si="14"/>
        <v>11.319296890090786</v>
      </c>
      <c r="AB10">
        <f>'Semi-durables'!C49</f>
        <v>8116</v>
      </c>
      <c r="AC10">
        <f>'Semi-durables'!H49</f>
        <v>3178</v>
      </c>
      <c r="AD10">
        <f>'Semi-durables'!M49</f>
        <v>1715</v>
      </c>
      <c r="AE10">
        <f>'Semi-durables'!O49</f>
        <v>3462</v>
      </c>
      <c r="AF10">
        <f>'Semi-durables'!T49</f>
        <v>237</v>
      </c>
      <c r="AH10" s="34">
        <f t="shared" si="15"/>
        <v>39.493917274939172</v>
      </c>
      <c r="AI10" s="34">
        <f t="shared" si="16"/>
        <v>47.362146050670638</v>
      </c>
      <c r="AJ10" s="34">
        <f t="shared" si="17"/>
        <v>132.12634822804316</v>
      </c>
      <c r="AK10" s="34">
        <f t="shared" si="18"/>
        <v>37.277915365564766</v>
      </c>
      <c r="AL10" s="34">
        <f t="shared" si="19"/>
        <v>16.266300617707618</v>
      </c>
      <c r="AO10">
        <f>'Non-durables'!C49</f>
        <v>27797</v>
      </c>
      <c r="AP10">
        <f>'Non-durables'!Q49</f>
        <v>17351</v>
      </c>
      <c r="AQ10">
        <f>'Non-durables'!X49</f>
        <v>20907</v>
      </c>
      <c r="AR10">
        <f>'Non-durables'!AG49</f>
        <v>1102</v>
      </c>
      <c r="AS10">
        <f>'Non-durables'!AI49</f>
        <v>853</v>
      </c>
      <c r="AT10">
        <f>'Non-durables'!AL49</f>
        <v>9660</v>
      </c>
      <c r="AU10">
        <f>'Non-durables'!AN49</f>
        <v>6601</v>
      </c>
      <c r="AV10">
        <f>'Non-durables'!AT49</f>
        <v>2538</v>
      </c>
      <c r="AX10" s="34">
        <f t="shared" si="20"/>
        <v>76.579976858229102</v>
      </c>
      <c r="AY10" s="34">
        <f t="shared" si="21"/>
        <v>135.52292431461376</v>
      </c>
      <c r="AZ10" s="34">
        <f t="shared" si="22"/>
        <v>125.0942380183091</v>
      </c>
      <c r="BA10" s="34">
        <f t="shared" si="23"/>
        <v>50.090909090909086</v>
      </c>
      <c r="BB10" s="34">
        <f t="shared" si="24"/>
        <v>34.147317854283429</v>
      </c>
      <c r="BC10" s="34">
        <f t="shared" si="25"/>
        <v>103.85980002150306</v>
      </c>
      <c r="BD10" s="34">
        <f t="shared" si="26"/>
        <v>82.719298245614041</v>
      </c>
      <c r="BE10" s="34">
        <f t="shared" si="27"/>
        <v>36.439339554917446</v>
      </c>
      <c r="BH10">
        <f>Services!F49</f>
        <v>62699</v>
      </c>
      <c r="BI10">
        <f>Services!Q49</f>
        <v>1410</v>
      </c>
      <c r="BJ10">
        <f>Services!U49</f>
        <v>3669</v>
      </c>
      <c r="BK10">
        <f>Services!AA49</f>
        <v>20886</v>
      </c>
      <c r="BL10">
        <f>Services!AJ49</f>
        <v>128</v>
      </c>
      <c r="BM10">
        <f>Services!AM49</f>
        <v>11550</v>
      </c>
      <c r="BN10">
        <f>Services!AV49</f>
        <v>7021</v>
      </c>
      <c r="BO10">
        <f>Services!AW49</f>
        <v>38641</v>
      </c>
      <c r="BP10">
        <f>Services!BB49</f>
        <v>26928</v>
      </c>
      <c r="BR10" s="34">
        <f t="shared" si="28"/>
        <v>68.648790689017119</v>
      </c>
      <c r="BS10" s="34">
        <f t="shared" si="29"/>
        <v>121.55172413793103</v>
      </c>
      <c r="BT10" s="34">
        <f t="shared" si="30"/>
        <v>79.691572545612516</v>
      </c>
      <c r="BU10" s="34">
        <f t="shared" si="31"/>
        <v>100.61662973311493</v>
      </c>
      <c r="BV10" s="34">
        <f t="shared" si="32"/>
        <v>2.2914428929466526</v>
      </c>
      <c r="BW10" s="34">
        <f t="shared" si="33"/>
        <v>68.930532346622115</v>
      </c>
      <c r="BX10" s="34">
        <f t="shared" si="34"/>
        <v>79.37817976257773</v>
      </c>
      <c r="BY10" s="34">
        <f t="shared" si="35"/>
        <v>89.614786984855868</v>
      </c>
      <c r="BZ10" s="34">
        <f t="shared" si="36"/>
        <v>62.968852305677672</v>
      </c>
    </row>
    <row r="11" spans="1:78" x14ac:dyDescent="0.35">
      <c r="A11" s="101" t="s">
        <v>506</v>
      </c>
      <c r="B11">
        <f>'Total goods'!B50</f>
        <v>109217</v>
      </c>
      <c r="C11">
        <f>Durables!B50</f>
        <v>18599</v>
      </c>
      <c r="D11">
        <f>'Semi-durables'!B50</f>
        <v>16123</v>
      </c>
      <c r="E11">
        <f>'Non-durables'!B50</f>
        <v>81910</v>
      </c>
      <c r="F11">
        <f>Services!B50</f>
        <v>154860</v>
      </c>
      <c r="H11" s="34">
        <f t="shared" si="5"/>
        <v>63.752152467676503</v>
      </c>
      <c r="I11" s="34">
        <f t="shared" si="6"/>
        <v>49.408920649257496</v>
      </c>
      <c r="J11" s="34">
        <f t="shared" si="7"/>
        <v>41.006663614629431</v>
      </c>
      <c r="K11" s="34">
        <f t="shared" si="8"/>
        <v>86.806769889464704</v>
      </c>
      <c r="L11" s="34">
        <f t="shared" si="9"/>
        <v>65.974796145292814</v>
      </c>
      <c r="O11">
        <f>Durables!C50</f>
        <v>6932</v>
      </c>
      <c r="P11">
        <f>Durables!H50</f>
        <v>534</v>
      </c>
      <c r="Q11">
        <f>Durables!J50</f>
        <v>12393</v>
      </c>
      <c r="R11">
        <f>Durables!O50</f>
        <v>667</v>
      </c>
      <c r="S11">
        <f>Durables!Q50</f>
        <v>645</v>
      </c>
      <c r="U11" s="34">
        <f t="shared" si="10"/>
        <v>55.998061232732852</v>
      </c>
      <c r="V11" s="34">
        <f t="shared" si="11"/>
        <v>52.046783625730995</v>
      </c>
      <c r="W11" s="34">
        <f t="shared" si="12"/>
        <v>84.014643075045754</v>
      </c>
      <c r="X11" s="34">
        <f t="shared" si="13"/>
        <v>45.497953615279677</v>
      </c>
      <c r="Y11" s="34">
        <f t="shared" si="14"/>
        <v>12.458953061618699</v>
      </c>
      <c r="AB11">
        <f>'Semi-durables'!C50</f>
        <v>7909</v>
      </c>
      <c r="AC11">
        <f>'Semi-durables'!H50</f>
        <v>3128</v>
      </c>
      <c r="AD11">
        <f>'Semi-durables'!M50</f>
        <v>1613</v>
      </c>
      <c r="AE11">
        <f>'Semi-durables'!O50</f>
        <v>3567</v>
      </c>
      <c r="AF11">
        <f>'Semi-durables'!T50</f>
        <v>234</v>
      </c>
      <c r="AH11" s="34">
        <f t="shared" si="15"/>
        <v>38.48661800486618</v>
      </c>
      <c r="AI11" s="34">
        <f t="shared" si="16"/>
        <v>46.616989567809242</v>
      </c>
      <c r="AJ11" s="34">
        <f t="shared" si="17"/>
        <v>124.26810477657935</v>
      </c>
      <c r="AK11" s="34">
        <f t="shared" si="18"/>
        <v>38.408528049962314</v>
      </c>
      <c r="AL11" s="34">
        <f t="shared" si="19"/>
        <v>16.060398078242965</v>
      </c>
      <c r="AO11">
        <f>'Non-durables'!C50</f>
        <v>27614</v>
      </c>
      <c r="AP11">
        <f>'Non-durables'!Q50</f>
        <v>17075</v>
      </c>
      <c r="AQ11">
        <f>'Non-durables'!X50</f>
        <v>20192</v>
      </c>
      <c r="AR11">
        <f>'Non-durables'!AG50</f>
        <v>1121</v>
      </c>
      <c r="AS11">
        <f>'Non-durables'!AI50</f>
        <v>833</v>
      </c>
      <c r="AT11">
        <f>'Non-durables'!AL50</f>
        <v>9657</v>
      </c>
      <c r="AU11">
        <f>'Non-durables'!AN50</f>
        <v>6894</v>
      </c>
      <c r="AV11">
        <f>'Non-durables'!AT50</f>
        <v>2581</v>
      </c>
      <c r="AX11" s="34">
        <f t="shared" si="20"/>
        <v>76.075816849413187</v>
      </c>
      <c r="AY11" s="34">
        <f t="shared" si="21"/>
        <v>133.36717956728893</v>
      </c>
      <c r="AZ11" s="34">
        <f t="shared" si="22"/>
        <v>120.81613115538804</v>
      </c>
      <c r="BA11" s="34">
        <f t="shared" si="23"/>
        <v>50.954545454545453</v>
      </c>
      <c r="BB11" s="34">
        <f t="shared" si="24"/>
        <v>33.346677341873502</v>
      </c>
      <c r="BC11" s="34">
        <f t="shared" si="25"/>
        <v>103.82754542522309</v>
      </c>
      <c r="BD11" s="34">
        <f t="shared" si="26"/>
        <v>86.390977443609017</v>
      </c>
      <c r="BE11" s="34">
        <f t="shared" si="27"/>
        <v>37.056712132089018</v>
      </c>
      <c r="BH11">
        <f>Services!F50</f>
        <v>62512</v>
      </c>
      <c r="BI11">
        <f>Services!Q50</f>
        <v>1457</v>
      </c>
      <c r="BJ11">
        <f>Services!U50</f>
        <v>3520</v>
      </c>
      <c r="BK11">
        <f>Services!AA50</f>
        <v>21871</v>
      </c>
      <c r="BL11">
        <f>Services!AJ50</f>
        <v>136</v>
      </c>
      <c r="BM11">
        <f>Services!AM50</f>
        <v>11828</v>
      </c>
      <c r="BN11">
        <f>Services!AV50</f>
        <v>6875</v>
      </c>
      <c r="BO11">
        <f>Services!AW50</f>
        <v>38522</v>
      </c>
      <c r="BP11">
        <f>Services!BB50</f>
        <v>26804</v>
      </c>
      <c r="BR11" s="34">
        <f t="shared" si="28"/>
        <v>68.444045416224142</v>
      </c>
      <c r="BS11" s="34">
        <f t="shared" si="29"/>
        <v>125.60344827586208</v>
      </c>
      <c r="BT11" s="34">
        <f t="shared" si="30"/>
        <v>76.455256298870538</v>
      </c>
      <c r="BU11" s="34">
        <f t="shared" si="31"/>
        <v>105.36178822622604</v>
      </c>
      <c r="BV11" s="34">
        <f t="shared" si="32"/>
        <v>2.4346580737558181</v>
      </c>
      <c r="BW11" s="34">
        <f t="shared" si="33"/>
        <v>70.58963953210791</v>
      </c>
      <c r="BX11" s="34">
        <f t="shared" si="34"/>
        <v>77.727529677784062</v>
      </c>
      <c r="BY11" s="34">
        <f t="shared" si="35"/>
        <v>89.33880655859366</v>
      </c>
      <c r="BZ11" s="34">
        <f t="shared" si="36"/>
        <v>62.678888784959305</v>
      </c>
    </row>
    <row r="12" spans="1:78" x14ac:dyDescent="0.35">
      <c r="A12" s="101" t="s">
        <v>507</v>
      </c>
      <c r="B12">
        <f>'Total goods'!B51</f>
        <v>110692</v>
      </c>
      <c r="C12">
        <f>Durables!B51</f>
        <v>18981</v>
      </c>
      <c r="D12">
        <f>'Semi-durables'!B51</f>
        <v>16661</v>
      </c>
      <c r="E12">
        <f>'Non-durables'!B51</f>
        <v>82088</v>
      </c>
      <c r="F12">
        <f>Services!B51</f>
        <v>155748</v>
      </c>
      <c r="H12" s="34">
        <f t="shared" si="5"/>
        <v>64.613139538277437</v>
      </c>
      <c r="I12" s="34">
        <f t="shared" si="6"/>
        <v>50.423717557049116</v>
      </c>
      <c r="J12" s="34">
        <f t="shared" si="7"/>
        <v>42.374993641589093</v>
      </c>
      <c r="K12" s="34">
        <f t="shared" si="8"/>
        <v>86.995411142551319</v>
      </c>
      <c r="L12" s="34">
        <f t="shared" si="9"/>
        <v>66.353109583088369</v>
      </c>
      <c r="O12">
        <f>Durables!C51</f>
        <v>6939</v>
      </c>
      <c r="P12">
        <f>Durables!H51</f>
        <v>546</v>
      </c>
      <c r="Q12">
        <f>Durables!J51</f>
        <v>12568</v>
      </c>
      <c r="R12">
        <f>Durables!O51</f>
        <v>632</v>
      </c>
      <c r="S12">
        <f>Durables!Q51</f>
        <v>690</v>
      </c>
      <c r="U12" s="34">
        <f t="shared" si="10"/>
        <v>56.054608611357949</v>
      </c>
      <c r="V12" s="34">
        <f t="shared" si="11"/>
        <v>53.216374269005854</v>
      </c>
      <c r="W12" s="34">
        <f t="shared" si="12"/>
        <v>85.201003321808685</v>
      </c>
      <c r="X12" s="34">
        <f t="shared" si="13"/>
        <v>43.110504774897677</v>
      </c>
      <c r="Y12" s="34">
        <f t="shared" si="14"/>
        <v>13.328182344987443</v>
      </c>
      <c r="AB12">
        <f>'Semi-durables'!C51</f>
        <v>8235</v>
      </c>
      <c r="AC12">
        <f>'Semi-durables'!H51</f>
        <v>3173</v>
      </c>
      <c r="AD12">
        <f>'Semi-durables'!M51</f>
        <v>1611</v>
      </c>
      <c r="AE12">
        <f>'Semi-durables'!O51</f>
        <v>3724</v>
      </c>
      <c r="AF12">
        <f>'Semi-durables'!T51</f>
        <v>230</v>
      </c>
      <c r="AH12" s="34">
        <f t="shared" si="15"/>
        <v>40.072992700729927</v>
      </c>
      <c r="AI12" s="34">
        <f t="shared" si="16"/>
        <v>47.287630402384501</v>
      </c>
      <c r="AJ12" s="34">
        <f t="shared" si="17"/>
        <v>124.11402157164868</v>
      </c>
      <c r="AK12" s="34">
        <f t="shared" si="18"/>
        <v>40.099063206632927</v>
      </c>
      <c r="AL12" s="34">
        <f t="shared" si="19"/>
        <v>15.78586135895676</v>
      </c>
      <c r="AO12">
        <f>'Non-durables'!C51</f>
        <v>27589</v>
      </c>
      <c r="AP12">
        <f>'Non-durables'!Q51</f>
        <v>17286</v>
      </c>
      <c r="AQ12">
        <f>'Non-durables'!X51</f>
        <v>20032</v>
      </c>
      <c r="AR12">
        <f>'Non-durables'!AG51</f>
        <v>1159</v>
      </c>
      <c r="AS12">
        <f>'Non-durables'!AI51</f>
        <v>848</v>
      </c>
      <c r="AT12">
        <f>'Non-durables'!AL51</f>
        <v>9528</v>
      </c>
      <c r="AU12">
        <f>'Non-durables'!AN51</f>
        <v>6923</v>
      </c>
      <c r="AV12">
        <f>'Non-durables'!AT51</f>
        <v>2623</v>
      </c>
      <c r="AX12" s="34">
        <f t="shared" si="20"/>
        <v>76.006942531268933</v>
      </c>
      <c r="AY12" s="34">
        <f t="shared" si="21"/>
        <v>135.01523080528003</v>
      </c>
      <c r="AZ12" s="34">
        <f t="shared" si="22"/>
        <v>119.85879255669241</v>
      </c>
      <c r="BA12" s="34">
        <f t="shared" si="23"/>
        <v>52.681818181818187</v>
      </c>
      <c r="BB12" s="34">
        <f t="shared" si="24"/>
        <v>33.94715772618094</v>
      </c>
      <c r="BC12" s="34">
        <f t="shared" si="25"/>
        <v>102.44059778518439</v>
      </c>
      <c r="BD12" s="34">
        <f t="shared" si="26"/>
        <v>86.754385964912288</v>
      </c>
      <c r="BE12" s="34">
        <f t="shared" si="27"/>
        <v>37.659727207465899</v>
      </c>
      <c r="BH12">
        <f>Services!F51</f>
        <v>63113</v>
      </c>
      <c r="BI12">
        <f>Services!Q51</f>
        <v>1368</v>
      </c>
      <c r="BJ12">
        <f>Services!U51</f>
        <v>3391</v>
      </c>
      <c r="BK12">
        <f>Services!AA51</f>
        <v>21264</v>
      </c>
      <c r="BL12">
        <f>Services!AJ51</f>
        <v>138</v>
      </c>
      <c r="BM12">
        <f>Services!AM51</f>
        <v>11767</v>
      </c>
      <c r="BN12">
        <f>Services!AV51</f>
        <v>7198</v>
      </c>
      <c r="BO12">
        <f>Services!AW51</f>
        <v>38402</v>
      </c>
      <c r="BP12">
        <f>Services!BB51</f>
        <v>27662</v>
      </c>
      <c r="BR12" s="34">
        <f t="shared" si="28"/>
        <v>69.102077014879612</v>
      </c>
      <c r="BS12" s="34">
        <f t="shared" si="29"/>
        <v>117.93103448275861</v>
      </c>
      <c r="BT12" s="34">
        <f t="shared" si="30"/>
        <v>73.653344917463073</v>
      </c>
      <c r="BU12" s="34">
        <f t="shared" si="31"/>
        <v>102.43761441372001</v>
      </c>
      <c r="BV12" s="34">
        <f t="shared" si="32"/>
        <v>2.4704618689581093</v>
      </c>
      <c r="BW12" s="34">
        <f t="shared" si="33"/>
        <v>70.225590833134405</v>
      </c>
      <c r="BX12" s="34">
        <f t="shared" si="34"/>
        <v>81.379310344827587</v>
      </c>
      <c r="BY12" s="34">
        <f t="shared" si="35"/>
        <v>89.060506969085552</v>
      </c>
      <c r="BZ12" s="34">
        <f t="shared" si="36"/>
        <v>64.685249275091195</v>
      </c>
    </row>
    <row r="13" spans="1:78" x14ac:dyDescent="0.35">
      <c r="A13" s="101" t="s">
        <v>508</v>
      </c>
      <c r="B13">
        <f>'Total goods'!B52</f>
        <v>112991</v>
      </c>
      <c r="C13">
        <f>Durables!B52</f>
        <v>19594</v>
      </c>
      <c r="D13">
        <f>'Semi-durables'!B52</f>
        <v>17107</v>
      </c>
      <c r="E13">
        <f>'Non-durables'!B52</f>
        <v>83131</v>
      </c>
      <c r="F13">
        <f>Services!B52</f>
        <v>157914</v>
      </c>
      <c r="H13" s="34">
        <f t="shared" si="5"/>
        <v>65.955111928319184</v>
      </c>
      <c r="I13" s="34">
        <f t="shared" si="6"/>
        <v>52.052174375049809</v>
      </c>
      <c r="J13" s="34">
        <f t="shared" si="7"/>
        <v>43.509334147209927</v>
      </c>
      <c r="K13" s="34">
        <f t="shared" si="8"/>
        <v>88.100764103053237</v>
      </c>
      <c r="L13" s="34">
        <f t="shared" si="9"/>
        <v>67.275887630684281</v>
      </c>
      <c r="O13">
        <f>Durables!C52</f>
        <v>6982</v>
      </c>
      <c r="P13">
        <f>Durables!H52</f>
        <v>607</v>
      </c>
      <c r="Q13">
        <f>Durables!J52</f>
        <v>12868</v>
      </c>
      <c r="R13">
        <f>Durables!O52</f>
        <v>716</v>
      </c>
      <c r="S13">
        <f>Durables!Q52</f>
        <v>734</v>
      </c>
      <c r="U13" s="34">
        <f t="shared" si="10"/>
        <v>56.401971080054935</v>
      </c>
      <c r="V13" s="34">
        <f t="shared" si="11"/>
        <v>59.161793372319693</v>
      </c>
      <c r="W13" s="34">
        <f t="shared" si="12"/>
        <v>87.234763744830857</v>
      </c>
      <c r="X13" s="34">
        <f t="shared" si="13"/>
        <v>48.840381991814461</v>
      </c>
      <c r="Y13" s="34">
        <f t="shared" si="14"/>
        <v>14.178095422059108</v>
      </c>
      <c r="AB13">
        <f>'Semi-durables'!C52</f>
        <v>8329</v>
      </c>
      <c r="AC13">
        <f>'Semi-durables'!H52</f>
        <v>3190</v>
      </c>
      <c r="AD13">
        <f>'Semi-durables'!M52</f>
        <v>1892</v>
      </c>
      <c r="AE13">
        <f>'Semi-durables'!O52</f>
        <v>3852</v>
      </c>
      <c r="AF13">
        <f>'Semi-durables'!T52</f>
        <v>240</v>
      </c>
      <c r="AH13" s="34">
        <f t="shared" si="15"/>
        <v>40.530413625304135</v>
      </c>
      <c r="AI13" s="34">
        <f t="shared" si="16"/>
        <v>47.540983606557376</v>
      </c>
      <c r="AJ13" s="34">
        <f t="shared" si="17"/>
        <v>145.76271186440678</v>
      </c>
      <c r="AK13" s="34">
        <f t="shared" si="18"/>
        <v>41.477333907612788</v>
      </c>
      <c r="AL13" s="34">
        <f t="shared" si="19"/>
        <v>16.47220315717227</v>
      </c>
      <c r="AO13">
        <f>'Non-durables'!C52</f>
        <v>29025</v>
      </c>
      <c r="AP13">
        <f>'Non-durables'!Q52</f>
        <v>17088</v>
      </c>
      <c r="AQ13">
        <f>'Non-durables'!X52</f>
        <v>19845</v>
      </c>
      <c r="AR13">
        <f>'Non-durables'!AG52</f>
        <v>1140</v>
      </c>
      <c r="AS13">
        <f>'Non-durables'!AI52</f>
        <v>861</v>
      </c>
      <c r="AT13">
        <f>'Non-durables'!AL52</f>
        <v>9245</v>
      </c>
      <c r="AU13">
        <f>'Non-durables'!AN52</f>
        <v>6912</v>
      </c>
      <c r="AV13">
        <f>'Non-durables'!AT52</f>
        <v>2630</v>
      </c>
      <c r="AX13" s="34">
        <f t="shared" si="20"/>
        <v>79.963083365474688</v>
      </c>
      <c r="AY13" s="34">
        <f t="shared" si="21"/>
        <v>133.46871826915566</v>
      </c>
      <c r="AZ13" s="34">
        <f t="shared" si="22"/>
        <v>118.73990306946689</v>
      </c>
      <c r="BA13" s="34">
        <f t="shared" si="23"/>
        <v>51.81818181818182</v>
      </c>
      <c r="BB13" s="34">
        <f t="shared" si="24"/>
        <v>34.467574059247397</v>
      </c>
      <c r="BC13" s="34">
        <f t="shared" si="25"/>
        <v>99.39791420277389</v>
      </c>
      <c r="BD13" s="34">
        <f t="shared" si="26"/>
        <v>86.616541353383454</v>
      </c>
      <c r="BE13" s="34">
        <f t="shared" si="27"/>
        <v>37.760229720028718</v>
      </c>
      <c r="BH13">
        <f>Services!F52</f>
        <v>63893</v>
      </c>
      <c r="BI13">
        <f>Services!Q52</f>
        <v>1448</v>
      </c>
      <c r="BJ13">
        <f>Services!U52</f>
        <v>3535</v>
      </c>
      <c r="BK13">
        <f>Services!AA52</f>
        <v>22914</v>
      </c>
      <c r="BL13">
        <f>Services!AJ52</f>
        <v>145</v>
      </c>
      <c r="BM13">
        <f>Services!AM52</f>
        <v>11586</v>
      </c>
      <c r="BN13">
        <f>Services!AV52</f>
        <v>6987</v>
      </c>
      <c r="BO13">
        <f>Services!AW52</f>
        <v>38284</v>
      </c>
      <c r="BP13">
        <f>Services!BB52</f>
        <v>27692</v>
      </c>
      <c r="BR13" s="34">
        <f t="shared" si="28"/>
        <v>69.956094730272739</v>
      </c>
      <c r="BS13" s="34">
        <f t="shared" si="29"/>
        <v>124.82758620689656</v>
      </c>
      <c r="BT13" s="34">
        <f t="shared" si="30"/>
        <v>76.781059947871412</v>
      </c>
      <c r="BU13" s="34">
        <f t="shared" si="31"/>
        <v>110.38635706715483</v>
      </c>
      <c r="BV13" s="34">
        <f t="shared" si="32"/>
        <v>2.5957751521661296</v>
      </c>
      <c r="BW13" s="34">
        <f t="shared" si="33"/>
        <v>69.145380759131058</v>
      </c>
      <c r="BX13" s="34">
        <f t="shared" si="34"/>
        <v>78.993781797625772</v>
      </c>
      <c r="BY13" s="34">
        <f t="shared" si="35"/>
        <v>88.786845706069244</v>
      </c>
      <c r="BZ13" s="34">
        <f t="shared" si="36"/>
        <v>64.755401739781121</v>
      </c>
    </row>
    <row r="14" spans="1:78" x14ac:dyDescent="0.35">
      <c r="A14" s="101" t="s">
        <v>509</v>
      </c>
      <c r="B14">
        <f>'Total goods'!B53</f>
        <v>114871</v>
      </c>
      <c r="C14">
        <f>Durables!B53</f>
        <v>20225</v>
      </c>
      <c r="D14">
        <f>'Semi-durables'!B53</f>
        <v>17443</v>
      </c>
      <c r="E14">
        <f>'Non-durables'!B53</f>
        <v>83774</v>
      </c>
      <c r="F14">
        <f>Services!B53</f>
        <v>158857</v>
      </c>
      <c r="H14" s="34">
        <f t="shared" si="5"/>
        <v>67.05250561830546</v>
      </c>
      <c r="I14" s="34">
        <f t="shared" si="6"/>
        <v>53.728448848391466</v>
      </c>
      <c r="J14" s="34">
        <f t="shared" si="7"/>
        <v>44.363904572969126</v>
      </c>
      <c r="K14" s="34">
        <f t="shared" si="8"/>
        <v>88.782204135270618</v>
      </c>
      <c r="L14" s="34">
        <f t="shared" si="9"/>
        <v>67.677632644018985</v>
      </c>
      <c r="O14">
        <f>Durables!C53</f>
        <v>7178</v>
      </c>
      <c r="P14">
        <f>Durables!H53</f>
        <v>625</v>
      </c>
      <c r="Q14">
        <f>Durables!J53</f>
        <v>13030</v>
      </c>
      <c r="R14">
        <f>Durables!O53</f>
        <v>770</v>
      </c>
      <c r="S14">
        <f>Durables!Q53</f>
        <v>793</v>
      </c>
      <c r="U14" s="34">
        <f t="shared" si="10"/>
        <v>57.985297681557476</v>
      </c>
      <c r="V14" s="34">
        <f t="shared" si="11"/>
        <v>60.916179337231966</v>
      </c>
      <c r="W14" s="34">
        <f t="shared" si="12"/>
        <v>88.332994373262835</v>
      </c>
      <c r="X14" s="34">
        <f t="shared" si="13"/>
        <v>52.52387448840382</v>
      </c>
      <c r="Y14" s="34">
        <f t="shared" si="14"/>
        <v>15.317751593587021</v>
      </c>
      <c r="AB14">
        <f>'Semi-durables'!C53</f>
        <v>8529</v>
      </c>
      <c r="AC14">
        <f>'Semi-durables'!H53</f>
        <v>3270</v>
      </c>
      <c r="AD14">
        <f>'Semi-durables'!M53</f>
        <v>1477</v>
      </c>
      <c r="AE14">
        <f>'Semi-durables'!O53</f>
        <v>4140</v>
      </c>
      <c r="AF14">
        <f>'Semi-durables'!T53</f>
        <v>249</v>
      </c>
      <c r="AH14" s="34">
        <f t="shared" si="15"/>
        <v>41.503649635036496</v>
      </c>
      <c r="AI14" s="34">
        <f t="shared" si="16"/>
        <v>48.733233979135619</v>
      </c>
      <c r="AJ14" s="34">
        <f t="shared" si="17"/>
        <v>113.79044684129428</v>
      </c>
      <c r="AK14" s="34">
        <f t="shared" si="18"/>
        <v>44.578442984817485</v>
      </c>
      <c r="AL14" s="34">
        <f t="shared" si="19"/>
        <v>17.089910775566235</v>
      </c>
      <c r="AO14">
        <f>'Non-durables'!C53</f>
        <v>28860</v>
      </c>
      <c r="AP14">
        <f>'Non-durables'!Q53</f>
        <v>17121</v>
      </c>
      <c r="AQ14">
        <f>'Non-durables'!X53</f>
        <v>19744</v>
      </c>
      <c r="AR14">
        <f>'Non-durables'!AG53</f>
        <v>1178</v>
      </c>
      <c r="AS14">
        <f>'Non-durables'!AI53</f>
        <v>866</v>
      </c>
      <c r="AT14">
        <f>'Non-durables'!AL53</f>
        <v>9758</v>
      </c>
      <c r="AU14">
        <f>'Non-durables'!AN53</f>
        <v>7028</v>
      </c>
      <c r="AV14">
        <f>'Non-durables'!AT53</f>
        <v>2719</v>
      </c>
      <c r="AX14" s="34">
        <f t="shared" si="20"/>
        <v>79.508512865722622</v>
      </c>
      <c r="AY14" s="34">
        <f t="shared" si="21"/>
        <v>133.72647035850974</v>
      </c>
      <c r="AZ14" s="34">
        <f t="shared" si="22"/>
        <v>118.13558307904026</v>
      </c>
      <c r="BA14" s="34">
        <f t="shared" si="23"/>
        <v>53.54545454545454</v>
      </c>
      <c r="BB14" s="34">
        <f t="shared" si="24"/>
        <v>34.667734187349879</v>
      </c>
      <c r="BC14" s="34">
        <f t="shared" si="25"/>
        <v>104.91345016664874</v>
      </c>
      <c r="BD14" s="34">
        <f t="shared" si="26"/>
        <v>88.070175438596493</v>
      </c>
      <c r="BE14" s="34">
        <f t="shared" si="27"/>
        <v>39.038047379755923</v>
      </c>
      <c r="BH14">
        <f>Services!F53</f>
        <v>64421</v>
      </c>
      <c r="BI14">
        <f>Services!Q53</f>
        <v>1500</v>
      </c>
      <c r="BJ14">
        <f>Services!U53</f>
        <v>3333</v>
      </c>
      <c r="BK14">
        <f>Services!AA53</f>
        <v>23096</v>
      </c>
      <c r="BL14">
        <f>Services!AJ53</f>
        <v>158</v>
      </c>
      <c r="BM14">
        <f>Services!AM53</f>
        <v>12182</v>
      </c>
      <c r="BN14">
        <f>Services!AV53</f>
        <v>6803</v>
      </c>
      <c r="BO14">
        <f>Services!AW53</f>
        <v>38772</v>
      </c>
      <c r="BP14">
        <f>Services!BB53</f>
        <v>26760</v>
      </c>
      <c r="BR14" s="34">
        <f t="shared" si="28"/>
        <v>70.534199029923471</v>
      </c>
      <c r="BS14" s="34">
        <f t="shared" si="29"/>
        <v>129.31034482758622</v>
      </c>
      <c r="BT14" s="34">
        <f t="shared" si="30"/>
        <v>72.393570807993044</v>
      </c>
      <c r="BU14" s="34">
        <f t="shared" si="31"/>
        <v>111.26312746892764</v>
      </c>
      <c r="BV14" s="34">
        <f t="shared" si="32"/>
        <v>2.8284998209810239</v>
      </c>
      <c r="BW14" s="34">
        <f t="shared" si="33"/>
        <v>72.702315588445927</v>
      </c>
      <c r="BX14" s="34">
        <f t="shared" si="34"/>
        <v>76.91351045788582</v>
      </c>
      <c r="BY14" s="34">
        <f t="shared" si="35"/>
        <v>89.918597370068881</v>
      </c>
      <c r="BZ14" s="34">
        <f t="shared" si="36"/>
        <v>62.575998503414084</v>
      </c>
    </row>
    <row r="15" spans="1:78" x14ac:dyDescent="0.35">
      <c r="A15" s="101" t="s">
        <v>510</v>
      </c>
      <c r="B15">
        <f>'Total goods'!B54</f>
        <v>114802</v>
      </c>
      <c r="C15">
        <f>Durables!B54</f>
        <v>20439</v>
      </c>
      <c r="D15">
        <f>'Semi-durables'!B54</f>
        <v>17931</v>
      </c>
      <c r="E15">
        <f>'Non-durables'!B54</f>
        <v>82229</v>
      </c>
      <c r="F15">
        <f>Services!B54</f>
        <v>160952</v>
      </c>
      <c r="H15" s="34">
        <f t="shared" si="5"/>
        <v>67.012228935002767</v>
      </c>
      <c r="I15" s="34">
        <f t="shared" si="6"/>
        <v>54.296947639667401</v>
      </c>
      <c r="J15" s="34">
        <f t="shared" si="7"/>
        <v>45.605066381809856</v>
      </c>
      <c r="K15" s="34">
        <f t="shared" si="8"/>
        <v>87.144840449771621</v>
      </c>
      <c r="L15" s="34">
        <f t="shared" si="9"/>
        <v>68.570162657737114</v>
      </c>
      <c r="O15">
        <f>Durables!C54</f>
        <v>7439</v>
      </c>
      <c r="P15">
        <f>Durables!H54</f>
        <v>672</v>
      </c>
      <c r="Q15">
        <f>Durables!J54</f>
        <v>13046</v>
      </c>
      <c r="R15">
        <f>Durables!O54</f>
        <v>783</v>
      </c>
      <c r="S15">
        <f>Durables!Q54</f>
        <v>792</v>
      </c>
      <c r="U15" s="34">
        <f t="shared" si="10"/>
        <v>60.093707084578718</v>
      </c>
      <c r="V15" s="34">
        <f t="shared" si="11"/>
        <v>65.497076023391813</v>
      </c>
      <c r="W15" s="34">
        <f t="shared" si="12"/>
        <v>88.441461595824009</v>
      </c>
      <c r="X15" s="34">
        <f t="shared" si="13"/>
        <v>53.410641200545705</v>
      </c>
      <c r="Y15" s="34">
        <f t="shared" si="14"/>
        <v>15.298435387289935</v>
      </c>
      <c r="AB15">
        <f>'Semi-durables'!C54</f>
        <v>8807</v>
      </c>
      <c r="AC15">
        <f>'Semi-durables'!H54</f>
        <v>3332</v>
      </c>
      <c r="AD15">
        <f>'Semi-durables'!M54</f>
        <v>1613</v>
      </c>
      <c r="AE15">
        <f>'Semi-durables'!O54</f>
        <v>4190</v>
      </c>
      <c r="AF15">
        <f>'Semi-durables'!T54</f>
        <v>256</v>
      </c>
      <c r="AH15" s="34">
        <f t="shared" si="15"/>
        <v>42.856447688564472</v>
      </c>
      <c r="AI15" s="34">
        <f t="shared" si="16"/>
        <v>49.657228017883753</v>
      </c>
      <c r="AJ15" s="34">
        <f t="shared" si="17"/>
        <v>124.26810477657935</v>
      </c>
      <c r="AK15" s="34">
        <f t="shared" si="18"/>
        <v>45.116829977387745</v>
      </c>
      <c r="AL15" s="34">
        <f t="shared" si="19"/>
        <v>17.570350034317091</v>
      </c>
      <c r="AO15">
        <f>'Non-durables'!C54</f>
        <v>27347</v>
      </c>
      <c r="AP15">
        <f>'Non-durables'!Q54</f>
        <v>17132</v>
      </c>
      <c r="AQ15">
        <f>'Non-durables'!X54</f>
        <v>19972</v>
      </c>
      <c r="AR15">
        <f>'Non-durables'!AG54</f>
        <v>1209</v>
      </c>
      <c r="AS15">
        <f>'Non-durables'!AI54</f>
        <v>826</v>
      </c>
      <c r="AT15">
        <f>'Non-durables'!AL54</f>
        <v>9660</v>
      </c>
      <c r="AU15">
        <f>'Non-durables'!AN54</f>
        <v>7091</v>
      </c>
      <c r="AV15">
        <f>'Non-durables'!AT54</f>
        <v>2759</v>
      </c>
      <c r="AX15" s="34">
        <f t="shared" si="20"/>
        <v>75.340239131632586</v>
      </c>
      <c r="AY15" s="34">
        <f t="shared" si="21"/>
        <v>133.81238772162774</v>
      </c>
      <c r="AZ15" s="34">
        <f t="shared" si="22"/>
        <v>119.49979058218155</v>
      </c>
      <c r="BA15" s="34">
        <f t="shared" si="23"/>
        <v>54.954545454545453</v>
      </c>
      <c r="BB15" s="34">
        <f t="shared" si="24"/>
        <v>33.066453162530024</v>
      </c>
      <c r="BC15" s="34">
        <f t="shared" si="25"/>
        <v>103.85980002150306</v>
      </c>
      <c r="BD15" s="34">
        <f t="shared" si="26"/>
        <v>88.859649122807014</v>
      </c>
      <c r="BE15" s="34">
        <f t="shared" si="27"/>
        <v>39.612347451543435</v>
      </c>
      <c r="BH15">
        <f>Services!F54</f>
        <v>64395</v>
      </c>
      <c r="BI15">
        <f>Services!Q54</f>
        <v>1503</v>
      </c>
      <c r="BJ15">
        <f>Services!U54</f>
        <v>3279</v>
      </c>
      <c r="BK15">
        <f>Services!AA54</f>
        <v>21782</v>
      </c>
      <c r="BL15">
        <f>Services!AJ54</f>
        <v>171</v>
      </c>
      <c r="BM15">
        <f>Services!AM54</f>
        <v>12608</v>
      </c>
      <c r="BN15">
        <f>Services!AV54</f>
        <v>6592</v>
      </c>
      <c r="BO15">
        <f>Services!AW54</f>
        <v>39301</v>
      </c>
      <c r="BP15">
        <f>Services!BB54</f>
        <v>28660</v>
      </c>
      <c r="BR15" s="34">
        <f t="shared" si="28"/>
        <v>70.505731772743701</v>
      </c>
      <c r="BS15" s="34">
        <f t="shared" si="29"/>
        <v>129.56896551724137</v>
      </c>
      <c r="BT15" s="34">
        <f t="shared" si="30"/>
        <v>71.220677671589925</v>
      </c>
      <c r="BU15" s="34">
        <f t="shared" si="31"/>
        <v>104.93303786491954</v>
      </c>
      <c r="BV15" s="34">
        <f t="shared" si="32"/>
        <v>3.0612244897959182</v>
      </c>
      <c r="BW15" s="34">
        <f t="shared" si="33"/>
        <v>75.244688469801858</v>
      </c>
      <c r="BX15" s="34">
        <f t="shared" si="34"/>
        <v>74.527981910684005</v>
      </c>
      <c r="BY15" s="34">
        <f t="shared" si="35"/>
        <v>91.145434727150445</v>
      </c>
      <c r="BZ15" s="34">
        <f t="shared" si="36"/>
        <v>67.018987933776074</v>
      </c>
    </row>
    <row r="16" spans="1:78" x14ac:dyDescent="0.35">
      <c r="A16" s="101" t="s">
        <v>511</v>
      </c>
      <c r="B16">
        <f>'Total goods'!B55</f>
        <v>116703</v>
      </c>
      <c r="C16">
        <f>Durables!B55</f>
        <v>20593</v>
      </c>
      <c r="D16">
        <f>'Semi-durables'!B55</f>
        <v>18430</v>
      </c>
      <c r="E16">
        <f>'Non-durables'!B55</f>
        <v>83586</v>
      </c>
      <c r="F16">
        <f>Services!B55</f>
        <v>162564</v>
      </c>
      <c r="H16" s="34">
        <f t="shared" si="5"/>
        <v>68.121880745994218</v>
      </c>
      <c r="I16" s="34">
        <f t="shared" si="6"/>
        <v>54.706054246473443</v>
      </c>
      <c r="J16" s="34">
        <f t="shared" si="7"/>
        <v>46.874205198636758</v>
      </c>
      <c r="K16" s="34">
        <f t="shared" si="8"/>
        <v>88.582965058976882</v>
      </c>
      <c r="L16" s="34">
        <f t="shared" si="9"/>
        <v>69.256920835356965</v>
      </c>
      <c r="O16">
        <f>Durables!C55</f>
        <v>7594</v>
      </c>
      <c r="P16">
        <f>Durables!H55</f>
        <v>665</v>
      </c>
      <c r="Q16">
        <f>Durables!J55</f>
        <v>13024</v>
      </c>
      <c r="R16">
        <f>Durables!O55</f>
        <v>914</v>
      </c>
      <c r="S16">
        <f>Durables!Q55</f>
        <v>790</v>
      </c>
      <c r="U16" s="34">
        <f t="shared" si="10"/>
        <v>61.345827611277159</v>
      </c>
      <c r="V16" s="34">
        <f t="shared" si="11"/>
        <v>64.81481481481481</v>
      </c>
      <c r="W16" s="34">
        <f t="shared" si="12"/>
        <v>88.292319164802393</v>
      </c>
      <c r="X16" s="34">
        <f t="shared" si="13"/>
        <v>62.346521145975444</v>
      </c>
      <c r="Y16" s="34">
        <f t="shared" si="14"/>
        <v>15.259802974695768</v>
      </c>
      <c r="AB16">
        <f>'Semi-durables'!C55</f>
        <v>8985</v>
      </c>
      <c r="AC16">
        <f>'Semi-durables'!H55</f>
        <v>3420</v>
      </c>
      <c r="AD16">
        <f>'Semi-durables'!M55</f>
        <v>1461</v>
      </c>
      <c r="AE16">
        <f>'Semi-durables'!O55</f>
        <v>4498</v>
      </c>
      <c r="AF16">
        <f>'Semi-durables'!T55</f>
        <v>260</v>
      </c>
      <c r="AH16" s="34">
        <f t="shared" si="15"/>
        <v>43.722627737226276</v>
      </c>
      <c r="AI16" s="34">
        <f t="shared" si="16"/>
        <v>50.968703427719817</v>
      </c>
      <c r="AJ16" s="34">
        <f t="shared" si="17"/>
        <v>112.55778120184901</v>
      </c>
      <c r="AK16" s="34">
        <f t="shared" si="18"/>
        <v>48.433293851620547</v>
      </c>
      <c r="AL16" s="34">
        <f t="shared" si="19"/>
        <v>17.844886753603294</v>
      </c>
      <c r="AO16">
        <f>'Non-durables'!C55</f>
        <v>28631</v>
      </c>
      <c r="AP16">
        <f>'Non-durables'!Q55</f>
        <v>16867</v>
      </c>
      <c r="AQ16">
        <f>'Non-durables'!X55</f>
        <v>20721</v>
      </c>
      <c r="AR16">
        <f>'Non-durables'!AG55</f>
        <v>1234</v>
      </c>
      <c r="AS16">
        <f>'Non-durables'!AI55</f>
        <v>794</v>
      </c>
      <c r="AT16">
        <f>'Non-durables'!AL55</f>
        <v>9136</v>
      </c>
      <c r="AU16">
        <f>'Non-durables'!AN55</f>
        <v>7353</v>
      </c>
      <c r="AV16">
        <f>'Non-durables'!AT55</f>
        <v>2835</v>
      </c>
      <c r="AX16" s="34">
        <f t="shared" si="20"/>
        <v>78.8776241115213</v>
      </c>
      <c r="AY16" s="34">
        <f t="shared" si="21"/>
        <v>131.74256033742091</v>
      </c>
      <c r="AZ16" s="34">
        <f t="shared" si="22"/>
        <v>123.98133189732543</v>
      </c>
      <c r="BA16" s="34">
        <f t="shared" si="23"/>
        <v>56.090909090909093</v>
      </c>
      <c r="BB16" s="34">
        <f t="shared" si="24"/>
        <v>31.785428342674138</v>
      </c>
      <c r="BC16" s="34">
        <f t="shared" si="25"/>
        <v>98.225997204601654</v>
      </c>
      <c r="BD16" s="34">
        <f t="shared" si="26"/>
        <v>92.142857142857139</v>
      </c>
      <c r="BE16" s="34">
        <f t="shared" si="27"/>
        <v>40.7035175879397</v>
      </c>
      <c r="BH16">
        <f>Services!F55</f>
        <v>64551</v>
      </c>
      <c r="BI16">
        <f>Services!Q55</f>
        <v>1459</v>
      </c>
      <c r="BJ16">
        <f>Services!U55</f>
        <v>3150</v>
      </c>
      <c r="BK16">
        <f>Services!AA55</f>
        <v>21988</v>
      </c>
      <c r="BL16">
        <f>Services!AJ55</f>
        <v>191</v>
      </c>
      <c r="BM16">
        <f>Services!AM55</f>
        <v>12665</v>
      </c>
      <c r="BN16">
        <f>Services!AV55</f>
        <v>5801</v>
      </c>
      <c r="BO16">
        <f>Services!AW55</f>
        <v>39462</v>
      </c>
      <c r="BP16">
        <f>Services!BB55</f>
        <v>29562</v>
      </c>
      <c r="BR16" s="34">
        <f t="shared" si="28"/>
        <v>70.676535315822321</v>
      </c>
      <c r="BS16" s="34">
        <f t="shared" si="29"/>
        <v>125.77586206896552</v>
      </c>
      <c r="BT16" s="34">
        <f t="shared" si="30"/>
        <v>68.418766290182447</v>
      </c>
      <c r="BU16" s="34">
        <f t="shared" si="31"/>
        <v>105.9254263416514</v>
      </c>
      <c r="BV16" s="34">
        <f t="shared" si="32"/>
        <v>3.4192624418188329</v>
      </c>
      <c r="BW16" s="34">
        <f t="shared" si="33"/>
        <v>75.584865122941039</v>
      </c>
      <c r="BX16" s="34">
        <f t="shared" si="34"/>
        <v>65.585076314301858</v>
      </c>
      <c r="BY16" s="34">
        <f t="shared" si="35"/>
        <v>91.51882000974048</v>
      </c>
      <c r="BZ16" s="34">
        <f t="shared" si="36"/>
        <v>69.128238705453185</v>
      </c>
    </row>
    <row r="17" spans="1:78" x14ac:dyDescent="0.35">
      <c r="A17" s="101" t="s">
        <v>512</v>
      </c>
      <c r="B17">
        <f>'Total goods'!B56</f>
        <v>117848</v>
      </c>
      <c r="C17">
        <f>Durables!B56</f>
        <v>21165</v>
      </c>
      <c r="D17">
        <f>'Semi-durables'!B56</f>
        <v>18668</v>
      </c>
      <c r="E17">
        <f>'Non-durables'!B56</f>
        <v>83577</v>
      </c>
      <c r="F17">
        <f>Services!B56</f>
        <v>164235</v>
      </c>
      <c r="H17" s="34">
        <f t="shared" si="5"/>
        <v>68.790240200799701</v>
      </c>
      <c r="I17" s="34">
        <f t="shared" si="6"/>
        <v>56.225593071753046</v>
      </c>
      <c r="J17" s="34">
        <f t="shared" si="7"/>
        <v>47.479525916882857</v>
      </c>
      <c r="K17" s="34">
        <f t="shared" si="8"/>
        <v>88.573427018090484</v>
      </c>
      <c r="L17" s="34">
        <f t="shared" si="9"/>
        <v>69.968814703100634</v>
      </c>
      <c r="O17">
        <f>Durables!C56</f>
        <v>7712</v>
      </c>
      <c r="P17">
        <f>Durables!H56</f>
        <v>702</v>
      </c>
      <c r="Q17">
        <f>Durables!J56</f>
        <v>13595</v>
      </c>
      <c r="R17">
        <f>Durables!O56</f>
        <v>885</v>
      </c>
      <c r="S17">
        <f>Durables!Q56</f>
        <v>805</v>
      </c>
      <c r="U17" s="34">
        <f t="shared" si="10"/>
        <v>62.299054850957269</v>
      </c>
      <c r="V17" s="34">
        <f t="shared" si="11"/>
        <v>68.421052631578945</v>
      </c>
      <c r="W17" s="34">
        <f t="shared" si="12"/>
        <v>92.163243169954583</v>
      </c>
      <c r="X17" s="34">
        <f t="shared" si="13"/>
        <v>60.368349249658934</v>
      </c>
      <c r="Y17" s="34">
        <f t="shared" si="14"/>
        <v>15.549546069152017</v>
      </c>
      <c r="AB17">
        <f>'Semi-durables'!C56</f>
        <v>9192</v>
      </c>
      <c r="AC17">
        <f>'Semi-durables'!H56</f>
        <v>3485</v>
      </c>
      <c r="AD17">
        <f>'Semi-durables'!M56</f>
        <v>1582</v>
      </c>
      <c r="AE17">
        <f>'Semi-durables'!O56</f>
        <v>4394</v>
      </c>
      <c r="AF17">
        <f>'Semi-durables'!T56</f>
        <v>262</v>
      </c>
      <c r="AH17" s="34">
        <f t="shared" si="15"/>
        <v>44.729927007299267</v>
      </c>
      <c r="AI17" s="34">
        <f t="shared" si="16"/>
        <v>51.93740685543964</v>
      </c>
      <c r="AJ17" s="34">
        <f t="shared" si="17"/>
        <v>121.87981510015409</v>
      </c>
      <c r="AK17" s="34">
        <f t="shared" si="18"/>
        <v>47.31344890707441</v>
      </c>
      <c r="AL17" s="34">
        <f t="shared" si="19"/>
        <v>17.982155113246399</v>
      </c>
      <c r="AO17">
        <f>'Non-durables'!C56</f>
        <v>28213</v>
      </c>
      <c r="AP17">
        <f>'Non-durables'!Q56</f>
        <v>16743</v>
      </c>
      <c r="AQ17">
        <f>'Non-durables'!X56</f>
        <v>21067</v>
      </c>
      <c r="AR17">
        <f>'Non-durables'!AG56</f>
        <v>1216</v>
      </c>
      <c r="AS17">
        <f>'Non-durables'!AI56</f>
        <v>781</v>
      </c>
      <c r="AT17">
        <f>'Non-durables'!AL56</f>
        <v>9535</v>
      </c>
      <c r="AU17">
        <f>'Non-durables'!AN56</f>
        <v>7418</v>
      </c>
      <c r="AV17">
        <f>'Non-durables'!AT56</f>
        <v>2826</v>
      </c>
      <c r="AX17" s="34">
        <f t="shared" si="20"/>
        <v>77.726045512149426</v>
      </c>
      <c r="AY17" s="34">
        <f t="shared" si="21"/>
        <v>130.7740373349996</v>
      </c>
      <c r="AZ17" s="34">
        <f t="shared" si="22"/>
        <v>126.05157661700473</v>
      </c>
      <c r="BA17" s="34">
        <f t="shared" si="23"/>
        <v>55.272727272727273</v>
      </c>
      <c r="BB17" s="34">
        <f t="shared" si="24"/>
        <v>31.265012009607684</v>
      </c>
      <c r="BC17" s="34">
        <f t="shared" si="25"/>
        <v>102.51585850983764</v>
      </c>
      <c r="BD17" s="34">
        <f t="shared" si="26"/>
        <v>92.957393483709268</v>
      </c>
      <c r="BE17" s="34">
        <f t="shared" si="27"/>
        <v>40.574300071787512</v>
      </c>
      <c r="BH17">
        <f>Services!F56</f>
        <v>64635</v>
      </c>
      <c r="BI17">
        <f>Services!Q56</f>
        <v>1605</v>
      </c>
      <c r="BJ17">
        <f>Services!U56</f>
        <v>3119</v>
      </c>
      <c r="BK17">
        <f>Services!AA56</f>
        <v>23344</v>
      </c>
      <c r="BL17">
        <f>Services!AJ56</f>
        <v>207</v>
      </c>
      <c r="BM17">
        <f>Services!AM56</f>
        <v>12925</v>
      </c>
      <c r="BN17">
        <f>Services!AV56</f>
        <v>6792</v>
      </c>
      <c r="BO17">
        <f>Services!AW56</f>
        <v>39571</v>
      </c>
      <c r="BP17">
        <f>Services!BB56</f>
        <v>28785</v>
      </c>
      <c r="BR17" s="34">
        <f t="shared" si="28"/>
        <v>70.768506454403109</v>
      </c>
      <c r="BS17" s="34">
        <f t="shared" si="29"/>
        <v>138.36206896551724</v>
      </c>
      <c r="BT17" s="34">
        <f t="shared" si="30"/>
        <v>67.745438748913983</v>
      </c>
      <c r="BU17" s="34">
        <f t="shared" si="31"/>
        <v>112.45784757683785</v>
      </c>
      <c r="BV17" s="34">
        <f t="shared" si="32"/>
        <v>3.7056928034371639</v>
      </c>
      <c r="BW17" s="34">
        <f t="shared" si="33"/>
        <v>77.136548102172355</v>
      </c>
      <c r="BX17" s="34">
        <f t="shared" si="34"/>
        <v>76.789146410401358</v>
      </c>
      <c r="BY17" s="34">
        <f t="shared" si="35"/>
        <v>91.771608803543685</v>
      </c>
      <c r="BZ17" s="34">
        <f t="shared" si="36"/>
        <v>67.311289869984108</v>
      </c>
    </row>
    <row r="18" spans="1:78" x14ac:dyDescent="0.35">
      <c r="A18" s="101" t="s">
        <v>513</v>
      </c>
      <c r="B18">
        <f>'Total goods'!B57</f>
        <v>118844</v>
      </c>
      <c r="C18">
        <f>Durables!B57</f>
        <v>21489</v>
      </c>
      <c r="D18">
        <f>'Semi-durables'!B57</f>
        <v>18983</v>
      </c>
      <c r="E18">
        <f>'Non-durables'!B57</f>
        <v>83703</v>
      </c>
      <c r="F18">
        <f>Services!B57</f>
        <v>166411</v>
      </c>
      <c r="H18" s="34">
        <f t="shared" si="5"/>
        <v>69.371625368473275</v>
      </c>
      <c r="I18" s="34">
        <f t="shared" si="6"/>
        <v>57.086310867890447</v>
      </c>
      <c r="J18" s="34">
        <f t="shared" si="7"/>
        <v>48.280685691032097</v>
      </c>
      <c r="K18" s="34">
        <f t="shared" si="8"/>
        <v>88.706959590500105</v>
      </c>
      <c r="L18" s="34">
        <f t="shared" si="9"/>
        <v>70.895853037158219</v>
      </c>
      <c r="O18">
        <f>Durables!C57</f>
        <v>7824</v>
      </c>
      <c r="P18">
        <f>Durables!H57</f>
        <v>729</v>
      </c>
      <c r="Q18">
        <f>Durables!J57</f>
        <v>13392</v>
      </c>
      <c r="R18">
        <f>Durables!O57</f>
        <v>951</v>
      </c>
      <c r="S18">
        <f>Durables!Q57</f>
        <v>858</v>
      </c>
      <c r="U18" s="34">
        <f t="shared" si="10"/>
        <v>63.203812908958724</v>
      </c>
      <c r="V18" s="34">
        <f t="shared" si="11"/>
        <v>71.05263157894737</v>
      </c>
      <c r="W18" s="34">
        <f t="shared" si="12"/>
        <v>90.78706528370958</v>
      </c>
      <c r="X18" s="34">
        <f t="shared" si="13"/>
        <v>64.870395634379264</v>
      </c>
      <c r="Y18" s="34">
        <f t="shared" si="14"/>
        <v>16.573305002897431</v>
      </c>
      <c r="AB18">
        <f>'Semi-durables'!C57</f>
        <v>9498</v>
      </c>
      <c r="AC18">
        <f>'Semi-durables'!H57</f>
        <v>3529</v>
      </c>
      <c r="AD18">
        <f>'Semi-durables'!M57</f>
        <v>1373</v>
      </c>
      <c r="AE18">
        <f>'Semi-durables'!O57</f>
        <v>4481</v>
      </c>
      <c r="AF18">
        <f>'Semi-durables'!T57</f>
        <v>275</v>
      </c>
      <c r="AH18" s="34">
        <f t="shared" si="15"/>
        <v>46.21897810218978</v>
      </c>
      <c r="AI18" s="34">
        <f t="shared" si="16"/>
        <v>52.593144560357672</v>
      </c>
      <c r="AJ18" s="34">
        <f t="shared" si="17"/>
        <v>105.77812018489985</v>
      </c>
      <c r="AK18" s="34">
        <f t="shared" si="18"/>
        <v>48.250242274146657</v>
      </c>
      <c r="AL18" s="34">
        <f t="shared" si="19"/>
        <v>18.874399450926564</v>
      </c>
      <c r="AO18">
        <f>'Non-durables'!C57</f>
        <v>28373</v>
      </c>
      <c r="AP18">
        <f>'Non-durables'!Q57</f>
        <v>16727</v>
      </c>
      <c r="AQ18">
        <f>'Non-durables'!X57</f>
        <v>20702</v>
      </c>
      <c r="AR18">
        <f>'Non-durables'!AG57</f>
        <v>1261</v>
      </c>
      <c r="AS18">
        <f>'Non-durables'!AI57</f>
        <v>805</v>
      </c>
      <c r="AT18">
        <f>'Non-durables'!AL57</f>
        <v>9494</v>
      </c>
      <c r="AU18">
        <f>'Non-durables'!AN57</f>
        <v>7489</v>
      </c>
      <c r="AV18">
        <f>'Non-durables'!AT57</f>
        <v>2818</v>
      </c>
      <c r="AX18" s="34">
        <f t="shared" si="20"/>
        <v>78.166841148272638</v>
      </c>
      <c r="AY18" s="34">
        <f t="shared" si="21"/>
        <v>130.64906662500977</v>
      </c>
      <c r="AZ18" s="34">
        <f t="shared" si="22"/>
        <v>123.86764793873033</v>
      </c>
      <c r="BA18" s="34">
        <f t="shared" si="23"/>
        <v>57.318181818181827</v>
      </c>
      <c r="BB18" s="34">
        <f t="shared" si="24"/>
        <v>32.225780624499599</v>
      </c>
      <c r="BC18" s="34">
        <f t="shared" si="25"/>
        <v>102.07504569401141</v>
      </c>
      <c r="BD18" s="34">
        <f t="shared" si="26"/>
        <v>93.847117794486209</v>
      </c>
      <c r="BE18" s="34">
        <f t="shared" si="27"/>
        <v>40.459440057430008</v>
      </c>
      <c r="BH18">
        <f>Services!F57</f>
        <v>64645</v>
      </c>
      <c r="BI18">
        <f>Services!Q57</f>
        <v>1596</v>
      </c>
      <c r="BJ18">
        <f>Services!U57</f>
        <v>3477</v>
      </c>
      <c r="BK18">
        <f>Services!AA57</f>
        <v>23919</v>
      </c>
      <c r="BL18">
        <f>Services!AJ57</f>
        <v>226</v>
      </c>
      <c r="BM18">
        <f>Services!AM57</f>
        <v>13243</v>
      </c>
      <c r="BN18">
        <f>Services!AV57</f>
        <v>7285</v>
      </c>
      <c r="BO18">
        <f>Services!AW57</f>
        <v>39676</v>
      </c>
      <c r="BP18">
        <f>Services!BB57</f>
        <v>29084</v>
      </c>
      <c r="BR18" s="34">
        <f t="shared" si="28"/>
        <v>70.779455399472255</v>
      </c>
      <c r="BS18" s="34">
        <f t="shared" si="29"/>
        <v>137.58620689655172</v>
      </c>
      <c r="BT18" s="34">
        <f t="shared" si="30"/>
        <v>75.521285838401383</v>
      </c>
      <c r="BU18" s="34">
        <f t="shared" si="31"/>
        <v>115.22786395606512</v>
      </c>
      <c r="BV18" s="34">
        <f t="shared" si="32"/>
        <v>4.0458288578589334</v>
      </c>
      <c r="BW18" s="34">
        <f t="shared" si="33"/>
        <v>79.03437574600143</v>
      </c>
      <c r="BX18" s="34">
        <f t="shared" si="34"/>
        <v>82.362916902204631</v>
      </c>
      <c r="BY18" s="34">
        <f t="shared" si="35"/>
        <v>92.015120944363275</v>
      </c>
      <c r="BZ18" s="34">
        <f t="shared" si="36"/>
        <v>68.010476101393692</v>
      </c>
    </row>
    <row r="19" spans="1:78" x14ac:dyDescent="0.35">
      <c r="A19" s="101" t="s">
        <v>514</v>
      </c>
      <c r="B19">
        <f>'Total goods'!B58</f>
        <v>121041</v>
      </c>
      <c r="C19">
        <f>Durables!B58</f>
        <v>22635</v>
      </c>
      <c r="D19">
        <f>'Semi-durables'!B58</f>
        <v>19282</v>
      </c>
      <c r="E19">
        <f>'Non-durables'!B58</f>
        <v>83888</v>
      </c>
      <c r="F19">
        <f>Services!B58</f>
        <v>166535</v>
      </c>
      <c r="H19" s="34">
        <f t="shared" si="5"/>
        <v>70.654058313632788</v>
      </c>
      <c r="I19" s="34">
        <f t="shared" si="6"/>
        <v>60.130701591265314</v>
      </c>
      <c r="J19" s="34">
        <f t="shared" si="7"/>
        <v>49.041151635383287</v>
      </c>
      <c r="K19" s="34">
        <f t="shared" si="8"/>
        <v>88.903019319831714</v>
      </c>
      <c r="L19" s="34">
        <f t="shared" si="9"/>
        <v>70.948680589282816</v>
      </c>
      <c r="O19">
        <f>Durables!C58</f>
        <v>7885</v>
      </c>
      <c r="P19">
        <f>Durables!H58</f>
        <v>723</v>
      </c>
      <c r="Q19">
        <f>Durables!J58</f>
        <v>14561</v>
      </c>
      <c r="R19">
        <f>Durables!O58</f>
        <v>1000</v>
      </c>
      <c r="S19">
        <f>Durables!Q58</f>
        <v>900</v>
      </c>
      <c r="U19" s="34">
        <f t="shared" si="10"/>
        <v>63.696582922691661</v>
      </c>
      <c r="V19" s="34">
        <f t="shared" si="11"/>
        <v>70.467836257309941</v>
      </c>
      <c r="W19" s="34">
        <f t="shared" si="12"/>
        <v>98.71195173208595</v>
      </c>
      <c r="X19" s="34">
        <f t="shared" si="13"/>
        <v>68.212824010914048</v>
      </c>
      <c r="Y19" s="34">
        <f t="shared" si="14"/>
        <v>17.384585667374928</v>
      </c>
      <c r="AB19">
        <f>'Semi-durables'!C58</f>
        <v>9647</v>
      </c>
      <c r="AC19">
        <f>'Semi-durables'!H58</f>
        <v>3552</v>
      </c>
      <c r="AD19">
        <f>'Semi-durables'!M58</f>
        <v>1456</v>
      </c>
      <c r="AE19">
        <f>'Semi-durables'!O58</f>
        <v>4551</v>
      </c>
      <c r="AF19">
        <f>'Semi-durables'!T58</f>
        <v>268</v>
      </c>
      <c r="AH19" s="34">
        <f t="shared" si="15"/>
        <v>46.944038929440389</v>
      </c>
      <c r="AI19" s="34">
        <f t="shared" si="16"/>
        <v>52.935916542473919</v>
      </c>
      <c r="AJ19" s="34">
        <f t="shared" si="17"/>
        <v>112.17257318952234</v>
      </c>
      <c r="AK19" s="34">
        <f t="shared" si="18"/>
        <v>49.003984063745023</v>
      </c>
      <c r="AL19" s="34">
        <f t="shared" si="19"/>
        <v>18.393960192175705</v>
      </c>
      <c r="AO19">
        <f>'Non-durables'!C58</f>
        <v>28303</v>
      </c>
      <c r="AP19">
        <f>'Non-durables'!Q58</f>
        <v>16597</v>
      </c>
      <c r="AQ19">
        <f>'Non-durables'!X58</f>
        <v>20957</v>
      </c>
      <c r="AR19">
        <f>'Non-durables'!AG58</f>
        <v>1261</v>
      </c>
      <c r="AS19">
        <f>'Non-durables'!AI58</f>
        <v>878</v>
      </c>
      <c r="AT19">
        <f>'Non-durables'!AL58</f>
        <v>9441</v>
      </c>
      <c r="AU19">
        <f>'Non-durables'!AN58</f>
        <v>7513</v>
      </c>
      <c r="AV19">
        <f>'Non-durables'!AT58</f>
        <v>2907</v>
      </c>
      <c r="AX19" s="34">
        <f t="shared" si="20"/>
        <v>77.973993057468732</v>
      </c>
      <c r="AY19" s="34">
        <f t="shared" si="21"/>
        <v>129.63367960634227</v>
      </c>
      <c r="AZ19" s="34">
        <f t="shared" si="22"/>
        <v>125.39340633040148</v>
      </c>
      <c r="BA19" s="34">
        <f t="shared" si="23"/>
        <v>57.318181818181827</v>
      </c>
      <c r="BB19" s="34">
        <f t="shared" si="24"/>
        <v>35.148118494795838</v>
      </c>
      <c r="BC19" s="34">
        <f t="shared" si="25"/>
        <v>101.50521449306527</v>
      </c>
      <c r="BD19" s="34">
        <f t="shared" si="26"/>
        <v>94.147869674185458</v>
      </c>
      <c r="BE19" s="34">
        <f t="shared" si="27"/>
        <v>41.73725771715722</v>
      </c>
      <c r="BH19">
        <f>Services!F58</f>
        <v>64674</v>
      </c>
      <c r="BI19">
        <f>Services!Q58</f>
        <v>1568</v>
      </c>
      <c r="BJ19">
        <f>Services!U58</f>
        <v>3340</v>
      </c>
      <c r="BK19">
        <f>Services!AA58</f>
        <v>22917</v>
      </c>
      <c r="BL19">
        <f>Services!AJ58</f>
        <v>235</v>
      </c>
      <c r="BM19">
        <f>Services!AM58</f>
        <v>13194</v>
      </c>
      <c r="BN19">
        <f>Services!AV58</f>
        <v>7201</v>
      </c>
      <c r="BO19">
        <f>Services!AW58</f>
        <v>40172</v>
      </c>
      <c r="BP19">
        <f>Services!BB58</f>
        <v>29413</v>
      </c>
      <c r="BR19" s="34">
        <f t="shared" si="28"/>
        <v>70.811207340172771</v>
      </c>
      <c r="BS19" s="34">
        <f t="shared" si="29"/>
        <v>135.17241379310346</v>
      </c>
      <c r="BT19" s="34">
        <f t="shared" si="30"/>
        <v>72.545612510860124</v>
      </c>
      <c r="BU19" s="34">
        <f t="shared" si="31"/>
        <v>110.40080932652472</v>
      </c>
      <c r="BV19" s="34">
        <f t="shared" si="32"/>
        <v>4.2069459362692445</v>
      </c>
      <c r="BW19" s="34">
        <f t="shared" si="33"/>
        <v>78.741943184530911</v>
      </c>
      <c r="BX19" s="34">
        <f t="shared" si="34"/>
        <v>81.413227812323342</v>
      </c>
      <c r="BY19" s="34">
        <f t="shared" si="35"/>
        <v>93.165425914330115</v>
      </c>
      <c r="BZ19" s="34">
        <f t="shared" si="36"/>
        <v>68.779814797493216</v>
      </c>
    </row>
    <row r="20" spans="1:78" x14ac:dyDescent="0.35">
      <c r="A20" s="101" t="s">
        <v>515</v>
      </c>
      <c r="B20">
        <f>'Total goods'!B59</f>
        <v>122887</v>
      </c>
      <c r="C20">
        <f>Durables!B59</f>
        <v>23707</v>
      </c>
      <c r="D20">
        <f>'Semi-durables'!B59</f>
        <v>19398</v>
      </c>
      <c r="E20">
        <f>'Non-durables'!B59</f>
        <v>84172</v>
      </c>
      <c r="F20">
        <f>Services!B59</f>
        <v>165724</v>
      </c>
      <c r="H20" s="34">
        <f t="shared" si="5"/>
        <v>71.731605521991654</v>
      </c>
      <c r="I20" s="34">
        <f t="shared" si="6"/>
        <v>62.978508620460637</v>
      </c>
      <c r="J20" s="34">
        <f t="shared" si="7"/>
        <v>49.336181901419195</v>
      </c>
      <c r="K20" s="34">
        <f t="shared" si="8"/>
        <v>89.203997498913722</v>
      </c>
      <c r="L20" s="34">
        <f t="shared" si="9"/>
        <v>70.603171357242061</v>
      </c>
      <c r="O20">
        <f>Durables!C59</f>
        <v>8354</v>
      </c>
      <c r="P20">
        <f>Durables!H59</f>
        <v>680</v>
      </c>
      <c r="Q20">
        <f>Durables!J59</f>
        <v>15346</v>
      </c>
      <c r="R20">
        <f>Durables!O59</f>
        <v>978</v>
      </c>
      <c r="S20">
        <f>Durables!Q59</f>
        <v>960</v>
      </c>
      <c r="U20" s="34">
        <f t="shared" si="10"/>
        <v>67.485257290572747</v>
      </c>
      <c r="V20" s="34">
        <f t="shared" si="11"/>
        <v>66.276803118908376</v>
      </c>
      <c r="W20" s="34">
        <f t="shared" si="12"/>
        <v>104.03362483899397</v>
      </c>
      <c r="X20" s="34">
        <f t="shared" si="13"/>
        <v>66.712141882673947</v>
      </c>
      <c r="Y20" s="34">
        <f t="shared" si="14"/>
        <v>18.543558045199923</v>
      </c>
      <c r="AB20">
        <f>'Semi-durables'!C59</f>
        <v>9650</v>
      </c>
      <c r="AC20">
        <f>'Semi-durables'!H59</f>
        <v>3665</v>
      </c>
      <c r="AD20">
        <f>'Semi-durables'!M59</f>
        <v>1374</v>
      </c>
      <c r="AE20">
        <f>'Semi-durables'!O59</f>
        <v>4545</v>
      </c>
      <c r="AF20">
        <f>'Semi-durables'!T59</f>
        <v>341</v>
      </c>
      <c r="AH20" s="34">
        <f t="shared" si="15"/>
        <v>46.958637469586371</v>
      </c>
      <c r="AI20" s="34">
        <f t="shared" si="16"/>
        <v>54.619970193740684</v>
      </c>
      <c r="AJ20" s="34">
        <f t="shared" si="17"/>
        <v>105.85516178736518</v>
      </c>
      <c r="AK20" s="34">
        <f t="shared" si="18"/>
        <v>48.939377624636585</v>
      </c>
      <c r="AL20" s="34">
        <f t="shared" si="19"/>
        <v>23.404255319148938</v>
      </c>
      <c r="AO20">
        <f>'Non-durables'!C59</f>
        <v>28463</v>
      </c>
      <c r="AP20">
        <f>'Non-durables'!Q59</f>
        <v>16389</v>
      </c>
      <c r="AQ20">
        <f>'Non-durables'!X59</f>
        <v>20962</v>
      </c>
      <c r="AR20">
        <f>'Non-durables'!AG59</f>
        <v>1293</v>
      </c>
      <c r="AS20">
        <f>'Non-durables'!AI59</f>
        <v>964</v>
      </c>
      <c r="AT20">
        <f>'Non-durables'!AL59</f>
        <v>9870</v>
      </c>
      <c r="AU20">
        <f>'Non-durables'!AN59</f>
        <v>7294</v>
      </c>
      <c r="AV20">
        <f>'Non-durables'!AT59</f>
        <v>2834</v>
      </c>
      <c r="AX20" s="34">
        <f t="shared" si="20"/>
        <v>78.41478869359193</v>
      </c>
      <c r="AY20" s="34">
        <f t="shared" si="21"/>
        <v>128.00906037647425</v>
      </c>
      <c r="AZ20" s="34">
        <f t="shared" si="22"/>
        <v>125.42332316161071</v>
      </c>
      <c r="BA20" s="34">
        <f t="shared" si="23"/>
        <v>58.772727272727273</v>
      </c>
      <c r="BB20" s="34">
        <f t="shared" si="24"/>
        <v>38.590872698158527</v>
      </c>
      <c r="BC20" s="34">
        <f t="shared" si="25"/>
        <v>106.11762176110095</v>
      </c>
      <c r="BD20" s="34">
        <f t="shared" si="26"/>
        <v>91.403508771929822</v>
      </c>
      <c r="BE20" s="34">
        <f t="shared" si="27"/>
        <v>40.689160086145009</v>
      </c>
      <c r="BH20">
        <f>Services!F59</f>
        <v>65275</v>
      </c>
      <c r="BI20">
        <f>Services!Q59</f>
        <v>1592</v>
      </c>
      <c r="BJ20">
        <f>Services!U59</f>
        <v>3989</v>
      </c>
      <c r="BK20">
        <f>Services!AA59</f>
        <v>21533</v>
      </c>
      <c r="BL20">
        <f>Services!AJ59</f>
        <v>242</v>
      </c>
      <c r="BM20">
        <f>Services!AM59</f>
        <v>12907</v>
      </c>
      <c r="BN20">
        <f>Services!AV59</f>
        <v>7007</v>
      </c>
      <c r="BO20">
        <f>Services!AW59</f>
        <v>39864</v>
      </c>
      <c r="BP20">
        <f>Services!BB59</f>
        <v>28949</v>
      </c>
      <c r="BR20" s="34">
        <f t="shared" si="28"/>
        <v>71.469238938828241</v>
      </c>
      <c r="BS20" s="34">
        <f t="shared" si="29"/>
        <v>137.24137931034483</v>
      </c>
      <c r="BT20" s="34">
        <f t="shared" si="30"/>
        <v>86.642050390964371</v>
      </c>
      <c r="BU20" s="34">
        <f t="shared" si="31"/>
        <v>103.73350033721937</v>
      </c>
      <c r="BV20" s="34">
        <f t="shared" si="32"/>
        <v>4.3322592194772644</v>
      </c>
      <c r="BW20" s="34">
        <f t="shared" si="33"/>
        <v>77.029123895917877</v>
      </c>
      <c r="BX20" s="34">
        <f t="shared" si="34"/>
        <v>79.219898247597513</v>
      </c>
      <c r="BY20" s="34">
        <f t="shared" si="35"/>
        <v>92.451123634592633</v>
      </c>
      <c r="BZ20" s="34">
        <f t="shared" si="36"/>
        <v>67.694790010289026</v>
      </c>
    </row>
    <row r="21" spans="1:78" x14ac:dyDescent="0.35">
      <c r="A21" s="101" t="s">
        <v>516</v>
      </c>
      <c r="B21">
        <f>'Total goods'!B60</f>
        <v>123978</v>
      </c>
      <c r="C21">
        <f>Durables!B60</f>
        <v>24278</v>
      </c>
      <c r="D21">
        <f>'Semi-durables'!B60</f>
        <v>19928</v>
      </c>
      <c r="E21">
        <f>'Non-durables'!B60</f>
        <v>83589</v>
      </c>
      <c r="F21">
        <f>Services!B60</f>
        <v>166056</v>
      </c>
      <c r="H21" s="34">
        <f t="shared" si="5"/>
        <v>72.368444094212407</v>
      </c>
      <c r="I21" s="34">
        <f t="shared" si="6"/>
        <v>64.495390909332414</v>
      </c>
      <c r="J21" s="34">
        <f t="shared" si="7"/>
        <v>50.684165013479834</v>
      </c>
      <c r="K21" s="34">
        <f t="shared" si="8"/>
        <v>88.58614440593901</v>
      </c>
      <c r="L21" s="34">
        <f t="shared" si="9"/>
        <v>70.744612867769234</v>
      </c>
      <c r="O21">
        <f>Durables!C60</f>
        <v>8472</v>
      </c>
      <c r="P21">
        <f>Durables!H60</f>
        <v>573</v>
      </c>
      <c r="Q21">
        <f>Durables!J60</f>
        <v>15666</v>
      </c>
      <c r="R21">
        <f>Durables!O60</f>
        <v>1069</v>
      </c>
      <c r="S21">
        <f>Durables!Q60</f>
        <v>1013</v>
      </c>
      <c r="U21" s="34">
        <f t="shared" si="10"/>
        <v>68.43848453025285</v>
      </c>
      <c r="V21" s="34">
        <f t="shared" si="11"/>
        <v>55.847953216374272</v>
      </c>
      <c r="W21" s="34">
        <f t="shared" si="12"/>
        <v>106.20296929021762</v>
      </c>
      <c r="X21" s="34">
        <f t="shared" si="13"/>
        <v>72.919508867667133</v>
      </c>
      <c r="Y21" s="34">
        <f t="shared" si="14"/>
        <v>19.567316978945335</v>
      </c>
      <c r="AB21">
        <f>'Semi-durables'!C60</f>
        <v>9906</v>
      </c>
      <c r="AC21">
        <f>'Semi-durables'!H60</f>
        <v>3680</v>
      </c>
      <c r="AD21">
        <f>'Semi-durables'!M60</f>
        <v>1636</v>
      </c>
      <c r="AE21">
        <f>'Semi-durables'!O60</f>
        <v>4615</v>
      </c>
      <c r="AF21">
        <f>'Semi-durables'!T60</f>
        <v>338</v>
      </c>
      <c r="AH21" s="34">
        <f t="shared" si="15"/>
        <v>48.204379562043798</v>
      </c>
      <c r="AI21" s="34">
        <f t="shared" si="16"/>
        <v>54.843517138599104</v>
      </c>
      <c r="AJ21" s="34">
        <f t="shared" si="17"/>
        <v>126.04006163328197</v>
      </c>
      <c r="AK21" s="34">
        <f t="shared" si="18"/>
        <v>49.693119414234957</v>
      </c>
      <c r="AL21" s="34">
        <f t="shared" si="19"/>
        <v>23.198352779684285</v>
      </c>
      <c r="AO21">
        <f>'Non-durables'!C60</f>
        <v>27493</v>
      </c>
      <c r="AP21">
        <f>'Non-durables'!Q60</f>
        <v>16457</v>
      </c>
      <c r="AQ21">
        <f>'Non-durables'!X60</f>
        <v>20613</v>
      </c>
      <c r="AR21">
        <f>'Non-durables'!AG60</f>
        <v>1409</v>
      </c>
      <c r="AS21">
        <f>'Non-durables'!AI60</f>
        <v>1047</v>
      </c>
      <c r="AT21">
        <f>'Non-durables'!AL60</f>
        <v>9824</v>
      </c>
      <c r="AU21">
        <f>'Non-durables'!AN60</f>
        <v>7410</v>
      </c>
      <c r="AV21">
        <f>'Non-durables'!AT60</f>
        <v>2915</v>
      </c>
      <c r="AX21" s="34">
        <f t="shared" si="20"/>
        <v>75.74246514959502</v>
      </c>
      <c r="AY21" s="34">
        <f t="shared" si="21"/>
        <v>128.5401858939311</v>
      </c>
      <c r="AZ21" s="34">
        <f t="shared" si="22"/>
        <v>123.33512834320588</v>
      </c>
      <c r="BA21" s="34">
        <f t="shared" si="23"/>
        <v>64.045454545454547</v>
      </c>
      <c r="BB21" s="34">
        <f t="shared" si="24"/>
        <v>41.91353082465973</v>
      </c>
      <c r="BC21" s="34">
        <f t="shared" si="25"/>
        <v>105.62305128480808</v>
      </c>
      <c r="BD21" s="34">
        <f t="shared" si="26"/>
        <v>92.857142857142861</v>
      </c>
      <c r="BE21" s="34">
        <f t="shared" si="27"/>
        <v>41.852117731514717</v>
      </c>
      <c r="BH21">
        <f>Services!F60</f>
        <v>65703</v>
      </c>
      <c r="BI21">
        <f>Services!Q60</f>
        <v>1519</v>
      </c>
      <c r="BJ21">
        <f>Services!U60</f>
        <v>3803</v>
      </c>
      <c r="BK21">
        <f>Services!AA60</f>
        <v>21979</v>
      </c>
      <c r="BL21">
        <f>Services!AJ60</f>
        <v>243</v>
      </c>
      <c r="BM21">
        <f>Services!AM60</f>
        <v>13429</v>
      </c>
      <c r="BN21">
        <f>Services!AV60</f>
        <v>7257</v>
      </c>
      <c r="BO21">
        <f>Services!AW60</f>
        <v>38998</v>
      </c>
      <c r="BP21">
        <f>Services!BB60</f>
        <v>28888</v>
      </c>
      <c r="BR21" s="34">
        <f t="shared" si="28"/>
        <v>71.937853787787546</v>
      </c>
      <c r="BS21" s="34">
        <f t="shared" si="29"/>
        <v>130.94827586206895</v>
      </c>
      <c r="BT21" s="34">
        <f t="shared" si="30"/>
        <v>82.602085143353605</v>
      </c>
      <c r="BU21" s="34">
        <f t="shared" si="31"/>
        <v>105.88206956354176</v>
      </c>
      <c r="BV21" s="34">
        <f t="shared" si="32"/>
        <v>4.3501611170784109</v>
      </c>
      <c r="BW21" s="34">
        <f t="shared" si="33"/>
        <v>80.144425877297692</v>
      </c>
      <c r="BX21" s="34">
        <f t="shared" si="34"/>
        <v>82.046353872244211</v>
      </c>
      <c r="BY21" s="34">
        <f t="shared" si="35"/>
        <v>90.442728263642479</v>
      </c>
      <c r="BZ21" s="34">
        <f t="shared" si="36"/>
        <v>67.552146665419514</v>
      </c>
    </row>
    <row r="22" spans="1:78" x14ac:dyDescent="0.35">
      <c r="A22" s="101" t="s">
        <v>517</v>
      </c>
      <c r="B22">
        <f>'Total goods'!B61</f>
        <v>126097</v>
      </c>
      <c r="C22">
        <f>Durables!B61</f>
        <v>24628</v>
      </c>
      <c r="D22">
        <f>'Semi-durables'!B61</f>
        <v>20400</v>
      </c>
      <c r="E22">
        <f>'Non-durables'!B61</f>
        <v>84901</v>
      </c>
      <c r="F22">
        <f>Services!B61</f>
        <v>168229</v>
      </c>
      <c r="H22" s="34">
        <f t="shared" si="5"/>
        <v>73.605346875638446</v>
      </c>
      <c r="I22" s="34">
        <f t="shared" si="6"/>
        <v>65.425178652073427</v>
      </c>
      <c r="J22" s="34">
        <f t="shared" si="7"/>
        <v>51.884632992522505</v>
      </c>
      <c r="K22" s="34">
        <f t="shared" si="8"/>
        <v>89.976578810712283</v>
      </c>
      <c r="L22" s="34">
        <f t="shared" si="9"/>
        <v>71.67037311588831</v>
      </c>
      <c r="O22">
        <f>Durables!C61</f>
        <v>8630</v>
      </c>
      <c r="P22">
        <f>Durables!H61</f>
        <v>514</v>
      </c>
      <c r="Q22">
        <f>Durables!J61</f>
        <v>15880</v>
      </c>
      <c r="R22">
        <f>Durables!O61</f>
        <v>1084</v>
      </c>
      <c r="S22">
        <f>Durables!Q61</f>
        <v>1037</v>
      </c>
      <c r="U22" s="34">
        <f t="shared" si="10"/>
        <v>69.714839647790612</v>
      </c>
      <c r="V22" s="34">
        <f t="shared" si="11"/>
        <v>50.097465886939574</v>
      </c>
      <c r="W22" s="34">
        <f t="shared" si="12"/>
        <v>107.65371839197341</v>
      </c>
      <c r="X22" s="34">
        <f t="shared" si="13"/>
        <v>73.942701227830838</v>
      </c>
      <c r="Y22" s="34">
        <f t="shared" si="14"/>
        <v>20.030905930075331</v>
      </c>
      <c r="AB22">
        <f>'Semi-durables'!C61</f>
        <v>10318</v>
      </c>
      <c r="AC22">
        <f>'Semi-durables'!H61</f>
        <v>3672</v>
      </c>
      <c r="AD22">
        <f>'Semi-durables'!M61</f>
        <v>1530</v>
      </c>
      <c r="AE22">
        <f>'Semi-durables'!O61</f>
        <v>4755</v>
      </c>
      <c r="AF22">
        <f>'Semi-durables'!T61</f>
        <v>326</v>
      </c>
      <c r="AH22" s="34">
        <f t="shared" si="15"/>
        <v>50.209245742092456</v>
      </c>
      <c r="AI22" s="34">
        <f t="shared" si="16"/>
        <v>54.724292101341277</v>
      </c>
      <c r="AJ22" s="34">
        <f t="shared" si="17"/>
        <v>117.87365177195686</v>
      </c>
      <c r="AK22" s="34">
        <f t="shared" si="18"/>
        <v>51.200602993431673</v>
      </c>
      <c r="AL22" s="34">
        <f t="shared" si="19"/>
        <v>22.374742621825668</v>
      </c>
      <c r="AO22">
        <f>'Non-durables'!C61</f>
        <v>28225</v>
      </c>
      <c r="AP22">
        <f>'Non-durables'!Q61</f>
        <v>16530</v>
      </c>
      <c r="AQ22">
        <f>'Non-durables'!X61</f>
        <v>21004</v>
      </c>
      <c r="AR22">
        <f>'Non-durables'!AG61</f>
        <v>1482</v>
      </c>
      <c r="AS22">
        <f>'Non-durables'!AI61</f>
        <v>1145</v>
      </c>
      <c r="AT22">
        <f>'Non-durables'!AL61</f>
        <v>9452</v>
      </c>
      <c r="AU22">
        <f>'Non-durables'!AN61</f>
        <v>7695</v>
      </c>
      <c r="AV22">
        <f>'Non-durables'!AT61</f>
        <v>2965</v>
      </c>
      <c r="AX22" s="34">
        <f t="shared" si="20"/>
        <v>77.759105184858669</v>
      </c>
      <c r="AY22" s="34">
        <f t="shared" si="21"/>
        <v>129.11036475825978</v>
      </c>
      <c r="AZ22" s="34">
        <f t="shared" si="22"/>
        <v>125.67462454376832</v>
      </c>
      <c r="BA22" s="34">
        <f t="shared" si="23"/>
        <v>67.36363636363636</v>
      </c>
      <c r="BB22" s="34">
        <f t="shared" si="24"/>
        <v>45.836669335468379</v>
      </c>
      <c r="BC22" s="34">
        <f t="shared" si="25"/>
        <v>101.62348134609182</v>
      </c>
      <c r="BD22" s="34">
        <f t="shared" si="26"/>
        <v>96.428571428571431</v>
      </c>
      <c r="BE22" s="34">
        <f t="shared" si="27"/>
        <v>42.569992821249102</v>
      </c>
      <c r="BH22">
        <f>Services!F61</f>
        <v>66002</v>
      </c>
      <c r="BI22">
        <f>Services!Q61</f>
        <v>1506</v>
      </c>
      <c r="BJ22">
        <f>Services!U61</f>
        <v>3678</v>
      </c>
      <c r="BK22">
        <f>Services!AA61</f>
        <v>21666</v>
      </c>
      <c r="BL22">
        <f>Services!AJ61</f>
        <v>254</v>
      </c>
      <c r="BM22">
        <f>Services!AM61</f>
        <v>13709</v>
      </c>
      <c r="BN22">
        <f>Services!AV61</f>
        <v>7385</v>
      </c>
      <c r="BO22">
        <f>Services!AW61</f>
        <v>39842</v>
      </c>
      <c r="BP22">
        <f>Services!BB61</f>
        <v>29943</v>
      </c>
      <c r="BR22" s="34">
        <f t="shared" si="28"/>
        <v>72.265227245354907</v>
      </c>
      <c r="BS22" s="34">
        <f t="shared" si="29"/>
        <v>129.82758620689657</v>
      </c>
      <c r="BT22" s="34">
        <f t="shared" si="30"/>
        <v>79.887054735013024</v>
      </c>
      <c r="BU22" s="34">
        <f t="shared" si="31"/>
        <v>104.37421716928412</v>
      </c>
      <c r="BV22" s="34">
        <f t="shared" si="32"/>
        <v>4.5470819906910132</v>
      </c>
      <c r="BW22" s="34">
        <f t="shared" si="33"/>
        <v>81.815469085700641</v>
      </c>
      <c r="BX22" s="34">
        <f t="shared" si="34"/>
        <v>83.493499152063308</v>
      </c>
      <c r="BY22" s="34">
        <f t="shared" si="35"/>
        <v>92.400102043182812</v>
      </c>
      <c r="BZ22" s="34">
        <f t="shared" si="36"/>
        <v>70.019175007015249</v>
      </c>
    </row>
    <row r="23" spans="1:78" x14ac:dyDescent="0.35">
      <c r="A23" s="101" t="s">
        <v>518</v>
      </c>
      <c r="B23">
        <f>'Total goods'!B62</f>
        <v>127992</v>
      </c>
      <c r="C23">
        <f>Durables!B62</f>
        <v>24980</v>
      </c>
      <c r="D23">
        <f>'Semi-durables'!B62</f>
        <v>20830</v>
      </c>
      <c r="E23">
        <f>'Non-durables'!B62</f>
        <v>85987</v>
      </c>
      <c r="F23">
        <f>Services!B62</f>
        <v>168631</v>
      </c>
      <c r="H23" s="34">
        <f t="shared" si="5"/>
        <v>74.711496366342701</v>
      </c>
      <c r="I23" s="34">
        <f t="shared" si="6"/>
        <v>66.360279467630107</v>
      </c>
      <c r="J23" s="34">
        <f t="shared" si="7"/>
        <v>52.978279668345287</v>
      </c>
      <c r="K23" s="34">
        <f t="shared" si="8"/>
        <v>91.127502411004784</v>
      </c>
      <c r="L23" s="34">
        <f t="shared" si="9"/>
        <v>71.841636631647106</v>
      </c>
      <c r="O23">
        <f>Durables!C62</f>
        <v>8592</v>
      </c>
      <c r="P23">
        <f>Durables!H62</f>
        <v>483</v>
      </c>
      <c r="Q23">
        <f>Durables!J62</f>
        <v>16028</v>
      </c>
      <c r="R23">
        <f>Durables!O62</f>
        <v>1178</v>
      </c>
      <c r="S23">
        <f>Durables!Q62</f>
        <v>1089</v>
      </c>
      <c r="U23" s="34">
        <f t="shared" si="10"/>
        <v>69.407868163825839</v>
      </c>
      <c r="V23" s="34">
        <f t="shared" si="11"/>
        <v>47.076023391812868</v>
      </c>
      <c r="W23" s="34">
        <f t="shared" si="12"/>
        <v>108.65704020066435</v>
      </c>
      <c r="X23" s="34">
        <f t="shared" si="13"/>
        <v>80.354706684856751</v>
      </c>
      <c r="Y23" s="34">
        <f t="shared" si="14"/>
        <v>21.035348657523663</v>
      </c>
      <c r="AB23">
        <f>'Semi-durables'!C62</f>
        <v>10735</v>
      </c>
      <c r="AC23">
        <f>'Semi-durables'!H62</f>
        <v>3739</v>
      </c>
      <c r="AD23">
        <f>'Semi-durables'!M62</f>
        <v>1251</v>
      </c>
      <c r="AE23">
        <f>'Semi-durables'!O62</f>
        <v>4868</v>
      </c>
      <c r="AF23">
        <f>'Semi-durables'!T62</f>
        <v>343</v>
      </c>
      <c r="AH23" s="34">
        <f t="shared" si="15"/>
        <v>52.238442822384421</v>
      </c>
      <c r="AI23" s="34">
        <f t="shared" si="16"/>
        <v>55.722801788375563</v>
      </c>
      <c r="AJ23" s="34">
        <f t="shared" si="17"/>
        <v>96.37904468412944</v>
      </c>
      <c r="AK23" s="34">
        <f t="shared" si="18"/>
        <v>52.417357596640471</v>
      </c>
      <c r="AL23" s="34">
        <f t="shared" si="19"/>
        <v>23.541523678792039</v>
      </c>
      <c r="AO23">
        <f>'Non-durables'!C62</f>
        <v>29042</v>
      </c>
      <c r="AP23">
        <f>'Non-durables'!Q62</f>
        <v>16407</v>
      </c>
      <c r="AQ23">
        <f>'Non-durables'!X62</f>
        <v>20107</v>
      </c>
      <c r="AR23">
        <f>'Non-durables'!AG62</f>
        <v>1540</v>
      </c>
      <c r="AS23">
        <f>'Non-durables'!AI62</f>
        <v>1209</v>
      </c>
      <c r="AT23">
        <f>'Non-durables'!AL62</f>
        <v>9906</v>
      </c>
      <c r="AU23">
        <f>'Non-durables'!AN62</f>
        <v>7630</v>
      </c>
      <c r="AV23">
        <f>'Non-durables'!AT62</f>
        <v>3031</v>
      </c>
      <c r="AX23" s="34">
        <f t="shared" si="20"/>
        <v>80.00991790181277</v>
      </c>
      <c r="AY23" s="34">
        <f t="shared" si="21"/>
        <v>128.14965242521282</v>
      </c>
      <c r="AZ23" s="34">
        <f t="shared" si="22"/>
        <v>120.30754502483096</v>
      </c>
      <c r="BA23" s="34">
        <f t="shared" si="23"/>
        <v>70</v>
      </c>
      <c r="BB23" s="34">
        <f t="shared" si="24"/>
        <v>48.398718975180145</v>
      </c>
      <c r="BC23" s="34">
        <f t="shared" si="25"/>
        <v>106.5046769164606</v>
      </c>
      <c r="BD23" s="34">
        <f t="shared" si="26"/>
        <v>95.614035087719301</v>
      </c>
      <c r="BE23" s="34">
        <f t="shared" si="27"/>
        <v>43.517587939698494</v>
      </c>
      <c r="BH23">
        <f>Services!F62</f>
        <v>65894</v>
      </c>
      <c r="BI23">
        <f>Services!Q62</f>
        <v>1429</v>
      </c>
      <c r="BJ23">
        <f>Services!U62</f>
        <v>3679</v>
      </c>
      <c r="BK23">
        <f>Services!AA62</f>
        <v>21134</v>
      </c>
      <c r="BL23">
        <f>Services!AJ62</f>
        <v>265</v>
      </c>
      <c r="BM23">
        <f>Services!AM62</f>
        <v>13162</v>
      </c>
      <c r="BN23">
        <f>Services!AV62</f>
        <v>7212</v>
      </c>
      <c r="BO23">
        <f>Services!AW62</f>
        <v>39282</v>
      </c>
      <c r="BP23">
        <f>Services!BB62</f>
        <v>31620</v>
      </c>
      <c r="BR23" s="34">
        <f t="shared" si="28"/>
        <v>72.146978638608175</v>
      </c>
      <c r="BS23" s="34">
        <f t="shared" si="29"/>
        <v>123.18965517241381</v>
      </c>
      <c r="BT23" s="34">
        <f t="shared" si="30"/>
        <v>79.908774978279766</v>
      </c>
      <c r="BU23" s="34">
        <f t="shared" si="31"/>
        <v>101.81134984102516</v>
      </c>
      <c r="BV23" s="34">
        <f t="shared" si="32"/>
        <v>4.7440028643036163</v>
      </c>
      <c r="BW23" s="34">
        <f t="shared" si="33"/>
        <v>78.550966817856292</v>
      </c>
      <c r="BX23" s="34">
        <f t="shared" si="34"/>
        <v>81.537591859807804</v>
      </c>
      <c r="BY23" s="34">
        <f t="shared" si="35"/>
        <v>91.101370625478324</v>
      </c>
      <c r="BZ23" s="34">
        <f t="shared" si="36"/>
        <v>73.940697783182117</v>
      </c>
    </row>
    <row r="24" spans="1:78" x14ac:dyDescent="0.35">
      <c r="A24" s="101" t="s">
        <v>519</v>
      </c>
      <c r="B24">
        <f>'Total goods'!B63</f>
        <v>127872</v>
      </c>
      <c r="C24">
        <f>Durables!B63</f>
        <v>25012</v>
      </c>
      <c r="D24">
        <f>'Semi-durables'!B63</f>
        <v>21395</v>
      </c>
      <c r="E24">
        <f>'Non-durables'!B63</f>
        <v>84753</v>
      </c>
      <c r="F24">
        <f>Services!B63</f>
        <v>169237</v>
      </c>
      <c r="H24" s="34">
        <f t="shared" si="5"/>
        <v>74.641449960598891</v>
      </c>
      <c r="I24" s="34">
        <f t="shared" si="6"/>
        <v>66.445288632680715</v>
      </c>
      <c r="J24" s="34">
        <f t="shared" si="7"/>
        <v>54.415280533089174</v>
      </c>
      <c r="K24" s="34">
        <f t="shared" si="8"/>
        <v>89.819731027247002</v>
      </c>
      <c r="L24" s="34">
        <f t="shared" si="9"/>
        <v>72.099809991223808</v>
      </c>
      <c r="O24">
        <f>Durables!C63</f>
        <v>8772</v>
      </c>
      <c r="P24">
        <f>Durables!H63</f>
        <v>550</v>
      </c>
      <c r="Q24">
        <f>Durables!J63</f>
        <v>15776</v>
      </c>
      <c r="R24">
        <f>Durables!O63</f>
        <v>1013</v>
      </c>
      <c r="S24">
        <f>Durables!Q63</f>
        <v>1096</v>
      </c>
      <c r="U24" s="34">
        <f t="shared" si="10"/>
        <v>70.861943614185321</v>
      </c>
      <c r="V24" s="34">
        <f t="shared" si="11"/>
        <v>53.606237816764136</v>
      </c>
      <c r="W24" s="34">
        <f t="shared" si="12"/>
        <v>106.94868144532575</v>
      </c>
      <c r="X24" s="34">
        <f t="shared" si="13"/>
        <v>69.09959072305594</v>
      </c>
      <c r="Y24" s="34">
        <f t="shared" si="14"/>
        <v>21.170562101603245</v>
      </c>
      <c r="AB24">
        <f>'Semi-durables'!C63</f>
        <v>11127</v>
      </c>
      <c r="AC24">
        <f>'Semi-durables'!H63</f>
        <v>3712</v>
      </c>
      <c r="AD24">
        <f>'Semi-durables'!M63</f>
        <v>1337</v>
      </c>
      <c r="AE24">
        <f>'Semi-durables'!O63</f>
        <v>4979</v>
      </c>
      <c r="AF24">
        <f>'Semi-durables'!T63</f>
        <v>363</v>
      </c>
      <c r="AH24" s="34">
        <f t="shared" si="15"/>
        <v>54.145985401459853</v>
      </c>
      <c r="AI24" s="34">
        <f t="shared" si="16"/>
        <v>55.320417287630406</v>
      </c>
      <c r="AJ24" s="34">
        <f t="shared" si="17"/>
        <v>103.00462249614793</v>
      </c>
      <c r="AK24" s="34">
        <f t="shared" si="18"/>
        <v>53.612576720146443</v>
      </c>
      <c r="AL24" s="34">
        <f t="shared" si="19"/>
        <v>24.91420727522306</v>
      </c>
      <c r="AO24">
        <f>'Non-durables'!C63</f>
        <v>27781</v>
      </c>
      <c r="AP24">
        <f>'Non-durables'!Q63</f>
        <v>16263</v>
      </c>
      <c r="AQ24">
        <f>'Non-durables'!X63</f>
        <v>20221</v>
      </c>
      <c r="AR24">
        <f>'Non-durables'!AG63</f>
        <v>1545</v>
      </c>
      <c r="AS24">
        <f>'Non-durables'!AI63</f>
        <v>1209</v>
      </c>
      <c r="AT24">
        <f>'Non-durables'!AL63</f>
        <v>9800</v>
      </c>
      <c r="AU24">
        <f>'Non-durables'!AN63</f>
        <v>7743</v>
      </c>
      <c r="AV24">
        <f>'Non-durables'!AT63</f>
        <v>3157</v>
      </c>
      <c r="AX24" s="34">
        <f t="shared" si="20"/>
        <v>76.535897294616788</v>
      </c>
      <c r="AY24" s="34">
        <f t="shared" si="21"/>
        <v>127.02491603530423</v>
      </c>
      <c r="AZ24" s="34">
        <f t="shared" si="22"/>
        <v>120.98964877640159</v>
      </c>
      <c r="BA24" s="34">
        <f t="shared" si="23"/>
        <v>70.227272727272734</v>
      </c>
      <c r="BB24" s="34">
        <f t="shared" si="24"/>
        <v>48.398718975180145</v>
      </c>
      <c r="BC24" s="34">
        <f t="shared" si="25"/>
        <v>105.36501451456832</v>
      </c>
      <c r="BD24" s="34">
        <f t="shared" si="26"/>
        <v>97.030075187969928</v>
      </c>
      <c r="BE24" s="34">
        <f t="shared" si="27"/>
        <v>45.326633165829143</v>
      </c>
      <c r="BH24">
        <f>Services!F63</f>
        <v>66115</v>
      </c>
      <c r="BI24">
        <f>Services!Q63</f>
        <v>1531</v>
      </c>
      <c r="BJ24">
        <f>Services!U63</f>
        <v>3953</v>
      </c>
      <c r="BK24">
        <f>Services!AA63</f>
        <v>21856</v>
      </c>
      <c r="BL24">
        <f>Services!AJ63</f>
        <v>271</v>
      </c>
      <c r="BM24">
        <f>Services!AM63</f>
        <v>14251</v>
      </c>
      <c r="BN24">
        <f>Services!AV63</f>
        <v>7239</v>
      </c>
      <c r="BO24">
        <f>Services!AW63</f>
        <v>39453</v>
      </c>
      <c r="BP24">
        <f>Services!BB63</f>
        <v>29906</v>
      </c>
      <c r="BR24" s="34">
        <f t="shared" si="28"/>
        <v>72.388950324636227</v>
      </c>
      <c r="BS24" s="34">
        <f t="shared" si="29"/>
        <v>131.98275862068965</v>
      </c>
      <c r="BT24" s="34">
        <f t="shared" si="30"/>
        <v>85.860121633362297</v>
      </c>
      <c r="BU24" s="34">
        <f t="shared" si="31"/>
        <v>105.28952692937663</v>
      </c>
      <c r="BV24" s="34">
        <f t="shared" si="32"/>
        <v>4.8514142499104906</v>
      </c>
      <c r="BW24" s="34">
        <f t="shared" si="33"/>
        <v>85.05013129625209</v>
      </c>
      <c r="BX24" s="34">
        <f t="shared" si="34"/>
        <v>81.84284906726964</v>
      </c>
      <c r="BY24" s="34">
        <f t="shared" si="35"/>
        <v>91.497947540527377</v>
      </c>
      <c r="BZ24" s="34">
        <f t="shared" si="36"/>
        <v>69.932653633897672</v>
      </c>
    </row>
    <row r="25" spans="1:78" x14ac:dyDescent="0.35">
      <c r="A25" s="101" t="s">
        <v>520</v>
      </c>
      <c r="B25">
        <f>'Total goods'!B64</f>
        <v>128880</v>
      </c>
      <c r="C25">
        <f>Durables!B64</f>
        <v>24528</v>
      </c>
      <c r="D25">
        <f>'Semi-durables'!B64</f>
        <v>21948</v>
      </c>
      <c r="E25">
        <f>'Non-durables'!B64</f>
        <v>85947</v>
      </c>
      <c r="F25">
        <f>Services!B64</f>
        <v>169682</v>
      </c>
      <c r="H25" s="34">
        <f t="shared" si="5"/>
        <v>75.229839768846858</v>
      </c>
      <c r="I25" s="34">
        <f t="shared" si="6"/>
        <v>65.15952501129027</v>
      </c>
      <c r="J25" s="34">
        <f t="shared" si="7"/>
        <v>55.821761025484506</v>
      </c>
      <c r="K25" s="34">
        <f t="shared" si="8"/>
        <v>91.085111118176329</v>
      </c>
      <c r="L25" s="34">
        <f t="shared" si="9"/>
        <v>72.289392738767759</v>
      </c>
      <c r="O25">
        <f>Durables!C64</f>
        <v>8487</v>
      </c>
      <c r="P25">
        <f>Durables!H64</f>
        <v>605</v>
      </c>
      <c r="Q25">
        <f>Durables!J64</f>
        <v>15316</v>
      </c>
      <c r="R25">
        <f>Durables!O64</f>
        <v>1032</v>
      </c>
      <c r="S25">
        <f>Durables!Q64</f>
        <v>1106</v>
      </c>
      <c r="U25" s="34">
        <f t="shared" si="10"/>
        <v>68.55965748444946</v>
      </c>
      <c r="V25" s="34">
        <f t="shared" si="11"/>
        <v>58.966861598440545</v>
      </c>
      <c r="W25" s="34">
        <f t="shared" si="12"/>
        <v>103.83024879669176</v>
      </c>
      <c r="X25" s="34">
        <f t="shared" si="13"/>
        <v>70.395634379263299</v>
      </c>
      <c r="Y25" s="34">
        <f t="shared" si="14"/>
        <v>21.363724164574077</v>
      </c>
      <c r="AB25">
        <f>'Semi-durables'!C64</f>
        <v>11269</v>
      </c>
      <c r="AC25">
        <f>'Semi-durables'!H64</f>
        <v>3806</v>
      </c>
      <c r="AD25">
        <f>'Semi-durables'!M64</f>
        <v>1571</v>
      </c>
      <c r="AE25">
        <f>'Semi-durables'!O64</f>
        <v>5091</v>
      </c>
      <c r="AF25">
        <f>'Semi-durables'!T64</f>
        <v>399</v>
      </c>
      <c r="AH25" s="34">
        <f t="shared" si="15"/>
        <v>54.836982968369831</v>
      </c>
      <c r="AI25" s="34">
        <f t="shared" si="16"/>
        <v>56.721311475409841</v>
      </c>
      <c r="AJ25" s="34">
        <f t="shared" si="17"/>
        <v>121.03235747303545</v>
      </c>
      <c r="AK25" s="34">
        <f t="shared" si="18"/>
        <v>54.818563583503824</v>
      </c>
      <c r="AL25" s="34">
        <f t="shared" si="19"/>
        <v>27.385037748798901</v>
      </c>
      <c r="AO25">
        <f>'Non-durables'!C64</f>
        <v>28244</v>
      </c>
      <c r="AP25">
        <f>'Non-durables'!Q64</f>
        <v>16489</v>
      </c>
      <c r="AQ25">
        <f>'Non-durables'!X64</f>
        <v>20580</v>
      </c>
      <c r="AR25">
        <f>'Non-durables'!AG64</f>
        <v>1599</v>
      </c>
      <c r="AS25">
        <f>'Non-durables'!AI64</f>
        <v>1243</v>
      </c>
      <c r="AT25">
        <f>'Non-durables'!AL64</f>
        <v>9559</v>
      </c>
      <c r="AU25">
        <f>'Non-durables'!AN64</f>
        <v>8048</v>
      </c>
      <c r="AV25">
        <f>'Non-durables'!AT64</f>
        <v>3197</v>
      </c>
      <c r="AX25" s="34">
        <f t="shared" si="20"/>
        <v>77.811449666648301</v>
      </c>
      <c r="AY25" s="34">
        <f t="shared" si="21"/>
        <v>128.7901273139108</v>
      </c>
      <c r="AZ25" s="34">
        <f t="shared" si="22"/>
        <v>123.13767725722491</v>
      </c>
      <c r="BA25" s="34">
        <f t="shared" si="23"/>
        <v>72.681818181818187</v>
      </c>
      <c r="BB25" s="34">
        <f t="shared" si="24"/>
        <v>49.75980784627702</v>
      </c>
      <c r="BC25" s="34">
        <f t="shared" si="25"/>
        <v>102.77389528007741</v>
      </c>
      <c r="BD25" s="34">
        <f t="shared" si="26"/>
        <v>100.85213032581453</v>
      </c>
      <c r="BE25" s="34">
        <f t="shared" si="27"/>
        <v>45.900933237616655</v>
      </c>
      <c r="BH25">
        <f>Services!F64</f>
        <v>66342</v>
      </c>
      <c r="BI25">
        <f>Services!Q64</f>
        <v>1285</v>
      </c>
      <c r="BJ25">
        <f>Services!U64</f>
        <v>3851</v>
      </c>
      <c r="BK25">
        <f>Services!AA64</f>
        <v>21786</v>
      </c>
      <c r="BL25">
        <f>Services!AJ64</f>
        <v>279</v>
      </c>
      <c r="BM25">
        <f>Services!AM64</f>
        <v>14167</v>
      </c>
      <c r="BN25">
        <f>Services!AV64</f>
        <v>7274</v>
      </c>
      <c r="BO25">
        <f>Services!AW64</f>
        <v>39469</v>
      </c>
      <c r="BP25">
        <f>Services!BB64</f>
        <v>30348</v>
      </c>
      <c r="BR25" s="34">
        <f t="shared" si="28"/>
        <v>72.637491377705757</v>
      </c>
      <c r="BS25" s="34">
        <f t="shared" si="29"/>
        <v>110.77586206896552</v>
      </c>
      <c r="BT25" s="34">
        <f t="shared" si="30"/>
        <v>83.644656820156385</v>
      </c>
      <c r="BU25" s="34">
        <f t="shared" si="31"/>
        <v>104.95230754407939</v>
      </c>
      <c r="BV25" s="34">
        <f t="shared" si="32"/>
        <v>4.9946294307196561</v>
      </c>
      <c r="BW25" s="34">
        <f t="shared" si="33"/>
        <v>84.548818333731205</v>
      </c>
      <c r="BX25" s="34">
        <f t="shared" si="34"/>
        <v>82.238552854720183</v>
      </c>
      <c r="BY25" s="34">
        <f t="shared" si="35"/>
        <v>91.535054152461797</v>
      </c>
      <c r="BZ25" s="34">
        <f t="shared" si="36"/>
        <v>70.966233280329249</v>
      </c>
    </row>
    <row r="26" spans="1:78" x14ac:dyDescent="0.35">
      <c r="A26" s="101" t="s">
        <v>521</v>
      </c>
      <c r="B26">
        <f>'Total goods'!B65</f>
        <v>130712</v>
      </c>
      <c r="C26">
        <f>Durables!B65</f>
        <v>24967</v>
      </c>
      <c r="D26">
        <f>'Semi-durables'!B65</f>
        <v>22190</v>
      </c>
      <c r="E26">
        <f>'Non-durables'!B65</f>
        <v>87131</v>
      </c>
      <c r="F26">
        <f>Services!B65</f>
        <v>170970</v>
      </c>
      <c r="H26" s="34">
        <f t="shared" si="5"/>
        <v>76.299214896535617</v>
      </c>
      <c r="I26" s="34">
        <f t="shared" si="6"/>
        <v>66.325744494328305</v>
      </c>
      <c r="J26" s="34">
        <f t="shared" si="7"/>
        <v>56.437255201180122</v>
      </c>
      <c r="K26" s="34">
        <f t="shared" si="8"/>
        <v>92.339893385898534</v>
      </c>
      <c r="L26" s="34">
        <f t="shared" si="9"/>
        <v>72.838117635029775</v>
      </c>
      <c r="O26">
        <f>Durables!C65</f>
        <v>8633</v>
      </c>
      <c r="P26">
        <f>Durables!H65</f>
        <v>680</v>
      </c>
      <c r="Q26">
        <f>Durables!J65</f>
        <v>15708</v>
      </c>
      <c r="R26">
        <f>Durables!O65</f>
        <v>1025</v>
      </c>
      <c r="S26">
        <f>Durables!Q65</f>
        <v>1115</v>
      </c>
      <c r="U26" s="34">
        <f t="shared" si="10"/>
        <v>69.739074238629939</v>
      </c>
      <c r="V26" s="34">
        <f t="shared" si="11"/>
        <v>66.276803118908376</v>
      </c>
      <c r="W26" s="34">
        <f t="shared" si="12"/>
        <v>106.48769574944072</v>
      </c>
      <c r="X26" s="34">
        <f t="shared" si="13"/>
        <v>69.918144611186904</v>
      </c>
      <c r="Y26" s="34">
        <f t="shared" si="14"/>
        <v>21.537570021247827</v>
      </c>
      <c r="AB26">
        <f>'Semi-durables'!C65</f>
        <v>11531</v>
      </c>
      <c r="AC26">
        <f>'Semi-durables'!H65</f>
        <v>3903</v>
      </c>
      <c r="AD26">
        <f>'Semi-durables'!M65</f>
        <v>1360</v>
      </c>
      <c r="AE26">
        <f>'Semi-durables'!O65</f>
        <v>5124</v>
      </c>
      <c r="AF26">
        <f>'Semi-durables'!T65</f>
        <v>405</v>
      </c>
      <c r="AH26" s="34">
        <f t="shared" si="15"/>
        <v>56.111922141119223</v>
      </c>
      <c r="AI26" s="34">
        <f t="shared" si="16"/>
        <v>58.166915052160952</v>
      </c>
      <c r="AJ26" s="34">
        <f t="shared" si="17"/>
        <v>104.77657935285055</v>
      </c>
      <c r="AK26" s="34">
        <f t="shared" si="18"/>
        <v>55.173898998600194</v>
      </c>
      <c r="AL26" s="34">
        <f t="shared" si="19"/>
        <v>27.796842827728206</v>
      </c>
      <c r="AO26">
        <f>'Non-durables'!C65</f>
        <v>28953</v>
      </c>
      <c r="AP26">
        <f>'Non-durables'!Q65</f>
        <v>16614</v>
      </c>
      <c r="AQ26">
        <f>'Non-durables'!X65</f>
        <v>20594</v>
      </c>
      <c r="AR26">
        <f>'Non-durables'!AG65</f>
        <v>1638</v>
      </c>
      <c r="AS26">
        <f>'Non-durables'!AI65</f>
        <v>1227</v>
      </c>
      <c r="AT26">
        <f>'Non-durables'!AL65</f>
        <v>10025</v>
      </c>
      <c r="AU26">
        <f>'Non-durables'!AN65</f>
        <v>7775</v>
      </c>
      <c r="AV26">
        <f>'Non-durables'!AT65</f>
        <v>3235</v>
      </c>
      <c r="AX26" s="34">
        <f t="shared" si="20"/>
        <v>79.764725329219246</v>
      </c>
      <c r="AY26" s="34">
        <f t="shared" si="21"/>
        <v>129.76646098570649</v>
      </c>
      <c r="AZ26" s="34">
        <f t="shared" si="22"/>
        <v>123.22144438461078</v>
      </c>
      <c r="BA26" s="34">
        <f t="shared" si="23"/>
        <v>74.454545454545453</v>
      </c>
      <c r="BB26" s="34">
        <f t="shared" si="24"/>
        <v>49.119295436349084</v>
      </c>
      <c r="BC26" s="34">
        <f t="shared" si="25"/>
        <v>107.78410923556608</v>
      </c>
      <c r="BD26" s="34">
        <f t="shared" si="26"/>
        <v>97.431077694235597</v>
      </c>
      <c r="BE26" s="34">
        <f t="shared" si="27"/>
        <v>46.446518305814791</v>
      </c>
      <c r="BH26">
        <f>Services!F65</f>
        <v>66771</v>
      </c>
      <c r="BI26">
        <f>Services!Q65</f>
        <v>1227</v>
      </c>
      <c r="BJ26">
        <f>Services!U65</f>
        <v>3721</v>
      </c>
      <c r="BK26">
        <f>Services!AA65</f>
        <v>22094</v>
      </c>
      <c r="BL26">
        <f>Services!AJ65</f>
        <v>293</v>
      </c>
      <c r="BM26">
        <f>Services!AM65</f>
        <v>14585</v>
      </c>
      <c r="BN26">
        <f>Services!AV65</f>
        <v>7263</v>
      </c>
      <c r="BO26">
        <f>Services!AW65</f>
        <v>40012</v>
      </c>
      <c r="BP26">
        <f>Services!BB65</f>
        <v>30031</v>
      </c>
      <c r="BR26" s="34">
        <f t="shared" si="28"/>
        <v>73.107201121171968</v>
      </c>
      <c r="BS26" s="34">
        <f t="shared" si="29"/>
        <v>105.77586206896552</v>
      </c>
      <c r="BT26" s="34">
        <f t="shared" si="30"/>
        <v>80.821025195482193</v>
      </c>
      <c r="BU26" s="34">
        <f t="shared" si="31"/>
        <v>106.43607283938724</v>
      </c>
      <c r="BV26" s="34">
        <f t="shared" si="32"/>
        <v>5.245255997135696</v>
      </c>
      <c r="BW26" s="34">
        <f t="shared" si="33"/>
        <v>87.043447123418474</v>
      </c>
      <c r="BX26" s="34">
        <f t="shared" si="34"/>
        <v>82.11418880723572</v>
      </c>
      <c r="BY26" s="34">
        <f t="shared" si="35"/>
        <v>92.794359794985965</v>
      </c>
      <c r="BZ26" s="34">
        <f t="shared" si="36"/>
        <v>70.224955570105692</v>
      </c>
    </row>
    <row r="27" spans="1:78" x14ac:dyDescent="0.35">
      <c r="A27" s="101" t="s">
        <v>522</v>
      </c>
      <c r="B27">
        <f>'Total goods'!B66</f>
        <v>132045</v>
      </c>
      <c r="C27">
        <f>Durables!B66</f>
        <v>25343</v>
      </c>
      <c r="D27">
        <f>'Semi-durables'!B66</f>
        <v>22210</v>
      </c>
      <c r="E27">
        <f>'Non-durables'!B66</f>
        <v>88177</v>
      </c>
      <c r="F27">
        <f>Services!B66</f>
        <v>172053</v>
      </c>
      <c r="H27" s="34">
        <f t="shared" si="5"/>
        <v>77.077313720339731</v>
      </c>
      <c r="I27" s="34">
        <f t="shared" si="6"/>
        <v>67.324602183672937</v>
      </c>
      <c r="J27" s="34">
        <f t="shared" si="7"/>
        <v>56.488122488427692</v>
      </c>
      <c r="K27" s="34">
        <f t="shared" si="8"/>
        <v>93.44842569336258</v>
      </c>
      <c r="L27" s="34">
        <f t="shared" si="9"/>
        <v>73.299506658827738</v>
      </c>
      <c r="O27">
        <f>Durables!C66</f>
        <v>8942</v>
      </c>
      <c r="P27">
        <f>Durables!H66</f>
        <v>730</v>
      </c>
      <c r="Q27">
        <f>Durables!J66</f>
        <v>15751</v>
      </c>
      <c r="R27">
        <f>Durables!O66</f>
        <v>991</v>
      </c>
      <c r="S27">
        <f>Durables!Q66</f>
        <v>1154</v>
      </c>
      <c r="U27" s="34">
        <f t="shared" si="10"/>
        <v>72.235237095080379</v>
      </c>
      <c r="V27" s="34">
        <f t="shared" si="11"/>
        <v>71.150097465886944</v>
      </c>
      <c r="W27" s="34">
        <f t="shared" si="12"/>
        <v>106.77920141007388</v>
      </c>
      <c r="X27" s="34">
        <f t="shared" si="13"/>
        <v>67.598908594815825</v>
      </c>
      <c r="Y27" s="34">
        <f t="shared" si="14"/>
        <v>22.290902066834072</v>
      </c>
      <c r="AB27">
        <f>'Semi-durables'!C66</f>
        <v>11543</v>
      </c>
      <c r="AC27">
        <f>'Semi-durables'!H66</f>
        <v>3814</v>
      </c>
      <c r="AD27">
        <f>'Semi-durables'!M66</f>
        <v>1258</v>
      </c>
      <c r="AE27">
        <f>'Semi-durables'!O66</f>
        <v>5287</v>
      </c>
      <c r="AF27">
        <f>'Semi-durables'!T66</f>
        <v>390</v>
      </c>
      <c r="AH27" s="34">
        <f t="shared" si="15"/>
        <v>56.17031630170316</v>
      </c>
      <c r="AI27" s="34">
        <f t="shared" si="16"/>
        <v>56.840536512667661</v>
      </c>
      <c r="AJ27" s="34">
        <f t="shared" si="17"/>
        <v>96.918335901386754</v>
      </c>
      <c r="AK27" s="34">
        <f t="shared" si="18"/>
        <v>56.929040594379245</v>
      </c>
      <c r="AL27" s="34">
        <f t="shared" si="19"/>
        <v>26.767330130404943</v>
      </c>
      <c r="AO27">
        <f>'Non-durables'!C66</f>
        <v>30118</v>
      </c>
      <c r="AP27">
        <f>'Non-durables'!Q66</f>
        <v>16843</v>
      </c>
      <c r="AQ27">
        <f>'Non-durables'!X66</f>
        <v>20663</v>
      </c>
      <c r="AR27">
        <f>'Non-durables'!AG66</f>
        <v>1643</v>
      </c>
      <c r="AS27">
        <f>'Non-durables'!AI66</f>
        <v>1184</v>
      </c>
      <c r="AT27">
        <f>'Non-durables'!AL66</f>
        <v>9509</v>
      </c>
      <c r="AU27">
        <f>'Non-durables'!AN66</f>
        <v>7851</v>
      </c>
      <c r="AV27">
        <f>'Non-durables'!AT66</f>
        <v>3257</v>
      </c>
      <c r="AX27" s="34">
        <f t="shared" si="20"/>
        <v>82.9742685547413</v>
      </c>
      <c r="AY27" s="34">
        <f t="shared" si="21"/>
        <v>131.55510427243615</v>
      </c>
      <c r="AZ27" s="34">
        <f t="shared" si="22"/>
        <v>123.63429665529829</v>
      </c>
      <c r="BA27" s="34">
        <f t="shared" si="23"/>
        <v>74.681818181818187</v>
      </c>
      <c r="BB27" s="34">
        <f t="shared" si="24"/>
        <v>47.397918334667736</v>
      </c>
      <c r="BC27" s="34">
        <f t="shared" si="25"/>
        <v>102.23631867541125</v>
      </c>
      <c r="BD27" s="34">
        <f t="shared" si="26"/>
        <v>98.383458646616546</v>
      </c>
      <c r="BE27" s="34">
        <f t="shared" si="27"/>
        <v>46.76238334529792</v>
      </c>
      <c r="BH27">
        <f>Services!F66</f>
        <v>67253</v>
      </c>
      <c r="BI27">
        <f>Services!Q66</f>
        <v>1305</v>
      </c>
      <c r="BJ27">
        <f>Services!U66</f>
        <v>3613</v>
      </c>
      <c r="BK27">
        <f>Services!AA66</f>
        <v>22126</v>
      </c>
      <c r="BL27">
        <f>Services!AJ66</f>
        <v>312</v>
      </c>
      <c r="BM27">
        <f>Services!AM66</f>
        <v>13896</v>
      </c>
      <c r="BN27">
        <f>Services!AV66</f>
        <v>6791</v>
      </c>
      <c r="BO27">
        <f>Services!AW66</f>
        <v>40335</v>
      </c>
      <c r="BP27">
        <f>Services!BB66</f>
        <v>30743</v>
      </c>
      <c r="BR27" s="34">
        <f t="shared" si="28"/>
        <v>73.63494027350464</v>
      </c>
      <c r="BS27" s="34">
        <f t="shared" si="29"/>
        <v>112.5</v>
      </c>
      <c r="BT27" s="34">
        <f t="shared" si="30"/>
        <v>78.475238922675942</v>
      </c>
      <c r="BU27" s="34">
        <f t="shared" si="31"/>
        <v>106.59023027266596</v>
      </c>
      <c r="BV27" s="34">
        <f t="shared" si="32"/>
        <v>5.5853920515574655</v>
      </c>
      <c r="BW27" s="34">
        <f t="shared" si="33"/>
        <v>82.931487228455481</v>
      </c>
      <c r="BX27" s="34">
        <f t="shared" si="34"/>
        <v>76.777840587902773</v>
      </c>
      <c r="BY27" s="34">
        <f t="shared" si="35"/>
        <v>93.543449523411951</v>
      </c>
      <c r="BZ27" s="34">
        <f t="shared" si="36"/>
        <v>71.889907398746615</v>
      </c>
    </row>
    <row r="28" spans="1:78" x14ac:dyDescent="0.35">
      <c r="A28" s="101" t="s">
        <v>523</v>
      </c>
      <c r="B28">
        <f>'Total goods'!B67</f>
        <v>133320</v>
      </c>
      <c r="C28">
        <f>Durables!B67</f>
        <v>25611</v>
      </c>
      <c r="D28">
        <f>'Semi-durables'!B67</f>
        <v>22777</v>
      </c>
      <c r="E28">
        <f>'Non-durables'!B67</f>
        <v>88356</v>
      </c>
      <c r="F28">
        <f>Services!B67</f>
        <v>172874</v>
      </c>
      <c r="H28" s="34">
        <f t="shared" si="5"/>
        <v>77.821556781367647</v>
      </c>
      <c r="I28" s="34">
        <f t="shared" si="6"/>
        <v>68.036553940971757</v>
      </c>
      <c r="J28" s="34">
        <f t="shared" si="7"/>
        <v>57.930210081896327</v>
      </c>
      <c r="K28" s="34">
        <f t="shared" si="8"/>
        <v>93.638126728769905</v>
      </c>
      <c r="L28" s="34">
        <f t="shared" si="9"/>
        <v>73.649276177330165</v>
      </c>
      <c r="O28">
        <f>Durables!C67</f>
        <v>8843</v>
      </c>
      <c r="P28">
        <f>Durables!H67</f>
        <v>792</v>
      </c>
      <c r="Q28">
        <f>Durables!J67</f>
        <v>15735</v>
      </c>
      <c r="R28">
        <f>Durables!O67</f>
        <v>1115</v>
      </c>
      <c r="S28">
        <f>Durables!Q67</f>
        <v>1211</v>
      </c>
      <c r="U28" s="34">
        <f t="shared" si="10"/>
        <v>71.435495597382655</v>
      </c>
      <c r="V28" s="34">
        <f t="shared" si="11"/>
        <v>77.192982456140342</v>
      </c>
      <c r="W28" s="34">
        <f t="shared" si="12"/>
        <v>106.67073418751272</v>
      </c>
      <c r="X28" s="34">
        <f t="shared" si="13"/>
        <v>76.057298772169162</v>
      </c>
      <c r="Y28" s="34">
        <f t="shared" si="14"/>
        <v>23.391925825767821</v>
      </c>
      <c r="AB28">
        <f>'Semi-durables'!C67</f>
        <v>11789</v>
      </c>
      <c r="AC28">
        <f>'Semi-durables'!H67</f>
        <v>3840</v>
      </c>
      <c r="AD28">
        <f>'Semi-durables'!M67</f>
        <v>1515</v>
      </c>
      <c r="AE28">
        <f>'Semi-durables'!O67</f>
        <v>5348</v>
      </c>
      <c r="AF28">
        <f>'Semi-durables'!T67</f>
        <v>430</v>
      </c>
      <c r="AH28" s="34">
        <f t="shared" si="15"/>
        <v>57.367396593673966</v>
      </c>
      <c r="AI28" s="34">
        <f t="shared" si="16"/>
        <v>57.228017883755591</v>
      </c>
      <c r="AJ28" s="34">
        <f t="shared" si="17"/>
        <v>116.71802773497689</v>
      </c>
      <c r="AK28" s="34">
        <f t="shared" si="18"/>
        <v>57.585872725314957</v>
      </c>
      <c r="AL28" s="34">
        <f t="shared" si="19"/>
        <v>29.512697323266984</v>
      </c>
      <c r="AO28">
        <f>'Non-durables'!C67</f>
        <v>29632</v>
      </c>
      <c r="AP28">
        <f>'Non-durables'!Q67</f>
        <v>17123</v>
      </c>
      <c r="AQ28">
        <f>'Non-durables'!X67</f>
        <v>20548</v>
      </c>
      <c r="AR28">
        <f>'Non-durables'!AG67</f>
        <v>1643</v>
      </c>
      <c r="AS28">
        <f>'Non-durables'!AI67</f>
        <v>1125</v>
      </c>
      <c r="AT28">
        <f>'Non-durables'!AL67</f>
        <v>10141</v>
      </c>
      <c r="AU28">
        <f>'Non-durables'!AN67</f>
        <v>7571</v>
      </c>
      <c r="AV28">
        <f>'Non-durables'!AT67</f>
        <v>3412</v>
      </c>
      <c r="AX28" s="34">
        <f t="shared" si="20"/>
        <v>81.63535181001707</v>
      </c>
      <c r="AY28" s="34">
        <f t="shared" si="21"/>
        <v>133.74209169725845</v>
      </c>
      <c r="AZ28" s="34">
        <f t="shared" si="22"/>
        <v>122.94620953748579</v>
      </c>
      <c r="BA28" s="34">
        <f t="shared" si="23"/>
        <v>74.681818181818187</v>
      </c>
      <c r="BB28" s="34">
        <f t="shared" si="24"/>
        <v>45.036028823058452</v>
      </c>
      <c r="BC28" s="34">
        <f t="shared" si="25"/>
        <v>109.03128695839158</v>
      </c>
      <c r="BD28" s="34">
        <f t="shared" si="26"/>
        <v>94.874686716791985</v>
      </c>
      <c r="BE28" s="34">
        <f t="shared" si="27"/>
        <v>48.987796123474517</v>
      </c>
      <c r="BH28">
        <f>Services!F67</f>
        <v>67813</v>
      </c>
      <c r="BI28">
        <f>Services!Q67</f>
        <v>1237</v>
      </c>
      <c r="BJ28">
        <f>Services!U67</f>
        <v>3797</v>
      </c>
      <c r="BK28">
        <f>Services!AA67</f>
        <v>21690</v>
      </c>
      <c r="BL28">
        <f>Services!AJ67</f>
        <v>324</v>
      </c>
      <c r="BM28">
        <f>Services!AM67</f>
        <v>14585</v>
      </c>
      <c r="BN28">
        <f>Services!AV67</f>
        <v>6845</v>
      </c>
      <c r="BO28">
        <f>Services!AW67</f>
        <v>40120</v>
      </c>
      <c r="BP28">
        <f>Services!BB67</f>
        <v>30596</v>
      </c>
      <c r="BR28" s="34">
        <f t="shared" si="28"/>
        <v>74.248081197376635</v>
      </c>
      <c r="BS28" s="34">
        <f t="shared" si="29"/>
        <v>106.63793103448276</v>
      </c>
      <c r="BT28" s="34">
        <f t="shared" si="30"/>
        <v>82.471763683753267</v>
      </c>
      <c r="BU28" s="34">
        <f t="shared" si="31"/>
        <v>104.48983524424318</v>
      </c>
      <c r="BV28" s="34">
        <f t="shared" si="32"/>
        <v>5.8002148227712134</v>
      </c>
      <c r="BW28" s="34">
        <f t="shared" si="33"/>
        <v>87.043447123418474</v>
      </c>
      <c r="BX28" s="34">
        <f t="shared" si="34"/>
        <v>77.388355002826458</v>
      </c>
      <c r="BY28" s="34">
        <f t="shared" si="35"/>
        <v>93.04482942554327</v>
      </c>
      <c r="BZ28" s="34">
        <f t="shared" si="36"/>
        <v>71.546160321765967</v>
      </c>
    </row>
    <row r="29" spans="1:78" x14ac:dyDescent="0.35">
      <c r="A29" s="101" t="s">
        <v>524</v>
      </c>
      <c r="B29">
        <f>'Total goods'!B68</f>
        <v>135678</v>
      </c>
      <c r="C29">
        <f>Durables!B68</f>
        <v>26377</v>
      </c>
      <c r="D29">
        <f>'Semi-durables'!B68</f>
        <v>23186</v>
      </c>
      <c r="E29">
        <f>'Non-durables'!B68</f>
        <v>89349</v>
      </c>
      <c r="F29">
        <f>Services!B68</f>
        <v>174685</v>
      </c>
      <c r="H29" s="34">
        <f t="shared" si="5"/>
        <v>79.197968654233435</v>
      </c>
      <c r="I29" s="34">
        <f t="shared" si="6"/>
        <v>70.071460829370665</v>
      </c>
      <c r="J29" s="34">
        <f t="shared" si="7"/>
        <v>58.970446106109165</v>
      </c>
      <c r="K29" s="34">
        <f t="shared" si="8"/>
        <v>94.690490573236247</v>
      </c>
      <c r="L29" s="34">
        <f t="shared" si="9"/>
        <v>74.420814055537093</v>
      </c>
      <c r="O29">
        <f>Durables!C68</f>
        <v>9311</v>
      </c>
      <c r="P29">
        <f>Durables!H68</f>
        <v>812</v>
      </c>
      <c r="Q29">
        <f>Durables!J68</f>
        <v>16076</v>
      </c>
      <c r="R29">
        <f>Durables!O68</f>
        <v>1080</v>
      </c>
      <c r="S29">
        <f>Durables!Q68</f>
        <v>1268</v>
      </c>
      <c r="U29" s="34">
        <f t="shared" si="10"/>
        <v>75.216091768317312</v>
      </c>
      <c r="V29" s="34">
        <f t="shared" si="11"/>
        <v>79.142300194931764</v>
      </c>
      <c r="W29" s="34">
        <f t="shared" si="12"/>
        <v>108.98244186834791</v>
      </c>
      <c r="X29" s="34">
        <f t="shared" si="13"/>
        <v>73.669849931787184</v>
      </c>
      <c r="Y29" s="34">
        <f t="shared" si="14"/>
        <v>24.492949584701567</v>
      </c>
      <c r="AB29">
        <f>'Semi-durables'!C68</f>
        <v>12009</v>
      </c>
      <c r="AC29">
        <f>'Semi-durables'!H68</f>
        <v>3733</v>
      </c>
      <c r="AD29">
        <f>'Semi-durables'!M68</f>
        <v>1512</v>
      </c>
      <c r="AE29">
        <f>'Semi-durables'!O68</f>
        <v>5602</v>
      </c>
      <c r="AF29">
        <f>'Semi-durables'!T68</f>
        <v>445</v>
      </c>
      <c r="AH29" s="34">
        <f t="shared" si="15"/>
        <v>58.43795620437956</v>
      </c>
      <c r="AI29" s="34">
        <f t="shared" si="16"/>
        <v>55.63338301043219</v>
      </c>
      <c r="AJ29" s="34">
        <f t="shared" si="17"/>
        <v>116.4869029275809</v>
      </c>
      <c r="AK29" s="34">
        <f t="shared" si="18"/>
        <v>60.320878647571874</v>
      </c>
      <c r="AL29" s="34">
        <f t="shared" si="19"/>
        <v>30.542210020590254</v>
      </c>
      <c r="AO29">
        <f>'Non-durables'!C68</f>
        <v>30510</v>
      </c>
      <c r="AP29">
        <f>'Non-durables'!Q68</f>
        <v>17186</v>
      </c>
      <c r="AQ29">
        <f>'Non-durables'!X68</f>
        <v>20113</v>
      </c>
      <c r="AR29">
        <f>'Non-durables'!AG68</f>
        <v>1719</v>
      </c>
      <c r="AS29">
        <f>'Non-durables'!AI68</f>
        <v>1086</v>
      </c>
      <c r="AT29">
        <f>'Non-durables'!AL68</f>
        <v>9969</v>
      </c>
      <c r="AU29">
        <f>'Non-durables'!AN68</f>
        <v>7646</v>
      </c>
      <c r="AV29">
        <f>'Non-durables'!AT68</f>
        <v>3546</v>
      </c>
      <c r="AX29" s="34">
        <f t="shared" si="20"/>
        <v>84.054217863243153</v>
      </c>
      <c r="AY29" s="34">
        <f t="shared" si="21"/>
        <v>134.23416386784348</v>
      </c>
      <c r="AZ29" s="34">
        <f t="shared" si="22"/>
        <v>120.34344522228207</v>
      </c>
      <c r="BA29" s="34">
        <f t="shared" si="23"/>
        <v>78.13636363636364</v>
      </c>
      <c r="BB29" s="34">
        <f t="shared" si="24"/>
        <v>43.474779823859087</v>
      </c>
      <c r="BC29" s="34">
        <f t="shared" si="25"/>
        <v>107.18202343833995</v>
      </c>
      <c r="BD29" s="34">
        <f t="shared" si="26"/>
        <v>95.814536340852129</v>
      </c>
      <c r="BE29" s="34">
        <f t="shared" si="27"/>
        <v>50.911701363962671</v>
      </c>
      <c r="BH29">
        <f>Services!F68</f>
        <v>68641</v>
      </c>
      <c r="BI29">
        <f>Services!Q68</f>
        <v>1213</v>
      </c>
      <c r="BJ29">
        <f>Services!U68</f>
        <v>3739</v>
      </c>
      <c r="BK29">
        <f>Services!AA68</f>
        <v>21603</v>
      </c>
      <c r="BL29">
        <f>Services!AJ68</f>
        <v>340</v>
      </c>
      <c r="BM29">
        <f>Services!AM68</f>
        <v>14696</v>
      </c>
      <c r="BN29">
        <f>Services!AV68</f>
        <v>6920</v>
      </c>
      <c r="BO29">
        <f>Services!AW68</f>
        <v>40336</v>
      </c>
      <c r="BP29">
        <f>Services!BB68</f>
        <v>31091</v>
      </c>
      <c r="BR29" s="34">
        <f t="shared" si="28"/>
        <v>75.154653849101635</v>
      </c>
      <c r="BS29" s="34">
        <f t="shared" si="29"/>
        <v>104.56896551724138</v>
      </c>
      <c r="BT29" s="34">
        <f t="shared" si="30"/>
        <v>81.211989574283223</v>
      </c>
      <c r="BU29" s="34">
        <f t="shared" si="31"/>
        <v>104.07071972251663</v>
      </c>
      <c r="BV29" s="34">
        <f t="shared" si="32"/>
        <v>6.0866451843895453</v>
      </c>
      <c r="BW29" s="34">
        <f t="shared" si="33"/>
        <v>87.705896395321076</v>
      </c>
      <c r="BX29" s="34">
        <f t="shared" si="34"/>
        <v>78.236291690220455</v>
      </c>
      <c r="BY29" s="34">
        <f t="shared" si="35"/>
        <v>93.545768686657851</v>
      </c>
      <c r="BZ29" s="34">
        <f t="shared" si="36"/>
        <v>72.703675989149758</v>
      </c>
    </row>
    <row r="30" spans="1:78" x14ac:dyDescent="0.35">
      <c r="A30" s="101" t="s">
        <v>525</v>
      </c>
      <c r="B30">
        <f>'Total goods'!B69</f>
        <v>136399</v>
      </c>
      <c r="C30">
        <f>Durables!B69</f>
        <v>26709</v>
      </c>
      <c r="D30">
        <f>'Semi-durables'!B69</f>
        <v>23395</v>
      </c>
      <c r="E30">
        <f>'Non-durables'!B69</f>
        <v>89329</v>
      </c>
      <c r="F30">
        <f>Services!B69</f>
        <v>176349</v>
      </c>
      <c r="H30" s="34">
        <f t="shared" si="5"/>
        <v>79.618830808744121</v>
      </c>
      <c r="I30" s="34">
        <f t="shared" si="6"/>
        <v>70.953430916770714</v>
      </c>
      <c r="J30" s="34">
        <f t="shared" si="7"/>
        <v>59.502009257846275</v>
      </c>
      <c r="K30" s="34">
        <f t="shared" si="8"/>
        <v>94.669294926822033</v>
      </c>
      <c r="L30" s="34">
        <f t="shared" si="9"/>
        <v>75.129725722757598</v>
      </c>
      <c r="O30">
        <f>Durables!C69</f>
        <v>9238</v>
      </c>
      <c r="P30">
        <f>Durables!H69</f>
        <v>787</v>
      </c>
      <c r="Q30">
        <f>Durables!J69</f>
        <v>16189</v>
      </c>
      <c r="R30">
        <f>Durables!O69</f>
        <v>1076</v>
      </c>
      <c r="S30">
        <f>Durables!Q69</f>
        <v>1353</v>
      </c>
      <c r="U30" s="34">
        <f t="shared" si="10"/>
        <v>74.62638339122708</v>
      </c>
      <c r="V30" s="34">
        <f t="shared" si="11"/>
        <v>76.705653021442501</v>
      </c>
      <c r="W30" s="34">
        <f t="shared" si="12"/>
        <v>109.74849162768625</v>
      </c>
      <c r="X30" s="34">
        <f t="shared" si="13"/>
        <v>73.396998635743515</v>
      </c>
      <c r="Y30" s="34">
        <f t="shared" si="14"/>
        <v>26.134827119953641</v>
      </c>
      <c r="AB30">
        <f>'Semi-durables'!C69</f>
        <v>12127</v>
      </c>
      <c r="AC30">
        <f>'Semi-durables'!H69</f>
        <v>3687</v>
      </c>
      <c r="AD30">
        <f>'Semi-durables'!M69</f>
        <v>1381</v>
      </c>
      <c r="AE30">
        <f>'Semi-durables'!O69</f>
        <v>5740</v>
      </c>
      <c r="AF30">
        <f>'Semi-durables'!T69</f>
        <v>526</v>
      </c>
      <c r="AH30" s="34">
        <f t="shared" si="15"/>
        <v>59.012165450121657</v>
      </c>
      <c r="AI30" s="34">
        <f t="shared" si="16"/>
        <v>54.947839046199697</v>
      </c>
      <c r="AJ30" s="34">
        <f t="shared" si="17"/>
        <v>106.39445300462249</v>
      </c>
      <c r="AK30" s="34">
        <f t="shared" si="18"/>
        <v>61.806826747065791</v>
      </c>
      <c r="AL30" s="34">
        <f t="shared" si="19"/>
        <v>36.101578586135894</v>
      </c>
      <c r="AO30">
        <f>'Non-durables'!C69</f>
        <v>30162</v>
      </c>
      <c r="AP30">
        <f>'Non-durables'!Q69</f>
        <v>17257</v>
      </c>
      <c r="AQ30">
        <f>'Non-durables'!X69</f>
        <v>20154</v>
      </c>
      <c r="AR30">
        <f>'Non-durables'!AG69</f>
        <v>1739</v>
      </c>
      <c r="AS30">
        <f>'Non-durables'!AI69</f>
        <v>1078</v>
      </c>
      <c r="AT30">
        <f>'Non-durables'!AL69</f>
        <v>9785</v>
      </c>
      <c r="AU30">
        <f>'Non-durables'!AN69</f>
        <v>7867</v>
      </c>
      <c r="AV30">
        <f>'Non-durables'!AT69</f>
        <v>3667</v>
      </c>
      <c r="AX30" s="34">
        <f t="shared" si="20"/>
        <v>83.095487354675186</v>
      </c>
      <c r="AY30" s="34">
        <f t="shared" si="21"/>
        <v>134.78872139342343</v>
      </c>
      <c r="AZ30" s="34">
        <f t="shared" si="22"/>
        <v>120.5887632381978</v>
      </c>
      <c r="BA30" s="34">
        <f t="shared" si="23"/>
        <v>79.045454545454547</v>
      </c>
      <c r="BB30" s="34">
        <f t="shared" si="24"/>
        <v>43.154523618895119</v>
      </c>
      <c r="BC30" s="34">
        <f t="shared" si="25"/>
        <v>105.20374153316847</v>
      </c>
      <c r="BD30" s="34">
        <f t="shared" si="26"/>
        <v>98.583959899749374</v>
      </c>
      <c r="BE30" s="34">
        <f t="shared" si="27"/>
        <v>52.648959081119884</v>
      </c>
      <c r="BH30">
        <f>Services!F69</f>
        <v>69078</v>
      </c>
      <c r="BI30">
        <f>Services!Q69</f>
        <v>1207</v>
      </c>
      <c r="BJ30">
        <f>Services!U69</f>
        <v>3724</v>
      </c>
      <c r="BK30">
        <f>Services!AA69</f>
        <v>21602</v>
      </c>
      <c r="BL30">
        <f>Services!AJ69</f>
        <v>358</v>
      </c>
      <c r="BM30">
        <f>Services!AM69</f>
        <v>15170</v>
      </c>
      <c r="BN30">
        <f>Services!AV69</f>
        <v>6996</v>
      </c>
      <c r="BO30">
        <f>Services!AW69</f>
        <v>41435</v>
      </c>
      <c r="BP30">
        <f>Services!BB69</f>
        <v>30626</v>
      </c>
      <c r="BR30" s="34">
        <f t="shared" si="28"/>
        <v>75.633122748623165</v>
      </c>
      <c r="BS30" s="34">
        <f t="shared" si="29"/>
        <v>104.05172413793105</v>
      </c>
      <c r="BT30" s="34">
        <f t="shared" si="30"/>
        <v>80.886185925282362</v>
      </c>
      <c r="BU30" s="34">
        <f t="shared" si="31"/>
        <v>104.06590230272666</v>
      </c>
      <c r="BV30" s="34">
        <f t="shared" si="32"/>
        <v>6.4088793412101674</v>
      </c>
      <c r="BW30" s="34">
        <f t="shared" si="33"/>
        <v>90.534733826688949</v>
      </c>
      <c r="BX30" s="34">
        <f t="shared" si="34"/>
        <v>79.095534200113065</v>
      </c>
      <c r="BY30" s="34">
        <f t="shared" si="35"/>
        <v>96.094529093902921</v>
      </c>
      <c r="BZ30" s="34">
        <f t="shared" si="36"/>
        <v>71.616312786455893</v>
      </c>
    </row>
    <row r="31" spans="1:78" x14ac:dyDescent="0.35">
      <c r="A31" s="101" t="s">
        <v>526</v>
      </c>
      <c r="B31">
        <f>'Total goods'!B70</f>
        <v>136894</v>
      </c>
      <c r="C31">
        <f>Durables!B70</f>
        <v>26460</v>
      </c>
      <c r="D31">
        <f>'Semi-durables'!B70</f>
        <v>23969</v>
      </c>
      <c r="E31">
        <f>'Non-durables'!B70</f>
        <v>89406</v>
      </c>
      <c r="F31">
        <f>Services!B70</f>
        <v>177744</v>
      </c>
      <c r="H31" s="34">
        <f t="shared" si="5"/>
        <v>79.907772232437324</v>
      </c>
      <c r="I31" s="34">
        <f t="shared" si="6"/>
        <v>70.291953351220684</v>
      </c>
      <c r="J31" s="34">
        <f t="shared" si="7"/>
        <v>60.961900401851565</v>
      </c>
      <c r="K31" s="34">
        <f t="shared" si="8"/>
        <v>94.750898165516801</v>
      </c>
      <c r="L31" s="34">
        <f t="shared" si="9"/>
        <v>75.724035684159404</v>
      </c>
      <c r="O31">
        <f>Durables!C70</f>
        <v>8889</v>
      </c>
      <c r="P31">
        <f>Durables!H70</f>
        <v>746</v>
      </c>
      <c r="Q31">
        <f>Durables!J70</f>
        <v>15932</v>
      </c>
      <c r="R31">
        <f>Durables!O70</f>
        <v>1045</v>
      </c>
      <c r="S31">
        <f>Durables!Q70</f>
        <v>1412</v>
      </c>
      <c r="U31" s="34">
        <f t="shared" si="10"/>
        <v>71.807092656918982</v>
      </c>
      <c r="V31" s="34">
        <f t="shared" si="11"/>
        <v>72.709551656920084</v>
      </c>
      <c r="W31" s="34">
        <f t="shared" si="12"/>
        <v>108.00623686529727</v>
      </c>
      <c r="X31" s="34">
        <f t="shared" si="13"/>
        <v>71.282401091405177</v>
      </c>
      <c r="Y31" s="34">
        <f t="shared" si="14"/>
        <v>27.274483291481555</v>
      </c>
      <c r="AB31">
        <f>'Semi-durables'!C70</f>
        <v>12207</v>
      </c>
      <c r="AC31">
        <f>'Semi-durables'!H70</f>
        <v>4144</v>
      </c>
      <c r="AD31">
        <f>'Semi-durables'!M70</f>
        <v>1440</v>
      </c>
      <c r="AE31">
        <f>'Semi-durables'!O70</f>
        <v>5750</v>
      </c>
      <c r="AF31">
        <f>'Semi-durables'!T70</f>
        <v>532</v>
      </c>
      <c r="AH31" s="34">
        <f t="shared" si="15"/>
        <v>59.40145985401459</v>
      </c>
      <c r="AI31" s="34">
        <f t="shared" si="16"/>
        <v>61.758569299552903</v>
      </c>
      <c r="AJ31" s="34">
        <f t="shared" si="17"/>
        <v>110.93990755007704</v>
      </c>
      <c r="AK31" s="34">
        <f t="shared" si="18"/>
        <v>61.914504145579841</v>
      </c>
      <c r="AL31" s="34">
        <f t="shared" si="19"/>
        <v>36.513383665065206</v>
      </c>
      <c r="AO31">
        <f>'Non-durables'!C70</f>
        <v>29706</v>
      </c>
      <c r="AP31">
        <f>'Non-durables'!Q70</f>
        <v>17235</v>
      </c>
      <c r="AQ31">
        <f>'Non-durables'!X70</f>
        <v>20653</v>
      </c>
      <c r="AR31">
        <f>'Non-durables'!AG70</f>
        <v>1730</v>
      </c>
      <c r="AS31">
        <f>'Non-durables'!AI70</f>
        <v>1114</v>
      </c>
      <c r="AT31">
        <f>'Non-durables'!AL70</f>
        <v>9982</v>
      </c>
      <c r="AU31">
        <f>'Non-durables'!AN70</f>
        <v>7774</v>
      </c>
      <c r="AV31">
        <f>'Non-durables'!AT70</f>
        <v>3797</v>
      </c>
      <c r="AX31" s="34">
        <f t="shared" si="20"/>
        <v>81.839219791724062</v>
      </c>
      <c r="AY31" s="34">
        <f t="shared" si="21"/>
        <v>134.61688666718737</v>
      </c>
      <c r="AZ31" s="34">
        <f t="shared" si="22"/>
        <v>123.5744629928798</v>
      </c>
      <c r="BA31" s="34">
        <f t="shared" si="23"/>
        <v>78.63636363636364</v>
      </c>
      <c r="BB31" s="34">
        <f t="shared" si="24"/>
        <v>44.59567654123299</v>
      </c>
      <c r="BC31" s="34">
        <f t="shared" si="25"/>
        <v>107.32179335555317</v>
      </c>
      <c r="BD31" s="34">
        <f t="shared" si="26"/>
        <v>97.418546365914779</v>
      </c>
      <c r="BE31" s="34">
        <f t="shared" si="27"/>
        <v>54.515434314429292</v>
      </c>
      <c r="BH31">
        <f>Services!F70</f>
        <v>69036</v>
      </c>
      <c r="BI31">
        <f>Services!Q70</f>
        <v>1163</v>
      </c>
      <c r="BJ31">
        <f>Services!U70</f>
        <v>3751</v>
      </c>
      <c r="BK31">
        <f>Services!AA70</f>
        <v>21628</v>
      </c>
      <c r="BL31">
        <f>Services!AJ70</f>
        <v>377</v>
      </c>
      <c r="BM31">
        <f>Services!AM70</f>
        <v>15603</v>
      </c>
      <c r="BN31">
        <f>Services!AV70</f>
        <v>6888</v>
      </c>
      <c r="BO31">
        <f>Services!AW70</f>
        <v>41386</v>
      </c>
      <c r="BP31">
        <f>Services!BB70</f>
        <v>31457</v>
      </c>
      <c r="BR31" s="34">
        <f t="shared" si="28"/>
        <v>75.587137179332771</v>
      </c>
      <c r="BS31" s="34">
        <f t="shared" si="29"/>
        <v>100.25862068965516</v>
      </c>
      <c r="BT31" s="34">
        <f t="shared" si="30"/>
        <v>81.472632493483928</v>
      </c>
      <c r="BU31" s="34">
        <f t="shared" si="31"/>
        <v>104.19115521726563</v>
      </c>
      <c r="BV31" s="34">
        <f t="shared" si="32"/>
        <v>6.749015395631937</v>
      </c>
      <c r="BW31" s="34">
        <f t="shared" si="33"/>
        <v>93.11888278825495</v>
      </c>
      <c r="BX31" s="34">
        <f t="shared" si="34"/>
        <v>77.874505370265695</v>
      </c>
      <c r="BY31" s="34">
        <f t="shared" si="35"/>
        <v>95.980890094853777</v>
      </c>
      <c r="BZ31" s="34">
        <f t="shared" si="36"/>
        <v>73.559536058366845</v>
      </c>
    </row>
    <row r="32" spans="1:78" x14ac:dyDescent="0.35">
      <c r="A32" s="101" t="s">
        <v>527</v>
      </c>
      <c r="B32">
        <f>'Total goods'!B71</f>
        <v>138608</v>
      </c>
      <c r="C32">
        <f>Durables!B71</f>
        <v>27012</v>
      </c>
      <c r="D32">
        <f>'Semi-durables'!B71</f>
        <v>23847</v>
      </c>
      <c r="E32">
        <f>'Non-durables'!B71</f>
        <v>90881</v>
      </c>
      <c r="F32">
        <f>Services!B71</f>
        <v>177517</v>
      </c>
      <c r="H32" s="34">
        <f t="shared" si="5"/>
        <v>80.908268394478014</v>
      </c>
      <c r="I32" s="34">
        <f t="shared" si="6"/>
        <v>71.758361448343649</v>
      </c>
      <c r="J32" s="34">
        <f t="shared" si="7"/>
        <v>60.651609949641383</v>
      </c>
      <c r="K32" s="34">
        <f t="shared" si="8"/>
        <v>96.314077088566009</v>
      </c>
      <c r="L32" s="34">
        <f t="shared" si="9"/>
        <v>75.627327181479686</v>
      </c>
      <c r="O32">
        <f>Durables!C71</f>
        <v>8691</v>
      </c>
      <c r="P32">
        <f>Durables!H71</f>
        <v>690</v>
      </c>
      <c r="Q32">
        <f>Durables!J71</f>
        <v>15981</v>
      </c>
      <c r="R32">
        <f>Durables!O71</f>
        <v>1463</v>
      </c>
      <c r="S32">
        <f>Durables!Q71</f>
        <v>1498</v>
      </c>
      <c r="U32" s="34">
        <f t="shared" si="10"/>
        <v>70.207609661523549</v>
      </c>
      <c r="V32" s="34">
        <f t="shared" si="11"/>
        <v>67.251461988304101</v>
      </c>
      <c r="W32" s="34">
        <f t="shared" si="12"/>
        <v>108.33841773439087</v>
      </c>
      <c r="X32" s="34">
        <f t="shared" si="13"/>
        <v>99.795361527967259</v>
      </c>
      <c r="Y32" s="34">
        <f t="shared" si="14"/>
        <v>28.935677033030711</v>
      </c>
      <c r="AB32">
        <f>'Semi-durables'!C71</f>
        <v>12384</v>
      </c>
      <c r="AC32">
        <f>'Semi-durables'!H71</f>
        <v>3884</v>
      </c>
      <c r="AD32">
        <f>'Semi-durables'!M71</f>
        <v>1326</v>
      </c>
      <c r="AE32">
        <f>'Semi-durables'!O71</f>
        <v>5789</v>
      </c>
      <c r="AF32">
        <f>'Semi-durables'!T71</f>
        <v>526</v>
      </c>
      <c r="AH32" s="34">
        <f t="shared" si="15"/>
        <v>60.262773722627742</v>
      </c>
      <c r="AI32" s="34">
        <f t="shared" si="16"/>
        <v>57.883755588673623</v>
      </c>
      <c r="AJ32" s="34">
        <f t="shared" si="17"/>
        <v>102.15716486902929</v>
      </c>
      <c r="AK32" s="34">
        <f t="shared" si="18"/>
        <v>62.334445999784649</v>
      </c>
      <c r="AL32" s="34">
        <f t="shared" si="19"/>
        <v>36.101578586135894</v>
      </c>
      <c r="AO32">
        <f>'Non-durables'!C71</f>
        <v>30979</v>
      </c>
      <c r="AP32">
        <f>'Non-durables'!Q71</f>
        <v>16858</v>
      </c>
      <c r="AQ32">
        <f>'Non-durables'!X71</f>
        <v>21881</v>
      </c>
      <c r="AR32">
        <f>'Non-durables'!AG71</f>
        <v>1806</v>
      </c>
      <c r="AS32">
        <f>'Non-durables'!AI71</f>
        <v>1136</v>
      </c>
      <c r="AT32">
        <f>'Non-durables'!AL71</f>
        <v>9536</v>
      </c>
      <c r="AU32">
        <f>'Non-durables'!AN71</f>
        <v>7960</v>
      </c>
      <c r="AV32">
        <f>'Non-durables'!AT71</f>
        <v>3793</v>
      </c>
      <c r="AX32" s="34">
        <f t="shared" si="20"/>
        <v>85.346300071629287</v>
      </c>
      <c r="AY32" s="34">
        <f t="shared" si="21"/>
        <v>131.67226431305164</v>
      </c>
      <c r="AZ32" s="34">
        <f t="shared" si="22"/>
        <v>130.92203673786872</v>
      </c>
      <c r="BA32" s="34">
        <f t="shared" si="23"/>
        <v>82.090909090909093</v>
      </c>
      <c r="BB32" s="34">
        <f t="shared" si="24"/>
        <v>45.476381104883906</v>
      </c>
      <c r="BC32" s="34">
        <f t="shared" si="25"/>
        <v>102.52661004193098</v>
      </c>
      <c r="BD32" s="34">
        <f t="shared" si="26"/>
        <v>99.749373433583955</v>
      </c>
      <c r="BE32" s="34">
        <f t="shared" si="27"/>
        <v>54.45800430725054</v>
      </c>
      <c r="BH32">
        <f>Services!F71</f>
        <v>69352</v>
      </c>
      <c r="BI32">
        <f>Services!Q71</f>
        <v>1170</v>
      </c>
      <c r="BJ32">
        <f>Services!U71</f>
        <v>3971</v>
      </c>
      <c r="BK32">
        <f>Services!AA71</f>
        <v>21531</v>
      </c>
      <c r="BL32">
        <f>Services!AJ71</f>
        <v>393</v>
      </c>
      <c r="BM32">
        <f>Services!AM71</f>
        <v>15259</v>
      </c>
      <c r="BN32">
        <f>Services!AV71</f>
        <v>7049</v>
      </c>
      <c r="BO32">
        <f>Services!AW71</f>
        <v>41667</v>
      </c>
      <c r="BP32">
        <f>Services!BB71</f>
        <v>30515</v>
      </c>
      <c r="BR32" s="34">
        <f t="shared" si="28"/>
        <v>75.933123843517677</v>
      </c>
      <c r="BS32" s="34">
        <f t="shared" si="29"/>
        <v>100.86206896551724</v>
      </c>
      <c r="BT32" s="34">
        <f t="shared" si="30"/>
        <v>86.251086012163341</v>
      </c>
      <c r="BU32" s="34">
        <f t="shared" si="31"/>
        <v>103.72386549763945</v>
      </c>
      <c r="BV32" s="34">
        <f t="shared" si="32"/>
        <v>7.035445757250268</v>
      </c>
      <c r="BW32" s="34">
        <f t="shared" si="33"/>
        <v>91.065886846502735</v>
      </c>
      <c r="BX32" s="34">
        <f t="shared" si="34"/>
        <v>79.69474279253815</v>
      </c>
      <c r="BY32" s="34">
        <f t="shared" si="35"/>
        <v>96.632574966951921</v>
      </c>
      <c r="BZ32" s="34">
        <f t="shared" si="36"/>
        <v>71.356748667103176</v>
      </c>
    </row>
    <row r="33" spans="1:78" x14ac:dyDescent="0.35">
      <c r="A33" s="101" t="s">
        <v>528</v>
      </c>
      <c r="B33">
        <f>'Total goods'!B72</f>
        <v>139183</v>
      </c>
      <c r="C33">
        <f>Durables!B72</f>
        <v>26951</v>
      </c>
      <c r="D33">
        <f>'Semi-durables'!B72</f>
        <v>24155</v>
      </c>
      <c r="E33">
        <f>'Non-durables'!B72</f>
        <v>91201</v>
      </c>
      <c r="F33">
        <f>Services!B72</f>
        <v>179652</v>
      </c>
      <c r="H33" s="34">
        <f t="shared" si="5"/>
        <v>81.243907422000404</v>
      </c>
      <c r="I33" s="34">
        <f t="shared" si="6"/>
        <v>71.596312727465929</v>
      </c>
      <c r="J33" s="34">
        <f t="shared" si="7"/>
        <v>61.434966173253983</v>
      </c>
      <c r="K33" s="34">
        <f t="shared" si="8"/>
        <v>96.653207431193636</v>
      </c>
      <c r="L33" s="34">
        <f t="shared" si="9"/>
        <v>76.536898341044463</v>
      </c>
      <c r="O33">
        <f>Durables!C72</f>
        <v>8904</v>
      </c>
      <c r="P33">
        <f>Durables!H72</f>
        <v>679</v>
      </c>
      <c r="Q33">
        <f>Durables!J72</f>
        <v>15333</v>
      </c>
      <c r="R33">
        <f>Durables!O72</f>
        <v>1373</v>
      </c>
      <c r="S33">
        <f>Durables!Q72</f>
        <v>1590</v>
      </c>
      <c r="U33" s="34">
        <f t="shared" si="10"/>
        <v>71.928265611115592</v>
      </c>
      <c r="V33" s="34">
        <f t="shared" si="11"/>
        <v>66.179337231968816</v>
      </c>
      <c r="W33" s="34">
        <f t="shared" si="12"/>
        <v>103.94549522066301</v>
      </c>
      <c r="X33" s="34">
        <f t="shared" si="13"/>
        <v>93.656207366984987</v>
      </c>
      <c r="Y33" s="34">
        <f t="shared" si="14"/>
        <v>30.712768012362375</v>
      </c>
      <c r="AB33">
        <f>'Semi-durables'!C72</f>
        <v>12394</v>
      </c>
      <c r="AC33">
        <f>'Semi-durables'!H72</f>
        <v>3988</v>
      </c>
      <c r="AD33">
        <f>'Semi-durables'!M72</f>
        <v>1506</v>
      </c>
      <c r="AE33">
        <f>'Semi-durables'!O72</f>
        <v>5863</v>
      </c>
      <c r="AF33">
        <f>'Semi-durables'!T72</f>
        <v>509</v>
      </c>
      <c r="AH33" s="34">
        <f t="shared" si="15"/>
        <v>60.311435523114355</v>
      </c>
      <c r="AI33" s="34">
        <f t="shared" si="16"/>
        <v>59.433681073025333</v>
      </c>
      <c r="AJ33" s="34">
        <f t="shared" si="17"/>
        <v>116.0246533127889</v>
      </c>
      <c r="AK33" s="34">
        <f t="shared" si="18"/>
        <v>63.131258748788632</v>
      </c>
      <c r="AL33" s="34">
        <f t="shared" si="19"/>
        <v>34.934797529169529</v>
      </c>
      <c r="AO33">
        <f>'Non-durables'!C72</f>
        <v>30257</v>
      </c>
      <c r="AP33">
        <f>'Non-durables'!Q72</f>
        <v>16642</v>
      </c>
      <c r="AQ33">
        <f>'Non-durables'!X72</f>
        <v>22607</v>
      </c>
      <c r="AR33">
        <f>'Non-durables'!AG72</f>
        <v>1840</v>
      </c>
      <c r="AS33">
        <f>'Non-durables'!AI72</f>
        <v>1185</v>
      </c>
      <c r="AT33">
        <f>'Non-durables'!AL72</f>
        <v>9991</v>
      </c>
      <c r="AU33">
        <f>'Non-durables'!AN72</f>
        <v>8045</v>
      </c>
      <c r="AV33">
        <f>'Non-durables'!AT72</f>
        <v>3967</v>
      </c>
      <c r="AX33" s="34">
        <f t="shared" si="20"/>
        <v>83.357209763623345</v>
      </c>
      <c r="AY33" s="34">
        <f t="shared" si="21"/>
        <v>129.98515972818871</v>
      </c>
      <c r="AZ33" s="34">
        <f t="shared" si="22"/>
        <v>135.26596062945012</v>
      </c>
      <c r="BA33" s="34">
        <f t="shared" si="23"/>
        <v>83.636363636363626</v>
      </c>
      <c r="BB33" s="34">
        <f t="shared" si="24"/>
        <v>47.437950360288227</v>
      </c>
      <c r="BC33" s="34">
        <f t="shared" si="25"/>
        <v>107.41855714439308</v>
      </c>
      <c r="BD33" s="34">
        <f t="shared" si="26"/>
        <v>100.81453634085213</v>
      </c>
      <c r="BE33" s="34">
        <f t="shared" si="27"/>
        <v>56.956209619526199</v>
      </c>
      <c r="BH33">
        <f>Services!F72</f>
        <v>69676</v>
      </c>
      <c r="BI33">
        <f>Services!Q72</f>
        <v>1202</v>
      </c>
      <c r="BJ33">
        <f>Services!U72</f>
        <v>4166</v>
      </c>
      <c r="BK33">
        <f>Services!AA72</f>
        <v>21956</v>
      </c>
      <c r="BL33">
        <f>Services!AJ72</f>
        <v>404</v>
      </c>
      <c r="BM33">
        <f>Services!AM72</f>
        <v>15527</v>
      </c>
      <c r="BN33">
        <f>Services!AV72</f>
        <v>7177</v>
      </c>
      <c r="BO33">
        <f>Services!AW72</f>
        <v>41715</v>
      </c>
      <c r="BP33">
        <f>Services!BB72</f>
        <v>31346</v>
      </c>
      <c r="BR33" s="34">
        <f t="shared" si="28"/>
        <v>76.287869663757903</v>
      </c>
      <c r="BS33" s="34">
        <f t="shared" si="29"/>
        <v>103.62068965517241</v>
      </c>
      <c r="BT33" s="34">
        <f t="shared" si="30"/>
        <v>90.48653344917463</v>
      </c>
      <c r="BU33" s="34">
        <f t="shared" si="31"/>
        <v>105.77126890837268</v>
      </c>
      <c r="BV33" s="34">
        <f t="shared" si="32"/>
        <v>7.2323666308628711</v>
      </c>
      <c r="BW33" s="34">
        <f t="shared" si="33"/>
        <v>92.665313917402727</v>
      </c>
      <c r="BX33" s="34">
        <f t="shared" si="34"/>
        <v>81.141888072357261</v>
      </c>
      <c r="BY33" s="34">
        <f t="shared" si="35"/>
        <v>96.743894802755165</v>
      </c>
      <c r="BZ33" s="34">
        <f t="shared" si="36"/>
        <v>73.299971939014114</v>
      </c>
    </row>
    <row r="34" spans="1:78" x14ac:dyDescent="0.35">
      <c r="A34" s="101" t="s">
        <v>529</v>
      </c>
      <c r="B34">
        <f>'Total goods'!B73</f>
        <v>139305</v>
      </c>
      <c r="C34">
        <f>Durables!B73</f>
        <v>27322</v>
      </c>
      <c r="D34">
        <f>'Semi-durables'!B73</f>
        <v>23919</v>
      </c>
      <c r="E34">
        <f>'Non-durables'!B73</f>
        <v>91118</v>
      </c>
      <c r="F34">
        <f>Services!B73</f>
        <v>181328</v>
      </c>
      <c r="H34" s="34">
        <f t="shared" si="5"/>
        <v>81.315121267839942</v>
      </c>
      <c r="I34" s="34">
        <f t="shared" si="6"/>
        <v>72.581887734771399</v>
      </c>
      <c r="J34" s="34">
        <f t="shared" si="7"/>
        <v>60.83473218373264</v>
      </c>
      <c r="K34" s="34">
        <f t="shared" si="8"/>
        <v>96.565245498574598</v>
      </c>
      <c r="L34" s="34">
        <f t="shared" si="9"/>
        <v>77.250922352018947</v>
      </c>
      <c r="O34">
        <f>Durables!C73</f>
        <v>9261</v>
      </c>
      <c r="P34">
        <f>Durables!H73</f>
        <v>623</v>
      </c>
      <c r="Q34">
        <f>Durables!J73</f>
        <v>15192</v>
      </c>
      <c r="R34">
        <f>Durables!O73</f>
        <v>1407</v>
      </c>
      <c r="S34">
        <f>Durables!Q73</f>
        <v>1654</v>
      </c>
      <c r="U34" s="34">
        <f t="shared" si="10"/>
        <v>74.812181920995229</v>
      </c>
      <c r="V34" s="34">
        <f t="shared" si="11"/>
        <v>60.721247563352833</v>
      </c>
      <c r="W34" s="34">
        <f t="shared" si="12"/>
        <v>102.98962782184257</v>
      </c>
      <c r="X34" s="34">
        <f t="shared" si="13"/>
        <v>95.97544338335608</v>
      </c>
      <c r="Y34" s="34">
        <f t="shared" si="14"/>
        <v>31.949005215375699</v>
      </c>
      <c r="AB34">
        <f>'Semi-durables'!C73</f>
        <v>12335</v>
      </c>
      <c r="AC34">
        <f>'Semi-durables'!H73</f>
        <v>3877</v>
      </c>
      <c r="AD34">
        <f>'Semi-durables'!M73</f>
        <v>1385</v>
      </c>
      <c r="AE34">
        <f>'Semi-durables'!O73</f>
        <v>5883</v>
      </c>
      <c r="AF34">
        <f>'Semi-durables'!T73</f>
        <v>508</v>
      </c>
      <c r="AH34" s="34">
        <f t="shared" si="15"/>
        <v>60.024330900243307</v>
      </c>
      <c r="AI34" s="34">
        <f t="shared" si="16"/>
        <v>57.779433681073023</v>
      </c>
      <c r="AJ34" s="34">
        <f t="shared" si="17"/>
        <v>106.70261941448382</v>
      </c>
      <c r="AK34" s="34">
        <f t="shared" si="18"/>
        <v>63.34661354581673</v>
      </c>
      <c r="AL34" s="34">
        <f t="shared" si="19"/>
        <v>34.866163349347971</v>
      </c>
      <c r="AO34">
        <f>'Non-durables'!C73</f>
        <v>30577</v>
      </c>
      <c r="AP34">
        <f>'Non-durables'!Q73</f>
        <v>16349</v>
      </c>
      <c r="AQ34">
        <f>'Non-durables'!X73</f>
        <v>22251</v>
      </c>
      <c r="AR34">
        <f>'Non-durables'!AG73</f>
        <v>1862</v>
      </c>
      <c r="AS34">
        <f>'Non-durables'!AI73</f>
        <v>1172</v>
      </c>
      <c r="AT34">
        <f>'Non-durables'!AL73</f>
        <v>10073</v>
      </c>
      <c r="AU34">
        <f>'Non-durables'!AN73</f>
        <v>7898</v>
      </c>
      <c r="AV34">
        <f>'Non-durables'!AT73</f>
        <v>4032</v>
      </c>
      <c r="AX34" s="34">
        <f t="shared" si="20"/>
        <v>84.238801035869741</v>
      </c>
      <c r="AY34" s="34">
        <f t="shared" si="21"/>
        <v>127.69663360149966</v>
      </c>
      <c r="AZ34" s="34">
        <f t="shared" si="22"/>
        <v>133.13588224735236</v>
      </c>
      <c r="BA34" s="34">
        <f t="shared" si="23"/>
        <v>84.636363636363626</v>
      </c>
      <c r="BB34" s="34">
        <f t="shared" si="24"/>
        <v>46.917534027221777</v>
      </c>
      <c r="BC34" s="34">
        <f t="shared" si="25"/>
        <v>108.30018277604559</v>
      </c>
      <c r="BD34" s="34">
        <f t="shared" si="26"/>
        <v>98.972431077694239</v>
      </c>
      <c r="BE34" s="34">
        <f t="shared" si="27"/>
        <v>57.889447236180899</v>
      </c>
      <c r="BH34">
        <f>Services!F73</f>
        <v>70022</v>
      </c>
      <c r="BI34">
        <f>Services!Q73</f>
        <v>1194</v>
      </c>
      <c r="BJ34">
        <f>Services!U73</f>
        <v>3766</v>
      </c>
      <c r="BK34">
        <f>Services!AA73</f>
        <v>22510</v>
      </c>
      <c r="BL34">
        <f>Services!AJ73</f>
        <v>419</v>
      </c>
      <c r="BM34">
        <f>Services!AM73</f>
        <v>15068</v>
      </c>
      <c r="BN34">
        <f>Services!AV73</f>
        <v>7258</v>
      </c>
      <c r="BO34">
        <f>Services!AW73</f>
        <v>41916</v>
      </c>
      <c r="BP34">
        <f>Services!BB73</f>
        <v>32532</v>
      </c>
      <c r="BR34" s="34">
        <f t="shared" si="28"/>
        <v>76.666703163150231</v>
      </c>
      <c r="BS34" s="34">
        <f t="shared" si="29"/>
        <v>102.93103448275862</v>
      </c>
      <c r="BT34" s="34">
        <f t="shared" si="30"/>
        <v>81.798436142484803</v>
      </c>
      <c r="BU34" s="34">
        <f t="shared" si="31"/>
        <v>108.44011947201079</v>
      </c>
      <c r="BV34" s="34">
        <f t="shared" si="32"/>
        <v>7.5008950948800575</v>
      </c>
      <c r="BW34" s="34">
        <f t="shared" si="33"/>
        <v>89.925996657913586</v>
      </c>
      <c r="BX34" s="34">
        <f t="shared" si="34"/>
        <v>82.057659694742796</v>
      </c>
      <c r="BY34" s="34">
        <f t="shared" si="35"/>
        <v>97.210046615181241</v>
      </c>
      <c r="BZ34" s="34">
        <f t="shared" si="36"/>
        <v>76.073332709755874</v>
      </c>
    </row>
    <row r="35" spans="1:78" x14ac:dyDescent="0.35">
      <c r="A35" s="101" t="s">
        <v>530</v>
      </c>
      <c r="B35">
        <f>'Total goods'!B74</f>
        <v>140586</v>
      </c>
      <c r="C35">
        <f>Durables!B74</f>
        <v>27618</v>
      </c>
      <c r="D35">
        <f>'Semi-durables'!B74</f>
        <v>23764</v>
      </c>
      <c r="E35">
        <f>'Non-durables'!B74</f>
        <v>92524</v>
      </c>
      <c r="F35">
        <f>Services!B74</f>
        <v>182293</v>
      </c>
      <c r="H35" s="34">
        <f t="shared" si="5"/>
        <v>82.062866649155069</v>
      </c>
      <c r="I35" s="34">
        <f t="shared" si="6"/>
        <v>73.36822251148952</v>
      </c>
      <c r="J35" s="34">
        <f t="shared" si="7"/>
        <v>60.440510707563966</v>
      </c>
      <c r="K35" s="34">
        <f t="shared" si="8"/>
        <v>98.055299441494711</v>
      </c>
      <c r="L35" s="34">
        <f t="shared" si="9"/>
        <v>77.662039995569302</v>
      </c>
      <c r="O35">
        <f>Durables!C74</f>
        <v>9155</v>
      </c>
      <c r="P35">
        <f>Durables!H74</f>
        <v>587</v>
      </c>
      <c r="Q35">
        <f>Durables!J74</f>
        <v>15577</v>
      </c>
      <c r="R35">
        <f>Durables!O74</f>
        <v>1343</v>
      </c>
      <c r="S35">
        <f>Durables!Q74</f>
        <v>1700</v>
      </c>
      <c r="U35" s="34">
        <f t="shared" si="10"/>
        <v>73.955893044672422</v>
      </c>
      <c r="V35" s="34">
        <f t="shared" si="11"/>
        <v>57.212475633528271</v>
      </c>
      <c r="W35" s="34">
        <f t="shared" si="12"/>
        <v>105.59962036472103</v>
      </c>
      <c r="X35" s="34">
        <f t="shared" si="13"/>
        <v>91.609822646657562</v>
      </c>
      <c r="Y35" s="34">
        <f t="shared" si="14"/>
        <v>32.837550705041529</v>
      </c>
      <c r="AB35">
        <f>'Semi-durables'!C74</f>
        <v>12364</v>
      </c>
      <c r="AC35">
        <f>'Semi-durables'!H74</f>
        <v>3933</v>
      </c>
      <c r="AD35">
        <f>'Semi-durables'!M74</f>
        <v>1278</v>
      </c>
      <c r="AE35">
        <f>'Semi-durables'!O74</f>
        <v>5706</v>
      </c>
      <c r="AF35">
        <f>'Semi-durables'!T74</f>
        <v>547</v>
      </c>
      <c r="AH35" s="34">
        <f t="shared" si="15"/>
        <v>60.165450121654494</v>
      </c>
      <c r="AI35" s="34">
        <f t="shared" si="16"/>
        <v>58.614008941877792</v>
      </c>
      <c r="AJ35" s="34">
        <f t="shared" si="17"/>
        <v>98.45916795069337</v>
      </c>
      <c r="AK35" s="34">
        <f t="shared" si="18"/>
        <v>61.440723592118019</v>
      </c>
      <c r="AL35" s="34">
        <f t="shared" si="19"/>
        <v>37.542896362388468</v>
      </c>
      <c r="AO35">
        <f>'Non-durables'!C74</f>
        <v>31400</v>
      </c>
      <c r="AP35">
        <f>'Non-durables'!Q74</f>
        <v>16586</v>
      </c>
      <c r="AQ35">
        <f>'Non-durables'!X74</f>
        <v>22369</v>
      </c>
      <c r="AR35">
        <f>'Non-durables'!AG74</f>
        <v>1891</v>
      </c>
      <c r="AS35">
        <f>'Non-durables'!AI74</f>
        <v>1128</v>
      </c>
      <c r="AT35">
        <f>'Non-durables'!AL74</f>
        <v>10269</v>
      </c>
      <c r="AU35">
        <f>'Non-durables'!AN74</f>
        <v>8023</v>
      </c>
      <c r="AV35">
        <f>'Non-durables'!AT74</f>
        <v>3975</v>
      </c>
      <c r="AX35" s="34">
        <f t="shared" si="20"/>
        <v>86.506143589178464</v>
      </c>
      <c r="AY35" s="34">
        <f t="shared" si="21"/>
        <v>129.54776224322424</v>
      </c>
      <c r="AZ35" s="34">
        <f t="shared" si="22"/>
        <v>133.84191946389038</v>
      </c>
      <c r="BA35" s="34">
        <f t="shared" si="23"/>
        <v>85.954545454545453</v>
      </c>
      <c r="BB35" s="34">
        <f t="shared" si="24"/>
        <v>45.156124899919938</v>
      </c>
      <c r="BC35" s="34">
        <f t="shared" si="25"/>
        <v>110.40748306633694</v>
      </c>
      <c r="BD35" s="34">
        <f t="shared" si="26"/>
        <v>100.53884711779449</v>
      </c>
      <c r="BE35" s="34">
        <f t="shared" si="27"/>
        <v>57.07106963388371</v>
      </c>
      <c r="BH35">
        <f>Services!F74</f>
        <v>70349</v>
      </c>
      <c r="BI35">
        <f>Services!Q74</f>
        <v>1149</v>
      </c>
      <c r="BJ35">
        <f>Services!U74</f>
        <v>3914</v>
      </c>
      <c r="BK35">
        <f>Services!AA74</f>
        <v>23192</v>
      </c>
      <c r="BL35">
        <f>Services!AJ74</f>
        <v>433</v>
      </c>
      <c r="BM35">
        <f>Services!AM74</f>
        <v>15395</v>
      </c>
      <c r="BN35">
        <f>Services!AV74</f>
        <v>7077</v>
      </c>
      <c r="BO35">
        <f>Services!AW74</f>
        <v>42805</v>
      </c>
      <c r="BP35">
        <f>Services!BB74</f>
        <v>31320</v>
      </c>
      <c r="BR35" s="34">
        <f t="shared" si="28"/>
        <v>77.024733666911189</v>
      </c>
      <c r="BS35" s="34">
        <f t="shared" si="29"/>
        <v>99.051724137931032</v>
      </c>
      <c r="BT35" s="34">
        <f t="shared" si="30"/>
        <v>85.01303214596004</v>
      </c>
      <c r="BU35" s="34">
        <f t="shared" si="31"/>
        <v>111.72559976876384</v>
      </c>
      <c r="BV35" s="34">
        <f t="shared" si="32"/>
        <v>7.7515216612960973</v>
      </c>
      <c r="BW35" s="34">
        <f t="shared" si="33"/>
        <v>91.8775364048699</v>
      </c>
      <c r="BX35" s="34">
        <f t="shared" si="34"/>
        <v>80.011305822498585</v>
      </c>
      <c r="BY35" s="34">
        <f t="shared" si="35"/>
        <v>99.271782740787131</v>
      </c>
      <c r="BZ35" s="34">
        <f t="shared" si="36"/>
        <v>73.239173136282858</v>
      </c>
    </row>
    <row r="36" spans="1:78" x14ac:dyDescent="0.35">
      <c r="A36" s="101" t="s">
        <v>531</v>
      </c>
      <c r="B36">
        <f>'Total goods'!B75</f>
        <v>140619</v>
      </c>
      <c r="C36">
        <f>Durables!B75</f>
        <v>27707</v>
      </c>
      <c r="D36">
        <f>'Semi-durables'!B75</f>
        <v>24213</v>
      </c>
      <c r="E36">
        <f>'Non-durables'!B75</f>
        <v>91644</v>
      </c>
      <c r="F36">
        <f>Services!B75</f>
        <v>185317</v>
      </c>
      <c r="H36" s="34">
        <f t="shared" si="5"/>
        <v>82.082129410734623</v>
      </c>
      <c r="I36" s="34">
        <f t="shared" si="6"/>
        <v>73.604654251786513</v>
      </c>
      <c r="J36" s="34">
        <f t="shared" si="7"/>
        <v>61.582481306271944</v>
      </c>
      <c r="K36" s="34">
        <f t="shared" si="8"/>
        <v>97.122690999268741</v>
      </c>
      <c r="L36" s="34">
        <f t="shared" si="9"/>
        <v>78.950350621575794</v>
      </c>
      <c r="O36">
        <f>Durables!C75</f>
        <v>9366</v>
      </c>
      <c r="P36">
        <f>Durables!H75</f>
        <v>567</v>
      </c>
      <c r="Q36">
        <f>Durables!J75</f>
        <v>15076</v>
      </c>
      <c r="R36">
        <f>Durables!O75</f>
        <v>1401</v>
      </c>
      <c r="S36">
        <f>Durables!Q75</f>
        <v>1815</v>
      </c>
      <c r="U36" s="34">
        <f t="shared" si="10"/>
        <v>75.660392600371594</v>
      </c>
      <c r="V36" s="34">
        <f t="shared" si="11"/>
        <v>55.26315789473685</v>
      </c>
      <c r="W36" s="34">
        <f t="shared" si="12"/>
        <v>102.20324045827402</v>
      </c>
      <c r="X36" s="34">
        <f t="shared" si="13"/>
        <v>95.566166439290583</v>
      </c>
      <c r="Y36" s="34">
        <f t="shared" si="14"/>
        <v>35.058914429206105</v>
      </c>
      <c r="AB36">
        <f>'Semi-durables'!C75</f>
        <v>12710</v>
      </c>
      <c r="AC36">
        <f>'Semi-durables'!H75</f>
        <v>3758</v>
      </c>
      <c r="AD36">
        <f>'Semi-durables'!M75</f>
        <v>1620</v>
      </c>
      <c r="AE36">
        <f>'Semi-durables'!O75</f>
        <v>5774</v>
      </c>
      <c r="AF36">
        <f>'Semi-durables'!T75</f>
        <v>462</v>
      </c>
      <c r="AH36" s="34">
        <f t="shared" si="15"/>
        <v>61.849148418491481</v>
      </c>
      <c r="AI36" s="34">
        <f t="shared" si="16"/>
        <v>56.005961251862892</v>
      </c>
      <c r="AJ36" s="34">
        <f t="shared" si="17"/>
        <v>124.80739599383668</v>
      </c>
      <c r="AK36" s="34">
        <f t="shared" si="18"/>
        <v>62.172929902013564</v>
      </c>
      <c r="AL36" s="34">
        <f t="shared" si="19"/>
        <v>31.708991077556625</v>
      </c>
      <c r="AO36">
        <f>'Non-durables'!C75</f>
        <v>31032</v>
      </c>
      <c r="AP36">
        <f>'Non-durables'!Q75</f>
        <v>16604</v>
      </c>
      <c r="AQ36">
        <f>'Non-durables'!X75</f>
        <v>21100</v>
      </c>
      <c r="AR36">
        <f>'Non-durables'!AG75</f>
        <v>1923</v>
      </c>
      <c r="AS36">
        <f>'Non-durables'!AI75</f>
        <v>1065</v>
      </c>
      <c r="AT36">
        <f>'Non-durables'!AL75</f>
        <v>10499</v>
      </c>
      <c r="AU36">
        <f>'Non-durables'!AN75</f>
        <v>8084</v>
      </c>
      <c r="AV36">
        <f>'Non-durables'!AT75</f>
        <v>3902</v>
      </c>
      <c r="AX36" s="34">
        <f t="shared" si="20"/>
        <v>85.492313626095111</v>
      </c>
      <c r="AY36" s="34">
        <f t="shared" si="21"/>
        <v>129.68835429196281</v>
      </c>
      <c r="AZ36" s="34">
        <f t="shared" si="22"/>
        <v>126.2490277029857</v>
      </c>
      <c r="BA36" s="34">
        <f t="shared" si="23"/>
        <v>87.409090909090921</v>
      </c>
      <c r="BB36" s="34">
        <f t="shared" si="24"/>
        <v>42.634107285828662</v>
      </c>
      <c r="BC36" s="34">
        <f t="shared" si="25"/>
        <v>112.88033544780131</v>
      </c>
      <c r="BD36" s="34">
        <f t="shared" si="26"/>
        <v>101.3032581453634</v>
      </c>
      <c r="BE36" s="34">
        <f t="shared" si="27"/>
        <v>56.022972002871498</v>
      </c>
      <c r="BH36">
        <f>Services!F75</f>
        <v>70515</v>
      </c>
      <c r="BI36">
        <f>Services!Q75</f>
        <v>1192</v>
      </c>
      <c r="BJ36">
        <f>Services!U75</f>
        <v>4075</v>
      </c>
      <c r="BK36">
        <f>Services!AA75</f>
        <v>23427</v>
      </c>
      <c r="BL36">
        <f>Services!AJ75</f>
        <v>440</v>
      </c>
      <c r="BM36">
        <f>Services!AM75</f>
        <v>15210</v>
      </c>
      <c r="BN36">
        <f>Services!AV75</f>
        <v>7127</v>
      </c>
      <c r="BO36">
        <f>Services!AW75</f>
        <v>42815</v>
      </c>
      <c r="BP36">
        <f>Services!BB75</f>
        <v>33829</v>
      </c>
      <c r="BR36" s="34">
        <f t="shared" si="28"/>
        <v>77.206486155058968</v>
      </c>
      <c r="BS36" s="34">
        <f t="shared" si="29"/>
        <v>102.75862068965517</v>
      </c>
      <c r="BT36" s="34">
        <f t="shared" si="30"/>
        <v>88.509991311902695</v>
      </c>
      <c r="BU36" s="34">
        <f t="shared" si="31"/>
        <v>112.85769341940457</v>
      </c>
      <c r="BV36" s="34">
        <f t="shared" si="32"/>
        <v>7.8768349445041173</v>
      </c>
      <c r="BW36" s="34">
        <f t="shared" si="33"/>
        <v>90.77345428503223</v>
      </c>
      <c r="BX36" s="34">
        <f t="shared" si="34"/>
        <v>80.57659694742793</v>
      </c>
      <c r="BY36" s="34">
        <f t="shared" si="35"/>
        <v>99.294974373246134</v>
      </c>
      <c r="BZ36" s="34">
        <f t="shared" si="36"/>
        <v>79.106257599850338</v>
      </c>
    </row>
    <row r="37" spans="1:78" x14ac:dyDescent="0.35">
      <c r="A37" s="101" t="s">
        <v>532</v>
      </c>
      <c r="B37">
        <f>'Total goods'!B76</f>
        <v>140258</v>
      </c>
      <c r="C37">
        <f>Durables!B76</f>
        <v>27572</v>
      </c>
      <c r="D37">
        <f>'Semi-durables'!B76</f>
        <v>23949</v>
      </c>
      <c r="E37">
        <f>'Non-durables'!B76</f>
        <v>91855</v>
      </c>
      <c r="F37">
        <f>Services!B76</f>
        <v>186730</v>
      </c>
      <c r="H37" s="34">
        <f t="shared" si="5"/>
        <v>81.871406473455338</v>
      </c>
      <c r="I37" s="34">
        <f t="shared" si="6"/>
        <v>73.24602183672927</v>
      </c>
      <c r="J37" s="34">
        <f t="shared" si="7"/>
        <v>60.911033114603995</v>
      </c>
      <c r="K37" s="34">
        <f t="shared" si="8"/>
        <v>97.346305068938847</v>
      </c>
      <c r="L37" s="34">
        <f t="shared" si="9"/>
        <v>79.552329098608581</v>
      </c>
      <c r="O37">
        <f>Durables!C76</f>
        <v>9145</v>
      </c>
      <c r="P37">
        <f>Durables!H76</f>
        <v>597</v>
      </c>
      <c r="Q37">
        <f>Durables!J76</f>
        <v>15109</v>
      </c>
      <c r="R37">
        <f>Durables!O76</f>
        <v>1492</v>
      </c>
      <c r="S37">
        <f>Durables!Q76</f>
        <v>1784</v>
      </c>
      <c r="U37" s="34">
        <f t="shared" si="10"/>
        <v>73.875111075208011</v>
      </c>
      <c r="V37" s="34">
        <f t="shared" si="11"/>
        <v>58.187134502923975</v>
      </c>
      <c r="W37" s="34">
        <f t="shared" si="12"/>
        <v>102.42695410480644</v>
      </c>
      <c r="X37" s="34">
        <f t="shared" si="13"/>
        <v>101.77353342428377</v>
      </c>
      <c r="Y37" s="34">
        <f t="shared" si="14"/>
        <v>34.460112033996523</v>
      </c>
      <c r="AB37">
        <f>'Semi-durables'!C76</f>
        <v>12767</v>
      </c>
      <c r="AC37">
        <f>'Semi-durables'!H76</f>
        <v>3768</v>
      </c>
      <c r="AD37">
        <f>'Semi-durables'!M76</f>
        <v>1276</v>
      </c>
      <c r="AE37">
        <f>'Semi-durables'!O76</f>
        <v>5734</v>
      </c>
      <c r="AF37">
        <f>'Semi-durables'!T76</f>
        <v>453</v>
      </c>
      <c r="AH37" s="34">
        <f t="shared" si="15"/>
        <v>62.126520681265205</v>
      </c>
      <c r="AI37" s="34">
        <f t="shared" si="16"/>
        <v>56.154992548435168</v>
      </c>
      <c r="AJ37" s="34">
        <f t="shared" si="17"/>
        <v>98.305084745762713</v>
      </c>
      <c r="AK37" s="34">
        <f t="shared" si="18"/>
        <v>61.742220307957361</v>
      </c>
      <c r="AL37" s="34">
        <f t="shared" si="19"/>
        <v>31.091283459162661</v>
      </c>
      <c r="AO37">
        <f>'Non-durables'!C76</f>
        <v>31273</v>
      </c>
      <c r="AP37">
        <f>'Non-durables'!Q76</f>
        <v>16708</v>
      </c>
      <c r="AQ37">
        <f>'Non-durables'!X76</f>
        <v>21522</v>
      </c>
      <c r="AR37">
        <f>'Non-durables'!AG76</f>
        <v>1827</v>
      </c>
      <c r="AS37">
        <f>'Non-durables'!AI76</f>
        <v>973</v>
      </c>
      <c r="AT37">
        <f>'Non-durables'!AL76</f>
        <v>10791</v>
      </c>
      <c r="AU37">
        <f>'Non-durables'!AN76</f>
        <v>7825</v>
      </c>
      <c r="AV37">
        <f>'Non-durables'!AT76</f>
        <v>3839</v>
      </c>
      <c r="AX37" s="34">
        <f t="shared" si="20"/>
        <v>86.156262053005676</v>
      </c>
      <c r="AY37" s="34">
        <f t="shared" si="21"/>
        <v>130.50066390689682</v>
      </c>
      <c r="AZ37" s="34">
        <f t="shared" si="22"/>
        <v>128.77400825704541</v>
      </c>
      <c r="BA37" s="34">
        <f t="shared" si="23"/>
        <v>83.045454545454547</v>
      </c>
      <c r="BB37" s="34">
        <f t="shared" si="24"/>
        <v>38.951160928742993</v>
      </c>
      <c r="BC37" s="34">
        <f t="shared" si="25"/>
        <v>116.01978281905173</v>
      </c>
      <c r="BD37" s="34">
        <f t="shared" si="26"/>
        <v>98.057644110275689</v>
      </c>
      <c r="BE37" s="34">
        <f t="shared" si="27"/>
        <v>55.11844938980618</v>
      </c>
      <c r="BH37">
        <f>Services!F76</f>
        <v>71197</v>
      </c>
      <c r="BI37">
        <f>Services!Q76</f>
        <v>1417</v>
      </c>
      <c r="BJ37">
        <f>Services!U76</f>
        <v>4038</v>
      </c>
      <c r="BK37">
        <f>Services!AA76</f>
        <v>23387</v>
      </c>
      <c r="BL37">
        <f>Services!AJ76</f>
        <v>451</v>
      </c>
      <c r="BM37">
        <f>Services!AM76</f>
        <v>15281</v>
      </c>
      <c r="BN37">
        <f>Services!AV76</f>
        <v>7193</v>
      </c>
      <c r="BO37">
        <f>Services!AW76</f>
        <v>41995</v>
      </c>
      <c r="BP37">
        <f>Services!BB76</f>
        <v>34779</v>
      </c>
      <c r="BR37" s="34">
        <f t="shared" si="28"/>
        <v>77.95320420877448</v>
      </c>
      <c r="BS37" s="34">
        <f t="shared" si="29"/>
        <v>122.1551724137931</v>
      </c>
      <c r="BT37" s="34">
        <f t="shared" si="30"/>
        <v>87.706342311033879</v>
      </c>
      <c r="BU37" s="34">
        <f t="shared" si="31"/>
        <v>112.66499662780616</v>
      </c>
      <c r="BV37" s="34">
        <f t="shared" si="32"/>
        <v>8.0737558181167213</v>
      </c>
      <c r="BW37" s="34">
        <f t="shared" si="33"/>
        <v>91.197183098591552</v>
      </c>
      <c r="BX37" s="34">
        <f t="shared" si="34"/>
        <v>81.322781232334648</v>
      </c>
      <c r="BY37" s="34">
        <f t="shared" si="35"/>
        <v>97.393260511607423</v>
      </c>
      <c r="BZ37" s="34">
        <f t="shared" si="36"/>
        <v>81.327752315031333</v>
      </c>
    </row>
    <row r="38" spans="1:78" x14ac:dyDescent="0.35">
      <c r="A38" s="101" t="s">
        <v>533</v>
      </c>
      <c r="B38">
        <f>'Total goods'!B77</f>
        <v>141007</v>
      </c>
      <c r="C38">
        <f>Durables!B77</f>
        <v>28469</v>
      </c>
      <c r="D38">
        <f>'Semi-durables'!B77</f>
        <v>24379</v>
      </c>
      <c r="E38">
        <f>'Non-durables'!B77</f>
        <v>90551</v>
      </c>
      <c r="F38">
        <f>Services!B77</f>
        <v>188587</v>
      </c>
      <c r="H38" s="34">
        <f t="shared" si="5"/>
        <v>82.308612789306252</v>
      </c>
      <c r="I38" s="34">
        <f t="shared" si="6"/>
        <v>75.628934994554101</v>
      </c>
      <c r="J38" s="34">
        <f t="shared" si="7"/>
        <v>62.004679790426778</v>
      </c>
      <c r="K38" s="34">
        <f t="shared" si="8"/>
        <v>95.964348922731261</v>
      </c>
      <c r="L38" s="34">
        <f t="shared" si="9"/>
        <v>80.343464294539174</v>
      </c>
      <c r="O38">
        <f>Durables!C77</f>
        <v>9013</v>
      </c>
      <c r="P38">
        <f>Durables!H77</f>
        <v>640</v>
      </c>
      <c r="Q38">
        <f>Durables!J77</f>
        <v>15311</v>
      </c>
      <c r="R38">
        <f>Durables!O77</f>
        <v>1582</v>
      </c>
      <c r="S38">
        <f>Durables!Q77</f>
        <v>1995</v>
      </c>
      <c r="U38" s="34">
        <f t="shared" si="10"/>
        <v>72.808789078277727</v>
      </c>
      <c r="V38" s="34">
        <f t="shared" si="11"/>
        <v>62.378167641325533</v>
      </c>
      <c r="W38" s="34">
        <f t="shared" si="12"/>
        <v>103.79635278964139</v>
      </c>
      <c r="X38" s="34">
        <f t="shared" si="13"/>
        <v>107.91268758526601</v>
      </c>
      <c r="Y38" s="34">
        <f t="shared" si="14"/>
        <v>38.535831562681089</v>
      </c>
      <c r="AB38">
        <f>'Semi-durables'!C77</f>
        <v>12898</v>
      </c>
      <c r="AC38">
        <f>'Semi-durables'!H77</f>
        <v>3942</v>
      </c>
      <c r="AD38">
        <f>'Semi-durables'!M77</f>
        <v>1288</v>
      </c>
      <c r="AE38">
        <f>'Semi-durables'!O77</f>
        <v>5771</v>
      </c>
      <c r="AF38">
        <f>'Semi-durables'!T77</f>
        <v>540</v>
      </c>
      <c r="AH38" s="34">
        <f t="shared" si="15"/>
        <v>62.763990267639905</v>
      </c>
      <c r="AI38" s="34">
        <f t="shared" si="16"/>
        <v>58.748137108792839</v>
      </c>
      <c r="AJ38" s="34">
        <f t="shared" si="17"/>
        <v>99.229583975346685</v>
      </c>
      <c r="AK38" s="34">
        <f t="shared" si="18"/>
        <v>62.140626682459356</v>
      </c>
      <c r="AL38" s="34">
        <f t="shared" si="19"/>
        <v>37.062457103637612</v>
      </c>
      <c r="AO38">
        <f>'Non-durables'!C77</f>
        <v>30972</v>
      </c>
      <c r="AP38">
        <f>'Non-durables'!Q77</f>
        <v>17022</v>
      </c>
      <c r="AQ38">
        <f>'Non-durables'!X77</f>
        <v>20711</v>
      </c>
      <c r="AR38">
        <f>'Non-durables'!AG77</f>
        <v>1806</v>
      </c>
      <c r="AS38">
        <f>'Non-durables'!AI77</f>
        <v>906</v>
      </c>
      <c r="AT38">
        <f>'Non-durables'!AL77</f>
        <v>10087</v>
      </c>
      <c r="AU38">
        <f>'Non-durables'!AN77</f>
        <v>7751</v>
      </c>
      <c r="AV38">
        <f>'Non-durables'!AT77</f>
        <v>3905</v>
      </c>
      <c r="AX38" s="34">
        <f t="shared" si="20"/>
        <v>85.327015262548898</v>
      </c>
      <c r="AY38" s="34">
        <f t="shared" si="21"/>
        <v>132.95321409044755</v>
      </c>
      <c r="AZ38" s="34">
        <f t="shared" si="22"/>
        <v>123.92149823490696</v>
      </c>
      <c r="BA38" s="34">
        <f t="shared" si="23"/>
        <v>82.090909090909093</v>
      </c>
      <c r="BB38" s="34">
        <f t="shared" si="24"/>
        <v>36.269015212169734</v>
      </c>
      <c r="BC38" s="34">
        <f t="shared" si="25"/>
        <v>108.45070422535213</v>
      </c>
      <c r="BD38" s="34">
        <f t="shared" si="26"/>
        <v>97.130325814536349</v>
      </c>
      <c r="BE38" s="34">
        <f t="shared" si="27"/>
        <v>56.066044508255565</v>
      </c>
      <c r="BH38">
        <f>Services!F77</f>
        <v>71587</v>
      </c>
      <c r="BI38">
        <f>Services!Q77</f>
        <v>1151</v>
      </c>
      <c r="BJ38">
        <f>Services!U77</f>
        <v>4440</v>
      </c>
      <c r="BK38">
        <f>Services!AA77</f>
        <v>23595</v>
      </c>
      <c r="BL38">
        <f>Services!AJ77</f>
        <v>465</v>
      </c>
      <c r="BM38">
        <f>Services!AM77</f>
        <v>15418</v>
      </c>
      <c r="BN38">
        <f>Services!AV77</f>
        <v>7300</v>
      </c>
      <c r="BO38">
        <f>Services!AW77</f>
        <v>42188</v>
      </c>
      <c r="BP38">
        <f>Services!BB77</f>
        <v>35492</v>
      </c>
      <c r="BR38" s="34">
        <f t="shared" si="28"/>
        <v>78.380213066471043</v>
      </c>
      <c r="BS38" s="34">
        <f t="shared" si="29"/>
        <v>99.224137931034477</v>
      </c>
      <c r="BT38" s="34">
        <f t="shared" si="30"/>
        <v>96.437880104257161</v>
      </c>
      <c r="BU38" s="34">
        <f t="shared" si="31"/>
        <v>113.66701994411792</v>
      </c>
      <c r="BV38" s="34">
        <f t="shared" si="32"/>
        <v>8.3243823845327611</v>
      </c>
      <c r="BW38" s="34">
        <f t="shared" si="33"/>
        <v>92.01480066841728</v>
      </c>
      <c r="BX38" s="34">
        <f t="shared" si="34"/>
        <v>82.532504239683433</v>
      </c>
      <c r="BY38" s="34">
        <f t="shared" si="35"/>
        <v>97.840859018066283</v>
      </c>
      <c r="BZ38" s="34">
        <f t="shared" si="36"/>
        <v>82.995042559161917</v>
      </c>
    </row>
    <row r="39" spans="1:78" x14ac:dyDescent="0.35">
      <c r="A39" s="101" t="s">
        <v>534</v>
      </c>
      <c r="B39">
        <f>'Total goods'!B78</f>
        <v>143300</v>
      </c>
      <c r="C39">
        <f>Durables!B78</f>
        <v>28651</v>
      </c>
      <c r="D39">
        <f>'Semi-durables'!B78</f>
        <v>25035</v>
      </c>
      <c r="E39">
        <f>'Non-durables'!B78</f>
        <v>92079</v>
      </c>
      <c r="F39">
        <f>Services!B78</f>
        <v>187443</v>
      </c>
      <c r="H39" s="34">
        <f t="shared" si="5"/>
        <v>83.647082859060788</v>
      </c>
      <c r="I39" s="34">
        <f t="shared" si="6"/>
        <v>76.112424620779422</v>
      </c>
      <c r="J39" s="34">
        <f t="shared" si="7"/>
        <v>63.67312681214711</v>
      </c>
      <c r="K39" s="34">
        <f t="shared" si="8"/>
        <v>97.583696308778173</v>
      </c>
      <c r="L39" s="34">
        <f t="shared" si="9"/>
        <v>79.856087523325073</v>
      </c>
      <c r="O39">
        <f>Durables!C78</f>
        <v>9100</v>
      </c>
      <c r="P39">
        <f>Durables!H78</f>
        <v>652</v>
      </c>
      <c r="Q39">
        <f>Durables!J78</f>
        <v>15340</v>
      </c>
      <c r="R39">
        <f>Durables!O78</f>
        <v>1624</v>
      </c>
      <c r="S39">
        <f>Durables!Q78</f>
        <v>2019</v>
      </c>
      <c r="U39" s="34">
        <f t="shared" si="10"/>
        <v>73.511592212618154</v>
      </c>
      <c r="V39" s="34">
        <f t="shared" si="11"/>
        <v>63.547758284600384</v>
      </c>
      <c r="W39" s="34">
        <f t="shared" si="12"/>
        <v>103.99294963053352</v>
      </c>
      <c r="X39" s="34">
        <f t="shared" si="13"/>
        <v>110.77762619372442</v>
      </c>
      <c r="Y39" s="34">
        <f t="shared" si="14"/>
        <v>38.999420513811089</v>
      </c>
      <c r="AB39">
        <f>'Semi-durables'!C78</f>
        <v>13187</v>
      </c>
      <c r="AC39">
        <f>'Semi-durables'!H78</f>
        <v>3978</v>
      </c>
      <c r="AD39">
        <f>'Semi-durables'!M78</f>
        <v>1579</v>
      </c>
      <c r="AE39">
        <f>'Semi-durables'!O78</f>
        <v>5938</v>
      </c>
      <c r="AF39">
        <f>'Semi-durables'!T78</f>
        <v>456</v>
      </c>
      <c r="AH39" s="34">
        <f t="shared" si="15"/>
        <v>64.170316301703167</v>
      </c>
      <c r="AI39" s="34">
        <f t="shared" si="16"/>
        <v>59.284649776453058</v>
      </c>
      <c r="AJ39" s="34">
        <f t="shared" si="17"/>
        <v>121.64869029275809</v>
      </c>
      <c r="AK39" s="34">
        <f t="shared" si="18"/>
        <v>63.938839237644018</v>
      </c>
      <c r="AL39" s="34">
        <f t="shared" si="19"/>
        <v>31.297185998627313</v>
      </c>
      <c r="AO39">
        <f>'Non-durables'!C78</f>
        <v>31536</v>
      </c>
      <c r="AP39">
        <f>'Non-durables'!Q78</f>
        <v>16883</v>
      </c>
      <c r="AQ39">
        <f>'Non-durables'!X78</f>
        <v>21009</v>
      </c>
      <c r="AR39">
        <f>'Non-durables'!AG78</f>
        <v>1877</v>
      </c>
      <c r="AS39">
        <f>'Non-durables'!AI78</f>
        <v>847</v>
      </c>
      <c r="AT39">
        <f>'Non-durables'!AL78</f>
        <v>10408</v>
      </c>
      <c r="AU39">
        <f>'Non-durables'!AN78</f>
        <v>8089</v>
      </c>
      <c r="AV39">
        <f>'Non-durables'!AT78</f>
        <v>4036</v>
      </c>
      <c r="AX39" s="34">
        <f t="shared" si="20"/>
        <v>86.880819879883191</v>
      </c>
      <c r="AY39" s="34">
        <f t="shared" si="21"/>
        <v>131.86753104741075</v>
      </c>
      <c r="AZ39" s="34">
        <f t="shared" si="22"/>
        <v>125.70454137497755</v>
      </c>
      <c r="BA39" s="34">
        <f t="shared" si="23"/>
        <v>85.318181818181813</v>
      </c>
      <c r="BB39" s="34">
        <f t="shared" si="24"/>
        <v>33.907125700560449</v>
      </c>
      <c r="BC39" s="34">
        <f t="shared" si="25"/>
        <v>111.9019460273089</v>
      </c>
      <c r="BD39" s="34">
        <f t="shared" si="26"/>
        <v>101.36591478696741</v>
      </c>
      <c r="BE39" s="34">
        <f t="shared" si="27"/>
        <v>57.946877243359651</v>
      </c>
      <c r="BH39">
        <f>Services!F78</f>
        <v>71699</v>
      </c>
      <c r="BI39">
        <f>Services!Q78</f>
        <v>1529</v>
      </c>
      <c r="BJ39">
        <f>Services!U78</f>
        <v>4548</v>
      </c>
      <c r="BK39">
        <f>Services!AA78</f>
        <v>23371</v>
      </c>
      <c r="BL39">
        <f>Services!AJ78</f>
        <v>474</v>
      </c>
      <c r="BM39">
        <f>Services!AM78</f>
        <v>15991</v>
      </c>
      <c r="BN39">
        <f>Services!AV78</f>
        <v>7119</v>
      </c>
      <c r="BO39">
        <f>Services!AW78</f>
        <v>42237</v>
      </c>
      <c r="BP39">
        <f>Services!BB78</f>
        <v>33450</v>
      </c>
      <c r="BR39" s="34">
        <f t="shared" si="28"/>
        <v>78.502841251245442</v>
      </c>
      <c r="BS39" s="34">
        <f t="shared" si="29"/>
        <v>131.81034482758619</v>
      </c>
      <c r="BT39" s="34">
        <f t="shared" si="30"/>
        <v>98.783666377063426</v>
      </c>
      <c r="BU39" s="34">
        <f t="shared" si="31"/>
        <v>112.58791791116678</v>
      </c>
      <c r="BV39" s="34">
        <f t="shared" si="32"/>
        <v>8.4854994629430713</v>
      </c>
      <c r="BW39" s="34">
        <f t="shared" si="33"/>
        <v>95.43447123418477</v>
      </c>
      <c r="BX39" s="34">
        <f t="shared" si="34"/>
        <v>80.486150367439237</v>
      </c>
      <c r="BY39" s="34">
        <f t="shared" si="35"/>
        <v>97.954498017115426</v>
      </c>
      <c r="BZ39" s="34">
        <f t="shared" si="36"/>
        <v>78.219998129267609</v>
      </c>
    </row>
    <row r="40" spans="1:78" x14ac:dyDescent="0.35">
      <c r="A40" s="101" t="s">
        <v>535</v>
      </c>
      <c r="B40">
        <f>'Total goods'!B79</f>
        <v>142906</v>
      </c>
      <c r="C40">
        <f>Durables!B79</f>
        <v>29174</v>
      </c>
      <c r="D40">
        <f>'Semi-durables'!B79</f>
        <v>24918</v>
      </c>
      <c r="E40">
        <f>'Non-durables'!B79</f>
        <v>90943</v>
      </c>
      <c r="F40">
        <f>Services!B79</f>
        <v>186227</v>
      </c>
      <c r="H40" s="34">
        <f t="shared" si="5"/>
        <v>83.417097160201976</v>
      </c>
      <c r="I40" s="34">
        <f t="shared" si="6"/>
        <v>77.501793162075288</v>
      </c>
      <c r="J40" s="34">
        <f t="shared" si="7"/>
        <v>63.37555318174882</v>
      </c>
      <c r="K40" s="34">
        <f t="shared" si="8"/>
        <v>96.37978359245011</v>
      </c>
      <c r="L40" s="34">
        <f t="shared" si="9"/>
        <v>79.338036689587014</v>
      </c>
      <c r="O40">
        <f>Durables!C79</f>
        <v>9262</v>
      </c>
      <c r="P40">
        <f>Durables!H79</f>
        <v>686</v>
      </c>
      <c r="Q40">
        <f>Durables!J79</f>
        <v>15600</v>
      </c>
      <c r="R40">
        <f>Durables!O79</f>
        <v>1490</v>
      </c>
      <c r="S40">
        <f>Durables!Q79</f>
        <v>2110</v>
      </c>
      <c r="U40" s="34">
        <f t="shared" si="10"/>
        <v>74.820260117941672</v>
      </c>
      <c r="V40" s="34">
        <f t="shared" si="11"/>
        <v>66.861598440545805</v>
      </c>
      <c r="W40" s="34">
        <f t="shared" si="12"/>
        <v>105.75554199715273</v>
      </c>
      <c r="X40" s="34">
        <f t="shared" si="13"/>
        <v>101.63710777626194</v>
      </c>
      <c r="Y40" s="34">
        <f t="shared" si="14"/>
        <v>40.757195286845665</v>
      </c>
      <c r="AB40">
        <f>'Semi-durables'!C79</f>
        <v>13218</v>
      </c>
      <c r="AC40">
        <f>'Semi-durables'!H79</f>
        <v>4161</v>
      </c>
      <c r="AD40">
        <f>'Semi-durables'!M79</f>
        <v>1350</v>
      </c>
      <c r="AE40">
        <f>'Semi-durables'!O79</f>
        <v>5770</v>
      </c>
      <c r="AF40">
        <f>'Semi-durables'!T79</f>
        <v>508</v>
      </c>
      <c r="AH40" s="34">
        <f t="shared" si="15"/>
        <v>64.321167883211686</v>
      </c>
      <c r="AI40" s="34">
        <f t="shared" si="16"/>
        <v>62.011922503725778</v>
      </c>
      <c r="AJ40" s="34">
        <f t="shared" si="17"/>
        <v>104.00616332819723</v>
      </c>
      <c r="AK40" s="34">
        <f t="shared" si="18"/>
        <v>62.129858942607953</v>
      </c>
      <c r="AL40" s="34">
        <f t="shared" si="19"/>
        <v>34.866163349347971</v>
      </c>
      <c r="AO40">
        <f>'Non-durables'!C79</f>
        <v>31684</v>
      </c>
      <c r="AP40">
        <f>'Non-durables'!Q79</f>
        <v>16346</v>
      </c>
      <c r="AQ40">
        <f>'Non-durables'!X79</f>
        <v>21317</v>
      </c>
      <c r="AR40">
        <f>'Non-durables'!AG79</f>
        <v>1858</v>
      </c>
      <c r="AS40">
        <f>'Non-durables'!AI79</f>
        <v>712</v>
      </c>
      <c r="AT40">
        <f>'Non-durables'!AL79</f>
        <v>10091</v>
      </c>
      <c r="AU40">
        <f>'Non-durables'!AN79</f>
        <v>7794</v>
      </c>
      <c r="AV40">
        <f>'Non-durables'!AT79</f>
        <v>4045</v>
      </c>
      <c r="AX40" s="34">
        <f t="shared" si="20"/>
        <v>87.288555843297161</v>
      </c>
      <c r="AY40" s="34">
        <f t="shared" si="21"/>
        <v>127.67320159337656</v>
      </c>
      <c r="AZ40" s="34">
        <f t="shared" si="22"/>
        <v>127.54741817746664</v>
      </c>
      <c r="BA40" s="34">
        <f t="shared" si="23"/>
        <v>84.454545454545453</v>
      </c>
      <c r="BB40" s="34">
        <f t="shared" si="24"/>
        <v>28.502802241793436</v>
      </c>
      <c r="BC40" s="34">
        <f t="shared" si="25"/>
        <v>108.49371035372542</v>
      </c>
      <c r="BD40" s="34">
        <f t="shared" si="26"/>
        <v>97.669172932330824</v>
      </c>
      <c r="BE40" s="34">
        <f t="shared" si="27"/>
        <v>58.07609475951184</v>
      </c>
      <c r="BH40">
        <f>Services!F79</f>
        <v>71763</v>
      </c>
      <c r="BI40">
        <f>Services!Q79</f>
        <v>1324</v>
      </c>
      <c r="BJ40">
        <f>Services!U79</f>
        <v>3231</v>
      </c>
      <c r="BK40">
        <f>Services!AA79</f>
        <v>23177</v>
      </c>
      <c r="BL40">
        <f>Services!AJ79</f>
        <v>496</v>
      </c>
      <c r="BM40">
        <f>Services!AM79</f>
        <v>15597</v>
      </c>
      <c r="BN40">
        <f>Services!AV79</f>
        <v>7293</v>
      </c>
      <c r="BO40">
        <f>Services!AW79</f>
        <v>42156</v>
      </c>
      <c r="BP40">
        <f>Services!BB79</f>
        <v>33516</v>
      </c>
      <c r="BR40" s="34">
        <f t="shared" si="28"/>
        <v>78.572914499687954</v>
      </c>
      <c r="BS40" s="34">
        <f t="shared" si="29"/>
        <v>114.13793103448275</v>
      </c>
      <c r="BT40" s="34">
        <f t="shared" si="30"/>
        <v>70.178105994787146</v>
      </c>
      <c r="BU40" s="34">
        <f t="shared" si="31"/>
        <v>111.65333847191444</v>
      </c>
      <c r="BV40" s="34">
        <f t="shared" si="32"/>
        <v>8.8793412101682776</v>
      </c>
      <c r="BW40" s="34">
        <f t="shared" si="33"/>
        <v>93.083074719503472</v>
      </c>
      <c r="BX40" s="34">
        <f t="shared" si="34"/>
        <v>82.453363482193325</v>
      </c>
      <c r="BY40" s="34">
        <f t="shared" si="35"/>
        <v>97.766645794197444</v>
      </c>
      <c r="BZ40" s="34">
        <f t="shared" si="36"/>
        <v>78.374333551585451</v>
      </c>
    </row>
    <row r="41" spans="1:78" x14ac:dyDescent="0.35">
      <c r="A41" s="101" t="s">
        <v>536</v>
      </c>
      <c r="B41">
        <f>'Total goods'!B80</f>
        <v>143113</v>
      </c>
      <c r="C41">
        <f>Durables!B80</f>
        <v>29411</v>
      </c>
      <c r="D41">
        <f>'Semi-durables'!B80</f>
        <v>25283</v>
      </c>
      <c r="E41">
        <f>'Non-durables'!B80</f>
        <v>90239</v>
      </c>
      <c r="F41">
        <f>Services!B80</f>
        <v>186602</v>
      </c>
      <c r="H41" s="34">
        <f t="shared" si="5"/>
        <v>83.537927210110027</v>
      </c>
      <c r="I41" s="34">
        <f t="shared" si="6"/>
        <v>78.131392290731355</v>
      </c>
      <c r="J41" s="34">
        <f t="shared" si="7"/>
        <v>64.303881174016979</v>
      </c>
      <c r="K41" s="34">
        <f t="shared" si="8"/>
        <v>95.633696838669337</v>
      </c>
      <c r="L41" s="34">
        <f t="shared" si="9"/>
        <v>79.497797431899315</v>
      </c>
      <c r="O41">
        <f>Durables!C80</f>
        <v>9250</v>
      </c>
      <c r="P41">
        <f>Durables!H80</f>
        <v>704</v>
      </c>
      <c r="Q41">
        <f>Durables!J80</f>
        <v>15336</v>
      </c>
      <c r="R41">
        <f>Durables!O80</f>
        <v>1543</v>
      </c>
      <c r="S41">
        <f>Durables!Q80</f>
        <v>2262</v>
      </c>
      <c r="U41" s="34">
        <f t="shared" si="10"/>
        <v>74.723321754584376</v>
      </c>
      <c r="V41" s="34">
        <f t="shared" si="11"/>
        <v>68.615984405458079</v>
      </c>
      <c r="W41" s="34">
        <f t="shared" si="12"/>
        <v>103.96583282489323</v>
      </c>
      <c r="X41" s="34">
        <f t="shared" si="13"/>
        <v>105.25238744884038</v>
      </c>
      <c r="Y41" s="34">
        <f t="shared" si="14"/>
        <v>43.69325864400232</v>
      </c>
      <c r="AB41">
        <f>'Semi-durables'!C80</f>
        <v>13249</v>
      </c>
      <c r="AC41">
        <f>'Semi-durables'!H80</f>
        <v>4363</v>
      </c>
      <c r="AD41">
        <f>'Semi-durables'!M80</f>
        <v>1427</v>
      </c>
      <c r="AE41">
        <f>'Semi-durables'!O80</f>
        <v>5822</v>
      </c>
      <c r="AF41">
        <f>'Semi-durables'!T80</f>
        <v>534</v>
      </c>
      <c r="AH41" s="34">
        <f t="shared" si="15"/>
        <v>64.472019464720205</v>
      </c>
      <c r="AI41" s="34">
        <f t="shared" si="16"/>
        <v>65.022354694485841</v>
      </c>
      <c r="AJ41" s="34">
        <f t="shared" si="17"/>
        <v>109.93836671802772</v>
      </c>
      <c r="AK41" s="34">
        <f t="shared" si="18"/>
        <v>62.689781414881018</v>
      </c>
      <c r="AL41" s="34">
        <f t="shared" si="19"/>
        <v>36.6506520247083</v>
      </c>
      <c r="AO41">
        <f>'Non-durables'!C80</f>
        <v>31002</v>
      </c>
      <c r="AP41">
        <f>'Non-durables'!Q80</f>
        <v>16413</v>
      </c>
      <c r="AQ41">
        <f>'Non-durables'!X80</f>
        <v>21402</v>
      </c>
      <c r="AR41">
        <f>'Non-durables'!AG80</f>
        <v>1852</v>
      </c>
      <c r="AS41">
        <f>'Non-durables'!AI80</f>
        <v>769</v>
      </c>
      <c r="AT41">
        <f>'Non-durables'!AL80</f>
        <v>9633</v>
      </c>
      <c r="AU41">
        <f>'Non-durables'!AN80</f>
        <v>8010</v>
      </c>
      <c r="AV41">
        <f>'Non-durables'!AT80</f>
        <v>4119</v>
      </c>
      <c r="AX41" s="34">
        <f t="shared" si="20"/>
        <v>85.409664444322004</v>
      </c>
      <c r="AY41" s="34">
        <f t="shared" si="21"/>
        <v>128.19651644145904</v>
      </c>
      <c r="AZ41" s="34">
        <f t="shared" si="22"/>
        <v>128.05600430802369</v>
      </c>
      <c r="BA41" s="34">
        <f t="shared" si="23"/>
        <v>84.181818181818187</v>
      </c>
      <c r="BB41" s="34">
        <f t="shared" si="24"/>
        <v>30.784627702161732</v>
      </c>
      <c r="BC41" s="34">
        <f t="shared" si="25"/>
        <v>103.56950865498334</v>
      </c>
      <c r="BD41" s="34">
        <f t="shared" si="26"/>
        <v>100.37593984962405</v>
      </c>
      <c r="BE41" s="34">
        <f t="shared" si="27"/>
        <v>59.138549892318736</v>
      </c>
      <c r="BH41">
        <f>Services!F80</f>
        <v>72110</v>
      </c>
      <c r="BI41">
        <f>Services!Q80</f>
        <v>1306</v>
      </c>
      <c r="BJ41">
        <f>Services!U80</f>
        <v>3280</v>
      </c>
      <c r="BK41">
        <f>Services!AA80</f>
        <v>23719</v>
      </c>
      <c r="BL41">
        <f>Services!AJ80</f>
        <v>506</v>
      </c>
      <c r="BM41">
        <f>Services!AM80</f>
        <v>15874</v>
      </c>
      <c r="BN41">
        <f>Services!AV80</f>
        <v>7452</v>
      </c>
      <c r="BO41">
        <f>Services!AW80</f>
        <v>41901</v>
      </c>
      <c r="BP41">
        <f>Services!BB80</f>
        <v>32812</v>
      </c>
      <c r="BR41" s="34">
        <f t="shared" si="28"/>
        <v>78.952842893587203</v>
      </c>
      <c r="BS41" s="34">
        <f t="shared" si="29"/>
        <v>112.58620689655172</v>
      </c>
      <c r="BT41" s="34">
        <f t="shared" si="30"/>
        <v>71.242397914856653</v>
      </c>
      <c r="BU41" s="34">
        <f t="shared" si="31"/>
        <v>114.26437999807304</v>
      </c>
      <c r="BV41" s="34">
        <f t="shared" si="32"/>
        <v>9.0583601861797352</v>
      </c>
      <c r="BW41" s="34">
        <f t="shared" si="33"/>
        <v>94.736213893530675</v>
      </c>
      <c r="BX41" s="34">
        <f t="shared" si="34"/>
        <v>84.250989259468625</v>
      </c>
      <c r="BY41" s="34">
        <f t="shared" si="35"/>
        <v>97.175259166492737</v>
      </c>
      <c r="BZ41" s="34">
        <f t="shared" si="36"/>
        <v>76.728089046861854</v>
      </c>
    </row>
    <row r="42" spans="1:78" x14ac:dyDescent="0.35">
      <c r="A42" s="101" t="s">
        <v>537</v>
      </c>
      <c r="B42">
        <f>'Total goods'!B81</f>
        <v>144782</v>
      </c>
      <c r="C42">
        <f>Durables!B81</f>
        <v>29211</v>
      </c>
      <c r="D42">
        <f>'Semi-durables'!B81</f>
        <v>26001</v>
      </c>
      <c r="E42">
        <f>'Non-durables'!B81</f>
        <v>91502</v>
      </c>
      <c r="F42">
        <f>Services!B81</f>
        <v>188238</v>
      </c>
      <c r="H42" s="34">
        <f t="shared" si="5"/>
        <v>84.512155969996797</v>
      </c>
      <c r="I42" s="34">
        <f t="shared" si="6"/>
        <v>77.600085009165056</v>
      </c>
      <c r="J42" s="34">
        <f t="shared" si="7"/>
        <v>66.130016786204791</v>
      </c>
      <c r="K42" s="34">
        <f t="shared" si="8"/>
        <v>96.972201909727744</v>
      </c>
      <c r="L42" s="34">
        <f t="shared" si="9"/>
        <v>80.194780297027165</v>
      </c>
      <c r="O42">
        <f>Durables!C81</f>
        <v>9089</v>
      </c>
      <c r="P42">
        <f>Durables!H81</f>
        <v>697</v>
      </c>
      <c r="Q42">
        <f>Durables!J81</f>
        <v>15456</v>
      </c>
      <c r="R42">
        <f>Durables!O81</f>
        <v>1555</v>
      </c>
      <c r="S42">
        <f>Durables!Q81</f>
        <v>2207</v>
      </c>
      <c r="U42" s="34">
        <f t="shared" si="10"/>
        <v>73.422732046207287</v>
      </c>
      <c r="V42" s="34">
        <f t="shared" si="11"/>
        <v>67.93372319688109</v>
      </c>
      <c r="W42" s="34">
        <f t="shared" si="12"/>
        <v>104.7793369941021</v>
      </c>
      <c r="X42" s="34">
        <f t="shared" si="13"/>
        <v>106.07094133697134</v>
      </c>
      <c r="Y42" s="34">
        <f t="shared" si="14"/>
        <v>42.630867297662739</v>
      </c>
      <c r="AB42">
        <f>'Semi-durables'!C81</f>
        <v>13429</v>
      </c>
      <c r="AC42">
        <f>'Semi-durables'!H81</f>
        <v>4566</v>
      </c>
      <c r="AD42">
        <f>'Semi-durables'!M81</f>
        <v>1511</v>
      </c>
      <c r="AE42">
        <f>'Semi-durables'!O81</f>
        <v>6093</v>
      </c>
      <c r="AF42">
        <f>'Semi-durables'!T81</f>
        <v>529</v>
      </c>
      <c r="AH42" s="34">
        <f t="shared" si="15"/>
        <v>65.347931873479311</v>
      </c>
      <c r="AI42" s="34">
        <f t="shared" si="16"/>
        <v>68.047690014903125</v>
      </c>
      <c r="AJ42" s="34">
        <f t="shared" si="17"/>
        <v>116.40986132511557</v>
      </c>
      <c r="AK42" s="34">
        <f t="shared" si="18"/>
        <v>65.607838914611833</v>
      </c>
      <c r="AL42" s="34">
        <f t="shared" si="19"/>
        <v>36.307481125600546</v>
      </c>
      <c r="AO42">
        <f>'Non-durables'!C81</f>
        <v>31256</v>
      </c>
      <c r="AP42">
        <f>'Non-durables'!Q81</f>
        <v>16325</v>
      </c>
      <c r="AQ42">
        <f>'Non-durables'!X81</f>
        <v>21508</v>
      </c>
      <c r="AR42">
        <f>'Non-durables'!AG81</f>
        <v>1913</v>
      </c>
      <c r="AS42">
        <f>'Non-durables'!AI81</f>
        <v>866</v>
      </c>
      <c r="AT42">
        <f>'Non-durables'!AL81</f>
        <v>10133</v>
      </c>
      <c r="AU42">
        <f>'Non-durables'!AN81</f>
        <v>8072</v>
      </c>
      <c r="AV42">
        <f>'Non-durables'!AT81</f>
        <v>4221</v>
      </c>
      <c r="AX42" s="34">
        <f t="shared" si="20"/>
        <v>86.10942751666758</v>
      </c>
      <c r="AY42" s="34">
        <f t="shared" si="21"/>
        <v>127.50917753651487</v>
      </c>
      <c r="AZ42" s="34">
        <f t="shared" si="22"/>
        <v>128.69024112965954</v>
      </c>
      <c r="BA42" s="34">
        <f t="shared" si="23"/>
        <v>86.954545454545453</v>
      </c>
      <c r="BB42" s="34">
        <f t="shared" si="24"/>
        <v>34.667734187349879</v>
      </c>
      <c r="BC42" s="34">
        <f t="shared" si="25"/>
        <v>108.94527470164499</v>
      </c>
      <c r="BD42" s="34">
        <f t="shared" si="26"/>
        <v>101.15288220551379</v>
      </c>
      <c r="BE42" s="34">
        <f t="shared" si="27"/>
        <v>60.603015075376888</v>
      </c>
      <c r="BH42">
        <f>Services!F81</f>
        <v>72695</v>
      </c>
      <c r="BI42">
        <f>Services!Q81</f>
        <v>1211</v>
      </c>
      <c r="BJ42">
        <f>Services!U81</f>
        <v>3629</v>
      </c>
      <c r="BK42">
        <f>Services!AA81</f>
        <v>23567</v>
      </c>
      <c r="BL42">
        <f>Services!AJ81</f>
        <v>525</v>
      </c>
      <c r="BM42">
        <f>Services!AM81</f>
        <v>15757</v>
      </c>
      <c r="BN42">
        <f>Services!AV81</f>
        <v>7629</v>
      </c>
      <c r="BO42">
        <f>Services!AW81</f>
        <v>42264</v>
      </c>
      <c r="BP42">
        <f>Services!BB81</f>
        <v>33249</v>
      </c>
      <c r="BR42" s="34">
        <f t="shared" si="28"/>
        <v>79.593356180132048</v>
      </c>
      <c r="BS42" s="34">
        <f t="shared" si="29"/>
        <v>104.39655172413794</v>
      </c>
      <c r="BT42" s="34">
        <f t="shared" si="30"/>
        <v>78.82276281494353</v>
      </c>
      <c r="BU42" s="34">
        <f t="shared" si="31"/>
        <v>113.53213218999905</v>
      </c>
      <c r="BV42" s="34">
        <f t="shared" si="32"/>
        <v>9.3984962406015029</v>
      </c>
      <c r="BW42" s="34">
        <f t="shared" si="33"/>
        <v>94.03795655287658</v>
      </c>
      <c r="BX42" s="34">
        <f t="shared" si="34"/>
        <v>86.252119841718482</v>
      </c>
      <c r="BY42" s="34">
        <f t="shared" si="35"/>
        <v>98.017115424754749</v>
      </c>
      <c r="BZ42" s="34">
        <f t="shared" si="36"/>
        <v>77.7499766158451</v>
      </c>
    </row>
    <row r="43" spans="1:78" x14ac:dyDescent="0.35">
      <c r="A43" s="101" t="s">
        <v>538</v>
      </c>
      <c r="B43">
        <f>'Total goods'!B82</f>
        <v>145067</v>
      </c>
      <c r="C43">
        <f>Durables!B82</f>
        <v>29265</v>
      </c>
      <c r="D43">
        <f>'Semi-durables'!B82</f>
        <v>26461</v>
      </c>
      <c r="E43">
        <f>'Non-durables'!B82</f>
        <v>91040</v>
      </c>
      <c r="F43">
        <f>Services!B82</f>
        <v>187650</v>
      </c>
      <c r="H43" s="34">
        <f t="shared" si="5"/>
        <v>84.678516183638337</v>
      </c>
      <c r="I43" s="34">
        <f t="shared" si="6"/>
        <v>77.743537975187948</v>
      </c>
      <c r="J43" s="34">
        <f t="shared" si="7"/>
        <v>67.299964392898929</v>
      </c>
      <c r="K43" s="34">
        <f t="shared" si="8"/>
        <v>96.482582477559106</v>
      </c>
      <c r="L43" s="34">
        <f t="shared" si="9"/>
        <v>79.944275453081474</v>
      </c>
      <c r="O43">
        <f>Durables!C82</f>
        <v>9561</v>
      </c>
      <c r="P43">
        <f>Durables!H82</f>
        <v>657</v>
      </c>
      <c r="Q43">
        <f>Durables!J82</f>
        <v>15155</v>
      </c>
      <c r="R43">
        <f>Durables!O82</f>
        <v>1547</v>
      </c>
      <c r="S43">
        <f>Durables!Q82</f>
        <v>2224</v>
      </c>
      <c r="U43" s="34">
        <f t="shared" si="10"/>
        <v>77.2356410049277</v>
      </c>
      <c r="V43" s="34">
        <f t="shared" si="11"/>
        <v>64.035087719298247</v>
      </c>
      <c r="W43" s="34">
        <f t="shared" si="12"/>
        <v>102.73879736966984</v>
      </c>
      <c r="X43" s="34">
        <f t="shared" si="13"/>
        <v>105.52523874488404</v>
      </c>
      <c r="Y43" s="34">
        <f t="shared" si="14"/>
        <v>42.959242804713156</v>
      </c>
      <c r="AB43">
        <f>'Semi-durables'!C82</f>
        <v>13584</v>
      </c>
      <c r="AC43">
        <f>'Semi-durables'!H82</f>
        <v>4431</v>
      </c>
      <c r="AD43">
        <f>'Semi-durables'!M82</f>
        <v>1730</v>
      </c>
      <c r="AE43">
        <f>'Semi-durables'!O82</f>
        <v>6299</v>
      </c>
      <c r="AF43">
        <f>'Semi-durables'!T82</f>
        <v>554</v>
      </c>
      <c r="AH43" s="34">
        <f t="shared" si="15"/>
        <v>66.102189781021906</v>
      </c>
      <c r="AI43" s="34">
        <f t="shared" si="16"/>
        <v>66.03576751117734</v>
      </c>
      <c r="AJ43" s="34">
        <f t="shared" si="17"/>
        <v>133.28197226502311</v>
      </c>
      <c r="AK43" s="34">
        <f t="shared" si="18"/>
        <v>67.825993324001288</v>
      </c>
      <c r="AL43" s="34">
        <f t="shared" si="19"/>
        <v>38.023335621139324</v>
      </c>
      <c r="AO43">
        <f>'Non-durables'!C82</f>
        <v>31331</v>
      </c>
      <c r="AP43">
        <f>'Non-durables'!Q82</f>
        <v>16055</v>
      </c>
      <c r="AQ43">
        <f>'Non-durables'!X82</f>
        <v>19900</v>
      </c>
      <c r="AR43">
        <f>'Non-durables'!AG82</f>
        <v>1958</v>
      </c>
      <c r="AS43">
        <f>'Non-durables'!AI82</f>
        <v>1118</v>
      </c>
      <c r="AT43">
        <f>'Non-durables'!AL82</f>
        <v>10113</v>
      </c>
      <c r="AU43">
        <f>'Non-durables'!AN82</f>
        <v>8149</v>
      </c>
      <c r="AV43">
        <f>'Non-durables'!AT82</f>
        <v>4263</v>
      </c>
      <c r="AX43" s="34">
        <f t="shared" si="20"/>
        <v>86.31605047110034</v>
      </c>
      <c r="AY43" s="34">
        <f t="shared" si="21"/>
        <v>125.40029680543623</v>
      </c>
      <c r="AZ43" s="34">
        <f t="shared" si="22"/>
        <v>119.0689882127685</v>
      </c>
      <c r="BA43" s="34">
        <f t="shared" si="23"/>
        <v>89</v>
      </c>
      <c r="BB43" s="34">
        <f t="shared" si="24"/>
        <v>44.755804643714967</v>
      </c>
      <c r="BC43" s="34">
        <f t="shared" si="25"/>
        <v>108.73024405977851</v>
      </c>
      <c r="BD43" s="34">
        <f t="shared" si="26"/>
        <v>102.11779448621554</v>
      </c>
      <c r="BE43" s="34">
        <f t="shared" si="27"/>
        <v>61.206030150753762</v>
      </c>
      <c r="BH43">
        <f>Services!F82</f>
        <v>73050</v>
      </c>
      <c r="BI43">
        <f>Services!Q82</f>
        <v>1281</v>
      </c>
      <c r="BJ43">
        <f>Services!U82</f>
        <v>3650</v>
      </c>
      <c r="BK43">
        <f>Services!AA82</f>
        <v>23262</v>
      </c>
      <c r="BL43">
        <f>Services!AJ82</f>
        <v>545</v>
      </c>
      <c r="BM43">
        <f>Services!AM82</f>
        <v>15983</v>
      </c>
      <c r="BN43">
        <f>Services!AV82</f>
        <v>7082</v>
      </c>
      <c r="BO43">
        <f>Services!AW82</f>
        <v>41934</v>
      </c>
      <c r="BP43">
        <f>Services!BB82</f>
        <v>32544</v>
      </c>
      <c r="BR43" s="34">
        <f t="shared" si="28"/>
        <v>79.982043730086602</v>
      </c>
      <c r="BS43" s="34">
        <f t="shared" si="29"/>
        <v>110.43103448275862</v>
      </c>
      <c r="BT43" s="34">
        <f t="shared" si="30"/>
        <v>79.278887923544744</v>
      </c>
      <c r="BU43" s="34">
        <f t="shared" si="31"/>
        <v>112.06281915406109</v>
      </c>
      <c r="BV43" s="34">
        <f t="shared" si="32"/>
        <v>9.756534192624418</v>
      </c>
      <c r="BW43" s="34">
        <f t="shared" si="33"/>
        <v>95.386727142516108</v>
      </c>
      <c r="BX43" s="34">
        <f t="shared" si="34"/>
        <v>80.067834934991524</v>
      </c>
      <c r="BY43" s="34">
        <f t="shared" si="35"/>
        <v>97.251791553607461</v>
      </c>
      <c r="BZ43" s="34">
        <f t="shared" si="36"/>
        <v>76.101393695631842</v>
      </c>
    </row>
    <row r="44" spans="1:78" x14ac:dyDescent="0.35">
      <c r="A44" s="101" t="s">
        <v>539</v>
      </c>
      <c r="B44">
        <f>'Total goods'!B83</f>
        <v>145562</v>
      </c>
      <c r="C44">
        <f>Durables!B83</f>
        <v>29796</v>
      </c>
      <c r="D44">
        <f>'Semi-durables'!B83</f>
        <v>26125</v>
      </c>
      <c r="E44">
        <f>'Non-durables'!B83</f>
        <v>91354</v>
      </c>
      <c r="F44">
        <f>Services!B83</f>
        <v>190737</v>
      </c>
      <c r="H44" s="34">
        <f t="shared" si="5"/>
        <v>84.967457607331525</v>
      </c>
      <c r="I44" s="34">
        <f t="shared" si="6"/>
        <v>79.154158807746455</v>
      </c>
      <c r="J44" s="34">
        <f t="shared" si="7"/>
        <v>66.445393967139736</v>
      </c>
      <c r="K44" s="34">
        <f t="shared" si="8"/>
        <v>96.815354126262463</v>
      </c>
      <c r="L44" s="34">
        <f t="shared" si="9"/>
        <v>81.259425883796425</v>
      </c>
      <c r="O44">
        <f>Durables!C83</f>
        <v>9522</v>
      </c>
      <c r="P44">
        <f>Durables!H83</f>
        <v>638</v>
      </c>
      <c r="Q44">
        <f>Durables!J83</f>
        <v>15571</v>
      </c>
      <c r="R44">
        <f>Durables!O83</f>
        <v>1524</v>
      </c>
      <c r="S44">
        <f>Durables!Q83</f>
        <v>2332</v>
      </c>
      <c r="U44" s="34">
        <f t="shared" si="10"/>
        <v>76.92059132401647</v>
      </c>
      <c r="V44" s="34">
        <f t="shared" si="11"/>
        <v>62.183235867446399</v>
      </c>
      <c r="W44" s="34">
        <f t="shared" si="12"/>
        <v>105.55894515626059</v>
      </c>
      <c r="X44" s="34">
        <f t="shared" si="13"/>
        <v>103.95634379263301</v>
      </c>
      <c r="Y44" s="34">
        <f t="shared" si="14"/>
        <v>45.04539308479815</v>
      </c>
      <c r="AB44">
        <f>'Semi-durables'!C83</f>
        <v>13098</v>
      </c>
      <c r="AC44">
        <f>'Semi-durables'!H83</f>
        <v>4744</v>
      </c>
      <c r="AD44">
        <f>'Semi-durables'!M83</f>
        <v>1386</v>
      </c>
      <c r="AE44">
        <f>'Semi-durables'!O83</f>
        <v>6446</v>
      </c>
      <c r="AF44">
        <f>'Semi-durables'!T83</f>
        <v>571</v>
      </c>
      <c r="AH44" s="34">
        <f t="shared" si="15"/>
        <v>63.737226277372258</v>
      </c>
      <c r="AI44" s="34">
        <f t="shared" si="16"/>
        <v>70.700447093889721</v>
      </c>
      <c r="AJ44" s="34">
        <f t="shared" si="17"/>
        <v>106.77966101694916</v>
      </c>
      <c r="AK44" s="34">
        <f t="shared" si="18"/>
        <v>69.408851082157852</v>
      </c>
      <c r="AL44" s="34">
        <f t="shared" si="19"/>
        <v>39.190116678105696</v>
      </c>
      <c r="AO44">
        <f>'Non-durables'!C83</f>
        <v>31591</v>
      </c>
      <c r="AP44">
        <f>'Non-durables'!Q83</f>
        <v>15986</v>
      </c>
      <c r="AQ44">
        <f>'Non-durables'!X83</f>
        <v>18996</v>
      </c>
      <c r="AR44">
        <f>'Non-durables'!AG83</f>
        <v>1933</v>
      </c>
      <c r="AS44">
        <f>'Non-durables'!AI83</f>
        <v>1398</v>
      </c>
      <c r="AT44">
        <f>'Non-durables'!AL83</f>
        <v>10500</v>
      </c>
      <c r="AU44">
        <f>'Non-durables'!AN83</f>
        <v>7991</v>
      </c>
      <c r="AV44">
        <f>'Non-durables'!AT83</f>
        <v>4303</v>
      </c>
      <c r="AX44" s="34">
        <f t="shared" si="20"/>
        <v>87.032343379800537</v>
      </c>
      <c r="AY44" s="34">
        <f t="shared" si="21"/>
        <v>124.86136061860502</v>
      </c>
      <c r="AZ44" s="34">
        <f t="shared" si="22"/>
        <v>113.66002513013822</v>
      </c>
      <c r="BA44" s="34">
        <f t="shared" si="23"/>
        <v>87.86363636363636</v>
      </c>
      <c r="BB44" s="34">
        <f t="shared" si="24"/>
        <v>55.964771817453965</v>
      </c>
      <c r="BC44" s="34">
        <f t="shared" si="25"/>
        <v>112.89108697989462</v>
      </c>
      <c r="BD44" s="34">
        <f t="shared" si="26"/>
        <v>100.13784461152882</v>
      </c>
      <c r="BE44" s="34">
        <f t="shared" si="27"/>
        <v>61.780330222541281</v>
      </c>
      <c r="BH44">
        <f>Services!F83</f>
        <v>73335</v>
      </c>
      <c r="BI44">
        <f>Services!Q83</f>
        <v>1110</v>
      </c>
      <c r="BJ44">
        <f>Services!U83</f>
        <v>4202</v>
      </c>
      <c r="BK44">
        <f>Services!AA83</f>
        <v>23809</v>
      </c>
      <c r="BL44">
        <f>Services!AJ83</f>
        <v>535</v>
      </c>
      <c r="BM44">
        <f>Services!AM83</f>
        <v>15905</v>
      </c>
      <c r="BN44">
        <f>Services!AV83</f>
        <v>7381</v>
      </c>
      <c r="BO44">
        <f>Services!AW83</f>
        <v>41558</v>
      </c>
      <c r="BP44">
        <f>Services!BB83</f>
        <v>34876</v>
      </c>
      <c r="BR44" s="34">
        <f t="shared" si="28"/>
        <v>80.294088664557179</v>
      </c>
      <c r="BS44" s="34">
        <f t="shared" si="29"/>
        <v>95.689655172413794</v>
      </c>
      <c r="BT44" s="34">
        <f t="shared" si="30"/>
        <v>91.268462206776718</v>
      </c>
      <c r="BU44" s="34">
        <f t="shared" si="31"/>
        <v>114.69794777916948</v>
      </c>
      <c r="BV44" s="34">
        <f t="shared" si="32"/>
        <v>9.5775152166129605</v>
      </c>
      <c r="BW44" s="34">
        <f t="shared" si="33"/>
        <v>94.921222248746716</v>
      </c>
      <c r="BX44" s="34">
        <f t="shared" si="34"/>
        <v>83.448275862068968</v>
      </c>
      <c r="BY44" s="34">
        <f t="shared" si="35"/>
        <v>96.37978617314873</v>
      </c>
      <c r="BZ44" s="34">
        <f t="shared" si="36"/>
        <v>81.554578617528762</v>
      </c>
    </row>
    <row r="45" spans="1:78" x14ac:dyDescent="0.35">
      <c r="A45" s="101" t="s">
        <v>540</v>
      </c>
      <c r="B45">
        <f>'Total goods'!B84</f>
        <v>146212</v>
      </c>
      <c r="C45">
        <f>Durables!B84</f>
        <v>30681</v>
      </c>
      <c r="D45">
        <f>'Semi-durables'!B84</f>
        <v>26750</v>
      </c>
      <c r="E45">
        <f>'Non-durables'!B84</f>
        <v>89874</v>
      </c>
      <c r="F45">
        <f>Services!B84</f>
        <v>193789</v>
      </c>
      <c r="H45" s="34">
        <f t="shared" si="5"/>
        <v>85.346875638443791</v>
      </c>
      <c r="I45" s="34">
        <f t="shared" si="6"/>
        <v>81.50519352867731</v>
      </c>
      <c r="J45" s="34">
        <f t="shared" si="7"/>
        <v>68.034996693626326</v>
      </c>
      <c r="K45" s="34">
        <f t="shared" si="8"/>
        <v>95.246876291609709</v>
      </c>
      <c r="L45" s="34">
        <f t="shared" si="9"/>
        <v>82.559665311895571</v>
      </c>
      <c r="O45">
        <f>Durables!C84</f>
        <v>10150</v>
      </c>
      <c r="P45">
        <f>Durables!H84</f>
        <v>664</v>
      </c>
      <c r="Q45">
        <f>Durables!J84</f>
        <v>15768</v>
      </c>
      <c r="R45">
        <f>Durables!O84</f>
        <v>1546</v>
      </c>
      <c r="S45">
        <f>Durables!Q84</f>
        <v>2408</v>
      </c>
      <c r="U45" s="34">
        <f t="shared" si="10"/>
        <v>81.993699006381775</v>
      </c>
      <c r="V45" s="34">
        <f t="shared" si="11"/>
        <v>64.717348927875236</v>
      </c>
      <c r="W45" s="34">
        <f t="shared" si="12"/>
        <v>106.89444783404515</v>
      </c>
      <c r="X45" s="34">
        <f t="shared" si="13"/>
        <v>105.45702592087312</v>
      </c>
      <c r="Y45" s="34">
        <f t="shared" si="14"/>
        <v>46.51342476337647</v>
      </c>
      <c r="AB45">
        <f>'Semi-durables'!C84</f>
        <v>13631</v>
      </c>
      <c r="AC45">
        <f>'Semi-durables'!H84</f>
        <v>4678</v>
      </c>
      <c r="AD45">
        <f>'Semi-durables'!M84</f>
        <v>1431</v>
      </c>
      <c r="AE45">
        <f>'Semi-durables'!O84</f>
        <v>6608</v>
      </c>
      <c r="AF45">
        <f>'Semi-durables'!T84</f>
        <v>508</v>
      </c>
      <c r="AH45" s="34">
        <f t="shared" si="15"/>
        <v>66.330900243309003</v>
      </c>
      <c r="AI45" s="34">
        <f t="shared" si="16"/>
        <v>69.716840536512663</v>
      </c>
      <c r="AJ45" s="34">
        <f t="shared" si="17"/>
        <v>110.24653312788905</v>
      </c>
      <c r="AK45" s="34">
        <f t="shared" si="18"/>
        <v>71.153224938085486</v>
      </c>
      <c r="AL45" s="34">
        <f t="shared" si="19"/>
        <v>34.866163349347971</v>
      </c>
      <c r="AO45">
        <f>'Non-durables'!C84</f>
        <v>30439</v>
      </c>
      <c r="AP45">
        <f>'Non-durables'!Q84</f>
        <v>15853</v>
      </c>
      <c r="AQ45">
        <f>'Non-durables'!X84</f>
        <v>19134</v>
      </c>
      <c r="AR45">
        <f>'Non-durables'!AG84</f>
        <v>1839</v>
      </c>
      <c r="AS45">
        <f>'Non-durables'!AI84</f>
        <v>1625</v>
      </c>
      <c r="AT45">
        <f>'Non-durables'!AL84</f>
        <v>9936</v>
      </c>
      <c r="AU45">
        <f>'Non-durables'!AN84</f>
        <v>8013</v>
      </c>
      <c r="AV45">
        <f>'Non-durables'!AT84</f>
        <v>4421</v>
      </c>
      <c r="AX45" s="34">
        <f t="shared" si="20"/>
        <v>83.858614799713479</v>
      </c>
      <c r="AY45" s="34">
        <f t="shared" si="21"/>
        <v>123.82254159181443</v>
      </c>
      <c r="AZ45" s="34">
        <f t="shared" si="22"/>
        <v>114.4857296715132</v>
      </c>
      <c r="BA45" s="34">
        <f t="shared" si="23"/>
        <v>83.590909090909093</v>
      </c>
      <c r="BB45" s="34">
        <f t="shared" si="24"/>
        <v>65.052041633306644</v>
      </c>
      <c r="BC45" s="34">
        <f t="shared" si="25"/>
        <v>106.82722287926029</v>
      </c>
      <c r="BD45" s="34">
        <f t="shared" si="26"/>
        <v>100.41353383458646</v>
      </c>
      <c r="BE45" s="34">
        <f t="shared" si="27"/>
        <v>63.474515434314426</v>
      </c>
      <c r="BH45">
        <f>Services!F84</f>
        <v>73611</v>
      </c>
      <c r="BI45">
        <f>Services!Q84</f>
        <v>1055</v>
      </c>
      <c r="BJ45">
        <f>Services!U84</f>
        <v>4148</v>
      </c>
      <c r="BK45">
        <f>Services!AA84</f>
        <v>23994</v>
      </c>
      <c r="BL45">
        <f>Services!AJ84</f>
        <v>554</v>
      </c>
      <c r="BM45">
        <f>Services!AM84</f>
        <v>15514</v>
      </c>
      <c r="BN45">
        <f>Services!AV84</f>
        <v>7688</v>
      </c>
      <c r="BO45">
        <f>Services!AW84</f>
        <v>42401</v>
      </c>
      <c r="BP45">
        <f>Services!BB84</f>
        <v>36803</v>
      </c>
      <c r="BR45" s="34">
        <f t="shared" si="28"/>
        <v>80.596279548465503</v>
      </c>
      <c r="BS45" s="34">
        <f t="shared" si="29"/>
        <v>90.948275862068968</v>
      </c>
      <c r="BT45" s="34">
        <f t="shared" si="30"/>
        <v>90.0955690703736</v>
      </c>
      <c r="BU45" s="34">
        <f t="shared" si="31"/>
        <v>115.58917044031216</v>
      </c>
      <c r="BV45" s="34">
        <f t="shared" si="32"/>
        <v>9.91765127103473</v>
      </c>
      <c r="BW45" s="34">
        <f t="shared" si="33"/>
        <v>92.58772976844115</v>
      </c>
      <c r="BX45" s="34">
        <f t="shared" si="34"/>
        <v>86.919163369135106</v>
      </c>
      <c r="BY45" s="34">
        <f t="shared" si="35"/>
        <v>98.334840789443163</v>
      </c>
      <c r="BZ45" s="34">
        <f t="shared" si="36"/>
        <v>86.060705266111682</v>
      </c>
    </row>
    <row r="46" spans="1:78" x14ac:dyDescent="0.35">
      <c r="A46" s="101" t="s">
        <v>541</v>
      </c>
      <c r="B46">
        <f>'Total goods'!B85</f>
        <v>151512</v>
      </c>
      <c r="C46">
        <f>Durables!B85</f>
        <v>31247</v>
      </c>
      <c r="D46">
        <f>'Semi-durables'!B85</f>
        <v>27405</v>
      </c>
      <c r="E46">
        <f>'Non-durables'!B85</f>
        <v>94431</v>
      </c>
      <c r="F46">
        <f>Services!B85</f>
        <v>196028</v>
      </c>
      <c r="H46" s="34">
        <f t="shared" si="5"/>
        <v>88.440591892128538</v>
      </c>
      <c r="I46" s="34">
        <f t="shared" si="6"/>
        <v>83.008793135509919</v>
      </c>
      <c r="J46" s="34">
        <f t="shared" si="7"/>
        <v>69.700900350984284</v>
      </c>
      <c r="K46" s="34">
        <f t="shared" si="8"/>
        <v>100.07630432709122</v>
      </c>
      <c r="L46" s="34">
        <f t="shared" si="9"/>
        <v>83.513543450661615</v>
      </c>
      <c r="O46">
        <f>Durables!C85</f>
        <v>10191</v>
      </c>
      <c r="P46">
        <f>Durables!H85</f>
        <v>708</v>
      </c>
      <c r="Q46">
        <f>Durables!J85</f>
        <v>16096</v>
      </c>
      <c r="R46">
        <f>Durables!O85</f>
        <v>1562</v>
      </c>
      <c r="S46">
        <f>Durables!Q85</f>
        <v>2484</v>
      </c>
      <c r="U46" s="34">
        <f t="shared" si="10"/>
        <v>82.324905081185889</v>
      </c>
      <c r="V46" s="34">
        <f t="shared" si="11"/>
        <v>69.005847953216374</v>
      </c>
      <c r="W46" s="34">
        <f t="shared" si="12"/>
        <v>109.11802589654937</v>
      </c>
      <c r="X46" s="34">
        <f t="shared" si="13"/>
        <v>106.54843110504774</v>
      </c>
      <c r="Y46" s="34">
        <f t="shared" si="14"/>
        <v>47.981456441954798</v>
      </c>
      <c r="AB46">
        <f>'Semi-durables'!C85</f>
        <v>14110</v>
      </c>
      <c r="AC46">
        <f>'Semi-durables'!H85</f>
        <v>4647</v>
      </c>
      <c r="AD46">
        <f>'Semi-durables'!M85</f>
        <v>1514</v>
      </c>
      <c r="AE46">
        <f>'Semi-durables'!O85</f>
        <v>6704</v>
      </c>
      <c r="AF46">
        <f>'Semi-durables'!T85</f>
        <v>532</v>
      </c>
      <c r="AH46" s="34">
        <f t="shared" si="15"/>
        <v>68.661800486618006</v>
      </c>
      <c r="AI46" s="34">
        <f t="shared" si="16"/>
        <v>69.254843517138596</v>
      </c>
      <c r="AJ46" s="34">
        <f t="shared" si="17"/>
        <v>116.64098613251154</v>
      </c>
      <c r="AK46" s="34">
        <f t="shared" si="18"/>
        <v>72.186927963820395</v>
      </c>
      <c r="AL46" s="34">
        <f t="shared" si="19"/>
        <v>36.513383665065206</v>
      </c>
      <c r="AO46">
        <f>'Non-durables'!C85</f>
        <v>31694</v>
      </c>
      <c r="AP46">
        <f>'Non-durables'!Q85</f>
        <v>16030</v>
      </c>
      <c r="AQ46">
        <f>'Non-durables'!X85</f>
        <v>21676</v>
      </c>
      <c r="AR46">
        <f>'Non-durables'!AG85</f>
        <v>1893</v>
      </c>
      <c r="AS46">
        <f>'Non-durables'!AI85</f>
        <v>1723</v>
      </c>
      <c r="AT46">
        <f>'Non-durables'!AL85</f>
        <v>10870</v>
      </c>
      <c r="AU46">
        <f>'Non-durables'!AN85</f>
        <v>8129</v>
      </c>
      <c r="AV46">
        <f>'Non-durables'!AT85</f>
        <v>4513</v>
      </c>
      <c r="AX46" s="34">
        <f t="shared" si="20"/>
        <v>87.316105570554853</v>
      </c>
      <c r="AY46" s="34">
        <f t="shared" si="21"/>
        <v>125.20503007107709</v>
      </c>
      <c r="AZ46" s="34">
        <f t="shared" si="22"/>
        <v>129.69544665828997</v>
      </c>
      <c r="BA46" s="34">
        <f t="shared" si="23"/>
        <v>86.045454545454547</v>
      </c>
      <c r="BB46" s="34">
        <f t="shared" si="24"/>
        <v>68.975180144115285</v>
      </c>
      <c r="BC46" s="34">
        <f t="shared" si="25"/>
        <v>116.86915385442424</v>
      </c>
      <c r="BD46" s="34">
        <f t="shared" si="26"/>
        <v>101.8671679197995</v>
      </c>
      <c r="BE46" s="34">
        <f t="shared" si="27"/>
        <v>64.795405599425706</v>
      </c>
      <c r="BH46">
        <f>Services!F85</f>
        <v>73690</v>
      </c>
      <c r="BI46">
        <f>Services!Q85</f>
        <v>1091</v>
      </c>
      <c r="BJ46">
        <f>Services!U85</f>
        <v>4077</v>
      </c>
      <c r="BK46">
        <f>Services!AA85</f>
        <v>24899</v>
      </c>
      <c r="BL46">
        <f>Services!AJ85</f>
        <v>579</v>
      </c>
      <c r="BM46">
        <f>Services!AM85</f>
        <v>15541</v>
      </c>
      <c r="BN46">
        <f>Services!AV85</f>
        <v>7818</v>
      </c>
      <c r="BO46">
        <f>Services!AW85</f>
        <v>43005</v>
      </c>
      <c r="BP46">
        <f>Services!BB85</f>
        <v>37351</v>
      </c>
      <c r="BR46" s="34">
        <f t="shared" si="28"/>
        <v>80.682776214511733</v>
      </c>
      <c r="BS46" s="34">
        <f t="shared" si="29"/>
        <v>94.051724137931032</v>
      </c>
      <c r="BT46" s="34">
        <f t="shared" si="30"/>
        <v>88.553431798436151</v>
      </c>
      <c r="BU46" s="34">
        <f t="shared" si="31"/>
        <v>119.94893535022642</v>
      </c>
      <c r="BV46" s="34">
        <f t="shared" si="32"/>
        <v>10.365198711063373</v>
      </c>
      <c r="BW46" s="34">
        <f t="shared" si="33"/>
        <v>92.748866077822868</v>
      </c>
      <c r="BX46" s="34">
        <f t="shared" si="34"/>
        <v>88.388920293951386</v>
      </c>
      <c r="BY46" s="34">
        <f t="shared" si="35"/>
        <v>99.735615389967307</v>
      </c>
      <c r="BZ46" s="34">
        <f t="shared" si="36"/>
        <v>87.342156954447674</v>
      </c>
    </row>
    <row r="47" spans="1:78" x14ac:dyDescent="0.35">
      <c r="A47" s="101" t="s">
        <v>542</v>
      </c>
      <c r="B47">
        <f>'Total goods'!B86</f>
        <v>150287</v>
      </c>
      <c r="C47">
        <f>Durables!B86</f>
        <v>31202</v>
      </c>
      <c r="D47">
        <f>'Semi-durables'!B86</f>
        <v>27143</v>
      </c>
      <c r="E47">
        <f>'Non-durables'!B86</f>
        <v>93425</v>
      </c>
      <c r="F47">
        <f>Services!B86</f>
        <v>196760</v>
      </c>
      <c r="H47" s="34">
        <f t="shared" si="5"/>
        <v>87.725534833493853</v>
      </c>
      <c r="I47" s="34">
        <f t="shared" si="6"/>
        <v>82.889248997157509</v>
      </c>
      <c r="J47" s="34">
        <f t="shared" si="7"/>
        <v>69.034538888041098</v>
      </c>
      <c r="K47" s="34">
        <f t="shared" si="8"/>
        <v>99.010163312455617</v>
      </c>
      <c r="L47" s="34">
        <f t="shared" si="9"/>
        <v>83.825396419655263</v>
      </c>
      <c r="O47">
        <f>Durables!C86</f>
        <v>10000</v>
      </c>
      <c r="P47">
        <f>Durables!H86</f>
        <v>739</v>
      </c>
      <c r="Q47">
        <f>Durables!J86</f>
        <v>15781</v>
      </c>
      <c r="R47">
        <f>Durables!O86</f>
        <v>1595</v>
      </c>
      <c r="S47">
        <f>Durables!Q86</f>
        <v>2553</v>
      </c>
      <c r="U47" s="34">
        <f t="shared" si="10"/>
        <v>80.781969464415539</v>
      </c>
      <c r="V47" s="34">
        <f t="shared" si="11"/>
        <v>72.027290448343081</v>
      </c>
      <c r="W47" s="34">
        <f t="shared" si="12"/>
        <v>106.98257745237612</v>
      </c>
      <c r="X47" s="34">
        <f t="shared" si="13"/>
        <v>108.79945429740792</v>
      </c>
      <c r="Y47" s="34">
        <f t="shared" si="14"/>
        <v>49.314274676453543</v>
      </c>
      <c r="AB47">
        <f>'Semi-durables'!C86</f>
        <v>14052</v>
      </c>
      <c r="AC47">
        <f>'Semi-durables'!H86</f>
        <v>4768</v>
      </c>
      <c r="AD47">
        <f>'Semi-durables'!M86</f>
        <v>1747</v>
      </c>
      <c r="AE47">
        <f>'Semi-durables'!O86</f>
        <v>6255</v>
      </c>
      <c r="AF47">
        <f>'Semi-durables'!T86</f>
        <v>486</v>
      </c>
      <c r="AH47" s="34">
        <f t="shared" si="15"/>
        <v>68.379562043795616</v>
      </c>
      <c r="AI47" s="34">
        <f t="shared" si="16"/>
        <v>71.058122205663182</v>
      </c>
      <c r="AJ47" s="34">
        <f t="shared" si="17"/>
        <v>134.59167950693373</v>
      </c>
      <c r="AK47" s="34">
        <f t="shared" si="18"/>
        <v>67.352212770539467</v>
      </c>
      <c r="AL47" s="34">
        <f t="shared" si="19"/>
        <v>33.356211393273853</v>
      </c>
      <c r="AO47">
        <f>'Non-durables'!C86</f>
        <v>31212</v>
      </c>
      <c r="AP47">
        <f>'Non-durables'!Q86</f>
        <v>15934</v>
      </c>
      <c r="AQ47">
        <f>'Non-durables'!X86</f>
        <v>21021</v>
      </c>
      <c r="AR47">
        <f>'Non-durables'!AG86</f>
        <v>1855</v>
      </c>
      <c r="AS47">
        <f>'Non-durables'!AI86</f>
        <v>1829</v>
      </c>
      <c r="AT47">
        <f>'Non-durables'!AL86</f>
        <v>10630</v>
      </c>
      <c r="AU47">
        <f>'Non-durables'!AN86</f>
        <v>8240</v>
      </c>
      <c r="AV47">
        <f>'Non-durables'!AT86</f>
        <v>4529</v>
      </c>
      <c r="AX47" s="34">
        <f t="shared" si="20"/>
        <v>85.988208716733709</v>
      </c>
      <c r="AY47" s="34">
        <f t="shared" si="21"/>
        <v>124.45520581113803</v>
      </c>
      <c r="AZ47" s="34">
        <f t="shared" si="22"/>
        <v>125.77634176987974</v>
      </c>
      <c r="BA47" s="34">
        <f t="shared" si="23"/>
        <v>84.318181818181813</v>
      </c>
      <c r="BB47" s="34">
        <f t="shared" si="24"/>
        <v>73.218574859887909</v>
      </c>
      <c r="BC47" s="34">
        <f t="shared" si="25"/>
        <v>114.28878615202666</v>
      </c>
      <c r="BD47" s="34">
        <f t="shared" si="26"/>
        <v>103.25814536340852</v>
      </c>
      <c r="BE47" s="34">
        <f t="shared" si="27"/>
        <v>65.0251256281407</v>
      </c>
      <c r="BH47">
        <f>Services!F86</f>
        <v>73496</v>
      </c>
      <c r="BI47">
        <f>Services!Q86</f>
        <v>1012</v>
      </c>
      <c r="BJ47">
        <f>Services!U86</f>
        <v>3974</v>
      </c>
      <c r="BK47">
        <f>Services!AA86</f>
        <v>25890</v>
      </c>
      <c r="BL47">
        <f>Services!AJ86</f>
        <v>631</v>
      </c>
      <c r="BM47">
        <f>Services!AM86</f>
        <v>15903</v>
      </c>
      <c r="BN47">
        <f>Services!AV86</f>
        <v>7112</v>
      </c>
      <c r="BO47">
        <f>Services!AW86</f>
        <v>41724</v>
      </c>
      <c r="BP47">
        <f>Services!BB86</f>
        <v>38017</v>
      </c>
      <c r="BR47" s="34">
        <f t="shared" si="28"/>
        <v>80.470366680170372</v>
      </c>
      <c r="BS47" s="34">
        <f t="shared" si="29"/>
        <v>87.241379310344826</v>
      </c>
      <c r="BT47" s="34">
        <f t="shared" si="30"/>
        <v>86.316246741963511</v>
      </c>
      <c r="BU47" s="34">
        <f t="shared" si="31"/>
        <v>124.72299836207728</v>
      </c>
      <c r="BV47" s="34">
        <f t="shared" si="32"/>
        <v>11.29609738632295</v>
      </c>
      <c r="BW47" s="34">
        <f t="shared" si="33"/>
        <v>94.909286225829561</v>
      </c>
      <c r="BX47" s="34">
        <f t="shared" si="34"/>
        <v>80.407009609949114</v>
      </c>
      <c r="BY47" s="34">
        <f t="shared" si="35"/>
        <v>96.764767271968282</v>
      </c>
      <c r="BZ47" s="34">
        <f t="shared" si="36"/>
        <v>88.899541670564034</v>
      </c>
    </row>
    <row r="48" spans="1:78" x14ac:dyDescent="0.35">
      <c r="A48" s="101" t="s">
        <v>543</v>
      </c>
      <c r="B48">
        <f>'Total goods'!B87</f>
        <v>150521</v>
      </c>
      <c r="C48">
        <f>Durables!B87</f>
        <v>31719</v>
      </c>
      <c r="D48">
        <f>'Semi-durables'!B87</f>
        <v>27412</v>
      </c>
      <c r="E48">
        <f>'Non-durables'!B87</f>
        <v>92584</v>
      </c>
      <c r="F48">
        <f>Services!B87</f>
        <v>197920</v>
      </c>
      <c r="H48" s="34">
        <f t="shared" si="5"/>
        <v>87.862125324694276</v>
      </c>
      <c r="I48" s="34">
        <f t="shared" si="6"/>
        <v>84.262678320006373</v>
      </c>
      <c r="J48" s="34">
        <f t="shared" si="7"/>
        <v>69.718703901520925</v>
      </c>
      <c r="K48" s="34">
        <f t="shared" si="8"/>
        <v>98.118886380737393</v>
      </c>
      <c r="L48" s="34">
        <f t="shared" si="9"/>
        <v>84.319589649208012</v>
      </c>
      <c r="O48">
        <f>Durables!C87</f>
        <v>9857</v>
      </c>
      <c r="P48">
        <f>Durables!H87</f>
        <v>763</v>
      </c>
      <c r="Q48">
        <f>Durables!J87</f>
        <v>16565</v>
      </c>
      <c r="R48">
        <f>Durables!O87</f>
        <v>1525</v>
      </c>
      <c r="S48">
        <f>Durables!Q87</f>
        <v>2619</v>
      </c>
      <c r="U48" s="34">
        <f t="shared" si="10"/>
        <v>79.626787301074401</v>
      </c>
      <c r="V48" s="34">
        <f t="shared" si="11"/>
        <v>74.366471734892798</v>
      </c>
      <c r="W48" s="34">
        <f t="shared" si="12"/>
        <v>112.29747135787404</v>
      </c>
      <c r="X48" s="34">
        <f t="shared" si="13"/>
        <v>104.02455661664393</v>
      </c>
      <c r="Y48" s="34">
        <f t="shared" si="14"/>
        <v>50.589144292061036</v>
      </c>
      <c r="AB48">
        <f>'Semi-durables'!C87</f>
        <v>14195</v>
      </c>
      <c r="AC48">
        <f>'Semi-durables'!H87</f>
        <v>4294</v>
      </c>
      <c r="AD48">
        <f>'Semi-durables'!M87</f>
        <v>1587</v>
      </c>
      <c r="AE48">
        <f>'Semi-durables'!O87</f>
        <v>6942</v>
      </c>
      <c r="AF48">
        <f>'Semi-durables'!T87</f>
        <v>467</v>
      </c>
      <c r="AH48" s="34">
        <f t="shared" si="15"/>
        <v>69.075425790754252</v>
      </c>
      <c r="AI48" s="34">
        <f t="shared" si="16"/>
        <v>63.994038748137108</v>
      </c>
      <c r="AJ48" s="34">
        <f t="shared" si="17"/>
        <v>122.26502311248073</v>
      </c>
      <c r="AK48" s="34">
        <f t="shared" si="18"/>
        <v>74.749650048454825</v>
      </c>
      <c r="AL48" s="34">
        <f t="shared" si="19"/>
        <v>32.052161976664379</v>
      </c>
      <c r="AO48">
        <f>'Non-durables'!C87</f>
        <v>31176</v>
      </c>
      <c r="AP48">
        <f>'Non-durables'!Q87</f>
        <v>16317</v>
      </c>
      <c r="AQ48">
        <f>'Non-durables'!X87</f>
        <v>19546</v>
      </c>
      <c r="AR48">
        <f>'Non-durables'!AG87</f>
        <v>1842</v>
      </c>
      <c r="AS48">
        <f>'Non-durables'!AI87</f>
        <v>1645</v>
      </c>
      <c r="AT48">
        <f>'Non-durables'!AL87</f>
        <v>10855</v>
      </c>
      <c r="AU48">
        <f>'Non-durables'!AN87</f>
        <v>8128</v>
      </c>
      <c r="AV48">
        <f>'Non-durables'!AT87</f>
        <v>4474</v>
      </c>
      <c r="AX48" s="34">
        <f t="shared" si="20"/>
        <v>85.889029698605981</v>
      </c>
      <c r="AY48" s="34">
        <f t="shared" si="21"/>
        <v>127.44669218151996</v>
      </c>
      <c r="AZ48" s="34">
        <f t="shared" si="22"/>
        <v>116.95087656315444</v>
      </c>
      <c r="BA48" s="34">
        <f t="shared" si="23"/>
        <v>83.727272727272734</v>
      </c>
      <c r="BB48" s="34">
        <f t="shared" si="24"/>
        <v>65.852682145716571</v>
      </c>
      <c r="BC48" s="34">
        <f t="shared" si="25"/>
        <v>116.70788087302442</v>
      </c>
      <c r="BD48" s="34">
        <f t="shared" si="26"/>
        <v>101.85463659147868</v>
      </c>
      <c r="BE48" s="34">
        <f t="shared" si="27"/>
        <v>64.235463029432879</v>
      </c>
      <c r="BH48">
        <f>Services!F87</f>
        <v>74030</v>
      </c>
      <c r="BI48">
        <f>Services!Q87</f>
        <v>978</v>
      </c>
      <c r="BJ48">
        <f>Services!U87</f>
        <v>3932</v>
      </c>
      <c r="BK48">
        <f>Services!AA87</f>
        <v>25614</v>
      </c>
      <c r="BL48">
        <f>Services!AJ87</f>
        <v>662</v>
      </c>
      <c r="BM48">
        <f>Services!AM87</f>
        <v>16140</v>
      </c>
      <c r="BN48">
        <f>Services!AV87</f>
        <v>7171</v>
      </c>
      <c r="BO48">
        <f>Services!AW87</f>
        <v>42371</v>
      </c>
      <c r="BP48">
        <f>Services!BB87</f>
        <v>37866</v>
      </c>
      <c r="BR48" s="34">
        <f t="shared" si="28"/>
        <v>81.055040346862583</v>
      </c>
      <c r="BS48" s="34">
        <f t="shared" si="29"/>
        <v>84.310344827586206</v>
      </c>
      <c r="BT48" s="34">
        <f t="shared" si="30"/>
        <v>85.40399652476107</v>
      </c>
      <c r="BU48" s="34">
        <f t="shared" si="31"/>
        <v>123.39339050004818</v>
      </c>
      <c r="BV48" s="34">
        <f t="shared" si="32"/>
        <v>11.851056211958468</v>
      </c>
      <c r="BW48" s="34">
        <f t="shared" si="33"/>
        <v>96.323704941513483</v>
      </c>
      <c r="BX48" s="34">
        <f t="shared" si="34"/>
        <v>81.074053137365738</v>
      </c>
      <c r="BY48" s="34">
        <f t="shared" si="35"/>
        <v>98.265265892066139</v>
      </c>
      <c r="BZ48" s="34">
        <f t="shared" si="36"/>
        <v>88.54644093162473</v>
      </c>
    </row>
    <row r="49" spans="1:78" x14ac:dyDescent="0.35">
      <c r="A49" s="101" t="s">
        <v>544</v>
      </c>
      <c r="B49">
        <f>'Total goods'!B88</f>
        <v>150632</v>
      </c>
      <c r="C49">
        <f>Durables!B88</f>
        <v>31783</v>
      </c>
      <c r="D49">
        <f>'Semi-durables'!B88</f>
        <v>27534</v>
      </c>
      <c r="E49">
        <f>'Non-durables'!B88</f>
        <v>92441</v>
      </c>
      <c r="F49">
        <f>Services!B88</f>
        <v>194319</v>
      </c>
      <c r="H49" s="34">
        <f t="shared" si="5"/>
        <v>87.92691825000729</v>
      </c>
      <c r="I49" s="34">
        <f t="shared" si="6"/>
        <v>84.432696650107587</v>
      </c>
      <c r="J49" s="34">
        <f t="shared" si="7"/>
        <v>70.028994353731107</v>
      </c>
      <c r="K49" s="34">
        <f t="shared" si="8"/>
        <v>97.967337508875673</v>
      </c>
      <c r="L49" s="34">
        <f t="shared" si="9"/>
        <v>82.785460494363633</v>
      </c>
      <c r="O49">
        <f>Durables!C88</f>
        <v>9345</v>
      </c>
      <c r="P49">
        <f>Durables!H88</f>
        <v>713</v>
      </c>
      <c r="Q49">
        <f>Durables!J88</f>
        <v>16668</v>
      </c>
      <c r="R49">
        <f>Durables!O88</f>
        <v>1550</v>
      </c>
      <c r="S49">
        <f>Durables!Q88</f>
        <v>2737</v>
      </c>
      <c r="U49" s="34">
        <f t="shared" si="10"/>
        <v>75.49075046449633</v>
      </c>
      <c r="V49" s="34">
        <f t="shared" si="11"/>
        <v>69.49317738791423</v>
      </c>
      <c r="W49" s="34">
        <f t="shared" si="12"/>
        <v>112.99572910311167</v>
      </c>
      <c r="X49" s="34">
        <f t="shared" si="13"/>
        <v>105.72987721691678</v>
      </c>
      <c r="Y49" s="34">
        <f t="shared" si="14"/>
        <v>52.868456635116864</v>
      </c>
      <c r="AB49">
        <f>'Semi-durables'!C88</f>
        <v>14897</v>
      </c>
      <c r="AC49">
        <f>'Semi-durables'!H88</f>
        <v>4263</v>
      </c>
      <c r="AD49">
        <f>'Semi-durables'!M88</f>
        <v>1321</v>
      </c>
      <c r="AE49">
        <f>'Semi-durables'!O88</f>
        <v>6658</v>
      </c>
      <c r="AF49">
        <f>'Semi-durables'!T88</f>
        <v>428</v>
      </c>
      <c r="AH49" s="34">
        <f t="shared" si="15"/>
        <v>72.491484184914839</v>
      </c>
      <c r="AI49" s="34">
        <f t="shared" si="16"/>
        <v>63.532041728763048</v>
      </c>
      <c r="AJ49" s="34">
        <f t="shared" si="17"/>
        <v>101.77195685670262</v>
      </c>
      <c r="AK49" s="34">
        <f t="shared" si="18"/>
        <v>71.691611930655753</v>
      </c>
      <c r="AL49" s="34">
        <f t="shared" si="19"/>
        <v>29.375428963623882</v>
      </c>
      <c r="AO49">
        <f>'Non-durables'!C88</f>
        <v>31509</v>
      </c>
      <c r="AP49">
        <f>'Non-durables'!Q88</f>
        <v>16162</v>
      </c>
      <c r="AQ49">
        <f>'Non-durables'!X88</f>
        <v>20149</v>
      </c>
      <c r="AR49">
        <f>'Non-durables'!AG88</f>
        <v>1790</v>
      </c>
      <c r="AS49">
        <f>'Non-durables'!AI88</f>
        <v>1505</v>
      </c>
      <c r="AT49">
        <f>'Non-durables'!AL88</f>
        <v>10765</v>
      </c>
      <c r="AU49">
        <f>'Non-durables'!AN88</f>
        <v>8004</v>
      </c>
      <c r="AV49">
        <f>'Non-durables'!AT88</f>
        <v>4312</v>
      </c>
      <c r="AX49" s="34">
        <f t="shared" si="20"/>
        <v>86.806435616287402</v>
      </c>
      <c r="AY49" s="34">
        <f t="shared" si="21"/>
        <v>126.23603842849332</v>
      </c>
      <c r="AZ49" s="34">
        <f t="shared" si="22"/>
        <v>120.55884640698858</v>
      </c>
      <c r="BA49" s="34">
        <f t="shared" si="23"/>
        <v>81.36363636363636</v>
      </c>
      <c r="BB49" s="34">
        <f t="shared" si="24"/>
        <v>60.248198558847079</v>
      </c>
      <c r="BC49" s="34">
        <f t="shared" si="25"/>
        <v>115.74024298462531</v>
      </c>
      <c r="BD49" s="34">
        <f t="shared" si="26"/>
        <v>100.30075187969925</v>
      </c>
      <c r="BE49" s="34">
        <f t="shared" si="27"/>
        <v>61.909547738693469</v>
      </c>
      <c r="BH49">
        <f>Services!F88</f>
        <v>74246</v>
      </c>
      <c r="BI49">
        <f>Services!Q88</f>
        <v>997</v>
      </c>
      <c r="BJ49">
        <f>Services!U88</f>
        <v>3975</v>
      </c>
      <c r="BK49">
        <f>Services!AA88</f>
        <v>25217</v>
      </c>
      <c r="BL49">
        <f>Services!AJ88</f>
        <v>711</v>
      </c>
      <c r="BM49">
        <f>Services!AM88</f>
        <v>16034</v>
      </c>
      <c r="BN49">
        <f>Services!AV88</f>
        <v>7257</v>
      </c>
      <c r="BO49">
        <f>Services!AW88</f>
        <v>42072</v>
      </c>
      <c r="BP49">
        <f>Services!BB88</f>
        <v>34017</v>
      </c>
      <c r="BR49" s="34">
        <f t="shared" si="28"/>
        <v>81.291537560356062</v>
      </c>
      <c r="BS49" s="34">
        <f t="shared" si="29"/>
        <v>85.948275862068968</v>
      </c>
      <c r="BT49" s="34">
        <f t="shared" si="30"/>
        <v>86.337966985230224</v>
      </c>
      <c r="BU49" s="34">
        <f t="shared" si="31"/>
        <v>121.48087484343387</v>
      </c>
      <c r="BV49" s="34">
        <f t="shared" si="32"/>
        <v>12.728249194414609</v>
      </c>
      <c r="BW49" s="34">
        <f t="shared" si="33"/>
        <v>95.691095726903797</v>
      </c>
      <c r="BX49" s="34">
        <f t="shared" si="34"/>
        <v>82.046353872244211</v>
      </c>
      <c r="BY49" s="34">
        <f t="shared" si="35"/>
        <v>97.57183608154179</v>
      </c>
      <c r="BZ49" s="34">
        <f t="shared" si="36"/>
        <v>79.545879711907205</v>
      </c>
    </row>
    <row r="50" spans="1:78" x14ac:dyDescent="0.35">
      <c r="A50" s="101" t="s">
        <v>545</v>
      </c>
      <c r="B50">
        <f>'Total goods'!B89</f>
        <v>145771</v>
      </c>
      <c r="C50">
        <f>Durables!B89</f>
        <v>29439</v>
      </c>
      <c r="D50">
        <f>'Semi-durables'!B89</f>
        <v>27335</v>
      </c>
      <c r="E50">
        <f>'Non-durables'!B89</f>
        <v>90312</v>
      </c>
      <c r="F50">
        <f>Services!B89</f>
        <v>193313</v>
      </c>
      <c r="H50" s="34">
        <f t="shared" si="5"/>
        <v>85.089455097335318</v>
      </c>
      <c r="I50" s="34">
        <f t="shared" si="6"/>
        <v>78.205775310150628</v>
      </c>
      <c r="J50" s="34">
        <f t="shared" si="7"/>
        <v>69.522864845617789</v>
      </c>
      <c r="K50" s="34">
        <f t="shared" si="8"/>
        <v>95.711060948081268</v>
      </c>
      <c r="L50" s="34">
        <f t="shared" si="9"/>
        <v>82.35687567632047</v>
      </c>
      <c r="O50">
        <f>Durables!C89</f>
        <v>8919</v>
      </c>
      <c r="P50">
        <f>Durables!H89</f>
        <v>669</v>
      </c>
      <c r="Q50">
        <f>Durables!J89</f>
        <v>14281</v>
      </c>
      <c r="R50">
        <f>Durables!O89</f>
        <v>1509</v>
      </c>
      <c r="S50">
        <f>Durables!Q89</f>
        <v>2800</v>
      </c>
      <c r="U50" s="34">
        <f t="shared" si="10"/>
        <v>72.049438565312215</v>
      </c>
      <c r="V50" s="34">
        <f t="shared" si="11"/>
        <v>65.204678362573105</v>
      </c>
      <c r="W50" s="34">
        <f t="shared" si="12"/>
        <v>96.81377533726527</v>
      </c>
      <c r="X50" s="34">
        <f t="shared" si="13"/>
        <v>102.9331514324693</v>
      </c>
      <c r="Y50" s="34">
        <f t="shared" si="14"/>
        <v>54.085377631833111</v>
      </c>
      <c r="AB50">
        <f>'Semi-durables'!C89</f>
        <v>14763</v>
      </c>
      <c r="AC50">
        <f>'Semi-durables'!H89</f>
        <v>4142</v>
      </c>
      <c r="AD50">
        <f>'Semi-durables'!M89</f>
        <v>1660</v>
      </c>
      <c r="AE50">
        <f>'Semi-durables'!O89</f>
        <v>6451</v>
      </c>
      <c r="AF50">
        <f>'Semi-durables'!T89</f>
        <v>398</v>
      </c>
      <c r="AH50" s="34">
        <f t="shared" si="15"/>
        <v>71.83941605839415</v>
      </c>
      <c r="AI50" s="34">
        <f t="shared" si="16"/>
        <v>61.728763040238455</v>
      </c>
      <c r="AJ50" s="34">
        <f t="shared" si="17"/>
        <v>127.88906009244991</v>
      </c>
      <c r="AK50" s="34">
        <f t="shared" si="18"/>
        <v>69.46268978141488</v>
      </c>
      <c r="AL50" s="34">
        <f t="shared" si="19"/>
        <v>27.31640356897735</v>
      </c>
      <c r="AO50">
        <f>'Non-durables'!C89</f>
        <v>30291</v>
      </c>
      <c r="AP50">
        <f>'Non-durables'!Q89</f>
        <v>16301</v>
      </c>
      <c r="AQ50">
        <f>'Non-durables'!X89</f>
        <v>19990</v>
      </c>
      <c r="AR50">
        <f>'Non-durables'!AG89</f>
        <v>1739</v>
      </c>
      <c r="AS50">
        <f>'Non-durables'!AI89</f>
        <v>1332</v>
      </c>
      <c r="AT50">
        <f>'Non-durables'!AL89</f>
        <v>10373</v>
      </c>
      <c r="AU50">
        <f>'Non-durables'!AN89</f>
        <v>8101</v>
      </c>
      <c r="AV50">
        <f>'Non-durables'!AT89</f>
        <v>4155</v>
      </c>
      <c r="AX50" s="34">
        <f t="shared" si="20"/>
        <v>83.450878836299523</v>
      </c>
      <c r="AY50" s="34">
        <f t="shared" si="21"/>
        <v>127.32172147153011</v>
      </c>
      <c r="AZ50" s="34">
        <f t="shared" si="22"/>
        <v>119.6074911745348</v>
      </c>
      <c r="BA50" s="34">
        <f t="shared" si="23"/>
        <v>79.045454545454547</v>
      </c>
      <c r="BB50" s="34">
        <f t="shared" si="24"/>
        <v>53.322658126501196</v>
      </c>
      <c r="BC50" s="34">
        <f t="shared" si="25"/>
        <v>111.52564240404257</v>
      </c>
      <c r="BD50" s="34">
        <f t="shared" si="26"/>
        <v>101.51629072681705</v>
      </c>
      <c r="BE50" s="34">
        <f t="shared" si="27"/>
        <v>59.655419956927489</v>
      </c>
      <c r="BH50">
        <f>Services!F89</f>
        <v>74552</v>
      </c>
      <c r="BI50">
        <f>Services!Q89</f>
        <v>1110</v>
      </c>
      <c r="BJ50">
        <f>Services!U89</f>
        <v>4059</v>
      </c>
      <c r="BK50">
        <f>Services!AA89</f>
        <v>24023</v>
      </c>
      <c r="BL50">
        <f>Services!AJ89</f>
        <v>716</v>
      </c>
      <c r="BM50">
        <f>Services!AM89</f>
        <v>15910</v>
      </c>
      <c r="BN50">
        <f>Services!AV89</f>
        <v>7339</v>
      </c>
      <c r="BO50">
        <f>Services!AW89</f>
        <v>41388</v>
      </c>
      <c r="BP50">
        <f>Services!BB89</f>
        <v>34115</v>
      </c>
      <c r="BR50" s="34">
        <f t="shared" si="28"/>
        <v>81.626575279471822</v>
      </c>
      <c r="BS50" s="34">
        <f t="shared" si="29"/>
        <v>95.689655172413794</v>
      </c>
      <c r="BT50" s="34">
        <f t="shared" si="30"/>
        <v>88.162467419635107</v>
      </c>
      <c r="BU50" s="34">
        <f t="shared" si="31"/>
        <v>115.72887561422102</v>
      </c>
      <c r="BV50" s="34">
        <f t="shared" si="32"/>
        <v>12.817758682420335</v>
      </c>
      <c r="BW50" s="34">
        <f t="shared" si="33"/>
        <v>94.951062306039631</v>
      </c>
      <c r="BX50" s="34">
        <f t="shared" si="34"/>
        <v>82.973431317128316</v>
      </c>
      <c r="BY50" s="34">
        <f t="shared" si="35"/>
        <v>95.985528421345577</v>
      </c>
      <c r="BZ50" s="34">
        <f t="shared" si="36"/>
        <v>79.775044429894308</v>
      </c>
    </row>
    <row r="51" spans="1:78" x14ac:dyDescent="0.35">
      <c r="A51" s="101" t="s">
        <v>546</v>
      </c>
      <c r="B51">
        <f>'Total goods'!B90</f>
        <v>141150</v>
      </c>
      <c r="C51">
        <f>Durables!B90</f>
        <v>27619</v>
      </c>
      <c r="D51">
        <f>'Semi-durables'!B90</f>
        <v>27035</v>
      </c>
      <c r="E51">
        <f>'Non-durables'!B90</f>
        <v>87857</v>
      </c>
      <c r="F51">
        <f>Services!B90</f>
        <v>190029</v>
      </c>
      <c r="H51" s="34">
        <f t="shared" si="5"/>
        <v>82.39208475615095</v>
      </c>
      <c r="I51" s="34">
        <f t="shared" si="6"/>
        <v>73.370879047897347</v>
      </c>
      <c r="J51" s="34">
        <f t="shared" si="7"/>
        <v>68.759855536904212</v>
      </c>
      <c r="K51" s="34">
        <f t="shared" si="8"/>
        <v>93.109295350734953</v>
      </c>
      <c r="L51" s="34">
        <f t="shared" si="9"/>
        <v>80.957797602310777</v>
      </c>
      <c r="O51">
        <f>Durables!C90</f>
        <v>8256</v>
      </c>
      <c r="P51">
        <f>Durables!H90</f>
        <v>670</v>
      </c>
      <c r="Q51">
        <f>Durables!J90</f>
        <v>13073</v>
      </c>
      <c r="R51">
        <f>Durables!O90</f>
        <v>1464</v>
      </c>
      <c r="S51">
        <f>Durables!Q90</f>
        <v>2812</v>
      </c>
      <c r="U51" s="34">
        <f t="shared" si="10"/>
        <v>66.69359398982148</v>
      </c>
      <c r="V51" s="34">
        <f t="shared" si="11"/>
        <v>65.302144249512679</v>
      </c>
      <c r="W51" s="34">
        <f t="shared" si="12"/>
        <v>88.624500033895998</v>
      </c>
      <c r="X51" s="34">
        <f t="shared" si="13"/>
        <v>99.863574351978173</v>
      </c>
      <c r="Y51" s="34">
        <f t="shared" si="14"/>
        <v>54.317172107398108</v>
      </c>
      <c r="AB51">
        <f>'Semi-durables'!C90</f>
        <v>14636</v>
      </c>
      <c r="AC51">
        <f>'Semi-durables'!H90</f>
        <v>4065</v>
      </c>
      <c r="AD51">
        <f>'Semi-durables'!M90</f>
        <v>1920</v>
      </c>
      <c r="AE51">
        <f>'Semi-durables'!O90</f>
        <v>6127</v>
      </c>
      <c r="AF51">
        <f>'Semi-durables'!T90</f>
        <v>407</v>
      </c>
      <c r="AH51" s="34">
        <f t="shared" si="15"/>
        <v>71.221411192214106</v>
      </c>
      <c r="AI51" s="34">
        <f t="shared" si="16"/>
        <v>60.581222056631887</v>
      </c>
      <c r="AJ51" s="34">
        <f t="shared" si="17"/>
        <v>147.91987673343604</v>
      </c>
      <c r="AK51" s="34">
        <f t="shared" si="18"/>
        <v>65.973942069559598</v>
      </c>
      <c r="AL51" s="34">
        <f t="shared" si="19"/>
        <v>27.934111187371315</v>
      </c>
      <c r="AO51">
        <f>'Non-durables'!C90</f>
        <v>29534</v>
      </c>
      <c r="AP51">
        <f>'Non-durables'!Q90</f>
        <v>16067</v>
      </c>
      <c r="AQ51">
        <f>'Non-durables'!X90</f>
        <v>19852</v>
      </c>
      <c r="AR51">
        <f>'Non-durables'!AG90</f>
        <v>1661</v>
      </c>
      <c r="AS51">
        <f>'Non-durables'!AI90</f>
        <v>1185</v>
      </c>
      <c r="AT51">
        <f>'Non-durables'!AL90</f>
        <v>10179</v>
      </c>
      <c r="AU51">
        <f>'Non-durables'!AN90</f>
        <v>7655</v>
      </c>
      <c r="AV51">
        <f>'Non-durables'!AT90</f>
        <v>3902</v>
      </c>
      <c r="AX51" s="34">
        <f t="shared" si="20"/>
        <v>81.365364482891621</v>
      </c>
      <c r="AY51" s="34">
        <f t="shared" si="21"/>
        <v>125.49402483792862</v>
      </c>
      <c r="AZ51" s="34">
        <f t="shared" si="22"/>
        <v>118.78178663315981</v>
      </c>
      <c r="BA51" s="34">
        <f t="shared" si="23"/>
        <v>75.5</v>
      </c>
      <c r="BB51" s="34">
        <f t="shared" si="24"/>
        <v>47.437950360288227</v>
      </c>
      <c r="BC51" s="34">
        <f t="shared" si="25"/>
        <v>109.43984517793785</v>
      </c>
      <c r="BD51" s="34">
        <f t="shared" si="26"/>
        <v>95.927318295739354</v>
      </c>
      <c r="BE51" s="34">
        <f t="shared" si="27"/>
        <v>56.022972002871498</v>
      </c>
      <c r="BH51">
        <f>Services!F90</f>
        <v>74914</v>
      </c>
      <c r="BI51">
        <f>Services!Q90</f>
        <v>1104</v>
      </c>
      <c r="BJ51">
        <f>Services!U90</f>
        <v>4148</v>
      </c>
      <c r="BK51">
        <f>Services!AA90</f>
        <v>21936</v>
      </c>
      <c r="BL51">
        <f>Services!AJ90</f>
        <v>753</v>
      </c>
      <c r="BM51">
        <f>Services!AM90</f>
        <v>15172</v>
      </c>
      <c r="BN51">
        <f>Services!AV90</f>
        <v>6928</v>
      </c>
      <c r="BO51">
        <f>Services!AW90</f>
        <v>38470</v>
      </c>
      <c r="BP51">
        <f>Services!BB90</f>
        <v>34971</v>
      </c>
      <c r="BR51" s="34">
        <f t="shared" si="28"/>
        <v>82.02292709097479</v>
      </c>
      <c r="BS51" s="34">
        <f t="shared" si="29"/>
        <v>95.172413793103445</v>
      </c>
      <c r="BT51" s="34">
        <f t="shared" si="30"/>
        <v>90.0955690703736</v>
      </c>
      <c r="BU51" s="34">
        <f t="shared" si="31"/>
        <v>105.67492051257345</v>
      </c>
      <c r="BV51" s="34">
        <f t="shared" si="32"/>
        <v>13.48012889366273</v>
      </c>
      <c r="BW51" s="34">
        <f t="shared" si="33"/>
        <v>90.546669849606104</v>
      </c>
      <c r="BX51" s="34">
        <f t="shared" si="34"/>
        <v>78.326738270209162</v>
      </c>
      <c r="BY51" s="34">
        <f t="shared" si="35"/>
        <v>89.218210069806815</v>
      </c>
      <c r="BZ51" s="34">
        <f t="shared" si="36"/>
        <v>81.776728089046856</v>
      </c>
    </row>
    <row r="52" spans="1:78" x14ac:dyDescent="0.35">
      <c r="A52" s="101" t="s">
        <v>547</v>
      </c>
      <c r="B52">
        <f>'Total goods'!B91</f>
        <v>141035</v>
      </c>
      <c r="C52">
        <f>Durables!B91</f>
        <v>27284</v>
      </c>
      <c r="D52">
        <f>'Semi-durables'!B91</f>
        <v>27668</v>
      </c>
      <c r="E52">
        <f>'Non-durables'!B91</f>
        <v>87279</v>
      </c>
      <c r="F52">
        <f>Services!B91</f>
        <v>189310</v>
      </c>
      <c r="H52" s="34">
        <f t="shared" si="5"/>
        <v>82.324956950646467</v>
      </c>
      <c r="I52" s="34">
        <f t="shared" si="6"/>
        <v>72.480939351273804</v>
      </c>
      <c r="J52" s="34">
        <f t="shared" si="7"/>
        <v>70.369805178289852</v>
      </c>
      <c r="K52" s="34">
        <f t="shared" si="8"/>
        <v>92.496741169363816</v>
      </c>
      <c r="L52" s="34">
        <f t="shared" si="9"/>
        <v>80.65148300571731</v>
      </c>
      <c r="O52">
        <f>Durables!C91</f>
        <v>7954</v>
      </c>
      <c r="P52">
        <f>Durables!H91</f>
        <v>724</v>
      </c>
      <c r="Q52">
        <f>Durables!J91</f>
        <v>12986</v>
      </c>
      <c r="R52">
        <f>Durables!O91</f>
        <v>1495</v>
      </c>
      <c r="S52">
        <f>Durables!Q91</f>
        <v>2706</v>
      </c>
      <c r="U52" s="34">
        <f t="shared" si="10"/>
        <v>64.253978511996124</v>
      </c>
      <c r="V52" s="34">
        <f t="shared" si="11"/>
        <v>70.565302144249515</v>
      </c>
      <c r="W52" s="34">
        <f t="shared" si="12"/>
        <v>88.034709511219575</v>
      </c>
      <c r="X52" s="34">
        <f t="shared" si="13"/>
        <v>101.97817189631651</v>
      </c>
      <c r="Y52" s="34">
        <f t="shared" si="14"/>
        <v>52.269654239907283</v>
      </c>
      <c r="AB52">
        <f>'Semi-durables'!C91</f>
        <v>15475</v>
      </c>
      <c r="AC52">
        <f>'Semi-durables'!H91</f>
        <v>3967</v>
      </c>
      <c r="AD52">
        <f>'Semi-durables'!M91</f>
        <v>1454</v>
      </c>
      <c r="AE52">
        <f>'Semi-durables'!O91</f>
        <v>6439</v>
      </c>
      <c r="AF52">
        <f>'Semi-durables'!T91</f>
        <v>381</v>
      </c>
      <c r="AH52" s="34">
        <f t="shared" si="15"/>
        <v>75.304136253041364</v>
      </c>
      <c r="AI52" s="34">
        <f t="shared" si="16"/>
        <v>59.120715350223549</v>
      </c>
      <c r="AJ52" s="34">
        <f t="shared" si="17"/>
        <v>112.01848998459167</v>
      </c>
      <c r="AK52" s="34">
        <f t="shared" si="18"/>
        <v>69.333476903198019</v>
      </c>
      <c r="AL52" s="34">
        <f t="shared" si="19"/>
        <v>26.149622512010986</v>
      </c>
      <c r="AO52">
        <f>'Non-durables'!C91</f>
        <v>29316</v>
      </c>
      <c r="AP52">
        <f>'Non-durables'!Q91</f>
        <v>15674</v>
      </c>
      <c r="AQ52">
        <f>'Non-durables'!X91</f>
        <v>19760</v>
      </c>
      <c r="AR52">
        <f>'Non-durables'!AG91</f>
        <v>1661</v>
      </c>
      <c r="AS52">
        <f>'Non-durables'!AI91</f>
        <v>1119</v>
      </c>
      <c r="AT52">
        <f>'Non-durables'!AL91</f>
        <v>10108</v>
      </c>
      <c r="AU52">
        <f>'Non-durables'!AN91</f>
        <v>7762</v>
      </c>
      <c r="AV52">
        <f>'Non-durables'!AT91</f>
        <v>3995</v>
      </c>
      <c r="AX52" s="34">
        <f t="shared" si="20"/>
        <v>80.76478042867376</v>
      </c>
      <c r="AY52" s="34">
        <f t="shared" si="21"/>
        <v>122.42443177380302</v>
      </c>
      <c r="AZ52" s="34">
        <f t="shared" si="22"/>
        <v>118.23131693890983</v>
      </c>
      <c r="BA52" s="34">
        <f t="shared" si="23"/>
        <v>75.5</v>
      </c>
      <c r="BB52" s="34">
        <f t="shared" si="24"/>
        <v>44.795836669335472</v>
      </c>
      <c r="BC52" s="34">
        <f t="shared" si="25"/>
        <v>108.67648639931191</v>
      </c>
      <c r="BD52" s="34">
        <f t="shared" si="26"/>
        <v>97.268170426065154</v>
      </c>
      <c r="BE52" s="34">
        <f t="shared" si="27"/>
        <v>57.358219669777455</v>
      </c>
      <c r="BH52">
        <f>Services!F91</f>
        <v>74943</v>
      </c>
      <c r="BI52">
        <f>Services!Q91</f>
        <v>1022</v>
      </c>
      <c r="BJ52">
        <f>Services!U91</f>
        <v>4005</v>
      </c>
      <c r="BK52">
        <f>Services!AA91</f>
        <v>21916</v>
      </c>
      <c r="BL52">
        <f>Services!AJ91</f>
        <v>773</v>
      </c>
      <c r="BM52">
        <f>Services!AM91</f>
        <v>15228</v>
      </c>
      <c r="BN52">
        <f>Services!AV91</f>
        <v>7214</v>
      </c>
      <c r="BO52">
        <f>Services!AW91</f>
        <v>38484</v>
      </c>
      <c r="BP52">
        <f>Services!BB91</f>
        <v>34111</v>
      </c>
      <c r="BR52" s="34">
        <f t="shared" si="28"/>
        <v>82.054679031675292</v>
      </c>
      <c r="BS52" s="34">
        <f t="shared" si="29"/>
        <v>88.103448275862078</v>
      </c>
      <c r="BT52" s="34">
        <f t="shared" si="30"/>
        <v>86.989574283231974</v>
      </c>
      <c r="BU52" s="34">
        <f t="shared" si="31"/>
        <v>105.57857211677427</v>
      </c>
      <c r="BV52" s="34">
        <f t="shared" si="32"/>
        <v>13.838166845685643</v>
      </c>
      <c r="BW52" s="34">
        <f t="shared" si="33"/>
        <v>90.880878491286694</v>
      </c>
      <c r="BX52" s="34">
        <f t="shared" si="34"/>
        <v>81.560203504804974</v>
      </c>
      <c r="BY52" s="34">
        <f t="shared" si="35"/>
        <v>89.25067835524942</v>
      </c>
      <c r="BZ52" s="34">
        <f t="shared" si="36"/>
        <v>79.765690767935652</v>
      </c>
    </row>
    <row r="53" spans="1:78" x14ac:dyDescent="0.35">
      <c r="A53" s="101" t="s">
        <v>548</v>
      </c>
      <c r="B53">
        <f>'Total goods'!B92</f>
        <v>141342</v>
      </c>
      <c r="C53">
        <f>Durables!B92</f>
        <v>28174</v>
      </c>
      <c r="D53">
        <f>'Semi-durables'!B92</f>
        <v>27390</v>
      </c>
      <c r="E53">
        <f>'Non-durables'!B92</f>
        <v>86838</v>
      </c>
      <c r="F53">
        <f>Services!B92</f>
        <v>188601</v>
      </c>
      <c r="H53" s="34">
        <f t="shared" si="5"/>
        <v>82.504159005341037</v>
      </c>
      <c r="I53" s="34">
        <f t="shared" si="6"/>
        <v>74.84525675424382</v>
      </c>
      <c r="J53" s="34">
        <f t="shared" si="7"/>
        <v>69.662749885548607</v>
      </c>
      <c r="K53" s="34">
        <f t="shared" si="8"/>
        <v>92.029377165930114</v>
      </c>
      <c r="L53" s="34">
        <f t="shared" si="9"/>
        <v>80.349428695585488</v>
      </c>
      <c r="O53">
        <f>Durables!C92</f>
        <v>7782</v>
      </c>
      <c r="P53">
        <f>Durables!H92</f>
        <v>725</v>
      </c>
      <c r="Q53">
        <f>Durables!J92</f>
        <v>14248</v>
      </c>
      <c r="R53">
        <f>Durables!O92</f>
        <v>1455</v>
      </c>
      <c r="S53">
        <f>Durables!Q92</f>
        <v>2751</v>
      </c>
      <c r="U53" s="34">
        <f t="shared" si="10"/>
        <v>62.864528637208174</v>
      </c>
      <c r="V53" s="34">
        <f t="shared" si="11"/>
        <v>70.662768031189088</v>
      </c>
      <c r="W53" s="34">
        <f t="shared" si="12"/>
        <v>96.590061690732824</v>
      </c>
      <c r="X53" s="34">
        <f t="shared" si="13"/>
        <v>99.24965893587995</v>
      </c>
      <c r="Y53" s="34">
        <f t="shared" si="14"/>
        <v>53.138883523276029</v>
      </c>
      <c r="AB53">
        <f>'Semi-durables'!C92</f>
        <v>15195</v>
      </c>
      <c r="AC53">
        <f>'Semi-durables'!H92</f>
        <v>3955</v>
      </c>
      <c r="AD53">
        <f>'Semi-durables'!M92</f>
        <v>1474</v>
      </c>
      <c r="AE53">
        <f>'Semi-durables'!O92</f>
        <v>6417</v>
      </c>
      <c r="AF53">
        <f>'Semi-durables'!T92</f>
        <v>396</v>
      </c>
      <c r="AH53" s="34">
        <f t="shared" si="15"/>
        <v>73.941605839416056</v>
      </c>
      <c r="AI53" s="34">
        <f t="shared" si="16"/>
        <v>58.941877794336804</v>
      </c>
      <c r="AJ53" s="34">
        <f t="shared" si="17"/>
        <v>113.55932203389831</v>
      </c>
      <c r="AK53" s="34">
        <f t="shared" si="18"/>
        <v>69.096586626467101</v>
      </c>
      <c r="AL53" s="34">
        <f t="shared" si="19"/>
        <v>27.179135209334248</v>
      </c>
      <c r="AO53">
        <f>'Non-durables'!C92</f>
        <v>29989</v>
      </c>
      <c r="AP53">
        <f>'Non-durables'!Q92</f>
        <v>15917</v>
      </c>
      <c r="AQ53">
        <f>'Non-durables'!X92</f>
        <v>18143</v>
      </c>
      <c r="AR53">
        <f>'Non-durables'!AG92</f>
        <v>1673</v>
      </c>
      <c r="AS53">
        <f>'Non-durables'!AI92</f>
        <v>1133</v>
      </c>
      <c r="AT53">
        <f>'Non-durables'!AL92</f>
        <v>10086</v>
      </c>
      <c r="AU53">
        <f>'Non-durables'!AN92</f>
        <v>7426</v>
      </c>
      <c r="AV53">
        <f>'Non-durables'!AT92</f>
        <v>4037</v>
      </c>
      <c r="AX53" s="34">
        <f t="shared" si="20"/>
        <v>82.618877073116977</v>
      </c>
      <c r="AY53" s="34">
        <f t="shared" si="21"/>
        <v>124.3224244317738</v>
      </c>
      <c r="AZ53" s="34">
        <f t="shared" si="22"/>
        <v>108.55621372584217</v>
      </c>
      <c r="BA53" s="34">
        <f t="shared" si="23"/>
        <v>76.045454545454547</v>
      </c>
      <c r="BB53" s="34">
        <f t="shared" si="24"/>
        <v>45.35628502802242</v>
      </c>
      <c r="BC53" s="34">
        <f t="shared" si="25"/>
        <v>108.43995269325879</v>
      </c>
      <c r="BD53" s="34">
        <f t="shared" si="26"/>
        <v>93.057644110275689</v>
      </c>
      <c r="BE53" s="34">
        <f t="shared" si="27"/>
        <v>57.961234745154343</v>
      </c>
      <c r="BH53">
        <f>Services!F92</f>
        <v>74527</v>
      </c>
      <c r="BI53">
        <f>Services!Q92</f>
        <v>1025</v>
      </c>
      <c r="BJ53">
        <f>Services!U92</f>
        <v>4041</v>
      </c>
      <c r="BK53">
        <f>Services!AA92</f>
        <v>21738</v>
      </c>
      <c r="BL53">
        <f>Services!AJ92</f>
        <v>801</v>
      </c>
      <c r="BM53">
        <f>Services!AM92</f>
        <v>14852</v>
      </c>
      <c r="BN53">
        <f>Services!AV92</f>
        <v>7445</v>
      </c>
      <c r="BO53">
        <f>Services!AW92</f>
        <v>37856</v>
      </c>
      <c r="BP53">
        <f>Services!BB92</f>
        <v>34407</v>
      </c>
      <c r="BR53" s="34">
        <f t="shared" si="28"/>
        <v>81.599202916798959</v>
      </c>
      <c r="BS53" s="34">
        <f t="shared" si="29"/>
        <v>88.362068965517238</v>
      </c>
      <c r="BT53" s="34">
        <f t="shared" si="30"/>
        <v>87.771503040834048</v>
      </c>
      <c r="BU53" s="34">
        <f t="shared" si="31"/>
        <v>104.72107139416129</v>
      </c>
      <c r="BV53" s="34">
        <f t="shared" si="32"/>
        <v>14.339419978517723</v>
      </c>
      <c r="BW53" s="34">
        <f t="shared" si="33"/>
        <v>88.636906182859875</v>
      </c>
      <c r="BX53" s="34">
        <f t="shared" si="34"/>
        <v>84.171848501978516</v>
      </c>
      <c r="BY53" s="34">
        <f t="shared" si="35"/>
        <v>87.794243836823668</v>
      </c>
      <c r="BZ53" s="34">
        <f t="shared" si="36"/>
        <v>80.457861752876241</v>
      </c>
    </row>
    <row r="54" spans="1:78" x14ac:dyDescent="0.35">
      <c r="A54" s="101" t="s">
        <v>549</v>
      </c>
      <c r="B54">
        <f>'Total goods'!B93</f>
        <v>142473</v>
      </c>
      <c r="C54">
        <f>Durables!B93</f>
        <v>29453</v>
      </c>
      <c r="D54">
        <f>'Semi-durables'!B93</f>
        <v>27077</v>
      </c>
      <c r="E54">
        <f>'Non-durables'!B93</f>
        <v>86883</v>
      </c>
      <c r="F54">
        <f>Services!B93</f>
        <v>188485</v>
      </c>
      <c r="H54" s="34">
        <f t="shared" si="5"/>
        <v>83.164346379476399</v>
      </c>
      <c r="I54" s="34">
        <f t="shared" si="6"/>
        <v>78.242966819860271</v>
      </c>
      <c r="J54" s="34">
        <f t="shared" si="7"/>
        <v>68.866676840124114</v>
      </c>
      <c r="K54" s="34">
        <f t="shared" si="8"/>
        <v>92.07706737036213</v>
      </c>
      <c r="L54" s="34">
        <f t="shared" si="9"/>
        <v>80.300009372630228</v>
      </c>
      <c r="O54">
        <f>Durables!C93</f>
        <v>8190</v>
      </c>
      <c r="P54">
        <f>Durables!H93</f>
        <v>660</v>
      </c>
      <c r="Q54">
        <f>Durables!J93</f>
        <v>15032</v>
      </c>
      <c r="R54">
        <f>Durables!O93</f>
        <v>1532</v>
      </c>
      <c r="S54">
        <f>Durables!Q93</f>
        <v>2932</v>
      </c>
      <c r="U54" s="34">
        <f t="shared" si="10"/>
        <v>66.16043299135633</v>
      </c>
      <c r="V54" s="34">
        <f t="shared" si="11"/>
        <v>64.327485380116954</v>
      </c>
      <c r="W54" s="34">
        <f t="shared" si="12"/>
        <v>101.90495559623076</v>
      </c>
      <c r="X54" s="34">
        <f t="shared" si="13"/>
        <v>104.50204638472033</v>
      </c>
      <c r="Y54" s="34">
        <f t="shared" si="14"/>
        <v>56.635116863048097</v>
      </c>
      <c r="AB54">
        <f>'Semi-durables'!C93</f>
        <v>15068</v>
      </c>
      <c r="AC54">
        <f>'Semi-durables'!H93</f>
        <v>3947</v>
      </c>
      <c r="AD54">
        <f>'Semi-durables'!M93</f>
        <v>1533</v>
      </c>
      <c r="AE54">
        <f>'Semi-durables'!O93</f>
        <v>6177</v>
      </c>
      <c r="AF54">
        <f>'Semi-durables'!T93</f>
        <v>411</v>
      </c>
      <c r="AH54" s="34">
        <f t="shared" si="15"/>
        <v>73.323600973236012</v>
      </c>
      <c r="AI54" s="34">
        <f t="shared" si="16"/>
        <v>58.822652757078984</v>
      </c>
      <c r="AJ54" s="34">
        <f t="shared" si="17"/>
        <v>118.10477657935286</v>
      </c>
      <c r="AK54" s="34">
        <f t="shared" si="18"/>
        <v>66.512329062129865</v>
      </c>
      <c r="AL54" s="34">
        <f t="shared" si="19"/>
        <v>28.208647906657514</v>
      </c>
      <c r="AO54">
        <f>'Non-durables'!C93</f>
        <v>29936</v>
      </c>
      <c r="AP54">
        <f>'Non-durables'!Q93</f>
        <v>15849</v>
      </c>
      <c r="AQ54">
        <f>'Non-durables'!X93</f>
        <v>18454</v>
      </c>
      <c r="AR54">
        <f>'Non-durables'!AG93</f>
        <v>1644</v>
      </c>
      <c r="AS54">
        <f>'Non-durables'!AI93</f>
        <v>1187</v>
      </c>
      <c r="AT54">
        <f>'Non-durables'!AL93</f>
        <v>9875</v>
      </c>
      <c r="AU54">
        <f>'Non-durables'!AN93</f>
        <v>7508</v>
      </c>
      <c r="AV54">
        <f>'Non-durables'!AT93</f>
        <v>4088</v>
      </c>
      <c r="AX54" s="34">
        <f t="shared" si="20"/>
        <v>82.472863518651167</v>
      </c>
      <c r="AY54" s="34">
        <f t="shared" si="21"/>
        <v>123.79129891431695</v>
      </c>
      <c r="AZ54" s="34">
        <f t="shared" si="22"/>
        <v>110.41704062705678</v>
      </c>
      <c r="BA54" s="34">
        <f t="shared" si="23"/>
        <v>74.727272727272734</v>
      </c>
      <c r="BB54" s="34">
        <f t="shared" si="24"/>
        <v>47.518014411529222</v>
      </c>
      <c r="BC54" s="34">
        <f t="shared" si="25"/>
        <v>106.17137942156758</v>
      </c>
      <c r="BD54" s="34">
        <f t="shared" si="26"/>
        <v>94.08521303258145</v>
      </c>
      <c r="BE54" s="34">
        <f t="shared" si="27"/>
        <v>58.693467336683412</v>
      </c>
      <c r="BH54">
        <f>Services!F93</f>
        <v>74795</v>
      </c>
      <c r="BI54">
        <f>Services!Q93</f>
        <v>987</v>
      </c>
      <c r="BJ54">
        <f>Services!U93</f>
        <v>4073</v>
      </c>
      <c r="BK54">
        <f>Services!AA93</f>
        <v>21754</v>
      </c>
      <c r="BL54">
        <f>Services!AJ93</f>
        <v>808</v>
      </c>
      <c r="BM54">
        <f>Services!AM93</f>
        <v>14665</v>
      </c>
      <c r="BN54">
        <f>Services!AV93</f>
        <v>7591</v>
      </c>
      <c r="BO54">
        <f>Services!AW93</f>
        <v>37741</v>
      </c>
      <c r="BP54">
        <f>Services!BB93</f>
        <v>34150</v>
      </c>
      <c r="BR54" s="34">
        <f t="shared" si="28"/>
        <v>81.892634644651991</v>
      </c>
      <c r="BS54" s="34">
        <f t="shared" si="29"/>
        <v>85.086206896551715</v>
      </c>
      <c r="BT54" s="34">
        <f t="shared" si="30"/>
        <v>88.466550825369239</v>
      </c>
      <c r="BU54" s="34">
        <f t="shared" si="31"/>
        <v>104.79815011080065</v>
      </c>
      <c r="BV54" s="34">
        <f t="shared" si="32"/>
        <v>14.464733261725742</v>
      </c>
      <c r="BW54" s="34">
        <f t="shared" si="33"/>
        <v>87.520888040105035</v>
      </c>
      <c r="BX54" s="34">
        <f t="shared" si="34"/>
        <v>85.822498586772184</v>
      </c>
      <c r="BY54" s="34">
        <f t="shared" si="35"/>
        <v>87.527540063545075</v>
      </c>
      <c r="BZ54" s="34">
        <f t="shared" si="36"/>
        <v>79.85688897203255</v>
      </c>
    </row>
    <row r="55" spans="1:78" x14ac:dyDescent="0.35">
      <c r="A55" s="101" t="s">
        <v>550</v>
      </c>
      <c r="B55">
        <f>'Total goods'!B94</f>
        <v>143970</v>
      </c>
      <c r="C55">
        <f>Durables!B94</f>
        <v>30396</v>
      </c>
      <c r="D55">
        <f>'Semi-durables'!B94</f>
        <v>27335</v>
      </c>
      <c r="E55">
        <f>'Non-durables'!B94</f>
        <v>87025</v>
      </c>
      <c r="F55">
        <f>Services!B94</f>
        <v>189764</v>
      </c>
      <c r="H55" s="34">
        <f t="shared" si="5"/>
        <v>84.038175291130386</v>
      </c>
      <c r="I55" s="34">
        <f t="shared" si="6"/>
        <v>80.748080652445339</v>
      </c>
      <c r="J55" s="34">
        <f t="shared" si="7"/>
        <v>69.522864845617789</v>
      </c>
      <c r="K55" s="34">
        <f t="shared" si="8"/>
        <v>92.227556459903141</v>
      </c>
      <c r="L55" s="34">
        <f t="shared" si="9"/>
        <v>80.844900011076746</v>
      </c>
      <c r="O55">
        <f>Durables!C94</f>
        <v>8343</v>
      </c>
      <c r="P55">
        <f>Durables!H94</f>
        <v>650</v>
      </c>
      <c r="Q55">
        <f>Durables!J94</f>
        <v>15702</v>
      </c>
      <c r="R55">
        <f>Durables!O94</f>
        <v>1361</v>
      </c>
      <c r="S55">
        <f>Durables!Q94</f>
        <v>3120</v>
      </c>
      <c r="U55" s="34">
        <f t="shared" si="10"/>
        <v>67.396397124161894</v>
      </c>
      <c r="V55" s="34">
        <f t="shared" si="11"/>
        <v>63.35282651072125</v>
      </c>
      <c r="W55" s="34">
        <f t="shared" si="12"/>
        <v>106.44702054098028</v>
      </c>
      <c r="X55" s="34">
        <f t="shared" si="13"/>
        <v>92.837653478854023</v>
      </c>
      <c r="Y55" s="34">
        <f t="shared" si="14"/>
        <v>60.266563646899755</v>
      </c>
      <c r="AB55">
        <f>'Semi-durables'!C94</f>
        <v>15047</v>
      </c>
      <c r="AC55">
        <f>'Semi-durables'!H94</f>
        <v>4072</v>
      </c>
      <c r="AD55">
        <f>'Semi-durables'!M94</f>
        <v>1680</v>
      </c>
      <c r="AE55">
        <f>'Semi-durables'!O94</f>
        <v>6189</v>
      </c>
      <c r="AF55">
        <f>'Semi-durables'!T94</f>
        <v>425</v>
      </c>
      <c r="AH55" s="34">
        <f t="shared" si="15"/>
        <v>73.22141119221412</v>
      </c>
      <c r="AI55" s="34">
        <f t="shared" si="16"/>
        <v>60.685543964232494</v>
      </c>
      <c r="AJ55" s="34">
        <f t="shared" si="17"/>
        <v>129.42989214175654</v>
      </c>
      <c r="AK55" s="34">
        <f t="shared" si="18"/>
        <v>66.641541940346713</v>
      </c>
      <c r="AL55" s="34">
        <f t="shared" si="19"/>
        <v>29.16952642415923</v>
      </c>
      <c r="AO55">
        <f>'Non-durables'!C94</f>
        <v>30001</v>
      </c>
      <c r="AP55">
        <f>'Non-durables'!Q94</f>
        <v>15834</v>
      </c>
      <c r="AQ55">
        <f>'Non-durables'!X94</f>
        <v>18585</v>
      </c>
      <c r="AR55">
        <f>'Non-durables'!AG94</f>
        <v>1663</v>
      </c>
      <c r="AS55">
        <f>'Non-durables'!AI94</f>
        <v>1291</v>
      </c>
      <c r="AT55">
        <f>'Non-durables'!AL94</f>
        <v>9609</v>
      </c>
      <c r="AU55">
        <f>'Non-durables'!AN94</f>
        <v>7509</v>
      </c>
      <c r="AV55">
        <f>'Non-durables'!AT94</f>
        <v>4189</v>
      </c>
      <c r="AX55" s="34">
        <f t="shared" si="20"/>
        <v>82.65193674582622</v>
      </c>
      <c r="AY55" s="34">
        <f t="shared" si="21"/>
        <v>123.67413887370147</v>
      </c>
      <c r="AZ55" s="34">
        <f t="shared" si="22"/>
        <v>111.20086160473883</v>
      </c>
      <c r="BA55" s="34">
        <f t="shared" si="23"/>
        <v>75.590909090909093</v>
      </c>
      <c r="BB55" s="34">
        <f t="shared" si="24"/>
        <v>51.68134507606085</v>
      </c>
      <c r="BC55" s="34">
        <f t="shared" si="25"/>
        <v>103.31147188474357</v>
      </c>
      <c r="BD55" s="34">
        <f t="shared" si="26"/>
        <v>94.097744360902254</v>
      </c>
      <c r="BE55" s="34">
        <f t="shared" si="27"/>
        <v>60.14357501794688</v>
      </c>
      <c r="BH55">
        <f>Services!F94</f>
        <v>75686</v>
      </c>
      <c r="BI55">
        <f>Services!Q94</f>
        <v>1032</v>
      </c>
      <c r="BJ55">
        <f>Services!U94</f>
        <v>4113</v>
      </c>
      <c r="BK55">
        <f>Services!AA94</f>
        <v>21905</v>
      </c>
      <c r="BL55">
        <f>Services!AJ94</f>
        <v>855</v>
      </c>
      <c r="BM55">
        <f>Services!AM94</f>
        <v>14344</v>
      </c>
      <c r="BN55">
        <f>Services!AV94</f>
        <v>7416</v>
      </c>
      <c r="BO55">
        <f>Services!AW94</f>
        <v>37107</v>
      </c>
      <c r="BP55">
        <f>Services!BB94</f>
        <v>34803</v>
      </c>
      <c r="BR55" s="34">
        <f t="shared" si="28"/>
        <v>82.868185650312583</v>
      </c>
      <c r="BS55" s="34">
        <f t="shared" si="29"/>
        <v>88.965517241379317</v>
      </c>
      <c r="BT55" s="34">
        <f t="shared" si="30"/>
        <v>89.335360556038225</v>
      </c>
      <c r="BU55" s="34">
        <f t="shared" si="31"/>
        <v>105.5255804990847</v>
      </c>
      <c r="BV55" s="34">
        <f t="shared" si="32"/>
        <v>15.306122448979592</v>
      </c>
      <c r="BW55" s="34">
        <f t="shared" si="33"/>
        <v>85.605156361900214</v>
      </c>
      <c r="BX55" s="34">
        <f t="shared" si="34"/>
        <v>83.843979649519511</v>
      </c>
      <c r="BY55" s="34">
        <f t="shared" si="35"/>
        <v>86.057190565643921</v>
      </c>
      <c r="BZ55" s="34">
        <f t="shared" si="36"/>
        <v>81.383874286783282</v>
      </c>
    </row>
    <row r="56" spans="1:78" x14ac:dyDescent="0.35">
      <c r="A56" s="101" t="s">
        <v>551</v>
      </c>
      <c r="B56">
        <f>'Total goods'!B95</f>
        <v>142342</v>
      </c>
      <c r="C56">
        <f>Durables!B95</f>
        <v>29328</v>
      </c>
      <c r="D56">
        <f>'Semi-durables'!B95</f>
        <v>27503</v>
      </c>
      <c r="E56">
        <f>'Non-durables'!B95</f>
        <v>86359</v>
      </c>
      <c r="F56">
        <f>Services!B95</f>
        <v>190176</v>
      </c>
      <c r="H56" s="34">
        <f t="shared" si="5"/>
        <v>83.08787905320608</v>
      </c>
      <c r="I56" s="34">
        <f t="shared" si="6"/>
        <v>77.910899768881336</v>
      </c>
      <c r="J56" s="34">
        <f t="shared" si="7"/>
        <v>69.950150058497385</v>
      </c>
      <c r="K56" s="34">
        <f t="shared" si="8"/>
        <v>91.521741434309391</v>
      </c>
      <c r="L56" s="34">
        <f t="shared" si="9"/>
        <v>81.020423813297199</v>
      </c>
      <c r="O56">
        <f>Durables!C95</f>
        <v>8279</v>
      </c>
      <c r="P56">
        <f>Durables!H95</f>
        <v>666</v>
      </c>
      <c r="Q56">
        <f>Durables!J95</f>
        <v>14746</v>
      </c>
      <c r="R56">
        <f>Durables!O95</f>
        <v>1269</v>
      </c>
      <c r="S56">
        <f>Durables!Q95</f>
        <v>3036</v>
      </c>
      <c r="U56" s="34">
        <f t="shared" si="10"/>
        <v>66.879392519589629</v>
      </c>
      <c r="V56" s="34">
        <f t="shared" si="11"/>
        <v>64.912280701754383</v>
      </c>
      <c r="W56" s="34">
        <f t="shared" si="12"/>
        <v>99.966103992949627</v>
      </c>
      <c r="X56" s="34">
        <f t="shared" si="13"/>
        <v>86.562073669849937</v>
      </c>
      <c r="Y56" s="34">
        <f t="shared" si="14"/>
        <v>58.644002317944754</v>
      </c>
      <c r="AB56">
        <f>'Semi-durables'!C95</f>
        <v>15211</v>
      </c>
      <c r="AC56">
        <f>'Semi-durables'!H95</f>
        <v>4086</v>
      </c>
      <c r="AD56">
        <f>'Semi-durables'!M95</f>
        <v>1362</v>
      </c>
      <c r="AE56">
        <f>'Semi-durables'!O95</f>
        <v>6351</v>
      </c>
      <c r="AF56">
        <f>'Semi-durables'!T95</f>
        <v>537</v>
      </c>
      <c r="AH56" s="34">
        <f t="shared" si="15"/>
        <v>74.019464720194648</v>
      </c>
      <c r="AI56" s="34">
        <f t="shared" si="16"/>
        <v>60.894187779433686</v>
      </c>
      <c r="AJ56" s="34">
        <f t="shared" si="17"/>
        <v>104.9306625577812</v>
      </c>
      <c r="AK56" s="34">
        <f t="shared" si="18"/>
        <v>68.385915796274361</v>
      </c>
      <c r="AL56" s="34">
        <f t="shared" si="19"/>
        <v>36.85655456417296</v>
      </c>
      <c r="AO56">
        <f>'Non-durables'!C95</f>
        <v>28741</v>
      </c>
      <c r="AP56">
        <f>'Non-durables'!Q95</f>
        <v>15250</v>
      </c>
      <c r="AQ56">
        <f>'Non-durables'!X95</f>
        <v>20215</v>
      </c>
      <c r="AR56">
        <f>'Non-durables'!AG95</f>
        <v>1642</v>
      </c>
      <c r="AS56">
        <f>'Non-durables'!AI95</f>
        <v>1490</v>
      </c>
      <c r="AT56">
        <f>'Non-durables'!AL95</f>
        <v>9693</v>
      </c>
      <c r="AU56">
        <f>'Non-durables'!AN95</f>
        <v>7253</v>
      </c>
      <c r="AV56">
        <f>'Non-durables'!AT95</f>
        <v>4181</v>
      </c>
      <c r="AX56" s="34">
        <f t="shared" si="20"/>
        <v>79.180671111355991</v>
      </c>
      <c r="AY56" s="34">
        <f t="shared" si="21"/>
        <v>119.1127079590721</v>
      </c>
      <c r="AZ56" s="34">
        <f t="shared" si="22"/>
        <v>120.95374857895051</v>
      </c>
      <c r="BA56" s="34">
        <f t="shared" si="23"/>
        <v>74.63636363636364</v>
      </c>
      <c r="BB56" s="34">
        <f t="shared" si="24"/>
        <v>59.647718174539634</v>
      </c>
      <c r="BC56" s="34">
        <f t="shared" si="25"/>
        <v>104.21460058058274</v>
      </c>
      <c r="BD56" s="34">
        <f t="shared" si="26"/>
        <v>90.889724310776941</v>
      </c>
      <c r="BE56" s="34">
        <f t="shared" si="27"/>
        <v>60.028715003589369</v>
      </c>
      <c r="BH56">
        <f>Services!F95</f>
        <v>76382</v>
      </c>
      <c r="BI56">
        <f>Services!Q95</f>
        <v>1226</v>
      </c>
      <c r="BJ56">
        <f>Services!U95</f>
        <v>4037</v>
      </c>
      <c r="BK56">
        <f>Services!AA95</f>
        <v>21830</v>
      </c>
      <c r="BL56">
        <f>Services!AJ95</f>
        <v>901</v>
      </c>
      <c r="BM56">
        <f>Services!AM95</f>
        <v>13883</v>
      </c>
      <c r="BN56">
        <f>Services!AV95</f>
        <v>7508</v>
      </c>
      <c r="BO56">
        <f>Services!AW95</f>
        <v>36050</v>
      </c>
      <c r="BP56">
        <f>Services!BB95</f>
        <v>35406</v>
      </c>
      <c r="BR56" s="34">
        <f t="shared" si="28"/>
        <v>83.630232227124907</v>
      </c>
      <c r="BS56" s="34">
        <f t="shared" si="29"/>
        <v>105.68965517241379</v>
      </c>
      <c r="BT56" s="34">
        <f t="shared" si="30"/>
        <v>87.684622067767165</v>
      </c>
      <c r="BU56" s="34">
        <f t="shared" si="31"/>
        <v>105.16427401483766</v>
      </c>
      <c r="BV56" s="34">
        <f t="shared" si="32"/>
        <v>16.129609738632293</v>
      </c>
      <c r="BW56" s="34">
        <f t="shared" si="33"/>
        <v>82.853903079493918</v>
      </c>
      <c r="BX56" s="34">
        <f t="shared" si="34"/>
        <v>84.88411531938948</v>
      </c>
      <c r="BY56" s="34">
        <f t="shared" si="35"/>
        <v>83.605835014726679</v>
      </c>
      <c r="BZ56" s="34">
        <f t="shared" si="36"/>
        <v>82.793938827050795</v>
      </c>
    </row>
    <row r="57" spans="1:78" x14ac:dyDescent="0.35">
      <c r="A57" s="101" t="s">
        <v>552</v>
      </c>
      <c r="B57">
        <f>'Total goods'!B96</f>
        <v>145464</v>
      </c>
      <c r="C57">
        <f>Durables!B96</f>
        <v>29454</v>
      </c>
      <c r="D57">
        <f>'Semi-durables'!B96</f>
        <v>28112</v>
      </c>
      <c r="E57">
        <f>'Non-durables'!B96</f>
        <v>88896</v>
      </c>
      <c r="F57">
        <f>Services!B96</f>
        <v>196411</v>
      </c>
      <c r="H57" s="34">
        <f t="shared" si="5"/>
        <v>84.910253042640747</v>
      </c>
      <c r="I57" s="34">
        <f t="shared" si="6"/>
        <v>78.245623356268098</v>
      </c>
      <c r="J57" s="34">
        <f t="shared" si="7"/>
        <v>71.49905895518593</v>
      </c>
      <c r="K57" s="34">
        <f t="shared" si="8"/>
        <v>94.21040918195402</v>
      </c>
      <c r="L57" s="34">
        <f t="shared" si="9"/>
        <v>83.676712422143268</v>
      </c>
      <c r="O57">
        <f>Durables!C96</f>
        <v>8666</v>
      </c>
      <c r="P57">
        <f>Durables!H96</f>
        <v>722</v>
      </c>
      <c r="Q57">
        <f>Durables!J96</f>
        <v>13647</v>
      </c>
      <c r="R57">
        <f>Durables!O96</f>
        <v>1344</v>
      </c>
      <c r="S57">
        <f>Durables!Q96</f>
        <v>3304</v>
      </c>
      <c r="U57" s="34">
        <f t="shared" si="10"/>
        <v>70.005654737862514</v>
      </c>
      <c r="V57" s="34">
        <f t="shared" si="11"/>
        <v>70.370370370370367</v>
      </c>
      <c r="W57" s="34">
        <f t="shared" si="12"/>
        <v>92.515761643278424</v>
      </c>
      <c r="X57" s="34">
        <f t="shared" si="13"/>
        <v>91.67803547066849</v>
      </c>
      <c r="Y57" s="34">
        <f t="shared" si="14"/>
        <v>63.820745605563069</v>
      </c>
      <c r="AB57">
        <f>'Semi-durables'!C96</f>
        <v>15282</v>
      </c>
      <c r="AC57">
        <f>'Semi-durables'!H96</f>
        <v>4108</v>
      </c>
      <c r="AD57">
        <f>'Semi-durables'!M96</f>
        <v>1375</v>
      </c>
      <c r="AE57">
        <f>'Semi-durables'!O96</f>
        <v>6546</v>
      </c>
      <c r="AF57">
        <f>'Semi-durables'!T96</f>
        <v>802</v>
      </c>
      <c r="AH57" s="34">
        <f t="shared" si="15"/>
        <v>74.364963503649633</v>
      </c>
      <c r="AI57" s="34">
        <f t="shared" si="16"/>
        <v>61.222056631892698</v>
      </c>
      <c r="AJ57" s="34">
        <f t="shared" si="17"/>
        <v>105.93220338983052</v>
      </c>
      <c r="AK57" s="34">
        <f t="shared" si="18"/>
        <v>70.485625067298372</v>
      </c>
      <c r="AL57" s="34">
        <f t="shared" si="19"/>
        <v>55.044612216884005</v>
      </c>
      <c r="AO57">
        <f>'Non-durables'!C96</f>
        <v>30572</v>
      </c>
      <c r="AP57">
        <f>'Non-durables'!Q96</f>
        <v>15617</v>
      </c>
      <c r="AQ57">
        <f>'Non-durables'!X96</f>
        <v>19469</v>
      </c>
      <c r="AR57">
        <f>'Non-durables'!AG96</f>
        <v>1727</v>
      </c>
      <c r="AS57">
        <f>'Non-durables'!AI96</f>
        <v>1689</v>
      </c>
      <c r="AT57">
        <f>'Non-durables'!AL96</f>
        <v>9948</v>
      </c>
      <c r="AU57">
        <f>'Non-durables'!AN96</f>
        <v>7412</v>
      </c>
      <c r="AV57">
        <f>'Non-durables'!AT96</f>
        <v>4147</v>
      </c>
      <c r="AX57" s="34">
        <f t="shared" si="20"/>
        <v>84.225026172240888</v>
      </c>
      <c r="AY57" s="34">
        <f t="shared" si="21"/>
        <v>121.97922361946418</v>
      </c>
      <c r="AZ57" s="34">
        <f t="shared" si="22"/>
        <v>116.49015736253216</v>
      </c>
      <c r="BA57" s="34">
        <f t="shared" si="23"/>
        <v>78.5</v>
      </c>
      <c r="BB57" s="34">
        <f t="shared" si="24"/>
        <v>67.614091273018417</v>
      </c>
      <c r="BC57" s="34">
        <f t="shared" si="25"/>
        <v>106.95624126438017</v>
      </c>
      <c r="BD57" s="34">
        <f t="shared" si="26"/>
        <v>92.88220551378447</v>
      </c>
      <c r="BE57" s="34">
        <f t="shared" si="27"/>
        <v>59.540559942569992</v>
      </c>
      <c r="BH57">
        <f>Services!F96</f>
        <v>77522</v>
      </c>
      <c r="BI57">
        <f>Services!Q96</f>
        <v>1244</v>
      </c>
      <c r="BJ57">
        <f>Services!U96</f>
        <v>3978</v>
      </c>
      <c r="BK57">
        <f>Services!AA96</f>
        <v>22872</v>
      </c>
      <c r="BL57">
        <f>Services!AJ96</f>
        <v>985</v>
      </c>
      <c r="BM57">
        <f>Services!AM96</f>
        <v>14709</v>
      </c>
      <c r="BN57">
        <f>Services!AV96</f>
        <v>7705</v>
      </c>
      <c r="BO57">
        <f>Services!AW96</f>
        <v>38700</v>
      </c>
      <c r="BP57">
        <f>Services!BB96</f>
        <v>35910</v>
      </c>
      <c r="BR57" s="34">
        <f t="shared" si="28"/>
        <v>84.878411965007174</v>
      </c>
      <c r="BS57" s="34">
        <f t="shared" si="29"/>
        <v>107.24137931034483</v>
      </c>
      <c r="BT57" s="34">
        <f t="shared" si="30"/>
        <v>86.403127715030408</v>
      </c>
      <c r="BU57" s="34">
        <f t="shared" si="31"/>
        <v>110.18402543597649</v>
      </c>
      <c r="BV57" s="34">
        <f t="shared" si="32"/>
        <v>17.633369137128536</v>
      </c>
      <c r="BW57" s="34">
        <f t="shared" si="33"/>
        <v>87.783480544282639</v>
      </c>
      <c r="BX57" s="34">
        <f t="shared" si="34"/>
        <v>87.111362351611078</v>
      </c>
      <c r="BY57" s="34">
        <f t="shared" si="35"/>
        <v>89.751617616364015</v>
      </c>
      <c r="BZ57" s="34">
        <f t="shared" si="36"/>
        <v>83.972500233841558</v>
      </c>
    </row>
    <row r="58" spans="1:78" x14ac:dyDescent="0.35">
      <c r="A58" s="101" t="s">
        <v>553</v>
      </c>
      <c r="B58">
        <f>'Total goods'!B97</f>
        <v>144524</v>
      </c>
      <c r="C58">
        <f>Durables!B97</f>
        <v>28953</v>
      </c>
      <c r="D58">
        <f>'Semi-durables'!B97</f>
        <v>28818</v>
      </c>
      <c r="E58">
        <f>'Non-durables'!B97</f>
        <v>87598</v>
      </c>
      <c r="F58">
        <f>Services!B97</f>
        <v>197394</v>
      </c>
      <c r="H58" s="34">
        <f t="shared" si="5"/>
        <v>84.361556197647616</v>
      </c>
      <c r="I58" s="34">
        <f t="shared" si="6"/>
        <v>76.914698615944531</v>
      </c>
      <c r="J58" s="34">
        <f t="shared" si="7"/>
        <v>73.294674195025181</v>
      </c>
      <c r="K58" s="34">
        <f t="shared" si="8"/>
        <v>92.834811729670733</v>
      </c>
      <c r="L58" s="34">
        <f t="shared" si="9"/>
        <v>84.09549858132462</v>
      </c>
      <c r="O58">
        <f>Durables!C97</f>
        <v>8647</v>
      </c>
      <c r="P58">
        <f>Durables!H97</f>
        <v>715</v>
      </c>
      <c r="Q58">
        <f>Durables!J97</f>
        <v>12409</v>
      </c>
      <c r="R58">
        <f>Durables!O97</f>
        <v>1439</v>
      </c>
      <c r="S58">
        <f>Durables!Q97</f>
        <v>3506</v>
      </c>
      <c r="U58" s="34">
        <f t="shared" si="10"/>
        <v>69.85216899588012</v>
      </c>
      <c r="V58" s="34">
        <f t="shared" si="11"/>
        <v>69.688109161793378</v>
      </c>
      <c r="W58" s="34">
        <f t="shared" si="12"/>
        <v>84.123110297606942</v>
      </c>
      <c r="X58" s="34">
        <f t="shared" si="13"/>
        <v>98.158253751705317</v>
      </c>
      <c r="Y58" s="34">
        <f t="shared" si="14"/>
        <v>67.722619277573884</v>
      </c>
      <c r="AB58">
        <f>'Semi-durables'!C97</f>
        <v>15369</v>
      </c>
      <c r="AC58">
        <f>'Semi-durables'!H97</f>
        <v>4244</v>
      </c>
      <c r="AD58">
        <f>'Semi-durables'!M97</f>
        <v>1464</v>
      </c>
      <c r="AE58">
        <f>'Semi-durables'!O97</f>
        <v>6734</v>
      </c>
      <c r="AF58">
        <f>'Semi-durables'!T97</f>
        <v>985</v>
      </c>
      <c r="AH58" s="34">
        <f t="shared" si="15"/>
        <v>74.788321167883211</v>
      </c>
      <c r="AI58" s="34">
        <f t="shared" si="16"/>
        <v>63.248882265275711</v>
      </c>
      <c r="AJ58" s="34">
        <f t="shared" si="17"/>
        <v>112.78890600924498</v>
      </c>
      <c r="AK58" s="34">
        <f t="shared" si="18"/>
        <v>72.509960159362549</v>
      </c>
      <c r="AL58" s="34">
        <f t="shared" si="19"/>
        <v>67.604667124227873</v>
      </c>
      <c r="AO58">
        <f>'Non-durables'!C97</f>
        <v>29979</v>
      </c>
      <c r="AP58">
        <f>'Non-durables'!Q97</f>
        <v>15237</v>
      </c>
      <c r="AQ58">
        <f>'Non-durables'!X97</f>
        <v>18572</v>
      </c>
      <c r="AR58">
        <f>'Non-durables'!AG97</f>
        <v>1678</v>
      </c>
      <c r="AS58">
        <f>'Non-durables'!AI97</f>
        <v>1732</v>
      </c>
      <c r="AT58">
        <f>'Non-durables'!AL97</f>
        <v>10218</v>
      </c>
      <c r="AU58">
        <f>'Non-durables'!AN97</f>
        <v>7506</v>
      </c>
      <c r="AV58">
        <f>'Non-durables'!AT97</f>
        <v>4111</v>
      </c>
      <c r="AX58" s="34">
        <f t="shared" si="20"/>
        <v>82.591327345859284</v>
      </c>
      <c r="AY58" s="34">
        <f t="shared" si="21"/>
        <v>119.01116925720534</v>
      </c>
      <c r="AZ58" s="34">
        <f t="shared" si="22"/>
        <v>111.12307784359481</v>
      </c>
      <c r="BA58" s="34">
        <f t="shared" si="23"/>
        <v>76.272727272727266</v>
      </c>
      <c r="BB58" s="34">
        <f t="shared" si="24"/>
        <v>69.335468374699758</v>
      </c>
      <c r="BC58" s="34">
        <f t="shared" si="25"/>
        <v>109.85915492957747</v>
      </c>
      <c r="BD58" s="34">
        <f t="shared" si="26"/>
        <v>94.060150375939855</v>
      </c>
      <c r="BE58" s="34">
        <f t="shared" si="27"/>
        <v>59.023689877961239</v>
      </c>
      <c r="BH58">
        <f>Services!F97</f>
        <v>77966</v>
      </c>
      <c r="BI58">
        <f>Services!Q97</f>
        <v>1271</v>
      </c>
      <c r="BJ58">
        <f>Services!U97</f>
        <v>3964</v>
      </c>
      <c r="BK58">
        <f>Services!AA97</f>
        <v>23676</v>
      </c>
      <c r="BL58">
        <f>Services!AJ97</f>
        <v>1029</v>
      </c>
      <c r="BM58">
        <f>Services!AM97</f>
        <v>14358</v>
      </c>
      <c r="BN58">
        <f>Services!AV97</f>
        <v>7785</v>
      </c>
      <c r="BO58">
        <f>Services!AW97</f>
        <v>38891</v>
      </c>
      <c r="BP58">
        <f>Services!BB97</f>
        <v>35427</v>
      </c>
      <c r="BR58" s="34">
        <f t="shared" si="28"/>
        <v>85.364545126077104</v>
      </c>
      <c r="BS58" s="34">
        <f t="shared" si="29"/>
        <v>109.56896551724138</v>
      </c>
      <c r="BT58" s="34">
        <f t="shared" si="30"/>
        <v>86.099044309296275</v>
      </c>
      <c r="BU58" s="34">
        <f t="shared" si="31"/>
        <v>114.05723094710474</v>
      </c>
      <c r="BV58" s="34">
        <f t="shared" si="32"/>
        <v>18.421052631578945</v>
      </c>
      <c r="BW58" s="34">
        <f t="shared" si="33"/>
        <v>85.688708522320368</v>
      </c>
      <c r="BX58" s="34">
        <f t="shared" si="34"/>
        <v>88.015828151498027</v>
      </c>
      <c r="BY58" s="34">
        <f t="shared" si="35"/>
        <v>90.194577796331089</v>
      </c>
      <c r="BZ58" s="34">
        <f t="shared" si="36"/>
        <v>82.843045552333734</v>
      </c>
    </row>
    <row r="59" spans="1:78" x14ac:dyDescent="0.35">
      <c r="A59" s="101" t="s">
        <v>554</v>
      </c>
      <c r="B59">
        <f>'Total goods'!B98</f>
        <v>145140</v>
      </c>
      <c r="C59">
        <f>Durables!B98</f>
        <v>29188</v>
      </c>
      <c r="D59">
        <f>'Semi-durables'!B98</f>
        <v>28379</v>
      </c>
      <c r="E59">
        <f>'Non-durables'!B98</f>
        <v>88534</v>
      </c>
      <c r="F59">
        <f>Services!B98</f>
        <v>196799</v>
      </c>
      <c r="H59" s="34">
        <f t="shared" si="5"/>
        <v>84.721127747132471</v>
      </c>
      <c r="I59" s="34">
        <f t="shared" si="6"/>
        <v>77.538984671784931</v>
      </c>
      <c r="J59" s="34">
        <f t="shared" si="7"/>
        <v>72.178137239940995</v>
      </c>
      <c r="K59" s="34">
        <f t="shared" si="8"/>
        <v>93.826767981856534</v>
      </c>
      <c r="L59" s="34">
        <f t="shared" si="9"/>
        <v>83.842011536855736</v>
      </c>
      <c r="O59">
        <f>Durables!C98</f>
        <v>8688</v>
      </c>
      <c r="P59">
        <f>Durables!H98</f>
        <v>721</v>
      </c>
      <c r="Q59">
        <f>Durables!J98</f>
        <v>12357</v>
      </c>
      <c r="R59">
        <f>Durables!O98</f>
        <v>1471</v>
      </c>
      <c r="S59">
        <f>Durables!Q98</f>
        <v>3620</v>
      </c>
      <c r="U59" s="34">
        <f t="shared" si="10"/>
        <v>70.183375070684235</v>
      </c>
      <c r="V59" s="34">
        <f t="shared" si="11"/>
        <v>70.272904483430793</v>
      </c>
      <c r="W59" s="34">
        <f t="shared" si="12"/>
        <v>83.770591824283102</v>
      </c>
      <c r="X59" s="34">
        <f t="shared" si="13"/>
        <v>100.34106412005457</v>
      </c>
      <c r="Y59" s="34">
        <f t="shared" si="14"/>
        <v>69.924666795441368</v>
      </c>
      <c r="AB59">
        <f>'Semi-durables'!C98</f>
        <v>15229</v>
      </c>
      <c r="AC59">
        <f>'Semi-durables'!H98</f>
        <v>4132</v>
      </c>
      <c r="AD59">
        <f>'Semi-durables'!M98</f>
        <v>1496</v>
      </c>
      <c r="AE59">
        <f>'Semi-durables'!O98</f>
        <v>6549</v>
      </c>
      <c r="AF59">
        <f>'Semi-durables'!T98</f>
        <v>959</v>
      </c>
      <c r="AH59" s="34">
        <f t="shared" si="15"/>
        <v>74.107055961070557</v>
      </c>
      <c r="AI59" s="34">
        <f t="shared" si="16"/>
        <v>61.579731743666166</v>
      </c>
      <c r="AJ59" s="34">
        <f t="shared" si="17"/>
        <v>115.2542372881356</v>
      </c>
      <c r="AK59" s="34">
        <f t="shared" si="18"/>
        <v>70.517928286852595</v>
      </c>
      <c r="AL59" s="34">
        <f t="shared" si="19"/>
        <v>65.820178448867537</v>
      </c>
      <c r="AO59">
        <f>'Non-durables'!C98</f>
        <v>29133</v>
      </c>
      <c r="AP59">
        <f>'Non-durables'!Q98</f>
        <v>15279</v>
      </c>
      <c r="AQ59">
        <f>'Non-durables'!X98</f>
        <v>21894</v>
      </c>
      <c r="AR59">
        <f>'Non-durables'!AG98</f>
        <v>1635</v>
      </c>
      <c r="AS59">
        <f>'Non-durables'!AI98</f>
        <v>1648</v>
      </c>
      <c r="AT59">
        <f>'Non-durables'!AL98</f>
        <v>9964</v>
      </c>
      <c r="AU59">
        <f>'Non-durables'!AN98</f>
        <v>7497</v>
      </c>
      <c r="AV59">
        <f>'Non-durables'!AT98</f>
        <v>4051</v>
      </c>
      <c r="AX59" s="34">
        <f t="shared" si="20"/>
        <v>80.260620419857844</v>
      </c>
      <c r="AY59" s="34">
        <f t="shared" si="21"/>
        <v>119.33921737092869</v>
      </c>
      <c r="AZ59" s="34">
        <f t="shared" si="22"/>
        <v>130.99982049901274</v>
      </c>
      <c r="BA59" s="34">
        <f t="shared" si="23"/>
        <v>74.318181818181813</v>
      </c>
      <c r="BB59" s="34">
        <f t="shared" si="24"/>
        <v>65.972778222578071</v>
      </c>
      <c r="BC59" s="34">
        <f t="shared" si="25"/>
        <v>107.12826577787335</v>
      </c>
      <c r="BD59" s="34">
        <f t="shared" si="26"/>
        <v>93.94736842105263</v>
      </c>
      <c r="BE59" s="34">
        <f t="shared" si="27"/>
        <v>58.162239770279967</v>
      </c>
      <c r="BH59">
        <f>Services!F98</f>
        <v>77683</v>
      </c>
      <c r="BI59">
        <f>Services!Q98</f>
        <v>1129</v>
      </c>
      <c r="BJ59">
        <f>Services!U98</f>
        <v>3919</v>
      </c>
      <c r="BK59">
        <f>Services!AA98</f>
        <v>23577</v>
      </c>
      <c r="BL59">
        <f>Services!AJ98</f>
        <v>1097</v>
      </c>
      <c r="BM59">
        <f>Services!AM98</f>
        <v>14654</v>
      </c>
      <c r="BN59">
        <f>Services!AV98</f>
        <v>7554</v>
      </c>
      <c r="BO59">
        <f>Services!AW98</f>
        <v>39035</v>
      </c>
      <c r="BP59">
        <f>Services!BB98</f>
        <v>34572</v>
      </c>
      <c r="BR59" s="34">
        <f t="shared" si="28"/>
        <v>85.054689980620367</v>
      </c>
      <c r="BS59" s="34">
        <f t="shared" si="29"/>
        <v>97.327586206896555</v>
      </c>
      <c r="BT59" s="34">
        <f t="shared" si="30"/>
        <v>85.121633362293665</v>
      </c>
      <c r="BU59" s="34">
        <f t="shared" si="31"/>
        <v>113.58030638789864</v>
      </c>
      <c r="BV59" s="34">
        <f t="shared" si="32"/>
        <v>19.638381668456855</v>
      </c>
      <c r="BW59" s="34">
        <f t="shared" si="33"/>
        <v>87.455239914060627</v>
      </c>
      <c r="BX59" s="34">
        <f t="shared" si="34"/>
        <v>85.404183154324471</v>
      </c>
      <c r="BY59" s="34">
        <f t="shared" si="35"/>
        <v>90.528537303740805</v>
      </c>
      <c r="BZ59" s="34">
        <f t="shared" si="36"/>
        <v>80.843700308670847</v>
      </c>
    </row>
    <row r="60" spans="1:78" x14ac:dyDescent="0.35">
      <c r="A60" s="101" t="s">
        <v>555</v>
      </c>
      <c r="B60">
        <f>'Total goods'!B99</f>
        <v>142342</v>
      </c>
      <c r="C60">
        <f>Durables!B99</f>
        <v>28937</v>
      </c>
      <c r="D60">
        <f>'Semi-durables'!B99</f>
        <v>27808</v>
      </c>
      <c r="E60">
        <f>'Non-durables'!B99</f>
        <v>86468</v>
      </c>
      <c r="F60">
        <f>Services!B99</f>
        <v>196758</v>
      </c>
      <c r="H60" s="34">
        <f t="shared" si="5"/>
        <v>83.08787905320608</v>
      </c>
      <c r="I60" s="34">
        <f t="shared" si="6"/>
        <v>76.872194033419234</v>
      </c>
      <c r="J60" s="34">
        <f t="shared" si="7"/>
        <v>70.725876189022841</v>
      </c>
      <c r="K60" s="34">
        <f t="shared" si="8"/>
        <v>91.637257707266926</v>
      </c>
      <c r="L60" s="34">
        <f t="shared" si="9"/>
        <v>83.824544362362928</v>
      </c>
      <c r="O60">
        <f>Durables!C99</f>
        <v>8452</v>
      </c>
      <c r="P60">
        <f>Durables!H99</f>
        <v>731</v>
      </c>
      <c r="Q60">
        <f>Durables!J99</f>
        <v>12464</v>
      </c>
      <c r="R60">
        <f>Durables!O99</f>
        <v>1584</v>
      </c>
      <c r="S60">
        <f>Durables!Q99</f>
        <v>3574</v>
      </c>
      <c r="U60" s="34">
        <f t="shared" si="10"/>
        <v>68.276920591324014</v>
      </c>
      <c r="V60" s="34">
        <f t="shared" si="11"/>
        <v>71.247563352826518</v>
      </c>
      <c r="W60" s="34">
        <f t="shared" si="12"/>
        <v>84.495966375161004</v>
      </c>
      <c r="X60" s="34">
        <f t="shared" si="13"/>
        <v>108.04911323328785</v>
      </c>
      <c r="Y60" s="34">
        <f t="shared" si="14"/>
        <v>69.036121305775538</v>
      </c>
      <c r="AB60">
        <f>'Semi-durables'!C99</f>
        <v>15274</v>
      </c>
      <c r="AC60">
        <f>'Semi-durables'!H99</f>
        <v>3941</v>
      </c>
      <c r="AD60">
        <f>'Semi-durables'!M99</f>
        <v>1443</v>
      </c>
      <c r="AE60">
        <f>'Semi-durables'!O99</f>
        <v>6291</v>
      </c>
      <c r="AF60">
        <f>'Semi-durables'!T99</f>
        <v>856</v>
      </c>
      <c r="AH60" s="34">
        <f t="shared" si="15"/>
        <v>74.326034063260337</v>
      </c>
      <c r="AI60" s="34">
        <f t="shared" si="16"/>
        <v>58.733233979135626</v>
      </c>
      <c r="AJ60" s="34">
        <f t="shared" si="17"/>
        <v>111.17103235747304</v>
      </c>
      <c r="AK60" s="34">
        <f t="shared" si="18"/>
        <v>67.739851405190052</v>
      </c>
      <c r="AL60" s="34">
        <f t="shared" si="19"/>
        <v>58.750857927247765</v>
      </c>
      <c r="AO60">
        <f>'Non-durables'!C99</f>
        <v>30004</v>
      </c>
      <c r="AP60">
        <f>'Non-durables'!Q99</f>
        <v>14905</v>
      </c>
      <c r="AQ60">
        <f>'Non-durables'!X99</f>
        <v>18661</v>
      </c>
      <c r="AR60">
        <f>'Non-durables'!AG99</f>
        <v>1565</v>
      </c>
      <c r="AS60">
        <f>'Non-durables'!AI99</f>
        <v>1487</v>
      </c>
      <c r="AT60">
        <f>'Non-durables'!AL99</f>
        <v>9740</v>
      </c>
      <c r="AU60">
        <f>'Non-durables'!AN99</f>
        <v>7669</v>
      </c>
      <c r="AV60">
        <f>'Non-durables'!AT99</f>
        <v>4002</v>
      </c>
      <c r="AX60" s="34">
        <f t="shared" si="20"/>
        <v>82.660201664003523</v>
      </c>
      <c r="AY60" s="34">
        <f t="shared" si="21"/>
        <v>116.41802702491604</v>
      </c>
      <c r="AZ60" s="34">
        <f t="shared" si="22"/>
        <v>111.65559743911926</v>
      </c>
      <c r="BA60" s="34">
        <f t="shared" si="23"/>
        <v>71.136363636363626</v>
      </c>
      <c r="BB60" s="34">
        <f t="shared" si="24"/>
        <v>59.527622097678147</v>
      </c>
      <c r="BC60" s="34">
        <f t="shared" si="25"/>
        <v>104.71992258896894</v>
      </c>
      <c r="BD60" s="34">
        <f t="shared" si="26"/>
        <v>96.102756892230573</v>
      </c>
      <c r="BE60" s="34">
        <f t="shared" si="27"/>
        <v>57.458722182340274</v>
      </c>
      <c r="BH60">
        <f>Services!F99</f>
        <v>77597</v>
      </c>
      <c r="BI60">
        <f>Services!Q99</f>
        <v>1205</v>
      </c>
      <c r="BJ60">
        <f>Services!U99</f>
        <v>4472</v>
      </c>
      <c r="BK60">
        <f>Services!AA99</f>
        <v>23659</v>
      </c>
      <c r="BL60">
        <f>Services!AJ99</f>
        <v>1111</v>
      </c>
      <c r="BM60">
        <f>Services!AM99</f>
        <v>14849</v>
      </c>
      <c r="BN60">
        <f>Services!AV99</f>
        <v>7627</v>
      </c>
      <c r="BO60">
        <f>Services!AW99</f>
        <v>38426</v>
      </c>
      <c r="BP60">
        <f>Services!BB99</f>
        <v>34112</v>
      </c>
      <c r="BR60" s="34">
        <f t="shared" si="28"/>
        <v>84.960529053025752</v>
      </c>
      <c r="BS60" s="34">
        <f t="shared" si="29"/>
        <v>103.87931034482759</v>
      </c>
      <c r="BT60" s="34">
        <f t="shared" si="30"/>
        <v>97.132927888792352</v>
      </c>
      <c r="BU60" s="34">
        <f t="shared" si="31"/>
        <v>113.97533481067541</v>
      </c>
      <c r="BV60" s="34">
        <f t="shared" si="32"/>
        <v>19.889008234872897</v>
      </c>
      <c r="BW60" s="34">
        <f t="shared" si="33"/>
        <v>88.619002148484128</v>
      </c>
      <c r="BX60" s="34">
        <f t="shared" si="34"/>
        <v>86.229508196721312</v>
      </c>
      <c r="BY60" s="34">
        <f t="shared" si="35"/>
        <v>89.116166886987173</v>
      </c>
      <c r="BZ60" s="34">
        <f t="shared" si="36"/>
        <v>79.768029183425313</v>
      </c>
    </row>
    <row r="61" spans="1:78" x14ac:dyDescent="0.35">
      <c r="A61" s="101" t="s">
        <v>556</v>
      </c>
      <c r="B61">
        <f>'Total goods'!B100</f>
        <v>140726</v>
      </c>
      <c r="C61">
        <f>Durables!B100</f>
        <v>28459</v>
      </c>
      <c r="D61">
        <f>'Semi-durables'!B100</f>
        <v>28205</v>
      </c>
      <c r="E61">
        <f>'Non-durables'!B100</f>
        <v>84796</v>
      </c>
      <c r="F61">
        <f>Services!B100</f>
        <v>196293</v>
      </c>
      <c r="H61" s="34">
        <f t="shared" si="5"/>
        <v>82.144587455856168</v>
      </c>
      <c r="I61" s="34">
        <f t="shared" si="6"/>
        <v>75.602369630475792</v>
      </c>
      <c r="J61" s="34">
        <f t="shared" si="7"/>
        <v>71.735591840887125</v>
      </c>
      <c r="K61" s="34">
        <f t="shared" si="8"/>
        <v>89.865301667037585</v>
      </c>
      <c r="L61" s="34">
        <f t="shared" si="9"/>
        <v>83.62644104189566</v>
      </c>
      <c r="O61">
        <f>Durables!C100</f>
        <v>8144</v>
      </c>
      <c r="P61">
        <f>Durables!H100</f>
        <v>723</v>
      </c>
      <c r="Q61">
        <f>Durables!J100</f>
        <v>12468</v>
      </c>
      <c r="R61">
        <f>Durables!O100</f>
        <v>1527</v>
      </c>
      <c r="S61">
        <f>Durables!Q100</f>
        <v>3484</v>
      </c>
      <c r="U61" s="34">
        <f t="shared" si="10"/>
        <v>65.788835931820017</v>
      </c>
      <c r="V61" s="34">
        <f t="shared" si="11"/>
        <v>70.467836257309941</v>
      </c>
      <c r="W61" s="34">
        <f t="shared" si="12"/>
        <v>84.523083180801308</v>
      </c>
      <c r="X61" s="34">
        <f t="shared" si="13"/>
        <v>104.16098226466575</v>
      </c>
      <c r="Y61" s="34">
        <f t="shared" si="14"/>
        <v>67.29766273903806</v>
      </c>
      <c r="AB61">
        <f>'Semi-durables'!C100</f>
        <v>15726</v>
      </c>
      <c r="AC61">
        <f>'Semi-durables'!H100</f>
        <v>3973</v>
      </c>
      <c r="AD61">
        <f>'Semi-durables'!M100</f>
        <v>1224</v>
      </c>
      <c r="AE61">
        <f>'Semi-durables'!O100</f>
        <v>6344</v>
      </c>
      <c r="AF61">
        <f>'Semi-durables'!T100</f>
        <v>928</v>
      </c>
      <c r="AH61" s="34">
        <f t="shared" si="15"/>
        <v>76.525547445255469</v>
      </c>
      <c r="AI61" s="34">
        <f t="shared" si="16"/>
        <v>59.210134128166914</v>
      </c>
      <c r="AJ61" s="34">
        <f t="shared" si="17"/>
        <v>94.298921417565481</v>
      </c>
      <c r="AK61" s="34">
        <f t="shared" si="18"/>
        <v>68.310541617314527</v>
      </c>
      <c r="AL61" s="34">
        <f t="shared" si="19"/>
        <v>63.692518874399454</v>
      </c>
      <c r="AO61">
        <f>'Non-durables'!C100</f>
        <v>29305</v>
      </c>
      <c r="AP61">
        <f>'Non-durables'!Q100</f>
        <v>15016</v>
      </c>
      <c r="AQ61">
        <f>'Non-durables'!X100</f>
        <v>17396</v>
      </c>
      <c r="AR61">
        <f>'Non-durables'!AG100</f>
        <v>1538</v>
      </c>
      <c r="AS61">
        <f>'Non-durables'!AI100</f>
        <v>1373</v>
      </c>
      <c r="AT61">
        <f>'Non-durables'!AL100</f>
        <v>10061</v>
      </c>
      <c r="AU61">
        <f>'Non-durables'!AN100</f>
        <v>7285</v>
      </c>
      <c r="AV61">
        <f>'Non-durables'!AT100</f>
        <v>3991</v>
      </c>
      <c r="AX61" s="34">
        <f t="shared" si="20"/>
        <v>80.734475728690285</v>
      </c>
      <c r="AY61" s="34">
        <f t="shared" si="21"/>
        <v>117.28501132547061</v>
      </c>
      <c r="AZ61" s="34">
        <f t="shared" si="22"/>
        <v>104.08663914318194</v>
      </c>
      <c r="BA61" s="34">
        <f t="shared" si="23"/>
        <v>69.909090909090907</v>
      </c>
      <c r="BB61" s="34">
        <f t="shared" si="24"/>
        <v>54.963971176941548</v>
      </c>
      <c r="BC61" s="34">
        <f t="shared" si="25"/>
        <v>108.17116439092571</v>
      </c>
      <c r="BD61" s="34">
        <f t="shared" si="26"/>
        <v>91.290726817042611</v>
      </c>
      <c r="BE61" s="34">
        <f t="shared" si="27"/>
        <v>57.300789662598703</v>
      </c>
      <c r="BH61">
        <f>Services!F100</f>
        <v>77552</v>
      </c>
      <c r="BI61">
        <f>Services!Q100</f>
        <v>1166</v>
      </c>
      <c r="BJ61">
        <f>Services!U100</f>
        <v>4019</v>
      </c>
      <c r="BK61">
        <f>Services!AA100</f>
        <v>23056</v>
      </c>
      <c r="BL61">
        <f>Services!AJ100</f>
        <v>1135</v>
      </c>
      <c r="BM61">
        <f>Services!AM100</f>
        <v>15249</v>
      </c>
      <c r="BN61">
        <f>Services!AV100</f>
        <v>7727</v>
      </c>
      <c r="BO61">
        <f>Services!AW100</f>
        <v>38375</v>
      </c>
      <c r="BP61">
        <f>Services!BB100</f>
        <v>34159</v>
      </c>
      <c r="BR61" s="34">
        <f t="shared" si="28"/>
        <v>84.911258800214597</v>
      </c>
      <c r="BS61" s="34">
        <f t="shared" si="29"/>
        <v>100.51724137931035</v>
      </c>
      <c r="BT61" s="34">
        <f t="shared" si="30"/>
        <v>87.293657688966121</v>
      </c>
      <c r="BU61" s="34">
        <f t="shared" si="31"/>
        <v>111.07043067732923</v>
      </c>
      <c r="BV61" s="34">
        <f t="shared" si="32"/>
        <v>20.318653777300394</v>
      </c>
      <c r="BW61" s="34">
        <f t="shared" si="33"/>
        <v>91.006206731916933</v>
      </c>
      <c r="BX61" s="34">
        <f t="shared" si="34"/>
        <v>87.360090446579989</v>
      </c>
      <c r="BY61" s="34">
        <f t="shared" si="35"/>
        <v>88.997889561446229</v>
      </c>
      <c r="BZ61" s="34">
        <f t="shared" si="36"/>
        <v>79.877934711439522</v>
      </c>
    </row>
    <row r="62" spans="1:78" x14ac:dyDescent="0.35">
      <c r="A62" s="101" t="s">
        <v>557</v>
      </c>
      <c r="B62">
        <f>'Total goods'!B101</f>
        <v>141862</v>
      </c>
      <c r="C62">
        <f>Durables!B101</f>
        <v>28619</v>
      </c>
      <c r="D62">
        <f>'Semi-durables'!B101</f>
        <v>28162</v>
      </c>
      <c r="E62">
        <f>'Non-durables'!B101</f>
        <v>85901</v>
      </c>
      <c r="F62">
        <f>Services!B101</f>
        <v>195775</v>
      </c>
      <c r="H62" s="34">
        <f t="shared" si="5"/>
        <v>82.80769343023087</v>
      </c>
      <c r="I62" s="34">
        <f t="shared" si="6"/>
        <v>76.027415455728814</v>
      </c>
      <c r="J62" s="34">
        <f t="shared" si="7"/>
        <v>71.626227173304841</v>
      </c>
      <c r="K62" s="34">
        <f t="shared" si="8"/>
        <v>91.036361131423604</v>
      </c>
      <c r="L62" s="34">
        <f t="shared" si="9"/>
        <v>83.405758203181577</v>
      </c>
      <c r="O62">
        <f>Durables!C101</f>
        <v>8227</v>
      </c>
      <c r="P62">
        <f>Durables!H101</f>
        <v>714</v>
      </c>
      <c r="Q62">
        <f>Durables!J101</f>
        <v>12460</v>
      </c>
      <c r="R62">
        <f>Durables!O101</f>
        <v>1464</v>
      </c>
      <c r="S62">
        <f>Durables!Q101</f>
        <v>3562</v>
      </c>
      <c r="U62" s="34">
        <f t="shared" si="10"/>
        <v>66.459326278374661</v>
      </c>
      <c r="V62" s="34">
        <f t="shared" si="11"/>
        <v>69.590643274853804</v>
      </c>
      <c r="W62" s="34">
        <f t="shared" si="12"/>
        <v>84.468849569520714</v>
      </c>
      <c r="X62" s="34">
        <f t="shared" si="13"/>
        <v>99.863574351978173</v>
      </c>
      <c r="Y62" s="34">
        <f t="shared" si="14"/>
        <v>68.804326830210556</v>
      </c>
      <c r="AB62">
        <f>'Semi-durables'!C101</f>
        <v>15562</v>
      </c>
      <c r="AC62">
        <f>'Semi-durables'!H101</f>
        <v>3846</v>
      </c>
      <c r="AD62">
        <f>'Semi-durables'!M101</f>
        <v>1282</v>
      </c>
      <c r="AE62">
        <f>'Semi-durables'!O101</f>
        <v>6528</v>
      </c>
      <c r="AF62">
        <f>'Semi-durables'!T101</f>
        <v>926</v>
      </c>
      <c r="AH62" s="34">
        <f t="shared" si="15"/>
        <v>75.727493917274941</v>
      </c>
      <c r="AI62" s="34">
        <f t="shared" si="16"/>
        <v>57.317436661698963</v>
      </c>
      <c r="AJ62" s="34">
        <f t="shared" si="17"/>
        <v>98.767334360554699</v>
      </c>
      <c r="AK62" s="34">
        <f t="shared" si="18"/>
        <v>70.291805749973079</v>
      </c>
      <c r="AL62" s="34">
        <f t="shared" si="19"/>
        <v>63.555250514756345</v>
      </c>
      <c r="AO62">
        <f>'Non-durables'!C101</f>
        <v>29686</v>
      </c>
      <c r="AP62">
        <f>'Non-durables'!Q101</f>
        <v>14865</v>
      </c>
      <c r="AQ62">
        <f>'Non-durables'!X101</f>
        <v>19247</v>
      </c>
      <c r="AR62">
        <f>'Non-durables'!AG101</f>
        <v>1485</v>
      </c>
      <c r="AS62">
        <f>'Non-durables'!AI101</f>
        <v>1387</v>
      </c>
      <c r="AT62">
        <f>'Non-durables'!AL101</f>
        <v>9945</v>
      </c>
      <c r="AU62">
        <f>'Non-durables'!AN101</f>
        <v>7128</v>
      </c>
      <c r="AV62">
        <f>'Non-durables'!AT101</f>
        <v>3964</v>
      </c>
      <c r="AX62" s="34">
        <f t="shared" si="20"/>
        <v>81.784120337208662</v>
      </c>
      <c r="AY62" s="34">
        <f t="shared" si="21"/>
        <v>116.1056002499414</v>
      </c>
      <c r="AZ62" s="34">
        <f t="shared" si="22"/>
        <v>115.16185005684198</v>
      </c>
      <c r="BA62" s="34">
        <f t="shared" si="23"/>
        <v>67.5</v>
      </c>
      <c r="BB62" s="34">
        <f t="shared" si="24"/>
        <v>55.524419535628496</v>
      </c>
      <c r="BC62" s="34">
        <f t="shared" si="25"/>
        <v>106.92398666810021</v>
      </c>
      <c r="BD62" s="34">
        <f t="shared" si="26"/>
        <v>89.323308270676691</v>
      </c>
      <c r="BE62" s="34">
        <f t="shared" si="27"/>
        <v>56.913137114142145</v>
      </c>
      <c r="BH62">
        <f>Services!F101</f>
        <v>77640</v>
      </c>
      <c r="BI62">
        <f>Services!Q101</f>
        <v>1143</v>
      </c>
      <c r="BJ62">
        <f>Services!U101</f>
        <v>3982</v>
      </c>
      <c r="BK62">
        <f>Services!AA101</f>
        <v>22847</v>
      </c>
      <c r="BL62">
        <f>Services!AJ101</f>
        <v>1173</v>
      </c>
      <c r="BM62">
        <f>Services!AM101</f>
        <v>14502</v>
      </c>
      <c r="BN62">
        <f>Services!AV101</f>
        <v>7783</v>
      </c>
      <c r="BO62">
        <f>Services!AW101</f>
        <v>38399</v>
      </c>
      <c r="BP62">
        <f>Services!BB101</f>
        <v>34151</v>
      </c>
      <c r="BR62" s="34">
        <f t="shared" si="28"/>
        <v>85.007609516823052</v>
      </c>
      <c r="BS62" s="34">
        <f t="shared" si="29"/>
        <v>98.534482758620683</v>
      </c>
      <c r="BT62" s="34">
        <f t="shared" si="30"/>
        <v>86.490008688097305</v>
      </c>
      <c r="BU62" s="34">
        <f t="shared" si="31"/>
        <v>110.06358994122746</v>
      </c>
      <c r="BV62" s="34">
        <f t="shared" si="32"/>
        <v>20.998925886143933</v>
      </c>
      <c r="BW62" s="34">
        <f t="shared" si="33"/>
        <v>86.548102172356167</v>
      </c>
      <c r="BX62" s="34">
        <f t="shared" si="34"/>
        <v>87.993216506500843</v>
      </c>
      <c r="BY62" s="34">
        <f t="shared" si="35"/>
        <v>89.053549479347851</v>
      </c>
      <c r="BZ62" s="34">
        <f t="shared" si="36"/>
        <v>79.859227387522211</v>
      </c>
    </row>
    <row r="63" spans="1:78" x14ac:dyDescent="0.35">
      <c r="A63" s="101" t="s">
        <v>558</v>
      </c>
      <c r="B63">
        <f>'Total goods'!B102</f>
        <v>141211</v>
      </c>
      <c r="C63">
        <f>Durables!B102</f>
        <v>28758</v>
      </c>
      <c r="D63">
        <f>'Semi-durables'!B102</f>
        <v>28361</v>
      </c>
      <c r="E63">
        <f>'Non-durables'!B102</f>
        <v>84779</v>
      </c>
      <c r="F63">
        <f>Services!B102</f>
        <v>196785</v>
      </c>
      <c r="H63" s="34">
        <f t="shared" si="5"/>
        <v>82.427691679070719</v>
      </c>
      <c r="I63" s="34">
        <f t="shared" si="6"/>
        <v>76.396674016417393</v>
      </c>
      <c r="J63" s="34">
        <f t="shared" si="7"/>
        <v>72.132356681418173</v>
      </c>
      <c r="K63" s="34">
        <f t="shared" si="8"/>
        <v>89.847285367585499</v>
      </c>
      <c r="L63" s="34">
        <f t="shared" si="9"/>
        <v>83.836047135809409</v>
      </c>
      <c r="O63">
        <f>Durables!C102</f>
        <v>7816</v>
      </c>
      <c r="P63">
        <f>Durables!H102</f>
        <v>705</v>
      </c>
      <c r="Q63">
        <f>Durables!J102</f>
        <v>12779</v>
      </c>
      <c r="R63">
        <f>Durables!O102</f>
        <v>1590</v>
      </c>
      <c r="S63">
        <f>Durables!Q102</f>
        <v>3599</v>
      </c>
      <c r="U63" s="34">
        <f t="shared" si="10"/>
        <v>63.139187333387191</v>
      </c>
      <c r="V63" s="34">
        <f t="shared" si="11"/>
        <v>68.713450292397653</v>
      </c>
      <c r="W63" s="34">
        <f t="shared" si="12"/>
        <v>86.631414819334282</v>
      </c>
      <c r="X63" s="34">
        <f t="shared" si="13"/>
        <v>108.45839017735335</v>
      </c>
      <c r="Y63" s="34">
        <f t="shared" si="14"/>
        <v>69.519026463202621</v>
      </c>
      <c r="AB63">
        <f>'Semi-durables'!C102</f>
        <v>15747</v>
      </c>
      <c r="AC63">
        <f>'Semi-durables'!H102</f>
        <v>3956</v>
      </c>
      <c r="AD63">
        <f>'Semi-durables'!M102</f>
        <v>1317</v>
      </c>
      <c r="AE63">
        <f>'Semi-durables'!O102</f>
        <v>6400</v>
      </c>
      <c r="AF63">
        <f>'Semi-durables'!T102</f>
        <v>932</v>
      </c>
      <c r="AH63" s="34">
        <f t="shared" si="15"/>
        <v>76.627737226277375</v>
      </c>
      <c r="AI63" s="34">
        <f t="shared" si="16"/>
        <v>58.956780923994032</v>
      </c>
      <c r="AJ63" s="34">
        <f t="shared" si="17"/>
        <v>101.46379044684129</v>
      </c>
      <c r="AK63" s="34">
        <f t="shared" si="18"/>
        <v>68.913535048993211</v>
      </c>
      <c r="AL63" s="34">
        <f t="shared" si="19"/>
        <v>63.96705559368565</v>
      </c>
      <c r="AO63">
        <f>'Non-durables'!C102</f>
        <v>29813</v>
      </c>
      <c r="AP63">
        <f>'Non-durables'!Q102</f>
        <v>14786</v>
      </c>
      <c r="AQ63">
        <f>'Non-durables'!X102</f>
        <v>17026</v>
      </c>
      <c r="AR63">
        <f>'Non-durables'!AG102</f>
        <v>1492</v>
      </c>
      <c r="AS63">
        <f>'Non-durables'!AI102</f>
        <v>1571</v>
      </c>
      <c r="AT63">
        <f>'Non-durables'!AL102</f>
        <v>10058</v>
      </c>
      <c r="AU63">
        <f>'Non-durables'!AN102</f>
        <v>7095</v>
      </c>
      <c r="AV63">
        <f>'Non-durables'!AT102</f>
        <v>3927</v>
      </c>
      <c r="AX63" s="34">
        <f t="shared" si="20"/>
        <v>82.13400187338145</v>
      </c>
      <c r="AY63" s="34">
        <f t="shared" si="21"/>
        <v>115.48855736936656</v>
      </c>
      <c r="AZ63" s="34">
        <f t="shared" si="22"/>
        <v>101.87279363369832</v>
      </c>
      <c r="BA63" s="34">
        <f t="shared" si="23"/>
        <v>67.818181818181827</v>
      </c>
      <c r="BB63" s="34">
        <f t="shared" si="24"/>
        <v>62.890312249799841</v>
      </c>
      <c r="BC63" s="34">
        <f t="shared" si="25"/>
        <v>108.13890979464573</v>
      </c>
      <c r="BD63" s="34">
        <f t="shared" si="26"/>
        <v>88.909774436090231</v>
      </c>
      <c r="BE63" s="34">
        <f t="shared" si="27"/>
        <v>56.381909547738694</v>
      </c>
      <c r="BH63">
        <f>Services!F102</f>
        <v>77928</v>
      </c>
      <c r="BI63">
        <f>Services!Q102</f>
        <v>1167</v>
      </c>
      <c r="BJ63">
        <f>Services!U102</f>
        <v>3934</v>
      </c>
      <c r="BK63">
        <f>Services!AA102</f>
        <v>23057</v>
      </c>
      <c r="BL63">
        <f>Services!AJ102</f>
        <v>1249</v>
      </c>
      <c r="BM63">
        <f>Services!AM102</f>
        <v>14365</v>
      </c>
      <c r="BN63">
        <f>Services!AV102</f>
        <v>7613</v>
      </c>
      <c r="BO63">
        <f>Services!AW102</f>
        <v>38204</v>
      </c>
      <c r="BP63">
        <f>Services!BB102</f>
        <v>34658</v>
      </c>
      <c r="BR63" s="34">
        <f t="shared" si="28"/>
        <v>85.322939134814362</v>
      </c>
      <c r="BS63" s="34">
        <f t="shared" si="29"/>
        <v>100.60344827586208</v>
      </c>
      <c r="BT63" s="34">
        <f t="shared" si="30"/>
        <v>85.447437011294525</v>
      </c>
      <c r="BU63" s="34">
        <f t="shared" si="31"/>
        <v>111.07524809711917</v>
      </c>
      <c r="BV63" s="34">
        <f t="shared" si="32"/>
        <v>22.359470103831004</v>
      </c>
      <c r="BW63" s="34">
        <f t="shared" si="33"/>
        <v>85.730484602530439</v>
      </c>
      <c r="BX63" s="34">
        <f t="shared" si="34"/>
        <v>86.071226681741095</v>
      </c>
      <c r="BY63" s="34">
        <f t="shared" si="35"/>
        <v>88.601312646397176</v>
      </c>
      <c r="BZ63" s="34">
        <f t="shared" si="36"/>
        <v>81.044804040781969</v>
      </c>
    </row>
    <row r="64" spans="1:78" x14ac:dyDescent="0.35">
      <c r="A64" s="101" t="s">
        <v>559</v>
      </c>
      <c r="B64">
        <f>'Total goods'!B103</f>
        <v>141327</v>
      </c>
      <c r="C64">
        <f>Durables!B103</f>
        <v>28786</v>
      </c>
      <c r="D64">
        <f>'Semi-durables'!B103</f>
        <v>28452</v>
      </c>
      <c r="E64">
        <f>'Non-durables'!B103</f>
        <v>84778</v>
      </c>
      <c r="F64">
        <f>Services!B103</f>
        <v>197326</v>
      </c>
      <c r="H64" s="34">
        <f t="shared" si="5"/>
        <v>82.495403204623059</v>
      </c>
      <c r="I64" s="34">
        <f t="shared" si="6"/>
        <v>76.471057035836679</v>
      </c>
      <c r="J64" s="34">
        <f t="shared" si="7"/>
        <v>72.363802838394633</v>
      </c>
      <c r="K64" s="34">
        <f t="shared" si="8"/>
        <v>89.84622558526479</v>
      </c>
      <c r="L64" s="34">
        <f t="shared" si="9"/>
        <v>84.066528633385303</v>
      </c>
      <c r="O64">
        <f>Durables!C103</f>
        <v>7865</v>
      </c>
      <c r="P64">
        <f>Durables!H103</f>
        <v>690</v>
      </c>
      <c r="Q64">
        <f>Durables!J103</f>
        <v>12717</v>
      </c>
      <c r="R64">
        <f>Durables!O103</f>
        <v>1704</v>
      </c>
      <c r="S64">
        <f>Durables!Q103</f>
        <v>3454</v>
      </c>
      <c r="U64" s="34">
        <f t="shared" si="10"/>
        <v>63.535018983762825</v>
      </c>
      <c r="V64" s="34">
        <f t="shared" si="11"/>
        <v>67.251461988304101</v>
      </c>
      <c r="W64" s="34">
        <f t="shared" si="12"/>
        <v>86.211104331909709</v>
      </c>
      <c r="X64" s="34">
        <f t="shared" si="13"/>
        <v>116.23465211459754</v>
      </c>
      <c r="Y64" s="34">
        <f t="shared" si="14"/>
        <v>66.718176550125548</v>
      </c>
      <c r="AB64">
        <f>'Semi-durables'!C103</f>
        <v>15876</v>
      </c>
      <c r="AC64">
        <f>'Semi-durables'!H103</f>
        <v>4164</v>
      </c>
      <c r="AD64">
        <f>'Semi-durables'!M103</f>
        <v>1362</v>
      </c>
      <c r="AE64">
        <f>'Semi-durables'!O103</f>
        <v>6084</v>
      </c>
      <c r="AF64">
        <f>'Semi-durables'!T103</f>
        <v>945</v>
      </c>
      <c r="AH64" s="34">
        <f t="shared" si="15"/>
        <v>77.255474452554736</v>
      </c>
      <c r="AI64" s="34">
        <f t="shared" si="16"/>
        <v>62.056631892697467</v>
      </c>
      <c r="AJ64" s="34">
        <f t="shared" si="17"/>
        <v>104.9306625577812</v>
      </c>
      <c r="AK64" s="34">
        <f t="shared" si="18"/>
        <v>65.510929255949179</v>
      </c>
      <c r="AL64" s="34">
        <f t="shared" si="19"/>
        <v>64.859299931365825</v>
      </c>
      <c r="AO64">
        <f>'Non-durables'!C103</f>
        <v>29593</v>
      </c>
      <c r="AP64">
        <f>'Non-durables'!Q103</f>
        <v>14497</v>
      </c>
      <c r="AQ64">
        <f>'Non-durables'!X103</f>
        <v>17253</v>
      </c>
      <c r="AR64">
        <f>'Non-durables'!AG103</f>
        <v>1469</v>
      </c>
      <c r="AS64">
        <f>'Non-durables'!AI103</f>
        <v>1848</v>
      </c>
      <c r="AT64">
        <f>'Non-durables'!AL103</f>
        <v>10196</v>
      </c>
      <c r="AU64">
        <f>'Non-durables'!AN103</f>
        <v>6992</v>
      </c>
      <c r="AV64">
        <f>'Non-durables'!AT103</f>
        <v>3914</v>
      </c>
      <c r="AX64" s="34">
        <f t="shared" si="20"/>
        <v>81.527907873712053</v>
      </c>
      <c r="AY64" s="34">
        <f t="shared" si="21"/>
        <v>113.23127392017496</v>
      </c>
      <c r="AZ64" s="34">
        <f t="shared" si="22"/>
        <v>103.23101777059773</v>
      </c>
      <c r="BA64" s="34">
        <f t="shared" si="23"/>
        <v>66.772727272727266</v>
      </c>
      <c r="BB64" s="34">
        <f t="shared" si="24"/>
        <v>73.979183346677345</v>
      </c>
      <c r="BC64" s="34">
        <f t="shared" si="25"/>
        <v>109.62262122352435</v>
      </c>
      <c r="BD64" s="34">
        <f t="shared" si="26"/>
        <v>87.61904761904762</v>
      </c>
      <c r="BE64" s="34">
        <f t="shared" si="27"/>
        <v>56.195262024407754</v>
      </c>
      <c r="BH64">
        <f>Services!F103</f>
        <v>78679</v>
      </c>
      <c r="BI64">
        <f>Services!Q103</f>
        <v>1086</v>
      </c>
      <c r="BJ64">
        <f>Services!U103</f>
        <v>4049</v>
      </c>
      <c r="BK64">
        <f>Services!AA103</f>
        <v>23800</v>
      </c>
      <c r="BL64">
        <f>Services!AJ103</f>
        <v>1268</v>
      </c>
      <c r="BM64">
        <f>Services!AM103</f>
        <v>14147</v>
      </c>
      <c r="BN64">
        <f>Services!AV103</f>
        <v>7615</v>
      </c>
      <c r="BO64">
        <f>Services!AW103</f>
        <v>37795</v>
      </c>
      <c r="BP64">
        <f>Services!BB103</f>
        <v>34103</v>
      </c>
      <c r="BR64" s="34">
        <f t="shared" si="28"/>
        <v>86.145204909506973</v>
      </c>
      <c r="BS64" s="34">
        <f t="shared" si="29"/>
        <v>93.620689655172413</v>
      </c>
      <c r="BT64" s="34">
        <f t="shared" si="30"/>
        <v>87.945264986967857</v>
      </c>
      <c r="BU64" s="34">
        <f t="shared" si="31"/>
        <v>114.65459100105984</v>
      </c>
      <c r="BV64" s="34">
        <f t="shared" si="32"/>
        <v>22.699606158252774</v>
      </c>
      <c r="BW64" s="34">
        <f t="shared" si="33"/>
        <v>84.429458104559558</v>
      </c>
      <c r="BX64" s="34">
        <f t="shared" si="34"/>
        <v>86.093838326738265</v>
      </c>
      <c r="BY64" s="34">
        <f t="shared" si="35"/>
        <v>87.65277487882372</v>
      </c>
      <c r="BZ64" s="34">
        <f t="shared" si="36"/>
        <v>79.74698344401834</v>
      </c>
    </row>
    <row r="65" spans="1:78" x14ac:dyDescent="0.35">
      <c r="A65" s="101" t="s">
        <v>560</v>
      </c>
      <c r="B65">
        <f>'Total goods'!B104</f>
        <v>142052</v>
      </c>
      <c r="C65">
        <f>Durables!B104</f>
        <v>29005</v>
      </c>
      <c r="D65">
        <f>'Semi-durables'!B104</f>
        <v>28295</v>
      </c>
      <c r="E65">
        <f>'Non-durables'!B104</f>
        <v>85493</v>
      </c>
      <c r="F65">
        <f>Services!B104</f>
        <v>199179</v>
      </c>
      <c r="H65" s="34">
        <f t="shared" si="5"/>
        <v>82.918600239325229</v>
      </c>
      <c r="I65" s="34">
        <f t="shared" si="6"/>
        <v>77.052838509151769</v>
      </c>
      <c r="J65" s="34">
        <f t="shared" si="7"/>
        <v>71.964494633501204</v>
      </c>
      <c r="K65" s="34">
        <f t="shared" si="8"/>
        <v>90.603969944573379</v>
      </c>
      <c r="L65" s="34">
        <f t="shared" si="9"/>
        <v>84.855959714731227</v>
      </c>
      <c r="O65">
        <f>Durables!C104</f>
        <v>8052</v>
      </c>
      <c r="P65">
        <f>Durables!H104</f>
        <v>696</v>
      </c>
      <c r="Q65">
        <f>Durables!J104</f>
        <v>12800</v>
      </c>
      <c r="R65">
        <f>Durables!O104</f>
        <v>1776</v>
      </c>
      <c r="S65">
        <f>Durables!Q104</f>
        <v>3483</v>
      </c>
      <c r="U65" s="34">
        <f t="shared" si="10"/>
        <v>65.045641812747391</v>
      </c>
      <c r="V65" s="34">
        <f t="shared" si="11"/>
        <v>67.836257309941516</v>
      </c>
      <c r="W65" s="34">
        <f t="shared" si="12"/>
        <v>86.773778048945843</v>
      </c>
      <c r="X65" s="34">
        <f t="shared" si="13"/>
        <v>121.14597544338335</v>
      </c>
      <c r="Y65" s="34">
        <f t="shared" si="14"/>
        <v>67.278346532740969</v>
      </c>
      <c r="AB65">
        <f>'Semi-durables'!C104</f>
        <v>15853</v>
      </c>
      <c r="AC65">
        <f>'Semi-durables'!H104</f>
        <v>4165</v>
      </c>
      <c r="AD65">
        <f>'Semi-durables'!M104</f>
        <v>1421</v>
      </c>
      <c r="AE65">
        <f>'Semi-durables'!O104</f>
        <v>5924</v>
      </c>
      <c r="AF65">
        <f>'Semi-durables'!T104</f>
        <v>909</v>
      </c>
      <c r="AH65" s="34">
        <f t="shared" si="15"/>
        <v>77.143552311435528</v>
      </c>
      <c r="AI65" s="34">
        <f t="shared" si="16"/>
        <v>62.071535022354695</v>
      </c>
      <c r="AJ65" s="34">
        <f t="shared" si="17"/>
        <v>109.47611710323575</v>
      </c>
      <c r="AK65" s="34">
        <f t="shared" si="18"/>
        <v>63.788090879724344</v>
      </c>
      <c r="AL65" s="34">
        <f t="shared" si="19"/>
        <v>62.388469457789974</v>
      </c>
      <c r="AO65">
        <f>'Non-durables'!C104</f>
        <v>29243</v>
      </c>
      <c r="AP65">
        <f>'Non-durables'!Q104</f>
        <v>14210</v>
      </c>
      <c r="AQ65">
        <f>'Non-durables'!X104</f>
        <v>19945</v>
      </c>
      <c r="AR65">
        <f>'Non-durables'!AG104</f>
        <v>1506</v>
      </c>
      <c r="AS65">
        <f>'Non-durables'!AI104</f>
        <v>2225</v>
      </c>
      <c r="AT65">
        <f>'Non-durables'!AL104</f>
        <v>9507</v>
      </c>
      <c r="AU65">
        <f>'Non-durables'!AN104</f>
        <v>6806</v>
      </c>
      <c r="AV65">
        <f>'Non-durables'!AT104</f>
        <v>4001</v>
      </c>
      <c r="AX65" s="34">
        <f t="shared" si="20"/>
        <v>80.563667419692536</v>
      </c>
      <c r="AY65" s="34">
        <f t="shared" si="21"/>
        <v>110.9896118097321</v>
      </c>
      <c r="AZ65" s="34">
        <f t="shared" si="22"/>
        <v>119.33823969365164</v>
      </c>
      <c r="BA65" s="34">
        <f t="shared" si="23"/>
        <v>68.454545454545453</v>
      </c>
      <c r="BB65" s="34">
        <f t="shared" si="24"/>
        <v>89.071257005604494</v>
      </c>
      <c r="BC65" s="34">
        <f t="shared" si="25"/>
        <v>102.21481561122461</v>
      </c>
      <c r="BD65" s="34">
        <f t="shared" si="26"/>
        <v>85.288220551378444</v>
      </c>
      <c r="BE65" s="34">
        <f t="shared" si="27"/>
        <v>57.44436468054559</v>
      </c>
      <c r="BH65">
        <f>Services!F104</f>
        <v>79561</v>
      </c>
      <c r="BI65">
        <f>Services!Q104</f>
        <v>1128</v>
      </c>
      <c r="BJ65">
        <f>Services!U104</f>
        <v>3953</v>
      </c>
      <c r="BK65">
        <f>Services!AA104</f>
        <v>23000</v>
      </c>
      <c r="BL65">
        <f>Services!AJ104</f>
        <v>1283</v>
      </c>
      <c r="BM65">
        <f>Services!AM104</f>
        <v>14265</v>
      </c>
      <c r="BN65">
        <f>Services!AV104</f>
        <v>7846</v>
      </c>
      <c r="BO65">
        <f>Services!AW104</f>
        <v>38230</v>
      </c>
      <c r="BP65">
        <f>Services!BB104</f>
        <v>35302</v>
      </c>
      <c r="BR65" s="34">
        <f t="shared" si="28"/>
        <v>87.110901864605353</v>
      </c>
      <c r="BS65" s="34">
        <f t="shared" si="29"/>
        <v>97.241379310344826</v>
      </c>
      <c r="BT65" s="34">
        <f t="shared" si="30"/>
        <v>85.860121633362297</v>
      </c>
      <c r="BU65" s="34">
        <f t="shared" si="31"/>
        <v>110.80065516909143</v>
      </c>
      <c r="BV65" s="34">
        <f t="shared" si="32"/>
        <v>22.968134622269961</v>
      </c>
      <c r="BW65" s="34">
        <f t="shared" si="33"/>
        <v>85.133683456672244</v>
      </c>
      <c r="BX65" s="34">
        <f t="shared" si="34"/>
        <v>88.705483323911821</v>
      </c>
      <c r="BY65" s="34">
        <f t="shared" si="35"/>
        <v>88.661610890790598</v>
      </c>
      <c r="BZ65" s="34">
        <f t="shared" si="36"/>
        <v>82.550743616125715</v>
      </c>
    </row>
    <row r="66" spans="1:78" x14ac:dyDescent="0.35">
      <c r="A66" s="101" t="s">
        <v>561</v>
      </c>
      <c r="B66">
        <f>'Total goods'!B105</f>
        <v>143210</v>
      </c>
      <c r="C66">
        <f>Durables!B105</f>
        <v>29145</v>
      </c>
      <c r="D66">
        <f>'Semi-durables'!B105</f>
        <v>28986</v>
      </c>
      <c r="E66">
        <f>'Non-durables'!B105</f>
        <v>85766</v>
      </c>
      <c r="F66">
        <f>Services!B105</f>
        <v>202916</v>
      </c>
      <c r="H66" s="34">
        <f t="shared" si="5"/>
        <v>83.594548054752934</v>
      </c>
      <c r="I66" s="34">
        <f t="shared" si="6"/>
        <v>77.424753606248174</v>
      </c>
      <c r="J66" s="34">
        <f t="shared" si="7"/>
        <v>73.721959407904777</v>
      </c>
      <c r="K66" s="34">
        <f t="shared" si="8"/>
        <v>90.893290518127571</v>
      </c>
      <c r="L66" s="34">
        <f t="shared" si="9"/>
        <v>86.448028765454183</v>
      </c>
      <c r="O66">
        <f>Durables!C105</f>
        <v>7766</v>
      </c>
      <c r="P66">
        <f>Durables!H105</f>
        <v>724</v>
      </c>
      <c r="Q66">
        <f>Durables!J105</f>
        <v>13171</v>
      </c>
      <c r="R66">
        <f>Durables!O105</f>
        <v>1851</v>
      </c>
      <c r="S66">
        <f>Durables!Q105</f>
        <v>3470</v>
      </c>
      <c r="U66" s="34">
        <f t="shared" si="10"/>
        <v>62.735277486065108</v>
      </c>
      <c r="V66" s="34">
        <f t="shared" si="11"/>
        <v>70.565302144249515</v>
      </c>
      <c r="W66" s="34">
        <f t="shared" si="12"/>
        <v>89.288861772083251</v>
      </c>
      <c r="X66" s="34">
        <f t="shared" si="13"/>
        <v>126.26193724420192</v>
      </c>
      <c r="Y66" s="34">
        <f t="shared" si="14"/>
        <v>67.027235850878881</v>
      </c>
      <c r="AB66">
        <f>'Semi-durables'!C105</f>
        <v>16045</v>
      </c>
      <c r="AC66">
        <f>'Semi-durables'!H105</f>
        <v>4226</v>
      </c>
      <c r="AD66">
        <f>'Semi-durables'!M105</f>
        <v>1504</v>
      </c>
      <c r="AE66">
        <f>'Semi-durables'!O105</f>
        <v>6335</v>
      </c>
      <c r="AF66">
        <f>'Semi-durables'!T105</f>
        <v>865</v>
      </c>
      <c r="AH66" s="34">
        <f t="shared" si="15"/>
        <v>78.077858880778578</v>
      </c>
      <c r="AI66" s="34">
        <f t="shared" si="16"/>
        <v>62.980625931445601</v>
      </c>
      <c r="AJ66" s="34">
        <f t="shared" si="17"/>
        <v>115.87057010785824</v>
      </c>
      <c r="AK66" s="34">
        <f t="shared" si="18"/>
        <v>68.213631958651874</v>
      </c>
      <c r="AL66" s="34">
        <f t="shared" si="19"/>
        <v>59.368565545641729</v>
      </c>
      <c r="AO66">
        <f>'Non-durables'!C105</f>
        <v>29466</v>
      </c>
      <c r="AP66">
        <f>'Non-durables'!Q105</f>
        <v>14346</v>
      </c>
      <c r="AQ66">
        <f>'Non-durables'!X105</f>
        <v>18582</v>
      </c>
      <c r="AR66">
        <f>'Non-durables'!AG105</f>
        <v>1509</v>
      </c>
      <c r="AS66">
        <f>'Non-durables'!AI105</f>
        <v>2422</v>
      </c>
      <c r="AT66">
        <f>'Non-durables'!AL105</f>
        <v>9766</v>
      </c>
      <c r="AU66">
        <f>'Non-durables'!AN105</f>
        <v>7000</v>
      </c>
      <c r="AV66">
        <f>'Non-durables'!AT105</f>
        <v>4061</v>
      </c>
      <c r="AX66" s="34">
        <f t="shared" si="20"/>
        <v>81.178026337539251</v>
      </c>
      <c r="AY66" s="34">
        <f t="shared" si="21"/>
        <v>112.05186284464578</v>
      </c>
      <c r="AZ66" s="34">
        <f t="shared" si="22"/>
        <v>111.1829115060133</v>
      </c>
      <c r="BA66" s="34">
        <f t="shared" si="23"/>
        <v>68.590909090909093</v>
      </c>
      <c r="BB66" s="34">
        <f t="shared" si="24"/>
        <v>96.957566052842267</v>
      </c>
      <c r="BC66" s="34">
        <f t="shared" si="25"/>
        <v>104.99946242339533</v>
      </c>
      <c r="BD66" s="34">
        <f t="shared" si="26"/>
        <v>87.719298245614027</v>
      </c>
      <c r="BE66" s="34">
        <f t="shared" si="27"/>
        <v>58.305814788226854</v>
      </c>
      <c r="BH66">
        <f>Services!F105</f>
        <v>80110</v>
      </c>
      <c r="BI66">
        <f>Services!Q105</f>
        <v>1210</v>
      </c>
      <c r="BJ66">
        <f>Services!U105</f>
        <v>4211</v>
      </c>
      <c r="BK66">
        <f>Services!AA105</f>
        <v>23297</v>
      </c>
      <c r="BL66">
        <f>Services!AJ105</f>
        <v>1297</v>
      </c>
      <c r="BM66">
        <f>Services!AM105</f>
        <v>16043</v>
      </c>
      <c r="BN66">
        <f>Services!AV105</f>
        <v>8102</v>
      </c>
      <c r="BO66">
        <f>Services!AW105</f>
        <v>38833</v>
      </c>
      <c r="BP66">
        <f>Services!BB105</f>
        <v>35459</v>
      </c>
      <c r="BR66" s="34">
        <f t="shared" si="28"/>
        <v>87.711998948901268</v>
      </c>
      <c r="BS66" s="34">
        <f t="shared" si="29"/>
        <v>104.31034482758621</v>
      </c>
      <c r="BT66" s="34">
        <f t="shared" si="30"/>
        <v>91.463944396177226</v>
      </c>
      <c r="BU66" s="34">
        <f t="shared" si="31"/>
        <v>112.23142884670972</v>
      </c>
      <c r="BV66" s="34">
        <f t="shared" si="32"/>
        <v>23.218761188686003</v>
      </c>
      <c r="BW66" s="34">
        <f t="shared" si="33"/>
        <v>95.744807830031036</v>
      </c>
      <c r="BX66" s="34">
        <f t="shared" si="34"/>
        <v>91.599773883550029</v>
      </c>
      <c r="BY66" s="34">
        <f t="shared" si="35"/>
        <v>90.060066328068828</v>
      </c>
      <c r="BZ66" s="34">
        <f t="shared" si="36"/>
        <v>82.917874848002995</v>
      </c>
    </row>
    <row r="67" spans="1:78" x14ac:dyDescent="0.35">
      <c r="A67" s="101" t="s">
        <v>562</v>
      </c>
      <c r="B67">
        <f>'Total goods'!B106</f>
        <v>148137</v>
      </c>
      <c r="C67">
        <f>Durables!B106</f>
        <v>30415</v>
      </c>
      <c r="D67">
        <f>'Semi-durables'!B106</f>
        <v>29947</v>
      </c>
      <c r="E67">
        <f>'Non-durables'!B106</f>
        <v>88452</v>
      </c>
      <c r="F67">
        <f>Services!B106</f>
        <v>203981</v>
      </c>
      <c r="H67" s="34">
        <f t="shared" si="5"/>
        <v>86.470536730584016</v>
      </c>
      <c r="I67" s="34">
        <f t="shared" si="6"/>
        <v>80.798554844194143</v>
      </c>
      <c r="J67" s="34">
        <f t="shared" si="7"/>
        <v>76.166132560150572</v>
      </c>
      <c r="K67" s="34">
        <f t="shared" si="8"/>
        <v>93.739865831558205</v>
      </c>
      <c r="L67" s="34">
        <f t="shared" si="9"/>
        <v>86.901749273621149</v>
      </c>
      <c r="O67">
        <f>Durables!C106</f>
        <v>7838</v>
      </c>
      <c r="P67">
        <f>Durables!H106</f>
        <v>775</v>
      </c>
      <c r="Q67">
        <f>Durables!J106</f>
        <v>14303</v>
      </c>
      <c r="R67">
        <f>Durables!O106</f>
        <v>1797</v>
      </c>
      <c r="S67">
        <f>Durables!Q106</f>
        <v>3578</v>
      </c>
      <c r="U67" s="34">
        <f t="shared" si="10"/>
        <v>63.316907666208898</v>
      </c>
      <c r="V67" s="34">
        <f t="shared" si="11"/>
        <v>75.536062378167642</v>
      </c>
      <c r="W67" s="34">
        <f t="shared" si="12"/>
        <v>96.9629177682869</v>
      </c>
      <c r="X67" s="34">
        <f t="shared" si="13"/>
        <v>122.57844474761255</v>
      </c>
      <c r="Y67" s="34">
        <f t="shared" si="14"/>
        <v>69.113386130963889</v>
      </c>
      <c r="AB67">
        <f>'Semi-durables'!C106</f>
        <v>16475</v>
      </c>
      <c r="AC67">
        <f>'Semi-durables'!H106</f>
        <v>4213</v>
      </c>
      <c r="AD67">
        <f>'Semi-durables'!M106</f>
        <v>1508</v>
      </c>
      <c r="AE67">
        <f>'Semi-durables'!O106</f>
        <v>6732</v>
      </c>
      <c r="AF67">
        <f>'Semi-durables'!T106</f>
        <v>1007</v>
      </c>
      <c r="AH67" s="34">
        <f t="shared" si="15"/>
        <v>80.170316301703153</v>
      </c>
      <c r="AI67" s="34">
        <f t="shared" si="16"/>
        <v>62.786885245901637</v>
      </c>
      <c r="AJ67" s="34">
        <f t="shared" si="17"/>
        <v>116.17873651771957</v>
      </c>
      <c r="AK67" s="34">
        <f t="shared" si="18"/>
        <v>72.48842467965973</v>
      </c>
      <c r="AL67" s="34">
        <f t="shared" si="19"/>
        <v>69.114619080301992</v>
      </c>
      <c r="AO67">
        <f>'Non-durables'!C106</f>
        <v>30811</v>
      </c>
      <c r="AP67">
        <f>'Non-durables'!Q106</f>
        <v>14577</v>
      </c>
      <c r="AQ67">
        <f>'Non-durables'!X106</f>
        <v>19670</v>
      </c>
      <c r="AR67">
        <f>'Non-durables'!AG106</f>
        <v>1529</v>
      </c>
      <c r="AS67">
        <f>'Non-durables'!AI106</f>
        <v>2456</v>
      </c>
      <c r="AT67">
        <f>'Non-durables'!AL106</f>
        <v>9922</v>
      </c>
      <c r="AU67">
        <f>'Non-durables'!AN106</f>
        <v>7077</v>
      </c>
      <c r="AV67">
        <f>'Non-durables'!AT106</f>
        <v>4061</v>
      </c>
      <c r="AX67" s="34">
        <f t="shared" si="20"/>
        <v>84.883464653699932</v>
      </c>
      <c r="AY67" s="34">
        <f t="shared" si="21"/>
        <v>113.85612747012419</v>
      </c>
      <c r="AZ67" s="34">
        <f t="shared" si="22"/>
        <v>117.69281397714354</v>
      </c>
      <c r="BA67" s="34">
        <f t="shared" si="23"/>
        <v>69.5</v>
      </c>
      <c r="BB67" s="34">
        <f t="shared" si="24"/>
        <v>98.31865492393915</v>
      </c>
      <c r="BC67" s="34">
        <f t="shared" si="25"/>
        <v>106.67670142995375</v>
      </c>
      <c r="BD67" s="34">
        <f t="shared" si="26"/>
        <v>88.68421052631578</v>
      </c>
      <c r="BE67" s="34">
        <f t="shared" si="27"/>
        <v>58.305814788226854</v>
      </c>
      <c r="BH67">
        <f>Services!F106</f>
        <v>80478</v>
      </c>
      <c r="BI67">
        <f>Services!Q106</f>
        <v>1203</v>
      </c>
      <c r="BJ67">
        <f>Services!U106</f>
        <v>4525</v>
      </c>
      <c r="BK67">
        <f>Services!AA106</f>
        <v>23602</v>
      </c>
      <c r="BL67">
        <f>Services!AJ106</f>
        <v>1358</v>
      </c>
      <c r="BM67">
        <f>Services!AM106</f>
        <v>15161</v>
      </c>
      <c r="BN67">
        <f>Services!AV106</f>
        <v>7462</v>
      </c>
      <c r="BO67">
        <f>Services!AW106</f>
        <v>40432</v>
      </c>
      <c r="BP67">
        <f>Services!BB106</f>
        <v>35071</v>
      </c>
      <c r="BR67" s="34">
        <f t="shared" si="28"/>
        <v>88.114920127445714</v>
      </c>
      <c r="BS67" s="34">
        <f t="shared" si="29"/>
        <v>103.70689655172414</v>
      </c>
      <c r="BT67" s="34">
        <f t="shared" si="30"/>
        <v>98.284100781928757</v>
      </c>
      <c r="BU67" s="34">
        <f t="shared" si="31"/>
        <v>113.70074188264765</v>
      </c>
      <c r="BV67" s="34">
        <f t="shared" si="32"/>
        <v>24.31077694235589</v>
      </c>
      <c r="BW67" s="34">
        <f t="shared" si="33"/>
        <v>90.48102172356171</v>
      </c>
      <c r="BX67" s="34">
        <f t="shared" si="34"/>
        <v>84.364047484454503</v>
      </c>
      <c r="BY67" s="34">
        <f t="shared" si="35"/>
        <v>93.768408358264338</v>
      </c>
      <c r="BZ67" s="34">
        <f t="shared" si="36"/>
        <v>82.01056963801328</v>
      </c>
    </row>
    <row r="68" spans="1:78" x14ac:dyDescent="0.35">
      <c r="A68" s="101" t="s">
        <v>563</v>
      </c>
      <c r="B68">
        <f>'Total goods'!B107</f>
        <v>146385</v>
      </c>
      <c r="C68">
        <f>Durables!B107</f>
        <v>29879</v>
      </c>
      <c r="D68">
        <f>'Semi-durables'!B107</f>
        <v>29782</v>
      </c>
      <c r="E68">
        <f>'Non-durables'!B107</f>
        <v>87385</v>
      </c>
      <c r="F68">
        <f>Services!B107</f>
        <v>203042</v>
      </c>
      <c r="H68" s="34">
        <f t="shared" si="5"/>
        <v>85.447859206724459</v>
      </c>
      <c r="I68" s="34">
        <f t="shared" si="6"/>
        <v>79.374651329596475</v>
      </c>
      <c r="J68" s="34">
        <f t="shared" si="7"/>
        <v>75.746477440358106</v>
      </c>
      <c r="K68" s="34">
        <f t="shared" si="8"/>
        <v>92.609078095359209</v>
      </c>
      <c r="L68" s="34">
        <f t="shared" si="9"/>
        <v>86.501708374871129</v>
      </c>
      <c r="O68">
        <f>Durables!C107</f>
        <v>7751</v>
      </c>
      <c r="P68">
        <f>Durables!H107</f>
        <v>713</v>
      </c>
      <c r="Q68">
        <f>Durables!J107</f>
        <v>14191</v>
      </c>
      <c r="R68">
        <f>Durables!O107</f>
        <v>1730</v>
      </c>
      <c r="S68">
        <f>Durables!Q107</f>
        <v>3521</v>
      </c>
      <c r="U68" s="34">
        <f t="shared" si="10"/>
        <v>62.614104531868485</v>
      </c>
      <c r="V68" s="34">
        <f t="shared" si="11"/>
        <v>69.49317738791423</v>
      </c>
      <c r="W68" s="34">
        <f t="shared" si="12"/>
        <v>96.203647210358625</v>
      </c>
      <c r="X68" s="34">
        <f t="shared" si="13"/>
        <v>118.00818553888131</v>
      </c>
      <c r="Y68" s="34">
        <f t="shared" si="14"/>
        <v>68.01236237203014</v>
      </c>
      <c r="AB68">
        <f>'Semi-durables'!C107</f>
        <v>16721</v>
      </c>
      <c r="AC68">
        <f>'Semi-durables'!H107</f>
        <v>4276</v>
      </c>
      <c r="AD68">
        <f>'Semi-durables'!M107</f>
        <v>1573</v>
      </c>
      <c r="AE68">
        <f>'Semi-durables'!O107</f>
        <v>6076</v>
      </c>
      <c r="AF68">
        <f>'Semi-durables'!T107</f>
        <v>1096</v>
      </c>
      <c r="AH68" s="34">
        <f t="shared" si="15"/>
        <v>81.367396593673973</v>
      </c>
      <c r="AI68" s="34">
        <f t="shared" si="16"/>
        <v>63.725782414307005</v>
      </c>
      <c r="AJ68" s="34">
        <f t="shared" si="17"/>
        <v>121.18644067796612</v>
      </c>
      <c r="AK68" s="34">
        <f t="shared" si="18"/>
        <v>65.424787337137928</v>
      </c>
      <c r="AL68" s="34">
        <f t="shared" si="19"/>
        <v>75.223061084420038</v>
      </c>
      <c r="AO68">
        <f>'Non-durables'!C107</f>
        <v>29617</v>
      </c>
      <c r="AP68">
        <f>'Non-durables'!Q107</f>
        <v>14763</v>
      </c>
      <c r="AQ68">
        <f>'Non-durables'!X107</f>
        <v>20221</v>
      </c>
      <c r="AR68">
        <f>'Non-durables'!AG107</f>
        <v>1507</v>
      </c>
      <c r="AS68">
        <f>'Non-durables'!AI107</f>
        <v>2174</v>
      </c>
      <c r="AT68">
        <f>'Non-durables'!AL107</f>
        <v>9737</v>
      </c>
      <c r="AU68">
        <f>'Non-durables'!AN107</f>
        <v>7173</v>
      </c>
      <c r="AV68">
        <f>'Non-durables'!AT107</f>
        <v>4127</v>
      </c>
      <c r="AX68" s="34">
        <f t="shared" si="20"/>
        <v>81.594027219130524</v>
      </c>
      <c r="AY68" s="34">
        <f t="shared" si="21"/>
        <v>115.30891197375614</v>
      </c>
      <c r="AZ68" s="34">
        <f t="shared" si="22"/>
        <v>120.98964877640159</v>
      </c>
      <c r="BA68" s="34">
        <f t="shared" si="23"/>
        <v>68.5</v>
      </c>
      <c r="BB68" s="34">
        <f t="shared" si="24"/>
        <v>87.02962369895917</v>
      </c>
      <c r="BC68" s="34">
        <f t="shared" si="25"/>
        <v>104.68766799268896</v>
      </c>
      <c r="BD68" s="34">
        <f t="shared" si="26"/>
        <v>89.887218045112789</v>
      </c>
      <c r="BE68" s="34">
        <f t="shared" si="27"/>
        <v>59.253409906676232</v>
      </c>
      <c r="BH68">
        <f>Services!F107</f>
        <v>81232</v>
      </c>
      <c r="BI68">
        <f>Services!Q107</f>
        <v>1166</v>
      </c>
      <c r="BJ68">
        <f>Services!U107</f>
        <v>4452</v>
      </c>
      <c r="BK68">
        <f>Services!AA107</f>
        <v>23237</v>
      </c>
      <c r="BL68">
        <f>Services!AJ107</f>
        <v>1343</v>
      </c>
      <c r="BM68">
        <f>Services!AM107</f>
        <v>15393</v>
      </c>
      <c r="BN68">
        <f>Services!AV107</f>
        <v>7364</v>
      </c>
      <c r="BO68">
        <f>Services!AW107</f>
        <v>39594</v>
      </c>
      <c r="BP68">
        <f>Services!BB107</f>
        <v>34399</v>
      </c>
      <c r="BR68" s="34">
        <f t="shared" si="28"/>
        <v>88.940470585659071</v>
      </c>
      <c r="BS68" s="34">
        <f t="shared" si="29"/>
        <v>100.51724137931035</v>
      </c>
      <c r="BT68" s="34">
        <f t="shared" si="30"/>
        <v>96.698523023457867</v>
      </c>
      <c r="BU68" s="34">
        <f t="shared" si="31"/>
        <v>111.94238365931206</v>
      </c>
      <c r="BV68" s="34">
        <f t="shared" si="32"/>
        <v>24.042248478338703</v>
      </c>
      <c r="BW68" s="34">
        <f t="shared" si="33"/>
        <v>91.865600381952731</v>
      </c>
      <c r="BX68" s="34">
        <f t="shared" si="34"/>
        <v>83.256076879592982</v>
      </c>
      <c r="BY68" s="34">
        <f t="shared" si="35"/>
        <v>91.824949558199393</v>
      </c>
      <c r="BZ68" s="34">
        <f t="shared" si="36"/>
        <v>80.439154428958943</v>
      </c>
    </row>
    <row r="69" spans="1:78" x14ac:dyDescent="0.35">
      <c r="A69" s="101" t="s">
        <v>564</v>
      </c>
      <c r="B69">
        <f>'Total goods'!B108</f>
        <v>146667</v>
      </c>
      <c r="C69">
        <f>Durables!B108</f>
        <v>31132</v>
      </c>
      <c r="D69">
        <f>'Semi-durables'!B108</f>
        <v>30101</v>
      </c>
      <c r="E69">
        <f>'Non-durables'!B108</f>
        <v>85926</v>
      </c>
      <c r="F69">
        <f>Services!B108</f>
        <v>205328</v>
      </c>
      <c r="H69" s="34">
        <f t="shared" ref="H69:H119" si="37">100*(B69/B$104)</f>
        <v>85.6124682602224</v>
      </c>
      <c r="I69" s="34">
        <f t="shared" ref="I69:I119" si="38">100*(C69/C$104)</f>
        <v>82.703291448609306</v>
      </c>
      <c r="J69" s="34">
        <f t="shared" ref="J69:J119" si="39">100*(D69/D$104)</f>
        <v>76.557810671956858</v>
      </c>
      <c r="K69" s="34">
        <f t="shared" ref="K69:K119" si="40">100*(E69/E$104)</f>
        <v>91.062855689441392</v>
      </c>
      <c r="L69" s="34">
        <f t="shared" ref="L69:L119" si="41">100*(F69/F$104)</f>
        <v>87.475609860006983</v>
      </c>
      <c r="O69">
        <f>Durables!C108</f>
        <v>7679</v>
      </c>
      <c r="P69">
        <f>Durables!H108</f>
        <v>771</v>
      </c>
      <c r="Q69">
        <f>Durables!J108</f>
        <v>15186</v>
      </c>
      <c r="R69">
        <f>Durables!O108</f>
        <v>1774</v>
      </c>
      <c r="S69">
        <f>Durables!Q108</f>
        <v>3730</v>
      </c>
      <c r="U69" s="34">
        <f t="shared" ref="U69:U119" si="42">100*(O69/O$104)</f>
        <v>62.032474351724701</v>
      </c>
      <c r="V69" s="34">
        <f t="shared" ref="V69:V119" si="43">100*(P69/P$104)</f>
        <v>75.146198830409361</v>
      </c>
      <c r="W69" s="34">
        <f t="shared" ref="W69:W119" si="44">100*(Q69/Q$104)</f>
        <v>102.94895261338215</v>
      </c>
      <c r="X69" s="34">
        <f t="shared" ref="X69:X119" si="45">100*(R69/R$104)</f>
        <v>121.00954979536154</v>
      </c>
      <c r="Y69" s="34">
        <f t="shared" ref="Y69:Y119" si="46">100*(S69/S$104)</f>
        <v>72.04944948812053</v>
      </c>
      <c r="AB69">
        <f>'Semi-durables'!C108</f>
        <v>16531</v>
      </c>
      <c r="AC69">
        <f>'Semi-durables'!H108</f>
        <v>4531</v>
      </c>
      <c r="AD69">
        <f>'Semi-durables'!M108</f>
        <v>1521</v>
      </c>
      <c r="AE69">
        <f>'Semi-durables'!O108</f>
        <v>6336</v>
      </c>
      <c r="AF69">
        <f>'Semi-durables'!T108</f>
        <v>1143</v>
      </c>
      <c r="AH69" s="34">
        <f t="shared" ref="AH69:AH119" si="47">100*(AB69/AB$104)</f>
        <v>80.442822384428226</v>
      </c>
      <c r="AI69" s="34">
        <f t="shared" ref="AI69:AI119" si="48">100*(AC69/AC$104)</f>
        <v>67.526080476900148</v>
      </c>
      <c r="AJ69" s="34">
        <f t="shared" ref="AJ69:AJ119" si="49">100*(AD69/AD$104)</f>
        <v>117.18027734976889</v>
      </c>
      <c r="AK69" s="34">
        <f t="shared" ref="AK69:AK119" si="50">100*(AE69/AE$104)</f>
        <v>68.224399698503277</v>
      </c>
      <c r="AL69" s="34">
        <f t="shared" ref="AL69:AL119" si="51">100*(AF69/AF$104)</f>
        <v>78.448867536032935</v>
      </c>
      <c r="AO69">
        <f>'Non-durables'!C108</f>
        <v>29740</v>
      </c>
      <c r="AP69">
        <f>'Non-durables'!Q108</f>
        <v>14020</v>
      </c>
      <c r="AQ69">
        <f>'Non-durables'!X108</f>
        <v>19725</v>
      </c>
      <c r="AR69">
        <f>'Non-durables'!AG108</f>
        <v>1500</v>
      </c>
      <c r="AS69">
        <f>'Non-durables'!AI108</f>
        <v>2067</v>
      </c>
      <c r="AT69">
        <f>'Non-durables'!AL108</f>
        <v>9462</v>
      </c>
      <c r="AU69">
        <f>'Non-durables'!AN108</f>
        <v>7058</v>
      </c>
      <c r="AV69">
        <f>'Non-durables'!AT108</f>
        <v>4188</v>
      </c>
      <c r="AX69" s="34">
        <f t="shared" ref="AX69:AX119" si="52">100*(AO69/AO$104)</f>
        <v>81.93288886440024</v>
      </c>
      <c r="AY69" s="34">
        <f t="shared" ref="AY69:AY119" si="53">100*(AP69/AP$104)</f>
        <v>109.50558462860268</v>
      </c>
      <c r="AZ69" s="34">
        <f t="shared" ref="AZ69:AZ119" si="54">100*(AQ69/AQ$104)</f>
        <v>118.02189912044516</v>
      </c>
      <c r="BA69" s="34">
        <f t="shared" ref="BA69:BA119" si="55">100*(AR69/AR$104)</f>
        <v>68.181818181818173</v>
      </c>
      <c r="BB69" s="34">
        <f t="shared" ref="BB69:BB119" si="56">100*(AS69/AS$104)</f>
        <v>82.746196957566056</v>
      </c>
      <c r="BC69" s="34">
        <f t="shared" ref="BC69:BC119" si="57">100*(AT69/AT$104)</f>
        <v>101.73099666702505</v>
      </c>
      <c r="BD69" s="34">
        <f t="shared" ref="BD69:BD119" si="58">100*(AU69/AU$104)</f>
        <v>88.446115288220554</v>
      </c>
      <c r="BE69" s="34">
        <f t="shared" ref="BE69:BE119" si="59">100*(AV69/AV$104)</f>
        <v>60.129217516152188</v>
      </c>
      <c r="BH69">
        <f>Services!F108</f>
        <v>81749</v>
      </c>
      <c r="BI69">
        <f>Services!Q108</f>
        <v>1227</v>
      </c>
      <c r="BJ69">
        <f>Services!U108</f>
        <v>4682</v>
      </c>
      <c r="BK69">
        <f>Services!AA108</f>
        <v>23901</v>
      </c>
      <c r="BL69">
        <f>Services!AJ108</f>
        <v>1339</v>
      </c>
      <c r="BM69">
        <f>Services!AM108</f>
        <v>15518</v>
      </c>
      <c r="BN69">
        <f>Services!AV108</f>
        <v>7467</v>
      </c>
      <c r="BO69">
        <f>Services!AW108</f>
        <v>40077</v>
      </c>
      <c r="BP69">
        <f>Services!BB108</f>
        <v>34679</v>
      </c>
      <c r="BR69" s="34">
        <f t="shared" ref="BR69:BR119" si="60">100*(BH69/BH$104)</f>
        <v>89.506531045733738</v>
      </c>
      <c r="BS69" s="34">
        <f t="shared" ref="BS69:BS119" si="61">100*(BI69/BI$104)</f>
        <v>105.77586206896552</v>
      </c>
      <c r="BT69" s="34">
        <f t="shared" ref="BT69:BT119" si="62">100*(BJ69/BJ$104)</f>
        <v>101.69417897480453</v>
      </c>
      <c r="BU69" s="34">
        <f t="shared" ref="BU69:BU119" si="63">100*(BK69/BK$104)</f>
        <v>115.14115039984586</v>
      </c>
      <c r="BV69" s="34">
        <f t="shared" ref="BV69:BV119" si="64">100*(BL69/BL$104)</f>
        <v>23.97064088793412</v>
      </c>
      <c r="BW69" s="34">
        <f t="shared" ref="BW69:BW119" si="65">100*(BM69/BM$104)</f>
        <v>92.611601814275474</v>
      </c>
      <c r="BX69" s="34">
        <f t="shared" ref="BX69:BX119" si="66">100*(BN69/BN$104)</f>
        <v>84.420576596947427</v>
      </c>
      <c r="BY69" s="34">
        <f t="shared" ref="BY69:BY119" si="67">100*(BO69/BO$104)</f>
        <v>92.945105405969528</v>
      </c>
      <c r="BZ69" s="34">
        <f t="shared" ref="BZ69:BZ119" si="68">100*(BP69/BP$104)</f>
        <v>81.093910766064909</v>
      </c>
    </row>
    <row r="70" spans="1:78" x14ac:dyDescent="0.35">
      <c r="A70" s="101" t="s">
        <v>565</v>
      </c>
      <c r="B70">
        <f>'Total goods'!B109</f>
        <v>147988</v>
      </c>
      <c r="C70">
        <f>Durables!B109</f>
        <v>32628</v>
      </c>
      <c r="D70">
        <f>'Semi-durables'!B109</f>
        <v>30431</v>
      </c>
      <c r="E70">
        <f>'Non-durables'!B109</f>
        <v>85284</v>
      </c>
      <c r="F70">
        <f>Services!B109</f>
        <v>207956</v>
      </c>
      <c r="H70" s="34">
        <f t="shared" si="37"/>
        <v>86.383562443452121</v>
      </c>
      <c r="I70" s="34">
        <f t="shared" si="38"/>
        <v>86.677469914725179</v>
      </c>
      <c r="J70" s="34">
        <f t="shared" si="39"/>
        <v>77.397120911541776</v>
      </c>
      <c r="K70" s="34">
        <f t="shared" si="40"/>
        <v>90.38247543954472</v>
      </c>
      <c r="L70" s="34">
        <f t="shared" si="41"/>
        <v>88.595213142131684</v>
      </c>
      <c r="O70">
        <f>Durables!C109</f>
        <v>7897</v>
      </c>
      <c r="P70">
        <f>Durables!H109</f>
        <v>847</v>
      </c>
      <c r="Q70">
        <f>Durables!J109</f>
        <v>16218</v>
      </c>
      <c r="R70">
        <f>Durables!O109</f>
        <v>1749</v>
      </c>
      <c r="S70">
        <f>Durables!Q109</f>
        <v>3901</v>
      </c>
      <c r="U70" s="34">
        <f t="shared" si="42"/>
        <v>63.79352128604895</v>
      </c>
      <c r="V70" s="34">
        <f t="shared" si="43"/>
        <v>82.553606237816766</v>
      </c>
      <c r="W70" s="34">
        <f t="shared" si="44"/>
        <v>109.9450884685784</v>
      </c>
      <c r="X70" s="34">
        <f t="shared" si="45"/>
        <v>119.30422919508868</v>
      </c>
      <c r="Y70" s="34">
        <f t="shared" si="46"/>
        <v>75.352520764921778</v>
      </c>
      <c r="AB70">
        <f>'Semi-durables'!C109</f>
        <v>16886</v>
      </c>
      <c r="AC70">
        <f>'Semi-durables'!H109</f>
        <v>4279</v>
      </c>
      <c r="AD70">
        <f>'Semi-durables'!M109</f>
        <v>1542</v>
      </c>
      <c r="AE70">
        <f>'Semi-durables'!O109</f>
        <v>6400</v>
      </c>
      <c r="AF70">
        <f>'Semi-durables'!T109</f>
        <v>1283</v>
      </c>
      <c r="AH70" s="34">
        <f t="shared" si="47"/>
        <v>82.170316301703167</v>
      </c>
      <c r="AI70" s="34">
        <f t="shared" si="48"/>
        <v>63.770491803278681</v>
      </c>
      <c r="AJ70" s="34">
        <f t="shared" si="49"/>
        <v>118.79815100154083</v>
      </c>
      <c r="AK70" s="34">
        <f t="shared" si="50"/>
        <v>68.913535048993211</v>
      </c>
      <c r="AL70" s="34">
        <f t="shared" si="51"/>
        <v>88.05765271105011</v>
      </c>
      <c r="AO70">
        <f>'Non-durables'!C109</f>
        <v>30369</v>
      </c>
      <c r="AP70">
        <f>'Non-durables'!Q109</f>
        <v>14432</v>
      </c>
      <c r="AQ70">
        <f>'Non-durables'!X109</f>
        <v>16979</v>
      </c>
      <c r="AR70">
        <f>'Non-durables'!AG109</f>
        <v>1519</v>
      </c>
      <c r="AS70">
        <f>'Non-durables'!AI109</f>
        <v>2079</v>
      </c>
      <c r="AT70">
        <f>'Non-durables'!AL109</f>
        <v>9563</v>
      </c>
      <c r="AU70">
        <f>'Non-durables'!AN109</f>
        <v>7002</v>
      </c>
      <c r="AV70">
        <f>'Non-durables'!AT109</f>
        <v>4279</v>
      </c>
      <c r="AX70" s="34">
        <f t="shared" si="52"/>
        <v>83.665766708909587</v>
      </c>
      <c r="AY70" s="34">
        <f t="shared" si="53"/>
        <v>112.72358041084121</v>
      </c>
      <c r="AZ70" s="34">
        <f t="shared" si="54"/>
        <v>101.59157542033148</v>
      </c>
      <c r="BA70" s="34">
        <f t="shared" si="55"/>
        <v>69.045454545454547</v>
      </c>
      <c r="BB70" s="34">
        <f t="shared" si="56"/>
        <v>83.226581265012015</v>
      </c>
      <c r="BC70" s="34">
        <f t="shared" si="57"/>
        <v>102.8169014084507</v>
      </c>
      <c r="BD70" s="34">
        <f t="shared" si="58"/>
        <v>87.744360902255636</v>
      </c>
      <c r="BE70" s="34">
        <f t="shared" si="59"/>
        <v>61.435750179468776</v>
      </c>
      <c r="BH70">
        <f>Services!F109</f>
        <v>82295</v>
      </c>
      <c r="BI70">
        <f>Services!Q109</f>
        <v>1187</v>
      </c>
      <c r="BJ70">
        <f>Services!U109</f>
        <v>4766</v>
      </c>
      <c r="BK70">
        <f>Services!AA109</f>
        <v>23897</v>
      </c>
      <c r="BL70">
        <f>Services!AJ109</f>
        <v>1373</v>
      </c>
      <c r="BM70">
        <f>Services!AM109</f>
        <v>15743</v>
      </c>
      <c r="BN70">
        <f>Services!AV109</f>
        <v>7810</v>
      </c>
      <c r="BO70">
        <f>Services!AW109</f>
        <v>40533</v>
      </c>
      <c r="BP70">
        <f>Services!BB109</f>
        <v>35800</v>
      </c>
      <c r="BR70" s="34">
        <f t="shared" si="60"/>
        <v>90.104343446508921</v>
      </c>
      <c r="BS70" s="34">
        <f t="shared" si="61"/>
        <v>102.32758620689654</v>
      </c>
      <c r="BT70" s="34">
        <f t="shared" si="62"/>
        <v>103.51867940920938</v>
      </c>
      <c r="BU70" s="34">
        <f t="shared" si="63"/>
        <v>115.12188072068601</v>
      </c>
      <c r="BV70" s="34">
        <f t="shared" si="64"/>
        <v>24.579305406373074</v>
      </c>
      <c r="BW70" s="34">
        <f t="shared" si="65"/>
        <v>93.954404392456439</v>
      </c>
      <c r="BX70" s="34">
        <f t="shared" si="66"/>
        <v>88.298473713962693</v>
      </c>
      <c r="BY70" s="34">
        <f t="shared" si="67"/>
        <v>94.002643846100327</v>
      </c>
      <c r="BZ70" s="34">
        <f t="shared" si="68"/>
        <v>83.715274529978487</v>
      </c>
    </row>
    <row r="71" spans="1:78" x14ac:dyDescent="0.35">
      <c r="A71" s="101" t="s">
        <v>566</v>
      </c>
      <c r="B71">
        <f>'Total goods'!B110</f>
        <v>147924</v>
      </c>
      <c r="C71">
        <f>Durables!B110</f>
        <v>32619</v>
      </c>
      <c r="D71">
        <f>'Semi-durables'!B110</f>
        <v>30372</v>
      </c>
      <c r="E71">
        <f>'Non-durables'!B110</f>
        <v>85303</v>
      </c>
      <c r="F71">
        <f>Services!B110</f>
        <v>208485</v>
      </c>
      <c r="H71" s="34">
        <f t="shared" si="37"/>
        <v>86.346204360388754</v>
      </c>
      <c r="I71" s="34">
        <f t="shared" si="38"/>
        <v>86.653561087054698</v>
      </c>
      <c r="J71" s="34">
        <f t="shared" si="39"/>
        <v>77.247062414161448</v>
      </c>
      <c r="K71" s="34">
        <f t="shared" si="40"/>
        <v>90.402611303638238</v>
      </c>
      <c r="L71" s="34">
        <f t="shared" si="41"/>
        <v>88.820582295953571</v>
      </c>
      <c r="O71">
        <f>Durables!C110</f>
        <v>7600</v>
      </c>
      <c r="P71">
        <f>Durables!H110</f>
        <v>903</v>
      </c>
      <c r="Q71">
        <f>Durables!J110</f>
        <v>16264</v>
      </c>
      <c r="R71">
        <f>Durables!O110</f>
        <v>1822</v>
      </c>
      <c r="S71">
        <f>Durables!Q110</f>
        <v>3929</v>
      </c>
      <c r="U71" s="34">
        <f t="shared" si="42"/>
        <v>61.394296792955814</v>
      </c>
      <c r="V71" s="34">
        <f t="shared" si="43"/>
        <v>88.011695906432749</v>
      </c>
      <c r="W71" s="34">
        <f t="shared" si="44"/>
        <v>110.2569317334418</v>
      </c>
      <c r="X71" s="34">
        <f t="shared" si="45"/>
        <v>124.28376534788541</v>
      </c>
      <c r="Y71" s="34">
        <f t="shared" si="46"/>
        <v>75.893374541240092</v>
      </c>
      <c r="AB71">
        <f>'Semi-durables'!C110</f>
        <v>16959</v>
      </c>
      <c r="AC71">
        <f>'Semi-durables'!H110</f>
        <v>4410</v>
      </c>
      <c r="AD71">
        <f>'Semi-durables'!M110</f>
        <v>1509</v>
      </c>
      <c r="AE71">
        <f>'Semi-durables'!O110</f>
        <v>6212</v>
      </c>
      <c r="AF71">
        <f>'Semi-durables'!T110</f>
        <v>1233</v>
      </c>
      <c r="AH71" s="34">
        <f t="shared" si="47"/>
        <v>82.525547445255469</v>
      </c>
      <c r="AI71" s="34">
        <f t="shared" si="48"/>
        <v>65.722801788375563</v>
      </c>
      <c r="AJ71" s="34">
        <f t="shared" si="49"/>
        <v>116.2557781201849</v>
      </c>
      <c r="AK71" s="34">
        <f t="shared" si="50"/>
        <v>66.889199956929033</v>
      </c>
      <c r="AL71" s="34">
        <f t="shared" si="51"/>
        <v>84.625943719972554</v>
      </c>
      <c r="AO71">
        <f>'Non-durables'!C110</f>
        <v>29923</v>
      </c>
      <c r="AP71">
        <f>'Non-durables'!Q110</f>
        <v>14067</v>
      </c>
      <c r="AQ71">
        <f>'Non-durables'!X110</f>
        <v>17842</v>
      </c>
      <c r="AR71">
        <f>'Non-durables'!AG110</f>
        <v>1499</v>
      </c>
      <c r="AS71">
        <f>'Non-durables'!AI110</f>
        <v>2094</v>
      </c>
      <c r="AT71">
        <f>'Non-durables'!AL110</f>
        <v>9526</v>
      </c>
      <c r="AU71">
        <f>'Non-durables'!AN110</f>
        <v>7115</v>
      </c>
      <c r="AV71">
        <f>'Non-durables'!AT110</f>
        <v>4436</v>
      </c>
      <c r="AX71" s="34">
        <f t="shared" si="52"/>
        <v>82.437048873216156</v>
      </c>
      <c r="AY71" s="34">
        <f t="shared" si="53"/>
        <v>109.87268608919784</v>
      </c>
      <c r="AZ71" s="34">
        <f t="shared" si="54"/>
        <v>106.75522048704602</v>
      </c>
      <c r="BA71" s="34">
        <f t="shared" si="55"/>
        <v>68.13636363636364</v>
      </c>
      <c r="BB71" s="34">
        <f t="shared" si="56"/>
        <v>83.827061649319461</v>
      </c>
      <c r="BC71" s="34">
        <f t="shared" si="57"/>
        <v>102.41909472099775</v>
      </c>
      <c r="BD71" s="34">
        <f t="shared" si="58"/>
        <v>89.160401002506262</v>
      </c>
      <c r="BE71" s="34">
        <f t="shared" si="59"/>
        <v>63.689877961234743</v>
      </c>
      <c r="BH71">
        <f>Services!F110</f>
        <v>82467</v>
      </c>
      <c r="BI71">
        <f>Services!Q110</f>
        <v>1185</v>
      </c>
      <c r="BJ71">
        <f>Services!U110</f>
        <v>4791</v>
      </c>
      <c r="BK71">
        <f>Services!AA110</f>
        <v>22989</v>
      </c>
      <c r="BL71">
        <f>Services!AJ110</f>
        <v>1435</v>
      </c>
      <c r="BM71">
        <f>Services!AM110</f>
        <v>15857</v>
      </c>
      <c r="BN71">
        <f>Services!AV110</f>
        <v>7276</v>
      </c>
      <c r="BO71">
        <f>Services!AW110</f>
        <v>40810</v>
      </c>
      <c r="BP71">
        <f>Services!BB110</f>
        <v>36859</v>
      </c>
      <c r="BR71" s="34">
        <f t="shared" si="60"/>
        <v>90.292665301698179</v>
      </c>
      <c r="BS71" s="34">
        <f t="shared" si="61"/>
        <v>102.15517241379311</v>
      </c>
      <c r="BT71" s="34">
        <f t="shared" si="62"/>
        <v>104.06168549087749</v>
      </c>
      <c r="BU71" s="34">
        <f t="shared" si="63"/>
        <v>110.74766355140187</v>
      </c>
      <c r="BV71" s="34">
        <f t="shared" si="64"/>
        <v>25.68922305764411</v>
      </c>
      <c r="BW71" s="34">
        <f t="shared" si="65"/>
        <v>94.634757698734788</v>
      </c>
      <c r="BX71" s="34">
        <f t="shared" si="66"/>
        <v>82.261164499717353</v>
      </c>
      <c r="BY71" s="34">
        <f t="shared" si="67"/>
        <v>94.64505206521487</v>
      </c>
      <c r="BZ71" s="34">
        <f t="shared" si="68"/>
        <v>86.191656533532878</v>
      </c>
    </row>
    <row r="72" spans="1:78" x14ac:dyDescent="0.35">
      <c r="A72" s="101" t="s">
        <v>567</v>
      </c>
      <c r="B72">
        <f>'Total goods'!B111</f>
        <v>146177</v>
      </c>
      <c r="C72">
        <f>Durables!B111</f>
        <v>32251</v>
      </c>
      <c r="D72">
        <f>'Semi-durables'!B111</f>
        <v>29965</v>
      </c>
      <c r="E72">
        <f>'Non-durables'!B111</f>
        <v>84352</v>
      </c>
      <c r="F72">
        <f>Services!B111</f>
        <v>211179</v>
      </c>
      <c r="H72" s="34">
        <f t="shared" si="37"/>
        <v>85.326445436768523</v>
      </c>
      <c r="I72" s="34">
        <f t="shared" si="38"/>
        <v>85.675955688972721</v>
      </c>
      <c r="J72" s="34">
        <f t="shared" si="39"/>
        <v>76.21191311867338</v>
      </c>
      <c r="K72" s="34">
        <f t="shared" si="40"/>
        <v>89.39475831664177</v>
      </c>
      <c r="L72" s="34">
        <f t="shared" si="41"/>
        <v>89.968303468725239</v>
      </c>
      <c r="O72">
        <f>Durables!C111</f>
        <v>8049</v>
      </c>
      <c r="P72">
        <f>Durables!H111</f>
        <v>882</v>
      </c>
      <c r="Q72">
        <f>Durables!J111</f>
        <v>16263</v>
      </c>
      <c r="R72">
        <f>Durables!O111</f>
        <v>1350</v>
      </c>
      <c r="S72">
        <f>Durables!Q111</f>
        <v>3653</v>
      </c>
      <c r="U72" s="34">
        <f t="shared" si="42"/>
        <v>65.021407221908063</v>
      </c>
      <c r="V72" s="34">
        <f t="shared" si="43"/>
        <v>85.964912280701753</v>
      </c>
      <c r="W72" s="34">
        <f t="shared" si="44"/>
        <v>110.25015253203172</v>
      </c>
      <c r="X72" s="34">
        <f t="shared" si="45"/>
        <v>92.087312414733972</v>
      </c>
      <c r="Y72" s="34">
        <f t="shared" si="46"/>
        <v>70.562101603245125</v>
      </c>
      <c r="AB72">
        <f>'Semi-durables'!C111</f>
        <v>16874</v>
      </c>
      <c r="AC72">
        <f>'Semi-durables'!H111</f>
        <v>4245</v>
      </c>
      <c r="AD72">
        <f>'Semi-durables'!M111</f>
        <v>1407</v>
      </c>
      <c r="AE72">
        <f>'Semi-durables'!O111</f>
        <v>6168</v>
      </c>
      <c r="AF72">
        <f>'Semi-durables'!T111</f>
        <v>1219</v>
      </c>
      <c r="AH72" s="34">
        <f t="shared" si="47"/>
        <v>82.111922141119223</v>
      </c>
      <c r="AI72" s="34">
        <f t="shared" si="48"/>
        <v>63.263785394932938</v>
      </c>
      <c r="AJ72" s="34">
        <f t="shared" si="49"/>
        <v>108.39753466872111</v>
      </c>
      <c r="AK72" s="34">
        <f t="shared" si="50"/>
        <v>66.415419403467212</v>
      </c>
      <c r="AL72" s="34">
        <f t="shared" si="51"/>
        <v>83.665065202470828</v>
      </c>
      <c r="AO72">
        <f>'Non-durables'!C111</f>
        <v>30135</v>
      </c>
      <c r="AP72">
        <f>'Non-durables'!Q111</f>
        <v>13972</v>
      </c>
      <c r="AQ72">
        <f>'Non-durables'!X111</f>
        <v>16723</v>
      </c>
      <c r="AR72">
        <f>'Non-durables'!AG111</f>
        <v>1527</v>
      </c>
      <c r="AS72">
        <f>'Non-durables'!AI111</f>
        <v>2136</v>
      </c>
      <c r="AT72">
        <f>'Non-durables'!AL111</f>
        <v>9287</v>
      </c>
      <c r="AU72">
        <f>'Non-durables'!AN111</f>
        <v>7025</v>
      </c>
      <c r="AV72">
        <f>'Non-durables'!AT111</f>
        <v>4463</v>
      </c>
      <c r="AX72" s="34">
        <f t="shared" si="52"/>
        <v>83.021103091079397</v>
      </c>
      <c r="AY72" s="34">
        <f t="shared" si="53"/>
        <v>109.13067249863313</v>
      </c>
      <c r="AZ72" s="34">
        <f t="shared" si="54"/>
        <v>100.05983366241848</v>
      </c>
      <c r="BA72" s="34">
        <f t="shared" si="55"/>
        <v>69.409090909090907</v>
      </c>
      <c r="BB72" s="34">
        <f t="shared" si="56"/>
        <v>85.508406725380297</v>
      </c>
      <c r="BC72" s="34">
        <f t="shared" si="57"/>
        <v>99.849478550693476</v>
      </c>
      <c r="BD72" s="34">
        <f t="shared" si="58"/>
        <v>88.03258145363408</v>
      </c>
      <c r="BE72" s="34">
        <f t="shared" si="59"/>
        <v>64.077530509691314</v>
      </c>
      <c r="BH72">
        <f>Services!F111</f>
        <v>83336</v>
      </c>
      <c r="BI72">
        <f>Services!Q111</f>
        <v>1274</v>
      </c>
      <c r="BJ72">
        <f>Services!U111</f>
        <v>4758</v>
      </c>
      <c r="BK72">
        <f>Services!AA111</f>
        <v>23487</v>
      </c>
      <c r="BL72">
        <f>Services!AJ111</f>
        <v>1492</v>
      </c>
      <c r="BM72">
        <f>Services!AM111</f>
        <v>15869</v>
      </c>
      <c r="BN72">
        <f>Services!AV111</f>
        <v>7521</v>
      </c>
      <c r="BO72">
        <f>Services!AW111</f>
        <v>40762</v>
      </c>
      <c r="BP72">
        <f>Services!BB111</f>
        <v>37829</v>
      </c>
      <c r="BR72" s="34">
        <f t="shared" si="60"/>
        <v>91.244128628206681</v>
      </c>
      <c r="BS72" s="34">
        <f t="shared" si="61"/>
        <v>109.82758620689654</v>
      </c>
      <c r="BT72" s="34">
        <f t="shared" si="62"/>
        <v>103.34491746307559</v>
      </c>
      <c r="BU72" s="34">
        <f t="shared" si="63"/>
        <v>113.1467386068022</v>
      </c>
      <c r="BV72" s="34">
        <f t="shared" si="64"/>
        <v>26.709631220909419</v>
      </c>
      <c r="BW72" s="34">
        <f t="shared" si="65"/>
        <v>94.706373836237773</v>
      </c>
      <c r="BX72" s="34">
        <f t="shared" si="66"/>
        <v>85.031091011871112</v>
      </c>
      <c r="BY72" s="34">
        <f t="shared" si="67"/>
        <v>94.533732229411626</v>
      </c>
      <c r="BZ72" s="34">
        <f t="shared" si="68"/>
        <v>88.459919558507167</v>
      </c>
    </row>
    <row r="73" spans="1:78" x14ac:dyDescent="0.35">
      <c r="A73" s="101" t="s">
        <v>568</v>
      </c>
      <c r="B73">
        <f>'Total goods'!B112</f>
        <v>147321</v>
      </c>
      <c r="C73">
        <f>Durables!B112</f>
        <v>33188</v>
      </c>
      <c r="D73">
        <f>'Semi-durables'!B112</f>
        <v>30397</v>
      </c>
      <c r="E73">
        <f>'Non-durables'!B112</f>
        <v>84070</v>
      </c>
      <c r="F73">
        <f>Services!B112</f>
        <v>213491</v>
      </c>
      <c r="H73" s="34">
        <f t="shared" si="37"/>
        <v>85.994221171526135</v>
      </c>
      <c r="I73" s="34">
        <f t="shared" si="38"/>
        <v>88.1651303031108</v>
      </c>
      <c r="J73" s="34">
        <f t="shared" si="39"/>
        <v>77.31064652322091</v>
      </c>
      <c r="K73" s="34">
        <f t="shared" si="40"/>
        <v>89.095899702201166</v>
      </c>
      <c r="L73" s="34">
        <f t="shared" si="41"/>
        <v>90.953281698661414</v>
      </c>
      <c r="O73">
        <f>Durables!C112</f>
        <v>8087</v>
      </c>
      <c r="P73">
        <f>Durables!H112</f>
        <v>850</v>
      </c>
      <c r="Q73">
        <f>Durables!J112</f>
        <v>17127</v>
      </c>
      <c r="R73">
        <f>Durables!O112</f>
        <v>1292</v>
      </c>
      <c r="S73">
        <f>Durables!Q112</f>
        <v>3638</v>
      </c>
      <c r="U73" s="34">
        <f t="shared" si="42"/>
        <v>65.328378705872851</v>
      </c>
      <c r="V73" s="34">
        <f t="shared" si="43"/>
        <v>82.846003898635473</v>
      </c>
      <c r="W73" s="34">
        <f t="shared" si="44"/>
        <v>116.10738255033557</v>
      </c>
      <c r="X73" s="34">
        <f t="shared" si="45"/>
        <v>88.130968622100951</v>
      </c>
      <c r="Y73" s="34">
        <f t="shared" si="46"/>
        <v>70.272358508788884</v>
      </c>
      <c r="AB73">
        <f>'Semi-durables'!C112</f>
        <v>17239</v>
      </c>
      <c r="AC73">
        <f>'Semi-durables'!H112</f>
        <v>4353</v>
      </c>
      <c r="AD73">
        <f>'Semi-durables'!M112</f>
        <v>1476</v>
      </c>
      <c r="AE73">
        <f>'Semi-durables'!O112</f>
        <v>6163</v>
      </c>
      <c r="AF73">
        <f>'Semi-durables'!T112</f>
        <v>1121</v>
      </c>
      <c r="AH73" s="34">
        <f t="shared" si="47"/>
        <v>83.888077858880777</v>
      </c>
      <c r="AI73" s="34">
        <f t="shared" si="48"/>
        <v>64.873323397913566</v>
      </c>
      <c r="AJ73" s="34">
        <f t="shared" si="49"/>
        <v>113.71340523882895</v>
      </c>
      <c r="AK73" s="34">
        <f t="shared" si="50"/>
        <v>66.361580704210184</v>
      </c>
      <c r="AL73" s="34">
        <f t="shared" si="51"/>
        <v>76.938915579958817</v>
      </c>
      <c r="AO73">
        <f>'Non-durables'!C112</f>
        <v>30053</v>
      </c>
      <c r="AP73">
        <f>'Non-durables'!Q112</f>
        <v>13445</v>
      </c>
      <c r="AQ73">
        <f>'Non-durables'!X112</f>
        <v>16213</v>
      </c>
      <c r="AR73">
        <f>'Non-durables'!AG112</f>
        <v>1558</v>
      </c>
      <c r="AS73">
        <f>'Non-durables'!AI112</f>
        <v>2237</v>
      </c>
      <c r="AT73">
        <f>'Non-durables'!AL112</f>
        <v>9421</v>
      </c>
      <c r="AU73">
        <f>'Non-durables'!AN112</f>
        <v>7184</v>
      </c>
      <c r="AV73">
        <f>'Non-durables'!AT112</f>
        <v>4668</v>
      </c>
      <c r="AX73" s="34">
        <f t="shared" si="52"/>
        <v>82.795195327566262</v>
      </c>
      <c r="AY73" s="34">
        <f t="shared" si="53"/>
        <v>105.01444973834258</v>
      </c>
      <c r="AZ73" s="34">
        <f t="shared" si="54"/>
        <v>97.008316879076176</v>
      </c>
      <c r="BA73" s="34">
        <f t="shared" si="55"/>
        <v>70.818181818181813</v>
      </c>
      <c r="BB73" s="34">
        <f t="shared" si="56"/>
        <v>89.551641313050439</v>
      </c>
      <c r="BC73" s="34">
        <f t="shared" si="57"/>
        <v>101.29018385119879</v>
      </c>
      <c r="BD73" s="34">
        <f t="shared" si="58"/>
        <v>90.025062656641609</v>
      </c>
      <c r="BE73" s="34">
        <f t="shared" si="59"/>
        <v>67.020818377602296</v>
      </c>
      <c r="BH73">
        <f>Services!F112</f>
        <v>83883</v>
      </c>
      <c r="BI73">
        <f>Services!Q112</f>
        <v>1180</v>
      </c>
      <c r="BJ73">
        <f>Services!U112</f>
        <v>4685</v>
      </c>
      <c r="BK73">
        <f>Services!AA112</f>
        <v>23690</v>
      </c>
      <c r="BL73">
        <f>Services!AJ112</f>
        <v>1638</v>
      </c>
      <c r="BM73">
        <f>Services!AM112</f>
        <v>16046</v>
      </c>
      <c r="BN73">
        <f>Services!AV112</f>
        <v>7759</v>
      </c>
      <c r="BO73">
        <f>Services!AW112</f>
        <v>40849</v>
      </c>
      <c r="BP73">
        <f>Services!BB112</f>
        <v>38534</v>
      </c>
      <c r="BR73" s="34">
        <f t="shared" si="60"/>
        <v>91.84303592348877</v>
      </c>
      <c r="BS73" s="34">
        <f t="shared" si="61"/>
        <v>101.72413793103448</v>
      </c>
      <c r="BT73" s="34">
        <f t="shared" si="62"/>
        <v>101.75933970460468</v>
      </c>
      <c r="BU73" s="34">
        <f t="shared" si="63"/>
        <v>114.12467482416417</v>
      </c>
      <c r="BV73" s="34">
        <f t="shared" si="64"/>
        <v>29.323308270676691</v>
      </c>
      <c r="BW73" s="34">
        <f t="shared" si="65"/>
        <v>95.762711864406782</v>
      </c>
      <c r="BX73" s="34">
        <f t="shared" si="66"/>
        <v>87.721876766534763</v>
      </c>
      <c r="BY73" s="34">
        <f t="shared" si="67"/>
        <v>94.73549943180501</v>
      </c>
      <c r="BZ73" s="34">
        <f t="shared" si="68"/>
        <v>90.108502478720425</v>
      </c>
    </row>
    <row r="74" spans="1:78" x14ac:dyDescent="0.35">
      <c r="A74" s="101" t="s">
        <v>569</v>
      </c>
      <c r="B74">
        <f>'Total goods'!B113</f>
        <v>149414</v>
      </c>
      <c r="C74">
        <f>Durables!B113</f>
        <v>33839</v>
      </c>
      <c r="D74">
        <f>'Semi-durables'!B113</f>
        <v>30667</v>
      </c>
      <c r="E74">
        <f>'Non-durables'!B113</f>
        <v>85260</v>
      </c>
      <c r="F74">
        <f>Services!B113</f>
        <v>217560</v>
      </c>
      <c r="H74" s="34">
        <f t="shared" si="37"/>
        <v>87.215947231707673</v>
      </c>
      <c r="I74" s="34">
        <f t="shared" si="38"/>
        <v>89.894535504609081</v>
      </c>
      <c r="J74" s="34">
        <f t="shared" si="39"/>
        <v>77.997354901063133</v>
      </c>
      <c r="K74" s="34">
        <f t="shared" si="40"/>
        <v>90.357040663847641</v>
      </c>
      <c r="L74" s="34">
        <f t="shared" si="41"/>
        <v>92.686792259911556</v>
      </c>
      <c r="O74">
        <f>Durables!C113</f>
        <v>8141</v>
      </c>
      <c r="P74">
        <f>Durables!H113</f>
        <v>791</v>
      </c>
      <c r="Q74">
        <f>Durables!J113</f>
        <v>17513</v>
      </c>
      <c r="R74">
        <f>Durables!O113</f>
        <v>1283</v>
      </c>
      <c r="S74">
        <f>Durables!Q113</f>
        <v>3788</v>
      </c>
      <c r="U74" s="34">
        <f t="shared" si="42"/>
        <v>65.76460134098069</v>
      </c>
      <c r="V74" s="34">
        <f t="shared" si="43"/>
        <v>77.095516569200782</v>
      </c>
      <c r="W74" s="34">
        <f t="shared" si="44"/>
        <v>118.72415429462409</v>
      </c>
      <c r="X74" s="34">
        <f t="shared" si="45"/>
        <v>87.517053206002728</v>
      </c>
      <c r="Y74" s="34">
        <f t="shared" si="46"/>
        <v>73.16978945335137</v>
      </c>
      <c r="AB74">
        <f>'Semi-durables'!C113</f>
        <v>17301</v>
      </c>
      <c r="AC74">
        <f>'Semi-durables'!H113</f>
        <v>4563</v>
      </c>
      <c r="AD74">
        <f>'Semi-durables'!M113</f>
        <v>1603</v>
      </c>
      <c r="AE74">
        <f>'Semi-durables'!O113</f>
        <v>6175</v>
      </c>
      <c r="AF74">
        <f>'Semi-durables'!T113</f>
        <v>992</v>
      </c>
      <c r="AH74" s="34">
        <f t="shared" si="47"/>
        <v>84.189781021897815</v>
      </c>
      <c r="AI74" s="34">
        <f t="shared" si="48"/>
        <v>68.002980625931443</v>
      </c>
      <c r="AJ74" s="34">
        <f t="shared" si="49"/>
        <v>123.49768875192603</v>
      </c>
      <c r="AK74" s="34">
        <f t="shared" si="50"/>
        <v>66.490793582427045</v>
      </c>
      <c r="AL74" s="34">
        <f t="shared" si="51"/>
        <v>68.085106382978722</v>
      </c>
      <c r="AO74">
        <f>'Non-durables'!C113</f>
        <v>30404</v>
      </c>
      <c r="AP74">
        <f>'Non-durables'!Q113</f>
        <v>13577</v>
      </c>
      <c r="AQ74">
        <f>'Non-durables'!X113</f>
        <v>16509</v>
      </c>
      <c r="AR74">
        <f>'Non-durables'!AG113</f>
        <v>1621</v>
      </c>
      <c r="AS74">
        <f>'Non-durables'!AI113</f>
        <v>2246</v>
      </c>
      <c r="AT74">
        <f>'Non-durables'!AL113</f>
        <v>9508</v>
      </c>
      <c r="AU74">
        <f>'Non-durables'!AN113</f>
        <v>7330</v>
      </c>
      <c r="AV74">
        <f>'Non-durables'!AT113</f>
        <v>4805</v>
      </c>
      <c r="AX74" s="34">
        <f t="shared" si="52"/>
        <v>83.762190754311533</v>
      </c>
      <c r="AY74" s="34">
        <f t="shared" si="53"/>
        <v>106.0454580957588</v>
      </c>
      <c r="AZ74" s="34">
        <f t="shared" si="54"/>
        <v>98.77939328666308</v>
      </c>
      <c r="BA74" s="34">
        <f t="shared" si="55"/>
        <v>73.681818181818187</v>
      </c>
      <c r="BB74" s="34">
        <f t="shared" si="56"/>
        <v>89.911929543634912</v>
      </c>
      <c r="BC74" s="34">
        <f t="shared" si="57"/>
        <v>102.22556714331792</v>
      </c>
      <c r="BD74" s="34">
        <f t="shared" si="58"/>
        <v>91.854636591478695</v>
      </c>
      <c r="BE74" s="34">
        <f t="shared" si="59"/>
        <v>68.987796123474524</v>
      </c>
      <c r="BH74">
        <f>Services!F113</f>
        <v>84428</v>
      </c>
      <c r="BI74">
        <f>Services!Q113</f>
        <v>1228</v>
      </c>
      <c r="BJ74">
        <f>Services!U113</f>
        <v>4597</v>
      </c>
      <c r="BK74">
        <f>Services!AA113</f>
        <v>24100</v>
      </c>
      <c r="BL74">
        <f>Services!AJ113</f>
        <v>1773</v>
      </c>
      <c r="BM74">
        <f>Services!AM113</f>
        <v>17171</v>
      </c>
      <c r="BN74">
        <f>Services!AV113</f>
        <v>7983</v>
      </c>
      <c r="BO74">
        <f>Services!AW113</f>
        <v>41060</v>
      </c>
      <c r="BP74">
        <f>Services!BB113</f>
        <v>39811</v>
      </c>
      <c r="BR74" s="34">
        <f t="shared" si="60"/>
        <v>92.439753429757047</v>
      </c>
      <c r="BS74" s="34">
        <f t="shared" si="61"/>
        <v>105.86206896551724</v>
      </c>
      <c r="BT74" s="34">
        <f t="shared" si="62"/>
        <v>99.847958297132934</v>
      </c>
      <c r="BU74" s="34">
        <f t="shared" si="63"/>
        <v>116.09981693804798</v>
      </c>
      <c r="BV74" s="34">
        <f t="shared" si="64"/>
        <v>31.740064446831362</v>
      </c>
      <c r="BW74" s="34">
        <f t="shared" si="65"/>
        <v>102.47672475531154</v>
      </c>
      <c r="BX74" s="34">
        <f t="shared" si="66"/>
        <v>90.254381006218196</v>
      </c>
      <c r="BY74" s="34">
        <f t="shared" si="67"/>
        <v>95.22484287669009</v>
      </c>
      <c r="BZ74" s="34">
        <f t="shared" si="68"/>
        <v>93.094659059021609</v>
      </c>
    </row>
    <row r="75" spans="1:78" x14ac:dyDescent="0.35">
      <c r="A75" s="101" t="s">
        <v>570</v>
      </c>
      <c r="B75">
        <f>'Total goods'!B114</f>
        <v>152028</v>
      </c>
      <c r="C75">
        <f>Durables!B114</f>
        <v>35744</v>
      </c>
      <c r="D75">
        <f>'Semi-durables'!B114</f>
        <v>31013</v>
      </c>
      <c r="E75">
        <f>'Non-durables'!B114</f>
        <v>85567</v>
      </c>
      <c r="F75">
        <f>Services!B114</f>
        <v>216580</v>
      </c>
      <c r="H75" s="34">
        <f t="shared" si="37"/>
        <v>88.741791436826901</v>
      </c>
      <c r="I75" s="34">
        <f t="shared" si="38"/>
        <v>94.955237361528049</v>
      </c>
      <c r="J75" s="34">
        <f t="shared" si="39"/>
        <v>78.87735897044611</v>
      </c>
      <c r="K75" s="34">
        <f t="shared" si="40"/>
        <v>90.682393836306019</v>
      </c>
      <c r="L75" s="34">
        <f t="shared" si="41"/>
        <v>92.269284186668713</v>
      </c>
      <c r="O75">
        <f>Durables!C114</f>
        <v>8535</v>
      </c>
      <c r="P75">
        <f>Durables!H114</f>
        <v>819</v>
      </c>
      <c r="Q75">
        <f>Durables!J114</f>
        <v>18424</v>
      </c>
      <c r="R75">
        <f>Durables!O114</f>
        <v>1281</v>
      </c>
      <c r="S75">
        <f>Durables!Q114</f>
        <v>4047</v>
      </c>
      <c r="U75" s="34">
        <f t="shared" si="42"/>
        <v>68.947410937878658</v>
      </c>
      <c r="V75" s="34">
        <f t="shared" si="43"/>
        <v>79.824561403508781</v>
      </c>
      <c r="W75" s="34">
        <f t="shared" si="44"/>
        <v>124.90000677920141</v>
      </c>
      <c r="X75" s="34">
        <f t="shared" si="45"/>
        <v>87.380627557980901</v>
      </c>
      <c r="Y75" s="34">
        <f t="shared" si="46"/>
        <v>78.172686884295928</v>
      </c>
      <c r="AB75">
        <f>'Semi-durables'!C114</f>
        <v>17596</v>
      </c>
      <c r="AC75">
        <f>'Semi-durables'!H114</f>
        <v>4443</v>
      </c>
      <c r="AD75">
        <f>'Semi-durables'!M114</f>
        <v>1498</v>
      </c>
      <c r="AE75">
        <f>'Semi-durables'!O114</f>
        <v>6404</v>
      </c>
      <c r="AF75">
        <f>'Semi-durables'!T114</f>
        <v>1038</v>
      </c>
      <c r="AH75" s="34">
        <f t="shared" si="47"/>
        <v>85.62530413625305</v>
      </c>
      <c r="AI75" s="34">
        <f t="shared" si="48"/>
        <v>66.214605067064085</v>
      </c>
      <c r="AJ75" s="34">
        <f t="shared" si="49"/>
        <v>115.40832049306627</v>
      </c>
      <c r="AK75" s="34">
        <f t="shared" si="50"/>
        <v>68.956606008398836</v>
      </c>
      <c r="AL75" s="34">
        <f t="shared" si="51"/>
        <v>71.242278654770075</v>
      </c>
      <c r="AO75">
        <f>'Non-durables'!C114</f>
        <v>30712</v>
      </c>
      <c r="AP75">
        <f>'Non-durables'!Q114</f>
        <v>13423</v>
      </c>
      <c r="AQ75">
        <f>'Non-durables'!X114</f>
        <v>16389</v>
      </c>
      <c r="AR75">
        <f>'Non-durables'!AG114</f>
        <v>1636</v>
      </c>
      <c r="AS75">
        <f>'Non-durables'!AI114</f>
        <v>2231</v>
      </c>
      <c r="AT75">
        <f>'Non-durables'!AL114</f>
        <v>9593</v>
      </c>
      <c r="AU75">
        <f>'Non-durables'!AN114</f>
        <v>7303</v>
      </c>
      <c r="AV75">
        <f>'Non-durables'!AT114</f>
        <v>4935</v>
      </c>
      <c r="AX75" s="34">
        <f t="shared" si="52"/>
        <v>84.610722353848701</v>
      </c>
      <c r="AY75" s="34">
        <f t="shared" si="53"/>
        <v>104.84261501210655</v>
      </c>
      <c r="AZ75" s="34">
        <f t="shared" si="54"/>
        <v>98.061389337641359</v>
      </c>
      <c r="BA75" s="34">
        <f t="shared" si="55"/>
        <v>74.36363636363636</v>
      </c>
      <c r="BB75" s="34">
        <f t="shared" si="56"/>
        <v>89.311449159327466</v>
      </c>
      <c r="BC75" s="34">
        <f t="shared" si="57"/>
        <v>103.1394473712504</v>
      </c>
      <c r="BD75" s="34">
        <f t="shared" si="58"/>
        <v>91.516290726817033</v>
      </c>
      <c r="BE75" s="34">
        <f t="shared" si="59"/>
        <v>70.854271356783912</v>
      </c>
      <c r="BH75">
        <f>Services!F114</f>
        <v>84487</v>
      </c>
      <c r="BI75">
        <f>Services!Q114</f>
        <v>1324</v>
      </c>
      <c r="BJ75">
        <f>Services!U114</f>
        <v>4576</v>
      </c>
      <c r="BK75">
        <f>Services!AA114</f>
        <v>24521</v>
      </c>
      <c r="BL75">
        <f>Services!AJ114</f>
        <v>1867</v>
      </c>
      <c r="BM75">
        <f>Services!AM114</f>
        <v>16624</v>
      </c>
      <c r="BN75">
        <f>Services!AV114</f>
        <v>7559</v>
      </c>
      <c r="BO75">
        <f>Services!AW114</f>
        <v>41238</v>
      </c>
      <c r="BP75">
        <f>Services!BB114</f>
        <v>38426</v>
      </c>
      <c r="BR75" s="34">
        <f t="shared" si="60"/>
        <v>92.504352205664986</v>
      </c>
      <c r="BS75" s="34">
        <f t="shared" si="61"/>
        <v>114.13793103448275</v>
      </c>
      <c r="BT75" s="34">
        <f t="shared" si="62"/>
        <v>99.391833188531706</v>
      </c>
      <c r="BU75" s="34">
        <f t="shared" si="63"/>
        <v>118.12795066962134</v>
      </c>
      <c r="BV75" s="34">
        <f t="shared" si="64"/>
        <v>33.42284282133906</v>
      </c>
      <c r="BW75" s="34">
        <f t="shared" si="65"/>
        <v>99.212222487467173</v>
      </c>
      <c r="BX75" s="34">
        <f t="shared" si="66"/>
        <v>85.46071226681741</v>
      </c>
      <c r="BY75" s="34">
        <f t="shared" si="67"/>
        <v>95.637653934460445</v>
      </c>
      <c r="BZ75" s="34">
        <f t="shared" si="68"/>
        <v>89.855953605836675</v>
      </c>
    </row>
    <row r="76" spans="1:78" x14ac:dyDescent="0.35">
      <c r="A76" s="101" t="s">
        <v>571</v>
      </c>
      <c r="B76">
        <f>'Total goods'!B115</f>
        <v>152774</v>
      </c>
      <c r="C76">
        <f>Durables!B115</f>
        <v>35793</v>
      </c>
      <c r="D76">
        <f>'Semi-durables'!B115</f>
        <v>31067</v>
      </c>
      <c r="E76">
        <f>'Non-durables'!B115</f>
        <v>86233</v>
      </c>
      <c r="F76">
        <f>Services!B115</f>
        <v>217654</v>
      </c>
      <c r="H76" s="34">
        <f t="shared" si="37"/>
        <v>89.177246592534217</v>
      </c>
      <c r="I76" s="34">
        <f t="shared" si="38"/>
        <v>95.085407645511779</v>
      </c>
      <c r="J76" s="34">
        <f t="shared" si="39"/>
        <v>79.014700646014546</v>
      </c>
      <c r="K76" s="34">
        <f t="shared" si="40"/>
        <v>91.38820886189977</v>
      </c>
      <c r="L76" s="34">
        <f t="shared" si="41"/>
        <v>92.726838952651178</v>
      </c>
      <c r="O76">
        <f>Durables!C115</f>
        <v>8847</v>
      </c>
      <c r="P76">
        <f>Durables!H115</f>
        <v>941</v>
      </c>
      <c r="Q76">
        <f>Durables!J115</f>
        <v>17747</v>
      </c>
      <c r="R76">
        <f>Durables!O115</f>
        <v>1315</v>
      </c>
      <c r="S76">
        <f>Durables!Q115</f>
        <v>4092</v>
      </c>
      <c r="U76" s="34">
        <f t="shared" si="42"/>
        <v>71.467808385168425</v>
      </c>
      <c r="V76" s="34">
        <f t="shared" si="43"/>
        <v>91.715399610136444</v>
      </c>
      <c r="W76" s="34">
        <f t="shared" si="44"/>
        <v>120.3104874245814</v>
      </c>
      <c r="X76" s="34">
        <f t="shared" si="45"/>
        <v>89.69986357435198</v>
      </c>
      <c r="Y76" s="34">
        <f t="shared" si="46"/>
        <v>79.041916167664667</v>
      </c>
      <c r="AB76">
        <f>'Semi-durables'!C115</f>
        <v>17657</v>
      </c>
      <c r="AC76">
        <f>'Semi-durables'!H115</f>
        <v>4503</v>
      </c>
      <c r="AD76">
        <f>'Semi-durables'!M115</f>
        <v>1455</v>
      </c>
      <c r="AE76">
        <f>'Semi-durables'!O115</f>
        <v>6419</v>
      </c>
      <c r="AF76">
        <f>'Semi-durables'!T115</f>
        <v>998</v>
      </c>
      <c r="AH76" s="34">
        <f t="shared" si="47"/>
        <v>85.922141119221408</v>
      </c>
      <c r="AI76" s="34">
        <f t="shared" si="48"/>
        <v>67.108792846497764</v>
      </c>
      <c r="AJ76" s="34">
        <f t="shared" si="49"/>
        <v>112.09553158705701</v>
      </c>
      <c r="AK76" s="34">
        <f t="shared" si="50"/>
        <v>69.118122106169906</v>
      </c>
      <c r="AL76" s="34">
        <f t="shared" si="51"/>
        <v>68.496911461908027</v>
      </c>
      <c r="AO76">
        <f>'Non-durables'!C115</f>
        <v>30506</v>
      </c>
      <c r="AP76">
        <f>'Non-durables'!Q115</f>
        <v>13343</v>
      </c>
      <c r="AQ76">
        <f>'Non-durables'!X115</f>
        <v>17524</v>
      </c>
      <c r="AR76">
        <f>'Non-durables'!AG115</f>
        <v>1695</v>
      </c>
      <c r="AS76">
        <f>'Non-durables'!AI115</f>
        <v>2248</v>
      </c>
      <c r="AT76">
        <f>'Non-durables'!AL115</f>
        <v>9345</v>
      </c>
      <c r="AU76">
        <f>'Non-durables'!AN115</f>
        <v>7238</v>
      </c>
      <c r="AV76">
        <f>'Non-durables'!AT115</f>
        <v>5272</v>
      </c>
      <c r="AX76" s="34">
        <f t="shared" si="52"/>
        <v>84.043197972340081</v>
      </c>
      <c r="AY76" s="34">
        <f t="shared" si="53"/>
        <v>104.21776146215731</v>
      </c>
      <c r="AZ76" s="34">
        <f t="shared" si="54"/>
        <v>104.85251002213845</v>
      </c>
      <c r="BA76" s="34">
        <f t="shared" si="55"/>
        <v>77.045454545454547</v>
      </c>
      <c r="BB76" s="34">
        <f t="shared" si="56"/>
        <v>89.991993594875893</v>
      </c>
      <c r="BC76" s="34">
        <f t="shared" si="57"/>
        <v>100.47306741210622</v>
      </c>
      <c r="BD76" s="34">
        <f t="shared" si="58"/>
        <v>90.701754385964918</v>
      </c>
      <c r="BE76" s="34">
        <f t="shared" si="59"/>
        <v>75.692749461593678</v>
      </c>
      <c r="BH76">
        <f>Services!F115</f>
        <v>84902</v>
      </c>
      <c r="BI76">
        <f>Services!Q115</f>
        <v>1269</v>
      </c>
      <c r="BJ76">
        <f>Services!U115</f>
        <v>4668</v>
      </c>
      <c r="BK76">
        <f>Services!AA115</f>
        <v>24652</v>
      </c>
      <c r="BL76">
        <f>Services!AJ115</f>
        <v>1943</v>
      </c>
      <c r="BM76">
        <f>Services!AM115</f>
        <v>16769</v>
      </c>
      <c r="BN76">
        <f>Services!AV115</f>
        <v>7747</v>
      </c>
      <c r="BO76">
        <f>Services!AW115</f>
        <v>42172</v>
      </c>
      <c r="BP76">
        <f>Services!BB115</f>
        <v>37483</v>
      </c>
      <c r="BR76" s="34">
        <f t="shared" si="60"/>
        <v>92.958733426034399</v>
      </c>
      <c r="BS76" s="34">
        <f t="shared" si="61"/>
        <v>109.39655172413794</v>
      </c>
      <c r="BT76" s="34">
        <f t="shared" si="62"/>
        <v>101.39009556907037</v>
      </c>
      <c r="BU76" s="34">
        <f t="shared" si="63"/>
        <v>118.75903266210616</v>
      </c>
      <c r="BV76" s="34">
        <f t="shared" si="64"/>
        <v>34.783387039026138</v>
      </c>
      <c r="BW76" s="34">
        <f t="shared" si="65"/>
        <v>100.07758414896158</v>
      </c>
      <c r="BX76" s="34">
        <f t="shared" si="66"/>
        <v>87.586206896551715</v>
      </c>
      <c r="BY76" s="34">
        <f t="shared" si="67"/>
        <v>97.803752406131878</v>
      </c>
      <c r="BZ76" s="34">
        <f t="shared" si="68"/>
        <v>87.650827799083345</v>
      </c>
    </row>
    <row r="77" spans="1:78" x14ac:dyDescent="0.35">
      <c r="A77" s="101" t="s">
        <v>572</v>
      </c>
      <c r="B77">
        <f>'Total goods'!B116</f>
        <v>153958</v>
      </c>
      <c r="C77">
        <f>Durables!B116</f>
        <v>36472</v>
      </c>
      <c r="D77">
        <f>'Semi-durables'!B116</f>
        <v>31966</v>
      </c>
      <c r="E77">
        <f>'Non-durables'!B116</f>
        <v>85733</v>
      </c>
      <c r="F77">
        <f>Services!B116</f>
        <v>217991</v>
      </c>
      <c r="H77" s="34">
        <f t="shared" si="37"/>
        <v>89.868371129206437</v>
      </c>
      <c r="I77" s="34">
        <f t="shared" si="38"/>
        <v>96.889195866429347</v>
      </c>
      <c r="J77" s="34">
        <f t="shared" si="39"/>
        <v>81.301185207792869</v>
      </c>
      <c r="K77" s="34">
        <f t="shared" si="40"/>
        <v>90.858317701544095</v>
      </c>
      <c r="L77" s="34">
        <f t="shared" si="41"/>
        <v>92.870410606409166</v>
      </c>
      <c r="O77">
        <f>Durables!C116</f>
        <v>9020</v>
      </c>
      <c r="P77">
        <f>Durables!H116</f>
        <v>879</v>
      </c>
      <c r="Q77">
        <f>Durables!J116</f>
        <v>17791</v>
      </c>
      <c r="R77">
        <f>Durables!O116</f>
        <v>1338</v>
      </c>
      <c r="S77">
        <f>Durables!Q116</f>
        <v>4500</v>
      </c>
      <c r="U77" s="34">
        <f t="shared" si="42"/>
        <v>72.865336456902824</v>
      </c>
      <c r="V77" s="34">
        <f t="shared" si="43"/>
        <v>85.672514619883046</v>
      </c>
      <c r="W77" s="34">
        <f t="shared" si="44"/>
        <v>120.60877228662463</v>
      </c>
      <c r="X77" s="34">
        <f t="shared" si="45"/>
        <v>91.268758526602994</v>
      </c>
      <c r="Y77" s="34">
        <f t="shared" si="46"/>
        <v>86.922928336874634</v>
      </c>
      <c r="AB77">
        <f>'Semi-durables'!C116</f>
        <v>18088</v>
      </c>
      <c r="AC77">
        <f>'Semi-durables'!H116</f>
        <v>4645</v>
      </c>
      <c r="AD77">
        <f>'Semi-durables'!M116</f>
        <v>1461</v>
      </c>
      <c r="AE77">
        <f>'Semi-durables'!O116</f>
        <v>6696</v>
      </c>
      <c r="AF77">
        <f>'Semi-durables'!T116</f>
        <v>1042</v>
      </c>
      <c r="AH77" s="34">
        <f t="shared" si="47"/>
        <v>88.019464720194648</v>
      </c>
      <c r="AI77" s="34">
        <f t="shared" si="48"/>
        <v>69.225037257824141</v>
      </c>
      <c r="AJ77" s="34">
        <f t="shared" si="49"/>
        <v>112.55778120184901</v>
      </c>
      <c r="AK77" s="34">
        <f t="shared" si="50"/>
        <v>72.100786045009158</v>
      </c>
      <c r="AL77" s="34">
        <f t="shared" si="51"/>
        <v>71.516815374056279</v>
      </c>
      <c r="AO77">
        <f>'Non-durables'!C116</f>
        <v>30594</v>
      </c>
      <c r="AP77">
        <f>'Non-durables'!Q116</f>
        <v>13045</v>
      </c>
      <c r="AQ77">
        <f>'Non-durables'!X116</f>
        <v>17403</v>
      </c>
      <c r="AR77">
        <f>'Non-durables'!AG116</f>
        <v>1656</v>
      </c>
      <c r="AS77">
        <f>'Non-durables'!AI116</f>
        <v>2134</v>
      </c>
      <c r="AT77">
        <f>'Non-durables'!AL116</f>
        <v>9357</v>
      </c>
      <c r="AU77">
        <f>'Non-durables'!AN116</f>
        <v>7137</v>
      </c>
      <c r="AV77">
        <f>'Non-durables'!AT116</f>
        <v>5324</v>
      </c>
      <c r="AX77" s="34">
        <f t="shared" si="52"/>
        <v>84.285635572207838</v>
      </c>
      <c r="AY77" s="34">
        <f t="shared" si="53"/>
        <v>101.89018198859642</v>
      </c>
      <c r="AZ77" s="34">
        <f t="shared" si="54"/>
        <v>104.12852270687489</v>
      </c>
      <c r="BA77" s="34">
        <f t="shared" si="55"/>
        <v>75.272727272727266</v>
      </c>
      <c r="BB77" s="34">
        <f t="shared" si="56"/>
        <v>85.428342674139316</v>
      </c>
      <c r="BC77" s="34">
        <f t="shared" si="57"/>
        <v>100.60208579722611</v>
      </c>
      <c r="BD77" s="34">
        <f t="shared" si="58"/>
        <v>89.436090225563916</v>
      </c>
      <c r="BE77" s="34">
        <f t="shared" si="59"/>
        <v>76.439339554917439</v>
      </c>
      <c r="BH77">
        <f>Services!F116</f>
        <v>85335</v>
      </c>
      <c r="BI77">
        <f>Services!Q116</f>
        <v>1183</v>
      </c>
      <c r="BJ77">
        <f>Services!U116</f>
        <v>4779</v>
      </c>
      <c r="BK77">
        <f>Services!AA116</f>
        <v>24592</v>
      </c>
      <c r="BL77">
        <f>Services!AJ116</f>
        <v>2023</v>
      </c>
      <c r="BM77">
        <f>Services!AM116</f>
        <v>16686</v>
      </c>
      <c r="BN77">
        <f>Services!AV116</f>
        <v>7942</v>
      </c>
      <c r="BO77">
        <f>Services!AW116</f>
        <v>41564</v>
      </c>
      <c r="BP77">
        <f>Services!BB116</f>
        <v>37630</v>
      </c>
      <c r="BR77" s="34">
        <f t="shared" si="60"/>
        <v>93.432822747528277</v>
      </c>
      <c r="BS77" s="34">
        <f t="shared" si="61"/>
        <v>101.98275862068967</v>
      </c>
      <c r="BT77" s="34">
        <f t="shared" si="62"/>
        <v>103.80104257167679</v>
      </c>
      <c r="BU77" s="34">
        <f t="shared" si="63"/>
        <v>118.46998747470853</v>
      </c>
      <c r="BV77" s="34">
        <f t="shared" si="64"/>
        <v>36.215538847117799</v>
      </c>
      <c r="BW77" s="34">
        <f t="shared" si="65"/>
        <v>99.582239197899256</v>
      </c>
      <c r="BX77" s="34">
        <f t="shared" si="66"/>
        <v>89.790842283776144</v>
      </c>
      <c r="BY77" s="34">
        <f t="shared" si="67"/>
        <v>96.393701152624132</v>
      </c>
      <c r="BZ77" s="34">
        <f t="shared" si="68"/>
        <v>87.994574876063979</v>
      </c>
    </row>
    <row r="78" spans="1:78" x14ac:dyDescent="0.35">
      <c r="A78" s="101" t="s">
        <v>573</v>
      </c>
      <c r="B78">
        <f>'Total goods'!B117</f>
        <v>156558</v>
      </c>
      <c r="C78">
        <f>Durables!B117</f>
        <v>37046</v>
      </c>
      <c r="D78">
        <f>'Semi-durables'!B117</f>
        <v>32613</v>
      </c>
      <c r="E78">
        <f>'Non-durables'!B117</f>
        <v>87101</v>
      </c>
      <c r="F78">
        <f>Services!B117</f>
        <v>218736</v>
      </c>
      <c r="H78" s="34">
        <f t="shared" si="37"/>
        <v>91.386043253655544</v>
      </c>
      <c r="I78" s="34">
        <f t="shared" si="38"/>
        <v>98.414047764524611</v>
      </c>
      <c r="J78" s="34">
        <f t="shared" si="39"/>
        <v>82.946741950251791</v>
      </c>
      <c r="K78" s="34">
        <f t="shared" si="40"/>
        <v>92.3080999162772</v>
      </c>
      <c r="L78" s="34">
        <f t="shared" si="41"/>
        <v>93.187801947802967</v>
      </c>
      <c r="O78">
        <f>Durables!C117</f>
        <v>9267</v>
      </c>
      <c r="P78">
        <f>Durables!H117</f>
        <v>878</v>
      </c>
      <c r="Q78">
        <f>Durables!J117</f>
        <v>18550</v>
      </c>
      <c r="R78">
        <f>Durables!O117</f>
        <v>1480</v>
      </c>
      <c r="S78">
        <f>Durables!Q117</f>
        <v>4212</v>
      </c>
      <c r="U78" s="34">
        <f t="shared" si="42"/>
        <v>74.860651102673884</v>
      </c>
      <c r="V78" s="34">
        <f t="shared" si="43"/>
        <v>85.575048732943472</v>
      </c>
      <c r="W78" s="34">
        <f t="shared" si="44"/>
        <v>125.75418615687073</v>
      </c>
      <c r="X78" s="34">
        <f t="shared" si="45"/>
        <v>100.95497953615281</v>
      </c>
      <c r="Y78" s="34">
        <f t="shared" si="46"/>
        <v>81.35986092331467</v>
      </c>
      <c r="AB78">
        <f>'Semi-durables'!C117</f>
        <v>18222</v>
      </c>
      <c r="AC78">
        <f>'Semi-durables'!H117</f>
        <v>4703</v>
      </c>
      <c r="AD78">
        <f>'Semi-durables'!M117</f>
        <v>1513</v>
      </c>
      <c r="AE78">
        <f>'Semi-durables'!O117</f>
        <v>7015</v>
      </c>
      <c r="AF78">
        <f>'Semi-durables'!T117</f>
        <v>1127</v>
      </c>
      <c r="AH78" s="34">
        <f t="shared" si="47"/>
        <v>88.671532846715323</v>
      </c>
      <c r="AI78" s="34">
        <f t="shared" si="48"/>
        <v>70.089418777943365</v>
      </c>
      <c r="AJ78" s="34">
        <f t="shared" si="49"/>
        <v>116.56394453004621</v>
      </c>
      <c r="AK78" s="34">
        <f t="shared" si="50"/>
        <v>75.535695057607413</v>
      </c>
      <c r="AL78" s="34">
        <f t="shared" si="51"/>
        <v>77.350720658888122</v>
      </c>
      <c r="AO78">
        <f>'Non-durables'!C117</f>
        <v>30990</v>
      </c>
      <c r="AP78">
        <f>'Non-durables'!Q117</f>
        <v>13029</v>
      </c>
      <c r="AQ78">
        <f>'Non-durables'!X117</f>
        <v>18335</v>
      </c>
      <c r="AR78">
        <f>'Non-durables'!AG117</f>
        <v>1692</v>
      </c>
      <c r="AS78">
        <f>'Non-durables'!AI117</f>
        <v>2123</v>
      </c>
      <c r="AT78">
        <f>'Non-durables'!AL117</f>
        <v>9411</v>
      </c>
      <c r="AU78">
        <f>'Non-durables'!AN117</f>
        <v>7260</v>
      </c>
      <c r="AV78">
        <f>'Non-durables'!AT117</f>
        <v>5391</v>
      </c>
      <c r="AX78" s="34">
        <f t="shared" si="52"/>
        <v>85.376604771612762</v>
      </c>
      <c r="AY78" s="34">
        <f t="shared" si="53"/>
        <v>101.76521127860659</v>
      </c>
      <c r="AZ78" s="34">
        <f t="shared" si="54"/>
        <v>109.70502004427691</v>
      </c>
      <c r="BA78" s="34">
        <f t="shared" si="55"/>
        <v>76.909090909090907</v>
      </c>
      <c r="BB78" s="34">
        <f t="shared" si="56"/>
        <v>84.987990392313847</v>
      </c>
      <c r="BC78" s="34">
        <f t="shared" si="57"/>
        <v>101.18266853026556</v>
      </c>
      <c r="BD78" s="34">
        <f t="shared" si="58"/>
        <v>90.977443609022558</v>
      </c>
      <c r="BE78" s="34">
        <f t="shared" si="59"/>
        <v>77.401292175161515</v>
      </c>
      <c r="BH78">
        <f>Services!F117</f>
        <v>85810</v>
      </c>
      <c r="BI78">
        <f>Services!Q117</f>
        <v>1103</v>
      </c>
      <c r="BJ78">
        <f>Services!U117</f>
        <v>4815</v>
      </c>
      <c r="BK78">
        <f>Services!AA117</f>
        <v>24784</v>
      </c>
      <c r="BL78">
        <f>Services!AJ117</f>
        <v>2044</v>
      </c>
      <c r="BM78">
        <f>Services!AM117</f>
        <v>16801</v>
      </c>
      <c r="BN78">
        <f>Services!AV117</f>
        <v>8108</v>
      </c>
      <c r="BO78">
        <f>Services!AW117</f>
        <v>41783</v>
      </c>
      <c r="BP78">
        <f>Services!BB117</f>
        <v>37209</v>
      </c>
      <c r="BR78" s="34">
        <f t="shared" si="60"/>
        <v>93.95289763831255</v>
      </c>
      <c r="BS78" s="34">
        <f t="shared" si="61"/>
        <v>95.08620689655173</v>
      </c>
      <c r="BT78" s="34">
        <f t="shared" si="62"/>
        <v>104.58297132927889</v>
      </c>
      <c r="BU78" s="34">
        <f t="shared" si="63"/>
        <v>119.39493207438096</v>
      </c>
      <c r="BV78" s="34">
        <f t="shared" si="64"/>
        <v>36.591478696741852</v>
      </c>
      <c r="BW78" s="34">
        <f t="shared" si="65"/>
        <v>100.2685605156362</v>
      </c>
      <c r="BX78" s="34">
        <f t="shared" si="66"/>
        <v>91.667608818541552</v>
      </c>
      <c r="BY78" s="34">
        <f t="shared" si="67"/>
        <v>96.901597903476429</v>
      </c>
      <c r="BZ78" s="34">
        <f t="shared" si="68"/>
        <v>87.010101954915356</v>
      </c>
    </row>
    <row r="79" spans="1:78" x14ac:dyDescent="0.35">
      <c r="A79" s="101" t="s">
        <v>574</v>
      </c>
      <c r="B79">
        <f>'Total goods'!B118</f>
        <v>155219</v>
      </c>
      <c r="C79">
        <f>Durables!B118</f>
        <v>36788</v>
      </c>
      <c r="D79">
        <f>'Semi-durables'!B118</f>
        <v>33439</v>
      </c>
      <c r="E79">
        <f>'Non-durables'!B118</f>
        <v>85047</v>
      </c>
      <c r="F79">
        <f>Services!B118</f>
        <v>219785</v>
      </c>
      <c r="H79" s="34">
        <f t="shared" si="37"/>
        <v>90.60444210956426</v>
      </c>
      <c r="I79" s="34">
        <f t="shared" si="38"/>
        <v>97.728661371304099</v>
      </c>
      <c r="J79" s="34">
        <f t="shared" si="39"/>
        <v>85.047560913576476</v>
      </c>
      <c r="K79" s="34">
        <f t="shared" si="40"/>
        <v>90.131307029536131</v>
      </c>
      <c r="L79" s="34">
        <f t="shared" si="41"/>
        <v>93.634705997631286</v>
      </c>
      <c r="O79">
        <f>Durables!C118</f>
        <v>9420</v>
      </c>
      <c r="P79">
        <f>Durables!H118</f>
        <v>898</v>
      </c>
      <c r="Q79">
        <f>Durables!J118</f>
        <v>18597</v>
      </c>
      <c r="R79">
        <f>Durables!O118</f>
        <v>1439</v>
      </c>
      <c r="S79">
        <f>Durables!Q118</f>
        <v>3965</v>
      </c>
      <c r="U79" s="34">
        <f t="shared" si="42"/>
        <v>76.096615235479433</v>
      </c>
      <c r="V79" s="34">
        <f t="shared" si="43"/>
        <v>87.524366471734893</v>
      </c>
      <c r="W79" s="34">
        <f t="shared" si="44"/>
        <v>126.07280862314418</v>
      </c>
      <c r="X79" s="34">
        <f t="shared" si="45"/>
        <v>98.158253751705317</v>
      </c>
      <c r="Y79" s="34">
        <f t="shared" si="46"/>
        <v>76.588757967935095</v>
      </c>
      <c r="AB79">
        <f>'Semi-durables'!C118</f>
        <v>18357</v>
      </c>
      <c r="AC79">
        <f>'Semi-durables'!H118</f>
        <v>4851</v>
      </c>
      <c r="AD79">
        <f>'Semi-durables'!M118</f>
        <v>1679</v>
      </c>
      <c r="AE79">
        <f>'Semi-durables'!O118</f>
        <v>7238</v>
      </c>
      <c r="AF79">
        <f>'Semi-durables'!T118</f>
        <v>1278</v>
      </c>
      <c r="AH79" s="34">
        <f t="shared" si="47"/>
        <v>89.328467153284677</v>
      </c>
      <c r="AI79" s="34">
        <f t="shared" si="48"/>
        <v>72.295081967213122</v>
      </c>
      <c r="AJ79" s="34">
        <f t="shared" si="49"/>
        <v>129.35285053929121</v>
      </c>
      <c r="AK79" s="34">
        <f t="shared" si="50"/>
        <v>77.936901044470758</v>
      </c>
      <c r="AL79" s="34">
        <f t="shared" si="51"/>
        <v>87.714481811942349</v>
      </c>
      <c r="AO79">
        <f>'Non-durables'!C118</f>
        <v>30935</v>
      </c>
      <c r="AP79">
        <f>'Non-durables'!Q118</f>
        <v>12946</v>
      </c>
      <c r="AQ79">
        <f>'Non-durables'!X118</f>
        <v>15724</v>
      </c>
      <c r="AR79">
        <f>'Non-durables'!AG118</f>
        <v>1743</v>
      </c>
      <c r="AS79">
        <f>'Non-durables'!AI118</f>
        <v>2187</v>
      </c>
      <c r="AT79">
        <f>'Non-durables'!AL118</f>
        <v>9304</v>
      </c>
      <c r="AU79">
        <f>'Non-durables'!AN118</f>
        <v>7194</v>
      </c>
      <c r="AV79">
        <f>'Non-durables'!AT118</f>
        <v>5455</v>
      </c>
      <c r="AX79" s="34">
        <f t="shared" si="52"/>
        <v>85.225081271695416</v>
      </c>
      <c r="AY79" s="34">
        <f t="shared" si="53"/>
        <v>101.11692572053425</v>
      </c>
      <c r="AZ79" s="34">
        <f t="shared" si="54"/>
        <v>94.082450786812672</v>
      </c>
      <c r="BA79" s="34">
        <f t="shared" si="55"/>
        <v>79.22727272727272</v>
      </c>
      <c r="BB79" s="34">
        <f t="shared" si="56"/>
        <v>87.55004003202562</v>
      </c>
      <c r="BC79" s="34">
        <f t="shared" si="57"/>
        <v>100.03225459627998</v>
      </c>
      <c r="BD79" s="34">
        <f t="shared" si="58"/>
        <v>90.150375939849624</v>
      </c>
      <c r="BE79" s="34">
        <f t="shared" si="59"/>
        <v>78.320172290021546</v>
      </c>
      <c r="BH79">
        <f>Services!F118</f>
        <v>86085</v>
      </c>
      <c r="BI79">
        <f>Services!Q118</f>
        <v>1402</v>
      </c>
      <c r="BJ79">
        <f>Services!U118</f>
        <v>4973</v>
      </c>
      <c r="BK79">
        <f>Services!AA118</f>
        <v>24435</v>
      </c>
      <c r="BL79">
        <f>Services!AJ118</f>
        <v>2153</v>
      </c>
      <c r="BM79">
        <f>Services!AM118</f>
        <v>16528</v>
      </c>
      <c r="BN79">
        <f>Services!AV118</f>
        <v>7913</v>
      </c>
      <c r="BO79">
        <f>Services!AW118</f>
        <v>42268</v>
      </c>
      <c r="BP79">
        <f>Services!BB118</f>
        <v>37527</v>
      </c>
      <c r="BR79" s="34">
        <f t="shared" si="60"/>
        <v>94.253993627713967</v>
      </c>
      <c r="BS79" s="34">
        <f t="shared" si="61"/>
        <v>120.86206896551724</v>
      </c>
      <c r="BT79" s="34">
        <f t="shared" si="62"/>
        <v>108.01476976542136</v>
      </c>
      <c r="BU79" s="34">
        <f t="shared" si="63"/>
        <v>117.71365256768476</v>
      </c>
      <c r="BV79" s="34">
        <f t="shared" si="64"/>
        <v>38.542785535266738</v>
      </c>
      <c r="BW79" s="34">
        <f t="shared" si="65"/>
        <v>98.639293387443303</v>
      </c>
      <c r="BX79" s="34">
        <f t="shared" si="66"/>
        <v>89.462973431317124</v>
      </c>
      <c r="BY79" s="34">
        <f t="shared" si="67"/>
        <v>98.02639207773835</v>
      </c>
      <c r="BZ79" s="34">
        <f t="shared" si="68"/>
        <v>87.753718080628559</v>
      </c>
    </row>
    <row r="80" spans="1:78" x14ac:dyDescent="0.35">
      <c r="A80" s="101" t="s">
        <v>575</v>
      </c>
      <c r="B80">
        <f>'Total goods'!B119</f>
        <v>159766</v>
      </c>
      <c r="C80">
        <f>Durables!B119</f>
        <v>38542</v>
      </c>
      <c r="D80">
        <f>'Semi-durables'!B119</f>
        <v>32911</v>
      </c>
      <c r="E80">
        <f>'Non-durables'!B119</f>
        <v>88525</v>
      </c>
      <c r="F80">
        <f>Services!B119</f>
        <v>223461</v>
      </c>
      <c r="H80" s="34">
        <f t="shared" si="37"/>
        <v>93.258617167206609</v>
      </c>
      <c r="I80" s="34">
        <f t="shared" si="38"/>
        <v>102.3882262306405</v>
      </c>
      <c r="J80" s="34">
        <f t="shared" si="39"/>
        <v>83.704664530240606</v>
      </c>
      <c r="K80" s="34">
        <f t="shared" si="40"/>
        <v>93.817229940970122</v>
      </c>
      <c r="L80" s="34">
        <f t="shared" si="41"/>
        <v>95.200787300938117</v>
      </c>
      <c r="O80">
        <f>Durables!C119</f>
        <v>8843</v>
      </c>
      <c r="P80">
        <f>Durables!H119</f>
        <v>855</v>
      </c>
      <c r="Q80">
        <f>Durables!J119</f>
        <v>19464</v>
      </c>
      <c r="R80">
        <f>Durables!O119</f>
        <v>2209</v>
      </c>
      <c r="S80">
        <f>Durables!Q119</f>
        <v>4014</v>
      </c>
      <c r="U80" s="34">
        <f t="shared" si="42"/>
        <v>71.435495597382655</v>
      </c>
      <c r="V80" s="34">
        <f t="shared" si="43"/>
        <v>83.333333333333343</v>
      </c>
      <c r="W80" s="34">
        <f t="shared" si="44"/>
        <v>131.95037624567826</v>
      </c>
      <c r="X80" s="34">
        <f t="shared" si="45"/>
        <v>150.68212824010914</v>
      </c>
      <c r="Y80" s="34">
        <f t="shared" si="46"/>
        <v>77.535252076492185</v>
      </c>
      <c r="AB80">
        <f>'Semi-durables'!C119</f>
        <v>18168</v>
      </c>
      <c r="AC80">
        <f>'Semi-durables'!H119</f>
        <v>5047</v>
      </c>
      <c r="AD80">
        <f>'Semi-durables'!M119</f>
        <v>1655</v>
      </c>
      <c r="AE80">
        <f>'Semi-durables'!O119</f>
        <v>6867</v>
      </c>
      <c r="AF80">
        <f>'Semi-durables'!T119</f>
        <v>1134</v>
      </c>
      <c r="AH80" s="34">
        <f t="shared" si="47"/>
        <v>88.408759124087595</v>
      </c>
      <c r="AI80" s="34">
        <f t="shared" si="48"/>
        <v>75.216095380029799</v>
      </c>
      <c r="AJ80" s="34">
        <f t="shared" si="49"/>
        <v>127.50385208012327</v>
      </c>
      <c r="AK80" s="34">
        <f t="shared" si="50"/>
        <v>73.942069559599446</v>
      </c>
      <c r="AL80" s="34">
        <f t="shared" si="51"/>
        <v>77.831159917638985</v>
      </c>
      <c r="AO80">
        <f>'Non-durables'!C119</f>
        <v>32065</v>
      </c>
      <c r="AP80">
        <f>'Non-durables'!Q119</f>
        <v>12731</v>
      </c>
      <c r="AQ80">
        <f>'Non-durables'!X119</f>
        <v>18076</v>
      </c>
      <c r="AR80">
        <f>'Non-durables'!AG119</f>
        <v>1744</v>
      </c>
      <c r="AS80">
        <f>'Non-durables'!AI119</f>
        <v>2237</v>
      </c>
      <c r="AT80">
        <f>'Non-durables'!AL119</f>
        <v>9777</v>
      </c>
      <c r="AU80">
        <f>'Non-durables'!AN119</f>
        <v>7585</v>
      </c>
      <c r="AV80">
        <f>'Non-durables'!AT119</f>
        <v>5327</v>
      </c>
      <c r="AX80" s="34">
        <f t="shared" si="52"/>
        <v>88.338200451815524</v>
      </c>
      <c r="AY80" s="34">
        <f t="shared" si="53"/>
        <v>99.437631805045683</v>
      </c>
      <c r="AZ80" s="34">
        <f t="shared" si="54"/>
        <v>108.15532818763836</v>
      </c>
      <c r="BA80" s="34">
        <f t="shared" si="55"/>
        <v>79.272727272727266</v>
      </c>
      <c r="BB80" s="34">
        <f t="shared" si="56"/>
        <v>89.551641313050439</v>
      </c>
      <c r="BC80" s="34">
        <f t="shared" si="57"/>
        <v>105.11772927642188</v>
      </c>
      <c r="BD80" s="34">
        <f t="shared" si="58"/>
        <v>95.050125313283203</v>
      </c>
      <c r="BE80" s="34">
        <f t="shared" si="59"/>
        <v>76.482412060301513</v>
      </c>
      <c r="BH80">
        <f>Services!F119</f>
        <v>87260</v>
      </c>
      <c r="BI80">
        <f>Services!Q119</f>
        <v>1461</v>
      </c>
      <c r="BJ80">
        <f>Services!U119</f>
        <v>5074</v>
      </c>
      <c r="BK80">
        <f>Services!AA119</f>
        <v>24996</v>
      </c>
      <c r="BL80">
        <f>Services!AJ119</f>
        <v>2200</v>
      </c>
      <c r="BM80">
        <f>Services!AM119</f>
        <v>16410</v>
      </c>
      <c r="BN80">
        <f>Services!AV119</f>
        <v>8102</v>
      </c>
      <c r="BO80">
        <f>Services!AW119</f>
        <v>42450</v>
      </c>
      <c r="BP80">
        <f>Services!BB119</f>
        <v>39122</v>
      </c>
      <c r="BR80" s="34">
        <f t="shared" si="60"/>
        <v>95.54049467333823</v>
      </c>
      <c r="BS80" s="34">
        <f t="shared" si="61"/>
        <v>125.94827586206895</v>
      </c>
      <c r="BT80" s="34">
        <f t="shared" si="62"/>
        <v>110.20851433536056</v>
      </c>
      <c r="BU80" s="34">
        <f t="shared" si="63"/>
        <v>120.41622506985259</v>
      </c>
      <c r="BV80" s="34">
        <f t="shared" si="64"/>
        <v>39.384174722520591</v>
      </c>
      <c r="BW80" s="34">
        <f t="shared" si="65"/>
        <v>97.93506803533063</v>
      </c>
      <c r="BX80" s="34">
        <f t="shared" si="66"/>
        <v>91.599773883550029</v>
      </c>
      <c r="BY80" s="34">
        <f t="shared" si="67"/>
        <v>98.448479788492321</v>
      </c>
      <c r="BZ80" s="34">
        <f t="shared" si="68"/>
        <v>91.483490786642975</v>
      </c>
    </row>
    <row r="81" spans="1:78" x14ac:dyDescent="0.35">
      <c r="A81" s="101" t="s">
        <v>576</v>
      </c>
      <c r="B81">
        <f>'Total goods'!B120</f>
        <v>160934</v>
      </c>
      <c r="C81">
        <f>Durables!B120</f>
        <v>38403</v>
      </c>
      <c r="D81">
        <f>'Semi-durables'!B120</f>
        <v>32909</v>
      </c>
      <c r="E81">
        <f>'Non-durables'!B120</f>
        <v>89899</v>
      </c>
      <c r="F81">
        <f>Services!B120</f>
        <v>225812</v>
      </c>
      <c r="H81" s="34">
        <f t="shared" si="37"/>
        <v>93.94040218311298</v>
      </c>
      <c r="I81" s="34">
        <f t="shared" si="38"/>
        <v>102.01896766995191</v>
      </c>
      <c r="J81" s="34">
        <f t="shared" si="39"/>
        <v>83.699577801515844</v>
      </c>
      <c r="K81" s="34">
        <f t="shared" si="40"/>
        <v>95.273370849627483</v>
      </c>
      <c r="L81" s="34">
        <f t="shared" si="41"/>
        <v>96.202380648074779</v>
      </c>
      <c r="O81">
        <f>Durables!C120</f>
        <v>9033</v>
      </c>
      <c r="P81">
        <f>Durables!H120</f>
        <v>809</v>
      </c>
      <c r="Q81">
        <f>Durables!J120</f>
        <v>19055</v>
      </c>
      <c r="R81">
        <f>Durables!O120</f>
        <v>2364</v>
      </c>
      <c r="S81">
        <f>Durables!Q120</f>
        <v>4008</v>
      </c>
      <c r="U81" s="34">
        <f t="shared" si="42"/>
        <v>72.970353017206563</v>
      </c>
      <c r="V81" s="34">
        <f t="shared" si="43"/>
        <v>78.849902534113056</v>
      </c>
      <c r="W81" s="34">
        <f t="shared" si="44"/>
        <v>129.17768286895804</v>
      </c>
      <c r="X81" s="34">
        <f t="shared" si="45"/>
        <v>161.25511596180081</v>
      </c>
      <c r="Y81" s="34">
        <f t="shared" si="46"/>
        <v>77.41935483870968</v>
      </c>
      <c r="AB81">
        <f>'Semi-durables'!C120</f>
        <v>18312</v>
      </c>
      <c r="AC81">
        <f>'Semi-durables'!H120</f>
        <v>4933</v>
      </c>
      <c r="AD81">
        <f>'Semi-durables'!M120</f>
        <v>1709</v>
      </c>
      <c r="AE81">
        <f>'Semi-durables'!O120</f>
        <v>6837</v>
      </c>
      <c r="AF81">
        <f>'Semi-durables'!T120</f>
        <v>1084</v>
      </c>
      <c r="AH81" s="34">
        <f t="shared" si="47"/>
        <v>89.109489051094897</v>
      </c>
      <c r="AI81" s="34">
        <f t="shared" si="48"/>
        <v>73.51713859910582</v>
      </c>
      <c r="AJ81" s="34">
        <f t="shared" si="49"/>
        <v>131.66409861325116</v>
      </c>
      <c r="AK81" s="34">
        <f t="shared" si="50"/>
        <v>73.619037364057277</v>
      </c>
      <c r="AL81" s="34">
        <f t="shared" si="51"/>
        <v>74.399450926561428</v>
      </c>
      <c r="AO81">
        <f>'Non-durables'!C120</f>
        <v>32795</v>
      </c>
      <c r="AP81">
        <f>'Non-durables'!Q120</f>
        <v>12713</v>
      </c>
      <c r="AQ81">
        <f>'Non-durables'!X120</f>
        <v>18908</v>
      </c>
      <c r="AR81">
        <f>'Non-durables'!AG120</f>
        <v>1773</v>
      </c>
      <c r="AS81">
        <f>'Non-durables'!AI120</f>
        <v>2227</v>
      </c>
      <c r="AT81">
        <f>'Non-durables'!AL120</f>
        <v>9766</v>
      </c>
      <c r="AU81">
        <f>'Non-durables'!AN120</f>
        <v>7652</v>
      </c>
      <c r="AV81">
        <f>'Non-durables'!AT120</f>
        <v>5277</v>
      </c>
      <c r="AX81" s="34">
        <f t="shared" si="52"/>
        <v>90.349330541627637</v>
      </c>
      <c r="AY81" s="34">
        <f t="shared" si="53"/>
        <v>99.297039756307115</v>
      </c>
      <c r="AZ81" s="34">
        <f t="shared" si="54"/>
        <v>113.13348890085561</v>
      </c>
      <c r="BA81" s="34">
        <f t="shared" si="55"/>
        <v>80.590909090909093</v>
      </c>
      <c r="BB81" s="34">
        <f t="shared" si="56"/>
        <v>89.151321056845475</v>
      </c>
      <c r="BC81" s="34">
        <f t="shared" si="57"/>
        <v>104.99946242339533</v>
      </c>
      <c r="BD81" s="34">
        <f t="shared" si="58"/>
        <v>95.889724310776941</v>
      </c>
      <c r="BE81" s="34">
        <f t="shared" si="59"/>
        <v>75.764536970567121</v>
      </c>
      <c r="BH81">
        <f>Services!F120</f>
        <v>87917</v>
      </c>
      <c r="BI81">
        <f>Services!Q120</f>
        <v>1526</v>
      </c>
      <c r="BJ81">
        <f>Services!U120</f>
        <v>5042</v>
      </c>
      <c r="BK81">
        <f>Services!AA120</f>
        <v>25042</v>
      </c>
      <c r="BL81">
        <f>Services!AJ120</f>
        <v>2297</v>
      </c>
      <c r="BM81">
        <f>Services!AM120</f>
        <v>16285</v>
      </c>
      <c r="BN81">
        <f>Services!AV120</f>
        <v>8242</v>
      </c>
      <c r="BO81">
        <f>Services!AW120</f>
        <v>43072</v>
      </c>
      <c r="BP81">
        <f>Services!BB120</f>
        <v>39925</v>
      </c>
      <c r="BR81" s="34">
        <f t="shared" si="60"/>
        <v>96.259840364380892</v>
      </c>
      <c r="BS81" s="34">
        <f t="shared" si="61"/>
        <v>131.55172413793105</v>
      </c>
      <c r="BT81" s="34">
        <f t="shared" si="62"/>
        <v>109.51346655082537</v>
      </c>
      <c r="BU81" s="34">
        <f t="shared" si="63"/>
        <v>120.63782638019076</v>
      </c>
      <c r="BV81" s="34">
        <f t="shared" si="64"/>
        <v>41.120658789831722</v>
      </c>
      <c r="BW81" s="34">
        <f t="shared" si="65"/>
        <v>97.189066603007873</v>
      </c>
      <c r="BX81" s="34">
        <f t="shared" si="66"/>
        <v>93.182589033352187</v>
      </c>
      <c r="BY81" s="34">
        <f t="shared" si="67"/>
        <v>99.890999327442657</v>
      </c>
      <c r="BZ81" s="34">
        <f t="shared" si="68"/>
        <v>93.361238424843336</v>
      </c>
    </row>
    <row r="82" spans="1:78" x14ac:dyDescent="0.35">
      <c r="A82" s="101" t="s">
        <v>577</v>
      </c>
      <c r="B82">
        <f>'Total goods'!B121</f>
        <v>162139</v>
      </c>
      <c r="C82">
        <f>Durables!B121</f>
        <v>38968</v>
      </c>
      <c r="D82">
        <f>'Semi-durables'!B121</f>
        <v>33557</v>
      </c>
      <c r="E82">
        <f>'Non-durables'!B121</f>
        <v>89803</v>
      </c>
      <c r="F82">
        <f>Services!B121</f>
        <v>228088</v>
      </c>
      <c r="H82" s="34">
        <f t="shared" si="37"/>
        <v>94.64378484079036</v>
      </c>
      <c r="I82" s="34">
        <f t="shared" si="38"/>
        <v>103.5199107403767</v>
      </c>
      <c r="J82" s="34">
        <f t="shared" si="39"/>
        <v>85.347677908337147</v>
      </c>
      <c r="K82" s="34">
        <f t="shared" si="40"/>
        <v>95.171631746839196</v>
      </c>
      <c r="L82" s="34">
        <f t="shared" si="41"/>
        <v>97.172021846748976</v>
      </c>
      <c r="O82">
        <f>Durables!C121</f>
        <v>9181</v>
      </c>
      <c r="P82">
        <f>Durables!H121</f>
        <v>782</v>
      </c>
      <c r="Q82">
        <f>Durables!J121</f>
        <v>19830</v>
      </c>
      <c r="R82">
        <f>Durables!O121</f>
        <v>2263</v>
      </c>
      <c r="S82">
        <f>Durables!Q121</f>
        <v>3989</v>
      </c>
      <c r="U82" s="34">
        <f t="shared" si="42"/>
        <v>74.165926165279899</v>
      </c>
      <c r="V82" s="34">
        <f t="shared" si="43"/>
        <v>76.218323586744646</v>
      </c>
      <c r="W82" s="34">
        <f t="shared" si="44"/>
        <v>134.43156396176531</v>
      </c>
      <c r="X82" s="34">
        <f t="shared" si="45"/>
        <v>154.3656207366985</v>
      </c>
      <c r="Y82" s="34">
        <f t="shared" si="46"/>
        <v>77.052346919065101</v>
      </c>
      <c r="AB82">
        <f>'Semi-durables'!C121</f>
        <v>18547</v>
      </c>
      <c r="AC82">
        <f>'Semi-durables'!H121</f>
        <v>5332</v>
      </c>
      <c r="AD82">
        <f>'Semi-durables'!M121</f>
        <v>1710</v>
      </c>
      <c r="AE82">
        <f>'Semi-durables'!O121</f>
        <v>6792</v>
      </c>
      <c r="AF82">
        <f>'Semi-durables'!T121</f>
        <v>1129</v>
      </c>
      <c r="AH82" s="34">
        <f t="shared" si="47"/>
        <v>90.253041362530411</v>
      </c>
      <c r="AI82" s="34">
        <f t="shared" si="48"/>
        <v>79.463487332339781</v>
      </c>
      <c r="AJ82" s="34">
        <f t="shared" si="49"/>
        <v>131.74114021571648</v>
      </c>
      <c r="AK82" s="34">
        <f t="shared" si="50"/>
        <v>73.134489070744053</v>
      </c>
      <c r="AL82" s="34">
        <f t="shared" si="51"/>
        <v>77.487989018531238</v>
      </c>
      <c r="AO82">
        <f>'Non-durables'!C121</f>
        <v>33551</v>
      </c>
      <c r="AP82">
        <f>'Non-durables'!Q121</f>
        <v>12563</v>
      </c>
      <c r="AQ82">
        <f>'Non-durables'!X121</f>
        <v>17269</v>
      </c>
      <c r="AR82">
        <f>'Non-durables'!AG121</f>
        <v>1855</v>
      </c>
      <c r="AS82">
        <f>'Non-durables'!AI121</f>
        <v>2309</v>
      </c>
      <c r="AT82">
        <f>'Non-durables'!AL121</f>
        <v>9725</v>
      </c>
      <c r="AU82">
        <f>'Non-durables'!AN121</f>
        <v>7855</v>
      </c>
      <c r="AV82">
        <f>'Non-durables'!AT121</f>
        <v>5392</v>
      </c>
      <c r="AX82" s="34">
        <f t="shared" si="52"/>
        <v>92.432089922309771</v>
      </c>
      <c r="AY82" s="34">
        <f t="shared" si="53"/>
        <v>98.125439350152305</v>
      </c>
      <c r="AZ82" s="34">
        <f t="shared" si="54"/>
        <v>103.3267516304673</v>
      </c>
      <c r="BA82" s="34">
        <f t="shared" si="55"/>
        <v>84.318181818181813</v>
      </c>
      <c r="BB82" s="34">
        <f t="shared" si="56"/>
        <v>92.43394715772618</v>
      </c>
      <c r="BC82" s="34">
        <f t="shared" si="57"/>
        <v>104.55864960756909</v>
      </c>
      <c r="BD82" s="34">
        <f t="shared" si="58"/>
        <v>98.43358395989975</v>
      </c>
      <c r="BE82" s="34">
        <f t="shared" si="59"/>
        <v>77.415649676956207</v>
      </c>
      <c r="BH82">
        <f>Services!F121</f>
        <v>88165</v>
      </c>
      <c r="BI82">
        <f>Services!Q121</f>
        <v>1517</v>
      </c>
      <c r="BJ82">
        <f>Services!U121</f>
        <v>5417</v>
      </c>
      <c r="BK82">
        <f>Services!AA121</f>
        <v>25375</v>
      </c>
      <c r="BL82">
        <f>Services!AJ121</f>
        <v>2422</v>
      </c>
      <c r="BM82">
        <f>Services!AM121</f>
        <v>16247</v>
      </c>
      <c r="BN82">
        <f>Services!AV121</f>
        <v>8314</v>
      </c>
      <c r="BO82">
        <f>Services!AW121</f>
        <v>43407</v>
      </c>
      <c r="BP82">
        <f>Services!BB121</f>
        <v>40597</v>
      </c>
      <c r="BR82" s="34">
        <f t="shared" si="60"/>
        <v>96.531374202095634</v>
      </c>
      <c r="BS82" s="34">
        <f t="shared" si="61"/>
        <v>130.77586206896552</v>
      </c>
      <c r="BT82" s="34">
        <f t="shared" si="62"/>
        <v>117.65855777584709</v>
      </c>
      <c r="BU82" s="34">
        <f t="shared" si="63"/>
        <v>122.24202717024761</v>
      </c>
      <c r="BV82" s="34">
        <f t="shared" si="64"/>
        <v>43.358395989974937</v>
      </c>
      <c r="BW82" s="34">
        <f t="shared" si="65"/>
        <v>96.962282167581762</v>
      </c>
      <c r="BX82" s="34">
        <f t="shared" si="66"/>
        <v>93.996608253250429</v>
      </c>
      <c r="BY82" s="34">
        <f t="shared" si="67"/>
        <v>100.66791901481946</v>
      </c>
      <c r="BZ82" s="34">
        <f t="shared" si="68"/>
        <v>94.932653633897672</v>
      </c>
    </row>
    <row r="83" spans="1:78" x14ac:dyDescent="0.35">
      <c r="A83" s="101" t="s">
        <v>578</v>
      </c>
      <c r="B83">
        <f>'Total goods'!B122</f>
        <v>163449</v>
      </c>
      <c r="C83">
        <f>Durables!B122</f>
        <v>38605</v>
      </c>
      <c r="D83">
        <f>'Semi-durables'!B122</f>
        <v>34561</v>
      </c>
      <c r="E83">
        <f>'Non-durables'!B122</f>
        <v>90417</v>
      </c>
      <c r="F83">
        <f>Services!B122</f>
        <v>227494</v>
      </c>
      <c r="H83" s="34">
        <f t="shared" si="37"/>
        <v>95.408458103493558</v>
      </c>
      <c r="I83" s="34">
        <f t="shared" si="38"/>
        <v>102.55558802433387</v>
      </c>
      <c r="J83" s="34">
        <f t="shared" si="39"/>
        <v>87.901215728165212</v>
      </c>
      <c r="K83" s="34">
        <f t="shared" si="40"/>
        <v>95.822338091755952</v>
      </c>
      <c r="L83" s="34">
        <f t="shared" si="41"/>
        <v>96.918960830926267</v>
      </c>
      <c r="O83">
        <f>Durables!C122</f>
        <v>9093</v>
      </c>
      <c r="P83">
        <f>Durables!H122</f>
        <v>788</v>
      </c>
      <c r="Q83">
        <f>Durables!J122</f>
        <v>19164</v>
      </c>
      <c r="R83">
        <f>Durables!O122</f>
        <v>2365</v>
      </c>
      <c r="S83">
        <f>Durables!Q122</f>
        <v>4252</v>
      </c>
      <c r="U83" s="34">
        <f t="shared" si="42"/>
        <v>73.455044833993057</v>
      </c>
      <c r="V83" s="34">
        <f t="shared" si="43"/>
        <v>76.803118908382061</v>
      </c>
      <c r="W83" s="34">
        <f t="shared" si="44"/>
        <v>129.9166158226561</v>
      </c>
      <c r="X83" s="34">
        <f t="shared" si="45"/>
        <v>161.32332878581173</v>
      </c>
      <c r="Y83" s="34">
        <f t="shared" si="46"/>
        <v>82.132509175197981</v>
      </c>
      <c r="AB83">
        <f>'Semi-durables'!C122</f>
        <v>18610</v>
      </c>
      <c r="AC83">
        <f>'Semi-durables'!H122</f>
        <v>5521</v>
      </c>
      <c r="AD83">
        <f>'Semi-durables'!M122</f>
        <v>1717</v>
      </c>
      <c r="AE83">
        <f>'Semi-durables'!O122</f>
        <v>7628</v>
      </c>
      <c r="AF83">
        <f>'Semi-durables'!T122</f>
        <v>1066</v>
      </c>
      <c r="AH83" s="34">
        <f t="shared" si="47"/>
        <v>90.5596107055961</v>
      </c>
      <c r="AI83" s="34">
        <f t="shared" si="48"/>
        <v>82.28017883755588</v>
      </c>
      <c r="AJ83" s="34">
        <f t="shared" si="49"/>
        <v>132.28043143297381</v>
      </c>
      <c r="AK83" s="34">
        <f t="shared" si="50"/>
        <v>82.136319586518795</v>
      </c>
      <c r="AL83" s="34">
        <f t="shared" si="51"/>
        <v>73.164035689773513</v>
      </c>
      <c r="AO83">
        <f>'Non-durables'!C122</f>
        <v>33545</v>
      </c>
      <c r="AP83">
        <f>'Non-durables'!Q122</f>
        <v>12539</v>
      </c>
      <c r="AQ83">
        <f>'Non-durables'!X122</f>
        <v>17937</v>
      </c>
      <c r="AR83">
        <f>'Non-durables'!AG122</f>
        <v>1842</v>
      </c>
      <c r="AS83">
        <f>'Non-durables'!AI122</f>
        <v>2416</v>
      </c>
      <c r="AT83">
        <f>'Non-durables'!AL122</f>
        <v>9676</v>
      </c>
      <c r="AU83">
        <f>'Non-durables'!AN122</f>
        <v>7822</v>
      </c>
      <c r="AV83">
        <f>'Non-durables'!AT122</f>
        <v>5497</v>
      </c>
      <c r="AX83" s="34">
        <f t="shared" si="52"/>
        <v>92.41556008595515</v>
      </c>
      <c r="AY83" s="34">
        <f t="shared" si="53"/>
        <v>97.937983285167547</v>
      </c>
      <c r="AZ83" s="34">
        <f t="shared" si="54"/>
        <v>107.32364028002155</v>
      </c>
      <c r="BA83" s="34">
        <f t="shared" si="55"/>
        <v>83.727272727272734</v>
      </c>
      <c r="BB83" s="34">
        <f t="shared" si="56"/>
        <v>96.717373899119295</v>
      </c>
      <c r="BC83" s="34">
        <f t="shared" si="57"/>
        <v>104.03182453499625</v>
      </c>
      <c r="BD83" s="34">
        <f t="shared" si="58"/>
        <v>98.02005012531329</v>
      </c>
      <c r="BE83" s="34">
        <f t="shared" si="59"/>
        <v>78.92318736539842</v>
      </c>
      <c r="BH83">
        <f>Services!F122</f>
        <v>87992</v>
      </c>
      <c r="BI83">
        <f>Services!Q122</f>
        <v>1503</v>
      </c>
      <c r="BJ83">
        <f>Services!U122</f>
        <v>5016</v>
      </c>
      <c r="BK83">
        <f>Services!AA122</f>
        <v>25368</v>
      </c>
      <c r="BL83">
        <f>Services!AJ122</f>
        <v>2503</v>
      </c>
      <c r="BM83">
        <f>Services!AM122</f>
        <v>16307</v>
      </c>
      <c r="BN83">
        <f>Services!AV122</f>
        <v>8124</v>
      </c>
      <c r="BO83">
        <f>Services!AW122</f>
        <v>43588</v>
      </c>
      <c r="BP83">
        <f>Services!BB122</f>
        <v>40226</v>
      </c>
      <c r="BR83" s="34">
        <f t="shared" si="60"/>
        <v>96.34195745239947</v>
      </c>
      <c r="BS83" s="34">
        <f t="shared" si="61"/>
        <v>129.56896551724137</v>
      </c>
      <c r="BT83" s="34">
        <f t="shared" si="62"/>
        <v>108.94874022589053</v>
      </c>
      <c r="BU83" s="34">
        <f t="shared" si="63"/>
        <v>122.20830523171789</v>
      </c>
      <c r="BV83" s="34">
        <f t="shared" si="64"/>
        <v>44.80844969566774</v>
      </c>
      <c r="BW83" s="34">
        <f t="shared" si="65"/>
        <v>97.32036285509669</v>
      </c>
      <c r="BX83" s="34">
        <f t="shared" si="66"/>
        <v>91.848501978518939</v>
      </c>
      <c r="BY83" s="34">
        <f t="shared" si="67"/>
        <v>101.08768756232752</v>
      </c>
      <c r="BZ83" s="34">
        <f t="shared" si="68"/>
        <v>94.065101487232255</v>
      </c>
    </row>
    <row r="84" spans="1:78" x14ac:dyDescent="0.35">
      <c r="A84" s="101" t="s">
        <v>579</v>
      </c>
      <c r="B84">
        <f>'Total goods'!B123</f>
        <v>164445</v>
      </c>
      <c r="C84">
        <f>Durables!B123</f>
        <v>39280</v>
      </c>
      <c r="D84">
        <f>'Semi-durables'!B123</f>
        <v>35144</v>
      </c>
      <c r="E84">
        <f>'Non-durables'!B123</f>
        <v>90050</v>
      </c>
      <c r="F84">
        <f>Services!B123</f>
        <v>230119</v>
      </c>
      <c r="H84" s="34">
        <f t="shared" si="37"/>
        <v>95.989843271167146</v>
      </c>
      <c r="I84" s="34">
        <f t="shared" si="38"/>
        <v>104.34875009962012</v>
      </c>
      <c r="J84" s="34">
        <f t="shared" si="39"/>
        <v>89.383997151431913</v>
      </c>
      <c r="K84" s="34">
        <f t="shared" si="40"/>
        <v>95.433397980054906</v>
      </c>
      <c r="L84" s="34">
        <f t="shared" si="41"/>
        <v>98.037286027112458</v>
      </c>
      <c r="O84">
        <f>Durables!C123</f>
        <v>9388</v>
      </c>
      <c r="P84">
        <f>Durables!H123</f>
        <v>863</v>
      </c>
      <c r="Q84">
        <f>Durables!J123</f>
        <v>19680</v>
      </c>
      <c r="R84">
        <f>Durables!O123</f>
        <v>1925</v>
      </c>
      <c r="S84">
        <f>Durables!Q123</f>
        <v>4706</v>
      </c>
      <c r="U84" s="34">
        <f t="shared" si="42"/>
        <v>75.838112933193315</v>
      </c>
      <c r="V84" s="34">
        <f t="shared" si="43"/>
        <v>84.113060428849906</v>
      </c>
      <c r="W84" s="34">
        <f t="shared" si="44"/>
        <v>133.41468375025423</v>
      </c>
      <c r="X84" s="34">
        <f t="shared" si="45"/>
        <v>131.30968622100957</v>
      </c>
      <c r="Y84" s="34">
        <f t="shared" si="46"/>
        <v>90.902066834073793</v>
      </c>
      <c r="AB84">
        <f>'Semi-durables'!C123</f>
        <v>18756</v>
      </c>
      <c r="AC84">
        <f>'Semi-durables'!H123</f>
        <v>5658</v>
      </c>
      <c r="AD84">
        <f>'Semi-durables'!M123</f>
        <v>1677</v>
      </c>
      <c r="AE84">
        <f>'Semi-durables'!O123</f>
        <v>7659</v>
      </c>
      <c r="AF84">
        <f>'Semi-durables'!T123</f>
        <v>1352</v>
      </c>
      <c r="AH84" s="34">
        <f t="shared" si="47"/>
        <v>91.270072992700733</v>
      </c>
      <c r="AI84" s="34">
        <f t="shared" si="48"/>
        <v>84.32190760059612</v>
      </c>
      <c r="AJ84" s="34">
        <f t="shared" si="49"/>
        <v>129.19876733436055</v>
      </c>
      <c r="AK84" s="34">
        <f t="shared" si="50"/>
        <v>82.470119521912352</v>
      </c>
      <c r="AL84" s="34">
        <f t="shared" si="51"/>
        <v>92.79341111873714</v>
      </c>
      <c r="AO84">
        <f>'Non-durables'!C123</f>
        <v>33544</v>
      </c>
      <c r="AP84">
        <f>'Non-durables'!Q123</f>
        <v>12765</v>
      </c>
      <c r="AQ84">
        <f>'Non-durables'!X123</f>
        <v>16689</v>
      </c>
      <c r="AR84">
        <f>'Non-durables'!AG123</f>
        <v>1902</v>
      </c>
      <c r="AS84">
        <f>'Non-durables'!AI123</f>
        <v>2378</v>
      </c>
      <c r="AT84">
        <f>'Non-durables'!AL123</f>
        <v>9694</v>
      </c>
      <c r="AU84">
        <f>'Non-durables'!AN123</f>
        <v>7650</v>
      </c>
      <c r="AV84">
        <f>'Non-durables'!AT123</f>
        <v>5868</v>
      </c>
      <c r="AX84" s="34">
        <f t="shared" si="52"/>
        <v>92.412805113229382</v>
      </c>
      <c r="AY84" s="34">
        <f t="shared" si="53"/>
        <v>99.703194563774105</v>
      </c>
      <c r="AZ84" s="34">
        <f t="shared" si="54"/>
        <v>99.856399210195661</v>
      </c>
      <c r="BA84" s="34">
        <f t="shared" si="55"/>
        <v>86.454545454545453</v>
      </c>
      <c r="BB84" s="34">
        <f t="shared" si="56"/>
        <v>95.196156925540436</v>
      </c>
      <c r="BC84" s="34">
        <f t="shared" si="57"/>
        <v>104.22535211267605</v>
      </c>
      <c r="BD84" s="34">
        <f t="shared" si="58"/>
        <v>95.864661654135347</v>
      </c>
      <c r="BE84" s="34">
        <f t="shared" si="59"/>
        <v>84.24982053122757</v>
      </c>
      <c r="BH84">
        <f>Services!F123</f>
        <v>87374</v>
      </c>
      <c r="BI84">
        <f>Services!Q123</f>
        <v>1425</v>
      </c>
      <c r="BJ84">
        <f>Services!U123</f>
        <v>5222</v>
      </c>
      <c r="BK84">
        <f>Services!AA123</f>
        <v>26222</v>
      </c>
      <c r="BL84">
        <f>Services!AJ123</f>
        <v>2615</v>
      </c>
      <c r="BM84">
        <f>Services!AM123</f>
        <v>16420</v>
      </c>
      <c r="BN84">
        <f>Services!AV123</f>
        <v>8224</v>
      </c>
      <c r="BO84">
        <f>Services!AW123</f>
        <v>44848</v>
      </c>
      <c r="BP84">
        <f>Services!BB123</f>
        <v>40962</v>
      </c>
      <c r="BR84" s="34">
        <f t="shared" si="60"/>
        <v>95.665312647126456</v>
      </c>
      <c r="BS84" s="34">
        <f t="shared" si="61"/>
        <v>122.84482758620689</v>
      </c>
      <c r="BT84" s="34">
        <f t="shared" si="62"/>
        <v>113.42311033883578</v>
      </c>
      <c r="BU84" s="34">
        <f t="shared" si="63"/>
        <v>126.32238173234416</v>
      </c>
      <c r="BV84" s="34">
        <f t="shared" si="64"/>
        <v>46.813462226996059</v>
      </c>
      <c r="BW84" s="34">
        <f t="shared" si="65"/>
        <v>97.994748149916447</v>
      </c>
      <c r="BX84" s="34">
        <f t="shared" si="66"/>
        <v>92.979084228377616</v>
      </c>
      <c r="BY84" s="34">
        <f t="shared" si="67"/>
        <v>104.00983325216262</v>
      </c>
      <c r="BZ84" s="34">
        <f t="shared" si="68"/>
        <v>95.786175287625113</v>
      </c>
    </row>
    <row r="85" spans="1:78" x14ac:dyDescent="0.35">
      <c r="A85" s="101" t="s">
        <v>580</v>
      </c>
      <c r="B85">
        <f>'Total goods'!B124</f>
        <v>163490</v>
      </c>
      <c r="C85">
        <f>Durables!B124</f>
        <v>37229</v>
      </c>
      <c r="D85">
        <f>'Semi-durables'!B124</f>
        <v>35316</v>
      </c>
      <c r="E85">
        <f>'Non-durables'!B124</f>
        <v>91095</v>
      </c>
      <c r="F85">
        <f>Services!B124</f>
        <v>230631</v>
      </c>
      <c r="H85" s="34">
        <f t="shared" si="37"/>
        <v>95.432390625456037</v>
      </c>
      <c r="I85" s="34">
        <f t="shared" si="38"/>
        <v>98.900193927157773</v>
      </c>
      <c r="J85" s="34">
        <f t="shared" si="39"/>
        <v>89.82145582176102</v>
      </c>
      <c r="K85" s="34">
        <f t="shared" si="40"/>
        <v>96.540870505198228</v>
      </c>
      <c r="L85" s="34">
        <f t="shared" si="41"/>
        <v>98.255412693949538</v>
      </c>
      <c r="O85">
        <f>Durables!C124</f>
        <v>9337</v>
      </c>
      <c r="P85">
        <f>Durables!H124</f>
        <v>909</v>
      </c>
      <c r="Q85">
        <f>Durables!J124</f>
        <v>17408</v>
      </c>
      <c r="R85">
        <f>Durables!O124</f>
        <v>2005</v>
      </c>
      <c r="S85">
        <f>Durables!Q124</f>
        <v>4901</v>
      </c>
      <c r="U85" s="34">
        <f t="shared" si="42"/>
        <v>75.42612488892479</v>
      </c>
      <c r="V85" s="34">
        <f t="shared" si="43"/>
        <v>88.596491228070178</v>
      </c>
      <c r="W85" s="34">
        <f t="shared" si="44"/>
        <v>118.01233814656634</v>
      </c>
      <c r="X85" s="34">
        <f t="shared" si="45"/>
        <v>136.76671214188266</v>
      </c>
      <c r="Y85" s="34">
        <f t="shared" si="46"/>
        <v>94.668727062005019</v>
      </c>
      <c r="AB85">
        <f>'Semi-durables'!C124</f>
        <v>18549</v>
      </c>
      <c r="AC85">
        <f>'Semi-durables'!H124</f>
        <v>5713</v>
      </c>
      <c r="AD85">
        <f>'Semi-durables'!M124</f>
        <v>1669</v>
      </c>
      <c r="AE85">
        <f>'Semi-durables'!O124</f>
        <v>8155</v>
      </c>
      <c r="AF85">
        <f>'Semi-durables'!T124</f>
        <v>1211</v>
      </c>
      <c r="AH85" s="34">
        <f t="shared" si="47"/>
        <v>90.262773722627742</v>
      </c>
      <c r="AI85" s="34">
        <f t="shared" si="48"/>
        <v>85.141579731743661</v>
      </c>
      <c r="AJ85" s="34">
        <f t="shared" si="49"/>
        <v>128.58243451463792</v>
      </c>
      <c r="AK85" s="34">
        <f t="shared" si="50"/>
        <v>87.810918488209325</v>
      </c>
      <c r="AL85" s="34">
        <f t="shared" si="51"/>
        <v>83.115991763898421</v>
      </c>
      <c r="AO85">
        <f>'Non-durables'!C124</f>
        <v>34220</v>
      </c>
      <c r="AP85">
        <f>'Non-durables'!Q124</f>
        <v>12872</v>
      </c>
      <c r="AQ85">
        <f>'Non-durables'!X124</f>
        <v>16575</v>
      </c>
      <c r="AR85">
        <f>'Non-durables'!AG124</f>
        <v>1923</v>
      </c>
      <c r="AS85">
        <f>'Non-durables'!AI124</f>
        <v>2426</v>
      </c>
      <c r="AT85">
        <f>'Non-durables'!AL124</f>
        <v>9755</v>
      </c>
      <c r="AU85">
        <f>'Non-durables'!AN124</f>
        <v>7547</v>
      </c>
      <c r="AV85">
        <f>'Non-durables'!AT124</f>
        <v>6107</v>
      </c>
      <c r="AX85" s="34">
        <f t="shared" si="52"/>
        <v>94.275166675849903</v>
      </c>
      <c r="AY85" s="34">
        <f t="shared" si="53"/>
        <v>100.53893618683121</v>
      </c>
      <c r="AZ85" s="34">
        <f t="shared" si="54"/>
        <v>99.174295458625011</v>
      </c>
      <c r="BA85" s="34">
        <f t="shared" si="55"/>
        <v>87.409090909090921</v>
      </c>
      <c r="BB85" s="34">
        <f t="shared" si="56"/>
        <v>97.117694155324259</v>
      </c>
      <c r="BC85" s="34">
        <f t="shared" si="57"/>
        <v>104.88119557036877</v>
      </c>
      <c r="BD85" s="34">
        <f t="shared" si="58"/>
        <v>94.573934837092736</v>
      </c>
      <c r="BE85" s="34">
        <f t="shared" si="59"/>
        <v>87.681263460157936</v>
      </c>
      <c r="BH85">
        <f>Services!F124</f>
        <v>86985</v>
      </c>
      <c r="BI85">
        <f>Services!Q124</f>
        <v>1441</v>
      </c>
      <c r="BJ85">
        <f>Services!U124</f>
        <v>5237</v>
      </c>
      <c r="BK85">
        <f>Services!AA124</f>
        <v>26294</v>
      </c>
      <c r="BL85">
        <f>Services!AJ124</f>
        <v>2703</v>
      </c>
      <c r="BM85">
        <f>Services!AM124</f>
        <v>16436</v>
      </c>
      <c r="BN85">
        <f>Services!AV124</f>
        <v>8289</v>
      </c>
      <c r="BO85">
        <f>Services!AW124</f>
        <v>44147</v>
      </c>
      <c r="BP85">
        <f>Services!BB124</f>
        <v>42276</v>
      </c>
      <c r="BR85" s="34">
        <f t="shared" si="60"/>
        <v>95.239398683936798</v>
      </c>
      <c r="BS85" s="34">
        <f t="shared" si="61"/>
        <v>124.22413793103448</v>
      </c>
      <c r="BT85" s="34">
        <f t="shared" si="62"/>
        <v>113.74891398783666</v>
      </c>
      <c r="BU85" s="34">
        <f t="shared" si="63"/>
        <v>126.6692359572213</v>
      </c>
      <c r="BV85" s="34">
        <f t="shared" si="64"/>
        <v>48.388829215896884</v>
      </c>
      <c r="BW85" s="34">
        <f t="shared" si="65"/>
        <v>98.090236333253756</v>
      </c>
      <c r="BX85" s="34">
        <f t="shared" si="66"/>
        <v>93.713962690785763</v>
      </c>
      <c r="BY85" s="34">
        <f t="shared" si="67"/>
        <v>102.38409981678612</v>
      </c>
      <c r="BZ85" s="34">
        <f t="shared" si="68"/>
        <v>98.85885324104386</v>
      </c>
    </row>
    <row r="86" spans="1:78" x14ac:dyDescent="0.35">
      <c r="A86" s="101" t="s">
        <v>581</v>
      </c>
      <c r="B86">
        <f>'Total goods'!B125</f>
        <v>166248</v>
      </c>
      <c r="C86">
        <f>Durables!B125</f>
        <v>38748</v>
      </c>
      <c r="D86">
        <f>'Semi-durables'!B125</f>
        <v>35559</v>
      </c>
      <c r="E86">
        <f>'Non-durables'!B125</f>
        <v>92064</v>
      </c>
      <c r="F86">
        <f>Services!B125</f>
        <v>231764</v>
      </c>
      <c r="H86" s="34">
        <f t="shared" si="37"/>
        <v>97.042290517467819</v>
      </c>
      <c r="I86" s="34">
        <f t="shared" si="38"/>
        <v>102.93547273065377</v>
      </c>
      <c r="J86" s="34">
        <f t="shared" si="39"/>
        <v>90.439493361819018</v>
      </c>
      <c r="K86" s="34">
        <f t="shared" si="40"/>
        <v>97.567799573967505</v>
      </c>
      <c r="L86" s="34">
        <f t="shared" si="41"/>
        <v>98.738103150055807</v>
      </c>
      <c r="O86">
        <f>Durables!C125</f>
        <v>9425</v>
      </c>
      <c r="P86">
        <f>Durables!H125</f>
        <v>890</v>
      </c>
      <c r="Q86">
        <f>Durables!J125</f>
        <v>18762</v>
      </c>
      <c r="R86">
        <f>Durables!O125</f>
        <v>2006</v>
      </c>
      <c r="S86">
        <f>Durables!Q125</f>
        <v>5072</v>
      </c>
      <c r="U86" s="34">
        <f t="shared" si="42"/>
        <v>76.137006220211646</v>
      </c>
      <c r="V86" s="34">
        <f t="shared" si="43"/>
        <v>86.744639376218331</v>
      </c>
      <c r="W86" s="34">
        <f t="shared" si="44"/>
        <v>127.1913768558064</v>
      </c>
      <c r="X86" s="34">
        <f t="shared" si="45"/>
        <v>136.83492496589358</v>
      </c>
      <c r="Y86" s="34">
        <f t="shared" si="46"/>
        <v>97.971798338806266</v>
      </c>
      <c r="AB86">
        <f>'Semi-durables'!C125</f>
        <v>18656</v>
      </c>
      <c r="AC86">
        <f>'Semi-durables'!H125</f>
        <v>5655</v>
      </c>
      <c r="AD86">
        <f>'Semi-durables'!M125</f>
        <v>1607</v>
      </c>
      <c r="AE86">
        <f>'Semi-durables'!O125</f>
        <v>8371</v>
      </c>
      <c r="AF86">
        <f>'Semi-durables'!T125</f>
        <v>1251</v>
      </c>
      <c r="AH86" s="34">
        <f t="shared" si="47"/>
        <v>90.78345498783456</v>
      </c>
      <c r="AI86" s="34">
        <f t="shared" si="48"/>
        <v>84.277198211624437</v>
      </c>
      <c r="AJ86" s="34">
        <f t="shared" si="49"/>
        <v>123.80585516178738</v>
      </c>
      <c r="AK86" s="34">
        <f t="shared" si="50"/>
        <v>90.136750296112851</v>
      </c>
      <c r="AL86" s="34">
        <f t="shared" si="51"/>
        <v>85.861358956760469</v>
      </c>
      <c r="AO86">
        <f>'Non-durables'!C125</f>
        <v>33690</v>
      </c>
      <c r="AP86">
        <f>'Non-durables'!Q125</f>
        <v>12921</v>
      </c>
      <c r="AQ86">
        <f>'Non-durables'!X125</f>
        <v>17996</v>
      </c>
      <c r="AR86">
        <f>'Non-durables'!AG125</f>
        <v>1911</v>
      </c>
      <c r="AS86">
        <f>'Non-durables'!AI125</f>
        <v>2443</v>
      </c>
      <c r="AT86">
        <f>'Non-durables'!AL125</f>
        <v>9842</v>
      </c>
      <c r="AU86">
        <f>'Non-durables'!AN125</f>
        <v>7611</v>
      </c>
      <c r="AV86">
        <f>'Non-durables'!AT125</f>
        <v>6338</v>
      </c>
      <c r="AX86" s="34">
        <f t="shared" si="52"/>
        <v>92.815031131191802</v>
      </c>
      <c r="AY86" s="34">
        <f t="shared" si="53"/>
        <v>100.92165898617512</v>
      </c>
      <c r="AZ86" s="34">
        <f t="shared" si="54"/>
        <v>107.67665888829055</v>
      </c>
      <c r="BA86" s="34">
        <f t="shared" si="55"/>
        <v>86.86363636363636</v>
      </c>
      <c r="BB86" s="34">
        <f t="shared" si="56"/>
        <v>97.7982385908727</v>
      </c>
      <c r="BC86" s="34">
        <f t="shared" si="57"/>
        <v>105.8165788624879</v>
      </c>
      <c r="BD86" s="34">
        <f t="shared" si="58"/>
        <v>95.375939849624061</v>
      </c>
      <c r="BE86" s="34">
        <f t="shared" si="59"/>
        <v>90.997846374730798</v>
      </c>
      <c r="BH86">
        <f>Services!F125</f>
        <v>87166</v>
      </c>
      <c r="BI86">
        <f>Services!Q125</f>
        <v>1467</v>
      </c>
      <c r="BJ86">
        <f>Services!U125</f>
        <v>4823</v>
      </c>
      <c r="BK86">
        <f>Services!AA125</f>
        <v>26727</v>
      </c>
      <c r="BL86">
        <f>Services!AJ125</f>
        <v>2864</v>
      </c>
      <c r="BM86">
        <f>Services!AM125</f>
        <v>16817</v>
      </c>
      <c r="BN86">
        <f>Services!AV125</f>
        <v>8414</v>
      </c>
      <c r="BO86">
        <f>Services!AW125</f>
        <v>44660</v>
      </c>
      <c r="BP86">
        <f>Services!BB125</f>
        <v>41748</v>
      </c>
      <c r="BR86" s="34">
        <f t="shared" si="60"/>
        <v>95.437574589688282</v>
      </c>
      <c r="BS86" s="34">
        <f t="shared" si="61"/>
        <v>126.46551724137932</v>
      </c>
      <c r="BT86" s="34">
        <f t="shared" si="62"/>
        <v>104.75673327541269</v>
      </c>
      <c r="BU86" s="34">
        <f t="shared" si="63"/>
        <v>128.75517872627421</v>
      </c>
      <c r="BV86" s="34">
        <f t="shared" si="64"/>
        <v>51.27103472968134</v>
      </c>
      <c r="BW86" s="34">
        <f t="shared" si="65"/>
        <v>100.36404869897351</v>
      </c>
      <c r="BX86" s="34">
        <f t="shared" si="66"/>
        <v>95.127190503109105</v>
      </c>
      <c r="BY86" s="34">
        <f t="shared" si="67"/>
        <v>103.57383056193325</v>
      </c>
      <c r="BZ86" s="34">
        <f t="shared" si="68"/>
        <v>97.624169862501162</v>
      </c>
    </row>
    <row r="87" spans="1:78" x14ac:dyDescent="0.35">
      <c r="A87" s="101" t="s">
        <v>582</v>
      </c>
      <c r="B87">
        <f>'Total goods'!B126</f>
        <v>166513</v>
      </c>
      <c r="C87">
        <f>Durables!B126</f>
        <v>38719</v>
      </c>
      <c r="D87">
        <f>'Semi-durables'!B126</f>
        <v>35450</v>
      </c>
      <c r="E87">
        <f>'Non-durables'!B126</f>
        <v>92503</v>
      </c>
      <c r="F87">
        <f>Services!B126</f>
        <v>232560</v>
      </c>
      <c r="H87" s="34">
        <f t="shared" si="37"/>
        <v>97.196976330152069</v>
      </c>
      <c r="I87" s="34">
        <f t="shared" si="38"/>
        <v>102.85843317482666</v>
      </c>
      <c r="J87" s="34">
        <f t="shared" si="39"/>
        <v>90.16226664631975</v>
      </c>
      <c r="K87" s="34">
        <f t="shared" si="40"/>
        <v>98.033044012759788</v>
      </c>
      <c r="L87" s="34">
        <f t="shared" si="41"/>
        <v>99.077221952404088</v>
      </c>
      <c r="O87">
        <f>Durables!C126</f>
        <v>9513</v>
      </c>
      <c r="P87">
        <f>Durables!H126</f>
        <v>876</v>
      </c>
      <c r="Q87">
        <f>Durables!J126</f>
        <v>18600</v>
      </c>
      <c r="R87">
        <f>Durables!O126</f>
        <v>2044</v>
      </c>
      <c r="S87">
        <f>Durables!Q126</f>
        <v>5083</v>
      </c>
      <c r="U87" s="34">
        <f t="shared" si="42"/>
        <v>76.847887551498502</v>
      </c>
      <c r="V87" s="34">
        <f t="shared" si="43"/>
        <v>85.380116959064324</v>
      </c>
      <c r="W87" s="34">
        <f t="shared" si="44"/>
        <v>126.09314622737442</v>
      </c>
      <c r="X87" s="34">
        <f t="shared" si="45"/>
        <v>139.42701227830833</v>
      </c>
      <c r="Y87" s="34">
        <f t="shared" si="46"/>
        <v>98.184276608074171</v>
      </c>
      <c r="AB87">
        <f>'Semi-durables'!C126</f>
        <v>18661</v>
      </c>
      <c r="AC87">
        <f>'Semi-durables'!H126</f>
        <v>5839</v>
      </c>
      <c r="AD87">
        <f>'Semi-durables'!M126</f>
        <v>1608</v>
      </c>
      <c r="AE87">
        <f>'Semi-durables'!O126</f>
        <v>8226</v>
      </c>
      <c r="AF87">
        <f>'Semi-durables'!T126</f>
        <v>1101</v>
      </c>
      <c r="AH87" s="34">
        <f t="shared" si="47"/>
        <v>90.807785888077859</v>
      </c>
      <c r="AI87" s="34">
        <f t="shared" si="48"/>
        <v>87.019374068554399</v>
      </c>
      <c r="AJ87" s="34">
        <f t="shared" si="49"/>
        <v>123.88289676425271</v>
      </c>
      <c r="AK87" s="34">
        <f t="shared" si="50"/>
        <v>88.575428017659092</v>
      </c>
      <c r="AL87" s="34">
        <f t="shared" si="51"/>
        <v>75.5662319835278</v>
      </c>
      <c r="AO87">
        <f>'Non-durables'!C126</f>
        <v>34063</v>
      </c>
      <c r="AP87">
        <f>'Non-durables'!Q126</f>
        <v>12968</v>
      </c>
      <c r="AQ87">
        <f>'Non-durables'!X126</f>
        <v>17245</v>
      </c>
      <c r="AR87">
        <f>'Non-durables'!AG126</f>
        <v>1898</v>
      </c>
      <c r="AS87">
        <f>'Non-durables'!AI126</f>
        <v>2581</v>
      </c>
      <c r="AT87">
        <f>'Non-durables'!AL126</f>
        <v>10048</v>
      </c>
      <c r="AU87">
        <f>'Non-durables'!AN126</f>
        <v>7603</v>
      </c>
      <c r="AV87">
        <f>'Non-durables'!AT126</f>
        <v>6511</v>
      </c>
      <c r="AX87" s="34">
        <f t="shared" si="52"/>
        <v>93.842635957904022</v>
      </c>
      <c r="AY87" s="34">
        <f t="shared" si="53"/>
        <v>101.28876044677028</v>
      </c>
      <c r="AZ87" s="34">
        <f t="shared" si="54"/>
        <v>103.18315084066296</v>
      </c>
      <c r="BA87" s="34">
        <f t="shared" si="55"/>
        <v>86.272727272727266</v>
      </c>
      <c r="BB87" s="34">
        <f t="shared" si="56"/>
        <v>103.32265812650121</v>
      </c>
      <c r="BC87" s="34">
        <f t="shared" si="57"/>
        <v>108.03139447371251</v>
      </c>
      <c r="BD87" s="34">
        <f t="shared" si="58"/>
        <v>95.27568922305764</v>
      </c>
      <c r="BE87" s="34">
        <f t="shared" si="59"/>
        <v>93.481694185211779</v>
      </c>
      <c r="BH87">
        <f>Services!F126</f>
        <v>87390</v>
      </c>
      <c r="BI87">
        <f>Services!Q126</f>
        <v>1315</v>
      </c>
      <c r="BJ87">
        <f>Services!U126</f>
        <v>4858</v>
      </c>
      <c r="BK87">
        <f>Services!AA126</f>
        <v>27219</v>
      </c>
      <c r="BL87">
        <f>Services!AJ126</f>
        <v>3016</v>
      </c>
      <c r="BM87">
        <f>Services!AM126</f>
        <v>16897</v>
      </c>
      <c r="BN87">
        <f>Services!AV126</f>
        <v>8327</v>
      </c>
      <c r="BO87">
        <f>Services!AW126</f>
        <v>44105</v>
      </c>
      <c r="BP87">
        <f>Services!BB126</f>
        <v>42162</v>
      </c>
      <c r="BR87" s="34">
        <f t="shared" si="60"/>
        <v>95.68283095923708</v>
      </c>
      <c r="BS87" s="34">
        <f t="shared" si="61"/>
        <v>113.36206896551724</v>
      </c>
      <c r="BT87" s="34">
        <f t="shared" si="62"/>
        <v>105.51694178974805</v>
      </c>
      <c r="BU87" s="34">
        <f t="shared" si="63"/>
        <v>131.12534926293478</v>
      </c>
      <c r="BV87" s="34">
        <f t="shared" si="64"/>
        <v>53.992123165055496</v>
      </c>
      <c r="BW87" s="34">
        <f t="shared" si="65"/>
        <v>100.84148961566007</v>
      </c>
      <c r="BX87" s="34">
        <f t="shared" si="66"/>
        <v>94.143583945732061</v>
      </c>
      <c r="BY87" s="34">
        <f t="shared" si="67"/>
        <v>102.28669496045826</v>
      </c>
      <c r="BZ87" s="34">
        <f t="shared" si="68"/>
        <v>98.592273875222148</v>
      </c>
    </row>
    <row r="88" spans="1:78" x14ac:dyDescent="0.35">
      <c r="A88" s="101" t="s">
        <v>583</v>
      </c>
      <c r="B88">
        <f>'Total goods'!B127</f>
        <v>167107</v>
      </c>
      <c r="C88">
        <f>Durables!B127</f>
        <v>38878</v>
      </c>
      <c r="D88">
        <f>'Semi-durables'!B127</f>
        <v>35422</v>
      </c>
      <c r="E88">
        <f>'Non-durables'!B127</f>
        <v>92985</v>
      </c>
      <c r="F88">
        <f>Services!B127</f>
        <v>233459</v>
      </c>
      <c r="H88" s="34">
        <f t="shared" si="37"/>
        <v>97.543706038583906</v>
      </c>
      <c r="I88" s="34">
        <f t="shared" si="38"/>
        <v>103.28082246367187</v>
      </c>
      <c r="J88" s="34">
        <f t="shared" si="39"/>
        <v>90.091052444173144</v>
      </c>
      <c r="K88" s="34">
        <f t="shared" si="40"/>
        <v>98.54385909134264</v>
      </c>
      <c r="L88" s="34">
        <f t="shared" si="41"/>
        <v>99.460221705307461</v>
      </c>
      <c r="O88">
        <f>Durables!C127</f>
        <v>10076</v>
      </c>
      <c r="P88">
        <f>Durables!H127</f>
        <v>951</v>
      </c>
      <c r="Q88">
        <f>Durables!J127</f>
        <v>18145</v>
      </c>
      <c r="R88">
        <f>Durables!O127</f>
        <v>2124</v>
      </c>
      <c r="S88">
        <f>Durables!Q127</f>
        <v>4961</v>
      </c>
      <c r="U88" s="34">
        <f t="shared" si="42"/>
        <v>81.395912432345099</v>
      </c>
      <c r="V88" s="34">
        <f t="shared" si="43"/>
        <v>92.690058479532169</v>
      </c>
      <c r="W88" s="34">
        <f t="shared" si="44"/>
        <v>123.00860958579078</v>
      </c>
      <c r="X88" s="34">
        <f t="shared" si="45"/>
        <v>144.88403819918145</v>
      </c>
      <c r="Y88" s="34">
        <f t="shared" si="46"/>
        <v>95.827699439830013</v>
      </c>
      <c r="AB88">
        <f>'Semi-durables'!C127</f>
        <v>18639</v>
      </c>
      <c r="AC88">
        <f>'Semi-durables'!H127</f>
        <v>5849</v>
      </c>
      <c r="AD88">
        <f>'Semi-durables'!M127</f>
        <v>1572</v>
      </c>
      <c r="AE88">
        <f>'Semi-durables'!O127</f>
        <v>8134</v>
      </c>
      <c r="AF88">
        <f>'Semi-durables'!T127</f>
        <v>1203</v>
      </c>
      <c r="AH88" s="34">
        <f t="shared" si="47"/>
        <v>90.700729927007302</v>
      </c>
      <c r="AI88" s="34">
        <f t="shared" si="48"/>
        <v>87.168405365126674</v>
      </c>
      <c r="AJ88" s="34">
        <f t="shared" si="49"/>
        <v>121.10939907550078</v>
      </c>
      <c r="AK88" s="34">
        <f t="shared" si="50"/>
        <v>87.584795951329824</v>
      </c>
      <c r="AL88" s="34">
        <f t="shared" si="51"/>
        <v>82.566918325326014</v>
      </c>
      <c r="AO88">
        <f>'Non-durables'!C127</f>
        <v>34245</v>
      </c>
      <c r="AP88">
        <f>'Non-durables'!Q127</f>
        <v>12854</v>
      </c>
      <c r="AQ88">
        <f>'Non-durables'!X127</f>
        <v>18474</v>
      </c>
      <c r="AR88">
        <f>'Non-durables'!AG127</f>
        <v>1910</v>
      </c>
      <c r="AS88">
        <f>'Non-durables'!AI127</f>
        <v>2327</v>
      </c>
      <c r="AT88">
        <f>'Non-durables'!AL127</f>
        <v>9763</v>
      </c>
      <c r="AU88">
        <f>'Non-durables'!AN127</f>
        <v>7731</v>
      </c>
      <c r="AV88">
        <f>'Non-durables'!AT127</f>
        <v>6488</v>
      </c>
      <c r="AX88" s="34">
        <f t="shared" si="52"/>
        <v>94.344040993994156</v>
      </c>
      <c r="AY88" s="34">
        <f t="shared" si="53"/>
        <v>100.39834413809263</v>
      </c>
      <c r="AZ88" s="34">
        <f t="shared" si="54"/>
        <v>110.53670795189375</v>
      </c>
      <c r="BA88" s="34">
        <f t="shared" si="55"/>
        <v>86.818181818181813</v>
      </c>
      <c r="BB88" s="34">
        <f t="shared" si="56"/>
        <v>93.154523618895112</v>
      </c>
      <c r="BC88" s="34">
        <f t="shared" si="57"/>
        <v>104.96720782711537</v>
      </c>
      <c r="BD88" s="34">
        <f t="shared" si="58"/>
        <v>96.879699248120303</v>
      </c>
      <c r="BE88" s="34">
        <f t="shared" si="59"/>
        <v>93.151471643933959</v>
      </c>
      <c r="BH88">
        <f>Services!F127</f>
        <v>87883</v>
      </c>
      <c r="BI88">
        <f>Services!Q127</f>
        <v>1431</v>
      </c>
      <c r="BJ88">
        <f>Services!U127</f>
        <v>4889</v>
      </c>
      <c r="BK88">
        <f>Services!AA127</f>
        <v>27085</v>
      </c>
      <c r="BL88">
        <f>Services!AJ127</f>
        <v>3267</v>
      </c>
      <c r="BM88">
        <f>Services!AM127</f>
        <v>16545</v>
      </c>
      <c r="BN88">
        <f>Services!AV127</f>
        <v>8461</v>
      </c>
      <c r="BO88">
        <f>Services!AW127</f>
        <v>44769</v>
      </c>
      <c r="BP88">
        <f>Services!BB127</f>
        <v>41421</v>
      </c>
      <c r="BR88" s="34">
        <f t="shared" si="60"/>
        <v>96.222613951145803</v>
      </c>
      <c r="BS88" s="34">
        <f t="shared" si="61"/>
        <v>123.36206896551725</v>
      </c>
      <c r="BT88" s="34">
        <f t="shared" si="62"/>
        <v>106.19026933101652</v>
      </c>
      <c r="BU88" s="34">
        <f t="shared" si="63"/>
        <v>130.47981501108006</v>
      </c>
      <c r="BV88" s="34">
        <f t="shared" si="64"/>
        <v>58.485499462943068</v>
      </c>
      <c r="BW88" s="34">
        <f t="shared" si="65"/>
        <v>98.740749582239189</v>
      </c>
      <c r="BX88" s="34">
        <f t="shared" si="66"/>
        <v>95.658564160542682</v>
      </c>
      <c r="BY88" s="34">
        <f t="shared" si="67"/>
        <v>103.82661935573645</v>
      </c>
      <c r="BZ88" s="34">
        <f t="shared" si="68"/>
        <v>96.859507997380973</v>
      </c>
    </row>
    <row r="89" spans="1:78" x14ac:dyDescent="0.35">
      <c r="A89" s="101" t="s">
        <v>584</v>
      </c>
      <c r="B89">
        <f>'Total goods'!B128</f>
        <v>165108</v>
      </c>
      <c r="C89">
        <f>Durables!B128</f>
        <v>38549</v>
      </c>
      <c r="D89">
        <f>'Semi-durables'!B128</f>
        <v>34037</v>
      </c>
      <c r="E89">
        <f>'Non-durables'!B128</f>
        <v>92830</v>
      </c>
      <c r="F89">
        <f>Services!B128</f>
        <v>233643</v>
      </c>
      <c r="H89" s="34">
        <f t="shared" si="37"/>
        <v>96.376849662901677</v>
      </c>
      <c r="I89" s="34">
        <f t="shared" si="38"/>
        <v>102.40682198549531</v>
      </c>
      <c r="J89" s="34">
        <f t="shared" si="39"/>
        <v>86.568492802278854</v>
      </c>
      <c r="K89" s="34">
        <f t="shared" si="40"/>
        <v>98.37959283163238</v>
      </c>
      <c r="L89" s="34">
        <f t="shared" si="41"/>
        <v>99.538610976202037</v>
      </c>
      <c r="O89">
        <f>Durables!C128</f>
        <v>9930</v>
      </c>
      <c r="P89">
        <f>Durables!H128</f>
        <v>1008</v>
      </c>
      <c r="Q89">
        <f>Durables!J128</f>
        <v>18276</v>
      </c>
      <c r="R89">
        <f>Durables!O128</f>
        <v>1945</v>
      </c>
      <c r="S89">
        <f>Durables!Q128</f>
        <v>4787</v>
      </c>
      <c r="U89" s="34">
        <f t="shared" si="42"/>
        <v>80.216495678164634</v>
      </c>
      <c r="V89" s="34">
        <f t="shared" si="43"/>
        <v>98.245614035087712</v>
      </c>
      <c r="W89" s="34">
        <f t="shared" si="44"/>
        <v>123.89668497051048</v>
      </c>
      <c r="X89" s="34">
        <f t="shared" si="45"/>
        <v>132.67394270122784</v>
      </c>
      <c r="Y89" s="34">
        <f t="shared" si="46"/>
        <v>92.466679544137534</v>
      </c>
      <c r="AB89">
        <f>'Semi-durables'!C128</f>
        <v>18654</v>
      </c>
      <c r="AC89">
        <f>'Semi-durables'!H128</f>
        <v>5376</v>
      </c>
      <c r="AD89">
        <f>'Semi-durables'!M128</f>
        <v>1552</v>
      </c>
      <c r="AE89">
        <f>'Semi-durables'!O128</f>
        <v>7198</v>
      </c>
      <c r="AF89">
        <f>'Semi-durables'!T128</f>
        <v>1206</v>
      </c>
      <c r="AH89" s="34">
        <f t="shared" si="47"/>
        <v>90.773722627737229</v>
      </c>
      <c r="AI89" s="34">
        <f t="shared" si="48"/>
        <v>80.11922503725782</v>
      </c>
      <c r="AJ89" s="34">
        <f t="shared" si="49"/>
        <v>119.56856702619415</v>
      </c>
      <c r="AK89" s="34">
        <f t="shared" si="50"/>
        <v>77.506191450414562</v>
      </c>
      <c r="AL89" s="34">
        <f t="shared" si="51"/>
        <v>82.77282086479066</v>
      </c>
      <c r="AO89">
        <f>'Non-durables'!C128</f>
        <v>34268</v>
      </c>
      <c r="AP89">
        <f>'Non-durables'!Q128</f>
        <v>13031</v>
      </c>
      <c r="AQ89">
        <f>'Non-durables'!X128</f>
        <v>16853</v>
      </c>
      <c r="AR89">
        <f>'Non-durables'!AG128</f>
        <v>1913</v>
      </c>
      <c r="AS89">
        <f>'Non-durables'!AI128</f>
        <v>2373</v>
      </c>
      <c r="AT89">
        <f>'Non-durables'!AL128</f>
        <v>10393</v>
      </c>
      <c r="AU89">
        <f>'Non-durables'!AN128</f>
        <v>7766</v>
      </c>
      <c r="AV89">
        <f>'Non-durables'!AT128</f>
        <v>6535</v>
      </c>
      <c r="AX89" s="34">
        <f t="shared" si="52"/>
        <v>94.407405366686874</v>
      </c>
      <c r="AY89" s="34">
        <f t="shared" si="53"/>
        <v>101.78083261735532</v>
      </c>
      <c r="AZ89" s="34">
        <f t="shared" si="54"/>
        <v>100.83767127385867</v>
      </c>
      <c r="BA89" s="34">
        <f t="shared" si="55"/>
        <v>86.954545454545453</v>
      </c>
      <c r="BB89" s="34">
        <f t="shared" si="56"/>
        <v>94.995996797437954</v>
      </c>
      <c r="BC89" s="34">
        <f t="shared" si="57"/>
        <v>111.74067304590905</v>
      </c>
      <c r="BD89" s="34">
        <f t="shared" si="58"/>
        <v>97.318295739348372</v>
      </c>
      <c r="BE89" s="34">
        <f t="shared" si="59"/>
        <v>93.826274228284277</v>
      </c>
      <c r="BH89">
        <f>Services!F128</f>
        <v>88107</v>
      </c>
      <c r="BI89">
        <f>Services!Q128</f>
        <v>1504</v>
      </c>
      <c r="BJ89">
        <f>Services!U128</f>
        <v>4884</v>
      </c>
      <c r="BK89">
        <f>Services!AA128</f>
        <v>27268</v>
      </c>
      <c r="BL89">
        <f>Services!AJ128</f>
        <v>3355</v>
      </c>
      <c r="BM89">
        <f>Services!AM128</f>
        <v>16359</v>
      </c>
      <c r="BN89">
        <f>Services!AV128</f>
        <v>8561</v>
      </c>
      <c r="BO89">
        <f>Services!AW128</f>
        <v>44351</v>
      </c>
      <c r="BP89">
        <f>Services!BB128</f>
        <v>41380</v>
      </c>
      <c r="BR89" s="34">
        <f t="shared" si="60"/>
        <v>96.467870320694601</v>
      </c>
      <c r="BS89" s="34">
        <f t="shared" si="61"/>
        <v>129.65517241379308</v>
      </c>
      <c r="BT89" s="34">
        <f t="shared" si="62"/>
        <v>106.0816681146829</v>
      </c>
      <c r="BU89" s="34">
        <f t="shared" si="63"/>
        <v>131.36140283264282</v>
      </c>
      <c r="BV89" s="34">
        <f t="shared" si="64"/>
        <v>60.0608664518439</v>
      </c>
      <c r="BW89" s="34">
        <f t="shared" si="65"/>
        <v>97.630699450942942</v>
      </c>
      <c r="BX89" s="34">
        <f t="shared" si="66"/>
        <v>96.789146410401358</v>
      </c>
      <c r="BY89" s="34">
        <f t="shared" si="67"/>
        <v>102.85720911894988</v>
      </c>
      <c r="BZ89" s="34">
        <f t="shared" si="68"/>
        <v>96.76363296230474</v>
      </c>
    </row>
    <row r="90" spans="1:78" x14ac:dyDescent="0.35">
      <c r="A90" s="101" t="s">
        <v>585</v>
      </c>
      <c r="B90">
        <f>'Total goods'!B129</f>
        <v>166910</v>
      </c>
      <c r="C90">
        <f>Durables!B129</f>
        <v>38134</v>
      </c>
      <c r="D90">
        <f>'Semi-durables'!B129</f>
        <v>35243</v>
      </c>
      <c r="E90">
        <f>'Non-durables'!B129</f>
        <v>93796</v>
      </c>
      <c r="F90">
        <f>Services!B129</f>
        <v>235272</v>
      </c>
      <c r="H90" s="34">
        <f t="shared" si="37"/>
        <v>97.428713189154479</v>
      </c>
      <c r="I90" s="34">
        <f t="shared" si="38"/>
        <v>101.30435937624524</v>
      </c>
      <c r="J90" s="34">
        <f t="shared" si="39"/>
        <v>89.635790223307382</v>
      </c>
      <c r="K90" s="34">
        <f t="shared" si="40"/>
        <v>99.403342553439529</v>
      </c>
      <c r="L90" s="34">
        <f t="shared" si="41"/>
        <v>100.23261164080672</v>
      </c>
      <c r="O90">
        <f>Durables!C129</f>
        <v>9606</v>
      </c>
      <c r="P90">
        <f>Durables!H129</f>
        <v>972</v>
      </c>
      <c r="Q90">
        <f>Durables!J129</f>
        <v>18021</v>
      </c>
      <c r="R90">
        <f>Durables!O129</f>
        <v>1891</v>
      </c>
      <c r="S90">
        <f>Durables!Q129</f>
        <v>4834</v>
      </c>
      <c r="U90" s="34">
        <f t="shared" si="42"/>
        <v>77.599159867517571</v>
      </c>
      <c r="V90" s="34">
        <f t="shared" si="43"/>
        <v>94.73684210526315</v>
      </c>
      <c r="W90" s="34">
        <f t="shared" si="44"/>
        <v>122.16798861094162</v>
      </c>
      <c r="X90" s="34">
        <f t="shared" si="45"/>
        <v>128.99045020463845</v>
      </c>
      <c r="Y90" s="34">
        <f t="shared" si="46"/>
        <v>93.374541240100442</v>
      </c>
      <c r="AB90">
        <f>'Semi-durables'!C129</f>
        <v>18975</v>
      </c>
      <c r="AC90">
        <f>'Semi-durables'!H129</f>
        <v>5844</v>
      </c>
      <c r="AD90">
        <f>'Semi-durables'!M129</f>
        <v>1517</v>
      </c>
      <c r="AE90">
        <f>'Semi-durables'!O129</f>
        <v>7722</v>
      </c>
      <c r="AF90">
        <f>'Semi-durables'!T129</f>
        <v>1141</v>
      </c>
      <c r="AH90" s="34">
        <f t="shared" si="47"/>
        <v>92.335766423357668</v>
      </c>
      <c r="AI90" s="34">
        <f t="shared" si="48"/>
        <v>87.093889716840536</v>
      </c>
      <c r="AJ90" s="34">
        <f t="shared" si="49"/>
        <v>116.87211093990754</v>
      </c>
      <c r="AK90" s="34">
        <f t="shared" si="50"/>
        <v>83.148487132550869</v>
      </c>
      <c r="AL90" s="34">
        <f t="shared" si="51"/>
        <v>78.311599176389848</v>
      </c>
      <c r="AO90">
        <f>'Non-durables'!C129</f>
        <v>35172</v>
      </c>
      <c r="AP90">
        <f>'Non-durables'!Q129</f>
        <v>13022</v>
      </c>
      <c r="AQ90">
        <f>'Non-durables'!X129</f>
        <v>17092</v>
      </c>
      <c r="AR90">
        <f>'Non-durables'!AG129</f>
        <v>2033</v>
      </c>
      <c r="AS90">
        <f>'Non-durables'!AI129</f>
        <v>2349</v>
      </c>
      <c r="AT90">
        <f>'Non-durables'!AL129</f>
        <v>10280</v>
      </c>
      <c r="AU90">
        <f>'Non-durables'!AN129</f>
        <v>7602</v>
      </c>
      <c r="AV90">
        <f>'Non-durables'!AT129</f>
        <v>6591</v>
      </c>
      <c r="AX90" s="34">
        <f t="shared" si="52"/>
        <v>96.897900710782963</v>
      </c>
      <c r="AY90" s="34">
        <f t="shared" si="53"/>
        <v>101.71053659298602</v>
      </c>
      <c r="AZ90" s="34">
        <f t="shared" si="54"/>
        <v>102.26769580566027</v>
      </c>
      <c r="BA90" s="34">
        <f t="shared" si="55"/>
        <v>92.409090909090907</v>
      </c>
      <c r="BB90" s="34">
        <f t="shared" si="56"/>
        <v>94.035228182546035</v>
      </c>
      <c r="BC90" s="34">
        <f t="shared" si="57"/>
        <v>110.52574991936351</v>
      </c>
      <c r="BD90" s="34">
        <f t="shared" si="58"/>
        <v>95.263157894736835</v>
      </c>
      <c r="BE90" s="34">
        <f t="shared" si="59"/>
        <v>94.630294328786789</v>
      </c>
      <c r="BH90">
        <f>Services!F129</f>
        <v>88363</v>
      </c>
      <c r="BI90">
        <f>Services!Q129</f>
        <v>1557</v>
      </c>
      <c r="BJ90">
        <f>Services!U129</f>
        <v>4775</v>
      </c>
      <c r="BK90">
        <f>Services!AA129</f>
        <v>27567</v>
      </c>
      <c r="BL90">
        <f>Services!AJ129</f>
        <v>3412</v>
      </c>
      <c r="BM90">
        <f>Services!AM129</f>
        <v>16693</v>
      </c>
      <c r="BN90">
        <f>Services!AV129</f>
        <v>8595</v>
      </c>
      <c r="BO90">
        <f>Services!AW129</f>
        <v>44498</v>
      </c>
      <c r="BP90">
        <f>Services!BB129</f>
        <v>41954</v>
      </c>
      <c r="BR90" s="34">
        <f t="shared" si="60"/>
        <v>96.748163314464648</v>
      </c>
      <c r="BS90" s="34">
        <f t="shared" si="61"/>
        <v>134.22413793103451</v>
      </c>
      <c r="BT90" s="34">
        <f t="shared" si="62"/>
        <v>103.71416159860991</v>
      </c>
      <c r="BU90" s="34">
        <f t="shared" si="63"/>
        <v>132.80181134984102</v>
      </c>
      <c r="BV90" s="34">
        <f t="shared" si="64"/>
        <v>61.081274615109201</v>
      </c>
      <c r="BW90" s="34">
        <f t="shared" si="65"/>
        <v>99.62401527810934</v>
      </c>
      <c r="BX90" s="34">
        <f t="shared" si="66"/>
        <v>97.173544375353302</v>
      </c>
      <c r="BY90" s="34">
        <f t="shared" si="67"/>
        <v>103.19812611609731</v>
      </c>
      <c r="BZ90" s="34">
        <f t="shared" si="68"/>
        <v>98.105883453372002</v>
      </c>
    </row>
    <row r="91" spans="1:78" x14ac:dyDescent="0.35">
      <c r="A91" s="101" t="s">
        <v>586</v>
      </c>
      <c r="B91">
        <f>'Total goods'!B130</f>
        <v>170061</v>
      </c>
      <c r="C91">
        <f>Durables!B130</f>
        <v>39200</v>
      </c>
      <c r="D91">
        <f>'Semi-durables'!B130</f>
        <v>36778</v>
      </c>
      <c r="E91">
        <f>'Non-durables'!B130</f>
        <v>94187</v>
      </c>
      <c r="F91">
        <f>Services!B130</f>
        <v>237276</v>
      </c>
      <c r="H91" s="34">
        <f t="shared" si="37"/>
        <v>99.26801505997723</v>
      </c>
      <c r="I91" s="34">
        <f t="shared" si="38"/>
        <v>104.13622718699361</v>
      </c>
      <c r="J91" s="34">
        <f t="shared" si="39"/>
        <v>93.539854519558475</v>
      </c>
      <c r="K91" s="34">
        <f t="shared" si="40"/>
        <v>99.817717440837654</v>
      </c>
      <c r="L91" s="34">
        <f t="shared" si="41"/>
        <v>101.08637304772373</v>
      </c>
      <c r="O91">
        <f>Durables!C130</f>
        <v>10346</v>
      </c>
      <c r="P91">
        <f>Durables!H130</f>
        <v>972</v>
      </c>
      <c r="Q91">
        <f>Durables!J130</f>
        <v>18313</v>
      </c>
      <c r="R91">
        <f>Durables!O130</f>
        <v>1949</v>
      </c>
      <c r="S91">
        <f>Durables!Q130</f>
        <v>4946</v>
      </c>
      <c r="U91" s="34">
        <f t="shared" si="42"/>
        <v>83.577025607884323</v>
      </c>
      <c r="V91" s="34">
        <f t="shared" si="43"/>
        <v>94.73684210526315</v>
      </c>
      <c r="W91" s="34">
        <f t="shared" si="44"/>
        <v>124.14751542268321</v>
      </c>
      <c r="X91" s="34">
        <f t="shared" si="45"/>
        <v>132.9467939972715</v>
      </c>
      <c r="Y91" s="34">
        <f t="shared" si="46"/>
        <v>95.537956345373772</v>
      </c>
      <c r="AB91">
        <f>'Semi-durables'!C130</f>
        <v>19087</v>
      </c>
      <c r="AC91">
        <f>'Semi-durables'!H130</f>
        <v>5800</v>
      </c>
      <c r="AD91">
        <f>'Semi-durables'!M130</f>
        <v>1480</v>
      </c>
      <c r="AE91">
        <f>'Semi-durables'!O130</f>
        <v>8881</v>
      </c>
      <c r="AF91">
        <f>'Semi-durables'!T130</f>
        <v>1506</v>
      </c>
      <c r="AH91" s="34">
        <f t="shared" si="47"/>
        <v>92.880778588807786</v>
      </c>
      <c r="AI91" s="34">
        <f t="shared" si="48"/>
        <v>86.438152011922512</v>
      </c>
      <c r="AJ91" s="34">
        <f t="shared" si="49"/>
        <v>114.02157164869028</v>
      </c>
      <c r="AK91" s="34">
        <f t="shared" si="50"/>
        <v>95.628297620329491</v>
      </c>
      <c r="AL91" s="34">
        <f t="shared" si="51"/>
        <v>103.363074811256</v>
      </c>
      <c r="AO91">
        <f>'Non-durables'!C130</f>
        <v>35591</v>
      </c>
      <c r="AP91">
        <f>'Non-durables'!Q130</f>
        <v>12797</v>
      </c>
      <c r="AQ91">
        <f>'Non-durables'!X130</f>
        <v>17248</v>
      </c>
      <c r="AR91">
        <f>'Non-durables'!AG130</f>
        <v>2016</v>
      </c>
      <c r="AS91">
        <f>'Non-durables'!AI130</f>
        <v>2445</v>
      </c>
      <c r="AT91">
        <f>'Non-durables'!AL130</f>
        <v>10274</v>
      </c>
      <c r="AU91">
        <f>'Non-durables'!AN130</f>
        <v>7591</v>
      </c>
      <c r="AV91">
        <f>'Non-durables'!AT130</f>
        <v>6618</v>
      </c>
      <c r="AX91" s="34">
        <f t="shared" si="52"/>
        <v>98.052234282880605</v>
      </c>
      <c r="AY91" s="34">
        <f t="shared" si="53"/>
        <v>99.95313598375381</v>
      </c>
      <c r="AZ91" s="34">
        <f t="shared" si="54"/>
        <v>103.2011009393885</v>
      </c>
      <c r="BA91" s="34">
        <f t="shared" si="55"/>
        <v>91.63636363636364</v>
      </c>
      <c r="BB91" s="34">
        <f t="shared" si="56"/>
        <v>97.878302642113695</v>
      </c>
      <c r="BC91" s="34">
        <f t="shared" si="57"/>
        <v>110.46124072680357</v>
      </c>
      <c r="BD91" s="34">
        <f t="shared" si="58"/>
        <v>95.12531328320803</v>
      </c>
      <c r="BE91" s="34">
        <f t="shared" si="59"/>
        <v>95.017946877243361</v>
      </c>
      <c r="BH91">
        <f>Services!F130</f>
        <v>88674</v>
      </c>
      <c r="BI91">
        <f>Services!Q130</f>
        <v>1564</v>
      </c>
      <c r="BJ91">
        <f>Services!U130</f>
        <v>4828</v>
      </c>
      <c r="BK91">
        <f>Services!AA130</f>
        <v>27712</v>
      </c>
      <c r="BL91">
        <f>Services!AJ130</f>
        <v>3459</v>
      </c>
      <c r="BM91">
        <f>Services!AM130</f>
        <v>16800</v>
      </c>
      <c r="BN91">
        <f>Services!AV130</f>
        <v>8435</v>
      </c>
      <c r="BO91">
        <f>Services!AW130</f>
        <v>44651</v>
      </c>
      <c r="BP91">
        <f>Services!BB130</f>
        <v>43480</v>
      </c>
      <c r="BR91" s="34">
        <f t="shared" si="60"/>
        <v>97.088675506114981</v>
      </c>
      <c r="BS91" s="34">
        <f t="shared" si="61"/>
        <v>134.82758620689654</v>
      </c>
      <c r="BT91" s="34">
        <f t="shared" si="62"/>
        <v>104.86533449174631</v>
      </c>
      <c r="BU91" s="34">
        <f t="shared" si="63"/>
        <v>133.5003372193853</v>
      </c>
      <c r="BV91" s="34">
        <f t="shared" si="64"/>
        <v>61.922663802363054</v>
      </c>
      <c r="BW91" s="34">
        <f t="shared" si="65"/>
        <v>100.26259250417762</v>
      </c>
      <c r="BX91" s="34">
        <f t="shared" si="66"/>
        <v>95.364612775579431</v>
      </c>
      <c r="BY91" s="34">
        <f t="shared" si="67"/>
        <v>103.55295809272013</v>
      </c>
      <c r="BZ91" s="34">
        <f t="shared" si="68"/>
        <v>101.67430549059956</v>
      </c>
    </row>
    <row r="92" spans="1:78" x14ac:dyDescent="0.35">
      <c r="A92" s="101" t="s">
        <v>587</v>
      </c>
      <c r="B92">
        <f>'Total goods'!B131</f>
        <v>168801</v>
      </c>
      <c r="C92">
        <f>Durables!B131</f>
        <v>39019</v>
      </c>
      <c r="D92">
        <f>'Semi-durables'!B131</f>
        <v>36668</v>
      </c>
      <c r="E92">
        <f>'Non-durables'!B131</f>
        <v>93191</v>
      </c>
      <c r="F92">
        <f>Services!B131</f>
        <v>237085</v>
      </c>
      <c r="H92" s="34">
        <f t="shared" si="37"/>
        <v>98.532527799667278</v>
      </c>
      <c r="I92" s="34">
        <f t="shared" si="38"/>
        <v>103.6553940971761</v>
      </c>
      <c r="J92" s="34">
        <f t="shared" si="39"/>
        <v>93.26008443969684</v>
      </c>
      <c r="K92" s="34">
        <f t="shared" si="40"/>
        <v>98.762174249409171</v>
      </c>
      <c r="L92" s="34">
        <f t="shared" si="41"/>
        <v>101.00500157630599</v>
      </c>
      <c r="O92">
        <f>Durables!C131</f>
        <v>9975</v>
      </c>
      <c r="P92">
        <f>Durables!H131</f>
        <v>929</v>
      </c>
      <c r="Q92">
        <f>Durables!J131</f>
        <v>18664</v>
      </c>
      <c r="R92">
        <f>Durables!O131</f>
        <v>1818</v>
      </c>
      <c r="S92">
        <f>Durables!Q131</f>
        <v>5072</v>
      </c>
      <c r="U92" s="34">
        <f t="shared" si="42"/>
        <v>80.580014540754505</v>
      </c>
      <c r="V92" s="34">
        <f t="shared" si="43"/>
        <v>90.5458089668616</v>
      </c>
      <c r="W92" s="34">
        <f t="shared" si="44"/>
        <v>126.52701511761914</v>
      </c>
      <c r="X92" s="34">
        <f t="shared" si="45"/>
        <v>124.01091405184175</v>
      </c>
      <c r="Y92" s="34">
        <f t="shared" si="46"/>
        <v>97.971798338806266</v>
      </c>
      <c r="AB92">
        <f>'Semi-durables'!C131</f>
        <v>19520</v>
      </c>
      <c r="AC92">
        <f>'Semi-durables'!H131</f>
        <v>5895</v>
      </c>
      <c r="AD92">
        <f>'Semi-durables'!M131</f>
        <v>1483</v>
      </c>
      <c r="AE92">
        <f>'Semi-durables'!O131</f>
        <v>8439</v>
      </c>
      <c r="AF92">
        <f>'Semi-durables'!T131</f>
        <v>1296</v>
      </c>
      <c r="AH92" s="34">
        <f t="shared" si="47"/>
        <v>94.987834549878343</v>
      </c>
      <c r="AI92" s="34">
        <f t="shared" si="48"/>
        <v>87.853949329359153</v>
      </c>
      <c r="AJ92" s="34">
        <f t="shared" si="49"/>
        <v>114.25269645608628</v>
      </c>
      <c r="AK92" s="34">
        <f t="shared" si="50"/>
        <v>90.868956606008396</v>
      </c>
      <c r="AL92" s="34">
        <f t="shared" si="51"/>
        <v>88.949897048730264</v>
      </c>
      <c r="AO92">
        <f>'Non-durables'!C131</f>
        <v>34983</v>
      </c>
      <c r="AP92">
        <f>'Non-durables'!Q131</f>
        <v>12627</v>
      </c>
      <c r="AQ92">
        <f>'Non-durables'!X131</f>
        <v>16715</v>
      </c>
      <c r="AR92">
        <f>'Non-durables'!AG131</f>
        <v>2064</v>
      </c>
      <c r="AS92">
        <f>'Non-durables'!AI131</f>
        <v>2626</v>
      </c>
      <c r="AT92">
        <f>'Non-durables'!AL131</f>
        <v>10197</v>
      </c>
      <c r="AU92">
        <f>'Non-durables'!AN131</f>
        <v>7556</v>
      </c>
      <c r="AV92">
        <f>'Non-durables'!AT131</f>
        <v>6690</v>
      </c>
      <c r="AX92" s="34">
        <f t="shared" si="52"/>
        <v>96.377210865612426</v>
      </c>
      <c r="AY92" s="34">
        <f t="shared" si="53"/>
        <v>98.625322190111703</v>
      </c>
      <c r="AZ92" s="34">
        <f t="shared" si="54"/>
        <v>100.0119667324837</v>
      </c>
      <c r="BA92" s="34">
        <f t="shared" si="55"/>
        <v>93.818181818181827</v>
      </c>
      <c r="BB92" s="34">
        <f t="shared" si="56"/>
        <v>105.12409927942355</v>
      </c>
      <c r="BC92" s="34">
        <f t="shared" si="57"/>
        <v>109.63337275561769</v>
      </c>
      <c r="BD92" s="34">
        <f t="shared" si="58"/>
        <v>94.686716791979947</v>
      </c>
      <c r="BE92" s="34">
        <f t="shared" si="59"/>
        <v>96.051687006460867</v>
      </c>
      <c r="BH92">
        <f>Services!F131</f>
        <v>88807</v>
      </c>
      <c r="BI92">
        <f>Services!Q131</f>
        <v>1636</v>
      </c>
      <c r="BJ92">
        <f>Services!U131</f>
        <v>4829</v>
      </c>
      <c r="BK92">
        <f>Services!AA131</f>
        <v>27822</v>
      </c>
      <c r="BL92">
        <f>Services!AJ131</f>
        <v>3647</v>
      </c>
      <c r="BM92">
        <f>Services!AM131</f>
        <v>16702</v>
      </c>
      <c r="BN92">
        <f>Services!AV131</f>
        <v>8515</v>
      </c>
      <c r="BO92">
        <f>Services!AW131</f>
        <v>44074</v>
      </c>
      <c r="BP92">
        <f>Services!BB131</f>
        <v>43129</v>
      </c>
      <c r="BR92" s="34">
        <f t="shared" si="60"/>
        <v>97.234296475534592</v>
      </c>
      <c r="BS92" s="34">
        <f t="shared" si="61"/>
        <v>141.0344827586207</v>
      </c>
      <c r="BT92" s="34">
        <f t="shared" si="62"/>
        <v>104.88705473501302</v>
      </c>
      <c r="BU92" s="34">
        <f t="shared" si="63"/>
        <v>134.03025339628095</v>
      </c>
      <c r="BV92" s="34">
        <f t="shared" si="64"/>
        <v>65.288220551378444</v>
      </c>
      <c r="BW92" s="34">
        <f t="shared" si="65"/>
        <v>99.677727381236565</v>
      </c>
      <c r="BX92" s="34">
        <f t="shared" si="66"/>
        <v>96.269078575466366</v>
      </c>
      <c r="BY92" s="34">
        <f t="shared" si="67"/>
        <v>102.21480089983534</v>
      </c>
      <c r="BZ92" s="34">
        <f t="shared" si="68"/>
        <v>100.85352165372743</v>
      </c>
    </row>
    <row r="93" spans="1:78" x14ac:dyDescent="0.35">
      <c r="A93" s="101" t="s">
        <v>588</v>
      </c>
      <c r="B93">
        <f>'Total goods'!B132</f>
        <v>169647</v>
      </c>
      <c r="C93">
        <f>Durables!B132</f>
        <v>39684</v>
      </c>
      <c r="D93">
        <f>'Semi-durables'!B132</f>
        <v>37158</v>
      </c>
      <c r="E93">
        <f>'Non-durables'!B132</f>
        <v>92804</v>
      </c>
      <c r="F93">
        <f>Services!B132</f>
        <v>237431</v>
      </c>
      <c r="H93" s="34">
        <f t="shared" si="37"/>
        <v>99.026354960161115</v>
      </c>
      <c r="I93" s="34">
        <f t="shared" si="38"/>
        <v>105.42199080838404</v>
      </c>
      <c r="J93" s="34">
        <f t="shared" si="39"/>
        <v>94.506332977262318</v>
      </c>
      <c r="K93" s="34">
        <f t="shared" si="40"/>
        <v>98.352038491293897</v>
      </c>
      <c r="L93" s="34">
        <f t="shared" si="41"/>
        <v>101.15240748787949</v>
      </c>
      <c r="O93">
        <f>Durables!C132</f>
        <v>10159</v>
      </c>
      <c r="P93">
        <f>Durables!H132</f>
        <v>943</v>
      </c>
      <c r="Q93">
        <f>Durables!J132</f>
        <v>18806</v>
      </c>
      <c r="R93">
        <f>Durables!O132</f>
        <v>1876</v>
      </c>
      <c r="S93">
        <f>Durables!Q132</f>
        <v>5304</v>
      </c>
      <c r="U93" s="34">
        <f t="shared" si="42"/>
        <v>82.066402778899743</v>
      </c>
      <c r="V93" s="34">
        <f t="shared" si="43"/>
        <v>91.910331384015592</v>
      </c>
      <c r="W93" s="34">
        <f t="shared" si="44"/>
        <v>127.48966171784963</v>
      </c>
      <c r="X93" s="34">
        <f t="shared" si="45"/>
        <v>127.96725784447476</v>
      </c>
      <c r="Y93" s="34">
        <f t="shared" si="46"/>
        <v>102.45315819972957</v>
      </c>
      <c r="AB93">
        <f>'Semi-durables'!C132</f>
        <v>19432</v>
      </c>
      <c r="AC93">
        <f>'Semi-durables'!H132</f>
        <v>5942</v>
      </c>
      <c r="AD93">
        <f>'Semi-durables'!M132</f>
        <v>1474</v>
      </c>
      <c r="AE93">
        <f>'Semi-durables'!O132</f>
        <v>8841</v>
      </c>
      <c r="AF93">
        <f>'Semi-durables'!T132</f>
        <v>1437</v>
      </c>
      <c r="AH93" s="34">
        <f t="shared" si="47"/>
        <v>94.559610705596114</v>
      </c>
      <c r="AI93" s="34">
        <f t="shared" si="48"/>
        <v>88.554396423248889</v>
      </c>
      <c r="AJ93" s="34">
        <f t="shared" si="49"/>
        <v>113.55932203389831</v>
      </c>
      <c r="AK93" s="34">
        <f t="shared" si="50"/>
        <v>95.19758802627328</v>
      </c>
      <c r="AL93" s="34">
        <f t="shared" si="51"/>
        <v>98.627316403568983</v>
      </c>
      <c r="AO93">
        <f>'Non-durables'!C132</f>
        <v>34547</v>
      </c>
      <c r="AP93">
        <f>'Non-durables'!Q132</f>
        <v>12276</v>
      </c>
      <c r="AQ93">
        <f>'Non-durables'!X132</f>
        <v>17270</v>
      </c>
      <c r="AR93">
        <f>'Non-durables'!AG132</f>
        <v>2113</v>
      </c>
      <c r="AS93">
        <f>'Non-durables'!AI132</f>
        <v>2589</v>
      </c>
      <c r="AT93">
        <f>'Non-durables'!AL132</f>
        <v>10136</v>
      </c>
      <c r="AU93">
        <f>'Non-durables'!AN132</f>
        <v>7590</v>
      </c>
      <c r="AV93">
        <f>'Non-durables'!AT132</f>
        <v>6744</v>
      </c>
      <c r="AX93" s="34">
        <f t="shared" si="52"/>
        <v>95.176042757176702</v>
      </c>
      <c r="AY93" s="34">
        <f t="shared" si="53"/>
        <v>95.883777239709445</v>
      </c>
      <c r="AZ93" s="34">
        <f t="shared" si="54"/>
        <v>103.33273499670914</v>
      </c>
      <c r="BA93" s="34">
        <f t="shared" si="55"/>
        <v>96.045454545454547</v>
      </c>
      <c r="BB93" s="34">
        <f t="shared" si="56"/>
        <v>103.64291433146518</v>
      </c>
      <c r="BC93" s="34">
        <f t="shared" si="57"/>
        <v>108.97752929792495</v>
      </c>
      <c r="BD93" s="34">
        <f t="shared" si="58"/>
        <v>95.112781954887211</v>
      </c>
      <c r="BE93" s="34">
        <f t="shared" si="59"/>
        <v>96.82699210337401</v>
      </c>
      <c r="BH93">
        <f>Services!F132</f>
        <v>89023</v>
      </c>
      <c r="BI93">
        <f>Services!Q132</f>
        <v>1651</v>
      </c>
      <c r="BJ93">
        <f>Services!U132</f>
        <v>4628</v>
      </c>
      <c r="BK93">
        <f>Services!AA132</f>
        <v>28353</v>
      </c>
      <c r="BL93">
        <f>Services!AJ132</f>
        <v>3778</v>
      </c>
      <c r="BM93">
        <f>Services!AM132</f>
        <v>17173</v>
      </c>
      <c r="BN93">
        <f>Services!AV132</f>
        <v>8565</v>
      </c>
      <c r="BO93">
        <f>Services!AW132</f>
        <v>43430</v>
      </c>
      <c r="BP93">
        <f>Services!BB132</f>
        <v>42662</v>
      </c>
      <c r="BR93" s="34">
        <f t="shared" si="60"/>
        <v>97.470793689028056</v>
      </c>
      <c r="BS93" s="34">
        <f t="shared" si="61"/>
        <v>142.32758620689657</v>
      </c>
      <c r="BT93" s="34">
        <f t="shared" si="62"/>
        <v>100.52128583840138</v>
      </c>
      <c r="BU93" s="34">
        <f t="shared" si="63"/>
        <v>136.58830330474999</v>
      </c>
      <c r="BV93" s="34">
        <f t="shared" si="64"/>
        <v>67.63336913712854</v>
      </c>
      <c r="BW93" s="34">
        <f t="shared" si="65"/>
        <v>102.48866077822869</v>
      </c>
      <c r="BX93" s="34">
        <f t="shared" si="66"/>
        <v>96.834369700395712</v>
      </c>
      <c r="BY93" s="34">
        <f t="shared" si="67"/>
        <v>100.72125976947517</v>
      </c>
      <c r="BZ93" s="34">
        <f t="shared" si="68"/>
        <v>99.761481620054255</v>
      </c>
    </row>
    <row r="94" spans="1:78" x14ac:dyDescent="0.35">
      <c r="A94" s="101" t="s">
        <v>589</v>
      </c>
      <c r="B94">
        <f>'Total goods'!B133</f>
        <v>168939</v>
      </c>
      <c r="C94">
        <f>Durables!B133</f>
        <v>39239</v>
      </c>
      <c r="D94">
        <f>'Semi-durables'!B133</f>
        <v>38139</v>
      </c>
      <c r="E94">
        <f>'Non-durables'!B133</f>
        <v>91427</v>
      </c>
      <c r="F94">
        <f>Services!B133</f>
        <v>237660</v>
      </c>
      <c r="H94" s="34">
        <f t="shared" si="37"/>
        <v>98.61308116627265</v>
      </c>
      <c r="I94" s="34">
        <f t="shared" si="38"/>
        <v>104.23983210689902</v>
      </c>
      <c r="J94" s="34">
        <f t="shared" si="39"/>
        <v>97.001373416755683</v>
      </c>
      <c r="K94" s="34">
        <f t="shared" si="40"/>
        <v>96.892718235674394</v>
      </c>
      <c r="L94" s="34">
        <f t="shared" si="41"/>
        <v>101.24996804785154</v>
      </c>
      <c r="O94">
        <f>Durables!C133</f>
        <v>9954</v>
      </c>
      <c r="P94">
        <f>Durables!H133</f>
        <v>907</v>
      </c>
      <c r="Q94">
        <f>Durables!J133</f>
        <v>18732</v>
      </c>
      <c r="R94">
        <f>Durables!O133</f>
        <v>1877</v>
      </c>
      <c r="S94">
        <f>Durables!Q133</f>
        <v>5159</v>
      </c>
      <c r="U94" s="34">
        <f t="shared" si="42"/>
        <v>80.410372404879226</v>
      </c>
      <c r="V94" s="34">
        <f t="shared" si="43"/>
        <v>88.40155945419103</v>
      </c>
      <c r="W94" s="34">
        <f t="shared" si="44"/>
        <v>126.98800081350416</v>
      </c>
      <c r="X94" s="34">
        <f t="shared" si="45"/>
        <v>128.03547066848569</v>
      </c>
      <c r="Y94" s="34">
        <f t="shared" si="46"/>
        <v>99.652308286652499</v>
      </c>
      <c r="AB94">
        <f>'Semi-durables'!C133</f>
        <v>19845</v>
      </c>
      <c r="AC94">
        <f>'Semi-durables'!H133</f>
        <v>6158</v>
      </c>
      <c r="AD94">
        <f>'Semi-durables'!M133</f>
        <v>1522</v>
      </c>
      <c r="AE94">
        <f>'Semi-durables'!O133</f>
        <v>9202</v>
      </c>
      <c r="AF94">
        <f>'Semi-durables'!T133</f>
        <v>1383</v>
      </c>
      <c r="AH94" s="34">
        <f t="shared" si="47"/>
        <v>96.569343065693431</v>
      </c>
      <c r="AI94" s="34">
        <f t="shared" si="48"/>
        <v>91.77347242921013</v>
      </c>
      <c r="AJ94" s="34">
        <f t="shared" si="49"/>
        <v>117.25731895223421</v>
      </c>
      <c r="AK94" s="34">
        <f t="shared" si="50"/>
        <v>99.084742112630565</v>
      </c>
      <c r="AL94" s="34">
        <f t="shared" si="51"/>
        <v>94.921070693205209</v>
      </c>
      <c r="AO94">
        <f>'Non-durables'!C133</f>
        <v>34737</v>
      </c>
      <c r="AP94">
        <f>'Non-durables'!Q133</f>
        <v>12322</v>
      </c>
      <c r="AQ94">
        <f>'Non-durables'!X133</f>
        <v>16008</v>
      </c>
      <c r="AR94">
        <f>'Non-durables'!AG133</f>
        <v>2130</v>
      </c>
      <c r="AS94">
        <f>'Non-durables'!AI133</f>
        <v>2442</v>
      </c>
      <c r="AT94">
        <f>'Non-durables'!AL133</f>
        <v>9863</v>
      </c>
      <c r="AU94">
        <f>'Non-durables'!AN133</f>
        <v>7430</v>
      </c>
      <c r="AV94">
        <f>'Non-durables'!AT133</f>
        <v>6679</v>
      </c>
      <c r="AX94" s="34">
        <f t="shared" si="52"/>
        <v>95.699487575073007</v>
      </c>
      <c r="AY94" s="34">
        <f t="shared" si="53"/>
        <v>96.243068030930246</v>
      </c>
      <c r="AZ94" s="34">
        <f t="shared" si="54"/>
        <v>95.781726799497406</v>
      </c>
      <c r="BA94" s="34">
        <f t="shared" si="55"/>
        <v>96.818181818181813</v>
      </c>
      <c r="BB94" s="34">
        <f t="shared" si="56"/>
        <v>97.758206565252209</v>
      </c>
      <c r="BC94" s="34">
        <f t="shared" si="57"/>
        <v>106.04236103644769</v>
      </c>
      <c r="BD94" s="34">
        <f t="shared" si="58"/>
        <v>93.107769423558892</v>
      </c>
      <c r="BE94" s="34">
        <f t="shared" si="59"/>
        <v>95.893754486719303</v>
      </c>
      <c r="BH94">
        <f>Services!F133</f>
        <v>89002</v>
      </c>
      <c r="BI94">
        <f>Services!Q133</f>
        <v>1508</v>
      </c>
      <c r="BJ94">
        <f>Services!U133</f>
        <v>4687</v>
      </c>
      <c r="BK94">
        <f>Services!AA133</f>
        <v>27293</v>
      </c>
      <c r="BL94">
        <f>Services!AJ133</f>
        <v>3923</v>
      </c>
      <c r="BM94">
        <f>Services!AM133</f>
        <v>17134</v>
      </c>
      <c r="BN94">
        <f>Services!AV133</f>
        <v>8528</v>
      </c>
      <c r="BO94">
        <f>Services!AW133</f>
        <v>44480</v>
      </c>
      <c r="BP94">
        <f>Services!BB133</f>
        <v>42839</v>
      </c>
      <c r="BR94" s="34">
        <f t="shared" si="60"/>
        <v>97.447800904382859</v>
      </c>
      <c r="BS94" s="34">
        <f t="shared" si="61"/>
        <v>130</v>
      </c>
      <c r="BT94" s="34">
        <f t="shared" si="62"/>
        <v>101.80278019113813</v>
      </c>
      <c r="BU94" s="34">
        <f t="shared" si="63"/>
        <v>131.48183832739184</v>
      </c>
      <c r="BV94" s="34">
        <f t="shared" si="64"/>
        <v>70.229144289294666</v>
      </c>
      <c r="BW94" s="34">
        <f t="shared" si="65"/>
        <v>102.25590833134399</v>
      </c>
      <c r="BX94" s="34">
        <f t="shared" si="66"/>
        <v>96.416054267947999</v>
      </c>
      <c r="BY94" s="34">
        <f t="shared" si="67"/>
        <v>103.15638117767109</v>
      </c>
      <c r="BZ94" s="34">
        <f t="shared" si="68"/>
        <v>100.17538116172481</v>
      </c>
    </row>
    <row r="95" spans="1:78" x14ac:dyDescent="0.35">
      <c r="A95" s="101" t="s">
        <v>590</v>
      </c>
      <c r="B95">
        <f>'Total goods'!B134</f>
        <v>167895</v>
      </c>
      <c r="C95">
        <f>Durables!B134</f>
        <v>37978</v>
      </c>
      <c r="D95">
        <f>'Semi-durables'!B134</f>
        <v>37480</v>
      </c>
      <c r="E95">
        <f>'Non-durables'!B134</f>
        <v>92454</v>
      </c>
      <c r="F95">
        <f>Services!B134</f>
        <v>238840</v>
      </c>
      <c r="H95" s="34">
        <f t="shared" si="37"/>
        <v>98.003677436301544</v>
      </c>
      <c r="I95" s="34">
        <f t="shared" si="38"/>
        <v>100.88993969662354</v>
      </c>
      <c r="J95" s="34">
        <f t="shared" si="39"/>
        <v>95.325296301948214</v>
      </c>
      <c r="K95" s="34">
        <f t="shared" si="40"/>
        <v>97.981114679044921</v>
      </c>
      <c r="L95" s="34">
        <f t="shared" si="41"/>
        <v>101.75268185032762</v>
      </c>
      <c r="O95">
        <f>Durables!C134</f>
        <v>9623</v>
      </c>
      <c r="P95">
        <f>Durables!H134</f>
        <v>969</v>
      </c>
      <c r="Q95">
        <f>Durables!J134</f>
        <v>17863</v>
      </c>
      <c r="R95">
        <f>Durables!O134</f>
        <v>1845</v>
      </c>
      <c r="S95">
        <f>Durables!Q134</f>
        <v>4987</v>
      </c>
      <c r="U95" s="34">
        <f t="shared" si="42"/>
        <v>77.736489215607079</v>
      </c>
      <c r="V95" s="34">
        <f t="shared" si="43"/>
        <v>94.444444444444443</v>
      </c>
      <c r="W95" s="34">
        <f t="shared" si="44"/>
        <v>121.09687478814996</v>
      </c>
      <c r="X95" s="34">
        <f t="shared" si="45"/>
        <v>125.85266030013642</v>
      </c>
      <c r="Y95" s="34">
        <f t="shared" si="46"/>
        <v>96.329920803554188</v>
      </c>
      <c r="AB95">
        <f>'Semi-durables'!C134</f>
        <v>19741</v>
      </c>
      <c r="AC95">
        <f>'Semi-durables'!H134</f>
        <v>5991</v>
      </c>
      <c r="AD95">
        <f>'Semi-durables'!M134</f>
        <v>1457</v>
      </c>
      <c r="AE95">
        <f>'Semi-durables'!O134</f>
        <v>8685</v>
      </c>
      <c r="AF95">
        <f>'Semi-durables'!T134</f>
        <v>1563</v>
      </c>
      <c r="AH95" s="34">
        <f t="shared" si="47"/>
        <v>96.06326034063261</v>
      </c>
      <c r="AI95" s="34">
        <f t="shared" si="48"/>
        <v>89.284649776453051</v>
      </c>
      <c r="AJ95" s="34">
        <f t="shared" si="49"/>
        <v>112.24961479198767</v>
      </c>
      <c r="AK95" s="34">
        <f t="shared" si="50"/>
        <v>93.517820609454077</v>
      </c>
      <c r="AL95" s="34">
        <f t="shared" si="51"/>
        <v>107.27522306108442</v>
      </c>
      <c r="AO95">
        <f>'Non-durables'!C134</f>
        <v>35105</v>
      </c>
      <c r="AP95">
        <f>'Non-durables'!Q134</f>
        <v>12256</v>
      </c>
      <c r="AQ95">
        <f>'Non-durables'!X134</f>
        <v>16598</v>
      </c>
      <c r="AR95">
        <f>'Non-durables'!AG134</f>
        <v>2146</v>
      </c>
      <c r="AS95">
        <f>'Non-durables'!AI134</f>
        <v>2303</v>
      </c>
      <c r="AT95">
        <f>'Non-durables'!AL134</f>
        <v>9943</v>
      </c>
      <c r="AU95">
        <f>'Non-durables'!AN134</f>
        <v>7999</v>
      </c>
      <c r="AV95">
        <f>'Non-durables'!AT134</f>
        <v>6459</v>
      </c>
      <c r="AX95" s="34">
        <f t="shared" si="52"/>
        <v>96.713317538156375</v>
      </c>
      <c r="AY95" s="34">
        <f t="shared" si="53"/>
        <v>95.727563852222133</v>
      </c>
      <c r="AZ95" s="34">
        <f t="shared" si="54"/>
        <v>99.311912882187514</v>
      </c>
      <c r="BA95" s="34">
        <f t="shared" si="55"/>
        <v>97.545454545454547</v>
      </c>
      <c r="BB95" s="34">
        <f t="shared" si="56"/>
        <v>92.193755004003194</v>
      </c>
      <c r="BC95" s="34">
        <f t="shared" si="57"/>
        <v>106.90248360391357</v>
      </c>
      <c r="BD95" s="34">
        <f t="shared" si="58"/>
        <v>100.23809523809524</v>
      </c>
      <c r="BE95" s="34">
        <f t="shared" si="59"/>
        <v>92.735104091888005</v>
      </c>
      <c r="BH95">
        <f>Services!F134</f>
        <v>89046</v>
      </c>
      <c r="BI95">
        <f>Services!Q134</f>
        <v>1511</v>
      </c>
      <c r="BJ95">
        <f>Services!U134</f>
        <v>4714</v>
      </c>
      <c r="BK95">
        <f>Services!AA134</f>
        <v>26352</v>
      </c>
      <c r="BL95">
        <f>Services!AJ134</f>
        <v>4205</v>
      </c>
      <c r="BM95">
        <f>Services!AM134</f>
        <v>17231</v>
      </c>
      <c r="BN95">
        <f>Services!AV134</f>
        <v>8378</v>
      </c>
      <c r="BO95">
        <f>Services!AW134</f>
        <v>45437</v>
      </c>
      <c r="BP95">
        <f>Services!BB134</f>
        <v>43553</v>
      </c>
      <c r="BR95" s="34">
        <f t="shared" si="60"/>
        <v>97.495976262687094</v>
      </c>
      <c r="BS95" s="34">
        <f t="shared" si="61"/>
        <v>130.25862068965517</v>
      </c>
      <c r="BT95" s="34">
        <f t="shared" si="62"/>
        <v>102.38922675933971</v>
      </c>
      <c r="BU95" s="34">
        <f t="shared" si="63"/>
        <v>126.94864630503902</v>
      </c>
      <c r="BV95" s="34">
        <f t="shared" si="64"/>
        <v>75.277479412817755</v>
      </c>
      <c r="BW95" s="34">
        <f t="shared" si="65"/>
        <v>102.83480544282646</v>
      </c>
      <c r="BX95" s="34">
        <f t="shared" si="66"/>
        <v>94.720180893159977</v>
      </c>
      <c r="BY95" s="34">
        <f t="shared" si="67"/>
        <v>105.37582040399825</v>
      </c>
      <c r="BZ95" s="34">
        <f t="shared" si="68"/>
        <v>101.84500982134506</v>
      </c>
    </row>
    <row r="96" spans="1:78" x14ac:dyDescent="0.35">
      <c r="A96" s="101" t="s">
        <v>591</v>
      </c>
      <c r="B96">
        <f>'Total goods'!B135</f>
        <v>161896</v>
      </c>
      <c r="C96">
        <f>Durables!B135</f>
        <v>35320</v>
      </c>
      <c r="D96">
        <f>'Semi-durables'!B135</f>
        <v>32160</v>
      </c>
      <c r="E96">
        <f>'Non-durables'!B135</f>
        <v>95047</v>
      </c>
      <c r="F96">
        <f>Services!B135</f>
        <v>234395</v>
      </c>
      <c r="H96" s="34">
        <f t="shared" si="37"/>
        <v>94.501940869159156</v>
      </c>
      <c r="I96" s="34">
        <f t="shared" si="38"/>
        <v>93.828865924607499</v>
      </c>
      <c r="J96" s="34">
        <f t="shared" si="39"/>
        <v>81.794597894094309</v>
      </c>
      <c r="K96" s="34">
        <f t="shared" si="40"/>
        <v>100.7291302366494</v>
      </c>
      <c r="L96" s="34">
        <f t="shared" si="41"/>
        <v>99.858984518119001</v>
      </c>
      <c r="O96">
        <f>Durables!C135</f>
        <v>9730</v>
      </c>
      <c r="P96">
        <f>Durables!H135</f>
        <v>664</v>
      </c>
      <c r="Q96">
        <f>Durables!J135</f>
        <v>15160</v>
      </c>
      <c r="R96">
        <f>Durables!O135</f>
        <v>1840</v>
      </c>
      <c r="S96">
        <f>Durables!Q135</f>
        <v>5482</v>
      </c>
      <c r="U96" s="34">
        <f t="shared" si="42"/>
        <v>78.600856288876315</v>
      </c>
      <c r="V96" s="34">
        <f t="shared" si="43"/>
        <v>64.717348927875236</v>
      </c>
      <c r="W96" s="34">
        <f t="shared" si="44"/>
        <v>102.77269337672021</v>
      </c>
      <c r="X96" s="34">
        <f t="shared" si="45"/>
        <v>125.51159618008185</v>
      </c>
      <c r="Y96" s="34">
        <f t="shared" si="46"/>
        <v>105.89144292061039</v>
      </c>
      <c r="AB96">
        <f>'Semi-durables'!C135</f>
        <v>15542</v>
      </c>
      <c r="AC96">
        <f>'Semi-durables'!H135</f>
        <v>6027</v>
      </c>
      <c r="AD96">
        <f>'Semi-durables'!M135</f>
        <v>1458</v>
      </c>
      <c r="AE96">
        <f>'Semi-durables'!O135</f>
        <v>8236</v>
      </c>
      <c r="AF96">
        <f>'Semi-durables'!T135</f>
        <v>872</v>
      </c>
      <c r="AH96" s="34">
        <f t="shared" si="47"/>
        <v>75.630170316301701</v>
      </c>
      <c r="AI96" s="34">
        <f t="shared" si="48"/>
        <v>89.82116244411327</v>
      </c>
      <c r="AJ96" s="34">
        <f t="shared" si="49"/>
        <v>112.32665639445301</v>
      </c>
      <c r="AK96" s="34">
        <f t="shared" si="50"/>
        <v>88.683105416173149</v>
      </c>
      <c r="AL96" s="34">
        <f t="shared" si="51"/>
        <v>59.849004804392592</v>
      </c>
      <c r="AO96">
        <f>'Non-durables'!C135</f>
        <v>37104</v>
      </c>
      <c r="AP96">
        <f>'Non-durables'!Q135</f>
        <v>13017</v>
      </c>
      <c r="AQ96">
        <f>'Non-durables'!X135</f>
        <v>16546</v>
      </c>
      <c r="AR96">
        <f>'Non-durables'!AG135</f>
        <v>2605</v>
      </c>
      <c r="AS96">
        <f>'Non-durables'!AI135</f>
        <v>2536</v>
      </c>
      <c r="AT96">
        <f>'Non-durables'!AL135</f>
        <v>10161</v>
      </c>
      <c r="AU96">
        <f>'Non-durables'!AN135</f>
        <v>7379</v>
      </c>
      <c r="AV96">
        <f>'Non-durables'!AT135</f>
        <v>5942</v>
      </c>
      <c r="AX96" s="34">
        <f t="shared" si="52"/>
        <v>102.22050801697063</v>
      </c>
      <c r="AY96" s="34">
        <f t="shared" si="53"/>
        <v>101.67148324611419</v>
      </c>
      <c r="AZ96" s="34">
        <f t="shared" si="54"/>
        <v>99.000777837611437</v>
      </c>
      <c r="BA96" s="34">
        <f t="shared" si="55"/>
        <v>118.40909090909091</v>
      </c>
      <c r="BB96" s="34">
        <f t="shared" si="56"/>
        <v>101.52121697357886</v>
      </c>
      <c r="BC96" s="34">
        <f t="shared" si="57"/>
        <v>109.24631760025805</v>
      </c>
      <c r="BD96" s="34">
        <f t="shared" si="58"/>
        <v>92.468671679197996</v>
      </c>
      <c r="BE96" s="34">
        <f t="shared" si="59"/>
        <v>85.312275664034459</v>
      </c>
      <c r="BH96">
        <f>Services!F135</f>
        <v>89552</v>
      </c>
      <c r="BI96">
        <f>Services!Q135</f>
        <v>1410</v>
      </c>
      <c r="BJ96">
        <f>Services!U135</f>
        <v>4632</v>
      </c>
      <c r="BK96">
        <f>Services!AA135</f>
        <v>23339</v>
      </c>
      <c r="BL96">
        <f>Services!AJ135</f>
        <v>4546</v>
      </c>
      <c r="BM96">
        <f>Services!AM135</f>
        <v>16551</v>
      </c>
      <c r="BN96">
        <f>Services!AV135</f>
        <v>8601</v>
      </c>
      <c r="BO96">
        <f>Services!AW135</f>
        <v>43368</v>
      </c>
      <c r="BP96">
        <f>Services!BB135</f>
        <v>43739</v>
      </c>
      <c r="BR96" s="34">
        <f t="shared" si="60"/>
        <v>98.049992883185709</v>
      </c>
      <c r="BS96" s="34">
        <f t="shared" si="61"/>
        <v>121.55172413793103</v>
      </c>
      <c r="BT96" s="34">
        <f t="shared" si="62"/>
        <v>100.60816681146829</v>
      </c>
      <c r="BU96" s="34">
        <f t="shared" si="63"/>
        <v>112.43376047788804</v>
      </c>
      <c r="BV96" s="34">
        <f t="shared" si="64"/>
        <v>81.382026494808443</v>
      </c>
      <c r="BW96" s="34">
        <f t="shared" si="65"/>
        <v>98.776557650990696</v>
      </c>
      <c r="BX96" s="34">
        <f t="shared" si="66"/>
        <v>97.241379310344826</v>
      </c>
      <c r="BY96" s="34">
        <f t="shared" si="67"/>
        <v>100.57747164822932</v>
      </c>
      <c r="BZ96" s="34">
        <f t="shared" si="68"/>
        <v>102.2799551024226</v>
      </c>
    </row>
    <row r="97" spans="1:78" x14ac:dyDescent="0.35">
      <c r="A97" s="101" t="s">
        <v>592</v>
      </c>
      <c r="B97">
        <f>'Total goods'!B136</f>
        <v>143830</v>
      </c>
      <c r="C97">
        <f>Durables!B136</f>
        <v>26917</v>
      </c>
      <c r="D97">
        <f>'Semi-durables'!B136</f>
        <v>27330</v>
      </c>
      <c r="E97">
        <f>'Non-durables'!B136</f>
        <v>90697</v>
      </c>
      <c r="F97">
        <f>Services!B136</f>
        <v>166649</v>
      </c>
      <c r="H97" s="34">
        <f t="shared" si="37"/>
        <v>83.956454484429273</v>
      </c>
      <c r="I97" s="34">
        <f t="shared" si="38"/>
        <v>71.505990489599654</v>
      </c>
      <c r="J97" s="34">
        <f t="shared" si="39"/>
        <v>69.510148023805897</v>
      </c>
      <c r="K97" s="34">
        <f t="shared" si="40"/>
        <v>96.119077141555124</v>
      </c>
      <c r="L97" s="34">
        <f t="shared" si="41"/>
        <v>70.997247854945769</v>
      </c>
      <c r="O97">
        <f>Durables!C136</f>
        <v>9272</v>
      </c>
      <c r="P97">
        <f>Durables!H136</f>
        <v>215</v>
      </c>
      <c r="Q97">
        <f>Durables!J136</f>
        <v>9217</v>
      </c>
      <c r="R97">
        <f>Durables!O136</f>
        <v>1560</v>
      </c>
      <c r="S97">
        <f>Durables!Q136</f>
        <v>4848</v>
      </c>
      <c r="U97" s="34">
        <f t="shared" si="42"/>
        <v>74.901042087406083</v>
      </c>
      <c r="V97" s="34">
        <f t="shared" si="43"/>
        <v>20.955165692007796</v>
      </c>
      <c r="W97" s="34">
        <f t="shared" si="44"/>
        <v>62.483899396651076</v>
      </c>
      <c r="X97" s="34">
        <f t="shared" si="45"/>
        <v>106.41200545702591</v>
      </c>
      <c r="Y97" s="34">
        <f t="shared" si="46"/>
        <v>93.644968128259606</v>
      </c>
      <c r="AB97">
        <f>'Semi-durables'!C136</f>
        <v>12964</v>
      </c>
      <c r="AC97">
        <f>'Semi-durables'!H136</f>
        <v>5153</v>
      </c>
      <c r="AD97">
        <f>'Semi-durables'!M136</f>
        <v>862</v>
      </c>
      <c r="AE97">
        <f>'Semi-durables'!O136</f>
        <v>7685</v>
      </c>
      <c r="AF97">
        <f>'Semi-durables'!T136</f>
        <v>647</v>
      </c>
      <c r="AH97" s="34">
        <f t="shared" si="47"/>
        <v>63.085158150851584</v>
      </c>
      <c r="AI97" s="34">
        <f t="shared" si="48"/>
        <v>76.795827123695986</v>
      </c>
      <c r="AJ97" s="34">
        <f t="shared" si="49"/>
        <v>66.409861325115557</v>
      </c>
      <c r="AK97" s="34">
        <f t="shared" si="50"/>
        <v>82.750080758048881</v>
      </c>
      <c r="AL97" s="34">
        <f t="shared" si="51"/>
        <v>44.406314344543588</v>
      </c>
      <c r="AO97">
        <f>'Non-durables'!C136</f>
        <v>36831</v>
      </c>
      <c r="AP97">
        <f>'Non-durables'!Q136</f>
        <v>14615</v>
      </c>
      <c r="AQ97">
        <f>'Non-durables'!X136</f>
        <v>17118</v>
      </c>
      <c r="AR97">
        <f>'Non-durables'!AG136</f>
        <v>2830</v>
      </c>
      <c r="AS97">
        <f>'Non-durables'!AI136</f>
        <v>2394</v>
      </c>
      <c r="AT97">
        <f>'Non-durables'!AL136</f>
        <v>5265</v>
      </c>
      <c r="AU97">
        <f>'Non-durables'!AN136</f>
        <v>6568</v>
      </c>
      <c r="AV97">
        <f>'Non-durables'!AT136</f>
        <v>5774</v>
      </c>
      <c r="AX97" s="34">
        <f t="shared" si="52"/>
        <v>101.46840046283543</v>
      </c>
      <c r="AY97" s="34">
        <f t="shared" si="53"/>
        <v>114.15293290635007</v>
      </c>
      <c r="AZ97" s="34">
        <f t="shared" si="54"/>
        <v>102.42326332794831</v>
      </c>
      <c r="BA97" s="34">
        <f t="shared" si="55"/>
        <v>128.63636363636363</v>
      </c>
      <c r="BB97" s="34">
        <f t="shared" si="56"/>
        <v>95.836669335468372</v>
      </c>
      <c r="BC97" s="34">
        <f t="shared" si="57"/>
        <v>56.606816471347166</v>
      </c>
      <c r="BD97" s="34">
        <f t="shared" si="58"/>
        <v>82.305764411027567</v>
      </c>
      <c r="BE97" s="34">
        <f t="shared" si="59"/>
        <v>82.900215362526922</v>
      </c>
      <c r="BH97">
        <f>Services!F136</f>
        <v>89937</v>
      </c>
      <c r="BI97">
        <f>Services!Q136</f>
        <v>882</v>
      </c>
      <c r="BJ97">
        <f>Services!U136</f>
        <v>2549</v>
      </c>
      <c r="BK97">
        <f>Services!AA136</f>
        <v>6407</v>
      </c>
      <c r="BL97">
        <f>Services!AJ136</f>
        <v>4774</v>
      </c>
      <c r="BM97">
        <f>Services!AM136</f>
        <v>9514</v>
      </c>
      <c r="BN97">
        <f>Services!AV136</f>
        <v>7490</v>
      </c>
      <c r="BO97">
        <f>Services!AW136</f>
        <v>8308</v>
      </c>
      <c r="BP97">
        <f>Services!BB136</f>
        <v>35978</v>
      </c>
      <c r="BR97" s="34">
        <f t="shared" si="60"/>
        <v>98.471527268347685</v>
      </c>
      <c r="BS97" s="34">
        <f t="shared" si="61"/>
        <v>76.034482758620697</v>
      </c>
      <c r="BT97" s="34">
        <f t="shared" si="62"/>
        <v>55.364900086880972</v>
      </c>
      <c r="BU97" s="34">
        <f t="shared" si="63"/>
        <v>30.865208594276904</v>
      </c>
      <c r="BV97" s="34">
        <f t="shared" si="64"/>
        <v>85.463659147869677</v>
      </c>
      <c r="BW97" s="34">
        <f t="shared" si="65"/>
        <v>56.779661016949156</v>
      </c>
      <c r="BX97" s="34">
        <f t="shared" si="66"/>
        <v>84.680610514414923</v>
      </c>
      <c r="BY97" s="34">
        <f t="shared" si="67"/>
        <v>19.267608246944505</v>
      </c>
      <c r="BZ97" s="34">
        <f t="shared" si="68"/>
        <v>84.131512487138721</v>
      </c>
    </row>
    <row r="98" spans="1:78" x14ac:dyDescent="0.35">
      <c r="A98" s="101" t="s">
        <v>593</v>
      </c>
      <c r="B98">
        <f>'Total goods'!B137</f>
        <v>169227</v>
      </c>
      <c r="C98">
        <f>Durables!B137</f>
        <v>41334</v>
      </c>
      <c r="D98">
        <f>'Semi-durables'!B137</f>
        <v>34325</v>
      </c>
      <c r="E98">
        <f>'Non-durables'!B137</f>
        <v>93745</v>
      </c>
      <c r="F98">
        <f>Services!B137</f>
        <v>200735</v>
      </c>
      <c r="H98" s="34">
        <f t="shared" si="37"/>
        <v>98.781192540057788</v>
      </c>
      <c r="I98" s="34">
        <f t="shared" si="38"/>
        <v>109.80527588130596</v>
      </c>
      <c r="J98" s="34">
        <f t="shared" si="39"/>
        <v>87.300981738643884</v>
      </c>
      <c r="K98" s="34">
        <f t="shared" si="40"/>
        <v>99.349293655083244</v>
      </c>
      <c r="L98" s="34">
        <f t="shared" si="41"/>
        <v>85.518860288165783</v>
      </c>
      <c r="O98">
        <f>Durables!C137</f>
        <v>11570</v>
      </c>
      <c r="P98">
        <f>Durables!H137</f>
        <v>826</v>
      </c>
      <c r="Q98">
        <f>Durables!J137</f>
        <v>19229</v>
      </c>
      <c r="R98">
        <f>Durables!O137</f>
        <v>1812</v>
      </c>
      <c r="S98">
        <f>Durables!Q137</f>
        <v>5205</v>
      </c>
      <c r="U98" s="34">
        <f t="shared" si="42"/>
        <v>93.464738670328785</v>
      </c>
      <c r="V98" s="34">
        <f t="shared" si="43"/>
        <v>80.50682261208577</v>
      </c>
      <c r="W98" s="34">
        <f t="shared" si="44"/>
        <v>130.35726391431089</v>
      </c>
      <c r="X98" s="34">
        <f t="shared" si="45"/>
        <v>123.60163710777626</v>
      </c>
      <c r="Y98" s="34">
        <f t="shared" si="46"/>
        <v>100.54085377631834</v>
      </c>
      <c r="AB98">
        <f>'Semi-durables'!C137</f>
        <v>17066</v>
      </c>
      <c r="AC98">
        <f>'Semi-durables'!H137</f>
        <v>6427</v>
      </c>
      <c r="AD98">
        <f>'Semi-durables'!M137</f>
        <v>1328</v>
      </c>
      <c r="AE98">
        <f>'Semi-durables'!O137</f>
        <v>8278</v>
      </c>
      <c r="AF98">
        <f>'Semi-durables'!T137</f>
        <v>1179</v>
      </c>
      <c r="AH98" s="34">
        <f t="shared" si="47"/>
        <v>83.046228710462287</v>
      </c>
      <c r="AI98" s="34">
        <f t="shared" si="48"/>
        <v>95.782414307004473</v>
      </c>
      <c r="AJ98" s="34">
        <f t="shared" si="49"/>
        <v>102.31124807395994</v>
      </c>
      <c r="AK98" s="34">
        <f t="shared" si="50"/>
        <v>89.135350489932165</v>
      </c>
      <c r="AL98" s="34">
        <f t="shared" si="51"/>
        <v>80.919698009608794</v>
      </c>
      <c r="AO98">
        <f>'Non-durables'!C137</f>
        <v>36071</v>
      </c>
      <c r="AP98">
        <f>'Non-durables'!Q137</f>
        <v>14434</v>
      </c>
      <c r="AQ98">
        <f>'Non-durables'!X137</f>
        <v>17061</v>
      </c>
      <c r="AR98">
        <f>'Non-durables'!AG137</f>
        <v>2472</v>
      </c>
      <c r="AS98">
        <f>'Non-durables'!AI137</f>
        <v>2383</v>
      </c>
      <c r="AT98">
        <f>'Non-durables'!AL137</f>
        <v>8111</v>
      </c>
      <c r="AU98">
        <f>'Non-durables'!AN137</f>
        <v>7376</v>
      </c>
      <c r="AV98">
        <f>'Non-durables'!AT137</f>
        <v>6229</v>
      </c>
      <c r="AX98" s="34">
        <f t="shared" si="52"/>
        <v>99.374621191250213</v>
      </c>
      <c r="AY98" s="34">
        <f t="shared" si="53"/>
        <v>112.73920174958994</v>
      </c>
      <c r="AZ98" s="34">
        <f t="shared" si="54"/>
        <v>102.08221145216298</v>
      </c>
      <c r="BA98" s="34">
        <f t="shared" si="55"/>
        <v>112.36363636363636</v>
      </c>
      <c r="BB98" s="34">
        <f t="shared" si="56"/>
        <v>95.396317053642903</v>
      </c>
      <c r="BC98" s="34">
        <f t="shared" si="57"/>
        <v>87.20567680894527</v>
      </c>
      <c r="BD98" s="34">
        <f t="shared" si="58"/>
        <v>92.431077694235583</v>
      </c>
      <c r="BE98" s="34">
        <f t="shared" si="59"/>
        <v>89.432878679109834</v>
      </c>
      <c r="BH98">
        <f>Services!F137</f>
        <v>90040</v>
      </c>
      <c r="BI98">
        <f>Services!Q137</f>
        <v>1349</v>
      </c>
      <c r="BJ98">
        <f>Services!U137</f>
        <v>2875</v>
      </c>
      <c r="BK98">
        <f>Services!AA137</f>
        <v>11367</v>
      </c>
      <c r="BL98">
        <f>Services!AJ137</f>
        <v>5231</v>
      </c>
      <c r="BM98">
        <f>Services!AM137</f>
        <v>12141</v>
      </c>
      <c r="BN98">
        <f>Services!AV137</f>
        <v>7903</v>
      </c>
      <c r="BO98">
        <f>Services!AW137</f>
        <v>30102</v>
      </c>
      <c r="BP98">
        <f>Services!BB137</f>
        <v>39816</v>
      </c>
      <c r="BR98" s="34">
        <f t="shared" si="60"/>
        <v>98.584301402559859</v>
      </c>
      <c r="BS98" s="34">
        <f t="shared" si="61"/>
        <v>116.29310344827586</v>
      </c>
      <c r="BT98" s="34">
        <f t="shared" si="62"/>
        <v>62.445699391833188</v>
      </c>
      <c r="BU98" s="34">
        <f t="shared" si="63"/>
        <v>54.759610752480967</v>
      </c>
      <c r="BV98" s="34">
        <f t="shared" si="64"/>
        <v>93.644826351593267</v>
      </c>
      <c r="BW98" s="34">
        <f t="shared" si="65"/>
        <v>72.457627118644069</v>
      </c>
      <c r="BX98" s="34">
        <f t="shared" si="66"/>
        <v>89.349915206331261</v>
      </c>
      <c r="BY98" s="34">
        <f t="shared" si="67"/>
        <v>69.811452028108249</v>
      </c>
      <c r="BZ98" s="34">
        <f t="shared" si="68"/>
        <v>93.106351136469925</v>
      </c>
    </row>
    <row r="99" spans="1:78" x14ac:dyDescent="0.35">
      <c r="A99" s="101" t="s">
        <v>594</v>
      </c>
      <c r="B99">
        <f>'Total goods'!B138</f>
        <v>166117</v>
      </c>
      <c r="C99">
        <f>Durables!B138</f>
        <v>37713</v>
      </c>
      <c r="D99">
        <f>'Semi-durables'!B138</f>
        <v>35132</v>
      </c>
      <c r="E99">
        <f>'Non-durables'!B138</f>
        <v>93515</v>
      </c>
      <c r="F99">
        <f>Services!B138</f>
        <v>197847</v>
      </c>
      <c r="H99" s="34">
        <f t="shared" si="37"/>
        <v>96.965823191197501</v>
      </c>
      <c r="I99" s="34">
        <f t="shared" si="38"/>
        <v>100.1859575485482</v>
      </c>
      <c r="J99" s="34">
        <f t="shared" si="39"/>
        <v>89.35347677908338</v>
      </c>
      <c r="K99" s="34">
        <f t="shared" si="40"/>
        <v>99.105543721319648</v>
      </c>
      <c r="L99" s="34">
        <f t="shared" si="41"/>
        <v>84.288489558037881</v>
      </c>
      <c r="O99">
        <f>Durables!C138</f>
        <v>11223</v>
      </c>
      <c r="P99">
        <f>Durables!H138</f>
        <v>1058</v>
      </c>
      <c r="Q99">
        <f>Durables!J138</f>
        <v>15600</v>
      </c>
      <c r="R99">
        <f>Durables!O138</f>
        <v>1843</v>
      </c>
      <c r="S99">
        <f>Durables!Q138</f>
        <v>5238</v>
      </c>
      <c r="U99" s="34">
        <f t="shared" si="42"/>
        <v>90.661604329913558</v>
      </c>
      <c r="V99" s="34">
        <f t="shared" si="43"/>
        <v>103.11890838206628</v>
      </c>
      <c r="W99" s="34">
        <f t="shared" si="44"/>
        <v>105.75554199715273</v>
      </c>
      <c r="X99" s="34">
        <f t="shared" si="45"/>
        <v>125.71623465211459</v>
      </c>
      <c r="Y99" s="34">
        <f t="shared" si="46"/>
        <v>101.17828858412207</v>
      </c>
      <c r="AB99">
        <f>'Semi-durables'!C138</f>
        <v>17192</v>
      </c>
      <c r="AC99">
        <f>'Semi-durables'!H138</f>
        <v>6851</v>
      </c>
      <c r="AD99">
        <f>'Semi-durables'!M138</f>
        <v>950</v>
      </c>
      <c r="AE99">
        <f>'Semi-durables'!O138</f>
        <v>9063</v>
      </c>
      <c r="AF99">
        <f>'Semi-durables'!T138</f>
        <v>1028</v>
      </c>
      <c r="AH99" s="34">
        <f t="shared" si="47"/>
        <v>83.65936739659368</v>
      </c>
      <c r="AI99" s="34">
        <f t="shared" si="48"/>
        <v>102.10134128166915</v>
      </c>
      <c r="AJ99" s="34">
        <f t="shared" si="49"/>
        <v>73.18952234206472</v>
      </c>
      <c r="AK99" s="34">
        <f t="shared" si="50"/>
        <v>97.588026273285237</v>
      </c>
      <c r="AL99" s="34">
        <f t="shared" si="51"/>
        <v>70.555936856554567</v>
      </c>
      <c r="AO99">
        <f>'Non-durables'!C138</f>
        <v>36071</v>
      </c>
      <c r="AP99">
        <f>'Non-durables'!Q138</f>
        <v>13920</v>
      </c>
      <c r="AQ99">
        <f>'Non-durables'!X138</f>
        <v>18185</v>
      </c>
      <c r="AR99">
        <f>'Non-durables'!AG138</f>
        <v>2276</v>
      </c>
      <c r="AS99">
        <f>'Non-durables'!AI138</f>
        <v>2414</v>
      </c>
      <c r="AT99">
        <f>'Non-durables'!AL138</f>
        <v>7606</v>
      </c>
      <c r="AU99">
        <f>'Non-durables'!AN138</f>
        <v>7734</v>
      </c>
      <c r="AV99">
        <f>'Non-durables'!AT138</f>
        <v>6093</v>
      </c>
      <c r="AX99" s="34">
        <f t="shared" si="52"/>
        <v>99.374621191250213</v>
      </c>
      <c r="AY99" s="34">
        <f t="shared" si="53"/>
        <v>108.72451769116613</v>
      </c>
      <c r="AZ99" s="34">
        <f t="shared" si="54"/>
        <v>108.80751510799975</v>
      </c>
      <c r="BA99" s="34">
        <f t="shared" si="55"/>
        <v>103.45454545454544</v>
      </c>
      <c r="BB99" s="34">
        <f t="shared" si="56"/>
        <v>96.637309847878299</v>
      </c>
      <c r="BC99" s="34">
        <f t="shared" si="57"/>
        <v>81.776153101817002</v>
      </c>
      <c r="BD99" s="34">
        <f t="shared" si="58"/>
        <v>96.917293233082702</v>
      </c>
      <c r="BE99" s="34">
        <f t="shared" si="59"/>
        <v>87.480258435032312</v>
      </c>
      <c r="BH99">
        <f>Services!F138</f>
        <v>90353</v>
      </c>
      <c r="BI99">
        <f>Services!Q138</f>
        <v>1266</v>
      </c>
      <c r="BJ99">
        <f>Services!U138</f>
        <v>3622</v>
      </c>
      <c r="BK99">
        <f>Services!AA138</f>
        <v>11509</v>
      </c>
      <c r="BL99">
        <f>Services!AJ138</f>
        <v>5301</v>
      </c>
      <c r="BM99">
        <f>Services!AM138</f>
        <v>13054</v>
      </c>
      <c r="BN99">
        <f>Services!AV138</f>
        <v>8097</v>
      </c>
      <c r="BO99">
        <f>Services!AW138</f>
        <v>25048</v>
      </c>
      <c r="BP99">
        <f>Services!BB138</f>
        <v>39389</v>
      </c>
      <c r="BR99" s="34">
        <f t="shared" si="60"/>
        <v>98.927003383224019</v>
      </c>
      <c r="BS99" s="34">
        <f t="shared" si="61"/>
        <v>109.13793103448275</v>
      </c>
      <c r="BT99" s="34">
        <f t="shared" si="62"/>
        <v>78.670721112076464</v>
      </c>
      <c r="BU99" s="34">
        <f t="shared" si="63"/>
        <v>55.443684362655368</v>
      </c>
      <c r="BV99" s="34">
        <f t="shared" si="64"/>
        <v>94.897959183673478</v>
      </c>
      <c r="BW99" s="34">
        <f t="shared" si="65"/>
        <v>77.906421580329436</v>
      </c>
      <c r="BX99" s="34">
        <f t="shared" si="66"/>
        <v>91.543244771057104</v>
      </c>
      <c r="BY99" s="34">
        <f t="shared" si="67"/>
        <v>58.090400983325218</v>
      </c>
      <c r="BZ99" s="34">
        <f t="shared" si="68"/>
        <v>92.107847722383312</v>
      </c>
    </row>
    <row r="100" spans="1:78" x14ac:dyDescent="0.35">
      <c r="A100" s="101" t="s">
        <v>595</v>
      </c>
      <c r="B100">
        <f>'Total goods'!B139</f>
        <v>158291</v>
      </c>
      <c r="C100">
        <f>Durables!B139</f>
        <v>31293</v>
      </c>
      <c r="D100">
        <f>'Semi-durables'!B139</f>
        <v>32343</v>
      </c>
      <c r="E100">
        <f>'Non-durables'!B139</f>
        <v>95574</v>
      </c>
      <c r="F100">
        <f>Services!B139</f>
        <v>193622</v>
      </c>
      <c r="H100" s="34">
        <f t="shared" si="37"/>
        <v>92.397630096605667</v>
      </c>
      <c r="I100" s="34">
        <f t="shared" si="38"/>
        <v>83.130993810270169</v>
      </c>
      <c r="J100" s="34">
        <f t="shared" si="39"/>
        <v>82.260033572409583</v>
      </c>
      <c r="K100" s="34">
        <f t="shared" si="40"/>
        <v>101.28763551966426</v>
      </c>
      <c r="L100" s="34">
        <f t="shared" si="41"/>
        <v>82.488518527985818</v>
      </c>
      <c r="O100">
        <f>Durables!C139</f>
        <v>10681</v>
      </c>
      <c r="P100">
        <f>Durables!H139</f>
        <v>688</v>
      </c>
      <c r="Q100">
        <f>Durables!J139</f>
        <v>12232</v>
      </c>
      <c r="R100">
        <f>Durables!O139</f>
        <v>1135</v>
      </c>
      <c r="S100">
        <f>Durables!Q139</f>
        <v>4606</v>
      </c>
      <c r="U100" s="34">
        <f t="shared" si="42"/>
        <v>86.28322158494224</v>
      </c>
      <c r="V100" s="34">
        <f t="shared" si="43"/>
        <v>67.056530214424953</v>
      </c>
      <c r="W100" s="34">
        <f t="shared" si="44"/>
        <v>82.92319164802386</v>
      </c>
      <c r="X100" s="34">
        <f t="shared" si="45"/>
        <v>77.421555252387449</v>
      </c>
      <c r="Y100" s="34">
        <f t="shared" si="46"/>
        <v>88.970446204365459</v>
      </c>
      <c r="AB100">
        <f>'Semi-durables'!C139</f>
        <v>15105</v>
      </c>
      <c r="AC100">
        <f>'Semi-durables'!H139</f>
        <v>6719</v>
      </c>
      <c r="AD100">
        <f>'Semi-durables'!M139</f>
        <v>1232</v>
      </c>
      <c r="AE100">
        <f>'Semi-durables'!O139</f>
        <v>8379</v>
      </c>
      <c r="AF100">
        <f>'Semi-durables'!T139</f>
        <v>860</v>
      </c>
      <c r="AH100" s="34">
        <f t="shared" si="47"/>
        <v>73.503649635036496</v>
      </c>
      <c r="AI100" s="34">
        <f t="shared" si="48"/>
        <v>100.13412816691505</v>
      </c>
      <c r="AJ100" s="34">
        <f t="shared" si="49"/>
        <v>94.915254237288138</v>
      </c>
      <c r="AK100" s="34">
        <f t="shared" si="50"/>
        <v>90.222892214924087</v>
      </c>
      <c r="AL100" s="34">
        <f t="shared" si="51"/>
        <v>59.025394646533968</v>
      </c>
      <c r="AO100">
        <f>'Non-durables'!C139</f>
        <v>37288</v>
      </c>
      <c r="AP100">
        <f>'Non-durables'!Q139</f>
        <v>14399</v>
      </c>
      <c r="AQ100">
        <f>'Non-durables'!X139</f>
        <v>18535</v>
      </c>
      <c r="AR100">
        <f>'Non-durables'!AG139</f>
        <v>2240</v>
      </c>
      <c r="AS100">
        <f>'Non-durables'!AI139</f>
        <v>2367</v>
      </c>
      <c r="AT100">
        <f>'Non-durables'!AL139</f>
        <v>6960</v>
      </c>
      <c r="AU100">
        <f>'Non-durables'!AN139</f>
        <v>8012</v>
      </c>
      <c r="AV100">
        <f>'Non-durables'!AT139</f>
        <v>6495</v>
      </c>
      <c r="AX100" s="34">
        <f t="shared" si="52"/>
        <v>102.72742299851232</v>
      </c>
      <c r="AY100" s="34">
        <f t="shared" si="53"/>
        <v>112.46582832148715</v>
      </c>
      <c r="AZ100" s="34">
        <f t="shared" si="54"/>
        <v>110.90169329264646</v>
      </c>
      <c r="BA100" s="34">
        <f t="shared" si="55"/>
        <v>101.81818181818181</v>
      </c>
      <c r="BB100" s="34">
        <f t="shared" si="56"/>
        <v>94.755804643714967</v>
      </c>
      <c r="BC100" s="34">
        <f t="shared" si="57"/>
        <v>74.830663369530157</v>
      </c>
      <c r="BD100" s="34">
        <f t="shared" si="58"/>
        <v>100.40100250626567</v>
      </c>
      <c r="BE100" s="34">
        <f t="shared" si="59"/>
        <v>93.251974156496757</v>
      </c>
      <c r="BH100">
        <f>Services!F139</f>
        <v>90690</v>
      </c>
      <c r="BI100">
        <f>Services!Q139</f>
        <v>1161</v>
      </c>
      <c r="BJ100">
        <f>Services!U139</f>
        <v>3993</v>
      </c>
      <c r="BK100">
        <f>Services!AA139</f>
        <v>12000</v>
      </c>
      <c r="BL100">
        <f>Services!AJ139</f>
        <v>5408</v>
      </c>
      <c r="BM100">
        <f>Services!AM139</f>
        <v>13266</v>
      </c>
      <c r="BN100">
        <f>Services!AV139</f>
        <v>8586</v>
      </c>
      <c r="BO100">
        <f>Services!AW139</f>
        <v>18816</v>
      </c>
      <c r="BP100">
        <f>Services!BB139</f>
        <v>39281</v>
      </c>
      <c r="BR100" s="34">
        <f t="shared" si="60"/>
        <v>99.295982832054136</v>
      </c>
      <c r="BS100" s="34">
        <f t="shared" si="61"/>
        <v>100.08620689655172</v>
      </c>
      <c r="BT100" s="34">
        <f t="shared" si="62"/>
        <v>86.728931364031283</v>
      </c>
      <c r="BU100" s="34">
        <f t="shared" si="63"/>
        <v>57.809037479525969</v>
      </c>
      <c r="BV100" s="34">
        <f t="shared" si="64"/>
        <v>96.813462226996066</v>
      </c>
      <c r="BW100" s="34">
        <f t="shared" si="65"/>
        <v>79.17164000954881</v>
      </c>
      <c r="BX100" s="34">
        <f t="shared" si="66"/>
        <v>97.071791972866023</v>
      </c>
      <c r="BY100" s="34">
        <f t="shared" si="67"/>
        <v>43.637375634870942</v>
      </c>
      <c r="BZ100" s="34">
        <f t="shared" si="68"/>
        <v>91.855298849499576</v>
      </c>
    </row>
    <row r="101" spans="1:78" x14ac:dyDescent="0.35">
      <c r="A101" s="101" t="s">
        <v>596</v>
      </c>
      <c r="B101">
        <f>'Total goods'!B140</f>
        <v>173151</v>
      </c>
      <c r="C101">
        <f>Durables!B140</f>
        <v>37839</v>
      </c>
      <c r="D101">
        <f>'Semi-durables'!B140</f>
        <v>37440</v>
      </c>
      <c r="E101">
        <f>'Non-durables'!B140</f>
        <v>98172</v>
      </c>
      <c r="F101">
        <f>Services!B140</f>
        <v>217843</v>
      </c>
      <c r="H101" s="34">
        <f t="shared" si="37"/>
        <v>101.07171000788023</v>
      </c>
      <c r="I101" s="34">
        <f t="shared" si="38"/>
        <v>100.52068113593498</v>
      </c>
      <c r="J101" s="34">
        <f t="shared" si="39"/>
        <v>95.223561727453074</v>
      </c>
      <c r="K101" s="34">
        <f t="shared" si="40"/>
        <v>104.04094998887228</v>
      </c>
      <c r="L101" s="34">
        <f t="shared" si="41"/>
        <v>92.807358366776583</v>
      </c>
      <c r="O101">
        <f>Durables!C140</f>
        <v>12528</v>
      </c>
      <c r="P101">
        <f>Durables!H140</f>
        <v>952</v>
      </c>
      <c r="Q101">
        <f>Durables!J140</f>
        <v>15261</v>
      </c>
      <c r="R101">
        <f>Durables!O140</f>
        <v>1312</v>
      </c>
      <c r="S101">
        <f>Durables!Q140</f>
        <v>4946</v>
      </c>
      <c r="U101" s="34">
        <f t="shared" si="42"/>
        <v>101.20365134501978</v>
      </c>
      <c r="V101" s="34">
        <f t="shared" si="43"/>
        <v>92.787524366471729</v>
      </c>
      <c r="W101" s="34">
        <f t="shared" si="44"/>
        <v>103.45739271913767</v>
      </c>
      <c r="X101" s="34">
        <f t="shared" si="45"/>
        <v>89.495225102319225</v>
      </c>
      <c r="Y101" s="34">
        <f t="shared" si="46"/>
        <v>95.537956345373772</v>
      </c>
      <c r="AB101">
        <f>'Semi-durables'!C140</f>
        <v>18604</v>
      </c>
      <c r="AC101">
        <f>'Semi-durables'!H140</f>
        <v>7265</v>
      </c>
      <c r="AD101">
        <f>'Semi-durables'!M140</f>
        <v>1220</v>
      </c>
      <c r="AE101">
        <f>'Semi-durables'!O140</f>
        <v>9401</v>
      </c>
      <c r="AF101">
        <f>'Semi-durables'!T140</f>
        <v>920</v>
      </c>
      <c r="AH101" s="34">
        <f t="shared" si="47"/>
        <v>90.530413625304135</v>
      </c>
      <c r="AI101" s="34">
        <f t="shared" si="48"/>
        <v>108.27123695976155</v>
      </c>
      <c r="AJ101" s="34">
        <f t="shared" si="49"/>
        <v>93.990755007704166</v>
      </c>
      <c r="AK101" s="34">
        <f t="shared" si="50"/>
        <v>101.22752234306019</v>
      </c>
      <c r="AL101" s="34">
        <f t="shared" si="51"/>
        <v>63.14344543582704</v>
      </c>
      <c r="AO101">
        <f>'Non-durables'!C140</f>
        <v>36634</v>
      </c>
      <c r="AP101">
        <f>'Non-durables'!Q140</f>
        <v>14074</v>
      </c>
      <c r="AQ101">
        <f>'Non-durables'!X140</f>
        <v>18899</v>
      </c>
      <c r="AR101">
        <f>'Non-durables'!AG140</f>
        <v>2296</v>
      </c>
      <c r="AS101">
        <f>'Non-durables'!AI140</f>
        <v>2508</v>
      </c>
      <c r="AT101">
        <f>'Non-durables'!AL140</f>
        <v>9361</v>
      </c>
      <c r="AU101">
        <f>'Non-durables'!AN140</f>
        <v>8509</v>
      </c>
      <c r="AV101">
        <f>'Non-durables'!AT140</f>
        <v>6742</v>
      </c>
      <c r="AX101" s="34">
        <f t="shared" si="52"/>
        <v>100.92567083585872</v>
      </c>
      <c r="AY101" s="34">
        <f t="shared" si="53"/>
        <v>109.9273607748184</v>
      </c>
      <c r="AZ101" s="34">
        <f t="shared" si="54"/>
        <v>113.079638604679</v>
      </c>
      <c r="BA101" s="34">
        <f t="shared" si="55"/>
        <v>104.36363636363637</v>
      </c>
      <c r="BB101" s="34">
        <f t="shared" si="56"/>
        <v>100.40032025620495</v>
      </c>
      <c r="BC101" s="34">
        <f t="shared" si="57"/>
        <v>100.6450919255994</v>
      </c>
      <c r="BD101" s="34">
        <f t="shared" si="58"/>
        <v>106.62907268170426</v>
      </c>
      <c r="BE101" s="34">
        <f t="shared" si="59"/>
        <v>96.798277099784642</v>
      </c>
      <c r="BH101">
        <f>Services!F140</f>
        <v>90615</v>
      </c>
      <c r="BI101">
        <f>Services!Q140</f>
        <v>1077</v>
      </c>
      <c r="BJ101">
        <f>Services!U140</f>
        <v>4206</v>
      </c>
      <c r="BK101">
        <f>Services!AA140</f>
        <v>14144</v>
      </c>
      <c r="BL101">
        <f>Services!AJ140</f>
        <v>5570</v>
      </c>
      <c r="BM101">
        <f>Services!AM140</f>
        <v>14725</v>
      </c>
      <c r="BN101">
        <f>Services!AV140</f>
        <v>8669</v>
      </c>
      <c r="BO101">
        <f>Services!AW140</f>
        <v>37192</v>
      </c>
      <c r="BP101">
        <f>Services!BB140</f>
        <v>41974</v>
      </c>
      <c r="BR101" s="34">
        <f t="shared" si="60"/>
        <v>99.213865744035573</v>
      </c>
      <c r="BS101" s="34">
        <f t="shared" si="61"/>
        <v>92.844827586206904</v>
      </c>
      <c r="BT101" s="34">
        <f t="shared" si="62"/>
        <v>91.355343179843615</v>
      </c>
      <c r="BU101" s="34">
        <f t="shared" si="63"/>
        <v>68.137585509201273</v>
      </c>
      <c r="BV101" s="34">
        <f t="shared" si="64"/>
        <v>99.713569638381671</v>
      </c>
      <c r="BW101" s="34">
        <f t="shared" si="65"/>
        <v>87.878968727619949</v>
      </c>
      <c r="BX101" s="34">
        <f t="shared" si="66"/>
        <v>98.010175240248728</v>
      </c>
      <c r="BY101" s="34">
        <f t="shared" si="67"/>
        <v>86.254319441545491</v>
      </c>
      <c r="BZ101" s="34">
        <f t="shared" si="68"/>
        <v>98.152651763165281</v>
      </c>
    </row>
    <row r="102" spans="1:78" x14ac:dyDescent="0.35">
      <c r="A102" s="101" t="s">
        <v>597</v>
      </c>
      <c r="B102">
        <f>'Total goods'!B141</f>
        <v>165867</v>
      </c>
      <c r="C102">
        <f>Durables!B141</f>
        <v>35886</v>
      </c>
      <c r="D102">
        <f>'Semi-durables'!B141</f>
        <v>35994</v>
      </c>
      <c r="E102">
        <f>'Non-durables'!B141</f>
        <v>94295</v>
      </c>
      <c r="F102">
        <f>Services!B141</f>
        <v>233848</v>
      </c>
      <c r="H102" s="34">
        <f t="shared" si="37"/>
        <v>96.819893179231244</v>
      </c>
      <c r="I102" s="34">
        <f t="shared" si="38"/>
        <v>95.332465531440107</v>
      </c>
      <c r="J102" s="34">
        <f t="shared" si="39"/>
        <v>91.545856859453693</v>
      </c>
      <c r="K102" s="34">
        <f t="shared" si="40"/>
        <v>99.93217393147448</v>
      </c>
      <c r="L102" s="34">
        <f t="shared" si="41"/>
        <v>99.625946848666104</v>
      </c>
      <c r="O102">
        <f>Durables!C141</f>
        <v>11936</v>
      </c>
      <c r="P102">
        <f>Durables!H141</f>
        <v>944</v>
      </c>
      <c r="Q102">
        <f>Durables!J141</f>
        <v>14098</v>
      </c>
      <c r="R102">
        <f>Durables!O141</f>
        <v>1351</v>
      </c>
      <c r="S102">
        <f>Durables!Q141</f>
        <v>4916</v>
      </c>
      <c r="U102" s="34">
        <f t="shared" si="42"/>
        <v>96.421358752726391</v>
      </c>
      <c r="V102" s="34">
        <f t="shared" si="43"/>
        <v>92.007797270955166</v>
      </c>
      <c r="W102" s="34">
        <f t="shared" si="44"/>
        <v>95.573181479221745</v>
      </c>
      <c r="X102" s="34">
        <f t="shared" si="45"/>
        <v>92.155525238744886</v>
      </c>
      <c r="Y102" s="34">
        <f t="shared" si="46"/>
        <v>94.958470156461274</v>
      </c>
      <c r="AB102">
        <f>'Semi-durables'!C141</f>
        <v>18263</v>
      </c>
      <c r="AC102">
        <f>'Semi-durables'!H141</f>
        <v>6630</v>
      </c>
      <c r="AD102">
        <f>'Semi-durables'!M141</f>
        <v>1300</v>
      </c>
      <c r="AE102">
        <f>'Semi-durables'!O141</f>
        <v>8765</v>
      </c>
      <c r="AF102">
        <f>'Semi-durables'!T141</f>
        <v>1015</v>
      </c>
      <c r="AH102" s="34">
        <f t="shared" si="47"/>
        <v>88.871046228710455</v>
      </c>
      <c r="AI102" s="34">
        <f t="shared" si="48"/>
        <v>98.807749627421757</v>
      </c>
      <c r="AJ102" s="34">
        <f t="shared" si="49"/>
        <v>100.15408320493067</v>
      </c>
      <c r="AK102" s="34">
        <f t="shared" si="50"/>
        <v>94.379239797566498</v>
      </c>
      <c r="AL102" s="34">
        <f t="shared" si="51"/>
        <v>69.663692518874399</v>
      </c>
      <c r="AO102">
        <f>'Non-durables'!C141</f>
        <v>36260</v>
      </c>
      <c r="AP102">
        <f>'Non-durables'!Q141</f>
        <v>13423</v>
      </c>
      <c r="AQ102">
        <f>'Non-durables'!X141</f>
        <v>15971</v>
      </c>
      <c r="AR102">
        <f>'Non-durables'!AG141</f>
        <v>2221</v>
      </c>
      <c r="AS102">
        <f>'Non-durables'!AI141</f>
        <v>2551</v>
      </c>
      <c r="AT102">
        <f>'Non-durables'!AL141</f>
        <v>9738</v>
      </c>
      <c r="AU102">
        <f>'Non-durables'!AN141</f>
        <v>7760</v>
      </c>
      <c r="AV102">
        <f>'Non-durables'!AT141</f>
        <v>6578</v>
      </c>
      <c r="AX102" s="34">
        <f t="shared" si="52"/>
        <v>99.895311036420736</v>
      </c>
      <c r="AY102" s="34">
        <f t="shared" si="53"/>
        <v>104.84261501210655</v>
      </c>
      <c r="AZ102" s="34">
        <f t="shared" si="54"/>
        <v>95.560342248549034</v>
      </c>
      <c r="BA102" s="34">
        <f t="shared" si="55"/>
        <v>100.95454545454545</v>
      </c>
      <c r="BB102" s="34">
        <f t="shared" si="56"/>
        <v>102.1216973578863</v>
      </c>
      <c r="BC102" s="34">
        <f t="shared" si="57"/>
        <v>104.69841952478227</v>
      </c>
      <c r="BD102" s="34">
        <f t="shared" si="58"/>
        <v>97.24310776942356</v>
      </c>
      <c r="BE102" s="34">
        <f t="shared" si="59"/>
        <v>94.443646805455856</v>
      </c>
      <c r="BH102">
        <f>Services!F141</f>
        <v>90894</v>
      </c>
      <c r="BI102">
        <f>Services!Q141</f>
        <v>1094</v>
      </c>
      <c r="BJ102">
        <f>Services!U141</f>
        <v>4414</v>
      </c>
      <c r="BK102">
        <f>Services!AA141</f>
        <v>17660</v>
      </c>
      <c r="BL102">
        <f>Services!AJ141</f>
        <v>5611</v>
      </c>
      <c r="BM102">
        <f>Services!AM141</f>
        <v>15976</v>
      </c>
      <c r="BN102">
        <f>Services!AV141</f>
        <v>8768</v>
      </c>
      <c r="BO102">
        <f>Services!AW141</f>
        <v>46404</v>
      </c>
      <c r="BP102">
        <f>Services!BB141</f>
        <v>43671</v>
      </c>
      <c r="BR102" s="34">
        <f t="shared" si="60"/>
        <v>99.519341311464643</v>
      </c>
      <c r="BS102" s="34">
        <f t="shared" si="61"/>
        <v>94.310344827586206</v>
      </c>
      <c r="BT102" s="34">
        <f t="shared" si="62"/>
        <v>95.873153779322323</v>
      </c>
      <c r="BU102" s="34">
        <f t="shared" si="63"/>
        <v>85.075633490702387</v>
      </c>
      <c r="BV102" s="34">
        <f t="shared" si="64"/>
        <v>100.44754744002864</v>
      </c>
      <c r="BW102" s="34">
        <f t="shared" si="65"/>
        <v>95.344951062306038</v>
      </c>
      <c r="BX102" s="34">
        <f t="shared" si="66"/>
        <v>99.129451667608819</v>
      </c>
      <c r="BY102" s="34">
        <f t="shared" si="67"/>
        <v>107.6184512627844</v>
      </c>
      <c r="BZ102" s="34">
        <f t="shared" si="68"/>
        <v>102.12094284912543</v>
      </c>
    </row>
    <row r="103" spans="1:78" x14ac:dyDescent="0.35">
      <c r="A103" s="101" t="s">
        <v>598</v>
      </c>
      <c r="B103">
        <f>'Total goods'!B142</f>
        <v>169922</v>
      </c>
      <c r="C103">
        <f>Durables!B142</f>
        <v>37508</v>
      </c>
      <c r="D103">
        <f>'Semi-durables'!B142</f>
        <v>37407</v>
      </c>
      <c r="E103">
        <f>'Non-durables'!B142</f>
        <v>95163</v>
      </c>
      <c r="F103">
        <f>Services!B142</f>
        <v>230253</v>
      </c>
      <c r="H103" s="34">
        <f t="shared" si="37"/>
        <v>99.186877973323988</v>
      </c>
      <c r="I103" s="34">
        <f t="shared" si="38"/>
        <v>99.641367584942756</v>
      </c>
      <c r="J103" s="34">
        <f t="shared" si="39"/>
        <v>95.139630703494589</v>
      </c>
      <c r="K103" s="34">
        <f t="shared" si="40"/>
        <v>100.85206498585191</v>
      </c>
      <c r="L103" s="34">
        <f t="shared" si="41"/>
        <v>98.094373865698728</v>
      </c>
      <c r="O103">
        <f>Durables!C142</f>
        <v>12004</v>
      </c>
      <c r="P103">
        <f>Durables!H142</f>
        <v>929</v>
      </c>
      <c r="Q103">
        <f>Durables!J142</f>
        <v>15267</v>
      </c>
      <c r="R103">
        <f>Durables!O142</f>
        <v>1361</v>
      </c>
      <c r="S103">
        <f>Durables!Q142</f>
        <v>5179</v>
      </c>
      <c r="U103" s="34">
        <f t="shared" si="42"/>
        <v>96.970676145084425</v>
      </c>
      <c r="V103" s="34">
        <f t="shared" si="43"/>
        <v>90.5458089668616</v>
      </c>
      <c r="W103" s="34">
        <f t="shared" si="44"/>
        <v>103.49806792759813</v>
      </c>
      <c r="X103" s="34">
        <f t="shared" si="45"/>
        <v>92.837653478854023</v>
      </c>
      <c r="Y103" s="34">
        <f t="shared" si="46"/>
        <v>100.03863241259417</v>
      </c>
      <c r="AB103">
        <f>'Semi-durables'!C142</f>
        <v>19434</v>
      </c>
      <c r="AC103">
        <f>'Semi-durables'!H142</f>
        <v>6723</v>
      </c>
      <c r="AD103">
        <f>'Semi-durables'!M142</f>
        <v>1225</v>
      </c>
      <c r="AE103">
        <f>'Semi-durables'!O142</f>
        <v>8733</v>
      </c>
      <c r="AF103">
        <f>'Semi-durables'!T142</f>
        <v>1274</v>
      </c>
      <c r="AH103" s="34">
        <f t="shared" si="47"/>
        <v>94.569343065693431</v>
      </c>
      <c r="AI103" s="34">
        <f t="shared" si="48"/>
        <v>100.19374068554396</v>
      </c>
      <c r="AJ103" s="34">
        <f t="shared" si="49"/>
        <v>94.375963020030824</v>
      </c>
      <c r="AK103" s="34">
        <f t="shared" si="50"/>
        <v>94.034672122321524</v>
      </c>
      <c r="AL103" s="34">
        <f t="shared" si="51"/>
        <v>87.439945092656146</v>
      </c>
      <c r="AO103">
        <f>'Non-durables'!C142</f>
        <v>36685</v>
      </c>
      <c r="AP103">
        <f>'Non-durables'!Q142</f>
        <v>13167</v>
      </c>
      <c r="AQ103">
        <f>'Non-durables'!X142</f>
        <v>16775</v>
      </c>
      <c r="AR103">
        <f>'Non-durables'!AG142</f>
        <v>2263</v>
      </c>
      <c r="AS103">
        <f>'Non-durables'!AI142</f>
        <v>2461</v>
      </c>
      <c r="AT103">
        <f>'Non-durables'!AL142</f>
        <v>9443</v>
      </c>
      <c r="AU103">
        <f>'Non-durables'!AN142</f>
        <v>7815</v>
      </c>
      <c r="AV103">
        <f>'Non-durables'!AT142</f>
        <v>6953</v>
      </c>
      <c r="AX103" s="34">
        <f t="shared" si="52"/>
        <v>101.066174444873</v>
      </c>
      <c r="AY103" s="34">
        <f t="shared" si="53"/>
        <v>102.843083652269</v>
      </c>
      <c r="AZ103" s="34">
        <f t="shared" si="54"/>
        <v>100.37096870699456</v>
      </c>
      <c r="BA103" s="34">
        <f t="shared" si="55"/>
        <v>102.86363636363636</v>
      </c>
      <c r="BB103" s="34">
        <f t="shared" si="56"/>
        <v>98.518815052041631</v>
      </c>
      <c r="BC103" s="34">
        <f t="shared" si="57"/>
        <v>101.52671755725191</v>
      </c>
      <c r="BD103" s="34">
        <f t="shared" si="58"/>
        <v>97.932330827067673</v>
      </c>
      <c r="BE103" s="34">
        <f t="shared" si="59"/>
        <v>99.827709978463758</v>
      </c>
      <c r="BH103">
        <f>Services!F142</f>
        <v>90998</v>
      </c>
      <c r="BI103">
        <f>Services!Q142</f>
        <v>1191</v>
      </c>
      <c r="BJ103">
        <f>Services!U142</f>
        <v>4702</v>
      </c>
      <c r="BK103">
        <f>Services!AA142</f>
        <v>19747</v>
      </c>
      <c r="BL103">
        <f>Services!AJ142</f>
        <v>5724</v>
      </c>
      <c r="BM103">
        <f>Services!AM142</f>
        <v>16420</v>
      </c>
      <c r="BN103">
        <f>Services!AV142</f>
        <v>8654</v>
      </c>
      <c r="BO103">
        <f>Services!AW142</f>
        <v>40604</v>
      </c>
      <c r="BP103">
        <f>Services!BB142</f>
        <v>42544</v>
      </c>
      <c r="BR103" s="34">
        <f t="shared" si="60"/>
        <v>99.633210340183723</v>
      </c>
      <c r="BS103" s="34">
        <f t="shared" si="61"/>
        <v>102.67241379310346</v>
      </c>
      <c r="BT103" s="34">
        <f t="shared" si="62"/>
        <v>102.12858384013902</v>
      </c>
      <c r="BU103" s="34">
        <f t="shared" si="63"/>
        <v>95.129588592349933</v>
      </c>
      <c r="BV103" s="34">
        <f t="shared" si="64"/>
        <v>102.47046186895813</v>
      </c>
      <c r="BW103" s="34">
        <f t="shared" si="65"/>
        <v>97.994748149916447</v>
      </c>
      <c r="BX103" s="34">
        <f t="shared" si="66"/>
        <v>97.840587902769926</v>
      </c>
      <c r="BY103" s="34">
        <f t="shared" si="67"/>
        <v>94.167304436559292</v>
      </c>
      <c r="BZ103" s="34">
        <f t="shared" si="68"/>
        <v>99.485548592273872</v>
      </c>
    </row>
    <row r="104" spans="1:78" x14ac:dyDescent="0.35">
      <c r="A104" s="101" t="s">
        <v>599</v>
      </c>
      <c r="B104">
        <f>'Total goods'!B143</f>
        <v>171315</v>
      </c>
      <c r="C104">
        <f>Durables!B143</f>
        <v>37643</v>
      </c>
      <c r="D104">
        <f>'Semi-durables'!B143</f>
        <v>39318</v>
      </c>
      <c r="E104">
        <f>'Non-durables'!B143</f>
        <v>94359</v>
      </c>
      <c r="F104">
        <f>Services!B143</f>
        <v>234726</v>
      </c>
      <c r="H104" s="34">
        <f t="shared" si="37"/>
        <v>100</v>
      </c>
      <c r="I104" s="34">
        <f t="shared" si="38"/>
        <v>100</v>
      </c>
      <c r="J104" s="34">
        <f t="shared" si="39"/>
        <v>100</v>
      </c>
      <c r="K104" s="34">
        <f t="shared" si="40"/>
        <v>100</v>
      </c>
      <c r="L104" s="34">
        <f t="shared" si="41"/>
        <v>100</v>
      </c>
      <c r="O104">
        <f>Durables!C143</f>
        <v>12379</v>
      </c>
      <c r="P104">
        <f>Durables!H143</f>
        <v>1026</v>
      </c>
      <c r="Q104">
        <f>Durables!J143</f>
        <v>14751</v>
      </c>
      <c r="R104">
        <f>Durables!O143</f>
        <v>1466</v>
      </c>
      <c r="S104">
        <f>Durables!Q143</f>
        <v>5177</v>
      </c>
      <c r="U104" s="34">
        <f t="shared" si="42"/>
        <v>100</v>
      </c>
      <c r="V104" s="34">
        <f t="shared" si="43"/>
        <v>100</v>
      </c>
      <c r="W104" s="34">
        <f t="shared" si="44"/>
        <v>100</v>
      </c>
      <c r="X104" s="34">
        <f t="shared" si="45"/>
        <v>100</v>
      </c>
      <c r="Y104" s="34">
        <f t="shared" si="46"/>
        <v>100</v>
      </c>
      <c r="AB104">
        <f>'Semi-durables'!C143</f>
        <v>20550</v>
      </c>
      <c r="AC104">
        <f>'Semi-durables'!H143</f>
        <v>6710</v>
      </c>
      <c r="AD104">
        <f>'Semi-durables'!M143</f>
        <v>1298</v>
      </c>
      <c r="AE104">
        <f>'Semi-durables'!O143</f>
        <v>9287</v>
      </c>
      <c r="AF104">
        <f>'Semi-durables'!T143</f>
        <v>1457</v>
      </c>
      <c r="AH104" s="34">
        <f t="shared" si="47"/>
        <v>100</v>
      </c>
      <c r="AI104" s="34">
        <f t="shared" si="48"/>
        <v>100</v>
      </c>
      <c r="AJ104" s="34">
        <f t="shared" si="49"/>
        <v>100</v>
      </c>
      <c r="AK104" s="34">
        <f t="shared" si="50"/>
        <v>100</v>
      </c>
      <c r="AL104" s="34">
        <f t="shared" si="51"/>
        <v>100</v>
      </c>
      <c r="AO104">
        <f>'Non-durables'!C143</f>
        <v>36298</v>
      </c>
      <c r="AP104">
        <f>'Non-durables'!Q143</f>
        <v>12803</v>
      </c>
      <c r="AQ104">
        <f>'Non-durables'!X143</f>
        <v>16713</v>
      </c>
      <c r="AR104">
        <f>'Non-durables'!AG143</f>
        <v>2200</v>
      </c>
      <c r="AS104">
        <f>'Non-durables'!AI143</f>
        <v>2498</v>
      </c>
      <c r="AT104">
        <f>'Non-durables'!AL143</f>
        <v>9301</v>
      </c>
      <c r="AU104">
        <f>'Non-durables'!AN143</f>
        <v>7980</v>
      </c>
      <c r="AV104">
        <f>'Non-durables'!AT143</f>
        <v>6965</v>
      </c>
      <c r="AX104" s="34">
        <f t="shared" si="52"/>
        <v>100</v>
      </c>
      <c r="AY104" s="34">
        <f t="shared" si="53"/>
        <v>100</v>
      </c>
      <c r="AZ104" s="34">
        <f t="shared" si="54"/>
        <v>100</v>
      </c>
      <c r="BA104" s="34">
        <f t="shared" si="55"/>
        <v>100</v>
      </c>
      <c r="BB104" s="34">
        <f t="shared" si="56"/>
        <v>100</v>
      </c>
      <c r="BC104" s="34">
        <f t="shared" si="57"/>
        <v>100</v>
      </c>
      <c r="BD104" s="34">
        <f t="shared" si="58"/>
        <v>100</v>
      </c>
      <c r="BE104" s="34">
        <f t="shared" si="59"/>
        <v>100</v>
      </c>
      <c r="BH104">
        <f>Services!F143</f>
        <v>91333</v>
      </c>
      <c r="BI104">
        <f>Services!Q143</f>
        <v>1160</v>
      </c>
      <c r="BJ104">
        <f>Services!U143</f>
        <v>4604</v>
      </c>
      <c r="BK104">
        <f>Services!AA143</f>
        <v>20758</v>
      </c>
      <c r="BL104">
        <f>Services!AJ143</f>
        <v>5586</v>
      </c>
      <c r="BM104">
        <f>Services!AM143</f>
        <v>16756</v>
      </c>
      <c r="BN104">
        <f>Services!AV143</f>
        <v>8845</v>
      </c>
      <c r="BO104">
        <f>Services!AW143</f>
        <v>43119</v>
      </c>
      <c r="BP104">
        <f>Services!BB143</f>
        <v>42764</v>
      </c>
      <c r="BR104" s="34">
        <f t="shared" si="60"/>
        <v>100</v>
      </c>
      <c r="BS104" s="34">
        <f t="shared" si="61"/>
        <v>100</v>
      </c>
      <c r="BT104" s="34">
        <f t="shared" si="62"/>
        <v>100</v>
      </c>
      <c r="BU104" s="34">
        <f t="shared" si="63"/>
        <v>100</v>
      </c>
      <c r="BV104" s="34">
        <f t="shared" si="64"/>
        <v>100</v>
      </c>
      <c r="BW104" s="34">
        <f t="shared" si="65"/>
        <v>100</v>
      </c>
      <c r="BX104" s="34">
        <f t="shared" si="66"/>
        <v>100</v>
      </c>
      <c r="BY104" s="34">
        <f t="shared" si="67"/>
        <v>100</v>
      </c>
      <c r="BZ104" s="34">
        <f t="shared" si="68"/>
        <v>100</v>
      </c>
    </row>
    <row r="105" spans="1:78" x14ac:dyDescent="0.35">
      <c r="A105" s="101" t="s">
        <v>600</v>
      </c>
      <c r="B105">
        <f>'Total goods'!B144</f>
        <v>170228</v>
      </c>
      <c r="C105">
        <f>Durables!B144</f>
        <v>36709</v>
      </c>
      <c r="D105">
        <f>'Semi-durables'!B144</f>
        <v>39202</v>
      </c>
      <c r="E105">
        <f>'Non-durables'!B144</f>
        <v>94405</v>
      </c>
      <c r="F105">
        <f>Services!B144</f>
        <v>241255</v>
      </c>
      <c r="H105" s="34">
        <f t="shared" si="37"/>
        <v>99.365496307970702</v>
      </c>
      <c r="I105" s="34">
        <f t="shared" si="38"/>
        <v>97.518794995085415</v>
      </c>
      <c r="J105" s="34">
        <f t="shared" si="39"/>
        <v>99.704969733964091</v>
      </c>
      <c r="K105" s="34">
        <f t="shared" si="40"/>
        <v>100.04874998675272</v>
      </c>
      <c r="L105" s="34">
        <f t="shared" si="41"/>
        <v>102.78154103081891</v>
      </c>
      <c r="O105">
        <f>Durables!C144</f>
        <v>11487</v>
      </c>
      <c r="P105">
        <f>Durables!H144</f>
        <v>774</v>
      </c>
      <c r="Q105">
        <f>Durables!J144</f>
        <v>14693</v>
      </c>
      <c r="R105">
        <f>Durables!O144</f>
        <v>1386</v>
      </c>
      <c r="S105">
        <f>Durables!Q144</f>
        <v>5445</v>
      </c>
      <c r="U105" s="34">
        <f t="shared" si="42"/>
        <v>92.794248323774127</v>
      </c>
      <c r="V105" s="34">
        <f t="shared" si="43"/>
        <v>75.438596491228068</v>
      </c>
      <c r="W105" s="34">
        <f t="shared" si="44"/>
        <v>99.606806318215718</v>
      </c>
      <c r="X105" s="34">
        <f t="shared" si="45"/>
        <v>94.542974079126878</v>
      </c>
      <c r="Y105" s="34">
        <f t="shared" si="46"/>
        <v>105.17674328761831</v>
      </c>
      <c r="AB105">
        <f>'Semi-durables'!C144</f>
        <v>20433</v>
      </c>
      <c r="AC105">
        <f>'Semi-durables'!H144</f>
        <v>6522</v>
      </c>
      <c r="AD105">
        <f>'Semi-durables'!M144</f>
        <v>1321</v>
      </c>
      <c r="AE105">
        <f>'Semi-durables'!O144</f>
        <v>9222</v>
      </c>
      <c r="AF105">
        <f>'Semi-durables'!T144</f>
        <v>1682</v>
      </c>
      <c r="AH105" s="34">
        <f t="shared" si="47"/>
        <v>99.430656934306569</v>
      </c>
      <c r="AI105" s="34">
        <f t="shared" si="48"/>
        <v>97.198211624441129</v>
      </c>
      <c r="AJ105" s="34">
        <f t="shared" si="49"/>
        <v>101.77195685670262</v>
      </c>
      <c r="AK105" s="34">
        <f t="shared" si="50"/>
        <v>99.300096909658663</v>
      </c>
      <c r="AL105" s="34">
        <f t="shared" si="51"/>
        <v>115.442690459849</v>
      </c>
      <c r="AO105">
        <f>'Non-durables'!C144</f>
        <v>36743</v>
      </c>
      <c r="AP105">
        <f>'Non-durables'!Q144</f>
        <v>12923</v>
      </c>
      <c r="AQ105">
        <f>'Non-durables'!X144</f>
        <v>16254</v>
      </c>
      <c r="AR105">
        <f>'Non-durables'!AG144</f>
        <v>2039</v>
      </c>
      <c r="AS105">
        <f>'Non-durables'!AI144</f>
        <v>2545</v>
      </c>
      <c r="AT105">
        <f>'Non-durables'!AL144</f>
        <v>9343</v>
      </c>
      <c r="AU105">
        <f>'Non-durables'!AN144</f>
        <v>7841</v>
      </c>
      <c r="AV105">
        <f>'Non-durables'!AT144</f>
        <v>6958</v>
      </c>
      <c r="AX105" s="34">
        <f t="shared" si="52"/>
        <v>101.22596286296766</v>
      </c>
      <c r="AY105" s="34">
        <f t="shared" si="53"/>
        <v>100.93728032492383</v>
      </c>
      <c r="AZ105" s="34">
        <f t="shared" si="54"/>
        <v>97.253634894991919</v>
      </c>
      <c r="BA105" s="34">
        <f t="shared" si="55"/>
        <v>92.681818181818173</v>
      </c>
      <c r="BB105" s="34">
        <f t="shared" si="56"/>
        <v>101.88150520416332</v>
      </c>
      <c r="BC105" s="34">
        <f t="shared" si="57"/>
        <v>100.45156434791957</v>
      </c>
      <c r="BD105" s="34">
        <f t="shared" si="58"/>
        <v>98.258145363408516</v>
      </c>
      <c r="BE105" s="34">
        <f t="shared" si="59"/>
        <v>99.899497487437188</v>
      </c>
      <c r="BH105">
        <f>Services!F144</f>
        <v>91930</v>
      </c>
      <c r="BI105">
        <f>Services!Q144</f>
        <v>1266</v>
      </c>
      <c r="BJ105">
        <f>Services!U144</f>
        <v>4624</v>
      </c>
      <c r="BK105">
        <f>Services!AA144</f>
        <v>22536</v>
      </c>
      <c r="BL105">
        <f>Services!AJ144</f>
        <v>5630</v>
      </c>
      <c r="BM105">
        <f>Services!AM144</f>
        <v>17236</v>
      </c>
      <c r="BN105">
        <f>Services!AV144</f>
        <v>9234</v>
      </c>
      <c r="BO105">
        <f>Services!AW144</f>
        <v>45420</v>
      </c>
      <c r="BP105">
        <f>Services!BB144</f>
        <v>43477</v>
      </c>
      <c r="BR105" s="34">
        <f t="shared" si="60"/>
        <v>100.65365202062782</v>
      </c>
      <c r="BS105" s="34">
        <f t="shared" si="61"/>
        <v>109.13793103448275</v>
      </c>
      <c r="BT105" s="34">
        <f t="shared" si="62"/>
        <v>100.43440486533449</v>
      </c>
      <c r="BU105" s="34">
        <f t="shared" si="63"/>
        <v>108.56537238654977</v>
      </c>
      <c r="BV105" s="34">
        <f t="shared" si="64"/>
        <v>100.78768349445042</v>
      </c>
      <c r="BW105" s="34">
        <f t="shared" si="65"/>
        <v>102.86464550011935</v>
      </c>
      <c r="BX105" s="34">
        <f t="shared" si="66"/>
        <v>104.39796495195026</v>
      </c>
      <c r="BY105" s="34">
        <f t="shared" si="67"/>
        <v>105.33639462881791</v>
      </c>
      <c r="BZ105" s="34">
        <f t="shared" si="68"/>
        <v>101.66729024413057</v>
      </c>
    </row>
    <row r="106" spans="1:78" x14ac:dyDescent="0.35">
      <c r="A106" s="101" t="s">
        <v>601</v>
      </c>
      <c r="B106">
        <f>'Total goods'!B145</f>
        <v>169713</v>
      </c>
      <c r="C106">
        <f>Durables!B145</f>
        <v>36976</v>
      </c>
      <c r="D106">
        <f>'Semi-durables'!B145</f>
        <v>39103</v>
      </c>
      <c r="E106">
        <f>'Non-durables'!B145</f>
        <v>93665</v>
      </c>
      <c r="F106">
        <f>Services!B145</f>
        <v>241395</v>
      </c>
      <c r="H106" s="34">
        <f t="shared" si="37"/>
        <v>99.064880483320195</v>
      </c>
      <c r="I106" s="34">
        <f t="shared" si="38"/>
        <v>98.228090215976408</v>
      </c>
      <c r="J106" s="34">
        <f t="shared" si="39"/>
        <v>99.453176662088623</v>
      </c>
      <c r="K106" s="34">
        <f t="shared" si="40"/>
        <v>99.264511069426348</v>
      </c>
      <c r="L106" s="34">
        <f t="shared" si="41"/>
        <v>102.84118504128217</v>
      </c>
      <c r="O106">
        <f>Durables!C145</f>
        <v>11264</v>
      </c>
      <c r="P106">
        <f>Durables!H145</f>
        <v>1096</v>
      </c>
      <c r="Q106">
        <f>Durables!J145</f>
        <v>14889</v>
      </c>
      <c r="R106">
        <f>Durables!O145</f>
        <v>1345</v>
      </c>
      <c r="S106">
        <f>Durables!Q145</f>
        <v>5484</v>
      </c>
      <c r="U106" s="34">
        <f t="shared" si="42"/>
        <v>90.992810404717673</v>
      </c>
      <c r="V106" s="34">
        <f t="shared" si="43"/>
        <v>106.82261208576998</v>
      </c>
      <c r="W106" s="34">
        <f t="shared" si="44"/>
        <v>100.9355297945902</v>
      </c>
      <c r="X106" s="34">
        <f t="shared" si="45"/>
        <v>91.746248294679404</v>
      </c>
      <c r="Y106" s="34">
        <f t="shared" si="46"/>
        <v>105.93007533320456</v>
      </c>
      <c r="AB106">
        <f>'Semi-durables'!C145</f>
        <v>20283</v>
      </c>
      <c r="AC106">
        <f>'Semi-durables'!H145</f>
        <v>6346</v>
      </c>
      <c r="AD106">
        <f>'Semi-durables'!M145</f>
        <v>1341</v>
      </c>
      <c r="AE106">
        <f>'Semi-durables'!O145</f>
        <v>9520</v>
      </c>
      <c r="AF106">
        <f>'Semi-durables'!T145</f>
        <v>1585</v>
      </c>
      <c r="AH106" s="34">
        <f t="shared" si="47"/>
        <v>98.700729927007302</v>
      </c>
      <c r="AI106" s="34">
        <f t="shared" si="48"/>
        <v>94.575260804769002</v>
      </c>
      <c r="AJ106" s="34">
        <f t="shared" si="49"/>
        <v>103.31278890600923</v>
      </c>
      <c r="AK106" s="34">
        <f t="shared" si="50"/>
        <v>102.5088833853774</v>
      </c>
      <c r="AL106" s="34">
        <f t="shared" si="51"/>
        <v>108.78517501715854</v>
      </c>
      <c r="AO106">
        <f>'Non-durables'!C145</f>
        <v>36768</v>
      </c>
      <c r="AP106">
        <f>'Non-durables'!Q145</f>
        <v>12972</v>
      </c>
      <c r="AQ106">
        <f>'Non-durables'!X145</f>
        <v>15777</v>
      </c>
      <c r="AR106">
        <f>'Non-durables'!AG145</f>
        <v>1976</v>
      </c>
      <c r="AS106">
        <f>'Non-durables'!AI145</f>
        <v>2630</v>
      </c>
      <c r="AT106">
        <f>'Non-durables'!AL145</f>
        <v>8855</v>
      </c>
      <c r="AU106">
        <f>'Non-durables'!AN145</f>
        <v>7974</v>
      </c>
      <c r="AV106">
        <f>'Non-durables'!AT145</f>
        <v>6866</v>
      </c>
      <c r="AX106" s="34">
        <f t="shared" si="52"/>
        <v>101.2948371811119</v>
      </c>
      <c r="AY106" s="34">
        <f t="shared" si="53"/>
        <v>101.32000312426774</v>
      </c>
      <c r="AZ106" s="34">
        <f t="shared" si="54"/>
        <v>94.399569197630584</v>
      </c>
      <c r="BA106" s="34">
        <f t="shared" si="55"/>
        <v>89.818181818181813</v>
      </c>
      <c r="BB106" s="34">
        <f t="shared" si="56"/>
        <v>105.28422738190552</v>
      </c>
      <c r="BC106" s="34">
        <f t="shared" si="57"/>
        <v>95.204816686377811</v>
      </c>
      <c r="BD106" s="34">
        <f t="shared" si="58"/>
        <v>99.924812030075188</v>
      </c>
      <c r="BE106" s="34">
        <f t="shared" si="59"/>
        <v>98.578607322325922</v>
      </c>
      <c r="BH106">
        <f>Services!F145</f>
        <v>92075</v>
      </c>
      <c r="BI106">
        <f>Services!Q145</f>
        <v>1184</v>
      </c>
      <c r="BJ106">
        <f>Services!U145</f>
        <v>4699</v>
      </c>
      <c r="BK106">
        <f>Services!AA145</f>
        <v>23068</v>
      </c>
      <c r="BL106">
        <f>Services!AJ145</f>
        <v>5691</v>
      </c>
      <c r="BM106">
        <f>Services!AM145</f>
        <v>17499</v>
      </c>
      <c r="BN106">
        <f>Services!AV145</f>
        <v>9520</v>
      </c>
      <c r="BO106">
        <f>Services!AW145</f>
        <v>44795</v>
      </c>
      <c r="BP106">
        <f>Services!BB145</f>
        <v>42889</v>
      </c>
      <c r="BR106" s="34">
        <f t="shared" si="60"/>
        <v>100.81241172413038</v>
      </c>
      <c r="BS106" s="34">
        <f t="shared" si="61"/>
        <v>102.06896551724138</v>
      </c>
      <c r="BT106" s="34">
        <f t="shared" si="62"/>
        <v>102.06342311033885</v>
      </c>
      <c r="BU106" s="34">
        <f t="shared" si="63"/>
        <v>111.12823971480874</v>
      </c>
      <c r="BV106" s="34">
        <f t="shared" si="64"/>
        <v>101.8796992481203</v>
      </c>
      <c r="BW106" s="34">
        <f t="shared" si="65"/>
        <v>104.43423251372643</v>
      </c>
      <c r="BX106" s="34">
        <f t="shared" si="66"/>
        <v>107.63143018654605</v>
      </c>
      <c r="BY106" s="34">
        <f t="shared" si="67"/>
        <v>103.88691760012986</v>
      </c>
      <c r="BZ106" s="34">
        <f t="shared" si="68"/>
        <v>100.29230193620802</v>
      </c>
    </row>
    <row r="107" spans="1:78" x14ac:dyDescent="0.35">
      <c r="A107" s="101" t="s">
        <v>602</v>
      </c>
      <c r="B107">
        <f>'Total goods'!B146</f>
        <v>170813</v>
      </c>
      <c r="C107">
        <f>Durables!B146</f>
        <v>37397</v>
      </c>
      <c r="D107">
        <f>'Semi-durables'!B146</f>
        <v>39263</v>
      </c>
      <c r="E107">
        <f>'Non-durables'!B146</f>
        <v>94171</v>
      </c>
      <c r="F107">
        <f>Services!B146</f>
        <v>245804</v>
      </c>
      <c r="H107" s="34">
        <f t="shared" si="37"/>
        <v>99.706972535971744</v>
      </c>
      <c r="I107" s="34">
        <f t="shared" si="38"/>
        <v>99.346492043673464</v>
      </c>
      <c r="J107" s="34">
        <f t="shared" si="39"/>
        <v>99.860114960069183</v>
      </c>
      <c r="K107" s="34">
        <f t="shared" si="40"/>
        <v>99.800760923706264</v>
      </c>
      <c r="L107" s="34">
        <f t="shared" si="41"/>
        <v>104.7195453422288</v>
      </c>
      <c r="O107">
        <f>Durables!C146</f>
        <v>10884</v>
      </c>
      <c r="P107">
        <f>Durables!H146</f>
        <v>969</v>
      </c>
      <c r="Q107">
        <f>Durables!J146</f>
        <v>15752</v>
      </c>
      <c r="R107">
        <f>Durables!O146</f>
        <v>1246</v>
      </c>
      <c r="S107">
        <f>Durables!Q146</f>
        <v>5592</v>
      </c>
      <c r="U107" s="34">
        <f t="shared" si="42"/>
        <v>87.923095565069872</v>
      </c>
      <c r="V107" s="34">
        <f t="shared" si="43"/>
        <v>94.444444444444443</v>
      </c>
      <c r="W107" s="34">
        <f t="shared" si="44"/>
        <v>106.78598061148396</v>
      </c>
      <c r="X107" s="34">
        <f t="shared" si="45"/>
        <v>84.993178717598909</v>
      </c>
      <c r="Y107" s="34">
        <f t="shared" si="46"/>
        <v>108.01622561328954</v>
      </c>
      <c r="AB107">
        <f>'Semi-durables'!C146</f>
        <v>20098</v>
      </c>
      <c r="AC107">
        <f>'Semi-durables'!H146</f>
        <v>6464</v>
      </c>
      <c r="AD107">
        <f>'Semi-durables'!M146</f>
        <v>1336</v>
      </c>
      <c r="AE107">
        <f>'Semi-durables'!O146</f>
        <v>9657</v>
      </c>
      <c r="AF107">
        <f>'Semi-durables'!T146</f>
        <v>1672</v>
      </c>
      <c r="AH107" s="34">
        <f t="shared" si="47"/>
        <v>97.800486618004868</v>
      </c>
      <c r="AI107" s="34">
        <f t="shared" si="48"/>
        <v>96.333830104321905</v>
      </c>
      <c r="AJ107" s="34">
        <f t="shared" si="49"/>
        <v>102.92758089368259</v>
      </c>
      <c r="AK107" s="34">
        <f t="shared" si="50"/>
        <v>103.98406374501991</v>
      </c>
      <c r="AL107" s="34">
        <f t="shared" si="51"/>
        <v>114.7563486616335</v>
      </c>
      <c r="AO107">
        <f>'Non-durables'!C146</f>
        <v>36635</v>
      </c>
      <c r="AP107">
        <f>'Non-durables'!Q146</f>
        <v>12906</v>
      </c>
      <c r="AQ107">
        <f>'Non-durables'!X146</f>
        <v>15349</v>
      </c>
      <c r="AR107">
        <f>'Non-durables'!AG146</f>
        <v>2040</v>
      </c>
      <c r="AS107">
        <f>'Non-durables'!AI146</f>
        <v>2653</v>
      </c>
      <c r="AT107">
        <f>'Non-durables'!AL146</f>
        <v>9992</v>
      </c>
      <c r="AU107">
        <f>'Non-durables'!AN146</f>
        <v>7941</v>
      </c>
      <c r="AV107">
        <f>'Non-durables'!AT146</f>
        <v>6614</v>
      </c>
      <c r="AX107" s="34">
        <f t="shared" si="52"/>
        <v>100.92842580858449</v>
      </c>
      <c r="AY107" s="34">
        <f t="shared" si="53"/>
        <v>100.80449894555963</v>
      </c>
      <c r="AZ107" s="34">
        <f t="shared" si="54"/>
        <v>91.838688446119789</v>
      </c>
      <c r="BA107" s="34">
        <f t="shared" si="55"/>
        <v>92.72727272727272</v>
      </c>
      <c r="BB107" s="34">
        <f t="shared" si="56"/>
        <v>106.20496397117694</v>
      </c>
      <c r="BC107" s="34">
        <f t="shared" si="57"/>
        <v>107.42930867648639</v>
      </c>
      <c r="BD107" s="34">
        <f t="shared" si="58"/>
        <v>99.511278195488714</v>
      </c>
      <c r="BE107" s="34">
        <f t="shared" si="59"/>
        <v>94.960516870064609</v>
      </c>
      <c r="BH107">
        <f>Services!F146</f>
        <v>92468</v>
      </c>
      <c r="BI107">
        <f>Services!Q146</f>
        <v>1143</v>
      </c>
      <c r="BJ107">
        <f>Services!U146</f>
        <v>4826</v>
      </c>
      <c r="BK107">
        <f>Services!AA146</f>
        <v>26027</v>
      </c>
      <c r="BL107">
        <f>Services!AJ146</f>
        <v>5915</v>
      </c>
      <c r="BM107">
        <f>Services!AM146</f>
        <v>18051</v>
      </c>
      <c r="BN107">
        <f>Services!AV146</f>
        <v>9637</v>
      </c>
      <c r="BO107">
        <f>Services!AW146</f>
        <v>45248</v>
      </c>
      <c r="BP107">
        <f>Services!BB146</f>
        <v>42298</v>
      </c>
      <c r="BR107" s="34">
        <f t="shared" si="60"/>
        <v>101.24270526534769</v>
      </c>
      <c r="BS107" s="34">
        <f t="shared" si="61"/>
        <v>98.534482758620683</v>
      </c>
      <c r="BT107" s="34">
        <f t="shared" si="62"/>
        <v>104.82189400521287</v>
      </c>
      <c r="BU107" s="34">
        <f t="shared" si="63"/>
        <v>125.38298487330187</v>
      </c>
      <c r="BV107" s="34">
        <f t="shared" si="64"/>
        <v>105.88972431077694</v>
      </c>
      <c r="BW107" s="34">
        <f t="shared" si="65"/>
        <v>107.72857483886369</v>
      </c>
      <c r="BX107" s="34">
        <f t="shared" si="66"/>
        <v>108.95421141888073</v>
      </c>
      <c r="BY107" s="34">
        <f t="shared" si="67"/>
        <v>104.93749855052297</v>
      </c>
      <c r="BZ107" s="34">
        <f t="shared" si="68"/>
        <v>98.910298381816489</v>
      </c>
    </row>
    <row r="108" spans="1:78" x14ac:dyDescent="0.35">
      <c r="A108" s="101" t="s">
        <v>603</v>
      </c>
      <c r="B108">
        <f>'Total goods'!B147</f>
        <v>166352</v>
      </c>
      <c r="C108">
        <f>Durables!B147</f>
        <v>36161</v>
      </c>
      <c r="D108">
        <f>'Semi-durables'!B147</f>
        <v>37917</v>
      </c>
      <c r="E108">
        <f>'Non-durables'!B147</f>
        <v>92317</v>
      </c>
      <c r="F108">
        <f>Services!B147</f>
        <v>244758</v>
      </c>
      <c r="H108" s="34">
        <f t="shared" si="37"/>
        <v>97.102997402445794</v>
      </c>
      <c r="I108" s="34">
        <f t="shared" si="38"/>
        <v>96.063013043593756</v>
      </c>
      <c r="J108" s="34">
        <f t="shared" si="39"/>
        <v>96.436746528307651</v>
      </c>
      <c r="K108" s="34">
        <f t="shared" si="40"/>
        <v>97.835924501107471</v>
      </c>
      <c r="L108" s="34">
        <f t="shared" si="41"/>
        <v>104.273919378339</v>
      </c>
      <c r="O108">
        <f>Durables!C147</f>
        <v>10569</v>
      </c>
      <c r="P108">
        <f>Durables!H147</f>
        <v>860</v>
      </c>
      <c r="Q108">
        <f>Durables!J147</f>
        <v>15556</v>
      </c>
      <c r="R108">
        <f>Durables!O147</f>
        <v>1115</v>
      </c>
      <c r="S108">
        <f>Durables!Q147</f>
        <v>5418</v>
      </c>
      <c r="U108" s="34">
        <f t="shared" si="42"/>
        <v>85.378463526940777</v>
      </c>
      <c r="V108" s="34">
        <f t="shared" si="43"/>
        <v>83.820662768031184</v>
      </c>
      <c r="W108" s="34">
        <f t="shared" si="44"/>
        <v>105.4572571351095</v>
      </c>
      <c r="X108" s="34">
        <f t="shared" si="45"/>
        <v>76.057298772169162</v>
      </c>
      <c r="Y108" s="34">
        <f t="shared" si="46"/>
        <v>104.65520571759706</v>
      </c>
      <c r="AB108">
        <f>'Semi-durables'!C147</f>
        <v>20724</v>
      </c>
      <c r="AC108">
        <f>'Semi-durables'!H147</f>
        <v>5692</v>
      </c>
      <c r="AD108">
        <f>'Semi-durables'!M147</f>
        <v>1468</v>
      </c>
      <c r="AE108">
        <f>'Semi-durables'!O147</f>
        <v>8562</v>
      </c>
      <c r="AF108">
        <f>'Semi-durables'!T147</f>
        <v>1491</v>
      </c>
      <c r="AH108" s="34">
        <f t="shared" si="47"/>
        <v>100.84671532846716</v>
      </c>
      <c r="AI108" s="34">
        <f t="shared" si="48"/>
        <v>84.828614008941884</v>
      </c>
      <c r="AJ108" s="34">
        <f t="shared" si="49"/>
        <v>113.09707241910631</v>
      </c>
      <c r="AK108" s="34">
        <f t="shared" si="50"/>
        <v>92.193388607731237</v>
      </c>
      <c r="AL108" s="34">
        <f t="shared" si="51"/>
        <v>102.33356211393274</v>
      </c>
      <c r="AO108">
        <f>'Non-durables'!C147</f>
        <v>36132</v>
      </c>
      <c r="AP108">
        <f>'Non-durables'!Q147</f>
        <v>12806</v>
      </c>
      <c r="AQ108">
        <f>'Non-durables'!X147</f>
        <v>15358</v>
      </c>
      <c r="AR108">
        <f>'Non-durables'!AG147</f>
        <v>1985</v>
      </c>
      <c r="AS108">
        <f>'Non-durables'!AI147</f>
        <v>2339</v>
      </c>
      <c r="AT108">
        <f>'Non-durables'!AL147</f>
        <v>9635</v>
      </c>
      <c r="AU108">
        <f>'Non-durables'!AN147</f>
        <v>7530</v>
      </c>
      <c r="AV108">
        <f>'Non-durables'!AT147</f>
        <v>6582</v>
      </c>
      <c r="AX108" s="34">
        <f t="shared" si="52"/>
        <v>99.54267452752218</v>
      </c>
      <c r="AY108" s="34">
        <f t="shared" si="53"/>
        <v>100.02343200812309</v>
      </c>
      <c r="AZ108" s="34">
        <f t="shared" si="54"/>
        <v>91.892538742296409</v>
      </c>
      <c r="BA108" s="34">
        <f t="shared" si="55"/>
        <v>90.22727272727272</v>
      </c>
      <c r="BB108" s="34">
        <f t="shared" si="56"/>
        <v>93.634907926341072</v>
      </c>
      <c r="BC108" s="34">
        <f t="shared" si="57"/>
        <v>103.59101171916998</v>
      </c>
      <c r="BD108" s="34">
        <f t="shared" si="58"/>
        <v>94.360902255639104</v>
      </c>
      <c r="BE108" s="34">
        <f t="shared" si="59"/>
        <v>94.501076812634594</v>
      </c>
      <c r="BH108">
        <f>Services!F147</f>
        <v>92624</v>
      </c>
      <c r="BI108">
        <f>Services!Q147</f>
        <v>1240</v>
      </c>
      <c r="BJ108">
        <f>Services!U147</f>
        <v>4897</v>
      </c>
      <c r="BK108">
        <f>Services!AA147</f>
        <v>25213</v>
      </c>
      <c r="BL108">
        <f>Services!AJ147</f>
        <v>6161</v>
      </c>
      <c r="BM108">
        <f>Services!AM147</f>
        <v>18378</v>
      </c>
      <c r="BN108">
        <f>Services!AV147</f>
        <v>9679</v>
      </c>
      <c r="BO108">
        <f>Services!AW147</f>
        <v>44461</v>
      </c>
      <c r="BP108">
        <f>Services!BB147</f>
        <v>41954</v>
      </c>
      <c r="BR108" s="34">
        <f t="shared" si="60"/>
        <v>101.4135088084263</v>
      </c>
      <c r="BS108" s="34">
        <f t="shared" si="61"/>
        <v>106.89655172413792</v>
      </c>
      <c r="BT108" s="34">
        <f t="shared" si="62"/>
        <v>106.3640312771503</v>
      </c>
      <c r="BU108" s="34">
        <f t="shared" si="63"/>
        <v>121.46160516427402</v>
      </c>
      <c r="BV108" s="34">
        <f t="shared" si="64"/>
        <v>110.29359112065879</v>
      </c>
      <c r="BW108" s="34">
        <f t="shared" si="65"/>
        <v>109.68011458582001</v>
      </c>
      <c r="BX108" s="34">
        <f t="shared" si="66"/>
        <v>109.42905596382137</v>
      </c>
      <c r="BY108" s="34">
        <f t="shared" si="67"/>
        <v>103.11231707599897</v>
      </c>
      <c r="BZ108" s="34">
        <f t="shared" si="68"/>
        <v>98.105883453372002</v>
      </c>
    </row>
    <row r="109" spans="1:78" x14ac:dyDescent="0.35">
      <c r="A109" s="101" t="s">
        <v>604</v>
      </c>
      <c r="B109">
        <f>'Total goods'!B148</f>
        <v>164688</v>
      </c>
      <c r="C109">
        <f>Durables!B148</f>
        <v>36464</v>
      </c>
      <c r="D109">
        <f>'Semi-durables'!B148</f>
        <v>37244</v>
      </c>
      <c r="E109">
        <f>'Non-durables'!B148</f>
        <v>90989</v>
      </c>
      <c r="F109">
        <f>Services!B148</f>
        <v>245481</v>
      </c>
      <c r="H109" s="34">
        <f t="shared" si="37"/>
        <v>96.131687242798364</v>
      </c>
      <c r="I109" s="34">
        <f t="shared" si="38"/>
        <v>96.867943575166692</v>
      </c>
      <c r="J109" s="34">
        <f t="shared" si="39"/>
        <v>94.725062312426871</v>
      </c>
      <c r="K109" s="34">
        <f t="shared" si="40"/>
        <v>96.428533579202835</v>
      </c>
      <c r="L109" s="34">
        <f t="shared" si="41"/>
        <v>104.58193808951715</v>
      </c>
      <c r="O109">
        <f>Durables!C148</f>
        <v>10268</v>
      </c>
      <c r="P109">
        <f>Durables!H148</f>
        <v>883</v>
      </c>
      <c r="Q109">
        <f>Durables!J148</f>
        <v>16278</v>
      </c>
      <c r="R109">
        <f>Durables!O148</f>
        <v>1020</v>
      </c>
      <c r="S109">
        <f>Durables!Q148</f>
        <v>5358</v>
      </c>
      <c r="U109" s="34">
        <f t="shared" si="42"/>
        <v>82.946926246061878</v>
      </c>
      <c r="V109" s="34">
        <f t="shared" si="43"/>
        <v>86.062378167641327</v>
      </c>
      <c r="W109" s="34">
        <f t="shared" si="44"/>
        <v>110.35184055318284</v>
      </c>
      <c r="X109" s="34">
        <f t="shared" si="45"/>
        <v>69.577080491132335</v>
      </c>
      <c r="Y109" s="34">
        <f t="shared" si="46"/>
        <v>103.49623333977208</v>
      </c>
      <c r="AB109">
        <f>'Semi-durables'!C148</f>
        <v>19929</v>
      </c>
      <c r="AC109">
        <f>'Semi-durables'!H148</f>
        <v>5972</v>
      </c>
      <c r="AD109">
        <f>'Semi-durables'!M148</f>
        <v>1451</v>
      </c>
      <c r="AE109">
        <f>'Semi-durables'!O148</f>
        <v>8363</v>
      </c>
      <c r="AF109">
        <f>'Semi-durables'!T148</f>
        <v>1529</v>
      </c>
      <c r="AH109" s="34">
        <f t="shared" si="47"/>
        <v>96.978102189781026</v>
      </c>
      <c r="AI109" s="34">
        <f t="shared" si="48"/>
        <v>89.001490312965728</v>
      </c>
      <c r="AJ109" s="34">
        <f t="shared" si="49"/>
        <v>111.7873651771957</v>
      </c>
      <c r="AK109" s="34">
        <f t="shared" si="50"/>
        <v>90.0506083773016</v>
      </c>
      <c r="AL109" s="34">
        <f t="shared" si="51"/>
        <v>104.94166094715168</v>
      </c>
      <c r="AO109">
        <f>'Non-durables'!C148</f>
        <v>35343</v>
      </c>
      <c r="AP109">
        <f>'Non-durables'!Q148</f>
        <v>12869</v>
      </c>
      <c r="AQ109">
        <f>'Non-durables'!X148</f>
        <v>15054</v>
      </c>
      <c r="AR109">
        <f>'Non-durables'!AG148</f>
        <v>1930</v>
      </c>
      <c r="AS109">
        <f>'Non-durables'!AI148</f>
        <v>2212</v>
      </c>
      <c r="AT109">
        <f>'Non-durables'!AL148</f>
        <v>9761</v>
      </c>
      <c r="AU109">
        <f>'Non-durables'!AN148</f>
        <v>7248</v>
      </c>
      <c r="AV109">
        <f>'Non-durables'!AT148</f>
        <v>6556</v>
      </c>
      <c r="AX109" s="34">
        <f t="shared" si="52"/>
        <v>97.369001046889636</v>
      </c>
      <c r="AY109" s="34">
        <f t="shared" si="53"/>
        <v>100.51550417870811</v>
      </c>
      <c r="AZ109" s="34">
        <f t="shared" si="54"/>
        <v>90.073595404774736</v>
      </c>
      <c r="BA109" s="34">
        <f t="shared" si="55"/>
        <v>87.727272727272734</v>
      </c>
      <c r="BB109" s="34">
        <f t="shared" si="56"/>
        <v>88.55084067253803</v>
      </c>
      <c r="BC109" s="34">
        <f t="shared" si="57"/>
        <v>104.94570476292873</v>
      </c>
      <c r="BD109" s="34">
        <f t="shared" si="58"/>
        <v>90.827067669172934</v>
      </c>
      <c r="BE109" s="34">
        <f t="shared" si="59"/>
        <v>94.127781765972713</v>
      </c>
      <c r="BH109">
        <f>Services!F148</f>
        <v>92850</v>
      </c>
      <c r="BI109">
        <f>Services!Q148</f>
        <v>1236</v>
      </c>
      <c r="BJ109">
        <f>Services!U148</f>
        <v>4886</v>
      </c>
      <c r="BK109">
        <f>Services!AA148</f>
        <v>25794</v>
      </c>
      <c r="BL109">
        <f>Services!AJ148</f>
        <v>6202</v>
      </c>
      <c r="BM109">
        <f>Services!AM148</f>
        <v>18094</v>
      </c>
      <c r="BN109">
        <f>Services!AV148</f>
        <v>9907</v>
      </c>
      <c r="BO109">
        <f>Services!AW148</f>
        <v>44121</v>
      </c>
      <c r="BP109">
        <f>Services!BB148</f>
        <v>42211</v>
      </c>
      <c r="BR109" s="34">
        <f t="shared" si="60"/>
        <v>101.66095496698892</v>
      </c>
      <c r="BS109" s="34">
        <f t="shared" si="61"/>
        <v>106.55172413793103</v>
      </c>
      <c r="BT109" s="34">
        <f t="shared" si="62"/>
        <v>106.12510860121634</v>
      </c>
      <c r="BU109" s="34">
        <f t="shared" si="63"/>
        <v>124.26052606224107</v>
      </c>
      <c r="BV109" s="34">
        <f t="shared" si="64"/>
        <v>111.02756892230576</v>
      </c>
      <c r="BW109" s="34">
        <f t="shared" si="65"/>
        <v>107.98519933158272</v>
      </c>
      <c r="BX109" s="34">
        <f t="shared" si="66"/>
        <v>112.00678349349916</v>
      </c>
      <c r="BY109" s="34">
        <f t="shared" si="67"/>
        <v>102.32380157239267</v>
      </c>
      <c r="BZ109" s="34">
        <f t="shared" si="68"/>
        <v>98.706856234215707</v>
      </c>
    </row>
    <row r="110" spans="1:78" x14ac:dyDescent="0.35">
      <c r="A110" s="101" t="s">
        <v>605</v>
      </c>
      <c r="B110">
        <f>'Total goods'!B149</f>
        <v>161470</v>
      </c>
      <c r="C110">
        <f>Durables!B149</f>
        <v>36522</v>
      </c>
      <c r="D110">
        <f>'Semi-durables'!B149</f>
        <v>36647</v>
      </c>
      <c r="E110">
        <f>'Non-durables'!B149</f>
        <v>88263</v>
      </c>
      <c r="F110">
        <f>Services!B149</f>
        <v>243344</v>
      </c>
      <c r="H110" s="34">
        <f t="shared" si="37"/>
        <v>94.253276128768633</v>
      </c>
      <c r="I110" s="34">
        <f t="shared" si="38"/>
        <v>97.022022686820918</v>
      </c>
      <c r="J110" s="34">
        <f t="shared" si="39"/>
        <v>93.206673788086874</v>
      </c>
      <c r="K110" s="34">
        <f t="shared" si="40"/>
        <v>93.53956697294376</v>
      </c>
      <c r="L110" s="34">
        <f t="shared" si="41"/>
        <v>103.67151487266004</v>
      </c>
      <c r="O110">
        <f>Durables!C149</f>
        <v>10101</v>
      </c>
      <c r="P110">
        <f>Durables!H149</f>
        <v>905</v>
      </c>
      <c r="Q110">
        <f>Durables!J149</f>
        <v>16595</v>
      </c>
      <c r="R110">
        <f>Durables!O149</f>
        <v>1016</v>
      </c>
      <c r="S110">
        <f>Durables!Q149</f>
        <v>5365</v>
      </c>
      <c r="U110" s="34">
        <f t="shared" si="42"/>
        <v>81.597867356006134</v>
      </c>
      <c r="V110" s="34">
        <f t="shared" si="43"/>
        <v>88.206627680311883</v>
      </c>
      <c r="W110" s="34">
        <f t="shared" si="44"/>
        <v>112.50084740017626</v>
      </c>
      <c r="X110" s="34">
        <f t="shared" si="45"/>
        <v>69.304229195088681</v>
      </c>
      <c r="Y110" s="34">
        <f t="shared" si="46"/>
        <v>103.63144678385166</v>
      </c>
      <c r="AB110">
        <f>'Semi-durables'!C149</f>
        <v>19369</v>
      </c>
      <c r="AC110">
        <f>'Semi-durables'!H149</f>
        <v>6098</v>
      </c>
      <c r="AD110">
        <f>'Semi-durables'!M149</f>
        <v>1419</v>
      </c>
      <c r="AE110">
        <f>'Semi-durables'!O149</f>
        <v>8162</v>
      </c>
      <c r="AF110">
        <f>'Semi-durables'!T149</f>
        <v>1585</v>
      </c>
      <c r="AH110" s="34">
        <f t="shared" si="47"/>
        <v>94.253041362530411</v>
      </c>
      <c r="AI110" s="34">
        <f t="shared" si="48"/>
        <v>90.879284649776451</v>
      </c>
      <c r="AJ110" s="34">
        <f t="shared" si="49"/>
        <v>109.32203389830508</v>
      </c>
      <c r="AK110" s="34">
        <f t="shared" si="50"/>
        <v>87.886292667169158</v>
      </c>
      <c r="AL110" s="34">
        <f t="shared" si="51"/>
        <v>108.78517501715854</v>
      </c>
      <c r="AO110">
        <f>'Non-durables'!C149</f>
        <v>34129</v>
      </c>
      <c r="AP110">
        <f>'Non-durables'!Q149</f>
        <v>12416</v>
      </c>
      <c r="AQ110">
        <f>'Non-durables'!X149</f>
        <v>14517</v>
      </c>
      <c r="AR110">
        <f>'Non-durables'!AG149</f>
        <v>1922</v>
      </c>
      <c r="AS110">
        <f>'Non-durables'!AI149</f>
        <v>2138</v>
      </c>
      <c r="AT110">
        <f>'Non-durables'!AL149</f>
        <v>9528</v>
      </c>
      <c r="AU110">
        <f>'Non-durables'!AN149</f>
        <v>7172</v>
      </c>
      <c r="AV110">
        <f>'Non-durables'!AT149</f>
        <v>6415</v>
      </c>
      <c r="AX110" s="34">
        <f t="shared" si="52"/>
        <v>94.024464157804829</v>
      </c>
      <c r="AY110" s="34">
        <f t="shared" si="53"/>
        <v>96.977270952120591</v>
      </c>
      <c r="AZ110" s="34">
        <f t="shared" si="54"/>
        <v>86.860527732902526</v>
      </c>
      <c r="BA110" s="34">
        <f t="shared" si="55"/>
        <v>87.36363636363636</v>
      </c>
      <c r="BB110" s="34">
        <f t="shared" si="56"/>
        <v>85.588470776621293</v>
      </c>
      <c r="BC110" s="34">
        <f t="shared" si="57"/>
        <v>102.44059778518439</v>
      </c>
      <c r="BD110" s="34">
        <f t="shared" si="58"/>
        <v>89.874686716791985</v>
      </c>
      <c r="BE110" s="34">
        <f t="shared" si="59"/>
        <v>92.103374012921762</v>
      </c>
      <c r="BH110">
        <f>Services!F149</f>
        <v>93015</v>
      </c>
      <c r="BI110">
        <f>Services!Q149</f>
        <v>1244</v>
      </c>
      <c r="BJ110">
        <f>Services!U149</f>
        <v>4862</v>
      </c>
      <c r="BK110">
        <f>Services!AA149</f>
        <v>25585</v>
      </c>
      <c r="BL110">
        <f>Services!AJ149</f>
        <v>6284</v>
      </c>
      <c r="BM110">
        <f>Services!AM149</f>
        <v>17985</v>
      </c>
      <c r="BN110">
        <f>Services!AV149</f>
        <v>9997</v>
      </c>
      <c r="BO110">
        <f>Services!AW149</f>
        <v>43418</v>
      </c>
      <c r="BP110">
        <f>Services!BB149</f>
        <v>40662</v>
      </c>
      <c r="BR110" s="34">
        <f t="shared" si="60"/>
        <v>101.84161256062978</v>
      </c>
      <c r="BS110" s="34">
        <f t="shared" si="61"/>
        <v>107.24137931034483</v>
      </c>
      <c r="BT110" s="34">
        <f t="shared" si="62"/>
        <v>105.60382276281494</v>
      </c>
      <c r="BU110" s="34">
        <f t="shared" si="63"/>
        <v>123.25368532613932</v>
      </c>
      <c r="BV110" s="34">
        <f t="shared" si="64"/>
        <v>112.49552452559972</v>
      </c>
      <c r="BW110" s="34">
        <f t="shared" si="65"/>
        <v>107.33468608259729</v>
      </c>
      <c r="BX110" s="34">
        <f t="shared" si="66"/>
        <v>113.02430751837196</v>
      </c>
      <c r="BY110" s="34">
        <f t="shared" si="67"/>
        <v>100.69342981052436</v>
      </c>
      <c r="BZ110" s="34">
        <f t="shared" si="68"/>
        <v>95.08465064072584</v>
      </c>
    </row>
    <row r="111" spans="1:78" x14ac:dyDescent="0.35">
      <c r="A111" s="101" t="s">
        <v>606</v>
      </c>
      <c r="B111">
        <f>'Total goods'!B150</f>
        <v>160586</v>
      </c>
      <c r="C111">
        <f>Durables!B150</f>
        <v>36173</v>
      </c>
      <c r="D111">
        <f>'Semi-durables'!B150</f>
        <v>35891</v>
      </c>
      <c r="E111">
        <f>'Non-durables'!B150</f>
        <v>88508</v>
      </c>
      <c r="F111">
        <f>Services!B150</f>
        <v>243618</v>
      </c>
      <c r="H111" s="34">
        <f t="shared" si="37"/>
        <v>93.737267606455944</v>
      </c>
      <c r="I111" s="34">
        <f t="shared" si="38"/>
        <v>96.094891480487746</v>
      </c>
      <c r="J111" s="34">
        <f t="shared" si="39"/>
        <v>91.283890330128685</v>
      </c>
      <c r="K111" s="34">
        <f t="shared" si="40"/>
        <v>93.799213641518037</v>
      </c>
      <c r="L111" s="34">
        <f t="shared" si="41"/>
        <v>103.78824672170957</v>
      </c>
      <c r="O111">
        <f>Durables!C150</f>
        <v>9896</v>
      </c>
      <c r="P111">
        <f>Durables!H150</f>
        <v>807</v>
      </c>
      <c r="Q111">
        <f>Durables!J150</f>
        <v>16442</v>
      </c>
      <c r="R111">
        <f>Durables!O150</f>
        <v>1147</v>
      </c>
      <c r="S111">
        <f>Durables!Q150</f>
        <v>5414</v>
      </c>
      <c r="U111" s="34">
        <f t="shared" si="42"/>
        <v>79.941836981985631</v>
      </c>
      <c r="V111" s="34">
        <f t="shared" si="43"/>
        <v>78.654970760233923</v>
      </c>
      <c r="W111" s="34">
        <f t="shared" si="44"/>
        <v>111.46362958443497</v>
      </c>
      <c r="X111" s="34">
        <f t="shared" si="45"/>
        <v>78.240109140518427</v>
      </c>
      <c r="Y111" s="34">
        <f t="shared" si="46"/>
        <v>104.57794089240873</v>
      </c>
      <c r="AB111">
        <f>'Semi-durables'!C150</f>
        <v>19043</v>
      </c>
      <c r="AC111">
        <f>'Semi-durables'!H150</f>
        <v>5973</v>
      </c>
      <c r="AD111">
        <f>'Semi-durables'!M150</f>
        <v>1369</v>
      </c>
      <c r="AE111">
        <f>'Semi-durables'!O150</f>
        <v>8050</v>
      </c>
      <c r="AF111">
        <f>'Semi-durables'!T150</f>
        <v>1450</v>
      </c>
      <c r="AH111" s="34">
        <f t="shared" si="47"/>
        <v>92.666666666666657</v>
      </c>
      <c r="AI111" s="34">
        <f t="shared" si="48"/>
        <v>89.016393442622956</v>
      </c>
      <c r="AJ111" s="34">
        <f t="shared" si="49"/>
        <v>105.46995377503852</v>
      </c>
      <c r="AK111" s="34">
        <f t="shared" si="50"/>
        <v>86.680305803811777</v>
      </c>
      <c r="AL111" s="34">
        <f t="shared" si="51"/>
        <v>99.519560741249151</v>
      </c>
      <c r="AO111">
        <f>'Non-durables'!C150</f>
        <v>34305</v>
      </c>
      <c r="AP111">
        <f>'Non-durables'!Q150</f>
        <v>12257</v>
      </c>
      <c r="AQ111">
        <f>'Non-durables'!X150</f>
        <v>14842</v>
      </c>
      <c r="AR111">
        <f>'Non-durables'!AG150</f>
        <v>1836</v>
      </c>
      <c r="AS111">
        <f>'Non-durables'!AI150</f>
        <v>2039</v>
      </c>
      <c r="AT111">
        <f>'Non-durables'!AL150</f>
        <v>9580</v>
      </c>
      <c r="AU111">
        <f>'Non-durables'!AN150</f>
        <v>7152</v>
      </c>
      <c r="AV111">
        <f>'Non-durables'!AT150</f>
        <v>6489</v>
      </c>
      <c r="AX111" s="34">
        <f t="shared" si="52"/>
        <v>94.509339357540355</v>
      </c>
      <c r="AY111" s="34">
        <f t="shared" si="53"/>
        <v>95.735374521596512</v>
      </c>
      <c r="AZ111" s="34">
        <f t="shared" si="54"/>
        <v>88.805121761503031</v>
      </c>
      <c r="BA111" s="34">
        <f t="shared" si="55"/>
        <v>83.454545454545453</v>
      </c>
      <c r="BB111" s="34">
        <f t="shared" si="56"/>
        <v>81.625300240192161</v>
      </c>
      <c r="BC111" s="34">
        <f t="shared" si="57"/>
        <v>102.9996774540372</v>
      </c>
      <c r="BD111" s="34">
        <f t="shared" si="58"/>
        <v>89.624060150375939</v>
      </c>
      <c r="BE111" s="34">
        <f t="shared" si="59"/>
        <v>93.165829145728637</v>
      </c>
      <c r="BH111">
        <f>Services!F150</f>
        <v>93407</v>
      </c>
      <c r="BI111">
        <f>Services!Q150</f>
        <v>1143</v>
      </c>
      <c r="BJ111">
        <f>Services!U150</f>
        <v>4831</v>
      </c>
      <c r="BK111">
        <f>Services!AA150</f>
        <v>25256</v>
      </c>
      <c r="BL111">
        <f>Services!AJ150</f>
        <v>6376</v>
      </c>
      <c r="BM111">
        <f>Services!AM150</f>
        <v>17912</v>
      </c>
      <c r="BN111">
        <f>Services!AV150</f>
        <v>9872</v>
      </c>
      <c r="BO111">
        <f>Services!AW150</f>
        <v>43197</v>
      </c>
      <c r="BP111">
        <f>Services!BB150</f>
        <v>41399</v>
      </c>
      <c r="BR111" s="34">
        <f t="shared" si="60"/>
        <v>102.27081120734016</v>
      </c>
      <c r="BS111" s="34">
        <f t="shared" si="61"/>
        <v>98.534482758620683</v>
      </c>
      <c r="BT111" s="34">
        <f t="shared" si="62"/>
        <v>104.93049522154647</v>
      </c>
      <c r="BU111" s="34">
        <f t="shared" si="63"/>
        <v>121.66875421524233</v>
      </c>
      <c r="BV111" s="34">
        <f t="shared" si="64"/>
        <v>114.14249910490513</v>
      </c>
      <c r="BW111" s="34">
        <f t="shared" si="65"/>
        <v>106.89902124612078</v>
      </c>
      <c r="BX111" s="34">
        <f t="shared" si="66"/>
        <v>111.61107970604863</v>
      </c>
      <c r="BY111" s="34">
        <f t="shared" si="67"/>
        <v>100.18089473318025</v>
      </c>
      <c r="BZ111" s="34">
        <f t="shared" si="68"/>
        <v>96.808062856608359</v>
      </c>
    </row>
    <row r="112" spans="1:78" x14ac:dyDescent="0.35">
      <c r="A112" s="101" t="s">
        <v>607</v>
      </c>
      <c r="B112">
        <f>'Total goods'!B151</f>
        <v>161714</v>
      </c>
      <c r="C112">
        <f>Durables!B151</f>
        <v>36391</v>
      </c>
      <c r="D112">
        <f>'Semi-durables'!B151</f>
        <v>36372</v>
      </c>
      <c r="E112">
        <f>'Non-durables'!B151</f>
        <v>88951</v>
      </c>
      <c r="F112">
        <f>Services!B151</f>
        <v>244787</v>
      </c>
      <c r="H112" s="34">
        <f t="shared" si="37"/>
        <v>94.395703820447721</v>
      </c>
      <c r="I112" s="34">
        <f t="shared" si="38"/>
        <v>96.674016417395009</v>
      </c>
      <c r="J112" s="34">
        <f t="shared" si="39"/>
        <v>92.507248588432773</v>
      </c>
      <c r="K112" s="34">
        <f t="shared" si="40"/>
        <v>94.268697209593142</v>
      </c>
      <c r="L112" s="34">
        <f t="shared" si="41"/>
        <v>104.28627420907782</v>
      </c>
      <c r="O112">
        <f>Durables!C151</f>
        <v>9826</v>
      </c>
      <c r="P112">
        <f>Durables!H151</f>
        <v>846</v>
      </c>
      <c r="Q112">
        <f>Durables!J151</f>
        <v>16152</v>
      </c>
      <c r="R112">
        <f>Durables!O151</f>
        <v>1444</v>
      </c>
      <c r="S112">
        <f>Durables!Q151</f>
        <v>5616</v>
      </c>
      <c r="U112" s="34">
        <f t="shared" si="42"/>
        <v>79.376363195734712</v>
      </c>
      <c r="V112" s="34">
        <f t="shared" si="43"/>
        <v>82.456140350877192</v>
      </c>
      <c r="W112" s="34">
        <f t="shared" si="44"/>
        <v>109.49766117551351</v>
      </c>
      <c r="X112" s="34">
        <f t="shared" si="45"/>
        <v>98.499317871759899</v>
      </c>
      <c r="Y112" s="34">
        <f t="shared" si="46"/>
        <v>108.47981456441956</v>
      </c>
      <c r="AB112">
        <f>'Semi-durables'!C151</f>
        <v>18688</v>
      </c>
      <c r="AC112">
        <f>'Semi-durables'!H151</f>
        <v>5969</v>
      </c>
      <c r="AD112">
        <f>'Semi-durables'!M151</f>
        <v>1433</v>
      </c>
      <c r="AE112">
        <f>'Semi-durables'!O151</f>
        <v>8563</v>
      </c>
      <c r="AF112">
        <f>'Semi-durables'!T151</f>
        <v>1719</v>
      </c>
      <c r="AH112" s="34">
        <f t="shared" si="47"/>
        <v>90.93917274939173</v>
      </c>
      <c r="AI112" s="34">
        <f t="shared" si="48"/>
        <v>88.956780923994046</v>
      </c>
      <c r="AJ112" s="34">
        <f t="shared" si="49"/>
        <v>110.40061633281972</v>
      </c>
      <c r="AK112" s="34">
        <f t="shared" si="50"/>
        <v>92.204156347582639</v>
      </c>
      <c r="AL112" s="34">
        <f t="shared" si="51"/>
        <v>117.98215511324639</v>
      </c>
      <c r="AO112">
        <f>'Non-durables'!C151</f>
        <v>34581</v>
      </c>
      <c r="AP112">
        <f>'Non-durables'!Q151</f>
        <v>12117</v>
      </c>
      <c r="AQ112">
        <f>'Non-durables'!X151</f>
        <v>14509</v>
      </c>
      <c r="AR112">
        <f>'Non-durables'!AG151</f>
        <v>1995</v>
      </c>
      <c r="AS112">
        <f>'Non-durables'!AI151</f>
        <v>2108</v>
      </c>
      <c r="AT112">
        <f>'Non-durables'!AL151</f>
        <v>9757</v>
      </c>
      <c r="AU112">
        <f>'Non-durables'!AN151</f>
        <v>7206</v>
      </c>
      <c r="AV112">
        <f>'Non-durables'!AT151</f>
        <v>6678</v>
      </c>
      <c r="AX112" s="34">
        <f t="shared" si="52"/>
        <v>95.269711829852895</v>
      </c>
      <c r="AY112" s="34">
        <f t="shared" si="53"/>
        <v>94.641880809185352</v>
      </c>
      <c r="AZ112" s="34">
        <f t="shared" si="54"/>
        <v>86.812660802967741</v>
      </c>
      <c r="BA112" s="34">
        <f t="shared" si="55"/>
        <v>90.681818181818187</v>
      </c>
      <c r="BB112" s="34">
        <f t="shared" si="56"/>
        <v>84.387510008006402</v>
      </c>
      <c r="BC112" s="34">
        <f t="shared" si="57"/>
        <v>104.90269863455541</v>
      </c>
      <c r="BD112" s="34">
        <f t="shared" si="58"/>
        <v>90.300751879699249</v>
      </c>
      <c r="BE112" s="34">
        <f t="shared" si="59"/>
        <v>95.879396984924625</v>
      </c>
      <c r="BH112">
        <f>Services!F151</f>
        <v>93629</v>
      </c>
      <c r="BI112">
        <f>Services!Q151</f>
        <v>1295</v>
      </c>
      <c r="BJ112">
        <f>Services!U151</f>
        <v>4748</v>
      </c>
      <c r="BK112">
        <f>Services!AA151</f>
        <v>25877</v>
      </c>
      <c r="BL112">
        <f>Services!AJ151</f>
        <v>6355</v>
      </c>
      <c r="BM112">
        <f>Services!AM151</f>
        <v>17929</v>
      </c>
      <c r="BN112">
        <f>Services!AV151</f>
        <v>10072</v>
      </c>
      <c r="BO112">
        <f>Services!AW151</f>
        <v>43082</v>
      </c>
      <c r="BP112">
        <f>Services!BB151</f>
        <v>41636</v>
      </c>
      <c r="BR112" s="34">
        <f t="shared" si="60"/>
        <v>102.51387778787513</v>
      </c>
      <c r="BS112" s="34">
        <f t="shared" si="61"/>
        <v>111.63793103448276</v>
      </c>
      <c r="BT112" s="34">
        <f t="shared" si="62"/>
        <v>103.12771503040834</v>
      </c>
      <c r="BU112" s="34">
        <f t="shared" si="63"/>
        <v>124.66037190480779</v>
      </c>
      <c r="BV112" s="34">
        <f t="shared" si="64"/>
        <v>113.76655925528105</v>
      </c>
      <c r="BW112" s="34">
        <f t="shared" si="65"/>
        <v>107.0004774409167</v>
      </c>
      <c r="BX112" s="34">
        <f t="shared" si="66"/>
        <v>113.87224420576597</v>
      </c>
      <c r="BY112" s="34">
        <f t="shared" si="67"/>
        <v>99.914190959901674</v>
      </c>
      <c r="BZ112" s="34">
        <f t="shared" si="68"/>
        <v>97.362267327658785</v>
      </c>
    </row>
    <row r="113" spans="1:78" x14ac:dyDescent="0.35">
      <c r="A113" s="101" t="s">
        <v>608</v>
      </c>
      <c r="B113">
        <f>'Total goods'!B152</f>
        <v>161671</v>
      </c>
      <c r="C113">
        <f>Durables!B152</f>
        <v>36521</v>
      </c>
      <c r="D113">
        <f>'Semi-durables'!B152</f>
        <v>36377</v>
      </c>
      <c r="E113">
        <f>'Non-durables'!B152</f>
        <v>88773</v>
      </c>
      <c r="F113">
        <f>Services!B152</f>
        <v>245526</v>
      </c>
      <c r="H113" s="34">
        <f t="shared" si="37"/>
        <v>94.370603858389515</v>
      </c>
      <c r="I113" s="34">
        <f t="shared" si="38"/>
        <v>97.019366150413092</v>
      </c>
      <c r="J113" s="34">
        <f t="shared" si="39"/>
        <v>92.51996541024468</v>
      </c>
      <c r="K113" s="34">
        <f t="shared" si="40"/>
        <v>94.080055956506541</v>
      </c>
      <c r="L113" s="34">
        <f t="shared" si="41"/>
        <v>104.60110937859461</v>
      </c>
      <c r="O113">
        <f>Durables!C152</f>
        <v>9755</v>
      </c>
      <c r="P113">
        <f>Durables!H152</f>
        <v>845</v>
      </c>
      <c r="Q113">
        <f>Durables!J152</f>
        <v>16306</v>
      </c>
      <c r="R113">
        <f>Durables!O152</f>
        <v>1441</v>
      </c>
      <c r="S113">
        <f>Durables!Q152</f>
        <v>5740</v>
      </c>
      <c r="U113" s="34">
        <f t="shared" si="42"/>
        <v>78.802811212537364</v>
      </c>
      <c r="V113" s="34">
        <f t="shared" si="43"/>
        <v>82.358674463937618</v>
      </c>
      <c r="W113" s="34">
        <f t="shared" si="44"/>
        <v>110.5416581926649</v>
      </c>
      <c r="X113" s="34">
        <f t="shared" si="45"/>
        <v>98.294679399727144</v>
      </c>
      <c r="Y113" s="34">
        <f t="shared" si="46"/>
        <v>110.87502414525787</v>
      </c>
      <c r="AB113">
        <f>'Semi-durables'!C152</f>
        <v>18777</v>
      </c>
      <c r="AC113">
        <f>'Semi-durables'!H152</f>
        <v>5957</v>
      </c>
      <c r="AD113">
        <f>'Semi-durables'!M152</f>
        <v>1425</v>
      </c>
      <c r="AE113">
        <f>'Semi-durables'!O152</f>
        <v>8684</v>
      </c>
      <c r="AF113">
        <f>'Semi-durables'!T152</f>
        <v>1534</v>
      </c>
      <c r="AH113" s="34">
        <f t="shared" si="47"/>
        <v>91.372262773722625</v>
      </c>
      <c r="AI113" s="34">
        <f t="shared" si="48"/>
        <v>88.777943368107302</v>
      </c>
      <c r="AJ113" s="34">
        <f t="shared" si="49"/>
        <v>109.78428351309708</v>
      </c>
      <c r="AK113" s="34">
        <f t="shared" si="50"/>
        <v>93.507052869602674</v>
      </c>
      <c r="AL113" s="34">
        <f t="shared" si="51"/>
        <v>105.28483184625944</v>
      </c>
      <c r="AO113">
        <f>'Non-durables'!C152</f>
        <v>34665</v>
      </c>
      <c r="AP113">
        <f>'Non-durables'!Q152</f>
        <v>12110</v>
      </c>
      <c r="AQ113">
        <f>'Non-durables'!X152</f>
        <v>14523</v>
      </c>
      <c r="AR113">
        <f>'Non-durables'!AG152</f>
        <v>2094</v>
      </c>
      <c r="AS113">
        <f>'Non-durables'!AI152</f>
        <v>2079</v>
      </c>
      <c r="AT113">
        <f>'Non-durables'!AL152</f>
        <v>9587</v>
      </c>
      <c r="AU113">
        <f>'Non-durables'!AN152</f>
        <v>7176</v>
      </c>
      <c r="AV113">
        <f>'Non-durables'!AT152</f>
        <v>6539</v>
      </c>
      <c r="AX113" s="34">
        <f t="shared" si="52"/>
        <v>95.501129538817565</v>
      </c>
      <c r="AY113" s="34">
        <f t="shared" si="53"/>
        <v>94.587206123564798</v>
      </c>
      <c r="AZ113" s="34">
        <f t="shared" si="54"/>
        <v>86.89642793035361</v>
      </c>
      <c r="BA113" s="34">
        <f t="shared" si="55"/>
        <v>95.181818181818173</v>
      </c>
      <c r="BB113" s="34">
        <f t="shared" si="56"/>
        <v>83.226581265012015</v>
      </c>
      <c r="BC113" s="34">
        <f t="shared" si="57"/>
        <v>103.07493817869047</v>
      </c>
      <c r="BD113" s="34">
        <f t="shared" si="58"/>
        <v>89.924812030075188</v>
      </c>
      <c r="BE113" s="34">
        <f t="shared" si="59"/>
        <v>93.883704235463028</v>
      </c>
      <c r="BH113">
        <f>Services!F152</f>
        <v>93909</v>
      </c>
      <c r="BI113">
        <f>Services!Q152</f>
        <v>1345</v>
      </c>
      <c r="BJ113">
        <f>Services!U152</f>
        <v>4842</v>
      </c>
      <c r="BK113">
        <f>Services!AA152</f>
        <v>26463</v>
      </c>
      <c r="BL113">
        <f>Services!AJ152</f>
        <v>6258</v>
      </c>
      <c r="BM113">
        <f>Services!AM152</f>
        <v>17834</v>
      </c>
      <c r="BN113">
        <f>Services!AV152</f>
        <v>10106</v>
      </c>
      <c r="BO113">
        <f>Services!AW152</f>
        <v>42904</v>
      </c>
      <c r="BP113">
        <f>Services!BB152</f>
        <v>41700</v>
      </c>
      <c r="BR113" s="34">
        <f t="shared" si="60"/>
        <v>102.82044824981114</v>
      </c>
      <c r="BS113" s="34">
        <f t="shared" si="61"/>
        <v>115.94827586206897</v>
      </c>
      <c r="BT113" s="34">
        <f t="shared" si="62"/>
        <v>105.16941789748044</v>
      </c>
      <c r="BU113" s="34">
        <f t="shared" si="63"/>
        <v>127.48337990172465</v>
      </c>
      <c r="BV113" s="34">
        <f t="shared" si="64"/>
        <v>112.03007518796993</v>
      </c>
      <c r="BW113" s="34">
        <f t="shared" si="65"/>
        <v>106.43351635235139</v>
      </c>
      <c r="BX113" s="34">
        <f t="shared" si="66"/>
        <v>114.25664217071791</v>
      </c>
      <c r="BY113" s="34">
        <f t="shared" si="67"/>
        <v>99.501379902131319</v>
      </c>
      <c r="BZ113" s="34">
        <f t="shared" si="68"/>
        <v>97.511925918997292</v>
      </c>
    </row>
    <row r="114" spans="1:78" x14ac:dyDescent="0.35">
      <c r="A114" s="101" t="s">
        <v>609</v>
      </c>
      <c r="B114">
        <f>'Total goods'!B153</f>
        <v>162882</v>
      </c>
      <c r="C114">
        <f>Durables!B153</f>
        <v>36885</v>
      </c>
      <c r="D114">
        <f>'Semi-durables'!B153</f>
        <v>36727</v>
      </c>
      <c r="E114">
        <f>'Non-durables'!B153</f>
        <v>89270</v>
      </c>
      <c r="F114">
        <f>Services!B153</f>
        <v>246194</v>
      </c>
      <c r="H114" s="34">
        <f t="shared" si="37"/>
        <v>95.077488836354078</v>
      </c>
      <c r="I114" s="34">
        <f t="shared" si="38"/>
        <v>97.986345402863748</v>
      </c>
      <c r="J114" s="34">
        <f t="shared" si="39"/>
        <v>93.410142937077168</v>
      </c>
      <c r="K114" s="34">
        <f t="shared" si="40"/>
        <v>94.60676776990006</v>
      </c>
      <c r="L114" s="34">
        <f t="shared" si="41"/>
        <v>104.8856965142336</v>
      </c>
      <c r="O114">
        <f>Durables!C153</f>
        <v>9889</v>
      </c>
      <c r="P114">
        <f>Durables!H153</f>
        <v>857</v>
      </c>
      <c r="Q114">
        <f>Durables!J153</f>
        <v>16370</v>
      </c>
      <c r="R114">
        <f>Durables!O153</f>
        <v>1419</v>
      </c>
      <c r="S114">
        <f>Durables!Q153</f>
        <v>5863</v>
      </c>
      <c r="U114" s="34">
        <f t="shared" si="42"/>
        <v>79.885289603360533</v>
      </c>
      <c r="V114" s="34">
        <f t="shared" si="43"/>
        <v>83.528265107212476</v>
      </c>
      <c r="W114" s="34">
        <f t="shared" si="44"/>
        <v>110.97552708290964</v>
      </c>
      <c r="X114" s="34">
        <f t="shared" si="45"/>
        <v>96.793997271487044</v>
      </c>
      <c r="Y114" s="34">
        <f t="shared" si="46"/>
        <v>113.25091751979912</v>
      </c>
      <c r="AB114">
        <f>'Semi-durables'!C153</f>
        <v>19154</v>
      </c>
      <c r="AC114">
        <f>'Semi-durables'!H153</f>
        <v>5810</v>
      </c>
      <c r="AD114">
        <f>'Semi-durables'!M153</f>
        <v>1453</v>
      </c>
      <c r="AE114">
        <f>'Semi-durables'!O153</f>
        <v>8710</v>
      </c>
      <c r="AF114">
        <f>'Semi-durables'!T153</f>
        <v>1600</v>
      </c>
      <c r="AH114" s="34">
        <f t="shared" si="47"/>
        <v>93.206812652068123</v>
      </c>
      <c r="AI114" s="34">
        <f t="shared" si="48"/>
        <v>86.587183308494787</v>
      </c>
      <c r="AJ114" s="34">
        <f t="shared" si="49"/>
        <v>111.94144838212634</v>
      </c>
      <c r="AK114" s="34">
        <f t="shared" si="50"/>
        <v>93.787014105739203</v>
      </c>
      <c r="AL114" s="34">
        <f t="shared" si="51"/>
        <v>109.81468771448182</v>
      </c>
      <c r="AO114">
        <f>'Non-durables'!C153</f>
        <v>34721</v>
      </c>
      <c r="AP114">
        <f>'Non-durables'!Q153</f>
        <v>12125</v>
      </c>
      <c r="AQ114">
        <f>'Non-durables'!X153</f>
        <v>14765</v>
      </c>
      <c r="AR114">
        <f>'Non-durables'!AG153</f>
        <v>2092</v>
      </c>
      <c r="AS114">
        <f>'Non-durables'!AI153</f>
        <v>2024</v>
      </c>
      <c r="AT114">
        <f>'Non-durables'!AL153</f>
        <v>9836</v>
      </c>
      <c r="AU114">
        <f>'Non-durables'!AN153</f>
        <v>7098</v>
      </c>
      <c r="AV114">
        <f>'Non-durables'!AT153</f>
        <v>6609</v>
      </c>
      <c r="AX114" s="34">
        <f t="shared" si="52"/>
        <v>95.655408011460679</v>
      </c>
      <c r="AY114" s="34">
        <f t="shared" si="53"/>
        <v>94.704366164180271</v>
      </c>
      <c r="AZ114" s="34">
        <f t="shared" si="54"/>
        <v>88.344402560880752</v>
      </c>
      <c r="BA114" s="34">
        <f t="shared" si="55"/>
        <v>95.090909090909093</v>
      </c>
      <c r="BB114" s="34">
        <f t="shared" si="56"/>
        <v>81.024819855884715</v>
      </c>
      <c r="BC114" s="34">
        <f t="shared" si="57"/>
        <v>105.75206966992796</v>
      </c>
      <c r="BD114" s="34">
        <f t="shared" si="58"/>
        <v>88.94736842105263</v>
      </c>
      <c r="BE114" s="34">
        <f t="shared" si="59"/>
        <v>94.88872936109118</v>
      </c>
      <c r="BH114">
        <f>Services!F153</f>
        <v>94257</v>
      </c>
      <c r="BI114">
        <f>Services!Q153</f>
        <v>1339</v>
      </c>
      <c r="BJ114">
        <f>Services!U153</f>
        <v>5018</v>
      </c>
      <c r="BK114">
        <f>Services!AA153</f>
        <v>25865</v>
      </c>
      <c r="BL114">
        <f>Services!AJ153</f>
        <v>6209</v>
      </c>
      <c r="BM114">
        <f>Services!AM153</f>
        <v>18092</v>
      </c>
      <c r="BN114">
        <f>Services!AV153</f>
        <v>10135</v>
      </c>
      <c r="BO114">
        <f>Services!AW153</f>
        <v>43297</v>
      </c>
      <c r="BP114">
        <f>Services!BB153</f>
        <v>41812</v>
      </c>
      <c r="BR114" s="34">
        <f t="shared" si="60"/>
        <v>103.20147153821728</v>
      </c>
      <c r="BS114" s="34">
        <f t="shared" si="61"/>
        <v>115.43103448275862</v>
      </c>
      <c r="BT114" s="34">
        <f t="shared" si="62"/>
        <v>108.99218071242399</v>
      </c>
      <c r="BU114" s="34">
        <f t="shared" si="63"/>
        <v>124.60256286732825</v>
      </c>
      <c r="BV114" s="34">
        <f t="shared" si="64"/>
        <v>111.15288220551378</v>
      </c>
      <c r="BW114" s="34">
        <f t="shared" si="65"/>
        <v>107.97326330866555</v>
      </c>
      <c r="BX114" s="34">
        <f t="shared" si="66"/>
        <v>114.58451102317693</v>
      </c>
      <c r="BY114" s="34">
        <f t="shared" si="67"/>
        <v>100.41281105777036</v>
      </c>
      <c r="BZ114" s="34">
        <f t="shared" si="68"/>
        <v>97.77382845383967</v>
      </c>
    </row>
    <row r="115" spans="1:78" x14ac:dyDescent="0.35">
      <c r="A115" s="101" t="s">
        <v>610</v>
      </c>
      <c r="B115">
        <f>'Total goods'!B154</f>
        <v>162866</v>
      </c>
      <c r="C115">
        <f>Durables!B154</f>
        <v>37295</v>
      </c>
      <c r="D115">
        <f>'Semi-durables'!B154</f>
        <v>36470</v>
      </c>
      <c r="E115">
        <f>'Non-durables'!B154</f>
        <v>89101</v>
      </c>
      <c r="F115">
        <f>Services!B154</f>
        <v>246758</v>
      </c>
      <c r="H115" s="34">
        <f t="shared" si="37"/>
        <v>95.068149315588244</v>
      </c>
      <c r="I115" s="34">
        <f t="shared" si="38"/>
        <v>99.075525330074655</v>
      </c>
      <c r="J115" s="34">
        <f t="shared" si="39"/>
        <v>92.756498295945875</v>
      </c>
      <c r="K115" s="34">
        <f t="shared" si="40"/>
        <v>94.427664557699856</v>
      </c>
      <c r="L115" s="34">
        <f t="shared" si="41"/>
        <v>105.12597667067134</v>
      </c>
      <c r="O115">
        <f>Durables!C154</f>
        <v>10004</v>
      </c>
      <c r="P115">
        <f>Durables!H154</f>
        <v>917</v>
      </c>
      <c r="Q115">
        <f>Durables!J154</f>
        <v>16433</v>
      </c>
      <c r="R115">
        <f>Durables!O154</f>
        <v>1369</v>
      </c>
      <c r="S115">
        <f>Durables!Q154</f>
        <v>5998</v>
      </c>
      <c r="U115" s="34">
        <f t="shared" si="42"/>
        <v>80.814282252201309</v>
      </c>
      <c r="V115" s="34">
        <f t="shared" si="43"/>
        <v>89.376218323586741</v>
      </c>
      <c r="W115" s="34">
        <f t="shared" si="44"/>
        <v>111.40261677174428</v>
      </c>
      <c r="X115" s="34">
        <f t="shared" si="45"/>
        <v>93.383356070941332</v>
      </c>
      <c r="Y115" s="34">
        <f t="shared" si="46"/>
        <v>115.85860536990535</v>
      </c>
      <c r="AB115">
        <f>'Semi-durables'!C154</f>
        <v>19087</v>
      </c>
      <c r="AC115">
        <f>'Semi-durables'!H154</f>
        <v>5787</v>
      </c>
      <c r="AD115">
        <f>'Semi-durables'!M154</f>
        <v>1352</v>
      </c>
      <c r="AE115">
        <f>'Semi-durables'!O154</f>
        <v>8718</v>
      </c>
      <c r="AF115">
        <f>'Semi-durables'!T154</f>
        <v>1526</v>
      </c>
      <c r="AH115" s="34">
        <f t="shared" si="47"/>
        <v>92.880778588807786</v>
      </c>
      <c r="AI115" s="34">
        <f t="shared" si="48"/>
        <v>86.24441132637854</v>
      </c>
      <c r="AJ115" s="34">
        <f t="shared" si="49"/>
        <v>104.1602465331279</v>
      </c>
      <c r="AK115" s="34">
        <f t="shared" si="50"/>
        <v>93.87315602455044</v>
      </c>
      <c r="AL115" s="34">
        <f t="shared" si="51"/>
        <v>104.73575840768703</v>
      </c>
      <c r="AO115">
        <f>'Non-durables'!C154</f>
        <v>34401</v>
      </c>
      <c r="AP115">
        <f>'Non-durables'!Q154</f>
        <v>12015</v>
      </c>
      <c r="AQ115">
        <f>'Non-durables'!X154</f>
        <v>14976</v>
      </c>
      <c r="AR115">
        <f>'Non-durables'!AG154</f>
        <v>2030</v>
      </c>
      <c r="AS115">
        <f>'Non-durables'!AI154</f>
        <v>2012</v>
      </c>
      <c r="AT115">
        <f>'Non-durables'!AL154</f>
        <v>9818</v>
      </c>
      <c r="AU115">
        <f>'Non-durables'!AN154</f>
        <v>7183</v>
      </c>
      <c r="AV115">
        <f>'Non-durables'!AT154</f>
        <v>6666</v>
      </c>
      <c r="AX115" s="34">
        <f t="shared" si="52"/>
        <v>94.773816739214283</v>
      </c>
      <c r="AY115" s="34">
        <f t="shared" si="53"/>
        <v>93.845192533000073</v>
      </c>
      <c r="AZ115" s="34">
        <f t="shared" si="54"/>
        <v>89.606892837910607</v>
      </c>
      <c r="BA115" s="34">
        <f t="shared" si="55"/>
        <v>92.272727272727266</v>
      </c>
      <c r="BB115" s="34">
        <f t="shared" si="56"/>
        <v>80.544435548438756</v>
      </c>
      <c r="BC115" s="34">
        <f t="shared" si="57"/>
        <v>105.55854209224816</v>
      </c>
      <c r="BD115" s="34">
        <f t="shared" si="58"/>
        <v>90.012531328320804</v>
      </c>
      <c r="BE115" s="34">
        <f t="shared" si="59"/>
        <v>95.70710696338837</v>
      </c>
      <c r="BH115">
        <f>Services!F154</f>
        <v>94535</v>
      </c>
      <c r="BI115">
        <f>Services!Q154</f>
        <v>1346</v>
      </c>
      <c r="BJ115">
        <f>Services!U154</f>
        <v>5017</v>
      </c>
      <c r="BK115">
        <f>Services!AA154</f>
        <v>25844</v>
      </c>
      <c r="BL115">
        <f>Services!AJ154</f>
        <v>6143</v>
      </c>
      <c r="BM115">
        <f>Services!AM154</f>
        <v>18252</v>
      </c>
      <c r="BN115">
        <f>Services!AV154</f>
        <v>10124</v>
      </c>
      <c r="BO115">
        <f>Services!AW154</f>
        <v>43544</v>
      </c>
      <c r="BP115">
        <f>Services!BB154</f>
        <v>41767</v>
      </c>
      <c r="BR115" s="34">
        <f t="shared" si="60"/>
        <v>103.50585221113946</v>
      </c>
      <c r="BS115" s="34">
        <f t="shared" si="61"/>
        <v>116.0344827586207</v>
      </c>
      <c r="BT115" s="34">
        <f t="shared" si="62"/>
        <v>108.97046046915726</v>
      </c>
      <c r="BU115" s="34">
        <f t="shared" si="63"/>
        <v>124.50139705173908</v>
      </c>
      <c r="BV115" s="34">
        <f t="shared" si="64"/>
        <v>109.97135696383818</v>
      </c>
      <c r="BW115" s="34">
        <f t="shared" si="65"/>
        <v>108.92814514203867</v>
      </c>
      <c r="BX115" s="34">
        <f t="shared" si="66"/>
        <v>114.4601469756925</v>
      </c>
      <c r="BY115" s="34">
        <f t="shared" si="67"/>
        <v>100.98564437950787</v>
      </c>
      <c r="BZ115" s="34">
        <f t="shared" si="68"/>
        <v>97.668599756804781</v>
      </c>
    </row>
    <row r="116" spans="1:78" x14ac:dyDescent="0.35">
      <c r="A116" s="101" t="s">
        <v>611</v>
      </c>
      <c r="B116">
        <f>'Total goods'!B155</f>
        <v>162919</v>
      </c>
      <c r="C116">
        <f>Durables!B155</f>
        <v>37648</v>
      </c>
      <c r="D116">
        <f>'Semi-durables'!B155</f>
        <v>36866</v>
      </c>
      <c r="E116">
        <f>'Non-durables'!B155</f>
        <v>88405</v>
      </c>
      <c r="F116">
        <f>Services!B155</f>
        <v>247512</v>
      </c>
      <c r="H116" s="34">
        <f t="shared" si="37"/>
        <v>95.099086478125088</v>
      </c>
      <c r="I116" s="34">
        <f t="shared" si="38"/>
        <v>100.01328268203915</v>
      </c>
      <c r="J116" s="34">
        <f t="shared" si="39"/>
        <v>93.763670583447791</v>
      </c>
      <c r="K116" s="34">
        <f t="shared" si="40"/>
        <v>93.690056062484757</v>
      </c>
      <c r="L116" s="34">
        <f t="shared" si="41"/>
        <v>105.44720226988062</v>
      </c>
      <c r="O116">
        <f>Durables!C155</f>
        <v>9944</v>
      </c>
      <c r="P116">
        <f>Durables!H155</f>
        <v>955</v>
      </c>
      <c r="Q116">
        <f>Durables!J155</f>
        <v>16925</v>
      </c>
      <c r="R116">
        <f>Durables!O155</f>
        <v>1359</v>
      </c>
      <c r="S116">
        <f>Durables!Q155</f>
        <v>5918</v>
      </c>
      <c r="U116" s="34">
        <f t="shared" si="42"/>
        <v>80.329590435414815</v>
      </c>
      <c r="V116" s="34">
        <f t="shared" si="43"/>
        <v>93.079922027290451</v>
      </c>
      <c r="W116" s="34">
        <f t="shared" si="44"/>
        <v>114.73798386550065</v>
      </c>
      <c r="X116" s="34">
        <f t="shared" si="45"/>
        <v>92.701227830832195</v>
      </c>
      <c r="Y116" s="34">
        <f t="shared" si="46"/>
        <v>114.31330886613868</v>
      </c>
      <c r="AB116">
        <f>'Semi-durables'!C155</f>
        <v>19237</v>
      </c>
      <c r="AC116">
        <f>'Semi-durables'!H155</f>
        <v>5826</v>
      </c>
      <c r="AD116">
        <f>'Semi-durables'!M155</f>
        <v>1392</v>
      </c>
      <c r="AE116">
        <f>'Semi-durables'!O155</f>
        <v>8832</v>
      </c>
      <c r="AF116">
        <f>'Semi-durables'!T155</f>
        <v>1579</v>
      </c>
      <c r="AH116" s="34">
        <f t="shared" si="47"/>
        <v>93.610705596107053</v>
      </c>
      <c r="AI116" s="34">
        <f t="shared" si="48"/>
        <v>86.825633383010441</v>
      </c>
      <c r="AJ116" s="34">
        <f t="shared" si="49"/>
        <v>107.24191063174113</v>
      </c>
      <c r="AK116" s="34">
        <f t="shared" si="50"/>
        <v>95.100678367610641</v>
      </c>
      <c r="AL116" s="34">
        <f t="shared" si="51"/>
        <v>108.37336993822923</v>
      </c>
      <c r="AO116">
        <f>'Non-durables'!C155</f>
        <v>34373</v>
      </c>
      <c r="AP116">
        <f>'Non-durables'!Q155</f>
        <v>11877</v>
      </c>
      <c r="AQ116">
        <f>'Non-durables'!X155</f>
        <v>15009</v>
      </c>
      <c r="AR116">
        <f>'Non-durables'!AG155</f>
        <v>2004</v>
      </c>
      <c r="AS116">
        <f>'Non-durables'!AI155</f>
        <v>1974</v>
      </c>
      <c r="AT116">
        <f>'Non-durables'!AL155</f>
        <v>9598</v>
      </c>
      <c r="AU116">
        <f>'Non-durables'!AN155</f>
        <v>7095</v>
      </c>
      <c r="AV116">
        <f>'Non-durables'!AT155</f>
        <v>6475</v>
      </c>
      <c r="AX116" s="34">
        <f t="shared" si="52"/>
        <v>94.696677502892726</v>
      </c>
      <c r="AY116" s="34">
        <f t="shared" si="53"/>
        <v>92.767320159337658</v>
      </c>
      <c r="AZ116" s="34">
        <f t="shared" si="54"/>
        <v>89.804343923891579</v>
      </c>
      <c r="BA116" s="34">
        <f t="shared" si="55"/>
        <v>91.090909090909093</v>
      </c>
      <c r="BB116" s="34">
        <f t="shared" si="56"/>
        <v>79.023218574859882</v>
      </c>
      <c r="BC116" s="34">
        <f t="shared" si="57"/>
        <v>103.19320503171703</v>
      </c>
      <c r="BD116" s="34">
        <f t="shared" si="58"/>
        <v>88.909774436090231</v>
      </c>
      <c r="BE116" s="34">
        <f t="shared" si="59"/>
        <v>92.964824120603012</v>
      </c>
      <c r="BH116">
        <f>Services!F155</f>
        <v>94872</v>
      </c>
      <c r="BI116">
        <f>Services!Q155</f>
        <v>1310</v>
      </c>
      <c r="BJ116">
        <f>Services!U155</f>
        <v>4991</v>
      </c>
      <c r="BK116">
        <f>Services!AA155</f>
        <v>26196</v>
      </c>
      <c r="BL116">
        <f>Services!AJ155</f>
        <v>5967</v>
      </c>
      <c r="BM116">
        <f>Services!AM155</f>
        <v>18485</v>
      </c>
      <c r="BN116">
        <f>Services!AV155</f>
        <v>10080</v>
      </c>
      <c r="BO116">
        <f>Services!AW155</f>
        <v>43941</v>
      </c>
      <c r="BP116">
        <f>Services!BB155</f>
        <v>41458</v>
      </c>
      <c r="BR116" s="34">
        <f t="shared" si="60"/>
        <v>103.87483165996956</v>
      </c>
      <c r="BS116" s="34">
        <f t="shared" si="61"/>
        <v>112.93103448275863</v>
      </c>
      <c r="BT116" s="34">
        <f t="shared" si="62"/>
        <v>108.40573414422241</v>
      </c>
      <c r="BU116" s="34">
        <f t="shared" si="63"/>
        <v>126.19712881780518</v>
      </c>
      <c r="BV116" s="34">
        <f t="shared" si="64"/>
        <v>106.82062298603651</v>
      </c>
      <c r="BW116" s="34">
        <f t="shared" si="65"/>
        <v>110.31869181188827</v>
      </c>
      <c r="BX116" s="34">
        <f t="shared" si="66"/>
        <v>113.96269078575467</v>
      </c>
      <c r="BY116" s="34">
        <f t="shared" si="67"/>
        <v>101.90635218813054</v>
      </c>
      <c r="BZ116" s="34">
        <f t="shared" si="68"/>
        <v>96.94602937049855</v>
      </c>
    </row>
    <row r="117" spans="1:78" x14ac:dyDescent="0.35">
      <c r="A117" s="101" t="s">
        <v>612</v>
      </c>
      <c r="B117">
        <f>'Total goods'!B156</f>
        <v>163914</v>
      </c>
      <c r="C117">
        <f>Durables!B156</f>
        <v>37987</v>
      </c>
      <c r="D117">
        <f>'Semi-durables'!B156</f>
        <v>36986</v>
      </c>
      <c r="E117">
        <f>'Non-durables'!B156</f>
        <v>88941</v>
      </c>
      <c r="F117">
        <f>Services!B156</f>
        <v>247823</v>
      </c>
      <c r="H117" s="34">
        <f t="shared" si="37"/>
        <v>95.679887925750805</v>
      </c>
      <c r="I117" s="34">
        <f t="shared" si="38"/>
        <v>100.91384852429404</v>
      </c>
      <c r="J117" s="34">
        <f t="shared" si="39"/>
        <v>94.068874306933211</v>
      </c>
      <c r="K117" s="34">
        <f t="shared" si="40"/>
        <v>94.258099386386036</v>
      </c>
      <c r="L117" s="34">
        <f t="shared" si="41"/>
        <v>105.5796971788383</v>
      </c>
      <c r="O117">
        <f>Durables!C156</f>
        <v>9865</v>
      </c>
      <c r="P117">
        <f>Durables!H156</f>
        <v>1008</v>
      </c>
      <c r="Q117">
        <f>Durables!J156</f>
        <v>17242</v>
      </c>
      <c r="R117">
        <f>Durables!O156</f>
        <v>1299</v>
      </c>
      <c r="S117">
        <f>Durables!Q156</f>
        <v>6057</v>
      </c>
      <c r="U117" s="34">
        <f t="shared" si="42"/>
        <v>79.691412876645927</v>
      </c>
      <c r="V117" s="34">
        <f t="shared" si="43"/>
        <v>98.245614035087712</v>
      </c>
      <c r="W117" s="34">
        <f t="shared" si="44"/>
        <v>116.88699071249407</v>
      </c>
      <c r="X117" s="34">
        <f t="shared" si="45"/>
        <v>88.608458390177361</v>
      </c>
      <c r="Y117" s="34">
        <f t="shared" si="46"/>
        <v>116.99826154143327</v>
      </c>
      <c r="AB117">
        <f>'Semi-durables'!C156</f>
        <v>19456</v>
      </c>
      <c r="AC117">
        <f>'Semi-durables'!H156</f>
        <v>5841</v>
      </c>
      <c r="AD117">
        <f>'Semi-durables'!M156</f>
        <v>1293</v>
      </c>
      <c r="AE117">
        <f>'Semi-durables'!O156</f>
        <v>8831</v>
      </c>
      <c r="AF117">
        <f>'Semi-durables'!T156</f>
        <v>1565</v>
      </c>
      <c r="AH117" s="34">
        <f t="shared" si="47"/>
        <v>94.676399026763988</v>
      </c>
      <c r="AI117" s="34">
        <f t="shared" si="48"/>
        <v>87.049180327868854</v>
      </c>
      <c r="AJ117" s="34">
        <f t="shared" si="49"/>
        <v>99.614791987673343</v>
      </c>
      <c r="AK117" s="34">
        <f t="shared" si="50"/>
        <v>95.089910627759238</v>
      </c>
      <c r="AL117" s="34">
        <f t="shared" si="51"/>
        <v>107.41249142072753</v>
      </c>
      <c r="AO117">
        <f>'Non-durables'!C156</f>
        <v>34513</v>
      </c>
      <c r="AP117">
        <f>'Non-durables'!Q156</f>
        <v>11854</v>
      </c>
      <c r="AQ117">
        <f>'Non-durables'!X156</f>
        <v>14982</v>
      </c>
      <c r="AR117">
        <f>'Non-durables'!AG156</f>
        <v>2043</v>
      </c>
      <c r="AS117">
        <f>'Non-durables'!AI156</f>
        <v>1983</v>
      </c>
      <c r="AT117">
        <f>'Non-durables'!AL156</f>
        <v>9908</v>
      </c>
      <c r="AU117">
        <f>'Non-durables'!AN156</f>
        <v>7157</v>
      </c>
      <c r="AV117">
        <f>'Non-durables'!AT156</f>
        <v>6501</v>
      </c>
      <c r="AX117" s="34">
        <f t="shared" si="52"/>
        <v>95.082373684500524</v>
      </c>
      <c r="AY117" s="34">
        <f t="shared" si="53"/>
        <v>92.58767476372725</v>
      </c>
      <c r="AZ117" s="34">
        <f t="shared" si="54"/>
        <v>89.642793035361692</v>
      </c>
      <c r="BA117" s="34">
        <f t="shared" si="55"/>
        <v>92.86363636363636</v>
      </c>
      <c r="BB117" s="34">
        <f t="shared" si="56"/>
        <v>79.383506805444355</v>
      </c>
      <c r="BC117" s="34">
        <f t="shared" si="57"/>
        <v>106.52617998064724</v>
      </c>
      <c r="BD117" s="34">
        <f t="shared" si="58"/>
        <v>89.686716791979947</v>
      </c>
      <c r="BE117" s="34">
        <f t="shared" si="59"/>
        <v>93.338119167264892</v>
      </c>
      <c r="BH117">
        <f>Services!F156</f>
        <v>95179</v>
      </c>
      <c r="BI117">
        <f>Services!Q156</f>
        <v>1340</v>
      </c>
      <c r="BJ117">
        <f>Services!U156</f>
        <v>5043</v>
      </c>
      <c r="BK117">
        <f>Services!AA156</f>
        <v>25918</v>
      </c>
      <c r="BL117">
        <f>Services!AJ156</f>
        <v>5923</v>
      </c>
      <c r="BM117">
        <f>Services!AM156</f>
        <v>18446</v>
      </c>
      <c r="BN117">
        <f>Services!AV156</f>
        <v>10121</v>
      </c>
      <c r="BO117">
        <f>Services!AW156</f>
        <v>43938</v>
      </c>
      <c r="BP117">
        <f>Services!BB156</f>
        <v>41698</v>
      </c>
      <c r="BR117" s="34">
        <f t="shared" si="60"/>
        <v>104.21096427359224</v>
      </c>
      <c r="BS117" s="34">
        <f t="shared" si="61"/>
        <v>115.51724137931035</v>
      </c>
      <c r="BT117" s="34">
        <f t="shared" si="62"/>
        <v>109.53518679409208</v>
      </c>
      <c r="BU117" s="34">
        <f t="shared" si="63"/>
        <v>124.85788611619617</v>
      </c>
      <c r="BV117" s="34">
        <f t="shared" si="64"/>
        <v>106.03293949158609</v>
      </c>
      <c r="BW117" s="34">
        <f t="shared" si="65"/>
        <v>110.08593936500357</v>
      </c>
      <c r="BX117" s="34">
        <f t="shared" si="66"/>
        <v>114.42622950819671</v>
      </c>
      <c r="BY117" s="34">
        <f t="shared" si="67"/>
        <v>101.89939469839283</v>
      </c>
      <c r="BZ117" s="34">
        <f t="shared" si="68"/>
        <v>97.507249088017957</v>
      </c>
    </row>
    <row r="118" spans="1:78" x14ac:dyDescent="0.35">
      <c r="A118" s="101" t="s">
        <v>613</v>
      </c>
      <c r="B118">
        <f>'Total goods'!B157</f>
        <v>164778</v>
      </c>
      <c r="C118">
        <f>Durables!B157</f>
        <v>38222</v>
      </c>
      <c r="D118">
        <f>'Semi-durables'!B157</f>
        <v>37498</v>
      </c>
      <c r="E118">
        <f>'Non-durables'!B157</f>
        <v>89058</v>
      </c>
      <c r="F118">
        <f>Services!B157</f>
        <v>247698</v>
      </c>
      <c r="H118" s="34">
        <f t="shared" si="37"/>
        <v>96.184222047106203</v>
      </c>
      <c r="I118" s="34">
        <f t="shared" si="38"/>
        <v>101.53813458013443</v>
      </c>
      <c r="J118" s="34">
        <f t="shared" si="39"/>
        <v>95.371076860471021</v>
      </c>
      <c r="K118" s="34">
        <f t="shared" si="40"/>
        <v>94.382093917909259</v>
      </c>
      <c r="L118" s="34">
        <f t="shared" si="41"/>
        <v>105.52644359806753</v>
      </c>
      <c r="O118">
        <f>Durables!C157</f>
        <v>9905</v>
      </c>
      <c r="P118">
        <f>Durables!H157</f>
        <v>1075</v>
      </c>
      <c r="Q118">
        <f>Durables!J157</f>
        <v>17233</v>
      </c>
      <c r="R118">
        <f>Durables!O157</f>
        <v>1326</v>
      </c>
      <c r="S118">
        <f>Durables!Q157</f>
        <v>6197</v>
      </c>
      <c r="U118" s="34">
        <f t="shared" si="42"/>
        <v>80.014540754503599</v>
      </c>
      <c r="V118" s="34">
        <f t="shared" si="43"/>
        <v>104.77582846003899</v>
      </c>
      <c r="W118" s="34">
        <f t="shared" si="44"/>
        <v>116.82597789980341</v>
      </c>
      <c r="X118" s="34">
        <f t="shared" si="45"/>
        <v>90.45020463847203</v>
      </c>
      <c r="Y118" s="34">
        <f t="shared" si="46"/>
        <v>119.70253042302492</v>
      </c>
      <c r="AB118">
        <f>'Semi-durables'!C157</f>
        <v>19889</v>
      </c>
      <c r="AC118">
        <f>'Semi-durables'!H157</f>
        <v>5781</v>
      </c>
      <c r="AD118">
        <f>'Semi-durables'!M157</f>
        <v>1308</v>
      </c>
      <c r="AE118">
        <f>'Semi-durables'!O157</f>
        <v>8978</v>
      </c>
      <c r="AF118">
        <f>'Semi-durables'!T157</f>
        <v>1542</v>
      </c>
      <c r="AH118" s="34">
        <f t="shared" si="47"/>
        <v>96.783454987834546</v>
      </c>
      <c r="AI118" s="34">
        <f t="shared" si="48"/>
        <v>86.154992548435175</v>
      </c>
      <c r="AJ118" s="34">
        <f t="shared" si="49"/>
        <v>100.77041602465331</v>
      </c>
      <c r="AK118" s="34">
        <f t="shared" si="50"/>
        <v>96.672768385915802</v>
      </c>
      <c r="AL118" s="34">
        <f t="shared" si="51"/>
        <v>105.83390528483186</v>
      </c>
      <c r="AO118">
        <f>'Non-durables'!C157</f>
        <v>34680</v>
      </c>
      <c r="AP118">
        <f>'Non-durables'!Q157</f>
        <v>11777</v>
      </c>
      <c r="AQ118">
        <f>'Non-durables'!X157</f>
        <v>15187</v>
      </c>
      <c r="AR118">
        <f>'Non-durables'!AG157</f>
        <v>2083</v>
      </c>
      <c r="AS118">
        <f>'Non-durables'!AI157</f>
        <v>1953</v>
      </c>
      <c r="AT118">
        <f>'Non-durables'!AL157</f>
        <v>9680</v>
      </c>
      <c r="AU118">
        <f>'Non-durables'!AN157</f>
        <v>7158</v>
      </c>
      <c r="AV118">
        <f>'Non-durables'!AT157</f>
        <v>6540</v>
      </c>
      <c r="AX118" s="34">
        <f t="shared" si="52"/>
        <v>95.542454129704112</v>
      </c>
      <c r="AY118" s="34">
        <f t="shared" si="53"/>
        <v>91.986253221901109</v>
      </c>
      <c r="AZ118" s="34">
        <f t="shared" si="54"/>
        <v>90.869383114940462</v>
      </c>
      <c r="BA118" s="34">
        <f t="shared" si="55"/>
        <v>94.681818181818173</v>
      </c>
      <c r="BB118" s="34">
        <f t="shared" si="56"/>
        <v>78.182546036829464</v>
      </c>
      <c r="BC118" s="34">
        <f t="shared" si="57"/>
        <v>104.07483066336954</v>
      </c>
      <c r="BD118" s="34">
        <f t="shared" si="58"/>
        <v>89.699248120300751</v>
      </c>
      <c r="BE118" s="34">
        <f t="shared" si="59"/>
        <v>93.89806173725772</v>
      </c>
      <c r="BH118">
        <f>Services!F157</f>
        <v>95455</v>
      </c>
      <c r="BI118">
        <f>Services!Q157</f>
        <v>1304</v>
      </c>
      <c r="BJ118">
        <f>Services!U157</f>
        <v>5100</v>
      </c>
      <c r="BK118">
        <f>Services!AA157</f>
        <v>25770</v>
      </c>
      <c r="BL118">
        <f>Services!AJ157</f>
        <v>5930</v>
      </c>
      <c r="BM118">
        <f>Services!AM157</f>
        <v>18106</v>
      </c>
      <c r="BN118">
        <f>Services!AV157</f>
        <v>10129</v>
      </c>
      <c r="BO118">
        <f>Services!AW157</f>
        <v>44060</v>
      </c>
      <c r="BP118">
        <f>Services!BB157</f>
        <v>41632</v>
      </c>
      <c r="BR118" s="34">
        <f t="shared" si="60"/>
        <v>104.51315515750056</v>
      </c>
      <c r="BS118" s="34">
        <f t="shared" si="61"/>
        <v>112.41379310344828</v>
      </c>
      <c r="BT118" s="34">
        <f t="shared" si="62"/>
        <v>110.77324066029539</v>
      </c>
      <c r="BU118" s="34">
        <f t="shared" si="63"/>
        <v>124.14490798728201</v>
      </c>
      <c r="BV118" s="34">
        <f t="shared" si="64"/>
        <v>106.15825277479414</v>
      </c>
      <c r="BW118" s="34">
        <f t="shared" si="65"/>
        <v>108.05681546908571</v>
      </c>
      <c r="BX118" s="34">
        <f t="shared" si="66"/>
        <v>114.51667608818541</v>
      </c>
      <c r="BY118" s="34">
        <f t="shared" si="67"/>
        <v>102.18233261439273</v>
      </c>
      <c r="BZ118" s="34">
        <f t="shared" si="68"/>
        <v>97.352913665700129</v>
      </c>
    </row>
    <row r="119" spans="1:78" x14ac:dyDescent="0.35">
      <c r="A119" s="101" t="s">
        <v>614</v>
      </c>
      <c r="B119">
        <f>'Total goods'!B158</f>
        <v>164672</v>
      </c>
      <c r="C119">
        <f>Durables!B158</f>
        <v>38133</v>
      </c>
      <c r="D119">
        <f>'Semi-durables'!B158</f>
        <v>37744</v>
      </c>
      <c r="E119">
        <f>'Non-durables'!B158</f>
        <v>88795</v>
      </c>
      <c r="F119">
        <f>Services!B158</f>
        <v>248178</v>
      </c>
      <c r="H119" s="34">
        <f t="shared" si="37"/>
        <v>96.122347722032515</v>
      </c>
      <c r="I119" s="34">
        <f t="shared" si="38"/>
        <v>101.30170283983742</v>
      </c>
      <c r="J119" s="34">
        <f t="shared" si="39"/>
        <v>95.996744493616163</v>
      </c>
      <c r="K119" s="34">
        <f t="shared" si="40"/>
        <v>94.103371167562173</v>
      </c>
      <c r="L119" s="34">
        <f t="shared" si="41"/>
        <v>105.7309373482273</v>
      </c>
      <c r="O119">
        <f>Durables!C158</f>
        <v>9779</v>
      </c>
      <c r="P119">
        <f>Durables!H158</f>
        <v>1149</v>
      </c>
      <c r="Q119">
        <f>Durables!J158</f>
        <v>17118</v>
      </c>
      <c r="R119">
        <f>Durables!O158</f>
        <v>1351</v>
      </c>
      <c r="S119">
        <f>Durables!Q158</f>
        <v>6241</v>
      </c>
      <c r="U119" s="34">
        <f t="shared" si="42"/>
        <v>78.99668793925197</v>
      </c>
      <c r="V119" s="34">
        <f t="shared" si="43"/>
        <v>111.98830409356727</v>
      </c>
      <c r="W119" s="34">
        <f t="shared" si="44"/>
        <v>116.04636973764491</v>
      </c>
      <c r="X119" s="34">
        <f t="shared" si="45"/>
        <v>92.155525238744886</v>
      </c>
      <c r="Y119" s="34">
        <f t="shared" si="46"/>
        <v>120.55244350009657</v>
      </c>
      <c r="AB119">
        <f>'Semi-durables'!C158</f>
        <v>19983</v>
      </c>
      <c r="AC119">
        <f>'Semi-durables'!H158</f>
        <v>5978</v>
      </c>
      <c r="AD119">
        <f>'Semi-durables'!M158</f>
        <v>1274</v>
      </c>
      <c r="AE119">
        <f>'Semi-durables'!O158</f>
        <v>8955</v>
      </c>
      <c r="AF119">
        <f>'Semi-durables'!T158</f>
        <v>1554</v>
      </c>
      <c r="AH119" s="34">
        <f t="shared" si="47"/>
        <v>97.240875912408768</v>
      </c>
      <c r="AI119" s="34">
        <f t="shared" si="48"/>
        <v>89.090909090909093</v>
      </c>
      <c r="AJ119" s="34">
        <f t="shared" si="49"/>
        <v>98.151001540832056</v>
      </c>
      <c r="AK119" s="34">
        <f t="shared" si="50"/>
        <v>96.425110369333481</v>
      </c>
      <c r="AL119" s="34">
        <f t="shared" si="51"/>
        <v>106.65751544269047</v>
      </c>
      <c r="AO119">
        <f>'Non-durables'!C158</f>
        <v>34631</v>
      </c>
      <c r="AP119">
        <f>'Non-durables'!Q158</f>
        <v>11781</v>
      </c>
      <c r="AQ119">
        <f>'Non-durables'!X158</f>
        <v>15075</v>
      </c>
      <c r="AR119">
        <f>'Non-durables'!AG158</f>
        <v>2135</v>
      </c>
      <c r="AS119">
        <f>'Non-durables'!AI158</f>
        <v>1955</v>
      </c>
      <c r="AT119">
        <f>'Non-durables'!AL158</f>
        <v>9588</v>
      </c>
      <c r="AU119">
        <f>'Non-durables'!AN158</f>
        <v>7107</v>
      </c>
      <c r="AV119">
        <f>'Non-durables'!AT158</f>
        <v>6523</v>
      </c>
      <c r="AX119" s="34">
        <f t="shared" si="52"/>
        <v>95.407460466141387</v>
      </c>
      <c r="AY119" s="34">
        <f t="shared" si="53"/>
        <v>92.017495899398583</v>
      </c>
      <c r="AZ119" s="34">
        <f t="shared" si="54"/>
        <v>90.199246095853525</v>
      </c>
      <c r="BA119" s="34">
        <f t="shared" si="55"/>
        <v>97.045454545454547</v>
      </c>
      <c r="BB119" s="34">
        <f t="shared" si="56"/>
        <v>78.26261008807046</v>
      </c>
      <c r="BC119" s="34">
        <f t="shared" si="57"/>
        <v>103.08568971078378</v>
      </c>
      <c r="BD119" s="34">
        <f t="shared" si="58"/>
        <v>89.060150375939855</v>
      </c>
      <c r="BE119" s="34">
        <f t="shared" si="59"/>
        <v>93.653984206748035</v>
      </c>
      <c r="BH119">
        <f>Services!F158</f>
        <v>95646</v>
      </c>
      <c r="BI119">
        <f>Services!Q158</f>
        <v>1228</v>
      </c>
      <c r="BJ119">
        <f>Services!U158</f>
        <v>5041</v>
      </c>
      <c r="BK119">
        <f>Services!AA158</f>
        <v>26216</v>
      </c>
      <c r="BL119">
        <f>Services!AJ158</f>
        <v>5942</v>
      </c>
      <c r="BM119">
        <f>Services!AM158</f>
        <v>17999</v>
      </c>
      <c r="BN119">
        <f>Services!AV158</f>
        <v>10070</v>
      </c>
      <c r="BO119">
        <f>Services!AW158</f>
        <v>43993</v>
      </c>
      <c r="BP119">
        <f>Services!BB158</f>
        <v>41848</v>
      </c>
      <c r="BR119" s="34">
        <f t="shared" si="60"/>
        <v>104.72228000832121</v>
      </c>
      <c r="BS119" s="34">
        <f t="shared" si="61"/>
        <v>105.86206896551724</v>
      </c>
      <c r="BT119" s="34">
        <f t="shared" si="62"/>
        <v>109.49174630755864</v>
      </c>
      <c r="BU119" s="34">
        <f t="shared" si="63"/>
        <v>126.2934772136044</v>
      </c>
      <c r="BV119" s="34">
        <f t="shared" si="64"/>
        <v>106.37307554600788</v>
      </c>
      <c r="BW119" s="34">
        <f t="shared" si="65"/>
        <v>107.41823824301741</v>
      </c>
      <c r="BX119" s="34">
        <f t="shared" si="66"/>
        <v>113.84963256076878</v>
      </c>
      <c r="BY119" s="34">
        <f t="shared" si="67"/>
        <v>102.02694867691737</v>
      </c>
      <c r="BZ119" s="34">
        <f t="shared" si="68"/>
        <v>97.858011411467601</v>
      </c>
    </row>
    <row r="145" spans="3:60" x14ac:dyDescent="0.35">
      <c r="C145" t="s">
        <v>913</v>
      </c>
      <c r="O145" t="s">
        <v>918</v>
      </c>
      <c r="AB145" t="s">
        <v>923</v>
      </c>
    </row>
    <row r="146" spans="3:60" x14ac:dyDescent="0.35">
      <c r="C146" t="s">
        <v>915</v>
      </c>
      <c r="O146" t="s">
        <v>919</v>
      </c>
    </row>
    <row r="147" spans="3:60" x14ac:dyDescent="0.35">
      <c r="C147" t="s">
        <v>914</v>
      </c>
      <c r="O147" t="s">
        <v>920</v>
      </c>
    </row>
    <row r="148" spans="3:60" x14ac:dyDescent="0.35">
      <c r="O148" t="s">
        <v>921</v>
      </c>
    </row>
    <row r="149" spans="3:60" x14ac:dyDescent="0.35">
      <c r="AO149" t="s">
        <v>925</v>
      </c>
      <c r="BH149" t="s">
        <v>928</v>
      </c>
    </row>
    <row r="150" spans="3:60" x14ac:dyDescent="0.35">
      <c r="AO150" t="s">
        <v>926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2982-46B1-4F5A-8C0E-51B511FFFC0B}">
  <dimension ref="A1:L167"/>
  <sheetViews>
    <sheetView zoomScale="85" zoomScaleNormal="85" workbookViewId="0">
      <pane xSplit="1" ySplit="6" topLeftCell="B38" activePane="bottomRight" state="frozen"/>
      <selection pane="topRight" activeCell="B1" sqref="B1"/>
      <selection pane="bottomLeft" activeCell="A7" sqref="A7"/>
      <selection pane="bottomRight" activeCell="C15" sqref="C15"/>
    </sheetView>
  </sheetViews>
  <sheetFormatPr defaultColWidth="20.54296875" defaultRowHeight="15.5" x14ac:dyDescent="0.35"/>
  <cols>
    <col min="1" max="1" width="22.54296875" style="84" customWidth="1"/>
    <col min="2" max="5" width="13.54296875" style="84" customWidth="1"/>
    <col min="6" max="6" width="15.54296875" style="84" customWidth="1"/>
    <col min="7" max="9" width="13.54296875" style="84" customWidth="1"/>
    <col min="10" max="10" width="17.54296875" style="84" customWidth="1"/>
    <col min="11" max="11" width="13.54296875" style="84" customWidth="1"/>
    <col min="12" max="12" width="16.26953125" style="84" customWidth="1"/>
  </cols>
  <sheetData>
    <row r="1" spans="1:12" s="87" customFormat="1" ht="20" thickBot="1" x14ac:dyDescent="0.5">
      <c r="A1" s="86" t="s">
        <v>887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2" ht="16" thickTop="1" x14ac:dyDescent="0.35">
      <c r="A2" s="65" t="s">
        <v>300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x14ac:dyDescent="0.35">
      <c r="A3" s="65" t="s">
        <v>301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x14ac:dyDescent="0.35">
      <c r="A4" s="68" t="s">
        <v>302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2" s="87" customFormat="1" ht="50.15" customHeight="1" x14ac:dyDescent="0.4">
      <c r="A5" s="88" t="s">
        <v>888</v>
      </c>
      <c r="B5" s="70"/>
      <c r="C5" s="70"/>
      <c r="D5" s="70"/>
      <c r="E5" s="70"/>
      <c r="F5" s="70"/>
      <c r="G5" s="70"/>
      <c r="H5" s="70"/>
      <c r="I5" s="70"/>
      <c r="J5" s="92"/>
      <c r="K5" s="70"/>
      <c r="L5" s="70"/>
    </row>
    <row r="6" spans="1:12" ht="80.150000000000006" customHeight="1" x14ac:dyDescent="0.35">
      <c r="A6" s="72" t="s">
        <v>304</v>
      </c>
      <c r="B6" s="73" t="s">
        <v>882</v>
      </c>
      <c r="C6" s="73" t="s">
        <v>3</v>
      </c>
      <c r="D6" s="73" t="s">
        <v>889</v>
      </c>
      <c r="E6" s="73" t="s">
        <v>306</v>
      </c>
      <c r="F6" s="73" t="s">
        <v>309</v>
      </c>
      <c r="G6" s="73" t="s">
        <v>645</v>
      </c>
      <c r="H6" s="73" t="s">
        <v>324</v>
      </c>
      <c r="I6" s="73" t="s">
        <v>330</v>
      </c>
      <c r="J6" s="73" t="s">
        <v>339</v>
      </c>
      <c r="K6" s="73" t="s">
        <v>342</v>
      </c>
      <c r="L6" s="73" t="s">
        <v>357</v>
      </c>
    </row>
    <row r="7" spans="1:12" ht="31" x14ac:dyDescent="0.35">
      <c r="A7" s="72" t="s">
        <v>371</v>
      </c>
      <c r="B7" s="73" t="s">
        <v>890</v>
      </c>
      <c r="C7" s="75" t="s">
        <v>891</v>
      </c>
      <c r="D7" s="75" t="s">
        <v>892</v>
      </c>
      <c r="E7" s="75" t="s">
        <v>893</v>
      </c>
      <c r="F7" s="75" t="s">
        <v>894</v>
      </c>
      <c r="G7" s="75" t="s">
        <v>895</v>
      </c>
      <c r="H7" s="75" t="s">
        <v>896</v>
      </c>
      <c r="I7" s="75" t="s">
        <v>897</v>
      </c>
      <c r="J7" s="75" t="s">
        <v>898</v>
      </c>
      <c r="K7" s="75" t="s">
        <v>899</v>
      </c>
      <c r="L7" s="75" t="s">
        <v>900</v>
      </c>
    </row>
    <row r="8" spans="1:12" x14ac:dyDescent="0.35">
      <c r="A8" s="72" t="s">
        <v>429</v>
      </c>
      <c r="B8" s="75" t="s">
        <v>901</v>
      </c>
      <c r="C8" s="75" t="s">
        <v>703</v>
      </c>
      <c r="D8" s="75" t="s">
        <v>717</v>
      </c>
      <c r="E8" s="75" t="s">
        <v>902</v>
      </c>
      <c r="F8" s="75" t="s">
        <v>903</v>
      </c>
      <c r="G8" s="75" t="s">
        <v>904</v>
      </c>
      <c r="H8" s="75" t="s">
        <v>905</v>
      </c>
      <c r="I8" s="75" t="s">
        <v>906</v>
      </c>
      <c r="J8" s="75" t="s">
        <v>907</v>
      </c>
      <c r="K8" s="75" t="s">
        <v>908</v>
      </c>
      <c r="L8" s="75" t="s">
        <v>909</v>
      </c>
    </row>
    <row r="9" spans="1:12" x14ac:dyDescent="0.35">
      <c r="A9" s="78">
        <v>1997</v>
      </c>
      <c r="B9" s="79">
        <v>411917</v>
      </c>
      <c r="C9" s="79">
        <v>107316</v>
      </c>
      <c r="D9" s="79">
        <v>70027</v>
      </c>
      <c r="E9" s="79">
        <v>30109</v>
      </c>
      <c r="F9" s="79">
        <v>81999</v>
      </c>
      <c r="G9" s="79">
        <v>40687</v>
      </c>
      <c r="H9" s="79">
        <v>5663</v>
      </c>
      <c r="I9" s="79">
        <v>92276</v>
      </c>
      <c r="J9" s="79">
        <v>1522</v>
      </c>
      <c r="K9" s="79">
        <v>25516</v>
      </c>
      <c r="L9" s="79">
        <v>17291</v>
      </c>
    </row>
    <row r="10" spans="1:12" x14ac:dyDescent="0.35">
      <c r="A10" s="78">
        <v>1998</v>
      </c>
      <c r="B10" s="79">
        <v>431872</v>
      </c>
      <c r="C10" s="79">
        <v>110291</v>
      </c>
      <c r="D10" s="79">
        <v>69705</v>
      </c>
      <c r="E10" s="79">
        <v>31931</v>
      </c>
      <c r="F10" s="79">
        <v>81738</v>
      </c>
      <c r="G10" s="79">
        <v>43715</v>
      </c>
      <c r="H10" s="79">
        <v>5424</v>
      </c>
      <c r="I10" s="79">
        <v>95617</v>
      </c>
      <c r="J10" s="79">
        <v>2415</v>
      </c>
      <c r="K10" s="79">
        <v>28861</v>
      </c>
      <c r="L10" s="79">
        <v>17914</v>
      </c>
    </row>
    <row r="11" spans="1:12" x14ac:dyDescent="0.35">
      <c r="A11" s="78">
        <v>1999</v>
      </c>
      <c r="B11" s="79">
        <v>453356</v>
      </c>
      <c r="C11" s="79">
        <v>112821</v>
      </c>
      <c r="D11" s="79">
        <v>68627</v>
      </c>
      <c r="E11" s="79">
        <v>33900</v>
      </c>
      <c r="F11" s="79">
        <v>79593</v>
      </c>
      <c r="G11" s="79">
        <v>45879</v>
      </c>
      <c r="H11" s="79">
        <v>5809</v>
      </c>
      <c r="I11" s="79">
        <v>98239</v>
      </c>
      <c r="J11" s="79">
        <v>2901</v>
      </c>
      <c r="K11" s="79">
        <v>33981</v>
      </c>
      <c r="L11" s="79">
        <v>19171</v>
      </c>
    </row>
    <row r="12" spans="1:12" x14ac:dyDescent="0.35">
      <c r="A12" s="78">
        <v>2000</v>
      </c>
      <c r="B12" s="79">
        <v>474436</v>
      </c>
      <c r="C12" s="79">
        <v>113520</v>
      </c>
      <c r="D12" s="79">
        <v>66934</v>
      </c>
      <c r="E12" s="79">
        <v>37322</v>
      </c>
      <c r="F12" s="79">
        <v>83447</v>
      </c>
      <c r="G12" s="79">
        <v>49613</v>
      </c>
      <c r="H12" s="79">
        <v>5972</v>
      </c>
      <c r="I12" s="79">
        <v>100503</v>
      </c>
      <c r="J12" s="79">
        <v>3750</v>
      </c>
      <c r="K12" s="79">
        <v>37489</v>
      </c>
      <c r="L12" s="79">
        <v>20156</v>
      </c>
    </row>
    <row r="13" spans="1:12" x14ac:dyDescent="0.35">
      <c r="A13" s="78">
        <v>2001</v>
      </c>
      <c r="B13" s="79">
        <v>500954</v>
      </c>
      <c r="C13" s="79">
        <v>113223</v>
      </c>
      <c r="D13" s="79">
        <v>65783</v>
      </c>
      <c r="E13" s="79">
        <v>40609</v>
      </c>
      <c r="F13" s="79">
        <v>82686</v>
      </c>
      <c r="G13" s="79">
        <v>54007</v>
      </c>
      <c r="H13" s="79">
        <v>6676</v>
      </c>
      <c r="I13" s="79">
        <v>110903</v>
      </c>
      <c r="J13" s="79">
        <v>4309</v>
      </c>
      <c r="K13" s="79">
        <v>40703</v>
      </c>
      <c r="L13" s="79">
        <v>21275</v>
      </c>
    </row>
    <row r="14" spans="1:12" x14ac:dyDescent="0.35">
      <c r="A14" s="78">
        <v>2002</v>
      </c>
      <c r="B14" s="79">
        <v>519509</v>
      </c>
      <c r="C14" s="79">
        <v>115096</v>
      </c>
      <c r="D14" s="79">
        <v>66209</v>
      </c>
      <c r="E14" s="79">
        <v>45470</v>
      </c>
      <c r="F14" s="79">
        <v>82058</v>
      </c>
      <c r="G14" s="79">
        <v>55984</v>
      </c>
      <c r="H14" s="79">
        <v>7490</v>
      </c>
      <c r="I14" s="79">
        <v>110059</v>
      </c>
      <c r="J14" s="79">
        <v>4061</v>
      </c>
      <c r="K14" s="79">
        <v>43811</v>
      </c>
      <c r="L14" s="79">
        <v>23159</v>
      </c>
    </row>
    <row r="15" spans="1:12" x14ac:dyDescent="0.35">
      <c r="A15" s="78">
        <v>2003</v>
      </c>
      <c r="B15" s="79">
        <v>542291</v>
      </c>
      <c r="C15" s="79">
        <v>120010</v>
      </c>
      <c r="D15" s="79">
        <v>68801</v>
      </c>
      <c r="E15" s="79">
        <v>48132</v>
      </c>
      <c r="F15" s="79">
        <v>81468</v>
      </c>
      <c r="G15" s="79">
        <v>57896</v>
      </c>
      <c r="H15" s="79">
        <v>7525</v>
      </c>
      <c r="I15" s="79">
        <v>112823</v>
      </c>
      <c r="J15" s="79">
        <v>4316</v>
      </c>
      <c r="K15" s="79">
        <v>47378</v>
      </c>
      <c r="L15" s="79">
        <v>24756</v>
      </c>
    </row>
    <row r="16" spans="1:12" x14ac:dyDescent="0.35">
      <c r="A16" s="78">
        <v>2004</v>
      </c>
      <c r="B16" s="79">
        <v>557682</v>
      </c>
      <c r="C16" s="79">
        <v>123213</v>
      </c>
      <c r="D16" s="79">
        <v>66435</v>
      </c>
      <c r="E16" s="79">
        <v>49477</v>
      </c>
      <c r="F16" s="79">
        <v>89108</v>
      </c>
      <c r="G16" s="79">
        <v>58537</v>
      </c>
      <c r="H16" s="79">
        <v>7242</v>
      </c>
      <c r="I16" s="79">
        <v>110349</v>
      </c>
      <c r="J16" s="79">
        <v>5586</v>
      </c>
      <c r="K16" s="79">
        <v>51769</v>
      </c>
      <c r="L16" s="79">
        <v>27128</v>
      </c>
    </row>
    <row r="17" spans="1:12" x14ac:dyDescent="0.35">
      <c r="A17" s="78">
        <v>2005</v>
      </c>
      <c r="B17" s="79">
        <v>565184</v>
      </c>
      <c r="C17" s="79">
        <v>124813</v>
      </c>
      <c r="D17" s="79">
        <v>67217</v>
      </c>
      <c r="E17" s="79">
        <v>51562</v>
      </c>
      <c r="F17" s="79">
        <v>84342</v>
      </c>
      <c r="G17" s="79">
        <v>58855</v>
      </c>
      <c r="H17" s="79">
        <v>6258</v>
      </c>
      <c r="I17" s="79">
        <v>110952</v>
      </c>
      <c r="J17" s="79">
        <v>6099</v>
      </c>
      <c r="K17" s="79">
        <v>54632</v>
      </c>
      <c r="L17" s="79">
        <v>26789</v>
      </c>
    </row>
    <row r="18" spans="1:12" x14ac:dyDescent="0.35">
      <c r="A18" s="78">
        <v>2006</v>
      </c>
      <c r="B18" s="79">
        <v>575868</v>
      </c>
      <c r="C18" s="79">
        <v>125273</v>
      </c>
      <c r="D18" s="79">
        <v>65139</v>
      </c>
      <c r="E18" s="79">
        <v>53480</v>
      </c>
      <c r="F18" s="79">
        <v>84127</v>
      </c>
      <c r="G18" s="79">
        <v>61867</v>
      </c>
      <c r="H18" s="79">
        <v>6190</v>
      </c>
      <c r="I18" s="79">
        <v>110308</v>
      </c>
      <c r="J18" s="79">
        <v>6135</v>
      </c>
      <c r="K18" s="79">
        <v>58232</v>
      </c>
      <c r="L18" s="79">
        <v>28000</v>
      </c>
    </row>
    <row r="19" spans="1:12" x14ac:dyDescent="0.35">
      <c r="A19" s="78">
        <v>2007</v>
      </c>
      <c r="B19" s="79">
        <v>593573</v>
      </c>
      <c r="C19" s="79">
        <v>124936</v>
      </c>
      <c r="D19" s="79">
        <v>63803</v>
      </c>
      <c r="E19" s="79">
        <v>54891</v>
      </c>
      <c r="F19" s="79">
        <v>80827</v>
      </c>
      <c r="G19" s="79">
        <v>65800</v>
      </c>
      <c r="H19" s="79">
        <v>9358</v>
      </c>
      <c r="I19" s="79">
        <v>114037</v>
      </c>
      <c r="J19" s="79">
        <v>6227</v>
      </c>
      <c r="K19" s="79">
        <v>62299</v>
      </c>
      <c r="L19" s="79">
        <v>28934</v>
      </c>
    </row>
    <row r="20" spans="1:12" x14ac:dyDescent="0.35">
      <c r="A20" s="78">
        <v>2008</v>
      </c>
      <c r="B20" s="79">
        <v>588074</v>
      </c>
      <c r="C20" s="79">
        <v>122510</v>
      </c>
      <c r="D20" s="79">
        <v>64847</v>
      </c>
      <c r="E20" s="79">
        <v>58491</v>
      </c>
      <c r="F20" s="79">
        <v>79537</v>
      </c>
      <c r="G20" s="79">
        <v>59744</v>
      </c>
      <c r="H20" s="79">
        <v>8507</v>
      </c>
      <c r="I20" s="79">
        <v>111958</v>
      </c>
      <c r="J20" s="79">
        <v>6048</v>
      </c>
      <c r="K20" s="79">
        <v>64519</v>
      </c>
      <c r="L20" s="79">
        <v>27325</v>
      </c>
    </row>
    <row r="21" spans="1:12" x14ac:dyDescent="0.35">
      <c r="A21" s="78">
        <v>2009</v>
      </c>
      <c r="B21" s="79">
        <v>568820</v>
      </c>
      <c r="C21" s="79">
        <v>119242</v>
      </c>
      <c r="D21" s="79">
        <v>63274</v>
      </c>
      <c r="E21" s="79">
        <v>60785</v>
      </c>
      <c r="F21" s="79">
        <v>74942</v>
      </c>
      <c r="G21" s="79">
        <v>54579</v>
      </c>
      <c r="H21" s="79">
        <v>7512</v>
      </c>
      <c r="I21" s="79">
        <v>106328</v>
      </c>
      <c r="J21" s="79">
        <v>5843</v>
      </c>
      <c r="K21" s="79">
        <v>63497</v>
      </c>
      <c r="L21" s="79">
        <v>26147</v>
      </c>
    </row>
    <row r="22" spans="1:12" x14ac:dyDescent="0.35">
      <c r="A22" s="78">
        <v>2010</v>
      </c>
      <c r="B22" s="79">
        <v>577470</v>
      </c>
      <c r="C22" s="79">
        <v>118425</v>
      </c>
      <c r="D22" s="79">
        <v>61383</v>
      </c>
      <c r="E22" s="79">
        <v>61091</v>
      </c>
      <c r="F22" s="79">
        <v>80150</v>
      </c>
      <c r="G22" s="79">
        <v>57192</v>
      </c>
      <c r="H22" s="79">
        <v>9399</v>
      </c>
      <c r="I22" s="79">
        <v>101041</v>
      </c>
      <c r="J22" s="79">
        <v>5523</v>
      </c>
      <c r="K22" s="79">
        <v>67305</v>
      </c>
      <c r="L22" s="79">
        <v>28715</v>
      </c>
    </row>
    <row r="23" spans="1:12" x14ac:dyDescent="0.35">
      <c r="A23" s="78">
        <v>2011</v>
      </c>
      <c r="B23" s="79">
        <v>566141</v>
      </c>
      <c r="C23" s="79">
        <v>118808</v>
      </c>
      <c r="D23" s="79">
        <v>59572</v>
      </c>
      <c r="E23" s="79">
        <v>62309</v>
      </c>
      <c r="F23" s="79">
        <v>72330</v>
      </c>
      <c r="G23" s="79">
        <v>54085</v>
      </c>
      <c r="H23" s="79">
        <v>8719</v>
      </c>
      <c r="I23" s="79">
        <v>97643</v>
      </c>
      <c r="J23" s="79">
        <v>6165</v>
      </c>
      <c r="K23" s="79">
        <v>67603</v>
      </c>
      <c r="L23" s="79">
        <v>28431</v>
      </c>
    </row>
    <row r="24" spans="1:12" x14ac:dyDescent="0.35">
      <c r="A24" s="78">
        <v>2012</v>
      </c>
      <c r="B24" s="79">
        <v>574726</v>
      </c>
      <c r="C24" s="79">
        <v>119113</v>
      </c>
      <c r="D24" s="79">
        <v>57630</v>
      </c>
      <c r="E24" s="79">
        <v>64249</v>
      </c>
      <c r="F24" s="79">
        <v>75450</v>
      </c>
      <c r="G24" s="79">
        <v>54110</v>
      </c>
      <c r="H24" s="79">
        <v>11827</v>
      </c>
      <c r="I24" s="79">
        <v>100403</v>
      </c>
      <c r="J24" s="79">
        <v>7128</v>
      </c>
      <c r="K24" s="79">
        <v>65795</v>
      </c>
      <c r="L24" s="79">
        <v>29108</v>
      </c>
    </row>
    <row r="25" spans="1:12" x14ac:dyDescent="0.35">
      <c r="A25" s="78">
        <v>2013</v>
      </c>
      <c r="B25" s="79">
        <v>588964</v>
      </c>
      <c r="C25" s="79">
        <v>119649</v>
      </c>
      <c r="D25" s="79">
        <v>57282</v>
      </c>
      <c r="E25" s="79">
        <v>67097</v>
      </c>
      <c r="F25" s="79">
        <v>74767</v>
      </c>
      <c r="G25" s="79">
        <v>54364</v>
      </c>
      <c r="H25" s="79">
        <v>11659</v>
      </c>
      <c r="I25" s="79">
        <v>107837</v>
      </c>
      <c r="J25" s="79">
        <v>7075</v>
      </c>
      <c r="K25" s="79">
        <v>67688</v>
      </c>
      <c r="L25" s="79">
        <v>30525</v>
      </c>
    </row>
    <row r="26" spans="1:12" x14ac:dyDescent="0.35">
      <c r="A26" s="78">
        <v>2014</v>
      </c>
      <c r="B26" s="79">
        <v>594940</v>
      </c>
      <c r="C26" s="79">
        <v>121304</v>
      </c>
      <c r="D26" s="79">
        <v>54417</v>
      </c>
      <c r="E26" s="79">
        <v>69010</v>
      </c>
      <c r="F26" s="79">
        <v>65834</v>
      </c>
      <c r="G26" s="79">
        <v>56584</v>
      </c>
      <c r="H26" s="79">
        <v>12202</v>
      </c>
      <c r="I26" s="79">
        <v>114089</v>
      </c>
      <c r="J26" s="79">
        <v>5206</v>
      </c>
      <c r="K26" s="79">
        <v>68048</v>
      </c>
      <c r="L26" s="79">
        <v>33674</v>
      </c>
    </row>
    <row r="27" spans="1:12" x14ac:dyDescent="0.35">
      <c r="A27" s="78">
        <v>2015</v>
      </c>
      <c r="B27" s="79">
        <v>618509</v>
      </c>
      <c r="C27" s="79">
        <v>123025</v>
      </c>
      <c r="D27" s="79">
        <v>52363</v>
      </c>
      <c r="E27" s="79">
        <v>72324</v>
      </c>
      <c r="F27" s="79">
        <v>68986</v>
      </c>
      <c r="G27" s="79">
        <v>61741</v>
      </c>
      <c r="H27" s="79">
        <v>12307</v>
      </c>
      <c r="I27" s="79">
        <v>116989</v>
      </c>
      <c r="J27" s="79">
        <v>5572</v>
      </c>
      <c r="K27" s="79">
        <v>72542</v>
      </c>
      <c r="L27" s="79">
        <v>37826</v>
      </c>
    </row>
    <row r="28" spans="1:12" x14ac:dyDescent="0.35">
      <c r="A28" s="78">
        <v>2016</v>
      </c>
      <c r="B28" s="79">
        <v>646288</v>
      </c>
      <c r="C28" s="79">
        <v>131956</v>
      </c>
      <c r="D28" s="79">
        <v>50546</v>
      </c>
      <c r="E28" s="79">
        <v>73637</v>
      </c>
      <c r="F28" s="79">
        <v>72190</v>
      </c>
      <c r="G28" s="79">
        <v>64149</v>
      </c>
      <c r="H28" s="79">
        <v>12425</v>
      </c>
      <c r="I28" s="79">
        <v>124092</v>
      </c>
      <c r="J28" s="79">
        <v>9201</v>
      </c>
      <c r="K28" s="79">
        <v>74456</v>
      </c>
      <c r="L28" s="79">
        <v>39466</v>
      </c>
    </row>
    <row r="29" spans="1:12" x14ac:dyDescent="0.35">
      <c r="A29" s="78">
        <v>2017</v>
      </c>
      <c r="B29" s="79">
        <v>660696</v>
      </c>
      <c r="C29" s="79">
        <v>135517</v>
      </c>
      <c r="D29" s="79">
        <v>51526</v>
      </c>
      <c r="E29" s="79">
        <v>74622</v>
      </c>
      <c r="F29" s="79">
        <v>68505</v>
      </c>
      <c r="G29" s="79">
        <v>68217</v>
      </c>
      <c r="H29" s="79">
        <v>13370</v>
      </c>
      <c r="I29" s="79">
        <v>121132</v>
      </c>
      <c r="J29" s="79">
        <v>7980</v>
      </c>
      <c r="K29" s="79">
        <v>82401</v>
      </c>
      <c r="L29" s="79">
        <v>40898</v>
      </c>
    </row>
    <row r="30" spans="1:12" x14ac:dyDescent="0.35">
      <c r="A30" s="78">
        <v>2018</v>
      </c>
      <c r="B30" s="79">
        <v>669186</v>
      </c>
      <c r="C30" s="79">
        <v>139276</v>
      </c>
      <c r="D30" s="79">
        <v>51704</v>
      </c>
      <c r="E30" s="79">
        <v>75355</v>
      </c>
      <c r="F30" s="79">
        <v>69667</v>
      </c>
      <c r="G30" s="79">
        <v>70649</v>
      </c>
      <c r="H30" s="79">
        <v>13430</v>
      </c>
      <c r="I30" s="79">
        <v>120380</v>
      </c>
      <c r="J30" s="79">
        <v>7909</v>
      </c>
      <c r="K30" s="79">
        <v>81907</v>
      </c>
      <c r="L30" s="79">
        <v>42581</v>
      </c>
    </row>
    <row r="31" spans="1:12" x14ac:dyDescent="0.35">
      <c r="A31" s="78">
        <v>2019</v>
      </c>
      <c r="B31" s="79">
        <v>675282</v>
      </c>
      <c r="C31" s="79">
        <v>139372</v>
      </c>
      <c r="D31" s="79">
        <v>49481</v>
      </c>
      <c r="E31" s="79">
        <v>78538</v>
      </c>
      <c r="F31" s="79">
        <v>66591</v>
      </c>
      <c r="G31" s="79">
        <v>72192</v>
      </c>
      <c r="H31" s="79">
        <v>13725</v>
      </c>
      <c r="I31" s="79">
        <v>120877</v>
      </c>
      <c r="J31" s="79">
        <v>7416</v>
      </c>
      <c r="K31" s="79">
        <v>86146</v>
      </c>
      <c r="L31" s="79">
        <v>43175</v>
      </c>
    </row>
    <row r="32" spans="1:12" x14ac:dyDescent="0.35">
      <c r="A32" s="78">
        <v>2020</v>
      </c>
      <c r="B32" s="79">
        <v>641070</v>
      </c>
      <c r="C32" s="79">
        <v>146077</v>
      </c>
      <c r="D32" s="79">
        <v>55986</v>
      </c>
      <c r="E32" s="79">
        <v>62764</v>
      </c>
      <c r="F32" s="79">
        <v>68910</v>
      </c>
      <c r="G32" s="79">
        <v>76353</v>
      </c>
      <c r="H32" s="79">
        <v>12466</v>
      </c>
      <c r="I32" s="79">
        <v>95504</v>
      </c>
      <c r="J32" s="79">
        <v>7055</v>
      </c>
      <c r="K32" s="79">
        <v>83156</v>
      </c>
      <c r="L32" s="79">
        <v>37572</v>
      </c>
    </row>
    <row r="33" spans="1:12" x14ac:dyDescent="0.35">
      <c r="A33" s="78">
        <v>2021</v>
      </c>
      <c r="B33" s="63">
        <v>667231</v>
      </c>
      <c r="C33" s="63">
        <v>146867</v>
      </c>
      <c r="D33" s="63">
        <v>55063</v>
      </c>
      <c r="E33" s="63">
        <v>71406</v>
      </c>
      <c r="F33" s="63">
        <v>70180</v>
      </c>
      <c r="G33" s="63">
        <v>83497</v>
      </c>
      <c r="H33" s="63">
        <v>13392</v>
      </c>
      <c r="I33" s="63">
        <v>97465</v>
      </c>
      <c r="J33" s="63">
        <v>5159</v>
      </c>
      <c r="K33" s="63">
        <v>86710</v>
      </c>
      <c r="L33" s="63">
        <v>41695</v>
      </c>
    </row>
    <row r="34" spans="1:12" x14ac:dyDescent="0.35">
      <c r="A34" s="78">
        <v>2022</v>
      </c>
      <c r="B34" s="63">
        <v>682069</v>
      </c>
      <c r="C34" s="63">
        <v>146444</v>
      </c>
      <c r="D34" s="63">
        <v>51604</v>
      </c>
      <c r="E34" s="63">
        <v>81364</v>
      </c>
      <c r="F34" s="63">
        <v>64093</v>
      </c>
      <c r="G34" s="63">
        <v>80327</v>
      </c>
      <c r="H34" s="63">
        <v>14187</v>
      </c>
      <c r="I34" s="63">
        <v>103007</v>
      </c>
      <c r="J34" s="63">
        <v>5443</v>
      </c>
      <c r="K34" s="63">
        <v>91060</v>
      </c>
      <c r="L34" s="63">
        <v>45835</v>
      </c>
    </row>
    <row r="35" spans="1:12" x14ac:dyDescent="0.35">
      <c r="A35" s="78">
        <v>2023</v>
      </c>
      <c r="B35" s="63">
        <v>653096</v>
      </c>
      <c r="C35" s="63">
        <v>139909</v>
      </c>
      <c r="D35" s="63">
        <v>50348</v>
      </c>
      <c r="E35" s="63">
        <v>79065</v>
      </c>
      <c r="F35" s="63">
        <v>59771</v>
      </c>
      <c r="G35" s="63">
        <v>72242</v>
      </c>
      <c r="H35" s="63">
        <v>12183</v>
      </c>
      <c r="I35" s="63">
        <v>109082</v>
      </c>
      <c r="J35" s="63">
        <v>4298</v>
      </c>
      <c r="K35" s="63">
        <v>83794</v>
      </c>
      <c r="L35" s="63">
        <v>42404</v>
      </c>
    </row>
    <row r="36" spans="1:12" x14ac:dyDescent="0.35">
      <c r="A36" s="78">
        <v>2024</v>
      </c>
      <c r="B36" s="63">
        <v>649133</v>
      </c>
      <c r="C36" s="63">
        <v>138368</v>
      </c>
      <c r="D36" s="63">
        <v>48367</v>
      </c>
      <c r="E36" s="63">
        <v>75706</v>
      </c>
      <c r="F36" s="63">
        <v>58773</v>
      </c>
      <c r="G36" s="63">
        <v>71208</v>
      </c>
      <c r="H36" s="63">
        <v>11688</v>
      </c>
      <c r="I36" s="63">
        <v>109922</v>
      </c>
      <c r="J36" s="63">
        <v>5673</v>
      </c>
      <c r="K36" s="63">
        <v>86555</v>
      </c>
      <c r="L36" s="63">
        <v>42873</v>
      </c>
    </row>
    <row r="37" spans="1:12" x14ac:dyDescent="0.35">
      <c r="A37" s="78">
        <v>2025</v>
      </c>
      <c r="B37" s="63">
        <v>656283</v>
      </c>
      <c r="C37" s="63">
        <v>138197</v>
      </c>
      <c r="D37" s="63">
        <v>47289</v>
      </c>
      <c r="E37" s="63">
        <v>78565</v>
      </c>
      <c r="F37" s="63">
        <v>60253</v>
      </c>
      <c r="G37" s="63">
        <v>71184</v>
      </c>
      <c r="H37" s="63">
        <v>12052</v>
      </c>
      <c r="I37" s="63">
        <v>112559</v>
      </c>
      <c r="J37" s="63">
        <v>5335</v>
      </c>
      <c r="K37" s="63">
        <v>88526</v>
      </c>
      <c r="L37" s="63">
        <v>42323</v>
      </c>
    </row>
    <row r="38" spans="1:12" ht="15" customHeight="1" x14ac:dyDescent="0.35">
      <c r="A38" s="81" t="s">
        <v>910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</row>
    <row r="39" spans="1:12" s="87" customFormat="1" ht="79.900000000000006" customHeight="1" x14ac:dyDescent="0.4">
      <c r="A39" s="88" t="s">
        <v>911</v>
      </c>
      <c r="B39" s="70"/>
      <c r="C39" s="70"/>
      <c r="D39" s="70"/>
      <c r="E39" s="70"/>
      <c r="F39" s="70"/>
      <c r="G39" s="70"/>
      <c r="H39" s="70"/>
      <c r="I39" s="70"/>
      <c r="J39" s="92"/>
      <c r="K39" s="70"/>
      <c r="L39" s="70"/>
    </row>
    <row r="40" spans="1:12" ht="77.5" x14ac:dyDescent="0.35">
      <c r="A40" s="72" t="s">
        <v>304</v>
      </c>
      <c r="B40" s="73" t="s">
        <v>882</v>
      </c>
      <c r="C40" s="73" t="s">
        <v>3</v>
      </c>
      <c r="D40" s="73" t="s">
        <v>889</v>
      </c>
      <c r="E40" s="73" t="s">
        <v>306</v>
      </c>
      <c r="F40" s="73" t="s">
        <v>309</v>
      </c>
      <c r="G40" s="73" t="s">
        <v>645</v>
      </c>
      <c r="H40" s="73" t="s">
        <v>324</v>
      </c>
      <c r="I40" s="73" t="s">
        <v>330</v>
      </c>
      <c r="J40" s="73" t="s">
        <v>339</v>
      </c>
      <c r="K40" s="73" t="s">
        <v>342</v>
      </c>
      <c r="L40" s="73" t="s">
        <v>357</v>
      </c>
    </row>
    <row r="41" spans="1:12" ht="31" x14ac:dyDescent="0.35">
      <c r="A41" s="72" t="s">
        <v>371</v>
      </c>
      <c r="B41" s="73" t="s">
        <v>890</v>
      </c>
      <c r="C41" s="75" t="s">
        <v>891</v>
      </c>
      <c r="D41" s="75" t="s">
        <v>892</v>
      </c>
      <c r="E41" s="75" t="s">
        <v>893</v>
      </c>
      <c r="F41" s="75" t="s">
        <v>894</v>
      </c>
      <c r="G41" s="75" t="s">
        <v>895</v>
      </c>
      <c r="H41" s="75" t="s">
        <v>896</v>
      </c>
      <c r="I41" s="75" t="s">
        <v>897</v>
      </c>
      <c r="J41" s="75" t="s">
        <v>898</v>
      </c>
      <c r="K41" s="75" t="s">
        <v>899</v>
      </c>
      <c r="L41" s="75" t="s">
        <v>900</v>
      </c>
    </row>
    <row r="42" spans="1:12" x14ac:dyDescent="0.35">
      <c r="A42" s="72" t="s">
        <v>429</v>
      </c>
      <c r="B42" s="75" t="s">
        <v>901</v>
      </c>
      <c r="C42" s="75" t="s">
        <v>703</v>
      </c>
      <c r="D42" s="75" t="s">
        <v>717</v>
      </c>
      <c r="E42" s="75" t="s">
        <v>902</v>
      </c>
      <c r="F42" s="75" t="s">
        <v>903</v>
      </c>
      <c r="G42" s="75" t="s">
        <v>904</v>
      </c>
      <c r="H42" s="75" t="s">
        <v>905</v>
      </c>
      <c r="I42" s="75" t="s">
        <v>906</v>
      </c>
      <c r="J42" s="75" t="s">
        <v>907</v>
      </c>
      <c r="K42" s="75" t="s">
        <v>908</v>
      </c>
      <c r="L42" s="75" t="s">
        <v>909</v>
      </c>
    </row>
    <row r="43" spans="1:12" x14ac:dyDescent="0.35">
      <c r="A43" s="78" t="s">
        <v>499</v>
      </c>
      <c r="B43" s="79">
        <v>100578</v>
      </c>
      <c r="C43" s="79">
        <v>26855</v>
      </c>
      <c r="D43" s="79">
        <v>17374</v>
      </c>
      <c r="E43" s="79">
        <v>7178</v>
      </c>
      <c r="F43" s="79">
        <v>20532</v>
      </c>
      <c r="G43" s="79">
        <v>10409</v>
      </c>
      <c r="H43" s="79">
        <v>1514</v>
      </c>
      <c r="I43" s="79">
        <v>21038</v>
      </c>
      <c r="J43" s="79">
        <v>264</v>
      </c>
      <c r="K43" s="79">
        <v>6347</v>
      </c>
      <c r="L43" s="79">
        <v>4213</v>
      </c>
    </row>
    <row r="44" spans="1:12" x14ac:dyDescent="0.35">
      <c r="A44" s="78" t="s">
        <v>500</v>
      </c>
      <c r="B44" s="79">
        <v>101917</v>
      </c>
      <c r="C44" s="79">
        <v>26607</v>
      </c>
      <c r="D44" s="79">
        <v>17502</v>
      </c>
      <c r="E44" s="79">
        <v>7430</v>
      </c>
      <c r="F44" s="79">
        <v>19613</v>
      </c>
      <c r="G44" s="79">
        <v>10060</v>
      </c>
      <c r="H44" s="79">
        <v>1438</v>
      </c>
      <c r="I44" s="79">
        <v>22560</v>
      </c>
      <c r="J44" s="79">
        <v>392</v>
      </c>
      <c r="K44" s="79">
        <v>6432</v>
      </c>
      <c r="L44" s="79">
        <v>4287</v>
      </c>
    </row>
    <row r="45" spans="1:12" x14ac:dyDescent="0.35">
      <c r="A45" s="78" t="s">
        <v>501</v>
      </c>
      <c r="B45" s="79">
        <v>104413</v>
      </c>
      <c r="C45" s="79">
        <v>26285</v>
      </c>
      <c r="D45" s="79">
        <v>17584</v>
      </c>
      <c r="E45" s="79">
        <v>7587</v>
      </c>
      <c r="F45" s="79">
        <v>20791</v>
      </c>
      <c r="G45" s="79">
        <v>9923</v>
      </c>
      <c r="H45" s="79">
        <v>1376</v>
      </c>
      <c r="I45" s="79">
        <v>25314</v>
      </c>
      <c r="J45" s="79">
        <v>430</v>
      </c>
      <c r="K45" s="79">
        <v>6313</v>
      </c>
      <c r="L45" s="79">
        <v>4366</v>
      </c>
    </row>
    <row r="46" spans="1:12" x14ac:dyDescent="0.35">
      <c r="A46" s="78" t="s">
        <v>502</v>
      </c>
      <c r="B46" s="79">
        <v>105009</v>
      </c>
      <c r="C46" s="79">
        <v>27569</v>
      </c>
      <c r="D46" s="79">
        <v>17567</v>
      </c>
      <c r="E46" s="79">
        <v>7914</v>
      </c>
      <c r="F46" s="79">
        <v>21063</v>
      </c>
      <c r="G46" s="79">
        <v>10295</v>
      </c>
      <c r="H46" s="79">
        <v>1335</v>
      </c>
      <c r="I46" s="79">
        <v>23364</v>
      </c>
      <c r="J46" s="79">
        <v>436</v>
      </c>
      <c r="K46" s="79">
        <v>6424</v>
      </c>
      <c r="L46" s="79">
        <v>4425</v>
      </c>
    </row>
    <row r="47" spans="1:12" x14ac:dyDescent="0.35">
      <c r="A47" s="78" t="s">
        <v>503</v>
      </c>
      <c r="B47" s="79">
        <v>105752</v>
      </c>
      <c r="C47" s="79">
        <v>27252</v>
      </c>
      <c r="D47" s="79">
        <v>17582</v>
      </c>
      <c r="E47" s="79">
        <v>7907</v>
      </c>
      <c r="F47" s="79">
        <v>19973</v>
      </c>
      <c r="G47" s="79">
        <v>10503</v>
      </c>
      <c r="H47" s="79">
        <v>1344</v>
      </c>
      <c r="I47" s="79">
        <v>23835</v>
      </c>
      <c r="J47" s="79">
        <v>552</v>
      </c>
      <c r="K47" s="79">
        <v>6707</v>
      </c>
      <c r="L47" s="79">
        <v>4405</v>
      </c>
    </row>
    <row r="48" spans="1:12" x14ac:dyDescent="0.35">
      <c r="A48" s="78" t="s">
        <v>504</v>
      </c>
      <c r="B48" s="79">
        <v>106761</v>
      </c>
      <c r="C48" s="79">
        <v>27628</v>
      </c>
      <c r="D48" s="79">
        <v>17697</v>
      </c>
      <c r="E48" s="79">
        <v>7999</v>
      </c>
      <c r="F48" s="79">
        <v>20666</v>
      </c>
      <c r="G48" s="79">
        <v>10923</v>
      </c>
      <c r="H48" s="79">
        <v>1339</v>
      </c>
      <c r="I48" s="79">
        <v>22537</v>
      </c>
      <c r="J48" s="79">
        <v>580</v>
      </c>
      <c r="K48" s="79">
        <v>7077</v>
      </c>
      <c r="L48" s="79">
        <v>4464</v>
      </c>
    </row>
    <row r="49" spans="1:12" x14ac:dyDescent="0.35">
      <c r="A49" s="78" t="s">
        <v>505</v>
      </c>
      <c r="B49" s="79">
        <v>110142</v>
      </c>
      <c r="C49" s="79">
        <v>27797</v>
      </c>
      <c r="D49" s="79">
        <v>17351</v>
      </c>
      <c r="E49" s="79">
        <v>8116</v>
      </c>
      <c r="F49" s="79">
        <v>20907</v>
      </c>
      <c r="G49" s="79">
        <v>11188</v>
      </c>
      <c r="H49" s="79">
        <v>1374</v>
      </c>
      <c r="I49" s="79">
        <v>25212</v>
      </c>
      <c r="J49" s="79">
        <v>616</v>
      </c>
      <c r="K49" s="79">
        <v>7324</v>
      </c>
      <c r="L49" s="79">
        <v>4502</v>
      </c>
    </row>
    <row r="50" spans="1:12" x14ac:dyDescent="0.35">
      <c r="A50" s="78" t="s">
        <v>506</v>
      </c>
      <c r="B50" s="79">
        <v>109217</v>
      </c>
      <c r="C50" s="79">
        <v>27614</v>
      </c>
      <c r="D50" s="79">
        <v>17075</v>
      </c>
      <c r="E50" s="79">
        <v>7909</v>
      </c>
      <c r="F50" s="79">
        <v>20192</v>
      </c>
      <c r="G50" s="79">
        <v>11101</v>
      </c>
      <c r="H50" s="79">
        <v>1367</v>
      </c>
      <c r="I50" s="79">
        <v>24033</v>
      </c>
      <c r="J50" s="79">
        <v>667</v>
      </c>
      <c r="K50" s="79">
        <v>7753</v>
      </c>
      <c r="L50" s="79">
        <v>4543</v>
      </c>
    </row>
    <row r="51" spans="1:12" x14ac:dyDescent="0.35">
      <c r="A51" s="78" t="s">
        <v>507</v>
      </c>
      <c r="B51" s="79">
        <v>110692</v>
      </c>
      <c r="C51" s="79">
        <v>27589</v>
      </c>
      <c r="D51" s="79">
        <v>17286</v>
      </c>
      <c r="E51" s="79">
        <v>8235</v>
      </c>
      <c r="F51" s="79">
        <v>20032</v>
      </c>
      <c r="G51" s="79">
        <v>11200</v>
      </c>
      <c r="H51" s="79">
        <v>1394</v>
      </c>
      <c r="I51" s="79">
        <v>24136</v>
      </c>
      <c r="J51" s="79">
        <v>632</v>
      </c>
      <c r="K51" s="79">
        <v>8043</v>
      </c>
      <c r="L51" s="79">
        <v>4667</v>
      </c>
    </row>
    <row r="52" spans="1:12" x14ac:dyDescent="0.35">
      <c r="A52" s="78" t="s">
        <v>508</v>
      </c>
      <c r="B52" s="79">
        <v>112991</v>
      </c>
      <c r="C52" s="79">
        <v>29025</v>
      </c>
      <c r="D52" s="79">
        <v>17088</v>
      </c>
      <c r="E52" s="79">
        <v>8329</v>
      </c>
      <c r="F52" s="79">
        <v>19845</v>
      </c>
      <c r="G52" s="79">
        <v>11240</v>
      </c>
      <c r="H52" s="79">
        <v>1459</v>
      </c>
      <c r="I52" s="79">
        <v>24582</v>
      </c>
      <c r="J52" s="79">
        <v>716</v>
      </c>
      <c r="K52" s="79">
        <v>8300</v>
      </c>
      <c r="L52" s="79">
        <v>4734</v>
      </c>
    </row>
    <row r="53" spans="1:12" x14ac:dyDescent="0.35">
      <c r="A53" s="78" t="s">
        <v>509</v>
      </c>
      <c r="B53" s="79">
        <v>114871</v>
      </c>
      <c r="C53" s="79">
        <v>28860</v>
      </c>
      <c r="D53" s="79">
        <v>17121</v>
      </c>
      <c r="E53" s="79">
        <v>8529</v>
      </c>
      <c r="F53" s="79">
        <v>19744</v>
      </c>
      <c r="G53" s="79">
        <v>11551</v>
      </c>
      <c r="H53" s="79">
        <v>1480</v>
      </c>
      <c r="I53" s="79">
        <v>24712</v>
      </c>
      <c r="J53" s="79">
        <v>770</v>
      </c>
      <c r="K53" s="79">
        <v>8789</v>
      </c>
      <c r="L53" s="79">
        <v>4864</v>
      </c>
    </row>
    <row r="54" spans="1:12" x14ac:dyDescent="0.35">
      <c r="A54" s="78" t="s">
        <v>510</v>
      </c>
      <c r="B54" s="79">
        <v>114802</v>
      </c>
      <c r="C54" s="79">
        <v>27347</v>
      </c>
      <c r="D54" s="79">
        <v>17132</v>
      </c>
      <c r="E54" s="79">
        <v>8807</v>
      </c>
      <c r="F54" s="79">
        <v>19972</v>
      </c>
      <c r="G54" s="79">
        <v>11888</v>
      </c>
      <c r="H54" s="79">
        <v>1476</v>
      </c>
      <c r="I54" s="79">
        <v>24809</v>
      </c>
      <c r="J54" s="79">
        <v>783</v>
      </c>
      <c r="K54" s="79">
        <v>8849</v>
      </c>
      <c r="L54" s="79">
        <v>4906</v>
      </c>
    </row>
    <row r="55" spans="1:12" x14ac:dyDescent="0.35">
      <c r="A55" s="78" t="s">
        <v>511</v>
      </c>
      <c r="B55" s="79">
        <v>116703</v>
      </c>
      <c r="C55" s="79">
        <v>28631</v>
      </c>
      <c r="D55" s="79">
        <v>16867</v>
      </c>
      <c r="E55" s="79">
        <v>8985</v>
      </c>
      <c r="F55" s="79">
        <v>20721</v>
      </c>
      <c r="G55" s="79">
        <v>12158</v>
      </c>
      <c r="H55" s="79">
        <v>1436</v>
      </c>
      <c r="I55" s="79">
        <v>24191</v>
      </c>
      <c r="J55" s="79">
        <v>914</v>
      </c>
      <c r="K55" s="79">
        <v>9185</v>
      </c>
      <c r="L55" s="79">
        <v>4961</v>
      </c>
    </row>
    <row r="56" spans="1:12" x14ac:dyDescent="0.35">
      <c r="A56" s="78" t="s">
        <v>512</v>
      </c>
      <c r="B56" s="79">
        <v>117848</v>
      </c>
      <c r="C56" s="79">
        <v>28213</v>
      </c>
      <c r="D56" s="79">
        <v>16743</v>
      </c>
      <c r="E56" s="79">
        <v>9192</v>
      </c>
      <c r="F56" s="79">
        <v>21067</v>
      </c>
      <c r="G56" s="79">
        <v>12327</v>
      </c>
      <c r="H56" s="79">
        <v>1454</v>
      </c>
      <c r="I56" s="79">
        <v>25311</v>
      </c>
      <c r="J56" s="79">
        <v>885</v>
      </c>
      <c r="K56" s="79">
        <v>9179</v>
      </c>
      <c r="L56" s="79">
        <v>4965</v>
      </c>
    </row>
    <row r="57" spans="1:12" x14ac:dyDescent="0.35">
      <c r="A57" s="78" t="s">
        <v>513</v>
      </c>
      <c r="B57" s="79">
        <v>118844</v>
      </c>
      <c r="C57" s="79">
        <v>28373</v>
      </c>
      <c r="D57" s="79">
        <v>16727</v>
      </c>
      <c r="E57" s="79">
        <v>9498</v>
      </c>
      <c r="F57" s="79">
        <v>20702</v>
      </c>
      <c r="G57" s="79">
        <v>12523</v>
      </c>
      <c r="H57" s="79">
        <v>1503</v>
      </c>
      <c r="I57" s="79">
        <v>24809</v>
      </c>
      <c r="J57" s="79">
        <v>951</v>
      </c>
      <c r="K57" s="79">
        <v>9458</v>
      </c>
      <c r="L57" s="79">
        <v>5048</v>
      </c>
    </row>
    <row r="58" spans="1:12" x14ac:dyDescent="0.35">
      <c r="A58" s="78" t="s">
        <v>514</v>
      </c>
      <c r="B58" s="79">
        <v>121041</v>
      </c>
      <c r="C58" s="79">
        <v>28303</v>
      </c>
      <c r="D58" s="79">
        <v>16597</v>
      </c>
      <c r="E58" s="79">
        <v>9647</v>
      </c>
      <c r="F58" s="79">
        <v>20957</v>
      </c>
      <c r="G58" s="79">
        <v>12605</v>
      </c>
      <c r="H58" s="79">
        <v>1579</v>
      </c>
      <c r="I58" s="79">
        <v>26192</v>
      </c>
      <c r="J58" s="79">
        <v>1000</v>
      </c>
      <c r="K58" s="79">
        <v>9667</v>
      </c>
      <c r="L58" s="79">
        <v>5182</v>
      </c>
    </row>
    <row r="59" spans="1:12" x14ac:dyDescent="0.35">
      <c r="A59" s="78" t="s">
        <v>515</v>
      </c>
      <c r="B59" s="79">
        <v>122887</v>
      </c>
      <c r="C59" s="79">
        <v>28463</v>
      </c>
      <c r="D59" s="79">
        <v>16389</v>
      </c>
      <c r="E59" s="79">
        <v>9650</v>
      </c>
      <c r="F59" s="79">
        <v>20962</v>
      </c>
      <c r="G59" s="79">
        <v>13193</v>
      </c>
      <c r="H59" s="79">
        <v>1633</v>
      </c>
      <c r="I59" s="79">
        <v>27336</v>
      </c>
      <c r="J59" s="79">
        <v>978</v>
      </c>
      <c r="K59" s="79">
        <v>9760</v>
      </c>
      <c r="L59" s="79">
        <v>5169</v>
      </c>
    </row>
    <row r="60" spans="1:12" x14ac:dyDescent="0.35">
      <c r="A60" s="78" t="s">
        <v>516</v>
      </c>
      <c r="B60" s="79">
        <v>123978</v>
      </c>
      <c r="C60" s="79">
        <v>27493</v>
      </c>
      <c r="D60" s="79">
        <v>16457</v>
      </c>
      <c r="E60" s="79">
        <v>9906</v>
      </c>
      <c r="F60" s="79">
        <v>20613</v>
      </c>
      <c r="G60" s="79">
        <v>13433</v>
      </c>
      <c r="H60" s="79">
        <v>1630</v>
      </c>
      <c r="I60" s="79">
        <v>27914</v>
      </c>
      <c r="J60" s="79">
        <v>1069</v>
      </c>
      <c r="K60" s="79">
        <v>10034</v>
      </c>
      <c r="L60" s="79">
        <v>5299</v>
      </c>
    </row>
    <row r="61" spans="1:12" x14ac:dyDescent="0.35">
      <c r="A61" s="78" t="s">
        <v>517</v>
      </c>
      <c r="B61" s="79">
        <v>126097</v>
      </c>
      <c r="C61" s="79">
        <v>28225</v>
      </c>
      <c r="D61" s="79">
        <v>16530</v>
      </c>
      <c r="E61" s="79">
        <v>10318</v>
      </c>
      <c r="F61" s="79">
        <v>21004</v>
      </c>
      <c r="G61" s="79">
        <v>13638</v>
      </c>
      <c r="H61" s="79">
        <v>1685</v>
      </c>
      <c r="I61" s="79">
        <v>27689</v>
      </c>
      <c r="J61" s="79">
        <v>1084</v>
      </c>
      <c r="K61" s="79">
        <v>10339</v>
      </c>
      <c r="L61" s="79">
        <v>5366</v>
      </c>
    </row>
    <row r="62" spans="1:12" x14ac:dyDescent="0.35">
      <c r="A62" s="78" t="s">
        <v>518</v>
      </c>
      <c r="B62" s="79">
        <v>127992</v>
      </c>
      <c r="C62" s="79">
        <v>29042</v>
      </c>
      <c r="D62" s="79">
        <v>16407</v>
      </c>
      <c r="E62" s="79">
        <v>10735</v>
      </c>
      <c r="F62" s="79">
        <v>20107</v>
      </c>
      <c r="G62" s="79">
        <v>13743</v>
      </c>
      <c r="H62" s="79">
        <v>1728</v>
      </c>
      <c r="I62" s="79">
        <v>27964</v>
      </c>
      <c r="J62" s="79">
        <v>1178</v>
      </c>
      <c r="K62" s="79">
        <v>10570</v>
      </c>
      <c r="L62" s="79">
        <v>5441</v>
      </c>
    </row>
    <row r="63" spans="1:12" x14ac:dyDescent="0.35">
      <c r="A63" s="78" t="s">
        <v>519</v>
      </c>
      <c r="B63" s="79">
        <v>127872</v>
      </c>
      <c r="C63" s="79">
        <v>27781</v>
      </c>
      <c r="D63" s="79">
        <v>16263</v>
      </c>
      <c r="E63" s="79">
        <v>11127</v>
      </c>
      <c r="F63" s="79">
        <v>20221</v>
      </c>
      <c r="G63" s="79">
        <v>13877</v>
      </c>
      <c r="H63" s="79">
        <v>1785</v>
      </c>
      <c r="I63" s="79">
        <v>27687</v>
      </c>
      <c r="J63" s="79">
        <v>1013</v>
      </c>
      <c r="K63" s="79">
        <v>10724</v>
      </c>
      <c r="L63" s="79">
        <v>5789</v>
      </c>
    </row>
    <row r="64" spans="1:12" x14ac:dyDescent="0.35">
      <c r="A64" s="78" t="s">
        <v>520</v>
      </c>
      <c r="B64" s="79">
        <v>128880</v>
      </c>
      <c r="C64" s="79">
        <v>28244</v>
      </c>
      <c r="D64" s="79">
        <v>16489</v>
      </c>
      <c r="E64" s="79">
        <v>11269</v>
      </c>
      <c r="F64" s="79">
        <v>20580</v>
      </c>
      <c r="G64" s="79">
        <v>13785</v>
      </c>
      <c r="H64" s="79">
        <v>1869</v>
      </c>
      <c r="I64" s="79">
        <v>27221</v>
      </c>
      <c r="J64" s="79">
        <v>1032</v>
      </c>
      <c r="K64" s="79">
        <v>10978</v>
      </c>
      <c r="L64" s="79">
        <v>5816</v>
      </c>
    </row>
    <row r="65" spans="1:12" x14ac:dyDescent="0.35">
      <c r="A65" s="78" t="s">
        <v>521</v>
      </c>
      <c r="B65" s="79">
        <v>130712</v>
      </c>
      <c r="C65" s="79">
        <v>28953</v>
      </c>
      <c r="D65" s="79">
        <v>16614</v>
      </c>
      <c r="E65" s="79">
        <v>11531</v>
      </c>
      <c r="F65" s="79">
        <v>20594</v>
      </c>
      <c r="G65" s="79">
        <v>14073</v>
      </c>
      <c r="H65" s="79">
        <v>1919</v>
      </c>
      <c r="I65" s="79">
        <v>27837</v>
      </c>
      <c r="J65" s="79">
        <v>1025</v>
      </c>
      <c r="K65" s="79">
        <v>10914</v>
      </c>
      <c r="L65" s="79">
        <v>5806</v>
      </c>
    </row>
    <row r="66" spans="1:12" x14ac:dyDescent="0.35">
      <c r="A66" s="78" t="s">
        <v>522</v>
      </c>
      <c r="B66" s="79">
        <v>132045</v>
      </c>
      <c r="C66" s="79">
        <v>30118</v>
      </c>
      <c r="D66" s="79">
        <v>16843</v>
      </c>
      <c r="E66" s="79">
        <v>11543</v>
      </c>
      <c r="F66" s="79">
        <v>20663</v>
      </c>
      <c r="G66" s="79">
        <v>14249</v>
      </c>
      <c r="H66" s="79">
        <v>1917</v>
      </c>
      <c r="I66" s="79">
        <v>27314</v>
      </c>
      <c r="J66" s="79">
        <v>991</v>
      </c>
      <c r="K66" s="79">
        <v>11195</v>
      </c>
      <c r="L66" s="79">
        <v>5748</v>
      </c>
    </row>
    <row r="67" spans="1:12" x14ac:dyDescent="0.35">
      <c r="A67" s="78" t="s">
        <v>523</v>
      </c>
      <c r="B67" s="79">
        <v>133320</v>
      </c>
      <c r="C67" s="79">
        <v>29632</v>
      </c>
      <c r="D67" s="79">
        <v>17123</v>
      </c>
      <c r="E67" s="79">
        <v>11789</v>
      </c>
      <c r="F67" s="79">
        <v>20548</v>
      </c>
      <c r="G67" s="79">
        <v>14191</v>
      </c>
      <c r="H67" s="79">
        <v>1913</v>
      </c>
      <c r="I67" s="79">
        <v>28134</v>
      </c>
      <c r="J67" s="79">
        <v>1115</v>
      </c>
      <c r="K67" s="79">
        <v>11281</v>
      </c>
      <c r="L67" s="79">
        <v>5924</v>
      </c>
    </row>
    <row r="68" spans="1:12" x14ac:dyDescent="0.35">
      <c r="A68" s="78" t="s">
        <v>524</v>
      </c>
      <c r="B68" s="79">
        <v>135678</v>
      </c>
      <c r="C68" s="79">
        <v>30510</v>
      </c>
      <c r="D68" s="79">
        <v>17186</v>
      </c>
      <c r="E68" s="79">
        <v>12009</v>
      </c>
      <c r="F68" s="79">
        <v>20113</v>
      </c>
      <c r="G68" s="79">
        <v>14564</v>
      </c>
      <c r="H68" s="79">
        <v>1891</v>
      </c>
      <c r="I68" s="79">
        <v>28367</v>
      </c>
      <c r="J68" s="79">
        <v>1080</v>
      </c>
      <c r="K68" s="79">
        <v>11685</v>
      </c>
      <c r="L68" s="79">
        <v>6055</v>
      </c>
    </row>
    <row r="69" spans="1:12" x14ac:dyDescent="0.35">
      <c r="A69" s="78" t="s">
        <v>525</v>
      </c>
      <c r="B69" s="79">
        <v>136399</v>
      </c>
      <c r="C69" s="79">
        <v>30162</v>
      </c>
      <c r="D69" s="79">
        <v>17257</v>
      </c>
      <c r="E69" s="79">
        <v>12127</v>
      </c>
      <c r="F69" s="79">
        <v>20154</v>
      </c>
      <c r="G69" s="79">
        <v>14461</v>
      </c>
      <c r="H69" s="79">
        <v>1860</v>
      </c>
      <c r="I69" s="79">
        <v>28187</v>
      </c>
      <c r="J69" s="79">
        <v>1076</v>
      </c>
      <c r="K69" s="79">
        <v>12141</v>
      </c>
      <c r="L69" s="79">
        <v>6289</v>
      </c>
    </row>
    <row r="70" spans="1:12" x14ac:dyDescent="0.35">
      <c r="A70" s="78" t="s">
        <v>526</v>
      </c>
      <c r="B70" s="79">
        <v>136894</v>
      </c>
      <c r="C70" s="79">
        <v>29706</v>
      </c>
      <c r="D70" s="79">
        <v>17235</v>
      </c>
      <c r="E70" s="79">
        <v>12207</v>
      </c>
      <c r="F70" s="79">
        <v>20653</v>
      </c>
      <c r="G70" s="79">
        <v>14680</v>
      </c>
      <c r="H70" s="79">
        <v>1861</v>
      </c>
      <c r="I70" s="79">
        <v>28135</v>
      </c>
      <c r="J70" s="79">
        <v>1045</v>
      </c>
      <c r="K70" s="79">
        <v>12271</v>
      </c>
      <c r="L70" s="79">
        <v>6488</v>
      </c>
    </row>
    <row r="71" spans="1:12" x14ac:dyDescent="0.35">
      <c r="A71" s="78" t="s">
        <v>527</v>
      </c>
      <c r="B71" s="79">
        <v>138608</v>
      </c>
      <c r="C71" s="79">
        <v>30979</v>
      </c>
      <c r="D71" s="79">
        <v>16858</v>
      </c>
      <c r="E71" s="79">
        <v>12384</v>
      </c>
      <c r="F71" s="79">
        <v>21881</v>
      </c>
      <c r="G71" s="79">
        <v>14264</v>
      </c>
      <c r="H71" s="79">
        <v>1832</v>
      </c>
      <c r="I71" s="79">
        <v>27674</v>
      </c>
      <c r="J71" s="79">
        <v>1463</v>
      </c>
      <c r="K71" s="79">
        <v>12618</v>
      </c>
      <c r="L71" s="79">
        <v>6552</v>
      </c>
    </row>
    <row r="72" spans="1:12" x14ac:dyDescent="0.35">
      <c r="A72" s="78" t="s">
        <v>528</v>
      </c>
      <c r="B72" s="79">
        <v>139183</v>
      </c>
      <c r="C72" s="79">
        <v>30257</v>
      </c>
      <c r="D72" s="79">
        <v>16642</v>
      </c>
      <c r="E72" s="79">
        <v>12394</v>
      </c>
      <c r="F72" s="79">
        <v>22607</v>
      </c>
      <c r="G72" s="79">
        <v>14615</v>
      </c>
      <c r="H72" s="79">
        <v>1874</v>
      </c>
      <c r="I72" s="79">
        <v>27546</v>
      </c>
      <c r="J72" s="79">
        <v>1373</v>
      </c>
      <c r="K72" s="79">
        <v>12964</v>
      </c>
      <c r="L72" s="79">
        <v>6787</v>
      </c>
    </row>
    <row r="73" spans="1:12" x14ac:dyDescent="0.35">
      <c r="A73" s="78" t="s">
        <v>529</v>
      </c>
      <c r="B73" s="79">
        <v>139305</v>
      </c>
      <c r="C73" s="79">
        <v>30577</v>
      </c>
      <c r="D73" s="79">
        <v>16349</v>
      </c>
      <c r="E73" s="79">
        <v>12335</v>
      </c>
      <c r="F73" s="79">
        <v>22251</v>
      </c>
      <c r="G73" s="79">
        <v>14830</v>
      </c>
      <c r="H73" s="79">
        <v>1807</v>
      </c>
      <c r="I73" s="79">
        <v>27324</v>
      </c>
      <c r="J73" s="79">
        <v>1407</v>
      </c>
      <c r="K73" s="79">
        <v>13076</v>
      </c>
      <c r="L73" s="79">
        <v>6894</v>
      </c>
    </row>
    <row r="74" spans="1:12" x14ac:dyDescent="0.35">
      <c r="A74" s="78" t="s">
        <v>530</v>
      </c>
      <c r="B74" s="79">
        <v>140586</v>
      </c>
      <c r="C74" s="79">
        <v>31400</v>
      </c>
      <c r="D74" s="79">
        <v>16586</v>
      </c>
      <c r="E74" s="79">
        <v>12364</v>
      </c>
      <c r="F74" s="79">
        <v>22369</v>
      </c>
      <c r="G74" s="79">
        <v>14828</v>
      </c>
      <c r="H74" s="79">
        <v>1729</v>
      </c>
      <c r="I74" s="79">
        <v>27805</v>
      </c>
      <c r="J74" s="79">
        <v>1343</v>
      </c>
      <c r="K74" s="79">
        <v>13111</v>
      </c>
      <c r="L74" s="79">
        <v>6895</v>
      </c>
    </row>
    <row r="75" spans="1:12" x14ac:dyDescent="0.35">
      <c r="A75" s="78" t="s">
        <v>531</v>
      </c>
      <c r="B75" s="79">
        <v>140619</v>
      </c>
      <c r="C75" s="79">
        <v>31032</v>
      </c>
      <c r="D75" s="79">
        <v>16604</v>
      </c>
      <c r="E75" s="79">
        <v>12710</v>
      </c>
      <c r="F75" s="79">
        <v>21100</v>
      </c>
      <c r="G75" s="79">
        <v>14847</v>
      </c>
      <c r="H75" s="79">
        <v>1643</v>
      </c>
      <c r="I75" s="79">
        <v>27836</v>
      </c>
      <c r="J75" s="79">
        <v>1401</v>
      </c>
      <c r="K75" s="79">
        <v>13488</v>
      </c>
      <c r="L75" s="79">
        <v>6643</v>
      </c>
    </row>
    <row r="76" spans="1:12" x14ac:dyDescent="0.35">
      <c r="A76" s="78" t="s">
        <v>532</v>
      </c>
      <c r="B76" s="79">
        <v>140258</v>
      </c>
      <c r="C76" s="79">
        <v>31273</v>
      </c>
      <c r="D76" s="79">
        <v>16708</v>
      </c>
      <c r="E76" s="79">
        <v>12767</v>
      </c>
      <c r="F76" s="79">
        <v>21522</v>
      </c>
      <c r="G76" s="79">
        <v>14565</v>
      </c>
      <c r="H76" s="79">
        <v>1575</v>
      </c>
      <c r="I76" s="79">
        <v>27749</v>
      </c>
      <c r="J76" s="79">
        <v>1492</v>
      </c>
      <c r="K76" s="79">
        <v>13242</v>
      </c>
      <c r="L76" s="79">
        <v>6557</v>
      </c>
    </row>
    <row r="77" spans="1:12" x14ac:dyDescent="0.35">
      <c r="A77" s="78" t="s">
        <v>533</v>
      </c>
      <c r="B77" s="79">
        <v>141007</v>
      </c>
      <c r="C77" s="79">
        <v>30972</v>
      </c>
      <c r="D77" s="79">
        <v>17022</v>
      </c>
      <c r="E77" s="79">
        <v>12898</v>
      </c>
      <c r="F77" s="79">
        <v>20711</v>
      </c>
      <c r="G77" s="79">
        <v>14627</v>
      </c>
      <c r="H77" s="79">
        <v>1545</v>
      </c>
      <c r="I77" s="79">
        <v>27366</v>
      </c>
      <c r="J77" s="79">
        <v>1582</v>
      </c>
      <c r="K77" s="79">
        <v>13767</v>
      </c>
      <c r="L77" s="79">
        <v>6786</v>
      </c>
    </row>
    <row r="78" spans="1:12" x14ac:dyDescent="0.35">
      <c r="A78" s="78" t="s">
        <v>534</v>
      </c>
      <c r="B78" s="79">
        <v>143300</v>
      </c>
      <c r="C78" s="79">
        <v>31536</v>
      </c>
      <c r="D78" s="79">
        <v>16883</v>
      </c>
      <c r="E78" s="79">
        <v>13187</v>
      </c>
      <c r="F78" s="79">
        <v>21009</v>
      </c>
      <c r="G78" s="79">
        <v>14816</v>
      </c>
      <c r="H78" s="79">
        <v>1495</v>
      </c>
      <c r="I78" s="79">
        <v>28001</v>
      </c>
      <c r="J78" s="79">
        <v>1624</v>
      </c>
      <c r="K78" s="79">
        <v>14135</v>
      </c>
      <c r="L78" s="79">
        <v>6803</v>
      </c>
    </row>
    <row r="79" spans="1:12" x14ac:dyDescent="0.35">
      <c r="A79" s="78" t="s">
        <v>535</v>
      </c>
      <c r="B79" s="79">
        <v>142906</v>
      </c>
      <c r="C79" s="79">
        <v>31684</v>
      </c>
      <c r="D79" s="79">
        <v>16346</v>
      </c>
      <c r="E79" s="79">
        <v>13218</v>
      </c>
      <c r="F79" s="79">
        <v>21317</v>
      </c>
      <c r="G79" s="79">
        <v>15154</v>
      </c>
      <c r="H79" s="79">
        <v>1387</v>
      </c>
      <c r="I79" s="79">
        <v>27730</v>
      </c>
      <c r="J79" s="79">
        <v>1490</v>
      </c>
      <c r="K79" s="79">
        <v>14040</v>
      </c>
      <c r="L79" s="79">
        <v>6902</v>
      </c>
    </row>
    <row r="80" spans="1:12" x14ac:dyDescent="0.35">
      <c r="A80" s="78" t="s">
        <v>536</v>
      </c>
      <c r="B80" s="79">
        <v>143113</v>
      </c>
      <c r="C80" s="79">
        <v>31002</v>
      </c>
      <c r="D80" s="79">
        <v>16413</v>
      </c>
      <c r="E80" s="79">
        <v>13249</v>
      </c>
      <c r="F80" s="79">
        <v>21402</v>
      </c>
      <c r="G80" s="79">
        <v>15367</v>
      </c>
      <c r="H80" s="79">
        <v>1463</v>
      </c>
      <c r="I80" s="79">
        <v>27101</v>
      </c>
      <c r="J80" s="79">
        <v>1543</v>
      </c>
      <c r="K80" s="79">
        <v>14557</v>
      </c>
      <c r="L80" s="79">
        <v>6972</v>
      </c>
    </row>
    <row r="81" spans="1:12" x14ac:dyDescent="0.35">
      <c r="A81" s="78" t="s">
        <v>537</v>
      </c>
      <c r="B81" s="79">
        <v>144782</v>
      </c>
      <c r="C81" s="79">
        <v>31256</v>
      </c>
      <c r="D81" s="79">
        <v>16325</v>
      </c>
      <c r="E81" s="79">
        <v>13429</v>
      </c>
      <c r="F81" s="79">
        <v>21508</v>
      </c>
      <c r="G81" s="79">
        <v>15509</v>
      </c>
      <c r="H81" s="79">
        <v>1558</v>
      </c>
      <c r="I81" s="79">
        <v>27788</v>
      </c>
      <c r="J81" s="79">
        <v>1555</v>
      </c>
      <c r="K81" s="79">
        <v>14688</v>
      </c>
      <c r="L81" s="79">
        <v>7055</v>
      </c>
    </row>
    <row r="82" spans="1:12" x14ac:dyDescent="0.35">
      <c r="A82" s="78" t="s">
        <v>538</v>
      </c>
      <c r="B82" s="79">
        <v>145067</v>
      </c>
      <c r="C82" s="79">
        <v>31331</v>
      </c>
      <c r="D82" s="79">
        <v>16055</v>
      </c>
      <c r="E82" s="79">
        <v>13584</v>
      </c>
      <c r="F82" s="79">
        <v>19900</v>
      </c>
      <c r="G82" s="79">
        <v>15837</v>
      </c>
      <c r="H82" s="79">
        <v>1782</v>
      </c>
      <c r="I82" s="79">
        <v>27689</v>
      </c>
      <c r="J82" s="79">
        <v>1547</v>
      </c>
      <c r="K82" s="79">
        <v>14947</v>
      </c>
      <c r="L82" s="79">
        <v>7071</v>
      </c>
    </row>
    <row r="83" spans="1:12" x14ac:dyDescent="0.35">
      <c r="A83" s="78" t="s">
        <v>539</v>
      </c>
      <c r="B83" s="79">
        <v>145562</v>
      </c>
      <c r="C83" s="79">
        <v>31591</v>
      </c>
      <c r="D83" s="79">
        <v>15986</v>
      </c>
      <c r="E83" s="79">
        <v>13098</v>
      </c>
      <c r="F83" s="79">
        <v>18996</v>
      </c>
      <c r="G83" s="79">
        <v>16129</v>
      </c>
      <c r="H83" s="79">
        <v>2043</v>
      </c>
      <c r="I83" s="79">
        <v>28133</v>
      </c>
      <c r="J83" s="79">
        <v>1524</v>
      </c>
      <c r="K83" s="79">
        <v>15223</v>
      </c>
      <c r="L83" s="79">
        <v>7102</v>
      </c>
    </row>
    <row r="84" spans="1:12" x14ac:dyDescent="0.35">
      <c r="A84" s="78" t="s">
        <v>540</v>
      </c>
      <c r="B84" s="79">
        <v>146212</v>
      </c>
      <c r="C84" s="79">
        <v>30439</v>
      </c>
      <c r="D84" s="79">
        <v>15853</v>
      </c>
      <c r="E84" s="79">
        <v>13631</v>
      </c>
      <c r="F84" s="79">
        <v>19134</v>
      </c>
      <c r="G84" s="79">
        <v>16545</v>
      </c>
      <c r="H84" s="79">
        <v>2298</v>
      </c>
      <c r="I84" s="79">
        <v>27849</v>
      </c>
      <c r="J84" s="79">
        <v>1546</v>
      </c>
      <c r="K84" s="79">
        <v>15542</v>
      </c>
      <c r="L84" s="79">
        <v>7158</v>
      </c>
    </row>
    <row r="85" spans="1:12" x14ac:dyDescent="0.35">
      <c r="A85" s="78" t="s">
        <v>541</v>
      </c>
      <c r="B85" s="79">
        <v>151512</v>
      </c>
      <c r="C85" s="79">
        <v>31694</v>
      </c>
      <c r="D85" s="79">
        <v>16030</v>
      </c>
      <c r="E85" s="79">
        <v>14110</v>
      </c>
      <c r="F85" s="79">
        <v>21676</v>
      </c>
      <c r="G85" s="79">
        <v>16602</v>
      </c>
      <c r="H85" s="79">
        <v>2440</v>
      </c>
      <c r="I85" s="79">
        <v>29185</v>
      </c>
      <c r="J85" s="79">
        <v>1562</v>
      </c>
      <c r="K85" s="79">
        <v>15855</v>
      </c>
      <c r="L85" s="79">
        <v>7288</v>
      </c>
    </row>
    <row r="86" spans="1:12" x14ac:dyDescent="0.35">
      <c r="A86" s="78" t="s">
        <v>542</v>
      </c>
      <c r="B86" s="79">
        <v>150287</v>
      </c>
      <c r="C86" s="79">
        <v>31212</v>
      </c>
      <c r="D86" s="79">
        <v>15934</v>
      </c>
      <c r="E86" s="79">
        <v>14052</v>
      </c>
      <c r="F86" s="79">
        <v>21021</v>
      </c>
      <c r="G86" s="79">
        <v>16524</v>
      </c>
      <c r="H86" s="79">
        <v>2577</v>
      </c>
      <c r="I86" s="79">
        <v>28870</v>
      </c>
      <c r="J86" s="79">
        <v>1595</v>
      </c>
      <c r="K86" s="79">
        <v>15679</v>
      </c>
      <c r="L86" s="79">
        <v>7386</v>
      </c>
    </row>
    <row r="87" spans="1:12" x14ac:dyDescent="0.35">
      <c r="A87" s="78" t="s">
        <v>543</v>
      </c>
      <c r="B87" s="79">
        <v>150521</v>
      </c>
      <c r="C87" s="79">
        <v>31176</v>
      </c>
      <c r="D87" s="79">
        <v>16317</v>
      </c>
      <c r="E87" s="79">
        <v>14195</v>
      </c>
      <c r="F87" s="79">
        <v>19546</v>
      </c>
      <c r="G87" s="79">
        <v>15848</v>
      </c>
      <c r="H87" s="79">
        <v>2415</v>
      </c>
      <c r="I87" s="79">
        <v>29727</v>
      </c>
      <c r="J87" s="79">
        <v>1525</v>
      </c>
      <c r="K87" s="79">
        <v>16348</v>
      </c>
      <c r="L87" s="79">
        <v>7129</v>
      </c>
    </row>
    <row r="88" spans="1:12" x14ac:dyDescent="0.35">
      <c r="A88" s="78" t="s">
        <v>544</v>
      </c>
      <c r="B88" s="79">
        <v>150632</v>
      </c>
      <c r="C88" s="79">
        <v>31509</v>
      </c>
      <c r="D88" s="79">
        <v>16162</v>
      </c>
      <c r="E88" s="79">
        <v>14897</v>
      </c>
      <c r="F88" s="79">
        <v>20149</v>
      </c>
      <c r="G88" s="79">
        <v>15284</v>
      </c>
      <c r="H88" s="79">
        <v>2224</v>
      </c>
      <c r="I88" s="79">
        <v>29462</v>
      </c>
      <c r="J88" s="79">
        <v>1550</v>
      </c>
      <c r="K88" s="79">
        <v>16244</v>
      </c>
      <c r="L88" s="79">
        <v>7060</v>
      </c>
    </row>
    <row r="89" spans="1:12" x14ac:dyDescent="0.35">
      <c r="A89" s="78" t="s">
        <v>545</v>
      </c>
      <c r="B89" s="79">
        <v>145771</v>
      </c>
      <c r="C89" s="79">
        <v>30291</v>
      </c>
      <c r="D89" s="79">
        <v>16301</v>
      </c>
      <c r="E89" s="79">
        <v>14763</v>
      </c>
      <c r="F89" s="79">
        <v>19990</v>
      </c>
      <c r="G89" s="79">
        <v>14698</v>
      </c>
      <c r="H89" s="79">
        <v>2008</v>
      </c>
      <c r="I89" s="79">
        <v>26960</v>
      </c>
      <c r="J89" s="79">
        <v>1509</v>
      </c>
      <c r="K89" s="79">
        <v>16237</v>
      </c>
      <c r="L89" s="79">
        <v>6826</v>
      </c>
    </row>
    <row r="90" spans="1:12" x14ac:dyDescent="0.35">
      <c r="A90" s="78" t="s">
        <v>546</v>
      </c>
      <c r="B90" s="79">
        <v>141150</v>
      </c>
      <c r="C90" s="79">
        <v>29534</v>
      </c>
      <c r="D90" s="79">
        <v>16067</v>
      </c>
      <c r="E90" s="79">
        <v>14636</v>
      </c>
      <c r="F90" s="79">
        <v>19852</v>
      </c>
      <c r="G90" s="79">
        <v>13914</v>
      </c>
      <c r="H90" s="79">
        <v>1860</v>
      </c>
      <c r="I90" s="79">
        <v>25809</v>
      </c>
      <c r="J90" s="79">
        <v>1464</v>
      </c>
      <c r="K90" s="79">
        <v>15690</v>
      </c>
      <c r="L90" s="79">
        <v>6310</v>
      </c>
    </row>
    <row r="91" spans="1:12" x14ac:dyDescent="0.35">
      <c r="A91" s="78" t="s">
        <v>547</v>
      </c>
      <c r="B91" s="79">
        <v>141035</v>
      </c>
      <c r="C91" s="79">
        <v>29316</v>
      </c>
      <c r="D91" s="79">
        <v>15674</v>
      </c>
      <c r="E91" s="79">
        <v>15475</v>
      </c>
      <c r="F91" s="79">
        <v>19760</v>
      </c>
      <c r="G91" s="79">
        <v>13520</v>
      </c>
      <c r="H91" s="79">
        <v>1848</v>
      </c>
      <c r="I91" s="79">
        <v>25186</v>
      </c>
      <c r="J91" s="79">
        <v>1495</v>
      </c>
      <c r="K91" s="79">
        <v>15842</v>
      </c>
      <c r="L91" s="79">
        <v>6548</v>
      </c>
    </row>
    <row r="92" spans="1:12" x14ac:dyDescent="0.35">
      <c r="A92" s="78" t="s">
        <v>548</v>
      </c>
      <c r="B92" s="79">
        <v>141342</v>
      </c>
      <c r="C92" s="79">
        <v>29989</v>
      </c>
      <c r="D92" s="79">
        <v>15917</v>
      </c>
      <c r="E92" s="79">
        <v>15195</v>
      </c>
      <c r="F92" s="79">
        <v>18143</v>
      </c>
      <c r="G92" s="79">
        <v>13356</v>
      </c>
      <c r="H92" s="79">
        <v>1864</v>
      </c>
      <c r="I92" s="79">
        <v>26447</v>
      </c>
      <c r="J92" s="79">
        <v>1455</v>
      </c>
      <c r="K92" s="79">
        <v>15672</v>
      </c>
      <c r="L92" s="79">
        <v>6509</v>
      </c>
    </row>
    <row r="93" spans="1:12" x14ac:dyDescent="0.35">
      <c r="A93" s="78" t="s">
        <v>549</v>
      </c>
      <c r="B93" s="79">
        <v>142473</v>
      </c>
      <c r="C93" s="79">
        <v>29936</v>
      </c>
      <c r="D93" s="79">
        <v>15849</v>
      </c>
      <c r="E93" s="79">
        <v>15068</v>
      </c>
      <c r="F93" s="79">
        <v>18454</v>
      </c>
      <c r="G93" s="79">
        <v>13702</v>
      </c>
      <c r="H93" s="79">
        <v>1853</v>
      </c>
      <c r="I93" s="79">
        <v>27072</v>
      </c>
      <c r="J93" s="79">
        <v>1532</v>
      </c>
      <c r="K93" s="79">
        <v>15821</v>
      </c>
      <c r="L93" s="79">
        <v>6482</v>
      </c>
    </row>
    <row r="94" spans="1:12" x14ac:dyDescent="0.35">
      <c r="A94" s="78" t="s">
        <v>550</v>
      </c>
      <c r="B94" s="79">
        <v>143970</v>
      </c>
      <c r="C94" s="79">
        <v>30001</v>
      </c>
      <c r="D94" s="79">
        <v>15834</v>
      </c>
      <c r="E94" s="79">
        <v>15047</v>
      </c>
      <c r="F94" s="79">
        <v>18585</v>
      </c>
      <c r="G94" s="79">
        <v>14001</v>
      </c>
      <c r="H94" s="79">
        <v>1947</v>
      </c>
      <c r="I94" s="79">
        <v>27623</v>
      </c>
      <c r="J94" s="79">
        <v>1361</v>
      </c>
      <c r="K94" s="79">
        <v>16162</v>
      </c>
      <c r="L94" s="79">
        <v>6608</v>
      </c>
    </row>
    <row r="95" spans="1:12" x14ac:dyDescent="0.35">
      <c r="A95" s="78" t="s">
        <v>551</v>
      </c>
      <c r="B95" s="79">
        <v>142342</v>
      </c>
      <c r="C95" s="79">
        <v>28741</v>
      </c>
      <c r="D95" s="79">
        <v>15250</v>
      </c>
      <c r="E95" s="79">
        <v>15211</v>
      </c>
      <c r="F95" s="79">
        <v>20215</v>
      </c>
      <c r="G95" s="79">
        <v>13933</v>
      </c>
      <c r="H95" s="79">
        <v>2161</v>
      </c>
      <c r="I95" s="79">
        <v>26391</v>
      </c>
      <c r="J95" s="79">
        <v>1269</v>
      </c>
      <c r="K95" s="79">
        <v>15984</v>
      </c>
      <c r="L95" s="79">
        <v>6767</v>
      </c>
    </row>
    <row r="96" spans="1:12" x14ac:dyDescent="0.35">
      <c r="A96" s="78" t="s">
        <v>552</v>
      </c>
      <c r="B96" s="79">
        <v>145464</v>
      </c>
      <c r="C96" s="79">
        <v>30572</v>
      </c>
      <c r="D96" s="79">
        <v>15617</v>
      </c>
      <c r="E96" s="79">
        <v>15282</v>
      </c>
      <c r="F96" s="79">
        <v>19469</v>
      </c>
      <c r="G96" s="79">
        <v>14412</v>
      </c>
      <c r="H96" s="79">
        <v>2415</v>
      </c>
      <c r="I96" s="79">
        <v>25556</v>
      </c>
      <c r="J96" s="79">
        <v>1344</v>
      </c>
      <c r="K96" s="79">
        <v>16721</v>
      </c>
      <c r="L96" s="79">
        <v>7142</v>
      </c>
    </row>
    <row r="97" spans="1:12" x14ac:dyDescent="0.35">
      <c r="A97" s="78" t="s">
        <v>553</v>
      </c>
      <c r="B97" s="79">
        <v>144524</v>
      </c>
      <c r="C97" s="79">
        <v>29979</v>
      </c>
      <c r="D97" s="79">
        <v>15237</v>
      </c>
      <c r="E97" s="79">
        <v>15369</v>
      </c>
      <c r="F97" s="79">
        <v>18572</v>
      </c>
      <c r="G97" s="79">
        <v>14488</v>
      </c>
      <c r="H97" s="79">
        <v>2451</v>
      </c>
      <c r="I97" s="79">
        <v>24678</v>
      </c>
      <c r="J97" s="79">
        <v>1439</v>
      </c>
      <c r="K97" s="79">
        <v>17293</v>
      </c>
      <c r="L97" s="79">
        <v>7447</v>
      </c>
    </row>
    <row r="98" spans="1:12" x14ac:dyDescent="0.35">
      <c r="A98" s="78" t="s">
        <v>554</v>
      </c>
      <c r="B98" s="79">
        <v>145140</v>
      </c>
      <c r="C98" s="79">
        <v>29133</v>
      </c>
      <c r="D98" s="79">
        <v>15279</v>
      </c>
      <c r="E98" s="79">
        <v>15229</v>
      </c>
      <c r="F98" s="79">
        <v>21894</v>
      </c>
      <c r="G98" s="79">
        <v>14359</v>
      </c>
      <c r="H98" s="79">
        <v>2372</v>
      </c>
      <c r="I98" s="79">
        <v>24416</v>
      </c>
      <c r="J98" s="79">
        <v>1471</v>
      </c>
      <c r="K98" s="79">
        <v>17307</v>
      </c>
      <c r="L98" s="79">
        <v>7359</v>
      </c>
    </row>
    <row r="99" spans="1:12" x14ac:dyDescent="0.35">
      <c r="A99" s="78" t="s">
        <v>555</v>
      </c>
      <c r="B99" s="79">
        <v>142342</v>
      </c>
      <c r="C99" s="79">
        <v>30004</v>
      </c>
      <c r="D99" s="79">
        <v>14905</v>
      </c>
      <c r="E99" s="79">
        <v>15274</v>
      </c>
      <c r="F99" s="79">
        <v>18661</v>
      </c>
      <c r="G99" s="79">
        <v>13859</v>
      </c>
      <c r="H99" s="79">
        <v>2224</v>
      </c>
      <c r="I99" s="79">
        <v>24235</v>
      </c>
      <c r="J99" s="79">
        <v>1584</v>
      </c>
      <c r="K99" s="79">
        <v>17116</v>
      </c>
      <c r="L99" s="79">
        <v>7050</v>
      </c>
    </row>
    <row r="100" spans="1:12" x14ac:dyDescent="0.35">
      <c r="A100" s="78" t="s">
        <v>556</v>
      </c>
      <c r="B100" s="79">
        <v>140726</v>
      </c>
      <c r="C100" s="79">
        <v>29305</v>
      </c>
      <c r="D100" s="79">
        <v>15016</v>
      </c>
      <c r="E100" s="79">
        <v>15726</v>
      </c>
      <c r="F100" s="79">
        <v>17396</v>
      </c>
      <c r="G100" s="79">
        <v>13572</v>
      </c>
      <c r="H100" s="79">
        <v>2105</v>
      </c>
      <c r="I100" s="79">
        <v>24359</v>
      </c>
      <c r="J100" s="79">
        <v>1527</v>
      </c>
      <c r="K100" s="79">
        <v>16738</v>
      </c>
      <c r="L100" s="79">
        <v>7128</v>
      </c>
    </row>
    <row r="101" spans="1:12" x14ac:dyDescent="0.35">
      <c r="A101" s="78" t="s">
        <v>557</v>
      </c>
      <c r="B101" s="79">
        <v>141862</v>
      </c>
      <c r="C101" s="79">
        <v>29686</v>
      </c>
      <c r="D101" s="79">
        <v>14865</v>
      </c>
      <c r="E101" s="79">
        <v>15562</v>
      </c>
      <c r="F101" s="79">
        <v>19247</v>
      </c>
      <c r="G101" s="79">
        <v>13458</v>
      </c>
      <c r="H101" s="79">
        <v>2109</v>
      </c>
      <c r="I101" s="79">
        <v>24289</v>
      </c>
      <c r="J101" s="79">
        <v>1464</v>
      </c>
      <c r="K101" s="79">
        <v>16917</v>
      </c>
      <c r="L101" s="79">
        <v>7125</v>
      </c>
    </row>
    <row r="102" spans="1:12" x14ac:dyDescent="0.35">
      <c r="A102" s="78" t="s">
        <v>558</v>
      </c>
      <c r="B102" s="79">
        <v>141211</v>
      </c>
      <c r="C102" s="79">
        <v>29813</v>
      </c>
      <c r="D102" s="79">
        <v>14786</v>
      </c>
      <c r="E102" s="79">
        <v>15747</v>
      </c>
      <c r="F102" s="79">
        <v>17026</v>
      </c>
      <c r="G102" s="79">
        <v>13196</v>
      </c>
      <c r="H102" s="79">
        <v>2281</v>
      </c>
      <c r="I102" s="79">
        <v>24760</v>
      </c>
      <c r="J102" s="79">
        <v>1590</v>
      </c>
      <c r="K102" s="79">
        <v>16832</v>
      </c>
      <c r="L102" s="79">
        <v>7128</v>
      </c>
    </row>
    <row r="103" spans="1:12" x14ac:dyDescent="0.35">
      <c r="A103" s="78" t="s">
        <v>559</v>
      </c>
      <c r="B103" s="79">
        <v>141327</v>
      </c>
      <c r="C103" s="79">
        <v>29593</v>
      </c>
      <c r="D103" s="79">
        <v>14497</v>
      </c>
      <c r="E103" s="79">
        <v>15876</v>
      </c>
      <c r="F103" s="79">
        <v>17253</v>
      </c>
      <c r="G103" s="79">
        <v>13445</v>
      </c>
      <c r="H103" s="79">
        <v>2539</v>
      </c>
      <c r="I103" s="79">
        <v>24900</v>
      </c>
      <c r="J103" s="79">
        <v>1704</v>
      </c>
      <c r="K103" s="79">
        <v>16236</v>
      </c>
      <c r="L103" s="79">
        <v>7313</v>
      </c>
    </row>
    <row r="104" spans="1:12" x14ac:dyDescent="0.35">
      <c r="A104" s="78" t="s">
        <v>560</v>
      </c>
      <c r="B104" s="79">
        <v>142052</v>
      </c>
      <c r="C104" s="79">
        <v>29243</v>
      </c>
      <c r="D104" s="79">
        <v>14210</v>
      </c>
      <c r="E104" s="79">
        <v>15853</v>
      </c>
      <c r="F104" s="79">
        <v>19945</v>
      </c>
      <c r="G104" s="79">
        <v>13661</v>
      </c>
      <c r="H104" s="79">
        <v>2918</v>
      </c>
      <c r="I104" s="79">
        <v>24268</v>
      </c>
      <c r="J104" s="79">
        <v>1776</v>
      </c>
      <c r="K104" s="79">
        <v>15984</v>
      </c>
      <c r="L104" s="79">
        <v>7231</v>
      </c>
    </row>
    <row r="105" spans="1:12" x14ac:dyDescent="0.35">
      <c r="A105" s="78" t="s">
        <v>561</v>
      </c>
      <c r="B105" s="79">
        <v>143210</v>
      </c>
      <c r="C105" s="79">
        <v>29466</v>
      </c>
      <c r="D105" s="79">
        <v>14346</v>
      </c>
      <c r="E105" s="79">
        <v>16045</v>
      </c>
      <c r="F105" s="79">
        <v>18582</v>
      </c>
      <c r="G105" s="79">
        <v>13464</v>
      </c>
      <c r="H105" s="79">
        <v>3142</v>
      </c>
      <c r="I105" s="79">
        <v>24992</v>
      </c>
      <c r="J105" s="79">
        <v>1851</v>
      </c>
      <c r="K105" s="79">
        <v>16492</v>
      </c>
      <c r="L105" s="79">
        <v>7218</v>
      </c>
    </row>
    <row r="106" spans="1:12" x14ac:dyDescent="0.35">
      <c r="A106" s="78" t="s">
        <v>562</v>
      </c>
      <c r="B106" s="79">
        <v>148137</v>
      </c>
      <c r="C106" s="79">
        <v>30811</v>
      </c>
      <c r="D106" s="79">
        <v>14577</v>
      </c>
      <c r="E106" s="79">
        <v>16475</v>
      </c>
      <c r="F106" s="79">
        <v>19670</v>
      </c>
      <c r="G106" s="79">
        <v>13540</v>
      </c>
      <c r="H106" s="79">
        <v>3228</v>
      </c>
      <c r="I106" s="79">
        <v>26243</v>
      </c>
      <c r="J106" s="79">
        <v>1797</v>
      </c>
      <c r="K106" s="79">
        <v>17083</v>
      </c>
      <c r="L106" s="79">
        <v>7346</v>
      </c>
    </row>
    <row r="107" spans="1:12" x14ac:dyDescent="0.35">
      <c r="A107" s="78" t="s">
        <v>563</v>
      </c>
      <c r="B107" s="79">
        <v>146385</v>
      </c>
      <c r="C107" s="79">
        <v>29617</v>
      </c>
      <c r="D107" s="79">
        <v>14763</v>
      </c>
      <c r="E107" s="79">
        <v>16721</v>
      </c>
      <c r="F107" s="79">
        <v>20221</v>
      </c>
      <c r="G107" s="79">
        <v>13502</v>
      </c>
      <c r="H107" s="79">
        <v>2886</v>
      </c>
      <c r="I107" s="79">
        <v>25992</v>
      </c>
      <c r="J107" s="79">
        <v>1730</v>
      </c>
      <c r="K107" s="79">
        <v>16469</v>
      </c>
      <c r="L107" s="79">
        <v>7384</v>
      </c>
    </row>
    <row r="108" spans="1:12" x14ac:dyDescent="0.35">
      <c r="A108" s="78" t="s">
        <v>564</v>
      </c>
      <c r="B108" s="79">
        <v>146667</v>
      </c>
      <c r="C108" s="79">
        <v>29740</v>
      </c>
      <c r="D108" s="79">
        <v>14020</v>
      </c>
      <c r="E108" s="79">
        <v>16531</v>
      </c>
      <c r="F108" s="79">
        <v>19725</v>
      </c>
      <c r="G108" s="79">
        <v>13706</v>
      </c>
      <c r="H108" s="79">
        <v>2840</v>
      </c>
      <c r="I108" s="79">
        <v>26558</v>
      </c>
      <c r="J108" s="79">
        <v>1774</v>
      </c>
      <c r="K108" s="79">
        <v>16917</v>
      </c>
      <c r="L108" s="79">
        <v>7481</v>
      </c>
    </row>
    <row r="109" spans="1:12" x14ac:dyDescent="0.35">
      <c r="A109" s="78" t="s">
        <v>565</v>
      </c>
      <c r="B109" s="79">
        <v>147988</v>
      </c>
      <c r="C109" s="79">
        <v>30369</v>
      </c>
      <c r="D109" s="79">
        <v>14432</v>
      </c>
      <c r="E109" s="79">
        <v>16886</v>
      </c>
      <c r="F109" s="79">
        <v>16979</v>
      </c>
      <c r="G109" s="79">
        <v>13656</v>
      </c>
      <c r="H109" s="79">
        <v>2930</v>
      </c>
      <c r="I109" s="79">
        <v>27660</v>
      </c>
      <c r="J109" s="79">
        <v>1749</v>
      </c>
      <c r="K109" s="79">
        <v>17174</v>
      </c>
      <c r="L109" s="79">
        <v>7755</v>
      </c>
    </row>
    <row r="110" spans="1:12" x14ac:dyDescent="0.35">
      <c r="A110" s="78" t="s">
        <v>566</v>
      </c>
      <c r="B110" s="79">
        <v>147924</v>
      </c>
      <c r="C110" s="79">
        <v>29923</v>
      </c>
      <c r="D110" s="79">
        <v>14067</v>
      </c>
      <c r="E110" s="79">
        <v>16959</v>
      </c>
      <c r="F110" s="79">
        <v>17842</v>
      </c>
      <c r="G110" s="79">
        <v>13500</v>
      </c>
      <c r="H110" s="79">
        <v>3003</v>
      </c>
      <c r="I110" s="79">
        <v>27627</v>
      </c>
      <c r="J110" s="79">
        <v>1822</v>
      </c>
      <c r="K110" s="79">
        <v>17128</v>
      </c>
      <c r="L110" s="79">
        <v>7905</v>
      </c>
    </row>
    <row r="111" spans="1:12" x14ac:dyDescent="0.35">
      <c r="A111" s="78" t="s">
        <v>567</v>
      </c>
      <c r="B111" s="79">
        <v>146177</v>
      </c>
      <c r="C111" s="79">
        <v>30135</v>
      </c>
      <c r="D111" s="79">
        <v>13972</v>
      </c>
      <c r="E111" s="79">
        <v>16874</v>
      </c>
      <c r="F111" s="79">
        <v>16723</v>
      </c>
      <c r="G111" s="79">
        <v>13769</v>
      </c>
      <c r="H111" s="79">
        <v>3022</v>
      </c>
      <c r="I111" s="79">
        <v>27246</v>
      </c>
      <c r="J111" s="79">
        <v>1350</v>
      </c>
      <c r="K111" s="79">
        <v>16632</v>
      </c>
      <c r="L111" s="79">
        <v>8019</v>
      </c>
    </row>
    <row r="112" spans="1:12" x14ac:dyDescent="0.35">
      <c r="A112" s="78" t="s">
        <v>568</v>
      </c>
      <c r="B112" s="79">
        <v>147321</v>
      </c>
      <c r="C112" s="79">
        <v>30053</v>
      </c>
      <c r="D112" s="79">
        <v>13445</v>
      </c>
      <c r="E112" s="79">
        <v>17239</v>
      </c>
      <c r="F112" s="79">
        <v>16213</v>
      </c>
      <c r="G112" s="79">
        <v>13956</v>
      </c>
      <c r="H112" s="79">
        <v>3090</v>
      </c>
      <c r="I112" s="79">
        <v>28274</v>
      </c>
      <c r="J112" s="79">
        <v>1292</v>
      </c>
      <c r="K112" s="79">
        <v>16736</v>
      </c>
      <c r="L112" s="79">
        <v>8331</v>
      </c>
    </row>
    <row r="113" spans="1:12" x14ac:dyDescent="0.35">
      <c r="A113" s="78" t="s">
        <v>569</v>
      </c>
      <c r="B113" s="79">
        <v>149414</v>
      </c>
      <c r="C113" s="79">
        <v>30404</v>
      </c>
      <c r="D113" s="79">
        <v>13577</v>
      </c>
      <c r="E113" s="79">
        <v>17301</v>
      </c>
      <c r="F113" s="79">
        <v>16509</v>
      </c>
      <c r="G113" s="79">
        <v>14303</v>
      </c>
      <c r="H113" s="79">
        <v>3038</v>
      </c>
      <c r="I113" s="79">
        <v>28864</v>
      </c>
      <c r="J113" s="79">
        <v>1283</v>
      </c>
      <c r="K113" s="79">
        <v>17068</v>
      </c>
      <c r="L113" s="79">
        <v>8431</v>
      </c>
    </row>
    <row r="114" spans="1:12" x14ac:dyDescent="0.35">
      <c r="A114" s="78" t="s">
        <v>570</v>
      </c>
      <c r="B114" s="79">
        <v>152028</v>
      </c>
      <c r="C114" s="79">
        <v>30712</v>
      </c>
      <c r="D114" s="79">
        <v>13423</v>
      </c>
      <c r="E114" s="79">
        <v>17596</v>
      </c>
      <c r="F114" s="79">
        <v>16389</v>
      </c>
      <c r="G114" s="79">
        <v>14556</v>
      </c>
      <c r="H114" s="79">
        <v>3052</v>
      </c>
      <c r="I114" s="79">
        <v>29705</v>
      </c>
      <c r="J114" s="79">
        <v>1281</v>
      </c>
      <c r="K114" s="79">
        <v>17612</v>
      </c>
      <c r="L114" s="79">
        <v>8893</v>
      </c>
    </row>
    <row r="115" spans="1:12" x14ac:dyDescent="0.35">
      <c r="A115" s="78" t="s">
        <v>571</v>
      </c>
      <c r="B115" s="79">
        <v>152774</v>
      </c>
      <c r="C115" s="79">
        <v>30506</v>
      </c>
      <c r="D115" s="79">
        <v>13343</v>
      </c>
      <c r="E115" s="79">
        <v>17657</v>
      </c>
      <c r="F115" s="79">
        <v>17524</v>
      </c>
      <c r="G115" s="79">
        <v>14975</v>
      </c>
      <c r="H115" s="79">
        <v>3194</v>
      </c>
      <c r="I115" s="79">
        <v>28748</v>
      </c>
      <c r="J115" s="79">
        <v>1315</v>
      </c>
      <c r="K115" s="79">
        <v>17626</v>
      </c>
      <c r="L115" s="79">
        <v>9342</v>
      </c>
    </row>
    <row r="116" spans="1:12" x14ac:dyDescent="0.35">
      <c r="A116" s="78" t="s">
        <v>572</v>
      </c>
      <c r="B116" s="79">
        <v>153958</v>
      </c>
      <c r="C116" s="79">
        <v>30594</v>
      </c>
      <c r="D116" s="79">
        <v>13045</v>
      </c>
      <c r="E116" s="79">
        <v>18088</v>
      </c>
      <c r="F116" s="79">
        <v>17403</v>
      </c>
      <c r="G116" s="79">
        <v>15248</v>
      </c>
      <c r="H116" s="79">
        <v>3018</v>
      </c>
      <c r="I116" s="79">
        <v>28817</v>
      </c>
      <c r="J116" s="79">
        <v>1338</v>
      </c>
      <c r="K116" s="79">
        <v>18339</v>
      </c>
      <c r="L116" s="79">
        <v>9395</v>
      </c>
    </row>
    <row r="117" spans="1:12" x14ac:dyDescent="0.35">
      <c r="A117" s="78" t="s">
        <v>573</v>
      </c>
      <c r="B117" s="79">
        <v>156558</v>
      </c>
      <c r="C117" s="79">
        <v>30990</v>
      </c>
      <c r="D117" s="79">
        <v>13029</v>
      </c>
      <c r="E117" s="79">
        <v>18222</v>
      </c>
      <c r="F117" s="79">
        <v>18335</v>
      </c>
      <c r="G117" s="79">
        <v>15580</v>
      </c>
      <c r="H117" s="79">
        <v>3006</v>
      </c>
      <c r="I117" s="79">
        <v>29658</v>
      </c>
      <c r="J117" s="79">
        <v>1480</v>
      </c>
      <c r="K117" s="79">
        <v>18369</v>
      </c>
      <c r="L117" s="79">
        <v>9470</v>
      </c>
    </row>
    <row r="118" spans="1:12" x14ac:dyDescent="0.35">
      <c r="A118" s="78" t="s">
        <v>574</v>
      </c>
      <c r="B118" s="79">
        <v>155219</v>
      </c>
      <c r="C118" s="79">
        <v>30935</v>
      </c>
      <c r="D118" s="79">
        <v>12946</v>
      </c>
      <c r="E118" s="79">
        <v>18357</v>
      </c>
      <c r="F118" s="79">
        <v>15724</v>
      </c>
      <c r="G118" s="79">
        <v>15938</v>
      </c>
      <c r="H118" s="79">
        <v>3089</v>
      </c>
      <c r="I118" s="79">
        <v>29766</v>
      </c>
      <c r="J118" s="79">
        <v>1439</v>
      </c>
      <c r="K118" s="79">
        <v>18208</v>
      </c>
      <c r="L118" s="79">
        <v>9619</v>
      </c>
    </row>
    <row r="119" spans="1:12" x14ac:dyDescent="0.35">
      <c r="A119" s="78" t="s">
        <v>575</v>
      </c>
      <c r="B119" s="79">
        <v>159766</v>
      </c>
      <c r="C119" s="79">
        <v>32065</v>
      </c>
      <c r="D119" s="79">
        <v>12731</v>
      </c>
      <c r="E119" s="79">
        <v>18168</v>
      </c>
      <c r="F119" s="79">
        <v>18076</v>
      </c>
      <c r="G119" s="79">
        <v>15617</v>
      </c>
      <c r="H119" s="79">
        <v>3096</v>
      </c>
      <c r="I119" s="79">
        <v>31097</v>
      </c>
      <c r="J119" s="79">
        <v>2209</v>
      </c>
      <c r="K119" s="79">
        <v>18261</v>
      </c>
      <c r="L119" s="79">
        <v>9969</v>
      </c>
    </row>
    <row r="120" spans="1:12" x14ac:dyDescent="0.35">
      <c r="A120" s="78" t="s">
        <v>576</v>
      </c>
      <c r="B120" s="79">
        <v>160934</v>
      </c>
      <c r="C120" s="79">
        <v>32795</v>
      </c>
      <c r="D120" s="79">
        <v>12713</v>
      </c>
      <c r="E120" s="79">
        <v>18312</v>
      </c>
      <c r="F120" s="79">
        <v>18908</v>
      </c>
      <c r="G120" s="79">
        <v>15700</v>
      </c>
      <c r="H120" s="79">
        <v>3036</v>
      </c>
      <c r="I120" s="79">
        <v>30744</v>
      </c>
      <c r="J120" s="79">
        <v>2364</v>
      </c>
      <c r="K120" s="79">
        <v>18288</v>
      </c>
      <c r="L120" s="79">
        <v>9835</v>
      </c>
    </row>
    <row r="121" spans="1:12" x14ac:dyDescent="0.35">
      <c r="A121" s="78" t="s">
        <v>577</v>
      </c>
      <c r="B121" s="79">
        <v>162139</v>
      </c>
      <c r="C121" s="79">
        <v>33551</v>
      </c>
      <c r="D121" s="79">
        <v>12563</v>
      </c>
      <c r="E121" s="79">
        <v>18547</v>
      </c>
      <c r="F121" s="79">
        <v>17269</v>
      </c>
      <c r="G121" s="79">
        <v>16362</v>
      </c>
      <c r="H121" s="79">
        <v>3090</v>
      </c>
      <c r="I121" s="79">
        <v>31479</v>
      </c>
      <c r="J121" s="79">
        <v>2263</v>
      </c>
      <c r="K121" s="79">
        <v>18399</v>
      </c>
      <c r="L121" s="79">
        <v>9867</v>
      </c>
    </row>
    <row r="122" spans="1:12" x14ac:dyDescent="0.35">
      <c r="A122" s="78" t="s">
        <v>578</v>
      </c>
      <c r="B122" s="79">
        <v>163449</v>
      </c>
      <c r="C122" s="79">
        <v>33545</v>
      </c>
      <c r="D122" s="79">
        <v>12539</v>
      </c>
      <c r="E122" s="79">
        <v>18610</v>
      </c>
      <c r="F122" s="79">
        <v>17937</v>
      </c>
      <c r="G122" s="79">
        <v>16470</v>
      </c>
      <c r="H122" s="79">
        <v>3203</v>
      </c>
      <c r="I122" s="79">
        <v>30772</v>
      </c>
      <c r="J122" s="79">
        <v>2365</v>
      </c>
      <c r="K122" s="79">
        <v>19508</v>
      </c>
      <c r="L122" s="79">
        <v>9795</v>
      </c>
    </row>
    <row r="123" spans="1:12" x14ac:dyDescent="0.35">
      <c r="A123" s="78" t="s">
        <v>579</v>
      </c>
      <c r="B123" s="79">
        <v>164445</v>
      </c>
      <c r="C123" s="79">
        <v>33544</v>
      </c>
      <c r="D123" s="79">
        <v>12765</v>
      </c>
      <c r="E123" s="79">
        <v>18756</v>
      </c>
      <c r="F123" s="79">
        <v>16689</v>
      </c>
      <c r="G123" s="79">
        <v>16959</v>
      </c>
      <c r="H123" s="79">
        <v>3242</v>
      </c>
      <c r="I123" s="79">
        <v>31265</v>
      </c>
      <c r="J123" s="79">
        <v>1925</v>
      </c>
      <c r="K123" s="79">
        <v>19929</v>
      </c>
      <c r="L123" s="79">
        <v>10202</v>
      </c>
    </row>
    <row r="124" spans="1:12" x14ac:dyDescent="0.35">
      <c r="A124" s="78" t="s">
        <v>580</v>
      </c>
      <c r="B124" s="79">
        <v>163490</v>
      </c>
      <c r="C124" s="79">
        <v>34220</v>
      </c>
      <c r="D124" s="79">
        <v>12872</v>
      </c>
      <c r="E124" s="79">
        <v>18549</v>
      </c>
      <c r="F124" s="79">
        <v>16575</v>
      </c>
      <c r="G124" s="79">
        <v>16991</v>
      </c>
      <c r="H124" s="79">
        <v>3337</v>
      </c>
      <c r="I124" s="79">
        <v>29017</v>
      </c>
      <c r="J124" s="79">
        <v>2005</v>
      </c>
      <c r="K124" s="79">
        <v>20555</v>
      </c>
      <c r="L124" s="79">
        <v>10066</v>
      </c>
    </row>
    <row r="125" spans="1:12" x14ac:dyDescent="0.35">
      <c r="A125" s="78" t="s">
        <v>581</v>
      </c>
      <c r="B125" s="79">
        <v>166248</v>
      </c>
      <c r="C125" s="79">
        <v>33690</v>
      </c>
      <c r="D125" s="79">
        <v>12921</v>
      </c>
      <c r="E125" s="79">
        <v>18656</v>
      </c>
      <c r="F125" s="79">
        <v>17996</v>
      </c>
      <c r="G125" s="79">
        <v>16999</v>
      </c>
      <c r="H125" s="79">
        <v>3334</v>
      </c>
      <c r="I125" s="79">
        <v>30404</v>
      </c>
      <c r="J125" s="79">
        <v>2006</v>
      </c>
      <c r="K125" s="79">
        <v>21027</v>
      </c>
      <c r="L125" s="79">
        <v>10307</v>
      </c>
    </row>
    <row r="126" spans="1:12" x14ac:dyDescent="0.35">
      <c r="A126" s="78" t="s">
        <v>582</v>
      </c>
      <c r="B126" s="79">
        <v>166513</v>
      </c>
      <c r="C126" s="79">
        <v>34063</v>
      </c>
      <c r="D126" s="79">
        <v>12968</v>
      </c>
      <c r="E126" s="79">
        <v>18661</v>
      </c>
      <c r="F126" s="79">
        <v>17245</v>
      </c>
      <c r="G126" s="79">
        <v>17268</v>
      </c>
      <c r="H126" s="79">
        <v>3457</v>
      </c>
      <c r="I126" s="79">
        <v>30446</v>
      </c>
      <c r="J126" s="79">
        <v>2044</v>
      </c>
      <c r="K126" s="79">
        <v>20890</v>
      </c>
      <c r="L126" s="79">
        <v>10323</v>
      </c>
    </row>
    <row r="127" spans="1:12" x14ac:dyDescent="0.35">
      <c r="A127" s="78" t="s">
        <v>583</v>
      </c>
      <c r="B127" s="79">
        <v>167107</v>
      </c>
      <c r="C127" s="79">
        <v>34245</v>
      </c>
      <c r="D127" s="79">
        <v>12854</v>
      </c>
      <c r="E127" s="79">
        <v>18639</v>
      </c>
      <c r="F127" s="79">
        <v>18474</v>
      </c>
      <c r="G127" s="79">
        <v>17828</v>
      </c>
      <c r="H127" s="79">
        <v>3286</v>
      </c>
      <c r="I127" s="79">
        <v>29670</v>
      </c>
      <c r="J127" s="79">
        <v>2124</v>
      </c>
      <c r="K127" s="79">
        <v>20768</v>
      </c>
      <c r="L127" s="79">
        <v>10445</v>
      </c>
    </row>
    <row r="128" spans="1:12" x14ac:dyDescent="0.35">
      <c r="A128" s="78" t="s">
        <v>584</v>
      </c>
      <c r="B128" s="79">
        <v>165108</v>
      </c>
      <c r="C128" s="79">
        <v>34268</v>
      </c>
      <c r="D128" s="79">
        <v>13031</v>
      </c>
      <c r="E128" s="79">
        <v>18654</v>
      </c>
      <c r="F128" s="79">
        <v>16853</v>
      </c>
      <c r="G128" s="79">
        <v>17183</v>
      </c>
      <c r="H128" s="79">
        <v>3391</v>
      </c>
      <c r="I128" s="79">
        <v>30425</v>
      </c>
      <c r="J128" s="79">
        <v>1945</v>
      </c>
      <c r="K128" s="79">
        <v>19683</v>
      </c>
      <c r="L128" s="79">
        <v>10515</v>
      </c>
    </row>
    <row r="129" spans="1:12" x14ac:dyDescent="0.35">
      <c r="A129" s="78" t="s">
        <v>585</v>
      </c>
      <c r="B129" s="79">
        <v>166910</v>
      </c>
      <c r="C129" s="79">
        <v>35172</v>
      </c>
      <c r="D129" s="79">
        <v>13022</v>
      </c>
      <c r="E129" s="79">
        <v>18975</v>
      </c>
      <c r="F129" s="79">
        <v>17092</v>
      </c>
      <c r="G129" s="79">
        <v>17499</v>
      </c>
      <c r="H129" s="79">
        <v>3330</v>
      </c>
      <c r="I129" s="79">
        <v>30021</v>
      </c>
      <c r="J129" s="79">
        <v>1891</v>
      </c>
      <c r="K129" s="79">
        <v>20103</v>
      </c>
      <c r="L129" s="79">
        <v>10654</v>
      </c>
    </row>
    <row r="130" spans="1:12" x14ac:dyDescent="0.35">
      <c r="A130" s="78" t="s">
        <v>586</v>
      </c>
      <c r="B130" s="79">
        <v>170061</v>
      </c>
      <c r="C130" s="79">
        <v>35591</v>
      </c>
      <c r="D130" s="79">
        <v>12797</v>
      </c>
      <c r="E130" s="79">
        <v>19087</v>
      </c>
      <c r="F130" s="79">
        <v>17248</v>
      </c>
      <c r="G130" s="79">
        <v>18139</v>
      </c>
      <c r="H130" s="79">
        <v>3423</v>
      </c>
      <c r="I130" s="79">
        <v>30264</v>
      </c>
      <c r="J130" s="79">
        <v>1949</v>
      </c>
      <c r="K130" s="79">
        <v>21353</v>
      </c>
      <c r="L130" s="79">
        <v>10967</v>
      </c>
    </row>
    <row r="131" spans="1:12" x14ac:dyDescent="0.35">
      <c r="A131" s="78" t="s">
        <v>587</v>
      </c>
      <c r="B131" s="79">
        <v>168801</v>
      </c>
      <c r="C131" s="79">
        <v>34983</v>
      </c>
      <c r="D131" s="79">
        <v>12627</v>
      </c>
      <c r="E131" s="79">
        <v>19520</v>
      </c>
      <c r="F131" s="79">
        <v>16715</v>
      </c>
      <c r="G131" s="79">
        <v>17935</v>
      </c>
      <c r="H131" s="79">
        <v>3557</v>
      </c>
      <c r="I131" s="79">
        <v>30534</v>
      </c>
      <c r="J131" s="79">
        <v>1818</v>
      </c>
      <c r="K131" s="79">
        <v>21038</v>
      </c>
      <c r="L131" s="79">
        <v>10682</v>
      </c>
    </row>
    <row r="132" spans="1:12" x14ac:dyDescent="0.35">
      <c r="A132" s="78" t="s">
        <v>588</v>
      </c>
      <c r="B132" s="79">
        <v>169647</v>
      </c>
      <c r="C132" s="79">
        <v>34547</v>
      </c>
      <c r="D132" s="79">
        <v>12276</v>
      </c>
      <c r="E132" s="79">
        <v>19432</v>
      </c>
      <c r="F132" s="79">
        <v>17270</v>
      </c>
      <c r="G132" s="79">
        <v>18210</v>
      </c>
      <c r="H132" s="79">
        <v>3534</v>
      </c>
      <c r="I132" s="79">
        <v>30601</v>
      </c>
      <c r="J132" s="79">
        <v>1876</v>
      </c>
      <c r="K132" s="79">
        <v>21740</v>
      </c>
      <c r="L132" s="79">
        <v>10881</v>
      </c>
    </row>
    <row r="133" spans="1:12" x14ac:dyDescent="0.35">
      <c r="A133" s="78" t="s">
        <v>589</v>
      </c>
      <c r="B133" s="79">
        <v>168939</v>
      </c>
      <c r="C133" s="79">
        <v>34737</v>
      </c>
      <c r="D133" s="79">
        <v>12322</v>
      </c>
      <c r="E133" s="79">
        <v>19845</v>
      </c>
      <c r="F133" s="79">
        <v>16008</v>
      </c>
      <c r="G133" s="79">
        <v>18265</v>
      </c>
      <c r="H133" s="79">
        <v>3353</v>
      </c>
      <c r="I133" s="79">
        <v>30292</v>
      </c>
      <c r="J133" s="79">
        <v>1877</v>
      </c>
      <c r="K133" s="79">
        <v>21782</v>
      </c>
      <c r="L133" s="79">
        <v>10796</v>
      </c>
    </row>
    <row r="134" spans="1:12" x14ac:dyDescent="0.35">
      <c r="A134" s="78" t="s">
        <v>590</v>
      </c>
      <c r="B134" s="79">
        <v>167895</v>
      </c>
      <c r="C134" s="79">
        <v>35105</v>
      </c>
      <c r="D134" s="79">
        <v>12256</v>
      </c>
      <c r="E134" s="79">
        <v>19741</v>
      </c>
      <c r="F134" s="79">
        <v>16598</v>
      </c>
      <c r="G134" s="79">
        <v>17782</v>
      </c>
      <c r="H134" s="79">
        <v>3281</v>
      </c>
      <c r="I134" s="79">
        <v>29450</v>
      </c>
      <c r="J134" s="79">
        <v>1845</v>
      </c>
      <c r="K134" s="79">
        <v>21586</v>
      </c>
      <c r="L134" s="79">
        <v>10816</v>
      </c>
    </row>
    <row r="135" spans="1:12" x14ac:dyDescent="0.35">
      <c r="A135" s="78" t="s">
        <v>591</v>
      </c>
      <c r="B135" s="79">
        <v>161896</v>
      </c>
      <c r="C135" s="79">
        <v>37104</v>
      </c>
      <c r="D135" s="79">
        <v>13017</v>
      </c>
      <c r="E135" s="79">
        <v>15542</v>
      </c>
      <c r="F135" s="79">
        <v>16546</v>
      </c>
      <c r="G135" s="79">
        <v>18360</v>
      </c>
      <c r="H135" s="79">
        <v>3193</v>
      </c>
      <c r="I135" s="79">
        <v>26988</v>
      </c>
      <c r="J135" s="79">
        <v>1840</v>
      </c>
      <c r="K135" s="79">
        <v>21140</v>
      </c>
      <c r="L135" s="79">
        <v>9203</v>
      </c>
    </row>
    <row r="136" spans="1:12" x14ac:dyDescent="0.35">
      <c r="A136" s="78" t="s">
        <v>592</v>
      </c>
      <c r="B136" s="79">
        <v>143830</v>
      </c>
      <c r="C136" s="79">
        <v>36831</v>
      </c>
      <c r="D136" s="79">
        <v>14615</v>
      </c>
      <c r="E136" s="79">
        <v>12964</v>
      </c>
      <c r="F136" s="79">
        <v>17118</v>
      </c>
      <c r="G136" s="79">
        <v>17186</v>
      </c>
      <c r="H136" s="79">
        <v>2584</v>
      </c>
      <c r="I136" s="79">
        <v>15447</v>
      </c>
      <c r="J136" s="79">
        <v>1560</v>
      </c>
      <c r="K136" s="79">
        <v>19134</v>
      </c>
      <c r="L136" s="79">
        <v>8103</v>
      </c>
    </row>
    <row r="137" spans="1:12" x14ac:dyDescent="0.35">
      <c r="A137" s="78" t="s">
        <v>593</v>
      </c>
      <c r="B137" s="79">
        <v>169227</v>
      </c>
      <c r="C137" s="79">
        <v>36071</v>
      </c>
      <c r="D137" s="79">
        <v>14434</v>
      </c>
      <c r="E137" s="79">
        <v>17066</v>
      </c>
      <c r="F137" s="79">
        <v>17061</v>
      </c>
      <c r="G137" s="79">
        <v>20434</v>
      </c>
      <c r="H137" s="79">
        <v>3209</v>
      </c>
      <c r="I137" s="79">
        <v>28781</v>
      </c>
      <c r="J137" s="79">
        <v>1812</v>
      </c>
      <c r="K137" s="79">
        <v>20869</v>
      </c>
      <c r="L137" s="79">
        <v>10337</v>
      </c>
    </row>
    <row r="138" spans="1:12" x14ac:dyDescent="0.35">
      <c r="A138" s="78" t="s">
        <v>594</v>
      </c>
      <c r="B138" s="79">
        <v>166117</v>
      </c>
      <c r="C138" s="79">
        <v>36071</v>
      </c>
      <c r="D138" s="79">
        <v>13920</v>
      </c>
      <c r="E138" s="79">
        <v>17192</v>
      </c>
      <c r="F138" s="79">
        <v>18185</v>
      </c>
      <c r="G138" s="79">
        <v>20373</v>
      </c>
      <c r="H138" s="79">
        <v>3480</v>
      </c>
      <c r="I138" s="79">
        <v>24288</v>
      </c>
      <c r="J138" s="79">
        <v>1843</v>
      </c>
      <c r="K138" s="79">
        <v>22013</v>
      </c>
      <c r="L138" s="79">
        <v>9929</v>
      </c>
    </row>
    <row r="139" spans="1:12" x14ac:dyDescent="0.35">
      <c r="A139" s="78" t="s">
        <v>595</v>
      </c>
      <c r="B139" s="79">
        <v>158291</v>
      </c>
      <c r="C139" s="79">
        <v>37288</v>
      </c>
      <c r="D139" s="79">
        <v>14399</v>
      </c>
      <c r="E139" s="79">
        <v>15105</v>
      </c>
      <c r="F139" s="79">
        <v>18535</v>
      </c>
      <c r="G139" s="79">
        <v>19667</v>
      </c>
      <c r="H139" s="79">
        <v>3051</v>
      </c>
      <c r="I139" s="79">
        <v>20505</v>
      </c>
      <c r="J139" s="79">
        <v>1135</v>
      </c>
      <c r="K139" s="79">
        <v>20886</v>
      </c>
      <c r="L139" s="79">
        <v>9432</v>
      </c>
    </row>
    <row r="140" spans="1:12" x14ac:dyDescent="0.35">
      <c r="A140" s="78" t="s">
        <v>596</v>
      </c>
      <c r="B140" s="79">
        <v>173151</v>
      </c>
      <c r="C140" s="79">
        <v>36634</v>
      </c>
      <c r="D140" s="79">
        <v>14074</v>
      </c>
      <c r="E140" s="79">
        <v>18604</v>
      </c>
      <c r="F140" s="79">
        <v>18899</v>
      </c>
      <c r="G140" s="79">
        <v>22090</v>
      </c>
      <c r="H140" s="79">
        <v>3460</v>
      </c>
      <c r="I140" s="79">
        <v>25882</v>
      </c>
      <c r="J140" s="79">
        <v>1312</v>
      </c>
      <c r="K140" s="79">
        <v>22743</v>
      </c>
      <c r="L140" s="79">
        <v>10716</v>
      </c>
    </row>
    <row r="141" spans="1:12" x14ac:dyDescent="0.35">
      <c r="A141" s="78" t="s">
        <v>597</v>
      </c>
      <c r="B141" s="79">
        <v>165867</v>
      </c>
      <c r="C141" s="79">
        <v>36260</v>
      </c>
      <c r="D141" s="79">
        <v>13423</v>
      </c>
      <c r="E141" s="79">
        <v>18263</v>
      </c>
      <c r="F141" s="79">
        <v>15971</v>
      </c>
      <c r="G141" s="79">
        <v>20766</v>
      </c>
      <c r="H141" s="79">
        <v>3492</v>
      </c>
      <c r="I141" s="79">
        <v>25103</v>
      </c>
      <c r="J141" s="79">
        <v>1351</v>
      </c>
      <c r="K141" s="79">
        <v>21383</v>
      </c>
      <c r="L141" s="79">
        <v>10404</v>
      </c>
    </row>
    <row r="142" spans="1:12" x14ac:dyDescent="0.35">
      <c r="A142" s="78" t="s">
        <v>598</v>
      </c>
      <c r="B142" s="63">
        <v>169922</v>
      </c>
      <c r="C142" s="63">
        <v>36685</v>
      </c>
      <c r="D142" s="63">
        <v>13167</v>
      </c>
      <c r="E142" s="63">
        <v>19434</v>
      </c>
      <c r="F142" s="63">
        <v>16775</v>
      </c>
      <c r="G142" s="63">
        <v>20974</v>
      </c>
      <c r="H142" s="63">
        <v>3389</v>
      </c>
      <c r="I142" s="63">
        <v>25975</v>
      </c>
      <c r="J142" s="63">
        <v>1361</v>
      </c>
      <c r="K142" s="63">
        <v>21698</v>
      </c>
      <c r="L142" s="63">
        <v>11143</v>
      </c>
    </row>
    <row r="143" spans="1:12" x14ac:dyDescent="0.35">
      <c r="A143" s="78" t="s">
        <v>599</v>
      </c>
      <c r="B143" s="63">
        <v>171315</v>
      </c>
      <c r="C143" s="63">
        <v>36298</v>
      </c>
      <c r="D143" s="63">
        <v>12803</v>
      </c>
      <c r="E143" s="63">
        <v>20550</v>
      </c>
      <c r="F143" s="63">
        <v>16713</v>
      </c>
      <c r="G143" s="63">
        <v>21283</v>
      </c>
      <c r="H143" s="63">
        <v>3525</v>
      </c>
      <c r="I143" s="63">
        <v>25381</v>
      </c>
      <c r="J143" s="63">
        <v>1466</v>
      </c>
      <c r="K143" s="63">
        <v>22399</v>
      </c>
      <c r="L143" s="63">
        <v>11450</v>
      </c>
    </row>
    <row r="144" spans="1:12" x14ac:dyDescent="0.35">
      <c r="A144" s="78" t="s">
        <v>600</v>
      </c>
      <c r="B144" s="63">
        <v>170228</v>
      </c>
      <c r="C144" s="63">
        <v>36743</v>
      </c>
      <c r="D144" s="63">
        <v>12923</v>
      </c>
      <c r="E144" s="63">
        <v>20433</v>
      </c>
      <c r="F144" s="63">
        <v>16254</v>
      </c>
      <c r="G144" s="63">
        <v>20055</v>
      </c>
      <c r="H144" s="63">
        <v>3313</v>
      </c>
      <c r="I144" s="63">
        <v>25385</v>
      </c>
      <c r="J144" s="63">
        <v>1386</v>
      </c>
      <c r="K144" s="63">
        <v>22505</v>
      </c>
      <c r="L144" s="63">
        <v>11668</v>
      </c>
    </row>
    <row r="145" spans="1:12" x14ac:dyDescent="0.35">
      <c r="A145" s="78" t="s">
        <v>601</v>
      </c>
      <c r="B145" s="63">
        <v>169713</v>
      </c>
      <c r="C145" s="63">
        <v>36768</v>
      </c>
      <c r="D145" s="63">
        <v>12972</v>
      </c>
      <c r="E145" s="63">
        <v>20283</v>
      </c>
      <c r="F145" s="63">
        <v>15777</v>
      </c>
      <c r="G145" s="63">
        <v>19594</v>
      </c>
      <c r="H145" s="63">
        <v>3728</v>
      </c>
      <c r="I145" s="63">
        <v>25127</v>
      </c>
      <c r="J145" s="63">
        <v>1345</v>
      </c>
      <c r="K145" s="63">
        <v>22965</v>
      </c>
      <c r="L145" s="63">
        <v>11429</v>
      </c>
    </row>
    <row r="146" spans="1:12" x14ac:dyDescent="0.35">
      <c r="A146" s="78" t="s">
        <v>602</v>
      </c>
      <c r="B146" s="63">
        <v>170813</v>
      </c>
      <c r="C146" s="63">
        <v>36635</v>
      </c>
      <c r="D146" s="63">
        <v>12906</v>
      </c>
      <c r="E146" s="63">
        <v>20098</v>
      </c>
      <c r="F146" s="63">
        <v>15349</v>
      </c>
      <c r="G146" s="63">
        <v>19395</v>
      </c>
      <c r="H146" s="63">
        <v>3621</v>
      </c>
      <c r="I146" s="63">
        <v>27114</v>
      </c>
      <c r="J146" s="63">
        <v>1246</v>
      </c>
      <c r="K146" s="63">
        <v>23191</v>
      </c>
      <c r="L146" s="63">
        <v>11288</v>
      </c>
    </row>
    <row r="147" spans="1:12" x14ac:dyDescent="0.35">
      <c r="A147" s="78" t="s">
        <v>603</v>
      </c>
      <c r="B147" s="63">
        <v>166352</v>
      </c>
      <c r="C147" s="63">
        <v>36132</v>
      </c>
      <c r="D147" s="63">
        <v>12806</v>
      </c>
      <c r="E147" s="63">
        <v>20724</v>
      </c>
      <c r="F147" s="63">
        <v>15358</v>
      </c>
      <c r="G147" s="63">
        <v>18239</v>
      </c>
      <c r="H147" s="63">
        <v>3198</v>
      </c>
      <c r="I147" s="63">
        <v>26675</v>
      </c>
      <c r="J147" s="63">
        <v>1115</v>
      </c>
      <c r="K147" s="63">
        <v>21506</v>
      </c>
      <c r="L147" s="63">
        <v>10740</v>
      </c>
    </row>
    <row r="148" spans="1:12" x14ac:dyDescent="0.35">
      <c r="A148" s="78" t="s">
        <v>604</v>
      </c>
      <c r="B148" s="63">
        <v>164688</v>
      </c>
      <c r="C148" s="63">
        <v>35343</v>
      </c>
      <c r="D148" s="63">
        <v>12869</v>
      </c>
      <c r="E148" s="63">
        <v>19929</v>
      </c>
      <c r="F148" s="63">
        <v>15054</v>
      </c>
      <c r="G148" s="63">
        <v>18171</v>
      </c>
      <c r="H148" s="63">
        <v>3095</v>
      </c>
      <c r="I148" s="63">
        <v>27495</v>
      </c>
      <c r="J148" s="63">
        <v>1020</v>
      </c>
      <c r="K148" s="63">
        <v>20970</v>
      </c>
      <c r="L148" s="63">
        <v>10740</v>
      </c>
    </row>
    <row r="149" spans="1:12" x14ac:dyDescent="0.35">
      <c r="A149" s="78" t="s">
        <v>605</v>
      </c>
      <c r="B149" s="63">
        <v>161470</v>
      </c>
      <c r="C149" s="63">
        <v>34129</v>
      </c>
      <c r="D149" s="63">
        <v>12416</v>
      </c>
      <c r="E149" s="63">
        <v>19369</v>
      </c>
      <c r="F149" s="63">
        <v>14517</v>
      </c>
      <c r="G149" s="63">
        <v>18123</v>
      </c>
      <c r="H149" s="63">
        <v>3044</v>
      </c>
      <c r="I149" s="63">
        <v>27523</v>
      </c>
      <c r="J149" s="63">
        <v>1016</v>
      </c>
      <c r="K149" s="63">
        <v>20700</v>
      </c>
      <c r="L149" s="63">
        <v>10530</v>
      </c>
    </row>
    <row r="150" spans="1:12" x14ac:dyDescent="0.35">
      <c r="A150" s="78" t="s">
        <v>606</v>
      </c>
      <c r="B150" s="63">
        <v>160586</v>
      </c>
      <c r="C150" s="63">
        <v>34305</v>
      </c>
      <c r="D150" s="63">
        <v>12257</v>
      </c>
      <c r="E150" s="63">
        <v>19043</v>
      </c>
      <c r="F150" s="63">
        <v>14842</v>
      </c>
      <c r="G150" s="63">
        <v>17709</v>
      </c>
      <c r="H150" s="63">
        <v>2846</v>
      </c>
      <c r="I150" s="63">
        <v>27389</v>
      </c>
      <c r="J150" s="63">
        <v>1147</v>
      </c>
      <c r="K150" s="63">
        <v>20618</v>
      </c>
      <c r="L150" s="63">
        <v>10394</v>
      </c>
    </row>
    <row r="151" spans="1:12" x14ac:dyDescent="0.35">
      <c r="A151" s="78" t="s">
        <v>607</v>
      </c>
      <c r="B151" s="63">
        <v>161714</v>
      </c>
      <c r="C151" s="63">
        <v>34581</v>
      </c>
      <c r="D151" s="63">
        <v>12117</v>
      </c>
      <c r="E151" s="63">
        <v>18688</v>
      </c>
      <c r="F151" s="63">
        <v>14509</v>
      </c>
      <c r="G151" s="63">
        <v>17790</v>
      </c>
      <c r="H151" s="63">
        <v>2954</v>
      </c>
      <c r="I151" s="63">
        <v>27342</v>
      </c>
      <c r="J151" s="63">
        <v>1444</v>
      </c>
      <c r="K151" s="63">
        <v>21385</v>
      </c>
      <c r="L151" s="63">
        <v>10904</v>
      </c>
    </row>
    <row r="152" spans="1:12" x14ac:dyDescent="0.35">
      <c r="A152" s="78" t="s">
        <v>608</v>
      </c>
      <c r="B152" s="63">
        <v>161671</v>
      </c>
      <c r="C152" s="63">
        <v>34665</v>
      </c>
      <c r="D152" s="63">
        <v>12110</v>
      </c>
      <c r="E152" s="63">
        <v>18777</v>
      </c>
      <c r="F152" s="63">
        <v>14523</v>
      </c>
      <c r="G152" s="63">
        <v>17806</v>
      </c>
      <c r="H152" s="63">
        <v>2924</v>
      </c>
      <c r="I152" s="63">
        <v>27318</v>
      </c>
      <c r="J152" s="63">
        <v>1441</v>
      </c>
      <c r="K152" s="63">
        <v>21600</v>
      </c>
      <c r="L152" s="63">
        <v>10507</v>
      </c>
    </row>
    <row r="153" spans="1:12" x14ac:dyDescent="0.35">
      <c r="A153" s="78" t="s">
        <v>609</v>
      </c>
      <c r="B153" s="63">
        <v>162882</v>
      </c>
      <c r="C153" s="63">
        <v>34721</v>
      </c>
      <c r="D153" s="63">
        <v>12125</v>
      </c>
      <c r="E153" s="63">
        <v>19154</v>
      </c>
      <c r="F153" s="63">
        <v>14765</v>
      </c>
      <c r="G153" s="63">
        <v>17791</v>
      </c>
      <c r="H153" s="63">
        <v>2881</v>
      </c>
      <c r="I153" s="63">
        <v>27659</v>
      </c>
      <c r="J153" s="63">
        <v>1419</v>
      </c>
      <c r="K153" s="63">
        <v>21671</v>
      </c>
      <c r="L153" s="63">
        <v>10696</v>
      </c>
    </row>
    <row r="154" spans="1:12" x14ac:dyDescent="0.35">
      <c r="A154" s="78" t="s">
        <v>610</v>
      </c>
      <c r="B154" s="63">
        <v>162866</v>
      </c>
      <c r="C154" s="63">
        <v>34401</v>
      </c>
      <c r="D154" s="63">
        <v>12015</v>
      </c>
      <c r="E154" s="63">
        <v>19087</v>
      </c>
      <c r="F154" s="63">
        <v>14976</v>
      </c>
      <c r="G154" s="63">
        <v>17821</v>
      </c>
      <c r="H154" s="63">
        <v>2929</v>
      </c>
      <c r="I154" s="63">
        <v>27603</v>
      </c>
      <c r="J154" s="63">
        <v>1369</v>
      </c>
      <c r="K154" s="63">
        <v>21899</v>
      </c>
      <c r="L154" s="63">
        <v>10766</v>
      </c>
    </row>
    <row r="155" spans="1:12" x14ac:dyDescent="0.35">
      <c r="A155" s="78" t="s">
        <v>611</v>
      </c>
      <c r="B155" s="63">
        <v>162919</v>
      </c>
      <c r="C155" s="63">
        <v>34373</v>
      </c>
      <c r="D155" s="63">
        <v>11877</v>
      </c>
      <c r="E155" s="63">
        <v>19237</v>
      </c>
      <c r="F155" s="63">
        <v>15009</v>
      </c>
      <c r="G155" s="63">
        <v>17774</v>
      </c>
      <c r="H155" s="63">
        <v>2929</v>
      </c>
      <c r="I155" s="63">
        <v>27915</v>
      </c>
      <c r="J155" s="63">
        <v>1359</v>
      </c>
      <c r="K155" s="63">
        <v>21845</v>
      </c>
      <c r="L155" s="63">
        <v>10601</v>
      </c>
    </row>
    <row r="156" spans="1:12" x14ac:dyDescent="0.35">
      <c r="A156" s="78" t="s">
        <v>612</v>
      </c>
      <c r="B156" s="63">
        <v>163914</v>
      </c>
      <c r="C156" s="63">
        <v>34513</v>
      </c>
      <c r="D156" s="63">
        <v>11854</v>
      </c>
      <c r="E156" s="63">
        <v>19456</v>
      </c>
      <c r="F156" s="63">
        <v>14982</v>
      </c>
      <c r="G156" s="63">
        <v>17749</v>
      </c>
      <c r="H156" s="63">
        <v>2991</v>
      </c>
      <c r="I156" s="63">
        <v>28443</v>
      </c>
      <c r="J156" s="63">
        <v>1299</v>
      </c>
      <c r="K156" s="63">
        <v>22045</v>
      </c>
      <c r="L156" s="63">
        <v>10582</v>
      </c>
    </row>
    <row r="157" spans="1:12" x14ac:dyDescent="0.35">
      <c r="A157" s="78" t="s">
        <v>613</v>
      </c>
      <c r="B157" s="63">
        <v>164778</v>
      </c>
      <c r="C157" s="63">
        <v>34680</v>
      </c>
      <c r="D157" s="63">
        <v>11777</v>
      </c>
      <c r="E157" s="63">
        <v>19889</v>
      </c>
      <c r="F157" s="63">
        <v>15187</v>
      </c>
      <c r="G157" s="63">
        <v>17769</v>
      </c>
      <c r="H157" s="63">
        <v>3028</v>
      </c>
      <c r="I157" s="63">
        <v>28221</v>
      </c>
      <c r="J157" s="63">
        <v>1326</v>
      </c>
      <c r="K157" s="63">
        <v>22333</v>
      </c>
      <c r="L157" s="63">
        <v>10568</v>
      </c>
    </row>
    <row r="158" spans="1:12" x14ac:dyDescent="0.35">
      <c r="A158" s="78" t="s">
        <v>614</v>
      </c>
      <c r="B158" s="63">
        <v>164672</v>
      </c>
      <c r="C158" s="63">
        <v>34631</v>
      </c>
      <c r="D158" s="63">
        <v>11781</v>
      </c>
      <c r="E158" s="63">
        <v>19983</v>
      </c>
      <c r="F158" s="63">
        <v>15075</v>
      </c>
      <c r="G158" s="63">
        <v>17892</v>
      </c>
      <c r="H158" s="63">
        <v>3104</v>
      </c>
      <c r="I158" s="63">
        <v>27980</v>
      </c>
      <c r="J158" s="63">
        <v>1351</v>
      </c>
      <c r="K158" s="63">
        <v>22303</v>
      </c>
      <c r="L158" s="63">
        <v>10572</v>
      </c>
    </row>
    <row r="159" spans="1:12" x14ac:dyDescent="0.35">
      <c r="A159" s="81" t="s">
        <v>912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</row>
    <row r="160" spans="1:12" x14ac:dyDescent="0.35">
      <c r="B160" s="63"/>
      <c r="D160" s="63"/>
      <c r="E160" s="63"/>
      <c r="F160" s="63"/>
      <c r="G160" s="63"/>
      <c r="H160" s="63"/>
      <c r="I160" s="63"/>
      <c r="J160" s="63"/>
      <c r="K160" s="63"/>
      <c r="L160" s="63"/>
    </row>
    <row r="161" spans="2:12" x14ac:dyDescent="0.35"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</row>
    <row r="162" spans="2:12" x14ac:dyDescent="0.35"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</row>
    <row r="163" spans="2:12" x14ac:dyDescent="0.35"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</row>
    <row r="164" spans="2:12" x14ac:dyDescent="0.35"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</row>
    <row r="165" spans="2:12" x14ac:dyDescent="0.35"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</row>
    <row r="166" spans="2:12" x14ac:dyDescent="0.35"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</row>
    <row r="167" spans="2:12" x14ac:dyDescent="0.35"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</row>
  </sheetData>
  <hyperlinks>
    <hyperlink ref="A4" location="Table_of_contents!A1" tooltip="Link to table of contents" display="Table of contents" xr:uid="{49BC6356-5ED0-4D9E-96EC-F202A105CF61}"/>
  </hyperlink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CEF8-00FC-4C39-98D9-1E47BB3D8DF4}">
  <dimension ref="A1:X167"/>
  <sheetViews>
    <sheetView zoomScale="85" zoomScaleNormal="85" workbookViewId="0">
      <pane xSplit="1" ySplit="6" topLeftCell="B36" activePane="bottomRight" state="frozen"/>
      <selection pane="topRight" activeCell="B1" sqref="B1"/>
      <selection pane="bottomLeft" activeCell="A7" sqref="A7"/>
      <selection pane="bottomRight" activeCell="I40" sqref="I40"/>
    </sheetView>
  </sheetViews>
  <sheetFormatPr defaultColWidth="20.54296875" defaultRowHeight="15.5" x14ac:dyDescent="0.35"/>
  <cols>
    <col min="1" max="1" width="22.54296875" style="100" customWidth="1"/>
    <col min="2" max="14" width="13.54296875" style="84" customWidth="1"/>
    <col min="15" max="15" width="17.54296875" style="84" customWidth="1"/>
    <col min="16" max="18" width="13.54296875" style="84" customWidth="1"/>
    <col min="19" max="19" width="15.54296875" style="84" customWidth="1"/>
    <col min="20" max="21" width="13.54296875" style="84" customWidth="1"/>
    <col min="22" max="22" width="18.26953125" style="84" customWidth="1"/>
    <col min="23" max="23" width="16.54296875" style="84" customWidth="1"/>
    <col min="24" max="24" width="13.54296875" style="84" customWidth="1"/>
  </cols>
  <sheetData>
    <row r="1" spans="1:24" s="87" customFormat="1" ht="20" thickBot="1" x14ac:dyDescent="0.5">
      <c r="A1" s="86" t="s">
        <v>814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63"/>
      <c r="R1" s="63"/>
      <c r="S1" s="63"/>
      <c r="T1" s="63"/>
      <c r="U1" s="63"/>
      <c r="V1" s="63"/>
      <c r="W1" s="63"/>
      <c r="X1" s="63"/>
    </row>
    <row r="2" spans="1:24" ht="16" thickTop="1" x14ac:dyDescent="0.35">
      <c r="A2" s="65" t="s">
        <v>300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</row>
    <row r="3" spans="1:24" x14ac:dyDescent="0.35">
      <c r="A3" s="65" t="s">
        <v>301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</row>
    <row r="4" spans="1:24" x14ac:dyDescent="0.35">
      <c r="A4" s="68" t="s">
        <v>302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</row>
    <row r="5" spans="1:24" s="87" customFormat="1" ht="50.15" customHeight="1" x14ac:dyDescent="0.4">
      <c r="A5" s="88" t="s">
        <v>815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</row>
    <row r="6" spans="1:24" ht="80.150000000000006" customHeight="1" x14ac:dyDescent="0.35">
      <c r="A6" s="72" t="s">
        <v>304</v>
      </c>
      <c r="B6" s="73" t="s">
        <v>816</v>
      </c>
      <c r="C6" s="73" t="s">
        <v>645</v>
      </c>
      <c r="D6" s="74" t="s">
        <v>817</v>
      </c>
      <c r="E6" s="74" t="s">
        <v>818</v>
      </c>
      <c r="F6" s="74" t="s">
        <v>819</v>
      </c>
      <c r="G6" s="74" t="s">
        <v>820</v>
      </c>
      <c r="H6" s="73" t="s">
        <v>324</v>
      </c>
      <c r="I6" s="74" t="s">
        <v>821</v>
      </c>
      <c r="J6" s="73" t="s">
        <v>330</v>
      </c>
      <c r="K6" s="74" t="s">
        <v>822</v>
      </c>
      <c r="L6" s="74" t="s">
        <v>823</v>
      </c>
      <c r="M6" s="74" t="s">
        <v>824</v>
      </c>
      <c r="N6" s="74" t="s">
        <v>825</v>
      </c>
      <c r="O6" s="73" t="s">
        <v>339</v>
      </c>
      <c r="P6" s="74" t="s">
        <v>826</v>
      </c>
      <c r="Q6" s="73" t="s">
        <v>342</v>
      </c>
      <c r="R6" s="74" t="s">
        <v>827</v>
      </c>
      <c r="S6" s="74" t="s">
        <v>828</v>
      </c>
      <c r="T6" s="74" t="s">
        <v>829</v>
      </c>
      <c r="U6" s="74" t="s">
        <v>830</v>
      </c>
      <c r="V6" s="74" t="s">
        <v>831</v>
      </c>
      <c r="W6" s="73" t="s">
        <v>357</v>
      </c>
      <c r="X6" s="74" t="s">
        <v>832</v>
      </c>
    </row>
    <row r="7" spans="1:24" ht="31" x14ac:dyDescent="0.35">
      <c r="A7" s="72" t="s">
        <v>371</v>
      </c>
      <c r="B7" s="75" t="s">
        <v>833</v>
      </c>
      <c r="C7" s="75" t="s">
        <v>834</v>
      </c>
      <c r="D7" s="76" t="s">
        <v>835</v>
      </c>
      <c r="E7" s="76" t="s">
        <v>836</v>
      </c>
      <c r="F7" s="76" t="s">
        <v>837</v>
      </c>
      <c r="G7" s="76" t="s">
        <v>838</v>
      </c>
      <c r="H7" s="75" t="s">
        <v>839</v>
      </c>
      <c r="I7" s="76" t="s">
        <v>840</v>
      </c>
      <c r="J7" s="75" t="s">
        <v>841</v>
      </c>
      <c r="K7" s="77" t="s">
        <v>842</v>
      </c>
      <c r="L7" s="76" t="s">
        <v>843</v>
      </c>
      <c r="M7" s="76" t="s">
        <v>844</v>
      </c>
      <c r="N7" s="76" t="s">
        <v>845</v>
      </c>
      <c r="O7" s="75" t="s">
        <v>846</v>
      </c>
      <c r="P7" s="77" t="s">
        <v>847</v>
      </c>
      <c r="Q7" s="75" t="s">
        <v>848</v>
      </c>
      <c r="R7" s="76" t="s">
        <v>849</v>
      </c>
      <c r="S7" s="76" t="s">
        <v>850</v>
      </c>
      <c r="T7" s="76" t="s">
        <v>851</v>
      </c>
      <c r="U7" s="76" t="s">
        <v>852</v>
      </c>
      <c r="V7" s="76" t="s">
        <v>853</v>
      </c>
      <c r="W7" s="75" t="s">
        <v>854</v>
      </c>
      <c r="X7" s="76" t="s">
        <v>855</v>
      </c>
    </row>
    <row r="8" spans="1:24" x14ac:dyDescent="0.35">
      <c r="A8" s="72" t="s">
        <v>429</v>
      </c>
      <c r="B8" s="95" t="s">
        <v>856</v>
      </c>
      <c r="C8" s="95" t="s">
        <v>857</v>
      </c>
      <c r="D8" s="95" t="s">
        <v>858</v>
      </c>
      <c r="E8" s="95" t="s">
        <v>859</v>
      </c>
      <c r="F8" s="95" t="s">
        <v>860</v>
      </c>
      <c r="G8" s="95" t="s">
        <v>861</v>
      </c>
      <c r="H8" s="95" t="s">
        <v>862</v>
      </c>
      <c r="I8" s="95" t="s">
        <v>863</v>
      </c>
      <c r="J8" s="95" t="s">
        <v>864</v>
      </c>
      <c r="K8" s="95" t="s">
        <v>865</v>
      </c>
      <c r="L8" s="95" t="s">
        <v>866</v>
      </c>
      <c r="M8" s="95" t="s">
        <v>867</v>
      </c>
      <c r="N8" s="95" t="s">
        <v>868</v>
      </c>
      <c r="O8" s="95" t="s">
        <v>869</v>
      </c>
      <c r="P8" s="95" t="s">
        <v>870</v>
      </c>
      <c r="Q8" s="95" t="s">
        <v>871</v>
      </c>
      <c r="R8" s="95" t="s">
        <v>872</v>
      </c>
      <c r="S8" s="95" t="s">
        <v>873</v>
      </c>
      <c r="T8" s="95" t="s">
        <v>874</v>
      </c>
      <c r="U8" s="95" t="s">
        <v>875</v>
      </c>
      <c r="V8" s="95" t="s">
        <v>876</v>
      </c>
      <c r="W8" s="95" t="s">
        <v>877</v>
      </c>
      <c r="X8" s="95" t="s">
        <v>878</v>
      </c>
    </row>
    <row r="9" spans="1:24" x14ac:dyDescent="0.35">
      <c r="A9" s="78">
        <v>1997</v>
      </c>
      <c r="B9" s="79">
        <v>65183</v>
      </c>
      <c r="C9" s="79">
        <v>26056</v>
      </c>
      <c r="D9" s="79">
        <v>15659</v>
      </c>
      <c r="E9" s="79">
        <v>6216</v>
      </c>
      <c r="F9" s="79">
        <v>4552</v>
      </c>
      <c r="G9" s="79">
        <v>409</v>
      </c>
      <c r="H9" s="79">
        <v>2260</v>
      </c>
      <c r="I9" s="79">
        <v>2259</v>
      </c>
      <c r="J9" s="79">
        <v>47016</v>
      </c>
      <c r="K9" s="79">
        <v>47016</v>
      </c>
      <c r="L9" s="79">
        <v>45710</v>
      </c>
      <c r="M9" s="79">
        <v>862</v>
      </c>
      <c r="N9" s="79">
        <v>492</v>
      </c>
      <c r="O9" s="79">
        <v>1522</v>
      </c>
      <c r="P9" s="79">
        <v>1522</v>
      </c>
      <c r="Q9" s="79">
        <v>1724</v>
      </c>
      <c r="R9" s="79">
        <v>564</v>
      </c>
      <c r="S9" s="79">
        <v>35</v>
      </c>
      <c r="T9" s="79">
        <v>81</v>
      </c>
      <c r="U9" s="79">
        <v>4166</v>
      </c>
      <c r="V9" s="79">
        <v>553</v>
      </c>
      <c r="W9" s="79">
        <v>7394</v>
      </c>
      <c r="X9" s="79">
        <v>7394</v>
      </c>
    </row>
    <row r="10" spans="1:24" x14ac:dyDescent="0.35">
      <c r="A10" s="78">
        <v>1998</v>
      </c>
      <c r="B10" s="79">
        <v>71169</v>
      </c>
      <c r="C10" s="79">
        <v>27217</v>
      </c>
      <c r="D10" s="79">
        <v>16631</v>
      </c>
      <c r="E10" s="79">
        <v>6433</v>
      </c>
      <c r="F10" s="79">
        <v>4609</v>
      </c>
      <c r="G10" s="79">
        <v>437</v>
      </c>
      <c r="H10" s="79">
        <v>2097</v>
      </c>
      <c r="I10" s="79">
        <v>2095</v>
      </c>
      <c r="J10" s="79">
        <v>48616</v>
      </c>
      <c r="K10" s="79">
        <v>48616</v>
      </c>
      <c r="L10" s="79">
        <v>47019</v>
      </c>
      <c r="M10" s="79">
        <v>1102</v>
      </c>
      <c r="N10" s="79">
        <v>521</v>
      </c>
      <c r="O10" s="79">
        <v>2415</v>
      </c>
      <c r="P10" s="79">
        <v>2415</v>
      </c>
      <c r="Q10" s="79">
        <v>2254</v>
      </c>
      <c r="R10" s="79">
        <v>626</v>
      </c>
      <c r="S10" s="79">
        <v>46</v>
      </c>
      <c r="T10" s="79">
        <v>133</v>
      </c>
      <c r="U10" s="79">
        <v>5045</v>
      </c>
      <c r="V10" s="79">
        <v>473</v>
      </c>
      <c r="W10" s="79">
        <v>7576</v>
      </c>
      <c r="X10" s="79">
        <v>7576</v>
      </c>
    </row>
    <row r="11" spans="1:24" x14ac:dyDescent="0.35">
      <c r="A11" s="78">
        <v>1999</v>
      </c>
      <c r="B11" s="79">
        <v>79239</v>
      </c>
      <c r="C11" s="79">
        <v>28538</v>
      </c>
      <c r="D11" s="79">
        <v>17934</v>
      </c>
      <c r="E11" s="79">
        <v>6327</v>
      </c>
      <c r="F11" s="79">
        <v>4712</v>
      </c>
      <c r="G11" s="79">
        <v>500</v>
      </c>
      <c r="H11" s="79">
        <v>2450</v>
      </c>
      <c r="I11" s="79">
        <v>2448</v>
      </c>
      <c r="J11" s="79">
        <v>51512</v>
      </c>
      <c r="K11" s="79">
        <v>51512</v>
      </c>
      <c r="L11" s="79">
        <v>49320</v>
      </c>
      <c r="M11" s="79">
        <v>1424</v>
      </c>
      <c r="N11" s="79">
        <v>786</v>
      </c>
      <c r="O11" s="79">
        <v>2901</v>
      </c>
      <c r="P11" s="79">
        <v>2901</v>
      </c>
      <c r="Q11" s="79">
        <v>3009</v>
      </c>
      <c r="R11" s="79">
        <v>869</v>
      </c>
      <c r="S11" s="79">
        <v>52</v>
      </c>
      <c r="T11" s="79">
        <v>193</v>
      </c>
      <c r="U11" s="79">
        <v>6154</v>
      </c>
      <c r="V11" s="79">
        <v>459</v>
      </c>
      <c r="W11" s="79">
        <v>8252</v>
      </c>
      <c r="X11" s="79">
        <v>8252</v>
      </c>
    </row>
    <row r="12" spans="1:24" x14ac:dyDescent="0.35">
      <c r="A12" s="78">
        <v>2000</v>
      </c>
      <c r="B12" s="79">
        <v>85882</v>
      </c>
      <c r="C12" s="79">
        <v>31015</v>
      </c>
      <c r="D12" s="79">
        <v>19447</v>
      </c>
      <c r="E12" s="79">
        <v>6509</v>
      </c>
      <c r="F12" s="79">
        <v>5383</v>
      </c>
      <c r="G12" s="79">
        <v>513</v>
      </c>
      <c r="H12" s="79">
        <v>2819</v>
      </c>
      <c r="I12" s="79">
        <v>2817</v>
      </c>
      <c r="J12" s="79">
        <v>54572</v>
      </c>
      <c r="K12" s="79">
        <v>54572</v>
      </c>
      <c r="L12" s="79">
        <v>52360</v>
      </c>
      <c r="M12" s="79">
        <v>1363</v>
      </c>
      <c r="N12" s="79">
        <v>865</v>
      </c>
      <c r="O12" s="79">
        <v>3750</v>
      </c>
      <c r="P12" s="79">
        <v>3750</v>
      </c>
      <c r="Q12" s="79">
        <v>3353</v>
      </c>
      <c r="R12" s="79">
        <v>972</v>
      </c>
      <c r="S12" s="79">
        <v>63</v>
      </c>
      <c r="T12" s="79">
        <v>254</v>
      </c>
      <c r="U12" s="79">
        <v>5321</v>
      </c>
      <c r="V12" s="79">
        <v>452</v>
      </c>
      <c r="W12" s="79">
        <v>8431</v>
      </c>
      <c r="X12" s="79">
        <v>8431</v>
      </c>
    </row>
    <row r="13" spans="1:24" x14ac:dyDescent="0.35">
      <c r="A13" s="78">
        <v>2001</v>
      </c>
      <c r="B13" s="79">
        <v>97593</v>
      </c>
      <c r="C13" s="79">
        <v>34048</v>
      </c>
      <c r="D13" s="79">
        <v>20292</v>
      </c>
      <c r="E13" s="79">
        <v>6876</v>
      </c>
      <c r="F13" s="79">
        <v>6724</v>
      </c>
      <c r="G13" s="79">
        <v>645</v>
      </c>
      <c r="H13" s="79">
        <v>2250</v>
      </c>
      <c r="I13" s="79">
        <v>2248</v>
      </c>
      <c r="J13" s="79">
        <v>62920</v>
      </c>
      <c r="K13" s="79">
        <v>62920</v>
      </c>
      <c r="L13" s="79">
        <v>60679</v>
      </c>
      <c r="M13" s="79">
        <v>1380</v>
      </c>
      <c r="N13" s="79">
        <v>887</v>
      </c>
      <c r="O13" s="79">
        <v>4309</v>
      </c>
      <c r="P13" s="79">
        <v>4310</v>
      </c>
      <c r="Q13" s="79">
        <v>4099</v>
      </c>
      <c r="R13" s="79">
        <v>1163</v>
      </c>
      <c r="S13" s="79">
        <v>72</v>
      </c>
      <c r="T13" s="79">
        <v>339</v>
      </c>
      <c r="U13" s="79">
        <v>6143</v>
      </c>
      <c r="V13" s="79">
        <v>559</v>
      </c>
      <c r="W13" s="79">
        <v>8944</v>
      </c>
      <c r="X13" s="79">
        <v>8944</v>
      </c>
    </row>
    <row r="14" spans="1:24" x14ac:dyDescent="0.35">
      <c r="A14" s="78">
        <v>2002</v>
      </c>
      <c r="B14" s="79">
        <v>99850</v>
      </c>
      <c r="C14" s="79">
        <v>34834</v>
      </c>
      <c r="D14" s="79">
        <v>21485</v>
      </c>
      <c r="E14" s="79">
        <v>6821</v>
      </c>
      <c r="F14" s="79">
        <v>6568</v>
      </c>
      <c r="G14" s="79">
        <v>584</v>
      </c>
      <c r="H14" s="79">
        <v>2565</v>
      </c>
      <c r="I14" s="79">
        <v>2563</v>
      </c>
      <c r="J14" s="79">
        <v>62551</v>
      </c>
      <c r="K14" s="79">
        <v>62551</v>
      </c>
      <c r="L14" s="79">
        <v>60340</v>
      </c>
      <c r="M14" s="79">
        <v>1411</v>
      </c>
      <c r="N14" s="79">
        <v>828</v>
      </c>
      <c r="O14" s="79">
        <v>4061</v>
      </c>
      <c r="P14" s="79">
        <v>4062</v>
      </c>
      <c r="Q14" s="79">
        <v>4471</v>
      </c>
      <c r="R14" s="79">
        <v>1329</v>
      </c>
      <c r="S14" s="79">
        <v>81</v>
      </c>
      <c r="T14" s="79">
        <v>361</v>
      </c>
      <c r="U14" s="79">
        <v>6666</v>
      </c>
      <c r="V14" s="79">
        <v>258</v>
      </c>
      <c r="W14" s="79">
        <v>9486</v>
      </c>
      <c r="X14" s="79">
        <v>9486</v>
      </c>
    </row>
    <row r="15" spans="1:24" x14ac:dyDescent="0.35">
      <c r="A15" s="78">
        <v>2003</v>
      </c>
      <c r="B15" s="79">
        <v>105157</v>
      </c>
      <c r="C15" s="79">
        <v>36281</v>
      </c>
      <c r="D15" s="79">
        <v>22790</v>
      </c>
      <c r="E15" s="79">
        <v>6519</v>
      </c>
      <c r="F15" s="79">
        <v>6675</v>
      </c>
      <c r="G15" s="79">
        <v>886</v>
      </c>
      <c r="H15" s="79">
        <v>3137</v>
      </c>
      <c r="I15" s="79">
        <v>3134</v>
      </c>
      <c r="J15" s="79">
        <v>63932</v>
      </c>
      <c r="K15" s="79">
        <v>63932</v>
      </c>
      <c r="L15" s="79">
        <v>61555</v>
      </c>
      <c r="M15" s="79">
        <v>1439</v>
      </c>
      <c r="N15" s="79">
        <v>962</v>
      </c>
      <c r="O15" s="79">
        <v>4316</v>
      </c>
      <c r="P15" s="79">
        <v>4317</v>
      </c>
      <c r="Q15" s="79">
        <v>5244</v>
      </c>
      <c r="R15" s="79">
        <v>1484</v>
      </c>
      <c r="S15" s="79">
        <v>90</v>
      </c>
      <c r="T15" s="79">
        <v>471</v>
      </c>
      <c r="U15" s="79">
        <v>7558</v>
      </c>
      <c r="V15" s="79">
        <v>461</v>
      </c>
      <c r="W15" s="79">
        <v>8622</v>
      </c>
      <c r="X15" s="79">
        <v>8622</v>
      </c>
    </row>
    <row r="16" spans="1:24" x14ac:dyDescent="0.35">
      <c r="A16" s="78">
        <v>2004</v>
      </c>
      <c r="B16" s="79">
        <v>108903</v>
      </c>
      <c r="C16" s="79">
        <v>36011</v>
      </c>
      <c r="D16" s="79">
        <v>23047</v>
      </c>
      <c r="E16" s="79">
        <v>6703</v>
      </c>
      <c r="F16" s="79">
        <v>6488</v>
      </c>
      <c r="G16" s="79">
        <v>478</v>
      </c>
      <c r="H16" s="79">
        <v>2579</v>
      </c>
      <c r="I16" s="79">
        <v>2577</v>
      </c>
      <c r="J16" s="79">
        <v>62083</v>
      </c>
      <c r="K16" s="79">
        <v>62083</v>
      </c>
      <c r="L16" s="79">
        <v>59507</v>
      </c>
      <c r="M16" s="79">
        <v>1473</v>
      </c>
      <c r="N16" s="79">
        <v>1125</v>
      </c>
      <c r="O16" s="79">
        <v>5586</v>
      </c>
      <c r="P16" s="79">
        <v>5587</v>
      </c>
      <c r="Q16" s="79">
        <v>6442</v>
      </c>
      <c r="R16" s="79">
        <v>1739</v>
      </c>
      <c r="S16" s="79">
        <v>113</v>
      </c>
      <c r="T16" s="79">
        <v>676</v>
      </c>
      <c r="U16" s="79">
        <v>8665</v>
      </c>
      <c r="V16" s="79">
        <v>400</v>
      </c>
      <c r="W16" s="79">
        <v>9550</v>
      </c>
      <c r="X16" s="79">
        <v>9550</v>
      </c>
    </row>
    <row r="17" spans="1:24" x14ac:dyDescent="0.35">
      <c r="A17" s="78">
        <v>2005</v>
      </c>
      <c r="B17" s="79">
        <v>112399</v>
      </c>
      <c r="C17" s="79">
        <v>36624</v>
      </c>
      <c r="D17" s="79">
        <v>22663</v>
      </c>
      <c r="E17" s="79">
        <v>6697</v>
      </c>
      <c r="F17" s="79">
        <v>7144</v>
      </c>
      <c r="G17" s="79">
        <v>663</v>
      </c>
      <c r="H17" s="79">
        <v>2456</v>
      </c>
      <c r="I17" s="79">
        <v>2454</v>
      </c>
      <c r="J17" s="79">
        <v>60836</v>
      </c>
      <c r="K17" s="79">
        <v>60836</v>
      </c>
      <c r="L17" s="79">
        <v>58233</v>
      </c>
      <c r="M17" s="79">
        <v>1511</v>
      </c>
      <c r="N17" s="79">
        <v>1115</v>
      </c>
      <c r="O17" s="79">
        <v>6099</v>
      </c>
      <c r="P17" s="79">
        <v>6100</v>
      </c>
      <c r="Q17" s="79">
        <v>7613</v>
      </c>
      <c r="R17" s="79">
        <v>2199</v>
      </c>
      <c r="S17" s="79">
        <v>156</v>
      </c>
      <c r="T17" s="79">
        <v>808</v>
      </c>
      <c r="U17" s="79">
        <v>8656</v>
      </c>
      <c r="V17" s="79">
        <v>595</v>
      </c>
      <c r="W17" s="79">
        <v>9502</v>
      </c>
      <c r="X17" s="79">
        <v>9502</v>
      </c>
    </row>
    <row r="18" spans="1:24" x14ac:dyDescent="0.35">
      <c r="A18" s="78">
        <v>2006</v>
      </c>
      <c r="B18" s="79">
        <v>117061</v>
      </c>
      <c r="C18" s="79">
        <v>37162</v>
      </c>
      <c r="D18" s="79">
        <v>22924</v>
      </c>
      <c r="E18" s="79">
        <v>6596</v>
      </c>
      <c r="F18" s="79">
        <v>7554</v>
      </c>
      <c r="G18" s="79">
        <v>563</v>
      </c>
      <c r="H18" s="79">
        <v>2744</v>
      </c>
      <c r="I18" s="79">
        <v>2743</v>
      </c>
      <c r="J18" s="79">
        <v>61547</v>
      </c>
      <c r="K18" s="79">
        <v>61547</v>
      </c>
      <c r="L18" s="79">
        <v>59161</v>
      </c>
      <c r="M18" s="79">
        <v>1365</v>
      </c>
      <c r="N18" s="79">
        <v>1035</v>
      </c>
      <c r="O18" s="79">
        <v>6135</v>
      </c>
      <c r="P18" s="79">
        <v>6136</v>
      </c>
      <c r="Q18" s="79">
        <v>8803</v>
      </c>
      <c r="R18" s="79">
        <v>2804</v>
      </c>
      <c r="S18" s="79">
        <v>211</v>
      </c>
      <c r="T18" s="79">
        <v>982</v>
      </c>
      <c r="U18" s="79">
        <v>7754</v>
      </c>
      <c r="V18" s="79">
        <v>733</v>
      </c>
      <c r="W18" s="79">
        <v>9374</v>
      </c>
      <c r="X18" s="79">
        <v>9374</v>
      </c>
    </row>
    <row r="19" spans="1:24" x14ac:dyDescent="0.35">
      <c r="A19" s="78">
        <v>2007</v>
      </c>
      <c r="B19" s="79">
        <v>122926</v>
      </c>
      <c r="C19" s="79">
        <v>39863</v>
      </c>
      <c r="D19" s="79">
        <v>24675</v>
      </c>
      <c r="E19" s="79">
        <v>7682</v>
      </c>
      <c r="F19" s="79">
        <v>7489</v>
      </c>
      <c r="G19" s="79">
        <v>664</v>
      </c>
      <c r="H19" s="79">
        <v>2749</v>
      </c>
      <c r="I19" s="79">
        <v>2748</v>
      </c>
      <c r="J19" s="79">
        <v>63216</v>
      </c>
      <c r="K19" s="79">
        <v>63216</v>
      </c>
      <c r="L19" s="79">
        <v>60724</v>
      </c>
      <c r="M19" s="79">
        <v>1463</v>
      </c>
      <c r="N19" s="79">
        <v>1046</v>
      </c>
      <c r="O19" s="79">
        <v>6227</v>
      </c>
      <c r="P19" s="79">
        <v>6228</v>
      </c>
      <c r="Q19" s="79">
        <v>9777</v>
      </c>
      <c r="R19" s="79">
        <v>3177</v>
      </c>
      <c r="S19" s="79">
        <v>195</v>
      </c>
      <c r="T19" s="79">
        <v>1281</v>
      </c>
      <c r="U19" s="79">
        <v>7940</v>
      </c>
      <c r="V19" s="79">
        <v>663</v>
      </c>
      <c r="W19" s="79">
        <v>9067</v>
      </c>
      <c r="X19" s="79">
        <v>9068</v>
      </c>
    </row>
    <row r="20" spans="1:24" x14ac:dyDescent="0.35">
      <c r="A20" s="78">
        <v>2008</v>
      </c>
      <c r="B20" s="79">
        <v>120560</v>
      </c>
      <c r="C20" s="79">
        <v>36377</v>
      </c>
      <c r="D20" s="79">
        <v>22556</v>
      </c>
      <c r="E20" s="79">
        <v>5479</v>
      </c>
      <c r="F20" s="79">
        <v>7787</v>
      </c>
      <c r="G20" s="79">
        <v>853</v>
      </c>
      <c r="H20" s="79">
        <v>2815</v>
      </c>
      <c r="I20" s="79">
        <v>2814</v>
      </c>
      <c r="J20" s="79">
        <v>60587</v>
      </c>
      <c r="K20" s="79">
        <v>60587</v>
      </c>
      <c r="L20" s="79">
        <v>57946</v>
      </c>
      <c r="M20" s="79">
        <v>1488</v>
      </c>
      <c r="N20" s="79">
        <v>1181</v>
      </c>
      <c r="O20" s="79">
        <v>6048</v>
      </c>
      <c r="P20" s="79">
        <v>6049</v>
      </c>
      <c r="Q20" s="79">
        <v>10968</v>
      </c>
      <c r="R20" s="79">
        <v>3292</v>
      </c>
      <c r="S20" s="79">
        <v>331</v>
      </c>
      <c r="T20" s="79">
        <v>1615</v>
      </c>
      <c r="U20" s="79">
        <v>7882</v>
      </c>
      <c r="V20" s="79">
        <v>327</v>
      </c>
      <c r="W20" s="79">
        <v>8883</v>
      </c>
      <c r="X20" s="79">
        <v>8884</v>
      </c>
    </row>
    <row r="21" spans="1:24" x14ac:dyDescent="0.35">
      <c r="A21" s="78">
        <v>2009</v>
      </c>
      <c r="B21" s="79">
        <v>115307</v>
      </c>
      <c r="C21" s="79">
        <v>32269</v>
      </c>
      <c r="D21" s="79">
        <v>20772</v>
      </c>
      <c r="E21" s="79">
        <v>5114</v>
      </c>
      <c r="F21" s="79">
        <v>6286</v>
      </c>
      <c r="G21" s="79">
        <v>460</v>
      </c>
      <c r="H21" s="79">
        <v>2759</v>
      </c>
      <c r="I21" s="79">
        <v>2758</v>
      </c>
      <c r="J21" s="79">
        <v>57968</v>
      </c>
      <c r="K21" s="79">
        <v>57968</v>
      </c>
      <c r="L21" s="79">
        <v>55450</v>
      </c>
      <c r="M21" s="79">
        <v>1362</v>
      </c>
      <c r="N21" s="79">
        <v>1183</v>
      </c>
      <c r="O21" s="79">
        <v>5843</v>
      </c>
      <c r="P21" s="79">
        <v>5844</v>
      </c>
      <c r="Q21" s="79">
        <v>11509</v>
      </c>
      <c r="R21" s="79">
        <v>3361</v>
      </c>
      <c r="S21" s="79">
        <v>328</v>
      </c>
      <c r="T21" s="79">
        <v>1906</v>
      </c>
      <c r="U21" s="79">
        <v>7679</v>
      </c>
      <c r="V21" s="79">
        <v>565</v>
      </c>
      <c r="W21" s="79">
        <v>8271</v>
      </c>
      <c r="X21" s="79">
        <v>8271</v>
      </c>
    </row>
    <row r="22" spans="1:24" x14ac:dyDescent="0.35">
      <c r="A22" s="78">
        <v>2010</v>
      </c>
      <c r="B22" s="79">
        <v>116923</v>
      </c>
      <c r="C22" s="79">
        <v>34280</v>
      </c>
      <c r="D22" s="79">
        <v>21736</v>
      </c>
      <c r="E22" s="79">
        <v>5376</v>
      </c>
      <c r="F22" s="79">
        <v>6800</v>
      </c>
      <c r="G22" s="79">
        <v>726</v>
      </c>
      <c r="H22" s="79">
        <v>2824</v>
      </c>
      <c r="I22" s="79">
        <v>2823</v>
      </c>
      <c r="J22" s="79">
        <v>53159</v>
      </c>
      <c r="K22" s="79">
        <v>53159</v>
      </c>
      <c r="L22" s="79">
        <v>50537</v>
      </c>
      <c r="M22" s="79">
        <v>1239</v>
      </c>
      <c r="N22" s="79">
        <v>1379</v>
      </c>
      <c r="O22" s="79">
        <v>5523</v>
      </c>
      <c r="P22" s="79">
        <v>5523</v>
      </c>
      <c r="Q22" s="79">
        <v>13466</v>
      </c>
      <c r="R22" s="79">
        <v>4174</v>
      </c>
      <c r="S22" s="79">
        <v>429</v>
      </c>
      <c r="T22" s="79">
        <v>2312</v>
      </c>
      <c r="U22" s="79">
        <v>8117</v>
      </c>
      <c r="V22" s="79">
        <v>361</v>
      </c>
      <c r="W22" s="79">
        <v>8860</v>
      </c>
      <c r="X22" s="79">
        <v>8860</v>
      </c>
    </row>
    <row r="23" spans="1:24" x14ac:dyDescent="0.35">
      <c r="A23" s="78">
        <v>2011</v>
      </c>
      <c r="B23" s="79">
        <v>114773</v>
      </c>
      <c r="C23" s="79">
        <v>32639</v>
      </c>
      <c r="D23" s="79">
        <v>20264</v>
      </c>
      <c r="E23" s="79">
        <v>5405</v>
      </c>
      <c r="F23" s="79">
        <v>6783</v>
      </c>
      <c r="G23" s="79">
        <v>504</v>
      </c>
      <c r="H23" s="79">
        <v>2873</v>
      </c>
      <c r="I23" s="79">
        <v>2872</v>
      </c>
      <c r="J23" s="79">
        <v>50171</v>
      </c>
      <c r="K23" s="79">
        <v>50171</v>
      </c>
      <c r="L23" s="79">
        <v>47624</v>
      </c>
      <c r="M23" s="79">
        <v>1192</v>
      </c>
      <c r="N23" s="79">
        <v>1348</v>
      </c>
      <c r="O23" s="79">
        <v>6165</v>
      </c>
      <c r="P23" s="79">
        <v>6166</v>
      </c>
      <c r="Q23" s="79">
        <v>14219</v>
      </c>
      <c r="R23" s="79">
        <v>3782</v>
      </c>
      <c r="S23" s="79">
        <v>533</v>
      </c>
      <c r="T23" s="79">
        <v>3152</v>
      </c>
      <c r="U23" s="79">
        <v>7273</v>
      </c>
      <c r="V23" s="79">
        <v>589</v>
      </c>
      <c r="W23" s="79">
        <v>8826</v>
      </c>
      <c r="X23" s="79">
        <v>8826</v>
      </c>
    </row>
    <row r="24" spans="1:24" x14ac:dyDescent="0.35">
      <c r="A24" s="78">
        <v>2012</v>
      </c>
      <c r="B24" s="79">
        <v>117351</v>
      </c>
      <c r="C24" s="79">
        <v>31521</v>
      </c>
      <c r="D24" s="79">
        <v>17767</v>
      </c>
      <c r="E24" s="79">
        <v>5548</v>
      </c>
      <c r="F24" s="79">
        <v>7873</v>
      </c>
      <c r="G24" s="79">
        <v>468</v>
      </c>
      <c r="H24" s="79">
        <v>2885</v>
      </c>
      <c r="I24" s="79">
        <v>2885</v>
      </c>
      <c r="J24" s="79">
        <v>52991</v>
      </c>
      <c r="K24" s="79">
        <v>52991</v>
      </c>
      <c r="L24" s="79">
        <v>50393</v>
      </c>
      <c r="M24" s="79">
        <v>1026</v>
      </c>
      <c r="N24" s="79">
        <v>1568</v>
      </c>
      <c r="O24" s="79">
        <v>7128</v>
      </c>
      <c r="P24" s="79">
        <v>7129</v>
      </c>
      <c r="Q24" s="79">
        <v>13985</v>
      </c>
      <c r="R24" s="79">
        <v>4121</v>
      </c>
      <c r="S24" s="79">
        <v>506</v>
      </c>
      <c r="T24" s="79">
        <v>2831</v>
      </c>
      <c r="U24" s="79">
        <v>7044</v>
      </c>
      <c r="V24" s="79">
        <v>619</v>
      </c>
      <c r="W24" s="79">
        <v>9295</v>
      </c>
      <c r="X24" s="79">
        <v>9295</v>
      </c>
    </row>
    <row r="25" spans="1:24" x14ac:dyDescent="0.35">
      <c r="A25" s="78">
        <v>2013</v>
      </c>
      <c r="B25" s="79">
        <v>126258</v>
      </c>
      <c r="C25" s="79">
        <v>30927</v>
      </c>
      <c r="D25" s="79">
        <v>19131</v>
      </c>
      <c r="E25" s="79">
        <v>3794</v>
      </c>
      <c r="F25" s="79">
        <v>7739</v>
      </c>
      <c r="G25" s="79">
        <v>381</v>
      </c>
      <c r="H25" s="79">
        <v>3234</v>
      </c>
      <c r="I25" s="79">
        <v>3233</v>
      </c>
      <c r="J25" s="79">
        <v>61859</v>
      </c>
      <c r="K25" s="79">
        <v>61859</v>
      </c>
      <c r="L25" s="79">
        <v>59353</v>
      </c>
      <c r="M25" s="79">
        <v>958</v>
      </c>
      <c r="N25" s="79">
        <v>1559</v>
      </c>
      <c r="O25" s="79">
        <v>7075</v>
      </c>
      <c r="P25" s="79">
        <v>7076</v>
      </c>
      <c r="Q25" s="79">
        <v>15081</v>
      </c>
      <c r="R25" s="79">
        <v>4238</v>
      </c>
      <c r="S25" s="79">
        <v>399</v>
      </c>
      <c r="T25" s="79">
        <v>3736</v>
      </c>
      <c r="U25" s="79">
        <v>7011</v>
      </c>
      <c r="V25" s="79">
        <v>511</v>
      </c>
      <c r="W25" s="79">
        <v>8599</v>
      </c>
      <c r="X25" s="79">
        <v>8599</v>
      </c>
    </row>
    <row r="26" spans="1:24" x14ac:dyDescent="0.35">
      <c r="A26" s="78">
        <v>2014</v>
      </c>
      <c r="B26" s="79">
        <v>135022</v>
      </c>
      <c r="C26" s="79">
        <v>32812</v>
      </c>
      <c r="D26" s="79">
        <v>20351</v>
      </c>
      <c r="E26" s="79">
        <v>4345</v>
      </c>
      <c r="F26" s="79">
        <v>7928</v>
      </c>
      <c r="G26" s="79">
        <v>361</v>
      </c>
      <c r="H26" s="79">
        <v>3342</v>
      </c>
      <c r="I26" s="79">
        <v>3341</v>
      </c>
      <c r="J26" s="79">
        <v>69327</v>
      </c>
      <c r="K26" s="79">
        <v>69327</v>
      </c>
      <c r="L26" s="79">
        <v>66709</v>
      </c>
      <c r="M26" s="79">
        <v>1006</v>
      </c>
      <c r="N26" s="79">
        <v>1636</v>
      </c>
      <c r="O26" s="79">
        <v>5206</v>
      </c>
      <c r="P26" s="79">
        <v>5206</v>
      </c>
      <c r="Q26" s="79">
        <v>15126</v>
      </c>
      <c r="R26" s="79">
        <v>3753</v>
      </c>
      <c r="S26" s="79">
        <v>679</v>
      </c>
      <c r="T26" s="79">
        <v>3859</v>
      </c>
      <c r="U26" s="79">
        <v>7094</v>
      </c>
      <c r="V26" s="79">
        <v>537</v>
      </c>
      <c r="W26" s="79">
        <v>10358</v>
      </c>
      <c r="X26" s="79">
        <v>10358</v>
      </c>
    </row>
    <row r="27" spans="1:24" x14ac:dyDescent="0.35">
      <c r="A27" s="78">
        <v>2015</v>
      </c>
      <c r="B27" s="79">
        <v>146099</v>
      </c>
      <c r="C27" s="79">
        <v>36554</v>
      </c>
      <c r="D27" s="79">
        <v>23244</v>
      </c>
      <c r="E27" s="79">
        <v>5787</v>
      </c>
      <c r="F27" s="79">
        <v>7499</v>
      </c>
      <c r="G27" s="79">
        <v>380</v>
      </c>
      <c r="H27" s="79">
        <v>3596</v>
      </c>
      <c r="I27" s="79">
        <v>3596</v>
      </c>
      <c r="J27" s="79">
        <v>72685</v>
      </c>
      <c r="K27" s="79">
        <v>72685</v>
      </c>
      <c r="L27" s="79">
        <v>70169</v>
      </c>
      <c r="M27" s="79">
        <v>1009</v>
      </c>
      <c r="N27" s="79">
        <v>1547</v>
      </c>
      <c r="O27" s="79">
        <v>5572</v>
      </c>
      <c r="P27" s="79">
        <v>5573</v>
      </c>
      <c r="Q27" s="79">
        <v>16769</v>
      </c>
      <c r="R27" s="79">
        <v>4233</v>
      </c>
      <c r="S27" s="79">
        <v>1059</v>
      </c>
      <c r="T27" s="79">
        <v>4350</v>
      </c>
      <c r="U27" s="79">
        <v>7155</v>
      </c>
      <c r="V27" s="79">
        <v>543</v>
      </c>
      <c r="W27" s="79">
        <v>11890</v>
      </c>
      <c r="X27" s="79">
        <v>11890</v>
      </c>
    </row>
    <row r="28" spans="1:24" x14ac:dyDescent="0.35">
      <c r="A28" s="78">
        <v>2016</v>
      </c>
      <c r="B28" s="79">
        <v>154518</v>
      </c>
      <c r="C28" s="79">
        <v>36150</v>
      </c>
      <c r="D28" s="79">
        <v>22540</v>
      </c>
      <c r="E28" s="79">
        <v>5537</v>
      </c>
      <c r="F28" s="79">
        <v>7706</v>
      </c>
      <c r="G28" s="79">
        <v>634</v>
      </c>
      <c r="H28" s="79">
        <v>3234</v>
      </c>
      <c r="I28" s="79">
        <v>3234</v>
      </c>
      <c r="J28" s="79">
        <v>77513</v>
      </c>
      <c r="K28" s="79">
        <v>77513</v>
      </c>
      <c r="L28" s="79">
        <v>74630</v>
      </c>
      <c r="M28" s="79">
        <v>1106</v>
      </c>
      <c r="N28" s="79">
        <v>1805</v>
      </c>
      <c r="O28" s="79">
        <v>9201</v>
      </c>
      <c r="P28" s="79">
        <v>9202</v>
      </c>
      <c r="Q28" s="79">
        <v>16263</v>
      </c>
      <c r="R28" s="79">
        <v>3840</v>
      </c>
      <c r="S28" s="79">
        <v>505</v>
      </c>
      <c r="T28" s="79">
        <v>4776</v>
      </c>
      <c r="U28" s="79">
        <v>7325</v>
      </c>
      <c r="V28" s="79">
        <v>449</v>
      </c>
      <c r="W28" s="79">
        <v>13561</v>
      </c>
      <c r="X28" s="79">
        <v>13561</v>
      </c>
    </row>
    <row r="29" spans="1:24" x14ac:dyDescent="0.35">
      <c r="A29" s="78">
        <v>2017</v>
      </c>
      <c r="B29" s="79">
        <v>153976</v>
      </c>
      <c r="C29" s="79">
        <v>37663</v>
      </c>
      <c r="D29" s="79">
        <v>24418</v>
      </c>
      <c r="E29" s="79">
        <v>4940</v>
      </c>
      <c r="F29" s="79">
        <v>7852</v>
      </c>
      <c r="G29" s="79">
        <v>741</v>
      </c>
      <c r="H29" s="79">
        <v>3538</v>
      </c>
      <c r="I29" s="79">
        <v>3538</v>
      </c>
      <c r="J29" s="79">
        <v>74450</v>
      </c>
      <c r="K29" s="79">
        <v>74450</v>
      </c>
      <c r="L29" s="79">
        <v>71363</v>
      </c>
      <c r="M29" s="79">
        <v>1204</v>
      </c>
      <c r="N29" s="79">
        <v>1893</v>
      </c>
      <c r="O29" s="79">
        <v>7980</v>
      </c>
      <c r="P29" s="79">
        <v>7981</v>
      </c>
      <c r="Q29" s="79">
        <v>19762</v>
      </c>
      <c r="R29" s="79">
        <v>4623</v>
      </c>
      <c r="S29" s="79">
        <v>1532</v>
      </c>
      <c r="T29" s="79">
        <v>5044</v>
      </c>
      <c r="U29" s="79">
        <v>8770</v>
      </c>
      <c r="V29" s="79">
        <v>546</v>
      </c>
      <c r="W29" s="79">
        <v>11113</v>
      </c>
      <c r="X29" s="79">
        <v>11113</v>
      </c>
    </row>
    <row r="30" spans="1:24" x14ac:dyDescent="0.35">
      <c r="A30" s="78">
        <v>2018</v>
      </c>
      <c r="B30" s="79">
        <v>154761</v>
      </c>
      <c r="C30" s="79">
        <v>39958</v>
      </c>
      <c r="D30" s="79">
        <v>23710</v>
      </c>
      <c r="E30" s="79">
        <v>5764</v>
      </c>
      <c r="F30" s="79">
        <v>9797</v>
      </c>
      <c r="G30" s="79">
        <v>819</v>
      </c>
      <c r="H30" s="79">
        <v>3903</v>
      </c>
      <c r="I30" s="79">
        <v>3903</v>
      </c>
      <c r="J30" s="79">
        <v>72755</v>
      </c>
      <c r="K30" s="79">
        <v>72755</v>
      </c>
      <c r="L30" s="79">
        <v>69772</v>
      </c>
      <c r="M30" s="79">
        <v>1200</v>
      </c>
      <c r="N30" s="79">
        <v>1795</v>
      </c>
      <c r="O30" s="79">
        <v>7909</v>
      </c>
      <c r="P30" s="79">
        <v>7910</v>
      </c>
      <c r="Q30" s="79">
        <v>19528</v>
      </c>
      <c r="R30" s="79">
        <v>5483</v>
      </c>
      <c r="S30" s="79">
        <v>2025</v>
      </c>
      <c r="T30" s="79">
        <v>4333</v>
      </c>
      <c r="U30" s="79">
        <v>7695</v>
      </c>
      <c r="V30" s="79">
        <v>418</v>
      </c>
      <c r="W30" s="79">
        <v>11265</v>
      </c>
      <c r="X30" s="79">
        <v>11265</v>
      </c>
    </row>
    <row r="31" spans="1:24" x14ac:dyDescent="0.35">
      <c r="A31" s="78">
        <v>2019</v>
      </c>
      <c r="B31" s="79">
        <v>155920</v>
      </c>
      <c r="C31" s="79">
        <v>39711</v>
      </c>
      <c r="D31" s="79">
        <v>24208</v>
      </c>
      <c r="E31" s="79">
        <v>5878</v>
      </c>
      <c r="F31" s="79">
        <v>8943</v>
      </c>
      <c r="G31" s="79">
        <v>928</v>
      </c>
      <c r="H31" s="79">
        <v>3748</v>
      </c>
      <c r="I31" s="79">
        <v>3748</v>
      </c>
      <c r="J31" s="79">
        <v>74065</v>
      </c>
      <c r="K31" s="79">
        <v>74065</v>
      </c>
      <c r="L31" s="79">
        <v>70910</v>
      </c>
      <c r="M31" s="79">
        <v>1315</v>
      </c>
      <c r="N31" s="79">
        <v>1845</v>
      </c>
      <c r="O31" s="79">
        <v>7416</v>
      </c>
      <c r="P31" s="79">
        <v>7416</v>
      </c>
      <c r="Q31" s="79">
        <v>20522</v>
      </c>
      <c r="R31" s="79">
        <v>6251</v>
      </c>
      <c r="S31" s="79">
        <v>1397</v>
      </c>
      <c r="T31" s="79">
        <v>4405</v>
      </c>
      <c r="U31" s="79">
        <v>8415</v>
      </c>
      <c r="V31" s="79">
        <v>597</v>
      </c>
      <c r="W31" s="79">
        <v>10894</v>
      </c>
      <c r="X31" s="79">
        <v>10894</v>
      </c>
    </row>
    <row r="32" spans="1:24" x14ac:dyDescent="0.35">
      <c r="A32" s="78">
        <v>2020</v>
      </c>
      <c r="B32" s="79">
        <v>141284</v>
      </c>
      <c r="C32" s="79">
        <v>41795</v>
      </c>
      <c r="D32" s="79">
        <v>25195</v>
      </c>
      <c r="E32" s="79">
        <v>5496</v>
      </c>
      <c r="F32" s="79">
        <v>10324</v>
      </c>
      <c r="G32" s="79">
        <v>920</v>
      </c>
      <c r="H32" s="79">
        <v>2763</v>
      </c>
      <c r="I32" s="79">
        <v>2763</v>
      </c>
      <c r="J32" s="79">
        <v>59206</v>
      </c>
      <c r="K32" s="79">
        <v>59206</v>
      </c>
      <c r="L32" s="79">
        <v>56413</v>
      </c>
      <c r="M32" s="79">
        <v>910</v>
      </c>
      <c r="N32" s="79">
        <v>1880</v>
      </c>
      <c r="O32" s="79">
        <v>7055</v>
      </c>
      <c r="P32" s="79">
        <v>7055</v>
      </c>
      <c r="Q32" s="79">
        <v>20773</v>
      </c>
      <c r="R32" s="79">
        <v>6765</v>
      </c>
      <c r="S32" s="79">
        <v>1847</v>
      </c>
      <c r="T32" s="79">
        <v>5819</v>
      </c>
      <c r="U32" s="79">
        <v>5865</v>
      </c>
      <c r="V32" s="79">
        <v>621</v>
      </c>
      <c r="W32" s="79">
        <v>9855</v>
      </c>
      <c r="X32" s="79">
        <v>9855</v>
      </c>
    </row>
    <row r="33" spans="1:24" x14ac:dyDescent="0.35">
      <c r="A33" s="78">
        <v>2021</v>
      </c>
      <c r="B33" s="79">
        <v>142526</v>
      </c>
      <c r="C33" s="79">
        <v>47149</v>
      </c>
      <c r="D33" s="79">
        <v>28676</v>
      </c>
      <c r="E33" s="79">
        <v>6022</v>
      </c>
      <c r="F33" s="79">
        <v>11068</v>
      </c>
      <c r="G33" s="79">
        <v>1526</v>
      </c>
      <c r="H33" s="79">
        <v>3513</v>
      </c>
      <c r="I33" s="79">
        <v>3513</v>
      </c>
      <c r="J33" s="79">
        <v>56858</v>
      </c>
      <c r="K33" s="79">
        <v>56858</v>
      </c>
      <c r="L33" s="79">
        <v>53948</v>
      </c>
      <c r="M33" s="79">
        <v>980</v>
      </c>
      <c r="N33" s="79">
        <v>1928</v>
      </c>
      <c r="O33" s="79">
        <v>5159</v>
      </c>
      <c r="P33" s="79">
        <v>5159</v>
      </c>
      <c r="Q33" s="79">
        <v>19647</v>
      </c>
      <c r="R33" s="79">
        <v>4699</v>
      </c>
      <c r="S33" s="79">
        <v>1091</v>
      </c>
      <c r="T33" s="79">
        <v>7110</v>
      </c>
      <c r="U33" s="79">
        <v>6158</v>
      </c>
      <c r="V33" s="79">
        <v>637</v>
      </c>
      <c r="W33" s="79">
        <v>10915</v>
      </c>
      <c r="X33" s="79">
        <v>10915</v>
      </c>
    </row>
    <row r="34" spans="1:24" x14ac:dyDescent="0.35">
      <c r="A34" s="78">
        <v>2022</v>
      </c>
      <c r="B34" s="79">
        <v>148725</v>
      </c>
      <c r="C34" s="79">
        <v>46014</v>
      </c>
      <c r="D34" s="79">
        <v>26619</v>
      </c>
      <c r="E34" s="79">
        <v>6134</v>
      </c>
      <c r="F34" s="79">
        <v>11851</v>
      </c>
      <c r="G34" s="79">
        <v>1465</v>
      </c>
      <c r="H34" s="79">
        <v>3865</v>
      </c>
      <c r="I34" s="79">
        <v>3865</v>
      </c>
      <c r="J34" s="79">
        <v>60085</v>
      </c>
      <c r="K34" s="79">
        <v>60085</v>
      </c>
      <c r="L34" s="79">
        <v>57114</v>
      </c>
      <c r="M34" s="79">
        <v>1034</v>
      </c>
      <c r="N34" s="79">
        <v>1937</v>
      </c>
      <c r="O34" s="79">
        <v>5443</v>
      </c>
      <c r="P34" s="79">
        <v>5443</v>
      </c>
      <c r="Q34" s="79">
        <v>21698</v>
      </c>
      <c r="R34" s="79">
        <v>4618</v>
      </c>
      <c r="S34" s="79">
        <v>1247</v>
      </c>
      <c r="T34" s="79">
        <v>8435</v>
      </c>
      <c r="U34" s="79">
        <v>6708</v>
      </c>
      <c r="V34" s="79">
        <v>707</v>
      </c>
      <c r="W34" s="79">
        <v>12007</v>
      </c>
      <c r="X34" s="79">
        <v>12007</v>
      </c>
    </row>
    <row r="35" spans="1:24" x14ac:dyDescent="0.35">
      <c r="A35" s="78">
        <v>2023</v>
      </c>
      <c r="B35" s="79">
        <v>145320</v>
      </c>
      <c r="C35" s="79">
        <v>40834</v>
      </c>
      <c r="D35" s="79">
        <v>21739</v>
      </c>
      <c r="E35" s="79">
        <v>5451</v>
      </c>
      <c r="F35" s="79">
        <v>12551</v>
      </c>
      <c r="G35" s="79">
        <v>1093</v>
      </c>
      <c r="H35" s="79">
        <v>3455</v>
      </c>
      <c r="I35" s="79">
        <v>3455</v>
      </c>
      <c r="J35" s="79">
        <v>64871</v>
      </c>
      <c r="K35" s="79">
        <v>64871</v>
      </c>
      <c r="L35" s="79">
        <v>61845</v>
      </c>
      <c r="M35" s="79">
        <v>1155</v>
      </c>
      <c r="N35" s="79">
        <v>1871</v>
      </c>
      <c r="O35" s="79">
        <v>4298</v>
      </c>
      <c r="P35" s="79">
        <v>4298</v>
      </c>
      <c r="Q35" s="79">
        <v>21555</v>
      </c>
      <c r="R35" s="79">
        <v>3622</v>
      </c>
      <c r="S35" s="79">
        <v>1923</v>
      </c>
      <c r="T35" s="79">
        <v>8466</v>
      </c>
      <c r="U35" s="79">
        <v>6951</v>
      </c>
      <c r="V35" s="79">
        <v>593</v>
      </c>
      <c r="W35" s="79">
        <v>10307</v>
      </c>
      <c r="X35" s="79">
        <v>10307</v>
      </c>
    </row>
    <row r="36" spans="1:24" x14ac:dyDescent="0.35">
      <c r="A36" s="78">
        <v>2024</v>
      </c>
      <c r="B36" s="79">
        <v>147092</v>
      </c>
      <c r="C36" s="79">
        <v>39474</v>
      </c>
      <c r="D36" s="79">
        <v>19792</v>
      </c>
      <c r="E36" s="79">
        <v>5609</v>
      </c>
      <c r="F36" s="79">
        <v>12645</v>
      </c>
      <c r="G36" s="79">
        <v>1428</v>
      </c>
      <c r="H36" s="79">
        <v>3465</v>
      </c>
      <c r="I36" s="79">
        <v>3465</v>
      </c>
      <c r="J36" s="79">
        <v>65261</v>
      </c>
      <c r="K36" s="79">
        <v>65261</v>
      </c>
      <c r="L36" s="79">
        <v>62198</v>
      </c>
      <c r="M36" s="79">
        <v>1211</v>
      </c>
      <c r="N36" s="79">
        <v>1852</v>
      </c>
      <c r="O36" s="79">
        <v>5673</v>
      </c>
      <c r="P36" s="79">
        <v>5673</v>
      </c>
      <c r="Q36" s="79">
        <v>23217</v>
      </c>
      <c r="R36" s="79">
        <v>3709</v>
      </c>
      <c r="S36" s="79">
        <v>2115</v>
      </c>
      <c r="T36" s="79">
        <v>9895</v>
      </c>
      <c r="U36" s="79">
        <v>6848</v>
      </c>
      <c r="V36" s="79">
        <v>650</v>
      </c>
      <c r="W36" s="79">
        <v>10002</v>
      </c>
      <c r="X36" s="79">
        <v>10002</v>
      </c>
    </row>
    <row r="37" spans="1:24" x14ac:dyDescent="0.35">
      <c r="A37" s="78">
        <v>2025</v>
      </c>
      <c r="B37" s="79">
        <v>151990</v>
      </c>
      <c r="C37" s="79">
        <v>39493</v>
      </c>
      <c r="D37" s="79">
        <v>20357</v>
      </c>
      <c r="E37" s="79">
        <v>5273</v>
      </c>
      <c r="F37" s="79">
        <v>12485</v>
      </c>
      <c r="G37" s="79">
        <v>1378</v>
      </c>
      <c r="H37" s="79">
        <v>4187</v>
      </c>
      <c r="I37" s="79">
        <v>4187</v>
      </c>
      <c r="J37" s="79">
        <v>68518</v>
      </c>
      <c r="K37" s="79">
        <v>68518</v>
      </c>
      <c r="L37" s="79">
        <v>65440</v>
      </c>
      <c r="M37" s="79">
        <v>1204</v>
      </c>
      <c r="N37" s="79">
        <v>1874</v>
      </c>
      <c r="O37" s="79">
        <v>5335</v>
      </c>
      <c r="P37" s="79">
        <v>5335</v>
      </c>
      <c r="Q37" s="79">
        <v>24413</v>
      </c>
      <c r="R37" s="79">
        <v>4250</v>
      </c>
      <c r="S37" s="79">
        <v>2165</v>
      </c>
      <c r="T37" s="79">
        <v>10542</v>
      </c>
      <c r="U37" s="79">
        <v>6705</v>
      </c>
      <c r="V37" s="79">
        <v>751</v>
      </c>
      <c r="W37" s="79">
        <v>10044</v>
      </c>
      <c r="X37" s="79">
        <v>10044</v>
      </c>
    </row>
    <row r="38" spans="1:24" ht="15.65" customHeight="1" x14ac:dyDescent="0.35">
      <c r="A38" s="81" t="s">
        <v>879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</row>
    <row r="39" spans="1:24" s="87" customFormat="1" ht="79.900000000000006" customHeight="1" x14ac:dyDescent="0.4">
      <c r="A39" s="88" t="s">
        <v>880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</row>
    <row r="40" spans="1:24" ht="77.5" x14ac:dyDescent="0.35">
      <c r="A40" s="96" t="s">
        <v>304</v>
      </c>
      <c r="B40" s="97" t="s">
        <v>816</v>
      </c>
      <c r="C40" s="97" t="s">
        <v>645</v>
      </c>
      <c r="D40" s="98" t="s">
        <v>817</v>
      </c>
      <c r="E40" s="98" t="s">
        <v>818</v>
      </c>
      <c r="F40" s="98" t="s">
        <v>819</v>
      </c>
      <c r="G40" s="98" t="s">
        <v>820</v>
      </c>
      <c r="H40" s="97" t="s">
        <v>324</v>
      </c>
      <c r="I40" s="98" t="s">
        <v>821</v>
      </c>
      <c r="J40" s="97" t="s">
        <v>330</v>
      </c>
      <c r="K40" s="98" t="s">
        <v>822</v>
      </c>
      <c r="L40" s="98" t="s">
        <v>823</v>
      </c>
      <c r="M40" s="98" t="s">
        <v>824</v>
      </c>
      <c r="N40" s="98" t="s">
        <v>825</v>
      </c>
      <c r="O40" s="97" t="s">
        <v>339</v>
      </c>
      <c r="P40" s="98" t="s">
        <v>826</v>
      </c>
      <c r="Q40" s="97" t="s">
        <v>342</v>
      </c>
      <c r="R40" s="98" t="s">
        <v>827</v>
      </c>
      <c r="S40" s="98" t="s">
        <v>828</v>
      </c>
      <c r="T40" s="98" t="s">
        <v>829</v>
      </c>
      <c r="U40" s="98" t="s">
        <v>830</v>
      </c>
      <c r="V40" s="98" t="s">
        <v>831</v>
      </c>
      <c r="W40" s="97" t="s">
        <v>357</v>
      </c>
      <c r="X40" s="98" t="s">
        <v>832</v>
      </c>
    </row>
    <row r="41" spans="1:24" ht="31" x14ac:dyDescent="0.35">
      <c r="A41" s="99" t="s">
        <v>371</v>
      </c>
      <c r="B41" s="75" t="s">
        <v>833</v>
      </c>
      <c r="C41" s="75" t="s">
        <v>834</v>
      </c>
      <c r="D41" s="76" t="s">
        <v>835</v>
      </c>
      <c r="E41" s="76" t="s">
        <v>836</v>
      </c>
      <c r="F41" s="76" t="s">
        <v>837</v>
      </c>
      <c r="G41" s="76" t="s">
        <v>838</v>
      </c>
      <c r="H41" s="75" t="s">
        <v>839</v>
      </c>
      <c r="I41" s="76" t="s">
        <v>840</v>
      </c>
      <c r="J41" s="75" t="s">
        <v>841</v>
      </c>
      <c r="K41" s="77" t="s">
        <v>842</v>
      </c>
      <c r="L41" s="76" t="s">
        <v>843</v>
      </c>
      <c r="M41" s="76" t="s">
        <v>844</v>
      </c>
      <c r="N41" s="76" t="s">
        <v>845</v>
      </c>
      <c r="O41" s="75" t="s">
        <v>846</v>
      </c>
      <c r="P41" s="77" t="s">
        <v>847</v>
      </c>
      <c r="Q41" s="75" t="s">
        <v>848</v>
      </c>
      <c r="R41" s="76" t="s">
        <v>849</v>
      </c>
      <c r="S41" s="76" t="s">
        <v>850</v>
      </c>
      <c r="T41" s="76" t="s">
        <v>851</v>
      </c>
      <c r="U41" s="76" t="s">
        <v>852</v>
      </c>
      <c r="V41" s="76" t="s">
        <v>853</v>
      </c>
      <c r="W41" s="75" t="s">
        <v>854</v>
      </c>
      <c r="X41" s="76" t="s">
        <v>855</v>
      </c>
    </row>
    <row r="42" spans="1:24" x14ac:dyDescent="0.35">
      <c r="A42" s="99" t="s">
        <v>429</v>
      </c>
      <c r="B42" s="95" t="s">
        <v>856</v>
      </c>
      <c r="C42" s="95" t="s">
        <v>857</v>
      </c>
      <c r="D42" s="95" t="s">
        <v>858</v>
      </c>
      <c r="E42" s="95" t="s">
        <v>859</v>
      </c>
      <c r="F42" s="95" t="s">
        <v>860</v>
      </c>
      <c r="G42" s="95" t="s">
        <v>861</v>
      </c>
      <c r="H42" s="95" t="s">
        <v>862</v>
      </c>
      <c r="I42" s="95" t="s">
        <v>863</v>
      </c>
      <c r="J42" s="95" t="s">
        <v>864</v>
      </c>
      <c r="K42" s="95" t="s">
        <v>865</v>
      </c>
      <c r="L42" s="95" t="s">
        <v>866</v>
      </c>
      <c r="M42" s="95" t="s">
        <v>867</v>
      </c>
      <c r="N42" s="95" t="s">
        <v>868</v>
      </c>
      <c r="O42" s="95" t="s">
        <v>869</v>
      </c>
      <c r="P42" s="95" t="s">
        <v>870</v>
      </c>
      <c r="Q42" s="95" t="s">
        <v>871</v>
      </c>
      <c r="R42" s="95" t="s">
        <v>872</v>
      </c>
      <c r="S42" s="95" t="s">
        <v>873</v>
      </c>
      <c r="T42" s="95" t="s">
        <v>874</v>
      </c>
      <c r="U42" s="95" t="s">
        <v>875</v>
      </c>
      <c r="V42" s="95" t="s">
        <v>876</v>
      </c>
      <c r="W42" s="95" t="s">
        <v>877</v>
      </c>
      <c r="X42" s="95" t="s">
        <v>878</v>
      </c>
    </row>
    <row r="43" spans="1:24" x14ac:dyDescent="0.35">
      <c r="A43" s="84" t="s">
        <v>499</v>
      </c>
      <c r="B43" s="79">
        <v>15218</v>
      </c>
      <c r="C43" s="79">
        <v>6857</v>
      </c>
      <c r="D43" s="79">
        <v>3957</v>
      </c>
      <c r="E43" s="79">
        <v>1956</v>
      </c>
      <c r="F43" s="79">
        <v>1136</v>
      </c>
      <c r="G43" s="79">
        <v>102</v>
      </c>
      <c r="H43" s="79">
        <v>589</v>
      </c>
      <c r="I43" s="79">
        <v>588</v>
      </c>
      <c r="J43" s="79">
        <v>10227</v>
      </c>
      <c r="K43" s="79">
        <v>10227</v>
      </c>
      <c r="L43" s="79">
        <v>9926</v>
      </c>
      <c r="M43" s="79">
        <v>185</v>
      </c>
      <c r="N43" s="79">
        <v>125</v>
      </c>
      <c r="O43" s="79">
        <v>264</v>
      </c>
      <c r="P43" s="79">
        <v>264</v>
      </c>
      <c r="Q43" s="79">
        <v>411</v>
      </c>
      <c r="R43" s="79">
        <v>153</v>
      </c>
      <c r="S43" s="79">
        <v>6</v>
      </c>
      <c r="T43" s="79">
        <v>18</v>
      </c>
      <c r="U43" s="79">
        <v>1024</v>
      </c>
      <c r="V43" s="79">
        <v>131</v>
      </c>
      <c r="W43" s="79">
        <v>1849</v>
      </c>
      <c r="X43" s="79">
        <v>1850</v>
      </c>
    </row>
    <row r="44" spans="1:24" x14ac:dyDescent="0.35">
      <c r="A44" s="84" t="s">
        <v>500</v>
      </c>
      <c r="B44" s="79">
        <v>15766</v>
      </c>
      <c r="C44" s="79">
        <v>6456</v>
      </c>
      <c r="D44" s="79">
        <v>3884</v>
      </c>
      <c r="E44" s="79">
        <v>1482</v>
      </c>
      <c r="F44" s="79">
        <v>1158</v>
      </c>
      <c r="G44" s="79">
        <v>98</v>
      </c>
      <c r="H44" s="79">
        <v>580</v>
      </c>
      <c r="I44" s="79">
        <v>580</v>
      </c>
      <c r="J44" s="79">
        <v>11016</v>
      </c>
      <c r="K44" s="79">
        <v>11016</v>
      </c>
      <c r="L44" s="79">
        <v>10694</v>
      </c>
      <c r="M44" s="79">
        <v>207</v>
      </c>
      <c r="N44" s="79">
        <v>124</v>
      </c>
      <c r="O44" s="79">
        <v>392</v>
      </c>
      <c r="P44" s="79">
        <v>392</v>
      </c>
      <c r="Q44" s="79">
        <v>430</v>
      </c>
      <c r="R44" s="79">
        <v>145</v>
      </c>
      <c r="S44" s="79">
        <v>8</v>
      </c>
      <c r="T44" s="79">
        <v>20</v>
      </c>
      <c r="U44" s="79">
        <v>1029</v>
      </c>
      <c r="V44" s="79">
        <v>143</v>
      </c>
      <c r="W44" s="79">
        <v>1824</v>
      </c>
      <c r="X44" s="79">
        <v>1824</v>
      </c>
    </row>
    <row r="45" spans="1:24" x14ac:dyDescent="0.35">
      <c r="A45" s="84" t="s">
        <v>501</v>
      </c>
      <c r="B45" s="79">
        <v>17586</v>
      </c>
      <c r="C45" s="79">
        <v>6296</v>
      </c>
      <c r="D45" s="79">
        <v>3884</v>
      </c>
      <c r="E45" s="79">
        <v>1322</v>
      </c>
      <c r="F45" s="79">
        <v>1128</v>
      </c>
      <c r="G45" s="79">
        <v>105</v>
      </c>
      <c r="H45" s="79">
        <v>562</v>
      </c>
      <c r="I45" s="79">
        <v>562</v>
      </c>
      <c r="J45" s="79">
        <v>13761</v>
      </c>
      <c r="K45" s="79">
        <v>13761</v>
      </c>
      <c r="L45" s="79">
        <v>13431</v>
      </c>
      <c r="M45" s="79">
        <v>228</v>
      </c>
      <c r="N45" s="79">
        <v>122</v>
      </c>
      <c r="O45" s="79">
        <v>430</v>
      </c>
      <c r="P45" s="79">
        <v>430</v>
      </c>
      <c r="Q45" s="79">
        <v>434</v>
      </c>
      <c r="R45" s="79">
        <v>133</v>
      </c>
      <c r="S45" s="79">
        <v>10</v>
      </c>
      <c r="T45" s="79">
        <v>21</v>
      </c>
      <c r="U45" s="79">
        <v>1040</v>
      </c>
      <c r="V45" s="79">
        <v>136</v>
      </c>
      <c r="W45" s="79">
        <v>1849</v>
      </c>
      <c r="X45" s="79">
        <v>1849</v>
      </c>
    </row>
    <row r="46" spans="1:24" x14ac:dyDescent="0.35">
      <c r="A46" s="84" t="s">
        <v>502</v>
      </c>
      <c r="B46" s="79">
        <v>16613</v>
      </c>
      <c r="C46" s="79">
        <v>6447</v>
      </c>
      <c r="D46" s="79">
        <v>3934</v>
      </c>
      <c r="E46" s="79">
        <v>1456</v>
      </c>
      <c r="F46" s="79">
        <v>1130</v>
      </c>
      <c r="G46" s="79">
        <v>104</v>
      </c>
      <c r="H46" s="79">
        <v>529</v>
      </c>
      <c r="I46" s="79">
        <v>529</v>
      </c>
      <c r="J46" s="79">
        <v>12012</v>
      </c>
      <c r="K46" s="79">
        <v>12012</v>
      </c>
      <c r="L46" s="79">
        <v>11659</v>
      </c>
      <c r="M46" s="79">
        <v>242</v>
      </c>
      <c r="N46" s="79">
        <v>121</v>
      </c>
      <c r="O46" s="79">
        <v>436</v>
      </c>
      <c r="P46" s="79">
        <v>436</v>
      </c>
      <c r="Q46" s="79">
        <v>449</v>
      </c>
      <c r="R46" s="79">
        <v>133</v>
      </c>
      <c r="S46" s="79">
        <v>11</v>
      </c>
      <c r="T46" s="79">
        <v>22</v>
      </c>
      <c r="U46" s="79">
        <v>1073</v>
      </c>
      <c r="V46" s="79">
        <v>143</v>
      </c>
      <c r="W46" s="79">
        <v>1872</v>
      </c>
      <c r="X46" s="79">
        <v>1871</v>
      </c>
    </row>
    <row r="47" spans="1:24" x14ac:dyDescent="0.35">
      <c r="A47" s="84" t="s">
        <v>503</v>
      </c>
      <c r="B47" s="79">
        <v>16829</v>
      </c>
      <c r="C47" s="79">
        <v>6515</v>
      </c>
      <c r="D47" s="79">
        <v>4038</v>
      </c>
      <c r="E47" s="79">
        <v>1445</v>
      </c>
      <c r="F47" s="79">
        <v>1119</v>
      </c>
      <c r="G47" s="79">
        <v>103</v>
      </c>
      <c r="H47" s="79">
        <v>531</v>
      </c>
      <c r="I47" s="79">
        <v>530</v>
      </c>
      <c r="J47" s="79">
        <v>11793</v>
      </c>
      <c r="K47" s="79">
        <v>11793</v>
      </c>
      <c r="L47" s="79">
        <v>11413</v>
      </c>
      <c r="M47" s="79">
        <v>267</v>
      </c>
      <c r="N47" s="79">
        <v>121</v>
      </c>
      <c r="O47" s="79">
        <v>552</v>
      </c>
      <c r="P47" s="79">
        <v>552</v>
      </c>
      <c r="Q47" s="79">
        <v>484</v>
      </c>
      <c r="R47" s="79">
        <v>138</v>
      </c>
      <c r="S47" s="79">
        <v>10</v>
      </c>
      <c r="T47" s="79">
        <v>27</v>
      </c>
      <c r="U47" s="79">
        <v>1122</v>
      </c>
      <c r="V47" s="79">
        <v>126</v>
      </c>
      <c r="W47" s="79">
        <v>1891</v>
      </c>
      <c r="X47" s="79">
        <v>1890</v>
      </c>
    </row>
    <row r="48" spans="1:24" x14ac:dyDescent="0.35">
      <c r="A48" s="84" t="s">
        <v>504</v>
      </c>
      <c r="B48" s="79">
        <v>16945</v>
      </c>
      <c r="C48" s="79">
        <v>6790</v>
      </c>
      <c r="D48" s="79">
        <v>4178</v>
      </c>
      <c r="E48" s="79">
        <v>1596</v>
      </c>
      <c r="F48" s="79">
        <v>1135</v>
      </c>
      <c r="G48" s="79">
        <v>111</v>
      </c>
      <c r="H48" s="79">
        <v>516</v>
      </c>
      <c r="I48" s="79">
        <v>516</v>
      </c>
      <c r="J48" s="79">
        <v>11154</v>
      </c>
      <c r="K48" s="79">
        <v>11154</v>
      </c>
      <c r="L48" s="79">
        <v>10765</v>
      </c>
      <c r="M48" s="79">
        <v>270</v>
      </c>
      <c r="N48" s="79">
        <v>122</v>
      </c>
      <c r="O48" s="79">
        <v>580</v>
      </c>
      <c r="P48" s="79">
        <v>580</v>
      </c>
      <c r="Q48" s="79">
        <v>539</v>
      </c>
      <c r="R48" s="79">
        <v>150</v>
      </c>
      <c r="S48" s="79">
        <v>12</v>
      </c>
      <c r="T48" s="79">
        <v>31</v>
      </c>
      <c r="U48" s="79">
        <v>1203</v>
      </c>
      <c r="V48" s="79">
        <v>122</v>
      </c>
      <c r="W48" s="79">
        <v>1903</v>
      </c>
      <c r="X48" s="79">
        <v>1904</v>
      </c>
    </row>
    <row r="49" spans="1:24" x14ac:dyDescent="0.35">
      <c r="A49" s="84" t="s">
        <v>505</v>
      </c>
      <c r="B49" s="79">
        <v>18796</v>
      </c>
      <c r="C49" s="79">
        <v>6980</v>
      </c>
      <c r="D49" s="79">
        <v>4269</v>
      </c>
      <c r="E49" s="79">
        <v>1678</v>
      </c>
      <c r="F49" s="79">
        <v>1164</v>
      </c>
      <c r="G49" s="79">
        <v>113</v>
      </c>
      <c r="H49" s="79">
        <v>516</v>
      </c>
      <c r="I49" s="79">
        <v>515</v>
      </c>
      <c r="J49" s="79">
        <v>13276</v>
      </c>
      <c r="K49" s="79">
        <v>13276</v>
      </c>
      <c r="L49" s="79">
        <v>12873</v>
      </c>
      <c r="M49" s="79">
        <v>282</v>
      </c>
      <c r="N49" s="79">
        <v>131</v>
      </c>
      <c r="O49" s="79">
        <v>616</v>
      </c>
      <c r="P49" s="79">
        <v>617</v>
      </c>
      <c r="Q49" s="79">
        <v>586</v>
      </c>
      <c r="R49" s="79">
        <v>162</v>
      </c>
      <c r="S49" s="79">
        <v>12</v>
      </c>
      <c r="T49" s="79">
        <v>35</v>
      </c>
      <c r="U49" s="79">
        <v>1296</v>
      </c>
      <c r="V49" s="79">
        <v>113</v>
      </c>
      <c r="W49" s="79">
        <v>1895</v>
      </c>
      <c r="X49" s="79">
        <v>1895</v>
      </c>
    </row>
    <row r="50" spans="1:24" x14ac:dyDescent="0.35">
      <c r="A50" s="84" t="s">
        <v>506</v>
      </c>
      <c r="B50" s="79">
        <v>18599</v>
      </c>
      <c r="C50" s="79">
        <v>6932</v>
      </c>
      <c r="D50" s="79">
        <v>4146</v>
      </c>
      <c r="E50" s="79">
        <v>1714</v>
      </c>
      <c r="F50" s="79">
        <v>1191</v>
      </c>
      <c r="G50" s="79">
        <v>110</v>
      </c>
      <c r="H50" s="79">
        <v>534</v>
      </c>
      <c r="I50" s="79">
        <v>534</v>
      </c>
      <c r="J50" s="79">
        <v>12393</v>
      </c>
      <c r="K50" s="79">
        <v>12393</v>
      </c>
      <c r="L50" s="79">
        <v>11968</v>
      </c>
      <c r="M50" s="79">
        <v>283</v>
      </c>
      <c r="N50" s="79">
        <v>147</v>
      </c>
      <c r="O50" s="79">
        <v>667</v>
      </c>
      <c r="P50" s="79">
        <v>666</v>
      </c>
      <c r="Q50" s="79">
        <v>645</v>
      </c>
      <c r="R50" s="79">
        <v>176</v>
      </c>
      <c r="S50" s="79">
        <v>12</v>
      </c>
      <c r="T50" s="79">
        <v>40</v>
      </c>
      <c r="U50" s="79">
        <v>1424</v>
      </c>
      <c r="V50" s="79">
        <v>112</v>
      </c>
      <c r="W50" s="79">
        <v>1887</v>
      </c>
      <c r="X50" s="79">
        <v>1887</v>
      </c>
    </row>
    <row r="51" spans="1:24" x14ac:dyDescent="0.35">
      <c r="A51" s="84" t="s">
        <v>507</v>
      </c>
      <c r="B51" s="79">
        <v>18981</v>
      </c>
      <c r="C51" s="79">
        <v>6939</v>
      </c>
      <c r="D51" s="79">
        <v>4279</v>
      </c>
      <c r="E51" s="79">
        <v>1635</v>
      </c>
      <c r="F51" s="79">
        <v>1144</v>
      </c>
      <c r="G51" s="79">
        <v>124</v>
      </c>
      <c r="H51" s="79">
        <v>546</v>
      </c>
      <c r="I51" s="79">
        <v>546</v>
      </c>
      <c r="J51" s="79">
        <v>12568</v>
      </c>
      <c r="K51" s="79">
        <v>12568</v>
      </c>
      <c r="L51" s="79">
        <v>12039</v>
      </c>
      <c r="M51" s="79">
        <v>360</v>
      </c>
      <c r="N51" s="79">
        <v>174</v>
      </c>
      <c r="O51" s="79">
        <v>632</v>
      </c>
      <c r="P51" s="79">
        <v>632</v>
      </c>
      <c r="Q51" s="79">
        <v>690</v>
      </c>
      <c r="R51" s="79">
        <v>194</v>
      </c>
      <c r="S51" s="79">
        <v>13</v>
      </c>
      <c r="T51" s="79">
        <v>42</v>
      </c>
      <c r="U51" s="79">
        <v>1518</v>
      </c>
      <c r="V51" s="79">
        <v>119</v>
      </c>
      <c r="W51" s="79">
        <v>2005</v>
      </c>
      <c r="X51" s="79">
        <v>2006</v>
      </c>
    </row>
    <row r="52" spans="1:24" x14ac:dyDescent="0.35">
      <c r="A52" s="84" t="s">
        <v>508</v>
      </c>
      <c r="B52" s="79">
        <v>19594</v>
      </c>
      <c r="C52" s="79">
        <v>6982</v>
      </c>
      <c r="D52" s="79">
        <v>4379</v>
      </c>
      <c r="E52" s="79">
        <v>1564</v>
      </c>
      <c r="F52" s="79">
        <v>1146</v>
      </c>
      <c r="G52" s="79">
        <v>126</v>
      </c>
      <c r="H52" s="79">
        <v>607</v>
      </c>
      <c r="I52" s="79">
        <v>606</v>
      </c>
      <c r="J52" s="79">
        <v>12868</v>
      </c>
      <c r="K52" s="79">
        <v>12868</v>
      </c>
      <c r="L52" s="79">
        <v>12329</v>
      </c>
      <c r="M52" s="79">
        <v>349</v>
      </c>
      <c r="N52" s="79">
        <v>194</v>
      </c>
      <c r="O52" s="79">
        <v>716</v>
      </c>
      <c r="P52" s="79">
        <v>716</v>
      </c>
      <c r="Q52" s="79">
        <v>734</v>
      </c>
      <c r="R52" s="79">
        <v>212</v>
      </c>
      <c r="S52" s="79">
        <v>12</v>
      </c>
      <c r="T52" s="79">
        <v>46</v>
      </c>
      <c r="U52" s="79">
        <v>1574</v>
      </c>
      <c r="V52" s="79">
        <v>118</v>
      </c>
      <c r="W52" s="79">
        <v>2073</v>
      </c>
      <c r="X52" s="79">
        <v>2072</v>
      </c>
    </row>
    <row r="53" spans="1:24" x14ac:dyDescent="0.35">
      <c r="A53" s="84" t="s">
        <v>509</v>
      </c>
      <c r="B53" s="79">
        <v>20225</v>
      </c>
      <c r="C53" s="79">
        <v>7178</v>
      </c>
      <c r="D53" s="79">
        <v>4535</v>
      </c>
      <c r="E53" s="79">
        <v>1545</v>
      </c>
      <c r="F53" s="79">
        <v>1194</v>
      </c>
      <c r="G53" s="79">
        <v>127</v>
      </c>
      <c r="H53" s="79">
        <v>625</v>
      </c>
      <c r="I53" s="79">
        <v>625</v>
      </c>
      <c r="J53" s="79">
        <v>13030</v>
      </c>
      <c r="K53" s="79">
        <v>13030</v>
      </c>
      <c r="L53" s="79">
        <v>12479</v>
      </c>
      <c r="M53" s="79">
        <v>351</v>
      </c>
      <c r="N53" s="79">
        <v>204</v>
      </c>
      <c r="O53" s="79">
        <v>770</v>
      </c>
      <c r="P53" s="79">
        <v>770</v>
      </c>
      <c r="Q53" s="79">
        <v>793</v>
      </c>
      <c r="R53" s="79">
        <v>231</v>
      </c>
      <c r="S53" s="79">
        <v>13</v>
      </c>
      <c r="T53" s="79">
        <v>52</v>
      </c>
      <c r="U53" s="79">
        <v>1580</v>
      </c>
      <c r="V53" s="79">
        <v>113</v>
      </c>
      <c r="W53" s="79">
        <v>2095</v>
      </c>
      <c r="X53" s="79">
        <v>2096</v>
      </c>
    </row>
    <row r="54" spans="1:24" x14ac:dyDescent="0.35">
      <c r="A54" s="84" t="s">
        <v>510</v>
      </c>
      <c r="B54" s="79">
        <v>20439</v>
      </c>
      <c r="C54" s="79">
        <v>7439</v>
      </c>
      <c r="D54" s="79">
        <v>4741</v>
      </c>
      <c r="E54" s="79">
        <v>1583</v>
      </c>
      <c r="F54" s="79">
        <v>1228</v>
      </c>
      <c r="G54" s="79">
        <v>123</v>
      </c>
      <c r="H54" s="79">
        <v>672</v>
      </c>
      <c r="I54" s="79">
        <v>671</v>
      </c>
      <c r="J54" s="79">
        <v>13046</v>
      </c>
      <c r="K54" s="79">
        <v>13046</v>
      </c>
      <c r="L54" s="79">
        <v>12473</v>
      </c>
      <c r="M54" s="79">
        <v>364</v>
      </c>
      <c r="N54" s="79">
        <v>214</v>
      </c>
      <c r="O54" s="79">
        <v>783</v>
      </c>
      <c r="P54" s="79">
        <v>783</v>
      </c>
      <c r="Q54" s="79">
        <v>792</v>
      </c>
      <c r="R54" s="79">
        <v>232</v>
      </c>
      <c r="S54" s="79">
        <v>14</v>
      </c>
      <c r="T54" s="79">
        <v>53</v>
      </c>
      <c r="U54" s="79">
        <v>1482</v>
      </c>
      <c r="V54" s="79">
        <v>109</v>
      </c>
      <c r="W54" s="79">
        <v>2079</v>
      </c>
      <c r="X54" s="79">
        <v>2078</v>
      </c>
    </row>
    <row r="55" spans="1:24" x14ac:dyDescent="0.35">
      <c r="A55" s="84" t="s">
        <v>511</v>
      </c>
      <c r="B55" s="79">
        <v>20593</v>
      </c>
      <c r="C55" s="79">
        <v>7594</v>
      </c>
      <c r="D55" s="79">
        <v>4746</v>
      </c>
      <c r="E55" s="79">
        <v>1606</v>
      </c>
      <c r="F55" s="79">
        <v>1316</v>
      </c>
      <c r="G55" s="79">
        <v>132</v>
      </c>
      <c r="H55" s="79">
        <v>665</v>
      </c>
      <c r="I55" s="79">
        <v>665</v>
      </c>
      <c r="J55" s="79">
        <v>13024</v>
      </c>
      <c r="K55" s="79">
        <v>13024</v>
      </c>
      <c r="L55" s="79">
        <v>12473</v>
      </c>
      <c r="M55" s="79">
        <v>341</v>
      </c>
      <c r="N55" s="79">
        <v>214</v>
      </c>
      <c r="O55" s="79">
        <v>914</v>
      </c>
      <c r="P55" s="79">
        <v>914</v>
      </c>
      <c r="Q55" s="79">
        <v>790</v>
      </c>
      <c r="R55" s="79">
        <v>238</v>
      </c>
      <c r="S55" s="79">
        <v>13</v>
      </c>
      <c r="T55" s="79">
        <v>56</v>
      </c>
      <c r="U55" s="79">
        <v>1362</v>
      </c>
      <c r="V55" s="79">
        <v>115</v>
      </c>
      <c r="W55" s="79">
        <v>2024</v>
      </c>
      <c r="X55" s="79">
        <v>2023</v>
      </c>
    </row>
    <row r="56" spans="1:24" x14ac:dyDescent="0.35">
      <c r="A56" s="84" t="s">
        <v>512</v>
      </c>
      <c r="B56" s="79">
        <v>21165</v>
      </c>
      <c r="C56" s="79">
        <v>7712</v>
      </c>
      <c r="D56" s="79">
        <v>4791</v>
      </c>
      <c r="E56" s="79">
        <v>1641</v>
      </c>
      <c r="F56" s="79">
        <v>1353</v>
      </c>
      <c r="G56" s="79">
        <v>132</v>
      </c>
      <c r="H56" s="79">
        <v>702</v>
      </c>
      <c r="I56" s="79">
        <v>701</v>
      </c>
      <c r="J56" s="79">
        <v>13595</v>
      </c>
      <c r="K56" s="79">
        <v>13595</v>
      </c>
      <c r="L56" s="79">
        <v>13054</v>
      </c>
      <c r="M56" s="79">
        <v>328</v>
      </c>
      <c r="N56" s="79">
        <v>215</v>
      </c>
      <c r="O56" s="79">
        <v>885</v>
      </c>
      <c r="P56" s="79">
        <v>886</v>
      </c>
      <c r="Q56" s="79">
        <v>805</v>
      </c>
      <c r="R56" s="79">
        <v>236</v>
      </c>
      <c r="S56" s="79">
        <v>15</v>
      </c>
      <c r="T56" s="79">
        <v>60</v>
      </c>
      <c r="U56" s="79">
        <v>1290</v>
      </c>
      <c r="V56" s="79">
        <v>111</v>
      </c>
      <c r="W56" s="79">
        <v>2044</v>
      </c>
      <c r="X56" s="79">
        <v>2044</v>
      </c>
    </row>
    <row r="57" spans="1:24" x14ac:dyDescent="0.35">
      <c r="A57" s="84" t="s">
        <v>513</v>
      </c>
      <c r="B57" s="79">
        <v>21489</v>
      </c>
      <c r="C57" s="79">
        <v>7824</v>
      </c>
      <c r="D57" s="79">
        <v>4898</v>
      </c>
      <c r="E57" s="79">
        <v>1625</v>
      </c>
      <c r="F57" s="79">
        <v>1371</v>
      </c>
      <c r="G57" s="79">
        <v>131</v>
      </c>
      <c r="H57" s="79">
        <v>729</v>
      </c>
      <c r="I57" s="79">
        <v>728</v>
      </c>
      <c r="J57" s="79">
        <v>13392</v>
      </c>
      <c r="K57" s="79">
        <v>13392</v>
      </c>
      <c r="L57" s="79">
        <v>12835</v>
      </c>
      <c r="M57" s="79">
        <v>347</v>
      </c>
      <c r="N57" s="79">
        <v>215</v>
      </c>
      <c r="O57" s="79">
        <v>951</v>
      </c>
      <c r="P57" s="79">
        <v>951</v>
      </c>
      <c r="Q57" s="79">
        <v>858</v>
      </c>
      <c r="R57" s="79">
        <v>248</v>
      </c>
      <c r="S57" s="79">
        <v>17</v>
      </c>
      <c r="T57" s="79">
        <v>66</v>
      </c>
      <c r="U57" s="79">
        <v>1303</v>
      </c>
      <c r="V57" s="79">
        <v>108</v>
      </c>
      <c r="W57" s="79">
        <v>2152</v>
      </c>
      <c r="X57" s="79">
        <v>2153</v>
      </c>
    </row>
    <row r="58" spans="1:24" x14ac:dyDescent="0.35">
      <c r="A58" s="84" t="s">
        <v>514</v>
      </c>
      <c r="B58" s="79">
        <v>22635</v>
      </c>
      <c r="C58" s="79">
        <v>7885</v>
      </c>
      <c r="D58" s="79">
        <v>5012</v>
      </c>
      <c r="E58" s="79">
        <v>1637</v>
      </c>
      <c r="F58" s="79">
        <v>1343</v>
      </c>
      <c r="G58" s="79">
        <v>118</v>
      </c>
      <c r="H58" s="79">
        <v>723</v>
      </c>
      <c r="I58" s="79">
        <v>723</v>
      </c>
      <c r="J58" s="79">
        <v>14561</v>
      </c>
      <c r="K58" s="79">
        <v>14561</v>
      </c>
      <c r="L58" s="79">
        <v>13998</v>
      </c>
      <c r="M58" s="79">
        <v>347</v>
      </c>
      <c r="N58" s="79">
        <v>221</v>
      </c>
      <c r="O58" s="79">
        <v>1000</v>
      </c>
      <c r="P58" s="79">
        <v>999</v>
      </c>
      <c r="Q58" s="79">
        <v>900</v>
      </c>
      <c r="R58" s="79">
        <v>250</v>
      </c>
      <c r="S58" s="79">
        <v>18</v>
      </c>
      <c r="T58" s="79">
        <v>72</v>
      </c>
      <c r="U58" s="79">
        <v>1366</v>
      </c>
      <c r="V58" s="79">
        <v>118</v>
      </c>
      <c r="W58" s="79">
        <v>2211</v>
      </c>
      <c r="X58" s="79">
        <v>2211</v>
      </c>
    </row>
    <row r="59" spans="1:24" x14ac:dyDescent="0.35">
      <c r="A59" s="84" t="s">
        <v>515</v>
      </c>
      <c r="B59" s="79">
        <v>23707</v>
      </c>
      <c r="C59" s="79">
        <v>8354</v>
      </c>
      <c r="D59" s="79">
        <v>5061</v>
      </c>
      <c r="E59" s="79">
        <v>1677</v>
      </c>
      <c r="F59" s="79">
        <v>1610</v>
      </c>
      <c r="G59" s="79">
        <v>146</v>
      </c>
      <c r="H59" s="79">
        <v>680</v>
      </c>
      <c r="I59" s="79">
        <v>679</v>
      </c>
      <c r="J59" s="79">
        <v>15346</v>
      </c>
      <c r="K59" s="79">
        <v>15346</v>
      </c>
      <c r="L59" s="79">
        <v>14790</v>
      </c>
      <c r="M59" s="79">
        <v>338</v>
      </c>
      <c r="N59" s="79">
        <v>223</v>
      </c>
      <c r="O59" s="79">
        <v>978</v>
      </c>
      <c r="P59" s="79">
        <v>978</v>
      </c>
      <c r="Q59" s="79">
        <v>960</v>
      </c>
      <c r="R59" s="79">
        <v>277</v>
      </c>
      <c r="S59" s="79">
        <v>17</v>
      </c>
      <c r="T59" s="79">
        <v>77</v>
      </c>
      <c r="U59" s="79">
        <v>1467</v>
      </c>
      <c r="V59" s="79">
        <v>120</v>
      </c>
      <c r="W59" s="79">
        <v>2180</v>
      </c>
      <c r="X59" s="79">
        <v>2179</v>
      </c>
    </row>
    <row r="60" spans="1:24" x14ac:dyDescent="0.35">
      <c r="A60" s="84" t="s">
        <v>516</v>
      </c>
      <c r="B60" s="79">
        <v>24278</v>
      </c>
      <c r="C60" s="79">
        <v>8472</v>
      </c>
      <c r="D60" s="79">
        <v>5045</v>
      </c>
      <c r="E60" s="79">
        <v>1670</v>
      </c>
      <c r="F60" s="79">
        <v>1642</v>
      </c>
      <c r="G60" s="79">
        <v>230</v>
      </c>
      <c r="H60" s="79">
        <v>573</v>
      </c>
      <c r="I60" s="79">
        <v>572</v>
      </c>
      <c r="J60" s="79">
        <v>15666</v>
      </c>
      <c r="K60" s="79">
        <v>15666</v>
      </c>
      <c r="L60" s="79">
        <v>15108</v>
      </c>
      <c r="M60" s="79">
        <v>342</v>
      </c>
      <c r="N60" s="79">
        <v>224</v>
      </c>
      <c r="O60" s="79">
        <v>1069</v>
      </c>
      <c r="P60" s="79">
        <v>1069</v>
      </c>
      <c r="Q60" s="79">
        <v>1013</v>
      </c>
      <c r="R60" s="79">
        <v>284</v>
      </c>
      <c r="S60" s="79">
        <v>18</v>
      </c>
      <c r="T60" s="79">
        <v>85</v>
      </c>
      <c r="U60" s="79">
        <v>1504</v>
      </c>
      <c r="V60" s="79">
        <v>142</v>
      </c>
      <c r="W60" s="79">
        <v>2239</v>
      </c>
      <c r="X60" s="79">
        <v>2240</v>
      </c>
    </row>
    <row r="61" spans="1:24" x14ac:dyDescent="0.35">
      <c r="A61" s="84" t="s">
        <v>517</v>
      </c>
      <c r="B61" s="79">
        <v>24628</v>
      </c>
      <c r="C61" s="79">
        <v>8630</v>
      </c>
      <c r="D61" s="79">
        <v>5070</v>
      </c>
      <c r="E61" s="79">
        <v>1776</v>
      </c>
      <c r="F61" s="79">
        <v>1743</v>
      </c>
      <c r="G61" s="79">
        <v>153</v>
      </c>
      <c r="H61" s="79">
        <v>514</v>
      </c>
      <c r="I61" s="79">
        <v>514</v>
      </c>
      <c r="J61" s="79">
        <v>15880</v>
      </c>
      <c r="K61" s="79">
        <v>15880</v>
      </c>
      <c r="L61" s="79">
        <v>15310</v>
      </c>
      <c r="M61" s="79">
        <v>352</v>
      </c>
      <c r="N61" s="79">
        <v>223</v>
      </c>
      <c r="O61" s="79">
        <v>1084</v>
      </c>
      <c r="P61" s="79">
        <v>1085</v>
      </c>
      <c r="Q61" s="79">
        <v>1037</v>
      </c>
      <c r="R61" s="79">
        <v>294</v>
      </c>
      <c r="S61" s="79">
        <v>18</v>
      </c>
      <c r="T61" s="79">
        <v>85</v>
      </c>
      <c r="U61" s="79">
        <v>1551</v>
      </c>
      <c r="V61" s="79">
        <v>174</v>
      </c>
      <c r="W61" s="79">
        <v>2277</v>
      </c>
      <c r="X61" s="79">
        <v>2278</v>
      </c>
    </row>
    <row r="62" spans="1:24" x14ac:dyDescent="0.35">
      <c r="A62" s="84" t="s">
        <v>518</v>
      </c>
      <c r="B62" s="79">
        <v>24980</v>
      </c>
      <c r="C62" s="79">
        <v>8592</v>
      </c>
      <c r="D62" s="79">
        <v>5116</v>
      </c>
      <c r="E62" s="79">
        <v>1753</v>
      </c>
      <c r="F62" s="79">
        <v>1729</v>
      </c>
      <c r="G62" s="79">
        <v>116</v>
      </c>
      <c r="H62" s="79">
        <v>483</v>
      </c>
      <c r="I62" s="79">
        <v>483</v>
      </c>
      <c r="J62" s="79">
        <v>16028</v>
      </c>
      <c r="K62" s="79">
        <v>16028</v>
      </c>
      <c r="L62" s="79">
        <v>15471</v>
      </c>
      <c r="M62" s="79">
        <v>348</v>
      </c>
      <c r="N62" s="79">
        <v>217</v>
      </c>
      <c r="O62" s="79">
        <v>1178</v>
      </c>
      <c r="P62" s="79">
        <v>1178</v>
      </c>
      <c r="Q62" s="79">
        <v>1089</v>
      </c>
      <c r="R62" s="79">
        <v>308</v>
      </c>
      <c r="S62" s="79">
        <v>19</v>
      </c>
      <c r="T62" s="79">
        <v>92</v>
      </c>
      <c r="U62" s="79">
        <v>1621</v>
      </c>
      <c r="V62" s="79">
        <v>123</v>
      </c>
      <c r="W62" s="79">
        <v>2248</v>
      </c>
      <c r="X62" s="79">
        <v>2247</v>
      </c>
    </row>
    <row r="63" spans="1:24" x14ac:dyDescent="0.35">
      <c r="A63" s="84" t="s">
        <v>519</v>
      </c>
      <c r="B63" s="79">
        <v>25012</v>
      </c>
      <c r="C63" s="79">
        <v>8772</v>
      </c>
      <c r="D63" s="79">
        <v>5325</v>
      </c>
      <c r="E63" s="79">
        <v>1792</v>
      </c>
      <c r="F63" s="79">
        <v>1705</v>
      </c>
      <c r="G63" s="79">
        <v>103</v>
      </c>
      <c r="H63" s="79">
        <v>550</v>
      </c>
      <c r="I63" s="79">
        <v>550</v>
      </c>
      <c r="J63" s="79">
        <v>15776</v>
      </c>
      <c r="K63" s="79">
        <v>15776</v>
      </c>
      <c r="L63" s="79">
        <v>15211</v>
      </c>
      <c r="M63" s="79">
        <v>365</v>
      </c>
      <c r="N63" s="79">
        <v>207</v>
      </c>
      <c r="O63" s="79">
        <v>1013</v>
      </c>
      <c r="P63" s="79">
        <v>1013</v>
      </c>
      <c r="Q63" s="79">
        <v>1096</v>
      </c>
      <c r="R63" s="79">
        <v>313</v>
      </c>
      <c r="S63" s="79">
        <v>22</v>
      </c>
      <c r="T63" s="79">
        <v>89</v>
      </c>
      <c r="U63" s="79">
        <v>1649</v>
      </c>
      <c r="V63" s="79">
        <v>51</v>
      </c>
      <c r="W63" s="79">
        <v>2502</v>
      </c>
      <c r="X63" s="79">
        <v>2502</v>
      </c>
    </row>
    <row r="64" spans="1:24" x14ac:dyDescent="0.35">
      <c r="A64" s="84" t="s">
        <v>520</v>
      </c>
      <c r="B64" s="79">
        <v>24528</v>
      </c>
      <c r="C64" s="79">
        <v>8487</v>
      </c>
      <c r="D64" s="79">
        <v>5327</v>
      </c>
      <c r="E64" s="79">
        <v>1699</v>
      </c>
      <c r="F64" s="79">
        <v>1514</v>
      </c>
      <c r="G64" s="79">
        <v>139</v>
      </c>
      <c r="H64" s="79">
        <v>605</v>
      </c>
      <c r="I64" s="79">
        <v>605</v>
      </c>
      <c r="J64" s="79">
        <v>15316</v>
      </c>
      <c r="K64" s="79">
        <v>15316</v>
      </c>
      <c r="L64" s="79">
        <v>14777</v>
      </c>
      <c r="M64" s="79">
        <v>345</v>
      </c>
      <c r="N64" s="79">
        <v>202</v>
      </c>
      <c r="O64" s="79">
        <v>1032</v>
      </c>
      <c r="P64" s="79">
        <v>1033</v>
      </c>
      <c r="Q64" s="79">
        <v>1106</v>
      </c>
      <c r="R64" s="79">
        <v>328</v>
      </c>
      <c r="S64" s="79">
        <v>21</v>
      </c>
      <c r="T64" s="79">
        <v>88</v>
      </c>
      <c r="U64" s="79">
        <v>1623</v>
      </c>
      <c r="V64" s="79">
        <v>87</v>
      </c>
      <c r="W64" s="79">
        <v>2413</v>
      </c>
      <c r="X64" s="79">
        <v>2414</v>
      </c>
    </row>
    <row r="65" spans="1:24" x14ac:dyDescent="0.35">
      <c r="A65" s="84" t="s">
        <v>521</v>
      </c>
      <c r="B65" s="79">
        <v>24967</v>
      </c>
      <c r="C65" s="79">
        <v>8633</v>
      </c>
      <c r="D65" s="79">
        <v>5426</v>
      </c>
      <c r="E65" s="79">
        <v>1670</v>
      </c>
      <c r="F65" s="79">
        <v>1595</v>
      </c>
      <c r="G65" s="79">
        <v>114</v>
      </c>
      <c r="H65" s="79">
        <v>680</v>
      </c>
      <c r="I65" s="79">
        <v>679</v>
      </c>
      <c r="J65" s="79">
        <v>15708</v>
      </c>
      <c r="K65" s="79">
        <v>15708</v>
      </c>
      <c r="L65" s="79">
        <v>15166</v>
      </c>
      <c r="M65" s="79">
        <v>342</v>
      </c>
      <c r="N65" s="79">
        <v>207</v>
      </c>
      <c r="O65" s="79">
        <v>1025</v>
      </c>
      <c r="P65" s="79">
        <v>1025</v>
      </c>
      <c r="Q65" s="79">
        <v>1115</v>
      </c>
      <c r="R65" s="79">
        <v>332</v>
      </c>
      <c r="S65" s="79">
        <v>20</v>
      </c>
      <c r="T65" s="79">
        <v>89</v>
      </c>
      <c r="U65" s="79">
        <v>1659</v>
      </c>
      <c r="V65" s="79">
        <v>95</v>
      </c>
      <c r="W65" s="79">
        <v>2331</v>
      </c>
      <c r="X65" s="79">
        <v>2331</v>
      </c>
    </row>
    <row r="66" spans="1:24" x14ac:dyDescent="0.35">
      <c r="A66" s="84" t="s">
        <v>522</v>
      </c>
      <c r="B66" s="79">
        <v>25343</v>
      </c>
      <c r="C66" s="79">
        <v>8942</v>
      </c>
      <c r="D66" s="79">
        <v>5407</v>
      </c>
      <c r="E66" s="79">
        <v>1660</v>
      </c>
      <c r="F66" s="79">
        <v>1754</v>
      </c>
      <c r="G66" s="79">
        <v>228</v>
      </c>
      <c r="H66" s="79">
        <v>730</v>
      </c>
      <c r="I66" s="79">
        <v>729</v>
      </c>
      <c r="J66" s="79">
        <v>15751</v>
      </c>
      <c r="K66" s="79">
        <v>15751</v>
      </c>
      <c r="L66" s="79">
        <v>15186</v>
      </c>
      <c r="M66" s="79">
        <v>359</v>
      </c>
      <c r="N66" s="79">
        <v>212</v>
      </c>
      <c r="O66" s="79">
        <v>991</v>
      </c>
      <c r="P66" s="79">
        <v>991</v>
      </c>
      <c r="Q66" s="79">
        <v>1154</v>
      </c>
      <c r="R66" s="79">
        <v>356</v>
      </c>
      <c r="S66" s="79">
        <v>18</v>
      </c>
      <c r="T66" s="79">
        <v>95</v>
      </c>
      <c r="U66" s="79">
        <v>1735</v>
      </c>
      <c r="V66" s="79">
        <v>25</v>
      </c>
      <c r="W66" s="79">
        <v>2240</v>
      </c>
      <c r="X66" s="79">
        <v>2239</v>
      </c>
    </row>
    <row r="67" spans="1:24" x14ac:dyDescent="0.35">
      <c r="A67" s="84" t="s">
        <v>523</v>
      </c>
      <c r="B67" s="79">
        <v>25611</v>
      </c>
      <c r="C67" s="79">
        <v>8843</v>
      </c>
      <c r="D67" s="79">
        <v>5519</v>
      </c>
      <c r="E67" s="79">
        <v>1683</v>
      </c>
      <c r="F67" s="79">
        <v>1607</v>
      </c>
      <c r="G67" s="79">
        <v>199</v>
      </c>
      <c r="H67" s="79">
        <v>792</v>
      </c>
      <c r="I67" s="79">
        <v>791</v>
      </c>
      <c r="J67" s="79">
        <v>15735</v>
      </c>
      <c r="K67" s="79">
        <v>15735</v>
      </c>
      <c r="L67" s="79">
        <v>15144</v>
      </c>
      <c r="M67" s="79">
        <v>376</v>
      </c>
      <c r="N67" s="79">
        <v>220</v>
      </c>
      <c r="O67" s="79">
        <v>1115</v>
      </c>
      <c r="P67" s="79">
        <v>1115</v>
      </c>
      <c r="Q67" s="79">
        <v>1211</v>
      </c>
      <c r="R67" s="79">
        <v>338</v>
      </c>
      <c r="S67" s="79">
        <v>21</v>
      </c>
      <c r="T67" s="79">
        <v>103</v>
      </c>
      <c r="U67" s="79">
        <v>1806</v>
      </c>
      <c r="V67" s="79">
        <v>170</v>
      </c>
      <c r="W67" s="79">
        <v>2177</v>
      </c>
      <c r="X67" s="79">
        <v>2177</v>
      </c>
    </row>
    <row r="68" spans="1:24" x14ac:dyDescent="0.35">
      <c r="A68" s="84" t="s">
        <v>524</v>
      </c>
      <c r="B68" s="79">
        <v>26377</v>
      </c>
      <c r="C68" s="79">
        <v>9311</v>
      </c>
      <c r="D68" s="79">
        <v>5736</v>
      </c>
      <c r="E68" s="79">
        <v>1673</v>
      </c>
      <c r="F68" s="79">
        <v>1806</v>
      </c>
      <c r="G68" s="79">
        <v>217</v>
      </c>
      <c r="H68" s="79">
        <v>812</v>
      </c>
      <c r="I68" s="79">
        <v>812</v>
      </c>
      <c r="J68" s="79">
        <v>16076</v>
      </c>
      <c r="K68" s="79">
        <v>16076</v>
      </c>
      <c r="L68" s="79">
        <v>15439</v>
      </c>
      <c r="M68" s="79">
        <v>404</v>
      </c>
      <c r="N68" s="79">
        <v>238</v>
      </c>
      <c r="O68" s="79">
        <v>1080</v>
      </c>
      <c r="P68" s="79">
        <v>1080</v>
      </c>
      <c r="Q68" s="79">
        <v>1268</v>
      </c>
      <c r="R68" s="79">
        <v>360</v>
      </c>
      <c r="S68" s="79">
        <v>21</v>
      </c>
      <c r="T68" s="79">
        <v>112</v>
      </c>
      <c r="U68" s="79">
        <v>1899</v>
      </c>
      <c r="V68" s="79">
        <v>89</v>
      </c>
      <c r="W68" s="79">
        <v>2126</v>
      </c>
      <c r="X68" s="79">
        <v>2125</v>
      </c>
    </row>
    <row r="69" spans="1:24" x14ac:dyDescent="0.35">
      <c r="A69" s="84" t="s">
        <v>525</v>
      </c>
      <c r="B69" s="79">
        <v>26709</v>
      </c>
      <c r="C69" s="79">
        <v>9238</v>
      </c>
      <c r="D69" s="79">
        <v>5739</v>
      </c>
      <c r="E69" s="79">
        <v>1562</v>
      </c>
      <c r="F69" s="79">
        <v>1722</v>
      </c>
      <c r="G69" s="79">
        <v>326</v>
      </c>
      <c r="H69" s="79">
        <v>787</v>
      </c>
      <c r="I69" s="79">
        <v>786</v>
      </c>
      <c r="J69" s="79">
        <v>16189</v>
      </c>
      <c r="K69" s="79">
        <v>16189</v>
      </c>
      <c r="L69" s="79">
        <v>15652</v>
      </c>
      <c r="M69" s="79">
        <v>299</v>
      </c>
      <c r="N69" s="79">
        <v>246</v>
      </c>
      <c r="O69" s="79">
        <v>1076</v>
      </c>
      <c r="P69" s="79">
        <v>1076</v>
      </c>
      <c r="Q69" s="79">
        <v>1353</v>
      </c>
      <c r="R69" s="79">
        <v>382</v>
      </c>
      <c r="S69" s="79">
        <v>23</v>
      </c>
      <c r="T69" s="79">
        <v>124</v>
      </c>
      <c r="U69" s="79">
        <v>1945</v>
      </c>
      <c r="V69" s="79">
        <v>95</v>
      </c>
      <c r="W69" s="79">
        <v>2127</v>
      </c>
      <c r="X69" s="79">
        <v>2128</v>
      </c>
    </row>
    <row r="70" spans="1:24" x14ac:dyDescent="0.35">
      <c r="A70" s="84" t="s">
        <v>526</v>
      </c>
      <c r="B70" s="79">
        <v>26460</v>
      </c>
      <c r="C70" s="79">
        <v>8889</v>
      </c>
      <c r="D70" s="79">
        <v>5796</v>
      </c>
      <c r="E70" s="79">
        <v>1601</v>
      </c>
      <c r="F70" s="79">
        <v>1540</v>
      </c>
      <c r="G70" s="79">
        <v>144</v>
      </c>
      <c r="H70" s="79">
        <v>746</v>
      </c>
      <c r="I70" s="79">
        <v>745</v>
      </c>
      <c r="J70" s="79">
        <v>15932</v>
      </c>
      <c r="K70" s="79">
        <v>15932</v>
      </c>
      <c r="L70" s="79">
        <v>15320</v>
      </c>
      <c r="M70" s="79">
        <v>360</v>
      </c>
      <c r="N70" s="79">
        <v>258</v>
      </c>
      <c r="O70" s="79">
        <v>1045</v>
      </c>
      <c r="P70" s="79">
        <v>1046</v>
      </c>
      <c r="Q70" s="79">
        <v>1412</v>
      </c>
      <c r="R70" s="79">
        <v>404</v>
      </c>
      <c r="S70" s="79">
        <v>25</v>
      </c>
      <c r="T70" s="79">
        <v>132</v>
      </c>
      <c r="U70" s="79">
        <v>1908</v>
      </c>
      <c r="V70" s="79">
        <v>107</v>
      </c>
      <c r="W70" s="79">
        <v>2192</v>
      </c>
      <c r="X70" s="79">
        <v>2192</v>
      </c>
    </row>
    <row r="71" spans="1:24" x14ac:dyDescent="0.35">
      <c r="A71" s="84" t="s">
        <v>527</v>
      </c>
      <c r="B71" s="79">
        <v>27012</v>
      </c>
      <c r="C71" s="79">
        <v>8691</v>
      </c>
      <c r="D71" s="79">
        <v>5713</v>
      </c>
      <c r="E71" s="79">
        <v>1571</v>
      </c>
      <c r="F71" s="79">
        <v>1503</v>
      </c>
      <c r="G71" s="79">
        <v>94</v>
      </c>
      <c r="H71" s="79">
        <v>690</v>
      </c>
      <c r="I71" s="79">
        <v>690</v>
      </c>
      <c r="J71" s="79">
        <v>15981</v>
      </c>
      <c r="K71" s="79">
        <v>15981</v>
      </c>
      <c r="L71" s="79">
        <v>15361</v>
      </c>
      <c r="M71" s="79">
        <v>352</v>
      </c>
      <c r="N71" s="79">
        <v>273</v>
      </c>
      <c r="O71" s="79">
        <v>1463</v>
      </c>
      <c r="P71" s="79">
        <v>1463</v>
      </c>
      <c r="Q71" s="79">
        <v>1498</v>
      </c>
      <c r="R71" s="79">
        <v>401</v>
      </c>
      <c r="S71" s="79">
        <v>27</v>
      </c>
      <c r="T71" s="79">
        <v>152</v>
      </c>
      <c r="U71" s="79">
        <v>2099</v>
      </c>
      <c r="V71" s="79">
        <v>65</v>
      </c>
      <c r="W71" s="79">
        <v>2294</v>
      </c>
      <c r="X71" s="79">
        <v>2293</v>
      </c>
    </row>
    <row r="72" spans="1:24" x14ac:dyDescent="0.35">
      <c r="A72" s="84" t="s">
        <v>528</v>
      </c>
      <c r="B72" s="79">
        <v>26951</v>
      </c>
      <c r="C72" s="79">
        <v>8904</v>
      </c>
      <c r="D72" s="79">
        <v>5693</v>
      </c>
      <c r="E72" s="79">
        <v>1675</v>
      </c>
      <c r="F72" s="79">
        <v>1588</v>
      </c>
      <c r="G72" s="79">
        <v>128</v>
      </c>
      <c r="H72" s="79">
        <v>679</v>
      </c>
      <c r="I72" s="79">
        <v>678</v>
      </c>
      <c r="J72" s="79">
        <v>15333</v>
      </c>
      <c r="K72" s="79">
        <v>15333</v>
      </c>
      <c r="L72" s="79">
        <v>14695</v>
      </c>
      <c r="M72" s="79">
        <v>362</v>
      </c>
      <c r="N72" s="79">
        <v>282</v>
      </c>
      <c r="O72" s="79">
        <v>1373</v>
      </c>
      <c r="P72" s="79">
        <v>1373</v>
      </c>
      <c r="Q72" s="79">
        <v>1590</v>
      </c>
      <c r="R72" s="79">
        <v>426</v>
      </c>
      <c r="S72" s="79">
        <v>28</v>
      </c>
      <c r="T72" s="79">
        <v>166</v>
      </c>
      <c r="U72" s="79">
        <v>2198</v>
      </c>
      <c r="V72" s="79">
        <v>67</v>
      </c>
      <c r="W72" s="79">
        <v>2378</v>
      </c>
      <c r="X72" s="79">
        <v>2379</v>
      </c>
    </row>
    <row r="73" spans="1:24" x14ac:dyDescent="0.35">
      <c r="A73" s="84" t="s">
        <v>529</v>
      </c>
      <c r="B73" s="79">
        <v>27322</v>
      </c>
      <c r="C73" s="79">
        <v>9261</v>
      </c>
      <c r="D73" s="79">
        <v>5782</v>
      </c>
      <c r="E73" s="79">
        <v>1726</v>
      </c>
      <c r="F73" s="79">
        <v>1787</v>
      </c>
      <c r="G73" s="79">
        <v>111</v>
      </c>
      <c r="H73" s="79">
        <v>623</v>
      </c>
      <c r="I73" s="79">
        <v>622</v>
      </c>
      <c r="J73" s="79">
        <v>15192</v>
      </c>
      <c r="K73" s="79">
        <v>15192</v>
      </c>
      <c r="L73" s="79">
        <v>14556</v>
      </c>
      <c r="M73" s="79">
        <v>356</v>
      </c>
      <c r="N73" s="79">
        <v>286</v>
      </c>
      <c r="O73" s="79">
        <v>1407</v>
      </c>
      <c r="P73" s="79">
        <v>1408</v>
      </c>
      <c r="Q73" s="79">
        <v>1654</v>
      </c>
      <c r="R73" s="79">
        <v>455</v>
      </c>
      <c r="S73" s="79">
        <v>29</v>
      </c>
      <c r="T73" s="79">
        <v>175</v>
      </c>
      <c r="U73" s="79">
        <v>2184</v>
      </c>
      <c r="V73" s="79">
        <v>77</v>
      </c>
      <c r="W73" s="79">
        <v>2428</v>
      </c>
      <c r="X73" s="79">
        <v>2427</v>
      </c>
    </row>
    <row r="74" spans="1:24" x14ac:dyDescent="0.35">
      <c r="A74" s="84" t="s">
        <v>530</v>
      </c>
      <c r="B74" s="79">
        <v>27618</v>
      </c>
      <c r="C74" s="79">
        <v>9155</v>
      </c>
      <c r="D74" s="79">
        <v>5859</v>
      </c>
      <c r="E74" s="79">
        <v>1731</v>
      </c>
      <c r="F74" s="79">
        <v>1610</v>
      </c>
      <c r="G74" s="79">
        <v>145</v>
      </c>
      <c r="H74" s="79">
        <v>587</v>
      </c>
      <c r="I74" s="79">
        <v>587</v>
      </c>
      <c r="J74" s="79">
        <v>15577</v>
      </c>
      <c r="K74" s="79">
        <v>15577</v>
      </c>
      <c r="L74" s="79">
        <v>14895</v>
      </c>
      <c r="M74" s="79">
        <v>403</v>
      </c>
      <c r="N74" s="79">
        <v>284</v>
      </c>
      <c r="O74" s="79">
        <v>1343</v>
      </c>
      <c r="P74" s="79">
        <v>1343</v>
      </c>
      <c r="Q74" s="79">
        <v>1700</v>
      </c>
      <c r="R74" s="79">
        <v>457</v>
      </c>
      <c r="S74" s="79">
        <v>29</v>
      </c>
      <c r="T74" s="79">
        <v>183</v>
      </c>
      <c r="U74" s="79">
        <v>2184</v>
      </c>
      <c r="V74" s="79">
        <v>191</v>
      </c>
      <c r="W74" s="79">
        <v>2450</v>
      </c>
      <c r="X74" s="79">
        <v>2451</v>
      </c>
    </row>
    <row r="75" spans="1:24" x14ac:dyDescent="0.35">
      <c r="A75" s="84" t="s">
        <v>531</v>
      </c>
      <c r="B75" s="79">
        <v>27707</v>
      </c>
      <c r="C75" s="79">
        <v>9366</v>
      </c>
      <c r="D75" s="79">
        <v>5758</v>
      </c>
      <c r="E75" s="79">
        <v>1679</v>
      </c>
      <c r="F75" s="79">
        <v>1881</v>
      </c>
      <c r="G75" s="79">
        <v>169</v>
      </c>
      <c r="H75" s="79">
        <v>567</v>
      </c>
      <c r="I75" s="79">
        <v>566</v>
      </c>
      <c r="J75" s="79">
        <v>15076</v>
      </c>
      <c r="K75" s="79">
        <v>15076</v>
      </c>
      <c r="L75" s="79">
        <v>14432</v>
      </c>
      <c r="M75" s="79">
        <v>363</v>
      </c>
      <c r="N75" s="79">
        <v>287</v>
      </c>
      <c r="O75" s="79">
        <v>1401</v>
      </c>
      <c r="P75" s="79">
        <v>1402</v>
      </c>
      <c r="Q75" s="79">
        <v>1815</v>
      </c>
      <c r="R75" s="79">
        <v>520</v>
      </c>
      <c r="S75" s="79">
        <v>34</v>
      </c>
      <c r="T75" s="79">
        <v>183</v>
      </c>
      <c r="U75" s="79">
        <v>2184</v>
      </c>
      <c r="V75" s="79">
        <v>222</v>
      </c>
      <c r="W75" s="79">
        <v>2357</v>
      </c>
      <c r="X75" s="79">
        <v>2357</v>
      </c>
    </row>
    <row r="76" spans="1:24" x14ac:dyDescent="0.35">
      <c r="A76" s="84" t="s">
        <v>532</v>
      </c>
      <c r="B76" s="79">
        <v>27572</v>
      </c>
      <c r="C76" s="79">
        <v>9145</v>
      </c>
      <c r="D76" s="79">
        <v>5665</v>
      </c>
      <c r="E76" s="79">
        <v>1678</v>
      </c>
      <c r="F76" s="79">
        <v>1796</v>
      </c>
      <c r="G76" s="79">
        <v>142</v>
      </c>
      <c r="H76" s="79">
        <v>597</v>
      </c>
      <c r="I76" s="79">
        <v>597</v>
      </c>
      <c r="J76" s="79">
        <v>15109</v>
      </c>
      <c r="K76" s="79">
        <v>15109</v>
      </c>
      <c r="L76" s="79">
        <v>14447</v>
      </c>
      <c r="M76" s="79">
        <v>389</v>
      </c>
      <c r="N76" s="79">
        <v>279</v>
      </c>
      <c r="O76" s="79">
        <v>1492</v>
      </c>
      <c r="P76" s="79">
        <v>1492</v>
      </c>
      <c r="Q76" s="79">
        <v>1784</v>
      </c>
      <c r="R76" s="79">
        <v>520</v>
      </c>
      <c r="S76" s="79">
        <v>36</v>
      </c>
      <c r="T76" s="79">
        <v>195</v>
      </c>
      <c r="U76" s="79">
        <v>2011</v>
      </c>
      <c r="V76" s="79">
        <v>93</v>
      </c>
      <c r="W76" s="79">
        <v>2348</v>
      </c>
      <c r="X76" s="79">
        <v>2347</v>
      </c>
    </row>
    <row r="77" spans="1:24" x14ac:dyDescent="0.35">
      <c r="A77" s="84" t="s">
        <v>533</v>
      </c>
      <c r="B77" s="79">
        <v>28469</v>
      </c>
      <c r="C77" s="79">
        <v>9013</v>
      </c>
      <c r="D77" s="79">
        <v>5636</v>
      </c>
      <c r="E77" s="79">
        <v>1699</v>
      </c>
      <c r="F77" s="79">
        <v>1639</v>
      </c>
      <c r="G77" s="79">
        <v>204</v>
      </c>
      <c r="H77" s="79">
        <v>640</v>
      </c>
      <c r="I77" s="79">
        <v>640</v>
      </c>
      <c r="J77" s="79">
        <v>15311</v>
      </c>
      <c r="K77" s="79">
        <v>15311</v>
      </c>
      <c r="L77" s="79">
        <v>14637</v>
      </c>
      <c r="M77" s="79">
        <v>402</v>
      </c>
      <c r="N77" s="79">
        <v>277</v>
      </c>
      <c r="O77" s="79">
        <v>1582</v>
      </c>
      <c r="P77" s="79">
        <v>1582</v>
      </c>
      <c r="Q77" s="79">
        <v>1995</v>
      </c>
      <c r="R77" s="79">
        <v>558</v>
      </c>
      <c r="S77" s="79">
        <v>41</v>
      </c>
      <c r="T77" s="79">
        <v>211</v>
      </c>
      <c r="U77" s="79">
        <v>2266</v>
      </c>
      <c r="V77" s="79">
        <v>255</v>
      </c>
      <c r="W77" s="79">
        <v>2416</v>
      </c>
      <c r="X77" s="79">
        <v>2416</v>
      </c>
    </row>
    <row r="78" spans="1:24" x14ac:dyDescent="0.35">
      <c r="A78" s="84" t="s">
        <v>534</v>
      </c>
      <c r="B78" s="79">
        <v>28651</v>
      </c>
      <c r="C78" s="79">
        <v>9100</v>
      </c>
      <c r="D78" s="79">
        <v>5604</v>
      </c>
      <c r="E78" s="79">
        <v>1641</v>
      </c>
      <c r="F78" s="79">
        <v>1828</v>
      </c>
      <c r="G78" s="79">
        <v>148</v>
      </c>
      <c r="H78" s="79">
        <v>652</v>
      </c>
      <c r="I78" s="79">
        <v>651</v>
      </c>
      <c r="J78" s="79">
        <v>15340</v>
      </c>
      <c r="K78" s="79">
        <v>15340</v>
      </c>
      <c r="L78" s="79">
        <v>14717</v>
      </c>
      <c r="M78" s="79">
        <v>357</v>
      </c>
      <c r="N78" s="79">
        <v>272</v>
      </c>
      <c r="O78" s="79">
        <v>1624</v>
      </c>
      <c r="P78" s="79">
        <v>1624</v>
      </c>
      <c r="Q78" s="79">
        <v>2019</v>
      </c>
      <c r="R78" s="79">
        <v>601</v>
      </c>
      <c r="S78" s="79">
        <v>45</v>
      </c>
      <c r="T78" s="79">
        <v>219</v>
      </c>
      <c r="U78" s="79">
        <v>2195</v>
      </c>
      <c r="V78" s="79">
        <v>25</v>
      </c>
      <c r="W78" s="79">
        <v>2381</v>
      </c>
      <c r="X78" s="79">
        <v>2382</v>
      </c>
    </row>
    <row r="79" spans="1:24" x14ac:dyDescent="0.35">
      <c r="A79" s="84" t="s">
        <v>535</v>
      </c>
      <c r="B79" s="79">
        <v>29174</v>
      </c>
      <c r="C79" s="79">
        <v>9262</v>
      </c>
      <c r="D79" s="79">
        <v>5745</v>
      </c>
      <c r="E79" s="79">
        <v>1680</v>
      </c>
      <c r="F79" s="79">
        <v>1848</v>
      </c>
      <c r="G79" s="79">
        <v>118</v>
      </c>
      <c r="H79" s="79">
        <v>686</v>
      </c>
      <c r="I79" s="79">
        <v>686</v>
      </c>
      <c r="J79" s="79">
        <v>15600</v>
      </c>
      <c r="K79" s="79">
        <v>15600</v>
      </c>
      <c r="L79" s="79">
        <v>15002</v>
      </c>
      <c r="M79" s="79">
        <v>332</v>
      </c>
      <c r="N79" s="79">
        <v>269</v>
      </c>
      <c r="O79" s="79">
        <v>1490</v>
      </c>
      <c r="P79" s="79">
        <v>1490</v>
      </c>
      <c r="Q79" s="79">
        <v>2110</v>
      </c>
      <c r="R79" s="79">
        <v>670</v>
      </c>
      <c r="S79" s="79">
        <v>47</v>
      </c>
      <c r="T79" s="79">
        <v>229</v>
      </c>
      <c r="U79" s="79">
        <v>2061</v>
      </c>
      <c r="V79" s="79">
        <v>99</v>
      </c>
      <c r="W79" s="79">
        <v>2417</v>
      </c>
      <c r="X79" s="79">
        <v>2417</v>
      </c>
    </row>
    <row r="80" spans="1:24" x14ac:dyDescent="0.35">
      <c r="A80" s="84" t="s">
        <v>536</v>
      </c>
      <c r="B80" s="79">
        <v>29411</v>
      </c>
      <c r="C80" s="79">
        <v>9250</v>
      </c>
      <c r="D80" s="79">
        <v>5686</v>
      </c>
      <c r="E80" s="79">
        <v>1605</v>
      </c>
      <c r="F80" s="79">
        <v>1922</v>
      </c>
      <c r="G80" s="79">
        <v>143</v>
      </c>
      <c r="H80" s="79">
        <v>704</v>
      </c>
      <c r="I80" s="79">
        <v>703</v>
      </c>
      <c r="J80" s="79">
        <v>15336</v>
      </c>
      <c r="K80" s="79">
        <v>15336</v>
      </c>
      <c r="L80" s="79">
        <v>14735</v>
      </c>
      <c r="M80" s="79">
        <v>345</v>
      </c>
      <c r="N80" s="79">
        <v>260</v>
      </c>
      <c r="O80" s="79">
        <v>1543</v>
      </c>
      <c r="P80" s="79">
        <v>1544</v>
      </c>
      <c r="Q80" s="79">
        <v>2262</v>
      </c>
      <c r="R80" s="79">
        <v>721</v>
      </c>
      <c r="S80" s="79">
        <v>54</v>
      </c>
      <c r="T80" s="79">
        <v>248</v>
      </c>
      <c r="U80" s="79">
        <v>1926</v>
      </c>
      <c r="V80" s="79">
        <v>291</v>
      </c>
      <c r="W80" s="79">
        <v>2362</v>
      </c>
      <c r="X80" s="79">
        <v>2363</v>
      </c>
    </row>
    <row r="81" spans="1:24" x14ac:dyDescent="0.35">
      <c r="A81" s="84" t="s">
        <v>537</v>
      </c>
      <c r="B81" s="79">
        <v>29211</v>
      </c>
      <c r="C81" s="79">
        <v>9089</v>
      </c>
      <c r="D81" s="79">
        <v>5637</v>
      </c>
      <c r="E81" s="79">
        <v>1620</v>
      </c>
      <c r="F81" s="79">
        <v>1809</v>
      </c>
      <c r="G81" s="79">
        <v>150</v>
      </c>
      <c r="H81" s="79">
        <v>697</v>
      </c>
      <c r="I81" s="79">
        <v>697</v>
      </c>
      <c r="J81" s="79">
        <v>15456</v>
      </c>
      <c r="K81" s="79">
        <v>15456</v>
      </c>
      <c r="L81" s="79">
        <v>14862</v>
      </c>
      <c r="M81" s="79">
        <v>343</v>
      </c>
      <c r="N81" s="79">
        <v>255</v>
      </c>
      <c r="O81" s="79">
        <v>1555</v>
      </c>
      <c r="P81" s="79">
        <v>1555</v>
      </c>
      <c r="Q81" s="79">
        <v>2207</v>
      </c>
      <c r="R81" s="79">
        <v>713</v>
      </c>
      <c r="S81" s="79">
        <v>56</v>
      </c>
      <c r="T81" s="79">
        <v>246</v>
      </c>
      <c r="U81" s="79">
        <v>1883</v>
      </c>
      <c r="V81" s="79">
        <v>135</v>
      </c>
      <c r="W81" s="79">
        <v>2336</v>
      </c>
      <c r="X81" s="79">
        <v>2336</v>
      </c>
    </row>
    <row r="82" spans="1:24" x14ac:dyDescent="0.35">
      <c r="A82" s="84" t="s">
        <v>538</v>
      </c>
      <c r="B82" s="79">
        <v>29265</v>
      </c>
      <c r="C82" s="79">
        <v>9561</v>
      </c>
      <c r="D82" s="79">
        <v>5856</v>
      </c>
      <c r="E82" s="79">
        <v>1691</v>
      </c>
      <c r="F82" s="79">
        <v>1975</v>
      </c>
      <c r="G82" s="79">
        <v>152</v>
      </c>
      <c r="H82" s="79">
        <v>657</v>
      </c>
      <c r="I82" s="79">
        <v>657</v>
      </c>
      <c r="J82" s="79">
        <v>15155</v>
      </c>
      <c r="K82" s="79">
        <v>15155</v>
      </c>
      <c r="L82" s="79">
        <v>14562</v>
      </c>
      <c r="M82" s="79">
        <v>345</v>
      </c>
      <c r="N82" s="79">
        <v>251</v>
      </c>
      <c r="O82" s="79">
        <v>1547</v>
      </c>
      <c r="P82" s="79">
        <v>1547</v>
      </c>
      <c r="Q82" s="79">
        <v>2224</v>
      </c>
      <c r="R82" s="79">
        <v>700</v>
      </c>
      <c r="S82" s="79">
        <v>54</v>
      </c>
      <c r="T82" s="79">
        <v>259</v>
      </c>
      <c r="U82" s="79">
        <v>1884</v>
      </c>
      <c r="V82" s="79">
        <v>208</v>
      </c>
      <c r="W82" s="79">
        <v>2259</v>
      </c>
      <c r="X82" s="79">
        <v>2258</v>
      </c>
    </row>
    <row r="83" spans="1:24" x14ac:dyDescent="0.35">
      <c r="A83" s="84" t="s">
        <v>539</v>
      </c>
      <c r="B83" s="79">
        <v>29796</v>
      </c>
      <c r="C83" s="79">
        <v>9522</v>
      </c>
      <c r="D83" s="79">
        <v>6061</v>
      </c>
      <c r="E83" s="79">
        <v>1830</v>
      </c>
      <c r="F83" s="79">
        <v>1707</v>
      </c>
      <c r="G83" s="79">
        <v>94</v>
      </c>
      <c r="H83" s="79">
        <v>638</v>
      </c>
      <c r="I83" s="79">
        <v>637</v>
      </c>
      <c r="J83" s="79">
        <v>15571</v>
      </c>
      <c r="K83" s="79">
        <v>15571</v>
      </c>
      <c r="L83" s="79">
        <v>14967</v>
      </c>
      <c r="M83" s="79">
        <v>357</v>
      </c>
      <c r="N83" s="79">
        <v>251</v>
      </c>
      <c r="O83" s="79">
        <v>1524</v>
      </c>
      <c r="P83" s="79">
        <v>1525</v>
      </c>
      <c r="Q83" s="79">
        <v>2332</v>
      </c>
      <c r="R83" s="79">
        <v>766</v>
      </c>
      <c r="S83" s="79">
        <v>45</v>
      </c>
      <c r="T83" s="79">
        <v>290</v>
      </c>
      <c r="U83" s="79">
        <v>1950</v>
      </c>
      <c r="V83" s="79">
        <v>198</v>
      </c>
      <c r="W83" s="79">
        <v>2220</v>
      </c>
      <c r="X83" s="79">
        <v>2221</v>
      </c>
    </row>
    <row r="84" spans="1:24" x14ac:dyDescent="0.35">
      <c r="A84" s="84" t="s">
        <v>540</v>
      </c>
      <c r="B84" s="79">
        <v>30681</v>
      </c>
      <c r="C84" s="79">
        <v>10150</v>
      </c>
      <c r="D84" s="79">
        <v>6212</v>
      </c>
      <c r="E84" s="79">
        <v>1989</v>
      </c>
      <c r="F84" s="79">
        <v>1912</v>
      </c>
      <c r="G84" s="79">
        <v>201</v>
      </c>
      <c r="H84" s="79">
        <v>664</v>
      </c>
      <c r="I84" s="79">
        <v>664</v>
      </c>
      <c r="J84" s="79">
        <v>15768</v>
      </c>
      <c r="K84" s="79">
        <v>15768</v>
      </c>
      <c r="L84" s="79">
        <v>15162</v>
      </c>
      <c r="M84" s="79">
        <v>354</v>
      </c>
      <c r="N84" s="79">
        <v>254</v>
      </c>
      <c r="O84" s="79">
        <v>1546</v>
      </c>
      <c r="P84" s="79">
        <v>1546</v>
      </c>
      <c r="Q84" s="79">
        <v>2408</v>
      </c>
      <c r="R84" s="79">
        <v>776</v>
      </c>
      <c r="S84" s="79">
        <v>49</v>
      </c>
      <c r="T84" s="79">
        <v>307</v>
      </c>
      <c r="U84" s="79">
        <v>1981</v>
      </c>
      <c r="V84" s="79">
        <v>201</v>
      </c>
      <c r="W84" s="79">
        <v>2224</v>
      </c>
      <c r="X84" s="79">
        <v>2224</v>
      </c>
    </row>
    <row r="85" spans="1:24" x14ac:dyDescent="0.35">
      <c r="A85" s="84" t="s">
        <v>541</v>
      </c>
      <c r="B85" s="79">
        <v>31247</v>
      </c>
      <c r="C85" s="79">
        <v>10191</v>
      </c>
      <c r="D85" s="79">
        <v>6253</v>
      </c>
      <c r="E85" s="79">
        <v>1994</v>
      </c>
      <c r="F85" s="79">
        <v>1971</v>
      </c>
      <c r="G85" s="79">
        <v>135</v>
      </c>
      <c r="H85" s="79">
        <v>708</v>
      </c>
      <c r="I85" s="79">
        <v>708</v>
      </c>
      <c r="J85" s="79">
        <v>16096</v>
      </c>
      <c r="K85" s="79">
        <v>16096</v>
      </c>
      <c r="L85" s="79">
        <v>15460</v>
      </c>
      <c r="M85" s="79">
        <v>377</v>
      </c>
      <c r="N85" s="79">
        <v>265</v>
      </c>
      <c r="O85" s="79">
        <v>1562</v>
      </c>
      <c r="P85" s="79">
        <v>1562</v>
      </c>
      <c r="Q85" s="79">
        <v>2484</v>
      </c>
      <c r="R85" s="79">
        <v>811</v>
      </c>
      <c r="S85" s="79">
        <v>47</v>
      </c>
      <c r="T85" s="79">
        <v>332</v>
      </c>
      <c r="U85" s="79">
        <v>2002</v>
      </c>
      <c r="V85" s="79">
        <v>168</v>
      </c>
      <c r="W85" s="79">
        <v>2228</v>
      </c>
      <c r="X85" s="79">
        <v>2228</v>
      </c>
    </row>
    <row r="86" spans="1:24" x14ac:dyDescent="0.35">
      <c r="A86" s="84" t="s">
        <v>542</v>
      </c>
      <c r="B86" s="79">
        <v>31202</v>
      </c>
      <c r="C86" s="79">
        <v>10000</v>
      </c>
      <c r="D86" s="79">
        <v>6149</v>
      </c>
      <c r="E86" s="79">
        <v>1869</v>
      </c>
      <c r="F86" s="79">
        <v>1899</v>
      </c>
      <c r="G86" s="79">
        <v>234</v>
      </c>
      <c r="H86" s="79">
        <v>739</v>
      </c>
      <c r="I86" s="79">
        <v>739</v>
      </c>
      <c r="J86" s="79">
        <v>15781</v>
      </c>
      <c r="K86" s="79">
        <v>15781</v>
      </c>
      <c r="L86" s="79">
        <v>15135</v>
      </c>
      <c r="M86" s="79">
        <v>375</v>
      </c>
      <c r="N86" s="79">
        <v>276</v>
      </c>
      <c r="O86" s="79">
        <v>1595</v>
      </c>
      <c r="P86" s="79">
        <v>1595</v>
      </c>
      <c r="Q86" s="79">
        <v>2553</v>
      </c>
      <c r="R86" s="79">
        <v>824</v>
      </c>
      <c r="S86" s="79">
        <v>54</v>
      </c>
      <c r="T86" s="79">
        <v>352</v>
      </c>
      <c r="U86" s="79">
        <v>2007</v>
      </c>
      <c r="V86" s="79">
        <v>96</v>
      </c>
      <c r="W86" s="79">
        <v>2395</v>
      </c>
      <c r="X86" s="79">
        <v>2395</v>
      </c>
    </row>
    <row r="87" spans="1:24" x14ac:dyDescent="0.35">
      <c r="A87" s="84" t="s">
        <v>543</v>
      </c>
      <c r="B87" s="79">
        <v>31719</v>
      </c>
      <c r="C87" s="79">
        <v>9857</v>
      </c>
      <c r="D87" s="79">
        <v>6057</v>
      </c>
      <c r="E87" s="79">
        <v>1688</v>
      </c>
      <c r="F87" s="79">
        <v>1997</v>
      </c>
      <c r="G87" s="79">
        <v>230</v>
      </c>
      <c r="H87" s="79">
        <v>763</v>
      </c>
      <c r="I87" s="79">
        <v>763</v>
      </c>
      <c r="J87" s="79">
        <v>16565</v>
      </c>
      <c r="K87" s="79">
        <v>16565</v>
      </c>
      <c r="L87" s="79">
        <v>15906</v>
      </c>
      <c r="M87" s="79">
        <v>374</v>
      </c>
      <c r="N87" s="79">
        <v>291</v>
      </c>
      <c r="O87" s="79">
        <v>1525</v>
      </c>
      <c r="P87" s="79">
        <v>1526</v>
      </c>
      <c r="Q87" s="79">
        <v>2619</v>
      </c>
      <c r="R87" s="79">
        <v>794</v>
      </c>
      <c r="S87" s="79">
        <v>75</v>
      </c>
      <c r="T87" s="79">
        <v>373</v>
      </c>
      <c r="U87" s="79">
        <v>1981</v>
      </c>
      <c r="V87" s="79">
        <v>59</v>
      </c>
      <c r="W87" s="79">
        <v>2177</v>
      </c>
      <c r="X87" s="79">
        <v>2177</v>
      </c>
    </row>
    <row r="88" spans="1:24" x14ac:dyDescent="0.35">
      <c r="A88" s="84" t="s">
        <v>544</v>
      </c>
      <c r="B88" s="79">
        <v>31783</v>
      </c>
      <c r="C88" s="79">
        <v>9345</v>
      </c>
      <c r="D88" s="79">
        <v>5809</v>
      </c>
      <c r="E88" s="79">
        <v>1421</v>
      </c>
      <c r="F88" s="79">
        <v>1989</v>
      </c>
      <c r="G88" s="79">
        <v>204</v>
      </c>
      <c r="H88" s="79">
        <v>713</v>
      </c>
      <c r="I88" s="79">
        <v>712</v>
      </c>
      <c r="J88" s="79">
        <v>16668</v>
      </c>
      <c r="K88" s="79">
        <v>16668</v>
      </c>
      <c r="L88" s="79">
        <v>16013</v>
      </c>
      <c r="M88" s="79">
        <v>351</v>
      </c>
      <c r="N88" s="79">
        <v>309</v>
      </c>
      <c r="O88" s="79">
        <v>1550</v>
      </c>
      <c r="P88" s="79">
        <v>1550</v>
      </c>
      <c r="Q88" s="79">
        <v>2737</v>
      </c>
      <c r="R88" s="79">
        <v>816</v>
      </c>
      <c r="S88" s="79">
        <v>81</v>
      </c>
      <c r="T88" s="79">
        <v>402</v>
      </c>
      <c r="U88" s="79">
        <v>1976</v>
      </c>
      <c r="V88" s="79">
        <v>115</v>
      </c>
      <c r="W88" s="79">
        <v>2364</v>
      </c>
      <c r="X88" s="79">
        <v>2364</v>
      </c>
    </row>
    <row r="89" spans="1:24" x14ac:dyDescent="0.35">
      <c r="A89" s="84" t="s">
        <v>545</v>
      </c>
      <c r="B89" s="79">
        <v>29439</v>
      </c>
      <c r="C89" s="79">
        <v>8919</v>
      </c>
      <c r="D89" s="79">
        <v>5542</v>
      </c>
      <c r="E89" s="79">
        <v>1258</v>
      </c>
      <c r="F89" s="79">
        <v>1952</v>
      </c>
      <c r="G89" s="79">
        <v>225</v>
      </c>
      <c r="H89" s="79">
        <v>669</v>
      </c>
      <c r="I89" s="79">
        <v>669</v>
      </c>
      <c r="J89" s="79">
        <v>14281</v>
      </c>
      <c r="K89" s="79">
        <v>14281</v>
      </c>
      <c r="L89" s="79">
        <v>13623</v>
      </c>
      <c r="M89" s="79">
        <v>368</v>
      </c>
      <c r="N89" s="79">
        <v>297</v>
      </c>
      <c r="O89" s="79">
        <v>1509</v>
      </c>
      <c r="P89" s="79">
        <v>1509</v>
      </c>
      <c r="Q89" s="79">
        <v>2800</v>
      </c>
      <c r="R89" s="79">
        <v>836</v>
      </c>
      <c r="S89" s="79">
        <v>87</v>
      </c>
      <c r="T89" s="79">
        <v>415</v>
      </c>
      <c r="U89" s="79">
        <v>1973</v>
      </c>
      <c r="V89" s="79">
        <v>95</v>
      </c>
      <c r="W89" s="79">
        <v>2327</v>
      </c>
      <c r="X89" s="79">
        <v>2328</v>
      </c>
    </row>
    <row r="90" spans="1:24" x14ac:dyDescent="0.35">
      <c r="A90" s="84" t="s">
        <v>546</v>
      </c>
      <c r="B90" s="79">
        <v>27619</v>
      </c>
      <c r="C90" s="79">
        <v>8256</v>
      </c>
      <c r="D90" s="79">
        <v>5148</v>
      </c>
      <c r="E90" s="79">
        <v>1112</v>
      </c>
      <c r="F90" s="79">
        <v>1849</v>
      </c>
      <c r="G90" s="79">
        <v>194</v>
      </c>
      <c r="H90" s="79">
        <v>670</v>
      </c>
      <c r="I90" s="79">
        <v>670</v>
      </c>
      <c r="J90" s="79">
        <v>13073</v>
      </c>
      <c r="K90" s="79">
        <v>13073</v>
      </c>
      <c r="L90" s="79">
        <v>12404</v>
      </c>
      <c r="M90" s="79">
        <v>395</v>
      </c>
      <c r="N90" s="79">
        <v>284</v>
      </c>
      <c r="O90" s="79">
        <v>1464</v>
      </c>
      <c r="P90" s="79">
        <v>1464</v>
      </c>
      <c r="Q90" s="79">
        <v>2812</v>
      </c>
      <c r="R90" s="79">
        <v>846</v>
      </c>
      <c r="S90" s="79">
        <v>88</v>
      </c>
      <c r="T90" s="79">
        <v>425</v>
      </c>
      <c r="U90" s="79">
        <v>1952</v>
      </c>
      <c r="V90" s="79">
        <v>58</v>
      </c>
      <c r="W90" s="79">
        <v>2015</v>
      </c>
      <c r="X90" s="79">
        <v>2015</v>
      </c>
    </row>
    <row r="91" spans="1:24" x14ac:dyDescent="0.35">
      <c r="A91" s="84" t="s">
        <v>547</v>
      </c>
      <c r="B91" s="79">
        <v>27284</v>
      </c>
      <c r="C91" s="79">
        <v>7954</v>
      </c>
      <c r="D91" s="79">
        <v>4976</v>
      </c>
      <c r="E91" s="79">
        <v>1151</v>
      </c>
      <c r="F91" s="79">
        <v>1753</v>
      </c>
      <c r="G91" s="79">
        <v>131</v>
      </c>
      <c r="H91" s="79">
        <v>724</v>
      </c>
      <c r="I91" s="79">
        <v>723</v>
      </c>
      <c r="J91" s="79">
        <v>12986</v>
      </c>
      <c r="K91" s="79">
        <v>12986</v>
      </c>
      <c r="L91" s="79">
        <v>12368</v>
      </c>
      <c r="M91" s="79">
        <v>342</v>
      </c>
      <c r="N91" s="79">
        <v>282</v>
      </c>
      <c r="O91" s="79">
        <v>1495</v>
      </c>
      <c r="P91" s="79">
        <v>1495</v>
      </c>
      <c r="Q91" s="79">
        <v>2706</v>
      </c>
      <c r="R91" s="79">
        <v>805</v>
      </c>
      <c r="S91" s="79">
        <v>73</v>
      </c>
      <c r="T91" s="79">
        <v>436</v>
      </c>
      <c r="U91" s="79">
        <v>1895</v>
      </c>
      <c r="V91" s="79">
        <v>79</v>
      </c>
      <c r="W91" s="79">
        <v>2218</v>
      </c>
      <c r="X91" s="79">
        <v>2218</v>
      </c>
    </row>
    <row r="92" spans="1:24" x14ac:dyDescent="0.35">
      <c r="A92" s="84" t="s">
        <v>548</v>
      </c>
      <c r="B92" s="79">
        <v>28174</v>
      </c>
      <c r="C92" s="79">
        <v>7782</v>
      </c>
      <c r="D92" s="79">
        <v>5048</v>
      </c>
      <c r="E92" s="79">
        <v>1221</v>
      </c>
      <c r="F92" s="79">
        <v>1491</v>
      </c>
      <c r="G92" s="79">
        <v>111</v>
      </c>
      <c r="H92" s="79">
        <v>725</v>
      </c>
      <c r="I92" s="79">
        <v>725</v>
      </c>
      <c r="J92" s="79">
        <v>14248</v>
      </c>
      <c r="K92" s="79">
        <v>14248</v>
      </c>
      <c r="L92" s="79">
        <v>13619</v>
      </c>
      <c r="M92" s="79">
        <v>350</v>
      </c>
      <c r="N92" s="79">
        <v>285</v>
      </c>
      <c r="O92" s="79">
        <v>1455</v>
      </c>
      <c r="P92" s="79">
        <v>1456</v>
      </c>
      <c r="Q92" s="79">
        <v>2751</v>
      </c>
      <c r="R92" s="79">
        <v>788</v>
      </c>
      <c r="S92" s="79">
        <v>81</v>
      </c>
      <c r="T92" s="79">
        <v>453</v>
      </c>
      <c r="U92" s="79">
        <v>1937</v>
      </c>
      <c r="V92" s="79">
        <v>62</v>
      </c>
      <c r="W92" s="79">
        <v>2094</v>
      </c>
      <c r="X92" s="79">
        <v>2094</v>
      </c>
    </row>
    <row r="93" spans="1:24" x14ac:dyDescent="0.35">
      <c r="A93" s="84" t="s">
        <v>549</v>
      </c>
      <c r="B93" s="79">
        <v>29453</v>
      </c>
      <c r="C93" s="79">
        <v>8190</v>
      </c>
      <c r="D93" s="79">
        <v>5261</v>
      </c>
      <c r="E93" s="79">
        <v>1381</v>
      </c>
      <c r="F93" s="79">
        <v>1555</v>
      </c>
      <c r="G93" s="79">
        <v>97</v>
      </c>
      <c r="H93" s="79">
        <v>660</v>
      </c>
      <c r="I93" s="79">
        <v>660</v>
      </c>
      <c r="J93" s="79">
        <v>15032</v>
      </c>
      <c r="K93" s="79">
        <v>15032</v>
      </c>
      <c r="L93" s="79">
        <v>14406</v>
      </c>
      <c r="M93" s="79">
        <v>338</v>
      </c>
      <c r="N93" s="79">
        <v>295</v>
      </c>
      <c r="O93" s="79">
        <v>1532</v>
      </c>
      <c r="P93" s="79">
        <v>1532</v>
      </c>
      <c r="Q93" s="79">
        <v>2932</v>
      </c>
      <c r="R93" s="79">
        <v>852</v>
      </c>
      <c r="S93" s="79">
        <v>85</v>
      </c>
      <c r="T93" s="79">
        <v>486</v>
      </c>
      <c r="U93" s="79">
        <v>1910</v>
      </c>
      <c r="V93" s="79">
        <v>188</v>
      </c>
      <c r="W93" s="79">
        <v>1977</v>
      </c>
      <c r="X93" s="79">
        <v>1977</v>
      </c>
    </row>
    <row r="94" spans="1:24" x14ac:dyDescent="0.35">
      <c r="A94" s="84" t="s">
        <v>550</v>
      </c>
      <c r="B94" s="79">
        <v>30396</v>
      </c>
      <c r="C94" s="79">
        <v>8343</v>
      </c>
      <c r="D94" s="79">
        <v>5487</v>
      </c>
      <c r="E94" s="79">
        <v>1361</v>
      </c>
      <c r="F94" s="79">
        <v>1487</v>
      </c>
      <c r="G94" s="79">
        <v>121</v>
      </c>
      <c r="H94" s="79">
        <v>650</v>
      </c>
      <c r="I94" s="79">
        <v>650</v>
      </c>
      <c r="J94" s="79">
        <v>15702</v>
      </c>
      <c r="K94" s="79">
        <v>15702</v>
      </c>
      <c r="L94" s="79">
        <v>15057</v>
      </c>
      <c r="M94" s="79">
        <v>332</v>
      </c>
      <c r="N94" s="79">
        <v>321</v>
      </c>
      <c r="O94" s="79">
        <v>1361</v>
      </c>
      <c r="P94" s="79">
        <v>1361</v>
      </c>
      <c r="Q94" s="79">
        <v>3120</v>
      </c>
      <c r="R94" s="79">
        <v>916</v>
      </c>
      <c r="S94" s="79">
        <v>89</v>
      </c>
      <c r="T94" s="79">
        <v>531</v>
      </c>
      <c r="U94" s="79">
        <v>1937</v>
      </c>
      <c r="V94" s="79">
        <v>236</v>
      </c>
      <c r="W94" s="79">
        <v>1982</v>
      </c>
      <c r="X94" s="79">
        <v>1982</v>
      </c>
    </row>
    <row r="95" spans="1:24" x14ac:dyDescent="0.35">
      <c r="A95" s="84" t="s">
        <v>551</v>
      </c>
      <c r="B95" s="79">
        <v>29328</v>
      </c>
      <c r="C95" s="79">
        <v>8279</v>
      </c>
      <c r="D95" s="79">
        <v>5364</v>
      </c>
      <c r="E95" s="79">
        <v>1258</v>
      </c>
      <c r="F95" s="79">
        <v>1556</v>
      </c>
      <c r="G95" s="79">
        <v>195</v>
      </c>
      <c r="H95" s="79">
        <v>666</v>
      </c>
      <c r="I95" s="79">
        <v>666</v>
      </c>
      <c r="J95" s="79">
        <v>14746</v>
      </c>
      <c r="K95" s="79">
        <v>14746</v>
      </c>
      <c r="L95" s="79">
        <v>14102</v>
      </c>
      <c r="M95" s="79">
        <v>313</v>
      </c>
      <c r="N95" s="79">
        <v>336</v>
      </c>
      <c r="O95" s="79">
        <v>1269</v>
      </c>
      <c r="P95" s="79">
        <v>1269</v>
      </c>
      <c r="Q95" s="79">
        <v>3036</v>
      </c>
      <c r="R95" s="79">
        <v>930</v>
      </c>
      <c r="S95" s="79">
        <v>90</v>
      </c>
      <c r="T95" s="79">
        <v>492</v>
      </c>
      <c r="U95" s="79">
        <v>2006</v>
      </c>
      <c r="V95" s="79">
        <v>68</v>
      </c>
      <c r="W95" s="79">
        <v>2032</v>
      </c>
      <c r="X95" s="79">
        <v>2032</v>
      </c>
    </row>
    <row r="96" spans="1:24" x14ac:dyDescent="0.35">
      <c r="A96" s="84" t="s">
        <v>552</v>
      </c>
      <c r="B96" s="79">
        <v>29454</v>
      </c>
      <c r="C96" s="79">
        <v>8666</v>
      </c>
      <c r="D96" s="79">
        <v>5501</v>
      </c>
      <c r="E96" s="79">
        <v>1356</v>
      </c>
      <c r="F96" s="79">
        <v>1711</v>
      </c>
      <c r="G96" s="79">
        <v>190</v>
      </c>
      <c r="H96" s="79">
        <v>722</v>
      </c>
      <c r="I96" s="79">
        <v>722</v>
      </c>
      <c r="J96" s="79">
        <v>13647</v>
      </c>
      <c r="K96" s="79">
        <v>13647</v>
      </c>
      <c r="L96" s="79">
        <v>12971</v>
      </c>
      <c r="M96" s="79">
        <v>325</v>
      </c>
      <c r="N96" s="79">
        <v>350</v>
      </c>
      <c r="O96" s="79">
        <v>1344</v>
      </c>
      <c r="P96" s="79">
        <v>1345</v>
      </c>
      <c r="Q96" s="79">
        <v>3304</v>
      </c>
      <c r="R96" s="79">
        <v>1029</v>
      </c>
      <c r="S96" s="79">
        <v>105</v>
      </c>
      <c r="T96" s="79">
        <v>559</v>
      </c>
      <c r="U96" s="79">
        <v>2017</v>
      </c>
      <c r="V96" s="79">
        <v>80</v>
      </c>
      <c r="W96" s="79">
        <v>2166</v>
      </c>
      <c r="X96" s="79">
        <v>2166</v>
      </c>
    </row>
    <row r="97" spans="1:24" x14ac:dyDescent="0.35">
      <c r="A97" s="84" t="s">
        <v>553</v>
      </c>
      <c r="B97" s="79">
        <v>28953</v>
      </c>
      <c r="C97" s="79">
        <v>8647</v>
      </c>
      <c r="D97" s="79">
        <v>5453</v>
      </c>
      <c r="E97" s="79">
        <v>1376</v>
      </c>
      <c r="F97" s="79">
        <v>1724</v>
      </c>
      <c r="G97" s="79">
        <v>185</v>
      </c>
      <c r="H97" s="79">
        <v>715</v>
      </c>
      <c r="I97" s="79">
        <v>715</v>
      </c>
      <c r="J97" s="79">
        <v>12409</v>
      </c>
      <c r="K97" s="79">
        <v>12409</v>
      </c>
      <c r="L97" s="79">
        <v>11750</v>
      </c>
      <c r="M97" s="79">
        <v>306</v>
      </c>
      <c r="N97" s="79">
        <v>348</v>
      </c>
      <c r="O97" s="79">
        <v>1439</v>
      </c>
      <c r="P97" s="79">
        <v>1439</v>
      </c>
      <c r="Q97" s="79">
        <v>3506</v>
      </c>
      <c r="R97" s="79">
        <v>1088</v>
      </c>
      <c r="S97" s="79">
        <v>118</v>
      </c>
      <c r="T97" s="79">
        <v>608</v>
      </c>
      <c r="U97" s="79">
        <v>2057</v>
      </c>
      <c r="V97" s="79">
        <v>85</v>
      </c>
      <c r="W97" s="79">
        <v>2327</v>
      </c>
      <c r="X97" s="79">
        <v>2328</v>
      </c>
    </row>
    <row r="98" spans="1:24" x14ac:dyDescent="0.35">
      <c r="A98" s="84" t="s">
        <v>554</v>
      </c>
      <c r="B98" s="79">
        <v>29188</v>
      </c>
      <c r="C98" s="79">
        <v>8688</v>
      </c>
      <c r="D98" s="79">
        <v>5418</v>
      </c>
      <c r="E98" s="79">
        <v>1386</v>
      </c>
      <c r="F98" s="79">
        <v>1809</v>
      </c>
      <c r="G98" s="79">
        <v>156</v>
      </c>
      <c r="H98" s="79">
        <v>721</v>
      </c>
      <c r="I98" s="79">
        <v>720</v>
      </c>
      <c r="J98" s="79">
        <v>12357</v>
      </c>
      <c r="K98" s="79">
        <v>12357</v>
      </c>
      <c r="L98" s="79">
        <v>11714</v>
      </c>
      <c r="M98" s="79">
        <v>295</v>
      </c>
      <c r="N98" s="79">
        <v>345</v>
      </c>
      <c r="O98" s="79">
        <v>1471</v>
      </c>
      <c r="P98" s="79">
        <v>1470</v>
      </c>
      <c r="Q98" s="79">
        <v>3620</v>
      </c>
      <c r="R98" s="79">
        <v>1127</v>
      </c>
      <c r="S98" s="79">
        <v>116</v>
      </c>
      <c r="T98" s="79">
        <v>653</v>
      </c>
      <c r="U98" s="79">
        <v>2037</v>
      </c>
      <c r="V98" s="79">
        <v>128</v>
      </c>
      <c r="W98" s="79">
        <v>2335</v>
      </c>
      <c r="X98" s="79">
        <v>2334</v>
      </c>
    </row>
    <row r="99" spans="1:24" x14ac:dyDescent="0.35">
      <c r="A99" s="84" t="s">
        <v>555</v>
      </c>
      <c r="B99" s="79">
        <v>28937</v>
      </c>
      <c r="C99" s="79">
        <v>8452</v>
      </c>
      <c r="D99" s="79">
        <v>5381</v>
      </c>
      <c r="E99" s="79">
        <v>1299</v>
      </c>
      <c r="F99" s="79">
        <v>1725</v>
      </c>
      <c r="G99" s="79">
        <v>129</v>
      </c>
      <c r="H99" s="79">
        <v>731</v>
      </c>
      <c r="I99" s="79">
        <v>730</v>
      </c>
      <c r="J99" s="79">
        <v>12464</v>
      </c>
      <c r="K99" s="79">
        <v>12464</v>
      </c>
      <c r="L99" s="79">
        <v>11831</v>
      </c>
      <c r="M99" s="79">
        <v>300</v>
      </c>
      <c r="N99" s="79">
        <v>332</v>
      </c>
      <c r="O99" s="79">
        <v>1584</v>
      </c>
      <c r="P99" s="79">
        <v>1584</v>
      </c>
      <c r="Q99" s="79">
        <v>3574</v>
      </c>
      <c r="R99" s="79">
        <v>945</v>
      </c>
      <c r="S99" s="79">
        <v>134</v>
      </c>
      <c r="T99" s="79">
        <v>735</v>
      </c>
      <c r="U99" s="79">
        <v>1941</v>
      </c>
      <c r="V99" s="79">
        <v>211</v>
      </c>
      <c r="W99" s="79">
        <v>2170</v>
      </c>
      <c r="X99" s="79">
        <v>2170</v>
      </c>
    </row>
    <row r="100" spans="1:24" x14ac:dyDescent="0.35">
      <c r="A100" s="84" t="s">
        <v>556</v>
      </c>
      <c r="B100" s="79">
        <v>28459</v>
      </c>
      <c r="C100" s="79">
        <v>8144</v>
      </c>
      <c r="D100" s="79">
        <v>5106</v>
      </c>
      <c r="E100" s="79">
        <v>1335</v>
      </c>
      <c r="F100" s="79">
        <v>1659</v>
      </c>
      <c r="G100" s="79">
        <v>127</v>
      </c>
      <c r="H100" s="79">
        <v>723</v>
      </c>
      <c r="I100" s="79">
        <v>723</v>
      </c>
      <c r="J100" s="79">
        <v>12468</v>
      </c>
      <c r="K100" s="79">
        <v>12468</v>
      </c>
      <c r="L100" s="79">
        <v>11842</v>
      </c>
      <c r="M100" s="79">
        <v>297</v>
      </c>
      <c r="N100" s="79">
        <v>328</v>
      </c>
      <c r="O100" s="79">
        <v>1527</v>
      </c>
      <c r="P100" s="79">
        <v>1528</v>
      </c>
      <c r="Q100" s="79">
        <v>3484</v>
      </c>
      <c r="R100" s="79">
        <v>949</v>
      </c>
      <c r="S100" s="79">
        <v>128</v>
      </c>
      <c r="T100" s="79">
        <v>757</v>
      </c>
      <c r="U100" s="79">
        <v>1799</v>
      </c>
      <c r="V100" s="79">
        <v>135</v>
      </c>
      <c r="W100" s="79">
        <v>2185</v>
      </c>
      <c r="X100" s="79">
        <v>2185</v>
      </c>
    </row>
    <row r="101" spans="1:24" x14ac:dyDescent="0.35">
      <c r="A101" s="84" t="s">
        <v>557</v>
      </c>
      <c r="B101" s="79">
        <v>28619</v>
      </c>
      <c r="C101" s="79">
        <v>8227</v>
      </c>
      <c r="D101" s="79">
        <v>5035</v>
      </c>
      <c r="E101" s="79">
        <v>1346</v>
      </c>
      <c r="F101" s="79">
        <v>1763</v>
      </c>
      <c r="G101" s="79">
        <v>152</v>
      </c>
      <c r="H101" s="79">
        <v>714</v>
      </c>
      <c r="I101" s="79">
        <v>714</v>
      </c>
      <c r="J101" s="79">
        <v>12460</v>
      </c>
      <c r="K101" s="79">
        <v>12460</v>
      </c>
      <c r="L101" s="79">
        <v>11827</v>
      </c>
      <c r="M101" s="79">
        <v>299</v>
      </c>
      <c r="N101" s="79">
        <v>332</v>
      </c>
      <c r="O101" s="79">
        <v>1464</v>
      </c>
      <c r="P101" s="79">
        <v>1464</v>
      </c>
      <c r="Q101" s="79">
        <v>3562</v>
      </c>
      <c r="R101" s="79">
        <v>969</v>
      </c>
      <c r="S101" s="79">
        <v>135</v>
      </c>
      <c r="T101" s="79">
        <v>813</v>
      </c>
      <c r="U101" s="79">
        <v>1745</v>
      </c>
      <c r="V101" s="79">
        <v>100</v>
      </c>
      <c r="W101" s="79">
        <v>2215</v>
      </c>
      <c r="X101" s="79">
        <v>2215</v>
      </c>
    </row>
    <row r="102" spans="1:24" x14ac:dyDescent="0.35">
      <c r="A102" s="84" t="s">
        <v>558</v>
      </c>
      <c r="B102" s="79">
        <v>28758</v>
      </c>
      <c r="C102" s="79">
        <v>7816</v>
      </c>
      <c r="D102" s="79">
        <v>4742</v>
      </c>
      <c r="E102" s="79">
        <v>1425</v>
      </c>
      <c r="F102" s="79">
        <v>1636</v>
      </c>
      <c r="G102" s="79">
        <v>96</v>
      </c>
      <c r="H102" s="79">
        <v>705</v>
      </c>
      <c r="I102" s="79">
        <v>705</v>
      </c>
      <c r="J102" s="79">
        <v>12779</v>
      </c>
      <c r="K102" s="79">
        <v>12779</v>
      </c>
      <c r="L102" s="79">
        <v>12124</v>
      </c>
      <c r="M102" s="79">
        <v>296</v>
      </c>
      <c r="N102" s="79">
        <v>356</v>
      </c>
      <c r="O102" s="79">
        <v>1590</v>
      </c>
      <c r="P102" s="79">
        <v>1590</v>
      </c>
      <c r="Q102" s="79">
        <v>3599</v>
      </c>
      <c r="R102" s="79">
        <v>919</v>
      </c>
      <c r="S102" s="79">
        <v>136</v>
      </c>
      <c r="T102" s="79">
        <v>847</v>
      </c>
      <c r="U102" s="79">
        <v>1788</v>
      </c>
      <c r="V102" s="79">
        <v>143</v>
      </c>
      <c r="W102" s="79">
        <v>2256</v>
      </c>
      <c r="X102" s="79">
        <v>2256</v>
      </c>
    </row>
    <row r="103" spans="1:24" x14ac:dyDescent="0.35">
      <c r="A103" s="84" t="s">
        <v>559</v>
      </c>
      <c r="B103" s="79">
        <v>28786</v>
      </c>
      <c r="C103" s="79">
        <v>7865</v>
      </c>
      <c r="D103" s="79">
        <v>4468</v>
      </c>
      <c r="E103" s="79">
        <v>1542</v>
      </c>
      <c r="F103" s="79">
        <v>1780</v>
      </c>
      <c r="G103" s="79">
        <v>139</v>
      </c>
      <c r="H103" s="79">
        <v>690</v>
      </c>
      <c r="I103" s="79">
        <v>690</v>
      </c>
      <c r="J103" s="79">
        <v>12717</v>
      </c>
      <c r="K103" s="79">
        <v>12717</v>
      </c>
      <c r="L103" s="79">
        <v>12051</v>
      </c>
      <c r="M103" s="79">
        <v>294</v>
      </c>
      <c r="N103" s="79">
        <v>370</v>
      </c>
      <c r="O103" s="79">
        <v>1704</v>
      </c>
      <c r="P103" s="79">
        <v>1704</v>
      </c>
      <c r="Q103" s="79">
        <v>3454</v>
      </c>
      <c r="R103" s="79">
        <v>1033</v>
      </c>
      <c r="S103" s="79">
        <v>121</v>
      </c>
      <c r="T103" s="79">
        <v>682</v>
      </c>
      <c r="U103" s="79">
        <v>1773</v>
      </c>
      <c r="V103" s="79">
        <v>142</v>
      </c>
      <c r="W103" s="79">
        <v>2455</v>
      </c>
      <c r="X103" s="79">
        <v>2456</v>
      </c>
    </row>
    <row r="104" spans="1:24" x14ac:dyDescent="0.35">
      <c r="A104" s="84" t="s">
        <v>560</v>
      </c>
      <c r="B104" s="79">
        <v>29005</v>
      </c>
      <c r="C104" s="79">
        <v>8052</v>
      </c>
      <c r="D104" s="79">
        <v>4488</v>
      </c>
      <c r="E104" s="79">
        <v>1467</v>
      </c>
      <c r="F104" s="79">
        <v>2017</v>
      </c>
      <c r="G104" s="79">
        <v>116</v>
      </c>
      <c r="H104" s="79">
        <v>696</v>
      </c>
      <c r="I104" s="79">
        <v>696</v>
      </c>
      <c r="J104" s="79">
        <v>12800</v>
      </c>
      <c r="K104" s="79">
        <v>12800</v>
      </c>
      <c r="L104" s="79">
        <v>12166</v>
      </c>
      <c r="M104" s="79">
        <v>241</v>
      </c>
      <c r="N104" s="79">
        <v>392</v>
      </c>
      <c r="O104" s="79">
        <v>1776</v>
      </c>
      <c r="P104" s="79">
        <v>1777</v>
      </c>
      <c r="Q104" s="79">
        <v>3483</v>
      </c>
      <c r="R104" s="79">
        <v>1033</v>
      </c>
      <c r="S104" s="79">
        <v>124</v>
      </c>
      <c r="T104" s="79">
        <v>692</v>
      </c>
      <c r="U104" s="79">
        <v>1773</v>
      </c>
      <c r="V104" s="79">
        <v>161</v>
      </c>
      <c r="W104" s="79">
        <v>2309</v>
      </c>
      <c r="X104" s="79">
        <v>2308</v>
      </c>
    </row>
    <row r="105" spans="1:24" x14ac:dyDescent="0.35">
      <c r="A105" s="84" t="s">
        <v>561</v>
      </c>
      <c r="B105" s="79">
        <v>29145</v>
      </c>
      <c r="C105" s="79">
        <v>7766</v>
      </c>
      <c r="D105" s="79">
        <v>4340</v>
      </c>
      <c r="E105" s="79">
        <v>1340</v>
      </c>
      <c r="F105" s="79">
        <v>2007</v>
      </c>
      <c r="G105" s="79">
        <v>102</v>
      </c>
      <c r="H105" s="79">
        <v>724</v>
      </c>
      <c r="I105" s="79">
        <v>724</v>
      </c>
      <c r="J105" s="79">
        <v>13171</v>
      </c>
      <c r="K105" s="79">
        <v>13171</v>
      </c>
      <c r="L105" s="79">
        <v>12542</v>
      </c>
      <c r="M105" s="79">
        <v>229</v>
      </c>
      <c r="N105" s="79">
        <v>400</v>
      </c>
      <c r="O105" s="79">
        <v>1851</v>
      </c>
      <c r="P105" s="79">
        <v>1851</v>
      </c>
      <c r="Q105" s="79">
        <v>3470</v>
      </c>
      <c r="R105" s="79">
        <v>1016</v>
      </c>
      <c r="S105" s="79">
        <v>127</v>
      </c>
      <c r="T105" s="79">
        <v>707</v>
      </c>
      <c r="U105" s="79">
        <v>1766</v>
      </c>
      <c r="V105" s="79">
        <v>131</v>
      </c>
      <c r="W105" s="79">
        <v>2276</v>
      </c>
      <c r="X105" s="79">
        <v>2276</v>
      </c>
    </row>
    <row r="106" spans="1:24" x14ac:dyDescent="0.35">
      <c r="A106" s="84" t="s">
        <v>562</v>
      </c>
      <c r="B106" s="79">
        <v>30415</v>
      </c>
      <c r="C106" s="79">
        <v>7838</v>
      </c>
      <c r="D106" s="79">
        <v>4471</v>
      </c>
      <c r="E106" s="79">
        <v>1199</v>
      </c>
      <c r="F106" s="79">
        <v>2069</v>
      </c>
      <c r="G106" s="79">
        <v>111</v>
      </c>
      <c r="H106" s="79">
        <v>775</v>
      </c>
      <c r="I106" s="79">
        <v>775</v>
      </c>
      <c r="J106" s="79">
        <v>14303</v>
      </c>
      <c r="K106" s="79">
        <v>14303</v>
      </c>
      <c r="L106" s="79">
        <v>13634</v>
      </c>
      <c r="M106" s="79">
        <v>262</v>
      </c>
      <c r="N106" s="79">
        <v>406</v>
      </c>
      <c r="O106" s="79">
        <v>1797</v>
      </c>
      <c r="P106" s="79">
        <v>1797</v>
      </c>
      <c r="Q106" s="79">
        <v>3578</v>
      </c>
      <c r="R106" s="79">
        <v>1039</v>
      </c>
      <c r="S106" s="79">
        <v>134</v>
      </c>
      <c r="T106" s="79">
        <v>750</v>
      </c>
      <c r="U106" s="79">
        <v>1732</v>
      </c>
      <c r="V106" s="79">
        <v>185</v>
      </c>
      <c r="W106" s="79">
        <v>2255</v>
      </c>
      <c r="X106" s="79">
        <v>2255</v>
      </c>
    </row>
    <row r="107" spans="1:24" x14ac:dyDescent="0.35">
      <c r="A107" s="84" t="s">
        <v>563</v>
      </c>
      <c r="B107" s="79">
        <v>29879</v>
      </c>
      <c r="C107" s="79">
        <v>7751</v>
      </c>
      <c r="D107" s="79">
        <v>4629</v>
      </c>
      <c r="E107" s="79">
        <v>1106</v>
      </c>
      <c r="F107" s="79">
        <v>1951</v>
      </c>
      <c r="G107" s="79">
        <v>95</v>
      </c>
      <c r="H107" s="79">
        <v>713</v>
      </c>
      <c r="I107" s="79">
        <v>713</v>
      </c>
      <c r="J107" s="79">
        <v>14191</v>
      </c>
      <c r="K107" s="79">
        <v>14191</v>
      </c>
      <c r="L107" s="79">
        <v>13559</v>
      </c>
      <c r="M107" s="79">
        <v>249</v>
      </c>
      <c r="N107" s="79">
        <v>384</v>
      </c>
      <c r="O107" s="79">
        <v>1730</v>
      </c>
      <c r="P107" s="79">
        <v>1730</v>
      </c>
      <c r="Q107" s="79">
        <v>3521</v>
      </c>
      <c r="R107" s="79">
        <v>1001</v>
      </c>
      <c r="S107" s="79">
        <v>81</v>
      </c>
      <c r="T107" s="79">
        <v>832</v>
      </c>
      <c r="U107" s="79">
        <v>1724</v>
      </c>
      <c r="V107" s="79">
        <v>122</v>
      </c>
      <c r="W107" s="79">
        <v>2129</v>
      </c>
      <c r="X107" s="79">
        <v>2129</v>
      </c>
    </row>
    <row r="108" spans="1:24" x14ac:dyDescent="0.35">
      <c r="A108" s="84" t="s">
        <v>564</v>
      </c>
      <c r="B108" s="79">
        <v>31132</v>
      </c>
      <c r="C108" s="79">
        <v>7679</v>
      </c>
      <c r="D108" s="79">
        <v>4806</v>
      </c>
      <c r="E108" s="79">
        <v>934</v>
      </c>
      <c r="F108" s="79">
        <v>1860</v>
      </c>
      <c r="G108" s="79">
        <v>113</v>
      </c>
      <c r="H108" s="79">
        <v>771</v>
      </c>
      <c r="I108" s="79">
        <v>771</v>
      </c>
      <c r="J108" s="79">
        <v>15186</v>
      </c>
      <c r="K108" s="79">
        <v>15186</v>
      </c>
      <c r="L108" s="79">
        <v>14560</v>
      </c>
      <c r="M108" s="79">
        <v>241</v>
      </c>
      <c r="N108" s="79">
        <v>387</v>
      </c>
      <c r="O108" s="79">
        <v>1774</v>
      </c>
      <c r="P108" s="79">
        <v>1775</v>
      </c>
      <c r="Q108" s="79">
        <v>3730</v>
      </c>
      <c r="R108" s="79">
        <v>1025</v>
      </c>
      <c r="S108" s="79">
        <v>93</v>
      </c>
      <c r="T108" s="79">
        <v>931</v>
      </c>
      <c r="U108" s="79">
        <v>1751</v>
      </c>
      <c r="V108" s="79">
        <v>151</v>
      </c>
      <c r="W108" s="79">
        <v>2117</v>
      </c>
      <c r="X108" s="79">
        <v>2117</v>
      </c>
    </row>
    <row r="109" spans="1:24" x14ac:dyDescent="0.35">
      <c r="A109" s="84" t="s">
        <v>565</v>
      </c>
      <c r="B109" s="79">
        <v>32628</v>
      </c>
      <c r="C109" s="79">
        <v>7897</v>
      </c>
      <c r="D109" s="79">
        <v>4850</v>
      </c>
      <c r="E109" s="79">
        <v>874</v>
      </c>
      <c r="F109" s="79">
        <v>2097</v>
      </c>
      <c r="G109" s="79">
        <v>90</v>
      </c>
      <c r="H109" s="79">
        <v>847</v>
      </c>
      <c r="I109" s="79">
        <v>846</v>
      </c>
      <c r="J109" s="79">
        <v>16218</v>
      </c>
      <c r="K109" s="79">
        <v>16218</v>
      </c>
      <c r="L109" s="79">
        <v>15593</v>
      </c>
      <c r="M109" s="79">
        <v>240</v>
      </c>
      <c r="N109" s="79">
        <v>388</v>
      </c>
      <c r="O109" s="79">
        <v>1749</v>
      </c>
      <c r="P109" s="79">
        <v>1749</v>
      </c>
      <c r="Q109" s="79">
        <v>3901</v>
      </c>
      <c r="R109" s="79">
        <v>1082</v>
      </c>
      <c r="S109" s="79">
        <v>105</v>
      </c>
      <c r="T109" s="79">
        <v>988</v>
      </c>
      <c r="U109" s="79">
        <v>1756</v>
      </c>
      <c r="V109" s="79">
        <v>165</v>
      </c>
      <c r="W109" s="79">
        <v>2154</v>
      </c>
      <c r="X109" s="79">
        <v>2154</v>
      </c>
    </row>
    <row r="110" spans="1:24" x14ac:dyDescent="0.35">
      <c r="A110" s="84" t="s">
        <v>566</v>
      </c>
      <c r="B110" s="79">
        <v>32619</v>
      </c>
      <c r="C110" s="79">
        <v>7600</v>
      </c>
      <c r="D110" s="79">
        <v>4846</v>
      </c>
      <c r="E110" s="79">
        <v>880</v>
      </c>
      <c r="F110" s="79">
        <v>1831</v>
      </c>
      <c r="G110" s="79">
        <v>83</v>
      </c>
      <c r="H110" s="79">
        <v>903</v>
      </c>
      <c r="I110" s="79">
        <v>903</v>
      </c>
      <c r="J110" s="79">
        <v>16264</v>
      </c>
      <c r="K110" s="79">
        <v>16264</v>
      </c>
      <c r="L110" s="79">
        <v>15641</v>
      </c>
      <c r="M110" s="79">
        <v>228</v>
      </c>
      <c r="N110" s="79">
        <v>400</v>
      </c>
      <c r="O110" s="79">
        <v>1822</v>
      </c>
      <c r="P110" s="79">
        <v>1822</v>
      </c>
      <c r="Q110" s="79">
        <v>3929</v>
      </c>
      <c r="R110" s="79">
        <v>1130</v>
      </c>
      <c r="S110" s="79">
        <v>120</v>
      </c>
      <c r="T110" s="79">
        <v>985</v>
      </c>
      <c r="U110" s="79">
        <v>1780</v>
      </c>
      <c r="V110" s="79">
        <v>73</v>
      </c>
      <c r="W110" s="79">
        <v>2199</v>
      </c>
      <c r="X110" s="79">
        <v>2199</v>
      </c>
    </row>
    <row r="111" spans="1:24" x14ac:dyDescent="0.35">
      <c r="A111" s="84" t="s">
        <v>567</v>
      </c>
      <c r="B111" s="79">
        <v>32251</v>
      </c>
      <c r="C111" s="79">
        <v>8049</v>
      </c>
      <c r="D111" s="79">
        <v>4837</v>
      </c>
      <c r="E111" s="79">
        <v>936</v>
      </c>
      <c r="F111" s="79">
        <v>2195</v>
      </c>
      <c r="G111" s="79">
        <v>88</v>
      </c>
      <c r="H111" s="79">
        <v>882</v>
      </c>
      <c r="I111" s="79">
        <v>881</v>
      </c>
      <c r="J111" s="79">
        <v>16263</v>
      </c>
      <c r="K111" s="79">
        <v>16263</v>
      </c>
      <c r="L111" s="79">
        <v>15588</v>
      </c>
      <c r="M111" s="79">
        <v>264</v>
      </c>
      <c r="N111" s="79">
        <v>412</v>
      </c>
      <c r="O111" s="79">
        <v>1350</v>
      </c>
      <c r="P111" s="79">
        <v>1350</v>
      </c>
      <c r="Q111" s="79">
        <v>3653</v>
      </c>
      <c r="R111" s="79">
        <v>872</v>
      </c>
      <c r="S111" s="79">
        <v>141</v>
      </c>
      <c r="T111" s="79">
        <v>918</v>
      </c>
      <c r="U111" s="79">
        <v>1822</v>
      </c>
      <c r="V111" s="79">
        <v>147</v>
      </c>
      <c r="W111" s="79">
        <v>2303</v>
      </c>
      <c r="X111" s="79">
        <v>2303</v>
      </c>
    </row>
    <row r="112" spans="1:24" x14ac:dyDescent="0.35">
      <c r="A112" s="84" t="s">
        <v>568</v>
      </c>
      <c r="B112" s="79">
        <v>33188</v>
      </c>
      <c r="C112" s="79">
        <v>8087</v>
      </c>
      <c r="D112" s="79">
        <v>4902</v>
      </c>
      <c r="E112" s="79">
        <v>1034</v>
      </c>
      <c r="F112" s="79">
        <v>2099</v>
      </c>
      <c r="G112" s="79">
        <v>78</v>
      </c>
      <c r="H112" s="79">
        <v>850</v>
      </c>
      <c r="I112" s="79">
        <v>850</v>
      </c>
      <c r="J112" s="79">
        <v>17127</v>
      </c>
      <c r="K112" s="79">
        <v>17127</v>
      </c>
      <c r="L112" s="79">
        <v>16480</v>
      </c>
      <c r="M112" s="79">
        <v>241</v>
      </c>
      <c r="N112" s="79">
        <v>412</v>
      </c>
      <c r="O112" s="79">
        <v>1292</v>
      </c>
      <c r="P112" s="79">
        <v>1292</v>
      </c>
      <c r="Q112" s="79">
        <v>3638</v>
      </c>
      <c r="R112" s="79">
        <v>906</v>
      </c>
      <c r="S112" s="79">
        <v>152</v>
      </c>
      <c r="T112" s="79">
        <v>929</v>
      </c>
      <c r="U112" s="79">
        <v>1752</v>
      </c>
      <c r="V112" s="79">
        <v>98</v>
      </c>
      <c r="W112" s="79">
        <v>2519</v>
      </c>
      <c r="X112" s="79">
        <v>2519</v>
      </c>
    </row>
    <row r="113" spans="1:24" x14ac:dyDescent="0.35">
      <c r="A113" s="84" t="s">
        <v>569</v>
      </c>
      <c r="B113" s="79">
        <v>33839</v>
      </c>
      <c r="C113" s="79">
        <v>8141</v>
      </c>
      <c r="D113" s="79">
        <v>5161</v>
      </c>
      <c r="E113" s="79">
        <v>1142</v>
      </c>
      <c r="F113" s="79">
        <v>1799</v>
      </c>
      <c r="G113" s="79">
        <v>103</v>
      </c>
      <c r="H113" s="79">
        <v>791</v>
      </c>
      <c r="I113" s="79">
        <v>791</v>
      </c>
      <c r="J113" s="79">
        <v>17513</v>
      </c>
      <c r="K113" s="79">
        <v>17513</v>
      </c>
      <c r="L113" s="79">
        <v>16872</v>
      </c>
      <c r="M113" s="79">
        <v>241</v>
      </c>
      <c r="N113" s="79">
        <v>408</v>
      </c>
      <c r="O113" s="79">
        <v>1283</v>
      </c>
      <c r="P113" s="79">
        <v>1283</v>
      </c>
      <c r="Q113" s="79">
        <v>3788</v>
      </c>
      <c r="R113" s="79">
        <v>951</v>
      </c>
      <c r="S113" s="79">
        <v>169</v>
      </c>
      <c r="T113" s="79">
        <v>969</v>
      </c>
      <c r="U113" s="79">
        <v>1755</v>
      </c>
      <c r="V113" s="79">
        <v>135</v>
      </c>
      <c r="W113" s="79">
        <v>2622</v>
      </c>
      <c r="X113" s="79">
        <v>2622</v>
      </c>
    </row>
    <row r="114" spans="1:24" x14ac:dyDescent="0.35">
      <c r="A114" s="84" t="s">
        <v>570</v>
      </c>
      <c r="B114" s="79">
        <v>35744</v>
      </c>
      <c r="C114" s="79">
        <v>8535</v>
      </c>
      <c r="D114" s="79">
        <v>5451</v>
      </c>
      <c r="E114" s="79">
        <v>1233</v>
      </c>
      <c r="F114" s="79">
        <v>1835</v>
      </c>
      <c r="G114" s="79">
        <v>92</v>
      </c>
      <c r="H114" s="79">
        <v>819</v>
      </c>
      <c r="I114" s="79">
        <v>819</v>
      </c>
      <c r="J114" s="79">
        <v>18424</v>
      </c>
      <c r="K114" s="79">
        <v>18424</v>
      </c>
      <c r="L114" s="79">
        <v>17769</v>
      </c>
      <c r="M114" s="79">
        <v>260</v>
      </c>
      <c r="N114" s="79">
        <v>404</v>
      </c>
      <c r="O114" s="79">
        <v>1281</v>
      </c>
      <c r="P114" s="79">
        <v>1281</v>
      </c>
      <c r="Q114" s="79">
        <v>4047</v>
      </c>
      <c r="R114" s="79">
        <v>1024</v>
      </c>
      <c r="S114" s="79">
        <v>217</v>
      </c>
      <c r="T114" s="79">
        <v>1043</v>
      </c>
      <c r="U114" s="79">
        <v>1765</v>
      </c>
      <c r="V114" s="79">
        <v>157</v>
      </c>
      <c r="W114" s="79">
        <v>2914</v>
      </c>
      <c r="X114" s="79">
        <v>2914</v>
      </c>
    </row>
    <row r="115" spans="1:24" x14ac:dyDescent="0.35">
      <c r="A115" s="84" t="s">
        <v>571</v>
      </c>
      <c r="B115" s="79">
        <v>35793</v>
      </c>
      <c r="C115" s="79">
        <v>8847</v>
      </c>
      <c r="D115" s="79">
        <v>5746</v>
      </c>
      <c r="E115" s="79">
        <v>1268</v>
      </c>
      <c r="F115" s="79">
        <v>1822</v>
      </c>
      <c r="G115" s="79">
        <v>97</v>
      </c>
      <c r="H115" s="79">
        <v>941</v>
      </c>
      <c r="I115" s="79">
        <v>941</v>
      </c>
      <c r="J115" s="79">
        <v>17747</v>
      </c>
      <c r="K115" s="79">
        <v>17747</v>
      </c>
      <c r="L115" s="79">
        <v>17118</v>
      </c>
      <c r="M115" s="79">
        <v>254</v>
      </c>
      <c r="N115" s="79">
        <v>384</v>
      </c>
      <c r="O115" s="79">
        <v>1315</v>
      </c>
      <c r="P115" s="79">
        <v>1316</v>
      </c>
      <c r="Q115" s="79">
        <v>4092</v>
      </c>
      <c r="R115" s="79">
        <v>1065</v>
      </c>
      <c r="S115" s="79">
        <v>266</v>
      </c>
      <c r="T115" s="79">
        <v>1008</v>
      </c>
      <c r="U115" s="79">
        <v>1758</v>
      </c>
      <c r="V115" s="79">
        <v>151</v>
      </c>
      <c r="W115" s="79">
        <v>3070</v>
      </c>
      <c r="X115" s="79">
        <v>3070</v>
      </c>
    </row>
    <row r="116" spans="1:24" x14ac:dyDescent="0.35">
      <c r="A116" s="84" t="s">
        <v>572</v>
      </c>
      <c r="B116" s="79">
        <v>36472</v>
      </c>
      <c r="C116" s="79">
        <v>9020</v>
      </c>
      <c r="D116" s="79">
        <v>5887</v>
      </c>
      <c r="E116" s="79">
        <v>1366</v>
      </c>
      <c r="F116" s="79">
        <v>1760</v>
      </c>
      <c r="G116" s="79">
        <v>102</v>
      </c>
      <c r="H116" s="79">
        <v>879</v>
      </c>
      <c r="I116" s="79">
        <v>879</v>
      </c>
      <c r="J116" s="79">
        <v>17791</v>
      </c>
      <c r="K116" s="79">
        <v>17791</v>
      </c>
      <c r="L116" s="79">
        <v>17182</v>
      </c>
      <c r="M116" s="79">
        <v>244</v>
      </c>
      <c r="N116" s="79">
        <v>375</v>
      </c>
      <c r="O116" s="79">
        <v>1338</v>
      </c>
      <c r="P116" s="79">
        <v>1338</v>
      </c>
      <c r="Q116" s="79">
        <v>4500</v>
      </c>
      <c r="R116" s="79">
        <v>1080</v>
      </c>
      <c r="S116" s="79">
        <v>277</v>
      </c>
      <c r="T116" s="79">
        <v>1106</v>
      </c>
      <c r="U116" s="79">
        <v>2100</v>
      </c>
      <c r="V116" s="79">
        <v>176</v>
      </c>
      <c r="W116" s="79">
        <v>3023</v>
      </c>
      <c r="X116" s="79">
        <v>3024</v>
      </c>
    </row>
    <row r="117" spans="1:24" x14ac:dyDescent="0.35">
      <c r="A117" s="84" t="s">
        <v>573</v>
      </c>
      <c r="B117" s="79">
        <v>37046</v>
      </c>
      <c r="C117" s="79">
        <v>9267</v>
      </c>
      <c r="D117" s="79">
        <v>5838</v>
      </c>
      <c r="E117" s="79">
        <v>1495</v>
      </c>
      <c r="F117" s="79">
        <v>1951</v>
      </c>
      <c r="G117" s="79">
        <v>72</v>
      </c>
      <c r="H117" s="79">
        <v>878</v>
      </c>
      <c r="I117" s="79">
        <v>878</v>
      </c>
      <c r="J117" s="79">
        <v>18550</v>
      </c>
      <c r="K117" s="79">
        <v>18550</v>
      </c>
      <c r="L117" s="79">
        <v>17921</v>
      </c>
      <c r="M117" s="79">
        <v>254</v>
      </c>
      <c r="N117" s="79">
        <v>387</v>
      </c>
      <c r="O117" s="79">
        <v>1480</v>
      </c>
      <c r="P117" s="79">
        <v>1480</v>
      </c>
      <c r="Q117" s="79">
        <v>4212</v>
      </c>
      <c r="R117" s="79">
        <v>1084</v>
      </c>
      <c r="S117" s="79">
        <v>285</v>
      </c>
      <c r="T117" s="79">
        <v>1147</v>
      </c>
      <c r="U117" s="79">
        <v>1662</v>
      </c>
      <c r="V117" s="79">
        <v>108</v>
      </c>
      <c r="W117" s="79">
        <v>2938</v>
      </c>
      <c r="X117" s="79">
        <v>2937</v>
      </c>
    </row>
    <row r="118" spans="1:24" x14ac:dyDescent="0.35">
      <c r="A118" s="84" t="s">
        <v>574</v>
      </c>
      <c r="B118" s="79">
        <v>36788</v>
      </c>
      <c r="C118" s="79">
        <v>9420</v>
      </c>
      <c r="D118" s="79">
        <v>5773</v>
      </c>
      <c r="E118" s="79">
        <v>1658</v>
      </c>
      <c r="F118" s="79">
        <v>1966</v>
      </c>
      <c r="G118" s="79">
        <v>109</v>
      </c>
      <c r="H118" s="79">
        <v>898</v>
      </c>
      <c r="I118" s="79">
        <v>898</v>
      </c>
      <c r="J118" s="79">
        <v>18597</v>
      </c>
      <c r="K118" s="79">
        <v>18597</v>
      </c>
      <c r="L118" s="79">
        <v>17948</v>
      </c>
      <c r="M118" s="79">
        <v>257</v>
      </c>
      <c r="N118" s="79">
        <v>401</v>
      </c>
      <c r="O118" s="79">
        <v>1439</v>
      </c>
      <c r="P118" s="79">
        <v>1439</v>
      </c>
      <c r="Q118" s="79">
        <v>3965</v>
      </c>
      <c r="R118" s="79">
        <v>1004</v>
      </c>
      <c r="S118" s="79">
        <v>231</v>
      </c>
      <c r="T118" s="79">
        <v>1089</v>
      </c>
      <c r="U118" s="79">
        <v>1635</v>
      </c>
      <c r="V118" s="79">
        <v>108</v>
      </c>
      <c r="W118" s="79">
        <v>2859</v>
      </c>
      <c r="X118" s="79">
        <v>2859</v>
      </c>
    </row>
    <row r="119" spans="1:24" x14ac:dyDescent="0.35">
      <c r="A119" s="84" t="s">
        <v>575</v>
      </c>
      <c r="B119" s="79">
        <v>38542</v>
      </c>
      <c r="C119" s="79">
        <v>8843</v>
      </c>
      <c r="D119" s="79">
        <v>5677</v>
      </c>
      <c r="E119" s="79">
        <v>1360</v>
      </c>
      <c r="F119" s="79">
        <v>1781</v>
      </c>
      <c r="G119" s="79">
        <v>108</v>
      </c>
      <c r="H119" s="79">
        <v>855</v>
      </c>
      <c r="I119" s="79">
        <v>855</v>
      </c>
      <c r="J119" s="79">
        <v>19464</v>
      </c>
      <c r="K119" s="79">
        <v>19464</v>
      </c>
      <c r="L119" s="79">
        <v>18800</v>
      </c>
      <c r="M119" s="79">
        <v>252</v>
      </c>
      <c r="N119" s="79">
        <v>423</v>
      </c>
      <c r="O119" s="79">
        <v>2209</v>
      </c>
      <c r="P119" s="79">
        <v>2209</v>
      </c>
      <c r="Q119" s="79">
        <v>4014</v>
      </c>
      <c r="R119" s="79">
        <v>999</v>
      </c>
      <c r="S119" s="79">
        <v>159</v>
      </c>
      <c r="T119" s="79">
        <v>1168</v>
      </c>
      <c r="U119" s="79">
        <v>1699</v>
      </c>
      <c r="V119" s="79">
        <v>109</v>
      </c>
      <c r="W119" s="79">
        <v>3510</v>
      </c>
      <c r="X119" s="79">
        <v>3510</v>
      </c>
    </row>
    <row r="120" spans="1:24" x14ac:dyDescent="0.35">
      <c r="A120" s="84" t="s">
        <v>576</v>
      </c>
      <c r="B120" s="79">
        <v>38403</v>
      </c>
      <c r="C120" s="79">
        <v>9033</v>
      </c>
      <c r="D120" s="79">
        <v>5555</v>
      </c>
      <c r="E120" s="79">
        <v>1432</v>
      </c>
      <c r="F120" s="79">
        <v>1889</v>
      </c>
      <c r="G120" s="79">
        <v>217</v>
      </c>
      <c r="H120" s="79">
        <v>809</v>
      </c>
      <c r="I120" s="79">
        <v>808</v>
      </c>
      <c r="J120" s="79">
        <v>19055</v>
      </c>
      <c r="K120" s="79">
        <v>19055</v>
      </c>
      <c r="L120" s="79">
        <v>18331</v>
      </c>
      <c r="M120" s="79">
        <v>285</v>
      </c>
      <c r="N120" s="79">
        <v>445</v>
      </c>
      <c r="O120" s="79">
        <v>2364</v>
      </c>
      <c r="P120" s="79">
        <v>2364</v>
      </c>
      <c r="Q120" s="79">
        <v>4008</v>
      </c>
      <c r="R120" s="79">
        <v>958</v>
      </c>
      <c r="S120" s="79">
        <v>109</v>
      </c>
      <c r="T120" s="79">
        <v>1175</v>
      </c>
      <c r="U120" s="79">
        <v>1820</v>
      </c>
      <c r="V120" s="79">
        <v>104</v>
      </c>
      <c r="W120" s="79">
        <v>3477</v>
      </c>
      <c r="X120" s="79">
        <v>3477</v>
      </c>
    </row>
    <row r="121" spans="1:24" x14ac:dyDescent="0.35">
      <c r="A121" s="84" t="s">
        <v>577</v>
      </c>
      <c r="B121" s="79">
        <v>38968</v>
      </c>
      <c r="C121" s="79">
        <v>9181</v>
      </c>
      <c r="D121" s="79">
        <v>5618</v>
      </c>
      <c r="E121" s="79">
        <v>1420</v>
      </c>
      <c r="F121" s="79">
        <v>2056</v>
      </c>
      <c r="G121" s="79">
        <v>149</v>
      </c>
      <c r="H121" s="79">
        <v>782</v>
      </c>
      <c r="I121" s="79">
        <v>782</v>
      </c>
      <c r="J121" s="79">
        <v>19830</v>
      </c>
      <c r="K121" s="79">
        <v>19830</v>
      </c>
      <c r="L121" s="79">
        <v>19071</v>
      </c>
      <c r="M121" s="79">
        <v>297</v>
      </c>
      <c r="N121" s="79">
        <v>468</v>
      </c>
      <c r="O121" s="79">
        <v>2263</v>
      </c>
      <c r="P121" s="79">
        <v>2263</v>
      </c>
      <c r="Q121" s="79">
        <v>3989</v>
      </c>
      <c r="R121" s="79">
        <v>908</v>
      </c>
      <c r="S121" s="79">
        <v>100</v>
      </c>
      <c r="T121" s="79">
        <v>1166</v>
      </c>
      <c r="U121" s="79">
        <v>1872</v>
      </c>
      <c r="V121" s="79">
        <v>130</v>
      </c>
      <c r="W121" s="79">
        <v>3343</v>
      </c>
      <c r="X121" s="79">
        <v>3343</v>
      </c>
    </row>
    <row r="122" spans="1:24" x14ac:dyDescent="0.35">
      <c r="A122" s="84" t="s">
        <v>578</v>
      </c>
      <c r="B122" s="79">
        <v>38605</v>
      </c>
      <c r="C122" s="79">
        <v>9093</v>
      </c>
      <c r="D122" s="79">
        <v>5690</v>
      </c>
      <c r="E122" s="79">
        <v>1325</v>
      </c>
      <c r="F122" s="79">
        <v>1980</v>
      </c>
      <c r="G122" s="79">
        <v>160</v>
      </c>
      <c r="H122" s="79">
        <v>788</v>
      </c>
      <c r="I122" s="79">
        <v>789</v>
      </c>
      <c r="J122" s="79">
        <v>19164</v>
      </c>
      <c r="K122" s="79">
        <v>19164</v>
      </c>
      <c r="L122" s="79">
        <v>18428</v>
      </c>
      <c r="M122" s="79">
        <v>272</v>
      </c>
      <c r="N122" s="79">
        <v>469</v>
      </c>
      <c r="O122" s="79">
        <v>2365</v>
      </c>
      <c r="P122" s="79">
        <v>2366</v>
      </c>
      <c r="Q122" s="79">
        <v>4252</v>
      </c>
      <c r="R122" s="79">
        <v>975</v>
      </c>
      <c r="S122" s="79">
        <v>137</v>
      </c>
      <c r="T122" s="79">
        <v>1267</v>
      </c>
      <c r="U122" s="79">
        <v>1934</v>
      </c>
      <c r="V122" s="79">
        <v>106</v>
      </c>
      <c r="W122" s="79">
        <v>3231</v>
      </c>
      <c r="X122" s="79">
        <v>3231</v>
      </c>
    </row>
    <row r="123" spans="1:24" x14ac:dyDescent="0.35">
      <c r="A123" s="84" t="s">
        <v>579</v>
      </c>
      <c r="B123" s="79">
        <v>39280</v>
      </c>
      <c r="C123" s="79">
        <v>9388</v>
      </c>
      <c r="D123" s="79">
        <v>5924</v>
      </c>
      <c r="E123" s="79">
        <v>1369</v>
      </c>
      <c r="F123" s="79">
        <v>1974</v>
      </c>
      <c r="G123" s="79">
        <v>189</v>
      </c>
      <c r="H123" s="79">
        <v>863</v>
      </c>
      <c r="I123" s="79">
        <v>863</v>
      </c>
      <c r="J123" s="79">
        <v>19680</v>
      </c>
      <c r="K123" s="79">
        <v>19680</v>
      </c>
      <c r="L123" s="79">
        <v>18936</v>
      </c>
      <c r="M123" s="79">
        <v>288</v>
      </c>
      <c r="N123" s="79">
        <v>462</v>
      </c>
      <c r="O123" s="79">
        <v>1925</v>
      </c>
      <c r="P123" s="79">
        <v>1925</v>
      </c>
      <c r="Q123" s="79">
        <v>4706</v>
      </c>
      <c r="R123" s="79">
        <v>1002</v>
      </c>
      <c r="S123" s="79">
        <v>281</v>
      </c>
      <c r="T123" s="79">
        <v>1298</v>
      </c>
      <c r="U123" s="79">
        <v>2186</v>
      </c>
      <c r="V123" s="79">
        <v>148</v>
      </c>
      <c r="W123" s="79">
        <v>2963</v>
      </c>
      <c r="X123" s="79">
        <v>2964</v>
      </c>
    </row>
    <row r="124" spans="1:24" x14ac:dyDescent="0.35">
      <c r="A124" s="84" t="s">
        <v>580</v>
      </c>
      <c r="B124" s="79">
        <v>37229</v>
      </c>
      <c r="C124" s="79">
        <v>9337</v>
      </c>
      <c r="D124" s="79">
        <v>6036</v>
      </c>
      <c r="E124" s="79">
        <v>1187</v>
      </c>
      <c r="F124" s="79">
        <v>1983</v>
      </c>
      <c r="G124" s="79">
        <v>196</v>
      </c>
      <c r="H124" s="79">
        <v>909</v>
      </c>
      <c r="I124" s="79">
        <v>909</v>
      </c>
      <c r="J124" s="79">
        <v>17408</v>
      </c>
      <c r="K124" s="79">
        <v>17408</v>
      </c>
      <c r="L124" s="79">
        <v>16619</v>
      </c>
      <c r="M124" s="79">
        <v>322</v>
      </c>
      <c r="N124" s="79">
        <v>466</v>
      </c>
      <c r="O124" s="79">
        <v>2005</v>
      </c>
      <c r="P124" s="79">
        <v>2005</v>
      </c>
      <c r="Q124" s="79">
        <v>4901</v>
      </c>
      <c r="R124" s="79">
        <v>1113</v>
      </c>
      <c r="S124" s="79">
        <v>372</v>
      </c>
      <c r="T124" s="79">
        <v>1220</v>
      </c>
      <c r="U124" s="79">
        <v>2262</v>
      </c>
      <c r="V124" s="79">
        <v>149</v>
      </c>
      <c r="W124" s="79">
        <v>2735</v>
      </c>
      <c r="X124" s="79">
        <v>2735</v>
      </c>
    </row>
    <row r="125" spans="1:24" x14ac:dyDescent="0.35">
      <c r="A125" s="84" t="s">
        <v>581</v>
      </c>
      <c r="B125" s="79">
        <v>38748</v>
      </c>
      <c r="C125" s="79">
        <v>9425</v>
      </c>
      <c r="D125" s="79">
        <v>6225</v>
      </c>
      <c r="E125" s="79">
        <v>1163</v>
      </c>
      <c r="F125" s="79">
        <v>1923</v>
      </c>
      <c r="G125" s="79">
        <v>191</v>
      </c>
      <c r="H125" s="79">
        <v>890</v>
      </c>
      <c r="I125" s="79">
        <v>890</v>
      </c>
      <c r="J125" s="79">
        <v>18762</v>
      </c>
      <c r="K125" s="79">
        <v>18762</v>
      </c>
      <c r="L125" s="79">
        <v>17981</v>
      </c>
      <c r="M125" s="79">
        <v>303</v>
      </c>
      <c r="N125" s="79">
        <v>480</v>
      </c>
      <c r="O125" s="79">
        <v>2006</v>
      </c>
      <c r="P125" s="79">
        <v>2006</v>
      </c>
      <c r="Q125" s="79">
        <v>5072</v>
      </c>
      <c r="R125" s="79">
        <v>1207</v>
      </c>
      <c r="S125" s="79">
        <v>421</v>
      </c>
      <c r="T125" s="79">
        <v>1266</v>
      </c>
      <c r="U125" s="79">
        <v>2246</v>
      </c>
      <c r="V125" s="79">
        <v>118</v>
      </c>
      <c r="W125" s="79">
        <v>2706</v>
      </c>
      <c r="X125" s="79">
        <v>2705</v>
      </c>
    </row>
    <row r="126" spans="1:24" x14ac:dyDescent="0.35">
      <c r="A126" s="84" t="s">
        <v>582</v>
      </c>
      <c r="B126" s="79">
        <v>38719</v>
      </c>
      <c r="C126" s="79">
        <v>9513</v>
      </c>
      <c r="D126" s="79">
        <v>6233</v>
      </c>
      <c r="E126" s="79">
        <v>1221</v>
      </c>
      <c r="F126" s="79">
        <v>1972</v>
      </c>
      <c r="G126" s="79">
        <v>165</v>
      </c>
      <c r="H126" s="79">
        <v>876</v>
      </c>
      <c r="I126" s="79">
        <v>876</v>
      </c>
      <c r="J126" s="79">
        <v>18600</v>
      </c>
      <c r="K126" s="79">
        <v>18600</v>
      </c>
      <c r="L126" s="79">
        <v>17827</v>
      </c>
      <c r="M126" s="79">
        <v>291</v>
      </c>
      <c r="N126" s="79">
        <v>485</v>
      </c>
      <c r="O126" s="79">
        <v>2044</v>
      </c>
      <c r="P126" s="79">
        <v>2045</v>
      </c>
      <c r="Q126" s="79">
        <v>5083</v>
      </c>
      <c r="R126" s="79">
        <v>1301</v>
      </c>
      <c r="S126" s="79">
        <v>458</v>
      </c>
      <c r="T126" s="79">
        <v>1260</v>
      </c>
      <c r="U126" s="79">
        <v>2076</v>
      </c>
      <c r="V126" s="79">
        <v>131</v>
      </c>
      <c r="W126" s="79">
        <v>2709</v>
      </c>
      <c r="X126" s="79">
        <v>2709</v>
      </c>
    </row>
    <row r="127" spans="1:24" x14ac:dyDescent="0.35">
      <c r="A127" s="84" t="s">
        <v>583</v>
      </c>
      <c r="B127" s="79">
        <v>38878</v>
      </c>
      <c r="C127" s="79">
        <v>10076</v>
      </c>
      <c r="D127" s="79">
        <v>5930</v>
      </c>
      <c r="E127" s="79">
        <v>1310</v>
      </c>
      <c r="F127" s="79">
        <v>2615</v>
      </c>
      <c r="G127" s="79">
        <v>231</v>
      </c>
      <c r="H127" s="79">
        <v>951</v>
      </c>
      <c r="I127" s="79">
        <v>950</v>
      </c>
      <c r="J127" s="79">
        <v>18145</v>
      </c>
      <c r="K127" s="79">
        <v>18145</v>
      </c>
      <c r="L127" s="79">
        <v>17410</v>
      </c>
      <c r="M127" s="79">
        <v>291</v>
      </c>
      <c r="N127" s="79">
        <v>448</v>
      </c>
      <c r="O127" s="79">
        <v>2124</v>
      </c>
      <c r="P127" s="79">
        <v>2125</v>
      </c>
      <c r="Q127" s="79">
        <v>4961</v>
      </c>
      <c r="R127" s="79">
        <v>1344</v>
      </c>
      <c r="S127" s="79">
        <v>507</v>
      </c>
      <c r="T127" s="79">
        <v>1182</v>
      </c>
      <c r="U127" s="79">
        <v>1906</v>
      </c>
      <c r="V127" s="79">
        <v>126</v>
      </c>
      <c r="W127" s="79">
        <v>2748</v>
      </c>
      <c r="X127" s="79">
        <v>2748</v>
      </c>
    </row>
    <row r="128" spans="1:24" x14ac:dyDescent="0.35">
      <c r="A128" s="84" t="s">
        <v>584</v>
      </c>
      <c r="B128" s="79">
        <v>38549</v>
      </c>
      <c r="C128" s="79">
        <v>9930</v>
      </c>
      <c r="D128" s="79">
        <v>5717</v>
      </c>
      <c r="E128" s="79">
        <v>1401</v>
      </c>
      <c r="F128" s="79">
        <v>2644</v>
      </c>
      <c r="G128" s="79">
        <v>181</v>
      </c>
      <c r="H128" s="79">
        <v>1008</v>
      </c>
      <c r="I128" s="79">
        <v>1008</v>
      </c>
      <c r="J128" s="79">
        <v>18276</v>
      </c>
      <c r="K128" s="79">
        <v>18276</v>
      </c>
      <c r="L128" s="79">
        <v>17522</v>
      </c>
      <c r="M128" s="79">
        <v>314</v>
      </c>
      <c r="N128" s="79">
        <v>443</v>
      </c>
      <c r="O128" s="79">
        <v>1945</v>
      </c>
      <c r="P128" s="79">
        <v>1944</v>
      </c>
      <c r="Q128" s="79">
        <v>4787</v>
      </c>
      <c r="R128" s="79">
        <v>1347</v>
      </c>
      <c r="S128" s="79">
        <v>519</v>
      </c>
      <c r="T128" s="79">
        <v>1055</v>
      </c>
      <c r="U128" s="79">
        <v>1874</v>
      </c>
      <c r="V128" s="79">
        <v>91</v>
      </c>
      <c r="W128" s="79">
        <v>2771</v>
      </c>
      <c r="X128" s="79">
        <v>2771</v>
      </c>
    </row>
    <row r="129" spans="1:24" x14ac:dyDescent="0.35">
      <c r="A129" s="84" t="s">
        <v>585</v>
      </c>
      <c r="B129" s="79">
        <v>38134</v>
      </c>
      <c r="C129" s="79">
        <v>9606</v>
      </c>
      <c r="D129" s="79">
        <v>5967</v>
      </c>
      <c r="E129" s="79">
        <v>1510</v>
      </c>
      <c r="F129" s="79">
        <v>1989</v>
      </c>
      <c r="G129" s="79">
        <v>214</v>
      </c>
      <c r="H129" s="79">
        <v>972</v>
      </c>
      <c r="I129" s="79">
        <v>973</v>
      </c>
      <c r="J129" s="79">
        <v>18021</v>
      </c>
      <c r="K129" s="79">
        <v>18021</v>
      </c>
      <c r="L129" s="79">
        <v>17278</v>
      </c>
      <c r="M129" s="79">
        <v>300</v>
      </c>
      <c r="N129" s="79">
        <v>445</v>
      </c>
      <c r="O129" s="79">
        <v>1891</v>
      </c>
      <c r="P129" s="79">
        <v>1892</v>
      </c>
      <c r="Q129" s="79">
        <v>4834</v>
      </c>
      <c r="R129" s="79">
        <v>1382</v>
      </c>
      <c r="S129" s="79">
        <v>506</v>
      </c>
      <c r="T129" s="79">
        <v>1033</v>
      </c>
      <c r="U129" s="79">
        <v>1891</v>
      </c>
      <c r="V129" s="79">
        <v>128</v>
      </c>
      <c r="W129" s="79">
        <v>2920</v>
      </c>
      <c r="X129" s="79">
        <v>2920</v>
      </c>
    </row>
    <row r="130" spans="1:24" x14ac:dyDescent="0.35">
      <c r="A130" s="84" t="s">
        <v>586</v>
      </c>
      <c r="B130" s="79">
        <v>39200</v>
      </c>
      <c r="C130" s="79">
        <v>10346</v>
      </c>
      <c r="D130" s="79">
        <v>6096</v>
      </c>
      <c r="E130" s="79">
        <v>1543</v>
      </c>
      <c r="F130" s="79">
        <v>2549</v>
      </c>
      <c r="G130" s="79">
        <v>193</v>
      </c>
      <c r="H130" s="79">
        <v>972</v>
      </c>
      <c r="I130" s="79">
        <v>972</v>
      </c>
      <c r="J130" s="79">
        <v>18313</v>
      </c>
      <c r="K130" s="79">
        <v>18313</v>
      </c>
      <c r="L130" s="79">
        <v>17562</v>
      </c>
      <c r="M130" s="79">
        <v>295</v>
      </c>
      <c r="N130" s="79">
        <v>459</v>
      </c>
      <c r="O130" s="79">
        <v>1949</v>
      </c>
      <c r="P130" s="79">
        <v>1949</v>
      </c>
      <c r="Q130" s="79">
        <v>4946</v>
      </c>
      <c r="R130" s="79">
        <v>1410</v>
      </c>
      <c r="S130" s="79">
        <v>493</v>
      </c>
      <c r="T130" s="79">
        <v>1063</v>
      </c>
      <c r="U130" s="79">
        <v>2024</v>
      </c>
      <c r="V130" s="79">
        <v>73</v>
      </c>
      <c r="W130" s="79">
        <v>2826</v>
      </c>
      <c r="X130" s="79">
        <v>2826</v>
      </c>
    </row>
    <row r="131" spans="1:24" x14ac:dyDescent="0.35">
      <c r="A131" s="84" t="s">
        <v>587</v>
      </c>
      <c r="B131" s="79">
        <v>39019</v>
      </c>
      <c r="C131" s="79">
        <v>9975</v>
      </c>
      <c r="D131" s="79">
        <v>6076</v>
      </c>
      <c r="E131" s="79">
        <v>1483</v>
      </c>
      <c r="F131" s="79">
        <v>2223</v>
      </c>
      <c r="G131" s="79">
        <v>254</v>
      </c>
      <c r="H131" s="79">
        <v>929</v>
      </c>
      <c r="I131" s="79">
        <v>930</v>
      </c>
      <c r="J131" s="79">
        <v>18664</v>
      </c>
      <c r="K131" s="79">
        <v>18664</v>
      </c>
      <c r="L131" s="79">
        <v>17834</v>
      </c>
      <c r="M131" s="79">
        <v>368</v>
      </c>
      <c r="N131" s="79">
        <v>462</v>
      </c>
      <c r="O131" s="79">
        <v>1818</v>
      </c>
      <c r="P131" s="79">
        <v>1818</v>
      </c>
      <c r="Q131" s="79">
        <v>5072</v>
      </c>
      <c r="R131" s="79">
        <v>1531</v>
      </c>
      <c r="S131" s="79">
        <v>339</v>
      </c>
      <c r="T131" s="79">
        <v>1063</v>
      </c>
      <c r="U131" s="79">
        <v>2183</v>
      </c>
      <c r="V131" s="79">
        <v>101</v>
      </c>
      <c r="W131" s="79">
        <v>2696</v>
      </c>
      <c r="X131" s="79">
        <v>2697</v>
      </c>
    </row>
    <row r="132" spans="1:24" x14ac:dyDescent="0.35">
      <c r="A132" s="84" t="s">
        <v>588</v>
      </c>
      <c r="B132" s="79">
        <v>39684</v>
      </c>
      <c r="C132" s="79">
        <v>10159</v>
      </c>
      <c r="D132" s="79">
        <v>6169</v>
      </c>
      <c r="E132" s="79">
        <v>1520</v>
      </c>
      <c r="F132" s="79">
        <v>2299</v>
      </c>
      <c r="G132" s="79">
        <v>233</v>
      </c>
      <c r="H132" s="79">
        <v>943</v>
      </c>
      <c r="I132" s="79">
        <v>943</v>
      </c>
      <c r="J132" s="79">
        <v>18806</v>
      </c>
      <c r="K132" s="79">
        <v>18806</v>
      </c>
      <c r="L132" s="79">
        <v>18008</v>
      </c>
      <c r="M132" s="79">
        <v>332</v>
      </c>
      <c r="N132" s="79">
        <v>468</v>
      </c>
      <c r="O132" s="79">
        <v>1876</v>
      </c>
      <c r="P132" s="79">
        <v>1876</v>
      </c>
      <c r="Q132" s="79">
        <v>5304</v>
      </c>
      <c r="R132" s="79">
        <v>1567</v>
      </c>
      <c r="S132" s="79">
        <v>349</v>
      </c>
      <c r="T132" s="79">
        <v>1149</v>
      </c>
      <c r="U132" s="79">
        <v>2187</v>
      </c>
      <c r="V132" s="79">
        <v>205</v>
      </c>
      <c r="W132" s="79">
        <v>2696</v>
      </c>
      <c r="X132" s="79">
        <v>2695</v>
      </c>
    </row>
    <row r="133" spans="1:24" x14ac:dyDescent="0.35">
      <c r="A133" s="84" t="s">
        <v>589</v>
      </c>
      <c r="B133" s="79">
        <v>39239</v>
      </c>
      <c r="C133" s="79">
        <v>9954</v>
      </c>
      <c r="D133" s="79">
        <v>6005</v>
      </c>
      <c r="E133" s="79">
        <v>1475</v>
      </c>
      <c r="F133" s="79">
        <v>2267</v>
      </c>
      <c r="G133" s="79">
        <v>258</v>
      </c>
      <c r="H133" s="79">
        <v>907</v>
      </c>
      <c r="I133" s="79">
        <v>906</v>
      </c>
      <c r="J133" s="79">
        <v>18732</v>
      </c>
      <c r="K133" s="79">
        <v>18732</v>
      </c>
      <c r="L133" s="79">
        <v>17952</v>
      </c>
      <c r="M133" s="79">
        <v>316</v>
      </c>
      <c r="N133" s="79">
        <v>465</v>
      </c>
      <c r="O133" s="79">
        <v>1877</v>
      </c>
      <c r="P133" s="79">
        <v>1877</v>
      </c>
      <c r="Q133" s="79">
        <v>5159</v>
      </c>
      <c r="R133" s="79">
        <v>1585</v>
      </c>
      <c r="S133" s="79">
        <v>349</v>
      </c>
      <c r="T133" s="79">
        <v>1121</v>
      </c>
      <c r="U133" s="79">
        <v>2130</v>
      </c>
      <c r="V133" s="79">
        <v>105</v>
      </c>
      <c r="W133" s="79">
        <v>2729</v>
      </c>
      <c r="X133" s="79">
        <v>2729</v>
      </c>
    </row>
    <row r="134" spans="1:24" x14ac:dyDescent="0.35">
      <c r="A134" s="84" t="s">
        <v>590</v>
      </c>
      <c r="B134" s="79">
        <v>37978</v>
      </c>
      <c r="C134" s="79">
        <v>9623</v>
      </c>
      <c r="D134" s="79">
        <v>5958</v>
      </c>
      <c r="E134" s="79">
        <v>1400</v>
      </c>
      <c r="F134" s="79">
        <v>2154</v>
      </c>
      <c r="G134" s="79">
        <v>183</v>
      </c>
      <c r="H134" s="79">
        <v>969</v>
      </c>
      <c r="I134" s="79">
        <v>969</v>
      </c>
      <c r="J134" s="79">
        <v>17863</v>
      </c>
      <c r="K134" s="79">
        <v>17863</v>
      </c>
      <c r="L134" s="79">
        <v>17116</v>
      </c>
      <c r="M134" s="79">
        <v>299</v>
      </c>
      <c r="N134" s="79">
        <v>450</v>
      </c>
      <c r="O134" s="79">
        <v>1845</v>
      </c>
      <c r="P134" s="79">
        <v>1845</v>
      </c>
      <c r="Q134" s="79">
        <v>4987</v>
      </c>
      <c r="R134" s="79">
        <v>1568</v>
      </c>
      <c r="S134" s="79">
        <v>360</v>
      </c>
      <c r="T134" s="79">
        <v>1072</v>
      </c>
      <c r="U134" s="79">
        <v>1915</v>
      </c>
      <c r="V134" s="79">
        <v>186</v>
      </c>
      <c r="W134" s="79">
        <v>2773</v>
      </c>
      <c r="X134" s="79">
        <v>2773</v>
      </c>
    </row>
    <row r="135" spans="1:24" x14ac:dyDescent="0.35">
      <c r="A135" s="84" t="s">
        <v>591</v>
      </c>
      <c r="B135" s="79">
        <v>35320</v>
      </c>
      <c r="C135" s="79">
        <v>9730</v>
      </c>
      <c r="D135" s="79">
        <v>5985</v>
      </c>
      <c r="E135" s="79">
        <v>1279</v>
      </c>
      <c r="F135" s="79">
        <v>2341</v>
      </c>
      <c r="G135" s="79">
        <v>176</v>
      </c>
      <c r="H135" s="79">
        <v>664</v>
      </c>
      <c r="I135" s="79">
        <v>664</v>
      </c>
      <c r="J135" s="79">
        <v>15160</v>
      </c>
      <c r="K135" s="79">
        <v>15160</v>
      </c>
      <c r="L135" s="79">
        <v>14452</v>
      </c>
      <c r="M135" s="79">
        <v>279</v>
      </c>
      <c r="N135" s="79">
        <v>428</v>
      </c>
      <c r="O135" s="79">
        <v>1840</v>
      </c>
      <c r="P135" s="79">
        <v>1840</v>
      </c>
      <c r="Q135" s="79">
        <v>5482</v>
      </c>
      <c r="R135" s="79">
        <v>1688</v>
      </c>
      <c r="S135" s="79">
        <v>431</v>
      </c>
      <c r="T135" s="79">
        <v>1482</v>
      </c>
      <c r="U135" s="79">
        <v>1829</v>
      </c>
      <c r="V135" s="79">
        <v>124</v>
      </c>
      <c r="W135" s="79">
        <v>2404</v>
      </c>
      <c r="X135" s="79">
        <v>2404</v>
      </c>
    </row>
    <row r="136" spans="1:24" x14ac:dyDescent="0.35">
      <c r="A136" s="84" t="s">
        <v>592</v>
      </c>
      <c r="B136" s="79">
        <v>26917</v>
      </c>
      <c r="C136" s="79">
        <v>9272</v>
      </c>
      <c r="D136" s="79">
        <v>4945</v>
      </c>
      <c r="E136" s="79">
        <v>987</v>
      </c>
      <c r="F136" s="79">
        <v>2969</v>
      </c>
      <c r="G136" s="79">
        <v>289</v>
      </c>
      <c r="H136" s="79">
        <v>215</v>
      </c>
      <c r="I136" s="79">
        <v>215</v>
      </c>
      <c r="J136" s="79">
        <v>9217</v>
      </c>
      <c r="K136" s="79">
        <v>9217</v>
      </c>
      <c r="L136" s="79">
        <v>8590</v>
      </c>
      <c r="M136" s="79">
        <v>124</v>
      </c>
      <c r="N136" s="79">
        <v>497</v>
      </c>
      <c r="O136" s="79">
        <v>1560</v>
      </c>
      <c r="P136" s="79">
        <v>1560</v>
      </c>
      <c r="Q136" s="79">
        <v>4848</v>
      </c>
      <c r="R136" s="79">
        <v>1593</v>
      </c>
      <c r="S136" s="79">
        <v>348</v>
      </c>
      <c r="T136" s="79">
        <v>1502</v>
      </c>
      <c r="U136" s="79">
        <v>1279</v>
      </c>
      <c r="V136" s="79">
        <v>147</v>
      </c>
      <c r="W136" s="79">
        <v>1726</v>
      </c>
      <c r="X136" s="79">
        <v>1726</v>
      </c>
    </row>
    <row r="137" spans="1:24" x14ac:dyDescent="0.35">
      <c r="A137" s="84" t="s">
        <v>593</v>
      </c>
      <c r="B137" s="79">
        <v>41334</v>
      </c>
      <c r="C137" s="79">
        <v>11570</v>
      </c>
      <c r="D137" s="79">
        <v>6954</v>
      </c>
      <c r="E137" s="79">
        <v>1721</v>
      </c>
      <c r="F137" s="79">
        <v>2642</v>
      </c>
      <c r="G137" s="79">
        <v>311</v>
      </c>
      <c r="H137" s="79">
        <v>826</v>
      </c>
      <c r="I137" s="79">
        <v>826</v>
      </c>
      <c r="J137" s="79">
        <v>19229</v>
      </c>
      <c r="K137" s="79">
        <v>19229</v>
      </c>
      <c r="L137" s="79">
        <v>18480</v>
      </c>
      <c r="M137" s="79">
        <v>276</v>
      </c>
      <c r="N137" s="79">
        <v>477</v>
      </c>
      <c r="O137" s="79">
        <v>1812</v>
      </c>
      <c r="P137" s="79">
        <v>1812</v>
      </c>
      <c r="Q137" s="79">
        <v>5205</v>
      </c>
      <c r="R137" s="79">
        <v>1727</v>
      </c>
      <c r="S137" s="79">
        <v>556</v>
      </c>
      <c r="T137" s="79">
        <v>1443</v>
      </c>
      <c r="U137" s="79">
        <v>1327</v>
      </c>
      <c r="V137" s="79">
        <v>168</v>
      </c>
      <c r="W137" s="79">
        <v>2918</v>
      </c>
      <c r="X137" s="79">
        <v>2918</v>
      </c>
    </row>
    <row r="138" spans="1:24" x14ac:dyDescent="0.35">
      <c r="A138" s="84" t="s">
        <v>594</v>
      </c>
      <c r="B138" s="79">
        <v>37713</v>
      </c>
      <c r="C138" s="79">
        <v>11223</v>
      </c>
      <c r="D138" s="79">
        <v>7311</v>
      </c>
      <c r="E138" s="79">
        <v>1509</v>
      </c>
      <c r="F138" s="79">
        <v>2372</v>
      </c>
      <c r="G138" s="79">
        <v>144</v>
      </c>
      <c r="H138" s="79">
        <v>1058</v>
      </c>
      <c r="I138" s="79">
        <v>1058</v>
      </c>
      <c r="J138" s="79">
        <v>15600</v>
      </c>
      <c r="K138" s="79">
        <v>15600</v>
      </c>
      <c r="L138" s="79">
        <v>14891</v>
      </c>
      <c r="M138" s="79">
        <v>231</v>
      </c>
      <c r="N138" s="79">
        <v>478</v>
      </c>
      <c r="O138" s="79">
        <v>1843</v>
      </c>
      <c r="P138" s="79">
        <v>1843</v>
      </c>
      <c r="Q138" s="79">
        <v>5238</v>
      </c>
      <c r="R138" s="79">
        <v>1757</v>
      </c>
      <c r="S138" s="79">
        <v>512</v>
      </c>
      <c r="T138" s="79">
        <v>1392</v>
      </c>
      <c r="U138" s="79">
        <v>1430</v>
      </c>
      <c r="V138" s="79">
        <v>182</v>
      </c>
      <c r="W138" s="79">
        <v>2807</v>
      </c>
      <c r="X138" s="79">
        <v>2807</v>
      </c>
    </row>
    <row r="139" spans="1:24" x14ac:dyDescent="0.35">
      <c r="A139" s="84" t="s">
        <v>595</v>
      </c>
      <c r="B139" s="79">
        <v>31293</v>
      </c>
      <c r="C139" s="79">
        <v>10681</v>
      </c>
      <c r="D139" s="79">
        <v>6612</v>
      </c>
      <c r="E139" s="79">
        <v>1088</v>
      </c>
      <c r="F139" s="79">
        <v>2586</v>
      </c>
      <c r="G139" s="79">
        <v>406</v>
      </c>
      <c r="H139" s="79">
        <v>688</v>
      </c>
      <c r="I139" s="79">
        <v>688</v>
      </c>
      <c r="J139" s="79">
        <v>12232</v>
      </c>
      <c r="K139" s="79">
        <v>12232</v>
      </c>
      <c r="L139" s="79">
        <v>11607</v>
      </c>
      <c r="M139" s="79">
        <v>140</v>
      </c>
      <c r="N139" s="79">
        <v>487</v>
      </c>
      <c r="O139" s="79">
        <v>1135</v>
      </c>
      <c r="P139" s="79">
        <v>1135</v>
      </c>
      <c r="Q139" s="79">
        <v>4606</v>
      </c>
      <c r="R139" s="79">
        <v>1185</v>
      </c>
      <c r="S139" s="79">
        <v>242</v>
      </c>
      <c r="T139" s="79">
        <v>1573</v>
      </c>
      <c r="U139" s="79">
        <v>1456</v>
      </c>
      <c r="V139" s="79">
        <v>173</v>
      </c>
      <c r="W139" s="79">
        <v>2109</v>
      </c>
      <c r="X139" s="79">
        <v>2109</v>
      </c>
    </row>
    <row r="140" spans="1:24" x14ac:dyDescent="0.35">
      <c r="A140" s="84" t="s">
        <v>596</v>
      </c>
      <c r="B140" s="79">
        <v>37839</v>
      </c>
      <c r="C140" s="79">
        <v>12528</v>
      </c>
      <c r="D140" s="79">
        <v>7775</v>
      </c>
      <c r="E140" s="79">
        <v>1827</v>
      </c>
      <c r="F140" s="79">
        <v>2650</v>
      </c>
      <c r="G140" s="79">
        <v>360</v>
      </c>
      <c r="H140" s="79">
        <v>952</v>
      </c>
      <c r="I140" s="79">
        <v>952</v>
      </c>
      <c r="J140" s="79">
        <v>15261</v>
      </c>
      <c r="K140" s="79">
        <v>15261</v>
      </c>
      <c r="L140" s="79">
        <v>14587</v>
      </c>
      <c r="M140" s="79">
        <v>189</v>
      </c>
      <c r="N140" s="79">
        <v>484</v>
      </c>
      <c r="O140" s="79">
        <v>1312</v>
      </c>
      <c r="P140" s="79">
        <v>1312</v>
      </c>
      <c r="Q140" s="79">
        <v>4946</v>
      </c>
      <c r="R140" s="79">
        <v>1219</v>
      </c>
      <c r="S140" s="79">
        <v>243</v>
      </c>
      <c r="T140" s="79">
        <v>1816</v>
      </c>
      <c r="U140" s="79">
        <v>1518</v>
      </c>
      <c r="V140" s="79">
        <v>157</v>
      </c>
      <c r="W140" s="79">
        <v>3063</v>
      </c>
      <c r="X140" s="79">
        <v>3063</v>
      </c>
    </row>
    <row r="141" spans="1:24" x14ac:dyDescent="0.35">
      <c r="A141" s="84" t="s">
        <v>597</v>
      </c>
      <c r="B141" s="79">
        <v>35886</v>
      </c>
      <c r="C141" s="79">
        <v>11936</v>
      </c>
      <c r="D141" s="79">
        <v>7309</v>
      </c>
      <c r="E141" s="79">
        <v>1577</v>
      </c>
      <c r="F141" s="79">
        <v>2718</v>
      </c>
      <c r="G141" s="79">
        <v>378</v>
      </c>
      <c r="H141" s="79">
        <v>944</v>
      </c>
      <c r="I141" s="79">
        <v>944</v>
      </c>
      <c r="J141" s="79">
        <v>14098</v>
      </c>
      <c r="K141" s="79">
        <v>14098</v>
      </c>
      <c r="L141" s="79">
        <v>13433</v>
      </c>
      <c r="M141" s="79">
        <v>186</v>
      </c>
      <c r="N141" s="79">
        <v>478</v>
      </c>
      <c r="O141" s="79">
        <v>1351</v>
      </c>
      <c r="P141" s="79">
        <v>1351</v>
      </c>
      <c r="Q141" s="79">
        <v>4916</v>
      </c>
      <c r="R141" s="79">
        <v>1107</v>
      </c>
      <c r="S141" s="79">
        <v>266</v>
      </c>
      <c r="T141" s="79">
        <v>1832</v>
      </c>
      <c r="U141" s="79">
        <v>1573</v>
      </c>
      <c r="V141" s="79">
        <v>146</v>
      </c>
      <c r="W141" s="79">
        <v>2821</v>
      </c>
      <c r="X141" s="79">
        <v>2821</v>
      </c>
    </row>
    <row r="142" spans="1:24" x14ac:dyDescent="0.35">
      <c r="A142" s="84" t="s">
        <v>598</v>
      </c>
      <c r="B142" s="63">
        <v>37508</v>
      </c>
      <c r="C142" s="63">
        <v>12004</v>
      </c>
      <c r="D142" s="63">
        <v>6980</v>
      </c>
      <c r="E142" s="63">
        <v>1530</v>
      </c>
      <c r="F142" s="63">
        <v>3114</v>
      </c>
      <c r="G142" s="63">
        <v>382</v>
      </c>
      <c r="H142" s="63">
        <v>929</v>
      </c>
      <c r="I142" s="63">
        <v>929</v>
      </c>
      <c r="J142" s="63">
        <v>15267</v>
      </c>
      <c r="K142" s="63">
        <v>15267</v>
      </c>
      <c r="L142" s="63">
        <v>14321</v>
      </c>
      <c r="M142" s="63">
        <v>465</v>
      </c>
      <c r="N142" s="63">
        <v>479</v>
      </c>
      <c r="O142" s="63">
        <v>1361</v>
      </c>
      <c r="P142" s="63">
        <v>1361</v>
      </c>
      <c r="Q142" s="63">
        <v>5179</v>
      </c>
      <c r="R142" s="63">
        <v>1188</v>
      </c>
      <c r="S142" s="63">
        <v>340</v>
      </c>
      <c r="T142" s="63">
        <v>1889</v>
      </c>
      <c r="U142" s="63">
        <v>1611</v>
      </c>
      <c r="V142" s="63">
        <v>161</v>
      </c>
      <c r="W142" s="63">
        <v>2922</v>
      </c>
      <c r="X142" s="63">
        <v>2922</v>
      </c>
    </row>
    <row r="143" spans="1:24" x14ac:dyDescent="0.35">
      <c r="A143" s="84" t="s">
        <v>599</v>
      </c>
      <c r="B143" s="63">
        <v>37643</v>
      </c>
      <c r="C143" s="63">
        <v>12379</v>
      </c>
      <c r="D143" s="63">
        <v>7379</v>
      </c>
      <c r="E143" s="63">
        <v>1796</v>
      </c>
      <c r="F143" s="63">
        <v>2992</v>
      </c>
      <c r="G143" s="63">
        <v>251</v>
      </c>
      <c r="H143" s="63">
        <v>1026</v>
      </c>
      <c r="I143" s="63">
        <v>1026</v>
      </c>
      <c r="J143" s="63">
        <v>14751</v>
      </c>
      <c r="K143" s="63">
        <v>14751</v>
      </c>
      <c r="L143" s="63">
        <v>14000</v>
      </c>
      <c r="M143" s="63">
        <v>273</v>
      </c>
      <c r="N143" s="63">
        <v>479</v>
      </c>
      <c r="O143" s="63">
        <v>1466</v>
      </c>
      <c r="P143" s="63">
        <v>1466</v>
      </c>
      <c r="Q143" s="63">
        <v>5177</v>
      </c>
      <c r="R143" s="63">
        <v>1098</v>
      </c>
      <c r="S143" s="63">
        <v>273</v>
      </c>
      <c r="T143" s="63">
        <v>2005</v>
      </c>
      <c r="U143" s="63">
        <v>1621</v>
      </c>
      <c r="V143" s="63">
        <v>187</v>
      </c>
      <c r="W143" s="63">
        <v>3028</v>
      </c>
      <c r="X143" s="63">
        <v>3028</v>
      </c>
    </row>
    <row r="144" spans="1:24" x14ac:dyDescent="0.35">
      <c r="A144" s="84" t="s">
        <v>600</v>
      </c>
      <c r="B144" s="63">
        <v>36709</v>
      </c>
      <c r="C144" s="63">
        <v>11487</v>
      </c>
      <c r="D144" s="63">
        <v>6612</v>
      </c>
      <c r="E144" s="63">
        <v>1525</v>
      </c>
      <c r="F144" s="63">
        <v>2896</v>
      </c>
      <c r="G144" s="63">
        <v>464</v>
      </c>
      <c r="H144" s="63">
        <v>774</v>
      </c>
      <c r="I144" s="63">
        <v>774</v>
      </c>
      <c r="J144" s="63">
        <v>14693</v>
      </c>
      <c r="K144" s="63">
        <v>14693</v>
      </c>
      <c r="L144" s="63">
        <v>13941</v>
      </c>
      <c r="M144" s="63">
        <v>265</v>
      </c>
      <c r="N144" s="63">
        <v>486</v>
      </c>
      <c r="O144" s="63">
        <v>1386</v>
      </c>
      <c r="P144" s="63">
        <v>1386</v>
      </c>
      <c r="Q144" s="63">
        <v>5445</v>
      </c>
      <c r="R144" s="63">
        <v>1186</v>
      </c>
      <c r="S144" s="63">
        <v>313</v>
      </c>
      <c r="T144" s="63">
        <v>2098</v>
      </c>
      <c r="U144" s="63">
        <v>1668</v>
      </c>
      <c r="V144" s="63">
        <v>185</v>
      </c>
      <c r="W144" s="63">
        <v>3020</v>
      </c>
      <c r="X144" s="63">
        <v>3020</v>
      </c>
    </row>
    <row r="145" spans="1:24" x14ac:dyDescent="0.35">
      <c r="A145" s="84" t="s">
        <v>601</v>
      </c>
      <c r="B145" s="63">
        <v>36976</v>
      </c>
      <c r="C145" s="63">
        <v>11264</v>
      </c>
      <c r="D145" s="63">
        <v>6463</v>
      </c>
      <c r="E145" s="63">
        <v>1414</v>
      </c>
      <c r="F145" s="63">
        <v>2912</v>
      </c>
      <c r="G145" s="63">
        <v>480</v>
      </c>
      <c r="H145" s="63">
        <v>1096</v>
      </c>
      <c r="I145" s="63">
        <v>1096</v>
      </c>
      <c r="J145" s="63">
        <v>14889</v>
      </c>
      <c r="K145" s="63">
        <v>14889</v>
      </c>
      <c r="L145" s="63">
        <v>14159</v>
      </c>
      <c r="M145" s="63">
        <v>245</v>
      </c>
      <c r="N145" s="63">
        <v>484</v>
      </c>
      <c r="O145" s="63">
        <v>1345</v>
      </c>
      <c r="P145" s="63">
        <v>1345</v>
      </c>
      <c r="Q145" s="63">
        <v>5484</v>
      </c>
      <c r="R145" s="63">
        <v>1178</v>
      </c>
      <c r="S145" s="63">
        <v>310</v>
      </c>
      <c r="T145" s="63">
        <v>2147</v>
      </c>
      <c r="U145" s="63">
        <v>1685</v>
      </c>
      <c r="V145" s="63">
        <v>166</v>
      </c>
      <c r="W145" s="63">
        <v>2971</v>
      </c>
      <c r="X145" s="63">
        <v>2971</v>
      </c>
    </row>
    <row r="146" spans="1:24" x14ac:dyDescent="0.35">
      <c r="A146" s="84" t="s">
        <v>602</v>
      </c>
      <c r="B146" s="63">
        <v>37397</v>
      </c>
      <c r="C146" s="63">
        <v>10884</v>
      </c>
      <c r="D146" s="63">
        <v>6165</v>
      </c>
      <c r="E146" s="63">
        <v>1399</v>
      </c>
      <c r="F146" s="63">
        <v>3051</v>
      </c>
      <c r="G146" s="63">
        <v>270</v>
      </c>
      <c r="H146" s="63">
        <v>969</v>
      </c>
      <c r="I146" s="63">
        <v>969</v>
      </c>
      <c r="J146" s="63">
        <v>15752</v>
      </c>
      <c r="K146" s="63">
        <v>15752</v>
      </c>
      <c r="L146" s="63">
        <v>15014</v>
      </c>
      <c r="M146" s="63">
        <v>251</v>
      </c>
      <c r="N146" s="63">
        <v>488</v>
      </c>
      <c r="O146" s="63">
        <v>1246</v>
      </c>
      <c r="P146" s="63">
        <v>1246</v>
      </c>
      <c r="Q146" s="63">
        <v>5592</v>
      </c>
      <c r="R146" s="63">
        <v>1156</v>
      </c>
      <c r="S146" s="63">
        <v>351</v>
      </c>
      <c r="T146" s="63">
        <v>2185</v>
      </c>
      <c r="U146" s="63">
        <v>1734</v>
      </c>
      <c r="V146" s="63">
        <v>169</v>
      </c>
      <c r="W146" s="63">
        <v>2988</v>
      </c>
      <c r="X146" s="63">
        <v>2988</v>
      </c>
    </row>
    <row r="147" spans="1:24" x14ac:dyDescent="0.35">
      <c r="A147" s="84" t="s">
        <v>603</v>
      </c>
      <c r="B147" s="63">
        <v>36161</v>
      </c>
      <c r="C147" s="63">
        <v>10569</v>
      </c>
      <c r="D147" s="63">
        <v>5587</v>
      </c>
      <c r="E147" s="63">
        <v>1408</v>
      </c>
      <c r="F147" s="63">
        <v>3228</v>
      </c>
      <c r="G147" s="63">
        <v>345</v>
      </c>
      <c r="H147" s="63">
        <v>860</v>
      </c>
      <c r="I147" s="63">
        <v>860</v>
      </c>
      <c r="J147" s="63">
        <v>15556</v>
      </c>
      <c r="K147" s="63">
        <v>15556</v>
      </c>
      <c r="L147" s="63">
        <v>14785</v>
      </c>
      <c r="M147" s="63">
        <v>296</v>
      </c>
      <c r="N147" s="63">
        <v>475</v>
      </c>
      <c r="O147" s="63">
        <v>1115</v>
      </c>
      <c r="P147" s="63">
        <v>1115</v>
      </c>
      <c r="Q147" s="63">
        <v>5418</v>
      </c>
      <c r="R147" s="63">
        <v>983</v>
      </c>
      <c r="S147" s="63">
        <v>415</v>
      </c>
      <c r="T147" s="63">
        <v>2105</v>
      </c>
      <c r="U147" s="63">
        <v>1751</v>
      </c>
      <c r="V147" s="63">
        <v>167</v>
      </c>
      <c r="W147" s="63">
        <v>2668</v>
      </c>
      <c r="X147" s="63">
        <v>2668</v>
      </c>
    </row>
    <row r="148" spans="1:24" x14ac:dyDescent="0.35">
      <c r="A148" s="84" t="s">
        <v>604</v>
      </c>
      <c r="B148" s="63">
        <v>36464</v>
      </c>
      <c r="C148" s="63">
        <v>10268</v>
      </c>
      <c r="D148" s="63">
        <v>5451</v>
      </c>
      <c r="E148" s="63">
        <v>1355</v>
      </c>
      <c r="F148" s="63">
        <v>3192</v>
      </c>
      <c r="G148" s="63">
        <v>269</v>
      </c>
      <c r="H148" s="63">
        <v>883</v>
      </c>
      <c r="I148" s="63">
        <v>883</v>
      </c>
      <c r="J148" s="63">
        <v>16278</v>
      </c>
      <c r="K148" s="63">
        <v>16278</v>
      </c>
      <c r="L148" s="63">
        <v>15529</v>
      </c>
      <c r="M148" s="63">
        <v>283</v>
      </c>
      <c r="N148" s="63">
        <v>467</v>
      </c>
      <c r="O148" s="63">
        <v>1020</v>
      </c>
      <c r="P148" s="63">
        <v>1020</v>
      </c>
      <c r="Q148" s="63">
        <v>5358</v>
      </c>
      <c r="R148" s="63">
        <v>928</v>
      </c>
      <c r="S148" s="63">
        <v>500</v>
      </c>
      <c r="T148" s="63">
        <v>2059</v>
      </c>
      <c r="U148" s="63">
        <v>1731</v>
      </c>
      <c r="V148" s="63">
        <v>140</v>
      </c>
      <c r="W148" s="63">
        <v>2654</v>
      </c>
      <c r="X148" s="63">
        <v>2654</v>
      </c>
    </row>
    <row r="149" spans="1:24" x14ac:dyDescent="0.35">
      <c r="A149" s="84" t="s">
        <v>605</v>
      </c>
      <c r="B149" s="63">
        <v>36522</v>
      </c>
      <c r="C149" s="63">
        <v>10101</v>
      </c>
      <c r="D149" s="63">
        <v>5422</v>
      </c>
      <c r="E149" s="63">
        <v>1355</v>
      </c>
      <c r="F149" s="63">
        <v>3102</v>
      </c>
      <c r="G149" s="63">
        <v>223</v>
      </c>
      <c r="H149" s="63">
        <v>905</v>
      </c>
      <c r="I149" s="63">
        <v>905</v>
      </c>
      <c r="J149" s="63">
        <v>16595</v>
      </c>
      <c r="K149" s="63">
        <v>16595</v>
      </c>
      <c r="L149" s="63">
        <v>15844</v>
      </c>
      <c r="M149" s="63">
        <v>284</v>
      </c>
      <c r="N149" s="63">
        <v>466</v>
      </c>
      <c r="O149" s="63">
        <v>1016</v>
      </c>
      <c r="P149" s="63">
        <v>1016</v>
      </c>
      <c r="Q149" s="63">
        <v>5365</v>
      </c>
      <c r="R149" s="63">
        <v>873</v>
      </c>
      <c r="S149" s="63">
        <v>509</v>
      </c>
      <c r="T149" s="63">
        <v>2099</v>
      </c>
      <c r="U149" s="63">
        <v>1737</v>
      </c>
      <c r="V149" s="63">
        <v>147</v>
      </c>
      <c r="W149" s="63">
        <v>2527</v>
      </c>
      <c r="X149" s="63">
        <v>2527</v>
      </c>
    </row>
    <row r="150" spans="1:24" x14ac:dyDescent="0.35">
      <c r="A150" s="84" t="s">
        <v>606</v>
      </c>
      <c r="B150" s="63">
        <v>36173</v>
      </c>
      <c r="C150" s="63">
        <v>9896</v>
      </c>
      <c r="D150" s="63">
        <v>5279</v>
      </c>
      <c r="E150" s="63">
        <v>1333</v>
      </c>
      <c r="F150" s="63">
        <v>3029</v>
      </c>
      <c r="G150" s="63">
        <v>256</v>
      </c>
      <c r="H150" s="63">
        <v>807</v>
      </c>
      <c r="I150" s="63">
        <v>807</v>
      </c>
      <c r="J150" s="63">
        <v>16442</v>
      </c>
      <c r="K150" s="63">
        <v>16442</v>
      </c>
      <c r="L150" s="63">
        <v>15687</v>
      </c>
      <c r="M150" s="63">
        <v>292</v>
      </c>
      <c r="N150" s="63">
        <v>463</v>
      </c>
      <c r="O150" s="63">
        <v>1147</v>
      </c>
      <c r="P150" s="63">
        <v>1147</v>
      </c>
      <c r="Q150" s="63">
        <v>5414</v>
      </c>
      <c r="R150" s="63">
        <v>838</v>
      </c>
      <c r="S150" s="63">
        <v>499</v>
      </c>
      <c r="T150" s="63">
        <v>2203</v>
      </c>
      <c r="U150" s="63">
        <v>1732</v>
      </c>
      <c r="V150" s="63">
        <v>139</v>
      </c>
      <c r="W150" s="63">
        <v>2458</v>
      </c>
      <c r="X150" s="63">
        <v>2458</v>
      </c>
    </row>
    <row r="151" spans="1:24" x14ac:dyDescent="0.35">
      <c r="A151" s="84" t="s">
        <v>607</v>
      </c>
      <c r="B151" s="63">
        <v>36391</v>
      </c>
      <c r="C151" s="63">
        <v>9826</v>
      </c>
      <c r="D151" s="63">
        <v>5031</v>
      </c>
      <c r="E151" s="63">
        <v>1379</v>
      </c>
      <c r="F151" s="63">
        <v>3086</v>
      </c>
      <c r="G151" s="63">
        <v>330</v>
      </c>
      <c r="H151" s="63">
        <v>846</v>
      </c>
      <c r="I151" s="63">
        <v>846</v>
      </c>
      <c r="J151" s="63">
        <v>16152</v>
      </c>
      <c r="K151" s="63">
        <v>16152</v>
      </c>
      <c r="L151" s="63">
        <v>15391</v>
      </c>
      <c r="M151" s="63">
        <v>301</v>
      </c>
      <c r="N151" s="63">
        <v>460</v>
      </c>
      <c r="O151" s="63">
        <v>1444</v>
      </c>
      <c r="P151" s="63">
        <v>1444</v>
      </c>
      <c r="Q151" s="63">
        <v>5616</v>
      </c>
      <c r="R151" s="63">
        <v>922</v>
      </c>
      <c r="S151" s="63">
        <v>512</v>
      </c>
      <c r="T151" s="63">
        <v>2324</v>
      </c>
      <c r="U151" s="63">
        <v>1707</v>
      </c>
      <c r="V151" s="63">
        <v>151</v>
      </c>
      <c r="W151" s="63">
        <v>2507</v>
      </c>
      <c r="X151" s="63">
        <v>2507</v>
      </c>
    </row>
    <row r="152" spans="1:24" x14ac:dyDescent="0.35">
      <c r="A152" s="84" t="s">
        <v>608</v>
      </c>
      <c r="B152" s="63">
        <v>36521</v>
      </c>
      <c r="C152" s="63">
        <v>9755</v>
      </c>
      <c r="D152" s="63">
        <v>4926</v>
      </c>
      <c r="E152" s="63">
        <v>1367</v>
      </c>
      <c r="F152" s="63">
        <v>3144</v>
      </c>
      <c r="G152" s="63">
        <v>318</v>
      </c>
      <c r="H152" s="63">
        <v>845</v>
      </c>
      <c r="I152" s="63">
        <v>845</v>
      </c>
      <c r="J152" s="63">
        <v>16306</v>
      </c>
      <c r="K152" s="63">
        <v>16306</v>
      </c>
      <c r="L152" s="63">
        <v>15542</v>
      </c>
      <c r="M152" s="63">
        <v>305</v>
      </c>
      <c r="N152" s="63">
        <v>459</v>
      </c>
      <c r="O152" s="63">
        <v>1441</v>
      </c>
      <c r="P152" s="63">
        <v>1441</v>
      </c>
      <c r="Q152" s="63">
        <v>5740</v>
      </c>
      <c r="R152" s="63">
        <v>925</v>
      </c>
      <c r="S152" s="63">
        <v>516</v>
      </c>
      <c r="T152" s="63">
        <v>2428</v>
      </c>
      <c r="U152" s="63">
        <v>1705</v>
      </c>
      <c r="V152" s="63">
        <v>166</v>
      </c>
      <c r="W152" s="63">
        <v>2434</v>
      </c>
      <c r="X152" s="63">
        <v>2434</v>
      </c>
    </row>
    <row r="153" spans="1:24" x14ac:dyDescent="0.35">
      <c r="A153" s="84" t="s">
        <v>609</v>
      </c>
      <c r="B153" s="63">
        <v>36885</v>
      </c>
      <c r="C153" s="63">
        <v>9889</v>
      </c>
      <c r="D153" s="63">
        <v>4921</v>
      </c>
      <c r="E153" s="63">
        <v>1410</v>
      </c>
      <c r="F153" s="63">
        <v>3173</v>
      </c>
      <c r="G153" s="63">
        <v>385</v>
      </c>
      <c r="H153" s="63">
        <v>857</v>
      </c>
      <c r="I153" s="63">
        <v>857</v>
      </c>
      <c r="J153" s="63">
        <v>16370</v>
      </c>
      <c r="K153" s="63">
        <v>16370</v>
      </c>
      <c r="L153" s="63">
        <v>15600</v>
      </c>
      <c r="M153" s="63">
        <v>304</v>
      </c>
      <c r="N153" s="63">
        <v>466</v>
      </c>
      <c r="O153" s="63">
        <v>1419</v>
      </c>
      <c r="P153" s="63">
        <v>1419</v>
      </c>
      <c r="Q153" s="63">
        <v>5863</v>
      </c>
      <c r="R153" s="63">
        <v>924</v>
      </c>
      <c r="S153" s="63">
        <v>533</v>
      </c>
      <c r="T153" s="63">
        <v>2530</v>
      </c>
      <c r="U153" s="63">
        <v>1702</v>
      </c>
      <c r="V153" s="63">
        <v>174</v>
      </c>
      <c r="W153" s="63">
        <v>2487</v>
      </c>
      <c r="X153" s="63">
        <v>2487</v>
      </c>
    </row>
    <row r="154" spans="1:24" x14ac:dyDescent="0.35">
      <c r="A154" s="84" t="s">
        <v>610</v>
      </c>
      <c r="B154" s="63">
        <v>37295</v>
      </c>
      <c r="C154" s="63">
        <v>10004</v>
      </c>
      <c r="D154" s="63">
        <v>4914</v>
      </c>
      <c r="E154" s="63">
        <v>1453</v>
      </c>
      <c r="F154" s="63">
        <v>3242</v>
      </c>
      <c r="G154" s="63">
        <v>395</v>
      </c>
      <c r="H154" s="63">
        <v>917</v>
      </c>
      <c r="I154" s="63">
        <v>917</v>
      </c>
      <c r="J154" s="63">
        <v>16433</v>
      </c>
      <c r="K154" s="63">
        <v>16433</v>
      </c>
      <c r="L154" s="63">
        <v>15665</v>
      </c>
      <c r="M154" s="63">
        <v>301</v>
      </c>
      <c r="N154" s="63">
        <v>467</v>
      </c>
      <c r="O154" s="63">
        <v>1369</v>
      </c>
      <c r="P154" s="63">
        <v>1369</v>
      </c>
      <c r="Q154" s="63">
        <v>5998</v>
      </c>
      <c r="R154" s="63">
        <v>938</v>
      </c>
      <c r="S154" s="63">
        <v>554</v>
      </c>
      <c r="T154" s="63">
        <v>2613</v>
      </c>
      <c r="U154" s="63">
        <v>1734</v>
      </c>
      <c r="V154" s="63">
        <v>159</v>
      </c>
      <c r="W154" s="63">
        <v>2574</v>
      </c>
      <c r="X154" s="63">
        <v>2574</v>
      </c>
    </row>
    <row r="155" spans="1:24" x14ac:dyDescent="0.35">
      <c r="A155" s="84" t="s">
        <v>611</v>
      </c>
      <c r="B155" s="63">
        <v>37648</v>
      </c>
      <c r="C155" s="63">
        <v>9944</v>
      </c>
      <c r="D155" s="63">
        <v>5108</v>
      </c>
      <c r="E155" s="63">
        <v>1413</v>
      </c>
      <c r="F155" s="63">
        <v>3042</v>
      </c>
      <c r="G155" s="63">
        <v>381</v>
      </c>
      <c r="H155" s="63">
        <v>955</v>
      </c>
      <c r="I155" s="63">
        <v>955</v>
      </c>
      <c r="J155" s="63">
        <v>16925</v>
      </c>
      <c r="K155" s="63">
        <v>16925</v>
      </c>
      <c r="L155" s="63">
        <v>16153</v>
      </c>
      <c r="M155" s="63">
        <v>304</v>
      </c>
      <c r="N155" s="63">
        <v>468</v>
      </c>
      <c r="O155" s="63">
        <v>1359</v>
      </c>
      <c r="P155" s="63">
        <v>1359</v>
      </c>
      <c r="Q155" s="63">
        <v>5918</v>
      </c>
      <c r="R155" s="63">
        <v>1007</v>
      </c>
      <c r="S155" s="63">
        <v>509</v>
      </c>
      <c r="T155" s="63">
        <v>2502</v>
      </c>
      <c r="U155" s="63">
        <v>1708</v>
      </c>
      <c r="V155" s="63">
        <v>192</v>
      </c>
      <c r="W155" s="63">
        <v>2547</v>
      </c>
      <c r="X155" s="63">
        <v>2547</v>
      </c>
    </row>
    <row r="156" spans="1:24" x14ac:dyDescent="0.35">
      <c r="A156" s="84" t="s">
        <v>612</v>
      </c>
      <c r="B156" s="63">
        <v>37987</v>
      </c>
      <c r="C156" s="63">
        <v>9865</v>
      </c>
      <c r="D156" s="63">
        <v>5043</v>
      </c>
      <c r="E156" s="63">
        <v>1341</v>
      </c>
      <c r="F156" s="63">
        <v>3117</v>
      </c>
      <c r="G156" s="63">
        <v>364</v>
      </c>
      <c r="H156" s="63">
        <v>1008</v>
      </c>
      <c r="I156" s="63">
        <v>1008</v>
      </c>
      <c r="J156" s="63">
        <v>17242</v>
      </c>
      <c r="K156" s="63">
        <v>17242</v>
      </c>
      <c r="L156" s="63">
        <v>16470</v>
      </c>
      <c r="M156" s="63">
        <v>303</v>
      </c>
      <c r="N156" s="63">
        <v>469</v>
      </c>
      <c r="O156" s="63">
        <v>1299</v>
      </c>
      <c r="P156" s="63">
        <v>1299</v>
      </c>
      <c r="Q156" s="63">
        <v>6057</v>
      </c>
      <c r="R156" s="63">
        <v>1061</v>
      </c>
      <c r="S156" s="63">
        <v>539</v>
      </c>
      <c r="T156" s="63">
        <v>2577</v>
      </c>
      <c r="U156" s="63">
        <v>1678</v>
      </c>
      <c r="V156" s="63">
        <v>202</v>
      </c>
      <c r="W156" s="63">
        <v>2516</v>
      </c>
      <c r="X156" s="63">
        <v>2516</v>
      </c>
    </row>
    <row r="157" spans="1:24" x14ac:dyDescent="0.35">
      <c r="A157" s="84" t="s">
        <v>613</v>
      </c>
      <c r="B157" s="63">
        <v>38222</v>
      </c>
      <c r="C157" s="63">
        <v>9905</v>
      </c>
      <c r="D157" s="63">
        <v>5112</v>
      </c>
      <c r="E157" s="63">
        <v>1274</v>
      </c>
      <c r="F157" s="63">
        <v>3176</v>
      </c>
      <c r="G157" s="63">
        <v>343</v>
      </c>
      <c r="H157" s="63">
        <v>1075</v>
      </c>
      <c r="I157" s="63">
        <v>1075</v>
      </c>
      <c r="J157" s="63">
        <v>17233</v>
      </c>
      <c r="K157" s="63">
        <v>17233</v>
      </c>
      <c r="L157" s="63">
        <v>16466</v>
      </c>
      <c r="M157" s="63">
        <v>298</v>
      </c>
      <c r="N157" s="63">
        <v>469</v>
      </c>
      <c r="O157" s="63">
        <v>1326</v>
      </c>
      <c r="P157" s="63">
        <v>1326</v>
      </c>
      <c r="Q157" s="63">
        <v>6197</v>
      </c>
      <c r="R157" s="63">
        <v>1088</v>
      </c>
      <c r="S157" s="63">
        <v>555</v>
      </c>
      <c r="T157" s="63">
        <v>2697</v>
      </c>
      <c r="U157" s="63">
        <v>1666</v>
      </c>
      <c r="V157" s="63">
        <v>191</v>
      </c>
      <c r="W157" s="63">
        <v>2486</v>
      </c>
      <c r="X157" s="63">
        <v>2486</v>
      </c>
    </row>
    <row r="158" spans="1:24" x14ac:dyDescent="0.35">
      <c r="A158" s="84" t="s">
        <v>614</v>
      </c>
      <c r="B158" s="63">
        <v>38133</v>
      </c>
      <c r="C158" s="63">
        <v>9779</v>
      </c>
      <c r="D158" s="63">
        <v>5094</v>
      </c>
      <c r="E158" s="63">
        <v>1245</v>
      </c>
      <c r="F158" s="63">
        <v>3150</v>
      </c>
      <c r="G158" s="63">
        <v>290</v>
      </c>
      <c r="H158" s="63">
        <v>1149</v>
      </c>
      <c r="I158" s="63">
        <v>1149</v>
      </c>
      <c r="J158" s="63">
        <v>17118</v>
      </c>
      <c r="K158" s="63">
        <v>17118</v>
      </c>
      <c r="L158" s="63">
        <v>16351</v>
      </c>
      <c r="M158" s="63">
        <v>299</v>
      </c>
      <c r="N158" s="63">
        <v>468</v>
      </c>
      <c r="O158" s="63">
        <v>1351</v>
      </c>
      <c r="P158" s="63">
        <v>1351</v>
      </c>
      <c r="Q158" s="63">
        <v>6241</v>
      </c>
      <c r="R158" s="63">
        <v>1094</v>
      </c>
      <c r="S158" s="63">
        <v>562</v>
      </c>
      <c r="T158" s="63">
        <v>2766</v>
      </c>
      <c r="U158" s="63">
        <v>1653</v>
      </c>
      <c r="V158" s="63">
        <v>166</v>
      </c>
      <c r="W158" s="63">
        <v>2495</v>
      </c>
      <c r="X158" s="63">
        <v>2495</v>
      </c>
    </row>
    <row r="159" spans="1:24" x14ac:dyDescent="0.35">
      <c r="A159" s="92" t="s">
        <v>881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</row>
    <row r="160" spans="1:24" x14ac:dyDescent="0.35">
      <c r="B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</row>
    <row r="161" spans="2:24" x14ac:dyDescent="0.35"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</row>
    <row r="162" spans="2:24" x14ac:dyDescent="0.35"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</row>
    <row r="163" spans="2:24" x14ac:dyDescent="0.35"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</row>
    <row r="164" spans="2:24" x14ac:dyDescent="0.35"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</row>
    <row r="165" spans="2:24" x14ac:dyDescent="0.35"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</row>
    <row r="166" spans="2:24" x14ac:dyDescent="0.35"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</row>
    <row r="167" spans="2:24" x14ac:dyDescent="0.35"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</row>
  </sheetData>
  <hyperlinks>
    <hyperlink ref="A4" location="Table_of_contents!A1" tooltip="Link to table of contents" display="Table of contents" xr:uid="{E98D9BEA-7EBF-45FB-A9A1-672E0D60C897}"/>
  </hyperlinks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B0F4-823C-4868-BFD7-4AEAC032FC31}">
  <dimension ref="A1:V167"/>
  <sheetViews>
    <sheetView zoomScale="85" zoomScaleNormal="85" workbookViewId="0">
      <pane xSplit="1" ySplit="6" topLeftCell="B39" activePane="bottomRight" state="frozen"/>
      <selection pane="topRight" activeCell="B1" sqref="B1"/>
      <selection pane="bottomLeft" activeCell="A7" sqref="A7"/>
      <selection pane="bottomRight" activeCell="T40" activeCellId="4" sqref="C40 H40 M40 O40 T40"/>
    </sheetView>
  </sheetViews>
  <sheetFormatPr defaultColWidth="20.54296875" defaultRowHeight="15.5" x14ac:dyDescent="0.35"/>
  <cols>
    <col min="1" max="1" width="22.54296875" style="84" customWidth="1"/>
    <col min="2" max="5" width="13.54296875" style="84" customWidth="1"/>
    <col min="6" max="6" width="14.54296875" style="84" customWidth="1"/>
    <col min="7" max="13" width="13.54296875" style="84" customWidth="1"/>
    <col min="14" max="14" width="17.54296875" style="84" customWidth="1"/>
    <col min="15" max="17" width="13.54296875" style="84" customWidth="1"/>
    <col min="18" max="18" width="15.54296875" style="84" customWidth="1"/>
    <col min="19" max="19" width="13.54296875" style="84" customWidth="1"/>
    <col min="20" max="20" width="16.54296875" style="84" customWidth="1"/>
    <col min="21" max="22" width="13.54296875" style="84" customWidth="1"/>
  </cols>
  <sheetData>
    <row r="1" spans="1:22" s="87" customFormat="1" ht="20" thickBot="1" x14ac:dyDescent="0.5">
      <c r="A1" s="86" t="s">
        <v>751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2" ht="16" thickTop="1" x14ac:dyDescent="0.35">
      <c r="A2" s="65" t="s">
        <v>300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</row>
    <row r="3" spans="1:22" x14ac:dyDescent="0.35">
      <c r="A3" s="65" t="s">
        <v>301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</row>
    <row r="4" spans="1:22" x14ac:dyDescent="0.35">
      <c r="A4" s="68" t="s">
        <v>302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</row>
    <row r="5" spans="1:22" s="87" customFormat="1" ht="50.15" customHeight="1" x14ac:dyDescent="0.4">
      <c r="A5" s="88" t="s">
        <v>752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</row>
    <row r="6" spans="1:22" ht="80.150000000000006" customHeight="1" x14ac:dyDescent="0.35">
      <c r="A6" s="72" t="s">
        <v>304</v>
      </c>
      <c r="B6" s="73" t="s">
        <v>753</v>
      </c>
      <c r="C6" s="73" t="s">
        <v>306</v>
      </c>
      <c r="D6" s="74" t="s">
        <v>754</v>
      </c>
      <c r="E6" s="74" t="s">
        <v>755</v>
      </c>
      <c r="F6" s="74" t="s">
        <v>756</v>
      </c>
      <c r="G6" s="74" t="s">
        <v>757</v>
      </c>
      <c r="H6" s="73" t="s">
        <v>645</v>
      </c>
      <c r="I6" s="73" t="s">
        <v>758</v>
      </c>
      <c r="J6" s="74" t="s">
        <v>759</v>
      </c>
      <c r="K6" s="74" t="s">
        <v>760</v>
      </c>
      <c r="L6" s="74" t="s">
        <v>761</v>
      </c>
      <c r="M6" s="73" t="s">
        <v>330</v>
      </c>
      <c r="N6" s="74" t="s">
        <v>762</v>
      </c>
      <c r="O6" s="73" t="s">
        <v>342</v>
      </c>
      <c r="P6" s="74" t="s">
        <v>763</v>
      </c>
      <c r="Q6" s="74" t="s">
        <v>764</v>
      </c>
      <c r="R6" s="74" t="s">
        <v>765</v>
      </c>
      <c r="S6" s="74" t="s">
        <v>766</v>
      </c>
      <c r="T6" s="73" t="s">
        <v>357</v>
      </c>
      <c r="U6" s="74" t="s">
        <v>767</v>
      </c>
      <c r="V6" s="74" t="s">
        <v>768</v>
      </c>
    </row>
    <row r="7" spans="1:22" ht="31" x14ac:dyDescent="0.35">
      <c r="A7" s="72" t="s">
        <v>371</v>
      </c>
      <c r="B7" s="75" t="s">
        <v>769</v>
      </c>
      <c r="C7" s="75" t="s">
        <v>770</v>
      </c>
      <c r="D7" s="76" t="s">
        <v>771</v>
      </c>
      <c r="E7" s="76" t="s">
        <v>772</v>
      </c>
      <c r="F7" s="76" t="s">
        <v>773</v>
      </c>
      <c r="G7" s="76" t="s">
        <v>774</v>
      </c>
      <c r="H7" s="75" t="s">
        <v>775</v>
      </c>
      <c r="I7" s="77" t="s">
        <v>776</v>
      </c>
      <c r="J7" s="76" t="s">
        <v>777</v>
      </c>
      <c r="K7" s="77" t="s">
        <v>778</v>
      </c>
      <c r="L7" s="76" t="s">
        <v>779</v>
      </c>
      <c r="M7" s="75" t="s">
        <v>780</v>
      </c>
      <c r="N7" s="76" t="s">
        <v>781</v>
      </c>
      <c r="O7" s="75" t="s">
        <v>782</v>
      </c>
      <c r="P7" s="76" t="s">
        <v>783</v>
      </c>
      <c r="Q7" s="76" t="s">
        <v>784</v>
      </c>
      <c r="R7" s="76" t="s">
        <v>785</v>
      </c>
      <c r="S7" s="76" t="s">
        <v>786</v>
      </c>
      <c r="T7" s="75" t="s">
        <v>787</v>
      </c>
      <c r="U7" s="76" t="s">
        <v>788</v>
      </c>
      <c r="V7" s="76" t="s">
        <v>789</v>
      </c>
    </row>
    <row r="8" spans="1:22" x14ac:dyDescent="0.35">
      <c r="A8" s="72" t="s">
        <v>429</v>
      </c>
      <c r="B8" s="75" t="s">
        <v>790</v>
      </c>
      <c r="C8" s="75" t="s">
        <v>791</v>
      </c>
      <c r="D8" s="75" t="s">
        <v>792</v>
      </c>
      <c r="E8" s="75" t="s">
        <v>793</v>
      </c>
      <c r="F8" s="75" t="s">
        <v>794</v>
      </c>
      <c r="G8" s="75" t="s">
        <v>795</v>
      </c>
      <c r="H8" s="75" t="s">
        <v>796</v>
      </c>
      <c r="I8" s="75" t="s">
        <v>797</v>
      </c>
      <c r="J8" s="75" t="s">
        <v>798</v>
      </c>
      <c r="K8" s="75" t="s">
        <v>799</v>
      </c>
      <c r="L8" s="75" t="s">
        <v>800</v>
      </c>
      <c r="M8" s="75" t="s">
        <v>801</v>
      </c>
      <c r="N8" s="75" t="s">
        <v>802</v>
      </c>
      <c r="O8" s="75" t="s">
        <v>803</v>
      </c>
      <c r="P8" s="75" t="s">
        <v>804</v>
      </c>
      <c r="Q8" s="75" t="s">
        <v>805</v>
      </c>
      <c r="R8" s="75" t="s">
        <v>806</v>
      </c>
      <c r="S8" s="75" t="s">
        <v>807</v>
      </c>
      <c r="T8" s="75" t="s">
        <v>808</v>
      </c>
      <c r="U8" s="75" t="s">
        <v>809</v>
      </c>
      <c r="V8" s="75" t="s">
        <v>810</v>
      </c>
    </row>
    <row r="9" spans="1:22" x14ac:dyDescent="0.35">
      <c r="A9" s="78">
        <v>1997</v>
      </c>
      <c r="B9" s="79">
        <v>58441</v>
      </c>
      <c r="C9" s="79">
        <v>30109</v>
      </c>
      <c r="D9" s="79">
        <v>168</v>
      </c>
      <c r="E9" s="79">
        <v>25994</v>
      </c>
      <c r="F9" s="79">
        <v>1447</v>
      </c>
      <c r="G9" s="79">
        <v>2964</v>
      </c>
      <c r="H9" s="79">
        <v>10898</v>
      </c>
      <c r="I9" s="79">
        <v>3418</v>
      </c>
      <c r="J9" s="79">
        <v>726</v>
      </c>
      <c r="K9" s="79">
        <v>3665</v>
      </c>
      <c r="L9" s="79">
        <v>3117</v>
      </c>
      <c r="M9" s="79">
        <v>5605</v>
      </c>
      <c r="N9" s="79">
        <v>5607</v>
      </c>
      <c r="O9" s="79">
        <v>12153</v>
      </c>
      <c r="P9" s="79">
        <v>4022</v>
      </c>
      <c r="Q9" s="79">
        <v>2444</v>
      </c>
      <c r="R9" s="79">
        <v>3281</v>
      </c>
      <c r="S9" s="79">
        <v>3647</v>
      </c>
      <c r="T9" s="79">
        <v>842</v>
      </c>
      <c r="U9" s="79">
        <v>241</v>
      </c>
      <c r="V9" s="79">
        <v>611</v>
      </c>
    </row>
    <row r="10" spans="1:22" x14ac:dyDescent="0.35">
      <c r="A10" s="78">
        <v>1998</v>
      </c>
      <c r="B10" s="79">
        <v>63854</v>
      </c>
      <c r="C10" s="79">
        <v>31931</v>
      </c>
      <c r="D10" s="79">
        <v>154</v>
      </c>
      <c r="E10" s="79">
        <v>27903</v>
      </c>
      <c r="F10" s="79">
        <v>1292</v>
      </c>
      <c r="G10" s="79">
        <v>3099</v>
      </c>
      <c r="H10" s="79">
        <v>12361</v>
      </c>
      <c r="I10" s="79">
        <v>3676</v>
      </c>
      <c r="J10" s="79">
        <v>754</v>
      </c>
      <c r="K10" s="79">
        <v>4416</v>
      </c>
      <c r="L10" s="79">
        <v>3596</v>
      </c>
      <c r="M10" s="79">
        <v>6458</v>
      </c>
      <c r="N10" s="79">
        <v>6460</v>
      </c>
      <c r="O10" s="79">
        <v>13551</v>
      </c>
      <c r="P10" s="79">
        <v>4714</v>
      </c>
      <c r="Q10" s="79">
        <v>2996</v>
      </c>
      <c r="R10" s="79">
        <v>3197</v>
      </c>
      <c r="S10" s="79">
        <v>3734</v>
      </c>
      <c r="T10" s="79">
        <v>949</v>
      </c>
      <c r="U10" s="79">
        <v>229</v>
      </c>
      <c r="V10" s="79">
        <v>714</v>
      </c>
    </row>
    <row r="11" spans="1:22" x14ac:dyDescent="0.35">
      <c r="A11" s="78">
        <v>1999</v>
      </c>
      <c r="B11" s="79">
        <v>69142</v>
      </c>
      <c r="C11" s="79">
        <v>33900</v>
      </c>
      <c r="D11" s="79">
        <v>193</v>
      </c>
      <c r="E11" s="79">
        <v>29475</v>
      </c>
      <c r="F11" s="79">
        <v>1565</v>
      </c>
      <c r="G11" s="79">
        <v>3247</v>
      </c>
      <c r="H11" s="79">
        <v>12965</v>
      </c>
      <c r="I11" s="79">
        <v>3754</v>
      </c>
      <c r="J11" s="79">
        <v>775</v>
      </c>
      <c r="K11" s="79">
        <v>4816</v>
      </c>
      <c r="L11" s="79">
        <v>3720</v>
      </c>
      <c r="M11" s="79">
        <v>6593</v>
      </c>
      <c r="N11" s="79">
        <v>6595</v>
      </c>
      <c r="O11" s="79">
        <v>15906</v>
      </c>
      <c r="P11" s="79">
        <v>5696</v>
      </c>
      <c r="Q11" s="79">
        <v>3737</v>
      </c>
      <c r="R11" s="79">
        <v>3312</v>
      </c>
      <c r="S11" s="79">
        <v>4307</v>
      </c>
      <c r="T11" s="79">
        <v>975</v>
      </c>
      <c r="U11" s="79">
        <v>271</v>
      </c>
      <c r="V11" s="79">
        <v>708</v>
      </c>
    </row>
    <row r="12" spans="1:22" x14ac:dyDescent="0.35">
      <c r="A12" s="78">
        <v>2000</v>
      </c>
      <c r="B12" s="79">
        <v>75363</v>
      </c>
      <c r="C12" s="79">
        <v>37322</v>
      </c>
      <c r="D12" s="79">
        <v>226</v>
      </c>
      <c r="E12" s="79">
        <v>32657</v>
      </c>
      <c r="F12" s="79">
        <v>1805</v>
      </c>
      <c r="G12" s="79">
        <v>3382</v>
      </c>
      <c r="H12" s="79">
        <v>13986</v>
      </c>
      <c r="I12" s="79">
        <v>4075</v>
      </c>
      <c r="J12" s="79">
        <v>855</v>
      </c>
      <c r="K12" s="79">
        <v>5413</v>
      </c>
      <c r="L12" s="79">
        <v>3705</v>
      </c>
      <c r="M12" s="79">
        <v>5872</v>
      </c>
      <c r="N12" s="79">
        <v>5874</v>
      </c>
      <c r="O12" s="79">
        <v>17924</v>
      </c>
      <c r="P12" s="79">
        <v>6125</v>
      </c>
      <c r="Q12" s="79">
        <v>4516</v>
      </c>
      <c r="R12" s="79">
        <v>3569</v>
      </c>
      <c r="S12" s="79">
        <v>4928</v>
      </c>
      <c r="T12" s="79">
        <v>1065</v>
      </c>
      <c r="U12" s="79">
        <v>320</v>
      </c>
      <c r="V12" s="79">
        <v>754</v>
      </c>
    </row>
    <row r="13" spans="1:22" x14ac:dyDescent="0.35">
      <c r="A13" s="78">
        <v>2001</v>
      </c>
      <c r="B13" s="79">
        <v>80556</v>
      </c>
      <c r="C13" s="79">
        <v>40609</v>
      </c>
      <c r="D13" s="79">
        <v>185</v>
      </c>
      <c r="E13" s="79">
        <v>35816</v>
      </c>
      <c r="F13" s="79">
        <v>1573</v>
      </c>
      <c r="G13" s="79">
        <v>3785</v>
      </c>
      <c r="H13" s="79">
        <v>14756</v>
      </c>
      <c r="I13" s="79">
        <v>4420</v>
      </c>
      <c r="J13" s="79">
        <v>951</v>
      </c>
      <c r="K13" s="79">
        <v>5485</v>
      </c>
      <c r="L13" s="79">
        <v>3949</v>
      </c>
      <c r="M13" s="79">
        <v>5791</v>
      </c>
      <c r="N13" s="79">
        <v>5793</v>
      </c>
      <c r="O13" s="79">
        <v>18783</v>
      </c>
      <c r="P13" s="79">
        <v>5888</v>
      </c>
      <c r="Q13" s="79">
        <v>5015</v>
      </c>
      <c r="R13" s="79">
        <v>3863</v>
      </c>
      <c r="S13" s="79">
        <v>5168</v>
      </c>
      <c r="T13" s="79">
        <v>1348</v>
      </c>
      <c r="U13" s="79">
        <v>302</v>
      </c>
      <c r="V13" s="79">
        <v>1034</v>
      </c>
    </row>
    <row r="14" spans="1:22" x14ac:dyDescent="0.35">
      <c r="A14" s="78">
        <v>2002</v>
      </c>
      <c r="B14" s="79">
        <v>87743</v>
      </c>
      <c r="C14" s="79">
        <v>45470</v>
      </c>
      <c r="D14" s="79">
        <v>161</v>
      </c>
      <c r="E14" s="79">
        <v>40130</v>
      </c>
      <c r="F14" s="79">
        <v>1602</v>
      </c>
      <c r="G14" s="79">
        <v>4354</v>
      </c>
      <c r="H14" s="79">
        <v>15235</v>
      </c>
      <c r="I14" s="79">
        <v>4662</v>
      </c>
      <c r="J14" s="79">
        <v>1038</v>
      </c>
      <c r="K14" s="79">
        <v>5092</v>
      </c>
      <c r="L14" s="79">
        <v>4529</v>
      </c>
      <c r="M14" s="79">
        <v>5526</v>
      </c>
      <c r="N14" s="79">
        <v>5527</v>
      </c>
      <c r="O14" s="79">
        <v>20481</v>
      </c>
      <c r="P14" s="79">
        <v>6692</v>
      </c>
      <c r="Q14" s="79">
        <v>5637</v>
      </c>
      <c r="R14" s="79">
        <v>3911</v>
      </c>
      <c r="S14" s="79">
        <v>5297</v>
      </c>
      <c r="T14" s="79">
        <v>1557</v>
      </c>
      <c r="U14" s="79">
        <v>385</v>
      </c>
      <c r="V14" s="79">
        <v>1165</v>
      </c>
    </row>
    <row r="15" spans="1:22" x14ac:dyDescent="0.35">
      <c r="A15" s="78">
        <v>2003</v>
      </c>
      <c r="B15" s="79">
        <v>93327</v>
      </c>
      <c r="C15" s="79">
        <v>48132</v>
      </c>
      <c r="D15" s="79">
        <v>162</v>
      </c>
      <c r="E15" s="79">
        <v>42361</v>
      </c>
      <c r="F15" s="79">
        <v>1858</v>
      </c>
      <c r="G15" s="79">
        <v>4585</v>
      </c>
      <c r="H15" s="79">
        <v>15404</v>
      </c>
      <c r="I15" s="79">
        <v>4640</v>
      </c>
      <c r="J15" s="79">
        <v>1096</v>
      </c>
      <c r="K15" s="79">
        <v>5093</v>
      </c>
      <c r="L15" s="79">
        <v>4688</v>
      </c>
      <c r="M15" s="79">
        <v>5848</v>
      </c>
      <c r="N15" s="79">
        <v>5850</v>
      </c>
      <c r="O15" s="79">
        <v>22440</v>
      </c>
      <c r="P15" s="79">
        <v>7215</v>
      </c>
      <c r="Q15" s="79">
        <v>6701</v>
      </c>
      <c r="R15" s="79">
        <v>3788</v>
      </c>
      <c r="S15" s="79">
        <v>5688</v>
      </c>
      <c r="T15" s="79">
        <v>1933</v>
      </c>
      <c r="U15" s="79">
        <v>559</v>
      </c>
      <c r="V15" s="79">
        <v>1377</v>
      </c>
    </row>
    <row r="16" spans="1:22" x14ac:dyDescent="0.35">
      <c r="A16" s="78">
        <v>2004</v>
      </c>
      <c r="B16" s="79">
        <v>95685</v>
      </c>
      <c r="C16" s="79">
        <v>49477</v>
      </c>
      <c r="D16" s="79">
        <v>349</v>
      </c>
      <c r="E16" s="79">
        <v>42225</v>
      </c>
      <c r="F16" s="79">
        <v>2560</v>
      </c>
      <c r="G16" s="79">
        <v>5030</v>
      </c>
      <c r="H16" s="79">
        <v>15682</v>
      </c>
      <c r="I16" s="79">
        <v>4531</v>
      </c>
      <c r="J16" s="79">
        <v>1456</v>
      </c>
      <c r="K16" s="79">
        <v>4906</v>
      </c>
      <c r="L16" s="79">
        <v>4977</v>
      </c>
      <c r="M16" s="79">
        <v>5495</v>
      </c>
      <c r="N16" s="79">
        <v>5496</v>
      </c>
      <c r="O16" s="79">
        <v>23241</v>
      </c>
      <c r="P16" s="79">
        <v>7890</v>
      </c>
      <c r="Q16" s="79">
        <v>6834</v>
      </c>
      <c r="R16" s="79">
        <v>3724</v>
      </c>
      <c r="S16" s="79">
        <v>5753</v>
      </c>
      <c r="T16" s="79">
        <v>2090</v>
      </c>
      <c r="U16" s="79">
        <v>798</v>
      </c>
      <c r="V16" s="79">
        <v>1321</v>
      </c>
    </row>
    <row r="17" spans="1:22" x14ac:dyDescent="0.35">
      <c r="A17" s="78">
        <v>2005</v>
      </c>
      <c r="B17" s="79">
        <v>97576</v>
      </c>
      <c r="C17" s="79">
        <v>51562</v>
      </c>
      <c r="D17" s="79">
        <v>279</v>
      </c>
      <c r="E17" s="79">
        <v>43484</v>
      </c>
      <c r="F17" s="79">
        <v>3066</v>
      </c>
      <c r="G17" s="79">
        <v>5381</v>
      </c>
      <c r="H17" s="79">
        <v>15446</v>
      </c>
      <c r="I17" s="79">
        <v>4305</v>
      </c>
      <c r="J17" s="79">
        <v>1247</v>
      </c>
      <c r="K17" s="79">
        <v>5118</v>
      </c>
      <c r="L17" s="79">
        <v>4987</v>
      </c>
      <c r="M17" s="79">
        <v>5763</v>
      </c>
      <c r="N17" s="79">
        <v>5763</v>
      </c>
      <c r="O17" s="79">
        <v>23217</v>
      </c>
      <c r="P17" s="79">
        <v>7893</v>
      </c>
      <c r="Q17" s="79">
        <v>6792</v>
      </c>
      <c r="R17" s="79">
        <v>3659</v>
      </c>
      <c r="S17" s="79">
        <v>5893</v>
      </c>
      <c r="T17" s="79">
        <v>1911</v>
      </c>
      <c r="U17" s="79">
        <v>620</v>
      </c>
      <c r="V17" s="79">
        <v>1303</v>
      </c>
    </row>
    <row r="18" spans="1:22" x14ac:dyDescent="0.35">
      <c r="A18" s="78">
        <v>2006</v>
      </c>
      <c r="B18" s="79">
        <v>102663</v>
      </c>
      <c r="C18" s="79">
        <v>53480</v>
      </c>
      <c r="D18" s="79">
        <v>323</v>
      </c>
      <c r="E18" s="79">
        <v>43956</v>
      </c>
      <c r="F18" s="79">
        <v>3444</v>
      </c>
      <c r="G18" s="79">
        <v>6167</v>
      </c>
      <c r="H18" s="79">
        <v>17521</v>
      </c>
      <c r="I18" s="79">
        <v>4767</v>
      </c>
      <c r="J18" s="79">
        <v>1531</v>
      </c>
      <c r="K18" s="79">
        <v>5708</v>
      </c>
      <c r="L18" s="79">
        <v>5797</v>
      </c>
      <c r="M18" s="79">
        <v>6018</v>
      </c>
      <c r="N18" s="79">
        <v>6018</v>
      </c>
      <c r="O18" s="79">
        <v>23984</v>
      </c>
      <c r="P18" s="79">
        <v>7643</v>
      </c>
      <c r="Q18" s="79">
        <v>6954</v>
      </c>
      <c r="R18" s="79">
        <v>4633</v>
      </c>
      <c r="S18" s="79">
        <v>5697</v>
      </c>
      <c r="T18" s="79">
        <v>2125</v>
      </c>
      <c r="U18" s="79">
        <v>510</v>
      </c>
      <c r="V18" s="79">
        <v>1605</v>
      </c>
    </row>
    <row r="19" spans="1:22" x14ac:dyDescent="0.35">
      <c r="A19" s="78">
        <v>2007</v>
      </c>
      <c r="B19" s="79">
        <v>107423</v>
      </c>
      <c r="C19" s="79">
        <v>54891</v>
      </c>
      <c r="D19" s="79">
        <v>296</v>
      </c>
      <c r="E19" s="79">
        <v>45181</v>
      </c>
      <c r="F19" s="79">
        <v>3722</v>
      </c>
      <c r="G19" s="79">
        <v>6164</v>
      </c>
      <c r="H19" s="79">
        <v>18837</v>
      </c>
      <c r="I19" s="79">
        <v>5486</v>
      </c>
      <c r="J19" s="79">
        <v>1411</v>
      </c>
      <c r="K19" s="79">
        <v>5802</v>
      </c>
      <c r="L19" s="79">
        <v>6408</v>
      </c>
      <c r="M19" s="79">
        <v>6078</v>
      </c>
      <c r="N19" s="79">
        <v>6078</v>
      </c>
      <c r="O19" s="79">
        <v>26013</v>
      </c>
      <c r="P19" s="79">
        <v>7274</v>
      </c>
      <c r="Q19" s="79">
        <v>9018</v>
      </c>
      <c r="R19" s="79">
        <v>4536</v>
      </c>
      <c r="S19" s="79">
        <v>5740</v>
      </c>
      <c r="T19" s="79">
        <v>2097</v>
      </c>
      <c r="U19" s="79">
        <v>557</v>
      </c>
      <c r="V19" s="79">
        <v>1534</v>
      </c>
    </row>
    <row r="20" spans="1:22" x14ac:dyDescent="0.35">
      <c r="A20" s="78">
        <v>2008</v>
      </c>
      <c r="B20" s="79">
        <v>109316</v>
      </c>
      <c r="C20" s="79">
        <v>58491</v>
      </c>
      <c r="D20" s="79">
        <v>330</v>
      </c>
      <c r="E20" s="79">
        <v>48357</v>
      </c>
      <c r="F20" s="79">
        <v>3638</v>
      </c>
      <c r="G20" s="79">
        <v>6656</v>
      </c>
      <c r="H20" s="79">
        <v>16764</v>
      </c>
      <c r="I20" s="79">
        <v>5042</v>
      </c>
      <c r="J20" s="79">
        <v>1169</v>
      </c>
      <c r="K20" s="79">
        <v>5386</v>
      </c>
      <c r="L20" s="79">
        <v>5340</v>
      </c>
      <c r="M20" s="79">
        <v>6488</v>
      </c>
      <c r="N20" s="79">
        <v>6488</v>
      </c>
      <c r="O20" s="79">
        <v>26178</v>
      </c>
      <c r="P20" s="79">
        <v>7398</v>
      </c>
      <c r="Q20" s="79">
        <v>9551</v>
      </c>
      <c r="R20" s="79">
        <v>4326</v>
      </c>
      <c r="S20" s="79">
        <v>5220</v>
      </c>
      <c r="T20" s="79">
        <v>1700</v>
      </c>
      <c r="U20" s="79">
        <v>408</v>
      </c>
      <c r="V20" s="79">
        <v>1284</v>
      </c>
    </row>
    <row r="21" spans="1:22" x14ac:dyDescent="0.35">
      <c r="A21" s="78">
        <v>2009</v>
      </c>
      <c r="B21" s="79">
        <v>109470</v>
      </c>
      <c r="C21" s="79">
        <v>60785</v>
      </c>
      <c r="D21" s="79">
        <v>446</v>
      </c>
      <c r="E21" s="79">
        <v>50007</v>
      </c>
      <c r="F21" s="79">
        <v>3217</v>
      </c>
      <c r="G21" s="79">
        <v>7472</v>
      </c>
      <c r="H21" s="79">
        <v>15941</v>
      </c>
      <c r="I21" s="79">
        <v>6046</v>
      </c>
      <c r="J21" s="79">
        <v>1067</v>
      </c>
      <c r="K21" s="79">
        <v>4221</v>
      </c>
      <c r="L21" s="79">
        <v>4667</v>
      </c>
      <c r="M21" s="79">
        <v>6141</v>
      </c>
      <c r="N21" s="79">
        <v>6141</v>
      </c>
      <c r="O21" s="79">
        <v>25222</v>
      </c>
      <c r="P21" s="79">
        <v>6989</v>
      </c>
      <c r="Q21" s="79">
        <v>9107</v>
      </c>
      <c r="R21" s="79">
        <v>4342</v>
      </c>
      <c r="S21" s="79">
        <v>5117</v>
      </c>
      <c r="T21" s="79">
        <v>1613</v>
      </c>
      <c r="U21" s="79">
        <v>295</v>
      </c>
      <c r="V21" s="79">
        <v>1309</v>
      </c>
    </row>
    <row r="22" spans="1:22" x14ac:dyDescent="0.35">
      <c r="A22" s="78">
        <v>2010</v>
      </c>
      <c r="B22" s="79">
        <v>112812</v>
      </c>
      <c r="C22" s="79">
        <v>61091</v>
      </c>
      <c r="D22" s="79">
        <v>345</v>
      </c>
      <c r="E22" s="79">
        <v>49738</v>
      </c>
      <c r="F22" s="79">
        <v>4177</v>
      </c>
      <c r="G22" s="79">
        <v>7196</v>
      </c>
      <c r="H22" s="79">
        <v>16570</v>
      </c>
      <c r="I22" s="79">
        <v>6343</v>
      </c>
      <c r="J22" s="79">
        <v>1191</v>
      </c>
      <c r="K22" s="79">
        <v>4624</v>
      </c>
      <c r="L22" s="79">
        <v>4417</v>
      </c>
      <c r="M22" s="79">
        <v>5697</v>
      </c>
      <c r="N22" s="79">
        <v>5697</v>
      </c>
      <c r="O22" s="79">
        <v>26180</v>
      </c>
      <c r="P22" s="79">
        <v>6655</v>
      </c>
      <c r="Q22" s="79">
        <v>9388</v>
      </c>
      <c r="R22" s="79">
        <v>5273</v>
      </c>
      <c r="S22" s="79">
        <v>5070</v>
      </c>
      <c r="T22" s="79">
        <v>3283</v>
      </c>
      <c r="U22" s="79">
        <v>414</v>
      </c>
      <c r="V22" s="79">
        <v>2836</v>
      </c>
    </row>
    <row r="23" spans="1:22" x14ac:dyDescent="0.35">
      <c r="A23" s="78">
        <v>2011</v>
      </c>
      <c r="B23" s="79">
        <v>112536</v>
      </c>
      <c r="C23" s="79">
        <v>62309</v>
      </c>
      <c r="D23" s="79">
        <v>304</v>
      </c>
      <c r="E23" s="79">
        <v>50115</v>
      </c>
      <c r="F23" s="79">
        <v>4547</v>
      </c>
      <c r="G23" s="79">
        <v>7609</v>
      </c>
      <c r="H23" s="79">
        <v>15716</v>
      </c>
      <c r="I23" s="79">
        <v>4428</v>
      </c>
      <c r="J23" s="79">
        <v>1648</v>
      </c>
      <c r="K23" s="79">
        <v>5185</v>
      </c>
      <c r="L23" s="79">
        <v>4509</v>
      </c>
      <c r="M23" s="79">
        <v>5266</v>
      </c>
      <c r="N23" s="79">
        <v>5266</v>
      </c>
      <c r="O23" s="79">
        <v>25563</v>
      </c>
      <c r="P23" s="79">
        <v>6637</v>
      </c>
      <c r="Q23" s="79">
        <v>9200</v>
      </c>
      <c r="R23" s="79">
        <v>5222</v>
      </c>
      <c r="S23" s="79">
        <v>4660</v>
      </c>
      <c r="T23" s="79">
        <v>3642</v>
      </c>
      <c r="U23" s="79">
        <v>619</v>
      </c>
      <c r="V23" s="79">
        <v>2995</v>
      </c>
    </row>
    <row r="24" spans="1:22" x14ac:dyDescent="0.35">
      <c r="A24" s="78">
        <v>2012</v>
      </c>
      <c r="B24" s="79">
        <v>115680</v>
      </c>
      <c r="C24" s="79">
        <v>64249</v>
      </c>
      <c r="D24" s="79">
        <v>241</v>
      </c>
      <c r="E24" s="79">
        <v>50666</v>
      </c>
      <c r="F24" s="79">
        <v>4832</v>
      </c>
      <c r="G24" s="79">
        <v>8627</v>
      </c>
      <c r="H24" s="79">
        <v>16768</v>
      </c>
      <c r="I24" s="79">
        <v>4795</v>
      </c>
      <c r="J24" s="79">
        <v>1425</v>
      </c>
      <c r="K24" s="79">
        <v>5714</v>
      </c>
      <c r="L24" s="79">
        <v>4874</v>
      </c>
      <c r="M24" s="79">
        <v>5795</v>
      </c>
      <c r="N24" s="79">
        <v>5795</v>
      </c>
      <c r="O24" s="79">
        <v>25075</v>
      </c>
      <c r="P24" s="79">
        <v>6700</v>
      </c>
      <c r="Q24" s="79">
        <v>8534</v>
      </c>
      <c r="R24" s="79">
        <v>5357</v>
      </c>
      <c r="S24" s="79">
        <v>4747</v>
      </c>
      <c r="T24" s="79">
        <v>3726</v>
      </c>
      <c r="U24" s="79">
        <v>738</v>
      </c>
      <c r="V24" s="79">
        <v>2961</v>
      </c>
    </row>
    <row r="25" spans="1:22" x14ac:dyDescent="0.35">
      <c r="A25" s="78">
        <v>2013</v>
      </c>
      <c r="B25" s="79">
        <v>120686</v>
      </c>
      <c r="C25" s="79">
        <v>67097</v>
      </c>
      <c r="D25" s="79">
        <v>538</v>
      </c>
      <c r="E25" s="79">
        <v>52525</v>
      </c>
      <c r="F25" s="79">
        <v>5085</v>
      </c>
      <c r="G25" s="79">
        <v>9041</v>
      </c>
      <c r="H25" s="79">
        <v>17496</v>
      </c>
      <c r="I25" s="79">
        <v>5080</v>
      </c>
      <c r="J25" s="79">
        <v>1555</v>
      </c>
      <c r="K25" s="79">
        <v>6014</v>
      </c>
      <c r="L25" s="79">
        <v>4886</v>
      </c>
      <c r="M25" s="79">
        <v>6145</v>
      </c>
      <c r="N25" s="79">
        <v>6145</v>
      </c>
      <c r="O25" s="79">
        <v>25024</v>
      </c>
      <c r="P25" s="79">
        <v>6923</v>
      </c>
      <c r="Q25" s="79">
        <v>8781</v>
      </c>
      <c r="R25" s="79">
        <v>4975</v>
      </c>
      <c r="S25" s="79">
        <v>4569</v>
      </c>
      <c r="T25" s="79">
        <v>4755</v>
      </c>
      <c r="U25" s="79">
        <v>1053</v>
      </c>
      <c r="V25" s="79">
        <v>3668</v>
      </c>
    </row>
    <row r="26" spans="1:22" x14ac:dyDescent="0.35">
      <c r="A26" s="78">
        <v>2014</v>
      </c>
      <c r="B26" s="79">
        <v>122042</v>
      </c>
      <c r="C26" s="79">
        <v>69010</v>
      </c>
      <c r="D26" s="79">
        <v>290</v>
      </c>
      <c r="E26" s="79">
        <v>53920</v>
      </c>
      <c r="F26" s="79">
        <v>5321</v>
      </c>
      <c r="G26" s="79">
        <v>9548</v>
      </c>
      <c r="H26" s="79">
        <v>17604</v>
      </c>
      <c r="I26" s="79">
        <v>5511</v>
      </c>
      <c r="J26" s="79">
        <v>2047</v>
      </c>
      <c r="K26" s="79">
        <v>5664</v>
      </c>
      <c r="L26" s="79">
        <v>4437</v>
      </c>
      <c r="M26" s="79">
        <v>5984</v>
      </c>
      <c r="N26" s="79">
        <v>5984</v>
      </c>
      <c r="O26" s="79">
        <v>24910</v>
      </c>
      <c r="P26" s="79">
        <v>6789</v>
      </c>
      <c r="Q26" s="79">
        <v>8720</v>
      </c>
      <c r="R26" s="79">
        <v>5278</v>
      </c>
      <c r="S26" s="79">
        <v>4291</v>
      </c>
      <c r="T26" s="79">
        <v>4370</v>
      </c>
      <c r="U26" s="79">
        <v>1052</v>
      </c>
      <c r="V26" s="79">
        <v>3289</v>
      </c>
    </row>
    <row r="27" spans="1:22" x14ac:dyDescent="0.35">
      <c r="A27" s="78">
        <v>2015</v>
      </c>
      <c r="B27" s="79">
        <v>129085</v>
      </c>
      <c r="C27" s="79">
        <v>72324</v>
      </c>
      <c r="D27" s="79">
        <v>56</v>
      </c>
      <c r="E27" s="79">
        <v>56444</v>
      </c>
      <c r="F27" s="79">
        <v>5628</v>
      </c>
      <c r="G27" s="79">
        <v>10245</v>
      </c>
      <c r="H27" s="79">
        <v>18702</v>
      </c>
      <c r="I27" s="79">
        <v>6351</v>
      </c>
      <c r="J27" s="79">
        <v>1969</v>
      </c>
      <c r="K27" s="79">
        <v>5738</v>
      </c>
      <c r="L27" s="79">
        <v>4703</v>
      </c>
      <c r="M27" s="79">
        <v>6108</v>
      </c>
      <c r="N27" s="79">
        <v>6108</v>
      </c>
      <c r="O27" s="79">
        <v>27368</v>
      </c>
      <c r="P27" s="79">
        <v>7934</v>
      </c>
      <c r="Q27" s="79">
        <v>9830</v>
      </c>
      <c r="R27" s="79">
        <v>5249</v>
      </c>
      <c r="S27" s="79">
        <v>4538</v>
      </c>
      <c r="T27" s="79">
        <v>4445</v>
      </c>
      <c r="U27" s="79">
        <v>1006</v>
      </c>
      <c r="V27" s="79">
        <v>3407</v>
      </c>
    </row>
    <row r="28" spans="1:22" x14ac:dyDescent="0.35">
      <c r="A28" s="78">
        <v>2016</v>
      </c>
      <c r="B28" s="79">
        <v>133938</v>
      </c>
      <c r="C28" s="79">
        <v>73637</v>
      </c>
      <c r="D28" s="79">
        <v>128</v>
      </c>
      <c r="E28" s="79">
        <v>58015</v>
      </c>
      <c r="F28" s="79">
        <v>5504</v>
      </c>
      <c r="G28" s="79">
        <v>10095</v>
      </c>
      <c r="H28" s="79">
        <v>20833</v>
      </c>
      <c r="I28" s="79">
        <v>7372</v>
      </c>
      <c r="J28" s="79">
        <v>1710</v>
      </c>
      <c r="K28" s="79">
        <v>6536</v>
      </c>
      <c r="L28" s="79">
        <v>5241</v>
      </c>
      <c r="M28" s="79">
        <v>6791</v>
      </c>
      <c r="N28" s="79">
        <v>6790</v>
      </c>
      <c r="O28" s="79">
        <v>28124</v>
      </c>
      <c r="P28" s="79">
        <v>7819</v>
      </c>
      <c r="Q28" s="79">
        <v>9606</v>
      </c>
      <c r="R28" s="79">
        <v>6456</v>
      </c>
      <c r="S28" s="79">
        <v>4405</v>
      </c>
      <c r="T28" s="79">
        <v>4413</v>
      </c>
      <c r="U28" s="79">
        <v>1247</v>
      </c>
      <c r="V28" s="79">
        <v>3151</v>
      </c>
    </row>
    <row r="29" spans="1:22" x14ac:dyDescent="0.35">
      <c r="A29" s="78">
        <v>2017</v>
      </c>
      <c r="B29" s="79">
        <v>141469</v>
      </c>
      <c r="C29" s="79">
        <v>74622</v>
      </c>
      <c r="D29" s="79">
        <v>249</v>
      </c>
      <c r="E29" s="79">
        <v>58392</v>
      </c>
      <c r="F29" s="79">
        <v>5224</v>
      </c>
      <c r="G29" s="79">
        <v>10805</v>
      </c>
      <c r="H29" s="79">
        <v>22865</v>
      </c>
      <c r="I29" s="79">
        <v>8600</v>
      </c>
      <c r="J29" s="79">
        <v>1768</v>
      </c>
      <c r="K29" s="79">
        <v>6979</v>
      </c>
      <c r="L29" s="79">
        <v>5550</v>
      </c>
      <c r="M29" s="79">
        <v>6561</v>
      </c>
      <c r="N29" s="79">
        <v>6561</v>
      </c>
      <c r="O29" s="79">
        <v>32411</v>
      </c>
      <c r="P29" s="79">
        <v>6450</v>
      </c>
      <c r="Q29" s="79">
        <v>13392</v>
      </c>
      <c r="R29" s="79">
        <v>7796</v>
      </c>
      <c r="S29" s="79">
        <v>4688</v>
      </c>
      <c r="T29" s="79">
        <v>4915</v>
      </c>
      <c r="U29" s="79">
        <v>1045</v>
      </c>
      <c r="V29" s="79">
        <v>3834</v>
      </c>
    </row>
    <row r="30" spans="1:22" x14ac:dyDescent="0.35">
      <c r="A30" s="78">
        <v>2018</v>
      </c>
      <c r="B30" s="79">
        <v>141480</v>
      </c>
      <c r="C30" s="79">
        <v>75355</v>
      </c>
      <c r="D30" s="79">
        <v>64</v>
      </c>
      <c r="E30" s="79">
        <v>58108</v>
      </c>
      <c r="F30" s="79">
        <v>5886</v>
      </c>
      <c r="G30" s="79">
        <v>11294</v>
      </c>
      <c r="H30" s="79">
        <v>22869</v>
      </c>
      <c r="I30" s="79">
        <v>7757</v>
      </c>
      <c r="J30" s="79">
        <v>1557</v>
      </c>
      <c r="K30" s="79">
        <v>7349</v>
      </c>
      <c r="L30" s="79">
        <v>6206</v>
      </c>
      <c r="M30" s="79">
        <v>6121</v>
      </c>
      <c r="N30" s="79">
        <v>6121</v>
      </c>
      <c r="O30" s="79">
        <v>31935</v>
      </c>
      <c r="P30" s="79">
        <v>7529</v>
      </c>
      <c r="Q30" s="79">
        <v>13238</v>
      </c>
      <c r="R30" s="79">
        <v>6592</v>
      </c>
      <c r="S30" s="79">
        <v>4524</v>
      </c>
      <c r="T30" s="79">
        <v>5056</v>
      </c>
      <c r="U30" s="79">
        <v>1212</v>
      </c>
      <c r="V30" s="79">
        <v>3816</v>
      </c>
    </row>
    <row r="31" spans="1:22" x14ac:dyDescent="0.35">
      <c r="A31" s="78">
        <v>2019</v>
      </c>
      <c r="B31" s="79">
        <v>149445</v>
      </c>
      <c r="C31" s="79">
        <v>78538</v>
      </c>
      <c r="D31" s="79">
        <v>430</v>
      </c>
      <c r="E31" s="79">
        <v>59031</v>
      </c>
      <c r="F31" s="79">
        <v>7725</v>
      </c>
      <c r="G31" s="79">
        <v>11334</v>
      </c>
      <c r="H31" s="79">
        <v>23986</v>
      </c>
      <c r="I31" s="79">
        <v>7798</v>
      </c>
      <c r="J31" s="79">
        <v>2275</v>
      </c>
      <c r="K31" s="79">
        <v>7842</v>
      </c>
      <c r="L31" s="79">
        <v>6078</v>
      </c>
      <c r="M31" s="79">
        <v>5936</v>
      </c>
      <c r="N31" s="79">
        <v>5936</v>
      </c>
      <c r="O31" s="79">
        <v>35167</v>
      </c>
      <c r="P31" s="79">
        <v>6602</v>
      </c>
      <c r="Q31" s="79">
        <v>13118</v>
      </c>
      <c r="R31" s="79">
        <v>10685</v>
      </c>
      <c r="S31" s="79">
        <v>4763</v>
      </c>
      <c r="T31" s="79">
        <v>5679</v>
      </c>
      <c r="U31" s="79">
        <v>1751</v>
      </c>
      <c r="V31" s="79">
        <v>3925</v>
      </c>
    </row>
    <row r="32" spans="1:22" x14ac:dyDescent="0.35">
      <c r="A32" s="78">
        <v>2020</v>
      </c>
      <c r="B32" s="79">
        <v>128947</v>
      </c>
      <c r="C32" s="79">
        <v>62764</v>
      </c>
      <c r="D32" s="79">
        <v>517</v>
      </c>
      <c r="E32" s="79">
        <v>47354</v>
      </c>
      <c r="F32" s="79">
        <v>6077</v>
      </c>
      <c r="G32" s="79">
        <v>8815</v>
      </c>
      <c r="H32" s="79">
        <v>24458</v>
      </c>
      <c r="I32" s="79">
        <v>8332</v>
      </c>
      <c r="J32" s="79">
        <v>2131</v>
      </c>
      <c r="K32" s="79">
        <v>7542</v>
      </c>
      <c r="L32" s="79">
        <v>6452</v>
      </c>
      <c r="M32" s="79">
        <v>4598</v>
      </c>
      <c r="N32" s="79">
        <v>4597</v>
      </c>
      <c r="O32" s="79">
        <v>33262</v>
      </c>
      <c r="P32" s="79">
        <v>5495</v>
      </c>
      <c r="Q32" s="79">
        <v>12687</v>
      </c>
      <c r="R32" s="79">
        <v>10501</v>
      </c>
      <c r="S32" s="79">
        <v>4571</v>
      </c>
      <c r="T32" s="79">
        <v>3726</v>
      </c>
      <c r="U32" s="79">
        <v>1336</v>
      </c>
      <c r="V32" s="79">
        <v>2402</v>
      </c>
    </row>
    <row r="33" spans="1:22" x14ac:dyDescent="0.35">
      <c r="A33" s="78">
        <v>2021</v>
      </c>
      <c r="B33" s="79">
        <v>143184</v>
      </c>
      <c r="C33" s="79">
        <v>71406</v>
      </c>
      <c r="D33" s="79">
        <v>503</v>
      </c>
      <c r="E33" s="79">
        <v>54835</v>
      </c>
      <c r="F33" s="79">
        <v>6333</v>
      </c>
      <c r="G33" s="79">
        <v>9765</v>
      </c>
      <c r="H33" s="79">
        <v>27337</v>
      </c>
      <c r="I33" s="79">
        <v>8690</v>
      </c>
      <c r="J33" s="79">
        <v>2308</v>
      </c>
      <c r="K33" s="79">
        <v>7984</v>
      </c>
      <c r="L33" s="79">
        <v>8320</v>
      </c>
      <c r="M33" s="79">
        <v>4977</v>
      </c>
      <c r="N33" s="79">
        <v>4977</v>
      </c>
      <c r="O33" s="79">
        <v>35278</v>
      </c>
      <c r="P33" s="79">
        <v>5737</v>
      </c>
      <c r="Q33" s="79">
        <v>12962</v>
      </c>
      <c r="R33" s="79">
        <v>11756</v>
      </c>
      <c r="S33" s="79">
        <v>4845</v>
      </c>
      <c r="T33" s="79">
        <v>4069</v>
      </c>
      <c r="U33" s="79">
        <v>1487</v>
      </c>
      <c r="V33" s="79">
        <v>2595</v>
      </c>
    </row>
    <row r="34" spans="1:22" x14ac:dyDescent="0.35">
      <c r="A34" s="78">
        <v>2022</v>
      </c>
      <c r="B34" s="79">
        <v>156886</v>
      </c>
      <c r="C34" s="79">
        <v>81364</v>
      </c>
      <c r="D34" s="79">
        <v>684</v>
      </c>
      <c r="E34" s="79">
        <v>61312</v>
      </c>
      <c r="F34" s="79">
        <v>7484</v>
      </c>
      <c r="G34" s="79">
        <v>11876</v>
      </c>
      <c r="H34" s="79">
        <v>26042</v>
      </c>
      <c r="I34" s="79">
        <v>7303</v>
      </c>
      <c r="J34" s="79">
        <v>1878</v>
      </c>
      <c r="K34" s="79">
        <v>8980</v>
      </c>
      <c r="L34" s="79">
        <v>7864</v>
      </c>
      <c r="M34" s="79">
        <v>5296</v>
      </c>
      <c r="N34" s="79">
        <v>5296</v>
      </c>
      <c r="O34" s="79">
        <v>37686</v>
      </c>
      <c r="P34" s="79">
        <v>6741</v>
      </c>
      <c r="Q34" s="79">
        <v>13978</v>
      </c>
      <c r="R34" s="79">
        <v>12254</v>
      </c>
      <c r="S34" s="79">
        <v>4704</v>
      </c>
      <c r="T34" s="79">
        <v>6396</v>
      </c>
      <c r="U34" s="79">
        <v>1471</v>
      </c>
      <c r="V34" s="79">
        <v>4920</v>
      </c>
    </row>
    <row r="35" spans="1:22" x14ac:dyDescent="0.35">
      <c r="A35" s="78">
        <v>2023</v>
      </c>
      <c r="B35" s="79">
        <v>147699</v>
      </c>
      <c r="C35" s="79">
        <v>79065</v>
      </c>
      <c r="D35" s="79">
        <v>536</v>
      </c>
      <c r="E35" s="79">
        <v>59767</v>
      </c>
      <c r="F35" s="79">
        <v>7188</v>
      </c>
      <c r="G35" s="79">
        <v>11574</v>
      </c>
      <c r="H35" s="79">
        <v>23735</v>
      </c>
      <c r="I35" s="79">
        <v>6918</v>
      </c>
      <c r="J35" s="79">
        <v>2090</v>
      </c>
      <c r="K35" s="79">
        <v>7423</v>
      </c>
      <c r="L35" s="79">
        <v>7304</v>
      </c>
      <c r="M35" s="79">
        <v>5707</v>
      </c>
      <c r="N35" s="79">
        <v>5707</v>
      </c>
      <c r="O35" s="79">
        <v>33137</v>
      </c>
      <c r="P35" s="79">
        <v>6142</v>
      </c>
      <c r="Q35" s="79">
        <v>11870</v>
      </c>
      <c r="R35" s="79">
        <v>10911</v>
      </c>
      <c r="S35" s="79">
        <v>4214</v>
      </c>
      <c r="T35" s="79">
        <v>6055</v>
      </c>
      <c r="U35" s="79">
        <v>1466</v>
      </c>
      <c r="V35" s="79">
        <v>4589</v>
      </c>
    </row>
    <row r="36" spans="1:22" x14ac:dyDescent="0.35">
      <c r="A36" s="78">
        <v>2024</v>
      </c>
      <c r="B36" s="79">
        <v>145946</v>
      </c>
      <c r="C36" s="79">
        <v>75706</v>
      </c>
      <c r="D36" s="79">
        <v>541</v>
      </c>
      <c r="E36" s="79">
        <v>56428</v>
      </c>
      <c r="F36" s="79">
        <v>7090</v>
      </c>
      <c r="G36" s="79">
        <v>11647</v>
      </c>
      <c r="H36" s="79">
        <v>23523</v>
      </c>
      <c r="I36" s="79">
        <v>6410</v>
      </c>
      <c r="J36" s="79">
        <v>2940</v>
      </c>
      <c r="K36" s="79">
        <v>7363</v>
      </c>
      <c r="L36" s="79">
        <v>6810</v>
      </c>
      <c r="M36" s="79">
        <v>5663</v>
      </c>
      <c r="N36" s="79">
        <v>5663</v>
      </c>
      <c r="O36" s="79">
        <v>34675</v>
      </c>
      <c r="P36" s="79">
        <v>6214</v>
      </c>
      <c r="Q36" s="79">
        <v>13119</v>
      </c>
      <c r="R36" s="79">
        <v>11353</v>
      </c>
      <c r="S36" s="79">
        <v>3989</v>
      </c>
      <c r="T36" s="79">
        <v>6379</v>
      </c>
      <c r="U36" s="79">
        <v>1554</v>
      </c>
      <c r="V36" s="79">
        <v>4825</v>
      </c>
    </row>
    <row r="37" spans="1:22" x14ac:dyDescent="0.35">
      <c r="A37" s="78">
        <v>2025</v>
      </c>
      <c r="B37" s="79">
        <v>149094</v>
      </c>
      <c r="C37" s="79">
        <v>78565</v>
      </c>
      <c r="D37" s="79">
        <v>493</v>
      </c>
      <c r="E37" s="79">
        <v>58674</v>
      </c>
      <c r="F37" s="79">
        <v>7451</v>
      </c>
      <c r="G37" s="79">
        <v>11947</v>
      </c>
      <c r="H37" s="79">
        <v>23426</v>
      </c>
      <c r="I37" s="79">
        <v>6477</v>
      </c>
      <c r="J37" s="79">
        <v>2534</v>
      </c>
      <c r="K37" s="79">
        <v>7785</v>
      </c>
      <c r="L37" s="79">
        <v>6630</v>
      </c>
      <c r="M37" s="79">
        <v>5267</v>
      </c>
      <c r="N37" s="79">
        <v>5267</v>
      </c>
      <c r="O37" s="79">
        <v>35596</v>
      </c>
      <c r="P37" s="79">
        <v>6309</v>
      </c>
      <c r="Q37" s="79">
        <v>13868</v>
      </c>
      <c r="R37" s="79">
        <v>11487</v>
      </c>
      <c r="S37" s="79">
        <v>3932</v>
      </c>
      <c r="T37" s="79">
        <v>6240</v>
      </c>
      <c r="U37" s="79">
        <v>1193</v>
      </c>
      <c r="V37" s="79">
        <v>5047</v>
      </c>
    </row>
    <row r="38" spans="1:22" ht="15.65" customHeight="1" x14ac:dyDescent="0.35">
      <c r="A38" s="81" t="s">
        <v>811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</row>
    <row r="39" spans="1:22" ht="79.900000000000006" customHeight="1" x14ac:dyDescent="0.4">
      <c r="A39" s="69" t="s">
        <v>812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</row>
    <row r="40" spans="1:22" ht="93" x14ac:dyDescent="0.35">
      <c r="A40" s="96" t="s">
        <v>304</v>
      </c>
      <c r="B40" s="97" t="s">
        <v>753</v>
      </c>
      <c r="C40" s="97" t="s">
        <v>306</v>
      </c>
      <c r="D40" s="98" t="s">
        <v>754</v>
      </c>
      <c r="E40" s="98" t="s">
        <v>755</v>
      </c>
      <c r="F40" s="98" t="s">
        <v>756</v>
      </c>
      <c r="G40" s="98" t="s">
        <v>757</v>
      </c>
      <c r="H40" s="97" t="s">
        <v>645</v>
      </c>
      <c r="I40" s="97" t="s">
        <v>758</v>
      </c>
      <c r="J40" s="98" t="s">
        <v>759</v>
      </c>
      <c r="K40" s="98" t="s">
        <v>760</v>
      </c>
      <c r="L40" s="98" t="s">
        <v>761</v>
      </c>
      <c r="M40" s="97" t="s">
        <v>330</v>
      </c>
      <c r="N40" s="98" t="s">
        <v>762</v>
      </c>
      <c r="O40" s="97" t="s">
        <v>342</v>
      </c>
      <c r="P40" s="98" t="s">
        <v>763</v>
      </c>
      <c r="Q40" s="98" t="s">
        <v>764</v>
      </c>
      <c r="R40" s="98" t="s">
        <v>765</v>
      </c>
      <c r="S40" s="98" t="s">
        <v>766</v>
      </c>
      <c r="T40" s="97" t="s">
        <v>357</v>
      </c>
      <c r="U40" s="98" t="s">
        <v>767</v>
      </c>
      <c r="V40" s="98" t="s">
        <v>768</v>
      </c>
    </row>
    <row r="41" spans="1:22" ht="31" x14ac:dyDescent="0.35">
      <c r="A41" s="72" t="s">
        <v>371</v>
      </c>
      <c r="B41" s="75" t="s">
        <v>769</v>
      </c>
      <c r="C41" s="75" t="s">
        <v>770</v>
      </c>
      <c r="D41" s="76" t="s">
        <v>771</v>
      </c>
      <c r="E41" s="76" t="s">
        <v>772</v>
      </c>
      <c r="F41" s="76" t="s">
        <v>773</v>
      </c>
      <c r="G41" s="76" t="s">
        <v>774</v>
      </c>
      <c r="H41" s="75" t="s">
        <v>775</v>
      </c>
      <c r="I41" s="77" t="s">
        <v>776</v>
      </c>
      <c r="J41" s="76" t="s">
        <v>777</v>
      </c>
      <c r="K41" s="77" t="s">
        <v>778</v>
      </c>
      <c r="L41" s="76" t="s">
        <v>779</v>
      </c>
      <c r="M41" s="75" t="s">
        <v>780</v>
      </c>
      <c r="N41" s="76" t="s">
        <v>781</v>
      </c>
      <c r="O41" s="75" t="s">
        <v>782</v>
      </c>
      <c r="P41" s="76" t="s">
        <v>783</v>
      </c>
      <c r="Q41" s="76" t="s">
        <v>784</v>
      </c>
      <c r="R41" s="76" t="s">
        <v>785</v>
      </c>
      <c r="S41" s="76" t="s">
        <v>786</v>
      </c>
      <c r="T41" s="75" t="s">
        <v>787</v>
      </c>
      <c r="U41" s="76" t="s">
        <v>788</v>
      </c>
      <c r="V41" s="76" t="s">
        <v>789</v>
      </c>
    </row>
    <row r="42" spans="1:22" x14ac:dyDescent="0.35">
      <c r="A42" s="72" t="s">
        <v>429</v>
      </c>
      <c r="B42" s="75" t="s">
        <v>790</v>
      </c>
      <c r="C42" s="75" t="s">
        <v>791</v>
      </c>
      <c r="D42" s="75" t="s">
        <v>792</v>
      </c>
      <c r="E42" s="75" t="s">
        <v>793</v>
      </c>
      <c r="F42" s="75" t="s">
        <v>794</v>
      </c>
      <c r="G42" s="75" t="s">
        <v>795</v>
      </c>
      <c r="H42" s="75" t="s">
        <v>796</v>
      </c>
      <c r="I42" s="75" t="s">
        <v>797</v>
      </c>
      <c r="J42" s="75" t="s">
        <v>798</v>
      </c>
      <c r="K42" s="75" t="s">
        <v>799</v>
      </c>
      <c r="L42" s="75" t="s">
        <v>800</v>
      </c>
      <c r="M42" s="75" t="s">
        <v>801</v>
      </c>
      <c r="N42" s="75" t="s">
        <v>802</v>
      </c>
      <c r="O42" s="75" t="s">
        <v>803</v>
      </c>
      <c r="P42" s="75" t="s">
        <v>804</v>
      </c>
      <c r="Q42" s="75" t="s">
        <v>805</v>
      </c>
      <c r="R42" s="75" t="s">
        <v>806</v>
      </c>
      <c r="S42" s="75" t="s">
        <v>807</v>
      </c>
      <c r="T42" s="75" t="s">
        <v>808</v>
      </c>
      <c r="U42" s="75" t="s">
        <v>809</v>
      </c>
      <c r="V42" s="75" t="s">
        <v>810</v>
      </c>
    </row>
    <row r="43" spans="1:22" x14ac:dyDescent="0.35">
      <c r="A43" s="78" t="s">
        <v>499</v>
      </c>
      <c r="B43" s="79">
        <v>14076</v>
      </c>
      <c r="C43" s="79">
        <v>7178</v>
      </c>
      <c r="D43" s="79">
        <v>46</v>
      </c>
      <c r="E43" s="79">
        <v>6083</v>
      </c>
      <c r="F43" s="79">
        <v>408</v>
      </c>
      <c r="G43" s="79">
        <v>736</v>
      </c>
      <c r="H43" s="79">
        <v>2701</v>
      </c>
      <c r="I43" s="79">
        <v>880</v>
      </c>
      <c r="J43" s="79">
        <v>176</v>
      </c>
      <c r="K43" s="79">
        <v>911</v>
      </c>
      <c r="L43" s="79">
        <v>729</v>
      </c>
      <c r="M43" s="79">
        <v>1240</v>
      </c>
      <c r="N43" s="79">
        <v>1241</v>
      </c>
      <c r="O43" s="79">
        <v>3021</v>
      </c>
      <c r="P43" s="79">
        <v>989</v>
      </c>
      <c r="Q43" s="79">
        <v>638</v>
      </c>
      <c r="R43" s="79">
        <v>791</v>
      </c>
      <c r="S43" s="79">
        <v>887</v>
      </c>
      <c r="T43" s="79">
        <v>170</v>
      </c>
      <c r="U43" s="79">
        <v>62</v>
      </c>
      <c r="V43" s="79">
        <v>115</v>
      </c>
    </row>
    <row r="44" spans="1:22" x14ac:dyDescent="0.35">
      <c r="A44" s="78" t="s">
        <v>500</v>
      </c>
      <c r="B44" s="79">
        <v>14532</v>
      </c>
      <c r="C44" s="79">
        <v>7430</v>
      </c>
      <c r="D44" s="79">
        <v>39</v>
      </c>
      <c r="E44" s="79">
        <v>6378</v>
      </c>
      <c r="F44" s="79">
        <v>372</v>
      </c>
      <c r="G44" s="79">
        <v>746</v>
      </c>
      <c r="H44" s="79">
        <v>2672</v>
      </c>
      <c r="I44" s="79">
        <v>853</v>
      </c>
      <c r="J44" s="79">
        <v>183</v>
      </c>
      <c r="K44" s="79">
        <v>886</v>
      </c>
      <c r="L44" s="79">
        <v>752</v>
      </c>
      <c r="M44" s="79">
        <v>1462</v>
      </c>
      <c r="N44" s="79">
        <v>1463</v>
      </c>
      <c r="O44" s="79">
        <v>3060</v>
      </c>
      <c r="P44" s="79">
        <v>999</v>
      </c>
      <c r="Q44" s="79">
        <v>620</v>
      </c>
      <c r="R44" s="79">
        <v>812</v>
      </c>
      <c r="S44" s="79">
        <v>966</v>
      </c>
      <c r="T44" s="79">
        <v>215</v>
      </c>
      <c r="U44" s="79">
        <v>61</v>
      </c>
      <c r="V44" s="79">
        <v>156</v>
      </c>
    </row>
    <row r="45" spans="1:22" x14ac:dyDescent="0.35">
      <c r="A45" s="78" t="s">
        <v>501</v>
      </c>
      <c r="B45" s="79">
        <v>14654</v>
      </c>
      <c r="C45" s="79">
        <v>7587</v>
      </c>
      <c r="D45" s="79">
        <v>38</v>
      </c>
      <c r="E45" s="79">
        <v>6621</v>
      </c>
      <c r="F45" s="79">
        <v>345</v>
      </c>
      <c r="G45" s="79">
        <v>718</v>
      </c>
      <c r="H45" s="79">
        <v>2692</v>
      </c>
      <c r="I45" s="79">
        <v>829</v>
      </c>
      <c r="J45" s="79">
        <v>183</v>
      </c>
      <c r="K45" s="79">
        <v>898</v>
      </c>
      <c r="L45" s="79">
        <v>794</v>
      </c>
      <c r="M45" s="79">
        <v>1499</v>
      </c>
      <c r="N45" s="79">
        <v>1500</v>
      </c>
      <c r="O45" s="79">
        <v>2983</v>
      </c>
      <c r="P45" s="79">
        <v>999</v>
      </c>
      <c r="Q45" s="79">
        <v>581</v>
      </c>
      <c r="R45" s="79">
        <v>825</v>
      </c>
      <c r="S45" s="79">
        <v>885</v>
      </c>
      <c r="T45" s="79">
        <v>226</v>
      </c>
      <c r="U45" s="79">
        <v>60</v>
      </c>
      <c r="V45" s="79">
        <v>167</v>
      </c>
    </row>
    <row r="46" spans="1:22" x14ac:dyDescent="0.35">
      <c r="A46" s="78" t="s">
        <v>502</v>
      </c>
      <c r="B46" s="79">
        <v>15179</v>
      </c>
      <c r="C46" s="79">
        <v>7914</v>
      </c>
      <c r="D46" s="79">
        <v>45</v>
      </c>
      <c r="E46" s="79">
        <v>6912</v>
      </c>
      <c r="F46" s="79">
        <v>322</v>
      </c>
      <c r="G46" s="79">
        <v>764</v>
      </c>
      <c r="H46" s="79">
        <v>2833</v>
      </c>
      <c r="I46" s="79">
        <v>856</v>
      </c>
      <c r="J46" s="79">
        <v>184</v>
      </c>
      <c r="K46" s="79">
        <v>970</v>
      </c>
      <c r="L46" s="79">
        <v>842</v>
      </c>
      <c r="M46" s="79">
        <v>1404</v>
      </c>
      <c r="N46" s="79">
        <v>1403</v>
      </c>
      <c r="O46" s="79">
        <v>3089</v>
      </c>
      <c r="P46" s="79">
        <v>1035</v>
      </c>
      <c r="Q46" s="79">
        <v>605</v>
      </c>
      <c r="R46" s="79">
        <v>853</v>
      </c>
      <c r="S46" s="79">
        <v>909</v>
      </c>
      <c r="T46" s="79">
        <v>231</v>
      </c>
      <c r="U46" s="79">
        <v>58</v>
      </c>
      <c r="V46" s="79">
        <v>173</v>
      </c>
    </row>
    <row r="47" spans="1:22" x14ac:dyDescent="0.35">
      <c r="A47" s="78" t="s">
        <v>503</v>
      </c>
      <c r="B47" s="79">
        <v>15444</v>
      </c>
      <c r="C47" s="79">
        <v>7907</v>
      </c>
      <c r="D47" s="79">
        <v>36</v>
      </c>
      <c r="E47" s="79">
        <v>6936</v>
      </c>
      <c r="F47" s="79">
        <v>339</v>
      </c>
      <c r="G47" s="79">
        <v>741</v>
      </c>
      <c r="H47" s="79">
        <v>2957</v>
      </c>
      <c r="I47" s="79">
        <v>906</v>
      </c>
      <c r="J47" s="79">
        <v>180</v>
      </c>
      <c r="K47" s="79">
        <v>1024</v>
      </c>
      <c r="L47" s="79">
        <v>860</v>
      </c>
      <c r="M47" s="79">
        <v>1434</v>
      </c>
      <c r="N47" s="79">
        <v>1435</v>
      </c>
      <c r="O47" s="79">
        <v>3204</v>
      </c>
      <c r="P47" s="79">
        <v>1076</v>
      </c>
      <c r="Q47" s="79">
        <v>673</v>
      </c>
      <c r="R47" s="79">
        <v>838</v>
      </c>
      <c r="S47" s="79">
        <v>895</v>
      </c>
      <c r="T47" s="79">
        <v>240</v>
      </c>
      <c r="U47" s="79">
        <v>57</v>
      </c>
      <c r="V47" s="79">
        <v>181</v>
      </c>
    </row>
    <row r="48" spans="1:22" x14ac:dyDescent="0.35">
      <c r="A48" s="78" t="s">
        <v>504</v>
      </c>
      <c r="B48" s="79">
        <v>15961</v>
      </c>
      <c r="C48" s="79">
        <v>7999</v>
      </c>
      <c r="D48" s="79">
        <v>35</v>
      </c>
      <c r="E48" s="79">
        <v>7007</v>
      </c>
      <c r="F48" s="79">
        <v>328</v>
      </c>
      <c r="G48" s="79">
        <v>766</v>
      </c>
      <c r="H48" s="79">
        <v>3098</v>
      </c>
      <c r="I48" s="79">
        <v>928</v>
      </c>
      <c r="J48" s="79">
        <v>182</v>
      </c>
      <c r="K48" s="79">
        <v>1100</v>
      </c>
      <c r="L48" s="79">
        <v>908</v>
      </c>
      <c r="M48" s="79">
        <v>1696</v>
      </c>
      <c r="N48" s="79">
        <v>1696</v>
      </c>
      <c r="O48" s="79">
        <v>3318</v>
      </c>
      <c r="P48" s="79">
        <v>1154</v>
      </c>
      <c r="Q48" s="79">
        <v>713</v>
      </c>
      <c r="R48" s="79">
        <v>802</v>
      </c>
      <c r="S48" s="79">
        <v>938</v>
      </c>
      <c r="T48" s="79">
        <v>238</v>
      </c>
      <c r="U48" s="79">
        <v>56</v>
      </c>
      <c r="V48" s="79">
        <v>180</v>
      </c>
    </row>
    <row r="49" spans="1:22" x14ac:dyDescent="0.35">
      <c r="A49" s="78" t="s">
        <v>505</v>
      </c>
      <c r="B49" s="79">
        <v>16326</v>
      </c>
      <c r="C49" s="79">
        <v>8116</v>
      </c>
      <c r="D49" s="79">
        <v>38</v>
      </c>
      <c r="E49" s="79">
        <v>7097</v>
      </c>
      <c r="F49" s="79">
        <v>324</v>
      </c>
      <c r="G49" s="79">
        <v>788</v>
      </c>
      <c r="H49" s="79">
        <v>3178</v>
      </c>
      <c r="I49" s="79">
        <v>939</v>
      </c>
      <c r="J49" s="79">
        <v>193</v>
      </c>
      <c r="K49" s="79">
        <v>1145</v>
      </c>
      <c r="L49" s="79">
        <v>923</v>
      </c>
      <c r="M49" s="79">
        <v>1715</v>
      </c>
      <c r="N49" s="79">
        <v>1715</v>
      </c>
      <c r="O49" s="79">
        <v>3462</v>
      </c>
      <c r="P49" s="79">
        <v>1219</v>
      </c>
      <c r="Q49" s="79">
        <v>780</v>
      </c>
      <c r="R49" s="79">
        <v>791</v>
      </c>
      <c r="S49" s="79">
        <v>934</v>
      </c>
      <c r="T49" s="79">
        <v>237</v>
      </c>
      <c r="U49" s="79">
        <v>59</v>
      </c>
      <c r="V49" s="79">
        <v>177</v>
      </c>
    </row>
    <row r="50" spans="1:22" x14ac:dyDescent="0.35">
      <c r="A50" s="78" t="s">
        <v>506</v>
      </c>
      <c r="B50" s="79">
        <v>16123</v>
      </c>
      <c r="C50" s="79">
        <v>7909</v>
      </c>
      <c r="D50" s="79">
        <v>45</v>
      </c>
      <c r="E50" s="79">
        <v>6863</v>
      </c>
      <c r="F50" s="79">
        <v>301</v>
      </c>
      <c r="G50" s="79">
        <v>804</v>
      </c>
      <c r="H50" s="79">
        <v>3128</v>
      </c>
      <c r="I50" s="79">
        <v>903</v>
      </c>
      <c r="J50" s="79">
        <v>199</v>
      </c>
      <c r="K50" s="79">
        <v>1147</v>
      </c>
      <c r="L50" s="79">
        <v>905</v>
      </c>
      <c r="M50" s="79">
        <v>1613</v>
      </c>
      <c r="N50" s="79">
        <v>1614</v>
      </c>
      <c r="O50" s="79">
        <v>3567</v>
      </c>
      <c r="P50" s="79">
        <v>1265</v>
      </c>
      <c r="Q50" s="79">
        <v>830</v>
      </c>
      <c r="R50" s="79">
        <v>766</v>
      </c>
      <c r="S50" s="79">
        <v>967</v>
      </c>
      <c r="T50" s="79">
        <v>234</v>
      </c>
      <c r="U50" s="79">
        <v>57</v>
      </c>
      <c r="V50" s="79">
        <v>176</v>
      </c>
    </row>
    <row r="51" spans="1:22" x14ac:dyDescent="0.35">
      <c r="A51" s="78" t="s">
        <v>507</v>
      </c>
      <c r="B51" s="79">
        <v>16661</v>
      </c>
      <c r="C51" s="79">
        <v>8235</v>
      </c>
      <c r="D51" s="79">
        <v>40</v>
      </c>
      <c r="E51" s="79">
        <v>7136</v>
      </c>
      <c r="F51" s="79">
        <v>370</v>
      </c>
      <c r="G51" s="79">
        <v>813</v>
      </c>
      <c r="H51" s="79">
        <v>3173</v>
      </c>
      <c r="I51" s="79">
        <v>915</v>
      </c>
      <c r="J51" s="79">
        <v>185</v>
      </c>
      <c r="K51" s="79">
        <v>1165</v>
      </c>
      <c r="L51" s="79">
        <v>936</v>
      </c>
      <c r="M51" s="79">
        <v>1611</v>
      </c>
      <c r="N51" s="79">
        <v>1612</v>
      </c>
      <c r="O51" s="79">
        <v>3724</v>
      </c>
      <c r="P51" s="79">
        <v>1346</v>
      </c>
      <c r="Q51" s="79">
        <v>824</v>
      </c>
      <c r="R51" s="79">
        <v>812</v>
      </c>
      <c r="S51" s="79">
        <v>1056</v>
      </c>
      <c r="T51" s="79">
        <v>230</v>
      </c>
      <c r="U51" s="79">
        <v>61</v>
      </c>
      <c r="V51" s="79">
        <v>169</v>
      </c>
    </row>
    <row r="52" spans="1:22" x14ac:dyDescent="0.35">
      <c r="A52" s="78" t="s">
        <v>508</v>
      </c>
      <c r="B52" s="79">
        <v>17107</v>
      </c>
      <c r="C52" s="79">
        <v>8329</v>
      </c>
      <c r="D52" s="79">
        <v>42</v>
      </c>
      <c r="E52" s="79">
        <v>7246</v>
      </c>
      <c r="F52" s="79">
        <v>377</v>
      </c>
      <c r="G52" s="79">
        <v>804</v>
      </c>
      <c r="H52" s="79">
        <v>3190</v>
      </c>
      <c r="I52" s="79">
        <v>919</v>
      </c>
      <c r="J52" s="79">
        <v>183</v>
      </c>
      <c r="K52" s="79">
        <v>1180</v>
      </c>
      <c r="L52" s="79">
        <v>937</v>
      </c>
      <c r="M52" s="79">
        <v>1892</v>
      </c>
      <c r="N52" s="79">
        <v>1893</v>
      </c>
      <c r="O52" s="79">
        <v>3852</v>
      </c>
      <c r="P52" s="79">
        <v>1407</v>
      </c>
      <c r="Q52" s="79">
        <v>895</v>
      </c>
      <c r="R52" s="79">
        <v>836</v>
      </c>
      <c r="S52" s="79">
        <v>938</v>
      </c>
      <c r="T52" s="79">
        <v>240</v>
      </c>
      <c r="U52" s="79">
        <v>64</v>
      </c>
      <c r="V52" s="79">
        <v>176</v>
      </c>
    </row>
    <row r="53" spans="1:22" x14ac:dyDescent="0.35">
      <c r="A53" s="78" t="s">
        <v>509</v>
      </c>
      <c r="B53" s="79">
        <v>17443</v>
      </c>
      <c r="C53" s="79">
        <v>8529</v>
      </c>
      <c r="D53" s="79">
        <v>48</v>
      </c>
      <c r="E53" s="79">
        <v>7419</v>
      </c>
      <c r="F53" s="79">
        <v>400</v>
      </c>
      <c r="G53" s="79">
        <v>811</v>
      </c>
      <c r="H53" s="79">
        <v>3270</v>
      </c>
      <c r="I53" s="79">
        <v>936</v>
      </c>
      <c r="J53" s="79">
        <v>201</v>
      </c>
      <c r="K53" s="79">
        <v>1220</v>
      </c>
      <c r="L53" s="79">
        <v>941</v>
      </c>
      <c r="M53" s="79">
        <v>1477</v>
      </c>
      <c r="N53" s="79">
        <v>1476</v>
      </c>
      <c r="O53" s="79">
        <v>4140</v>
      </c>
      <c r="P53" s="79">
        <v>1485</v>
      </c>
      <c r="Q53" s="79">
        <v>979</v>
      </c>
      <c r="R53" s="79">
        <v>838</v>
      </c>
      <c r="S53" s="79">
        <v>1148</v>
      </c>
      <c r="T53" s="79">
        <v>249</v>
      </c>
      <c r="U53" s="79">
        <v>70</v>
      </c>
      <c r="V53" s="79">
        <v>181</v>
      </c>
    </row>
    <row r="54" spans="1:22" x14ac:dyDescent="0.35">
      <c r="A54" s="78" t="s">
        <v>510</v>
      </c>
      <c r="B54" s="79">
        <v>17931</v>
      </c>
      <c r="C54" s="79">
        <v>8807</v>
      </c>
      <c r="D54" s="79">
        <v>63</v>
      </c>
      <c r="E54" s="79">
        <v>7674</v>
      </c>
      <c r="F54" s="79">
        <v>418</v>
      </c>
      <c r="G54" s="79">
        <v>819</v>
      </c>
      <c r="H54" s="79">
        <v>3332</v>
      </c>
      <c r="I54" s="79">
        <v>984</v>
      </c>
      <c r="J54" s="79">
        <v>206</v>
      </c>
      <c r="K54" s="79">
        <v>1251</v>
      </c>
      <c r="L54" s="79">
        <v>906</v>
      </c>
      <c r="M54" s="79">
        <v>1613</v>
      </c>
      <c r="N54" s="79">
        <v>1614</v>
      </c>
      <c r="O54" s="79">
        <v>4190</v>
      </c>
      <c r="P54" s="79">
        <v>1458</v>
      </c>
      <c r="Q54" s="79">
        <v>1039</v>
      </c>
      <c r="R54" s="79">
        <v>826</v>
      </c>
      <c r="S54" s="79">
        <v>1165</v>
      </c>
      <c r="T54" s="79">
        <v>256</v>
      </c>
      <c r="U54" s="79">
        <v>76</v>
      </c>
      <c r="V54" s="79">
        <v>182</v>
      </c>
    </row>
    <row r="55" spans="1:22" x14ac:dyDescent="0.35">
      <c r="A55" s="78" t="s">
        <v>511</v>
      </c>
      <c r="B55" s="79">
        <v>18430</v>
      </c>
      <c r="C55" s="79">
        <v>8985</v>
      </c>
      <c r="D55" s="79">
        <v>47</v>
      </c>
      <c r="E55" s="79">
        <v>7862</v>
      </c>
      <c r="F55" s="79">
        <v>422</v>
      </c>
      <c r="G55" s="79">
        <v>827</v>
      </c>
      <c r="H55" s="79">
        <v>3420</v>
      </c>
      <c r="I55" s="79">
        <v>979</v>
      </c>
      <c r="J55" s="79">
        <v>201</v>
      </c>
      <c r="K55" s="79">
        <v>1353</v>
      </c>
      <c r="L55" s="79">
        <v>907</v>
      </c>
      <c r="M55" s="79">
        <v>1461</v>
      </c>
      <c r="N55" s="79">
        <v>1462</v>
      </c>
      <c r="O55" s="79">
        <v>4498</v>
      </c>
      <c r="P55" s="79">
        <v>1620</v>
      </c>
      <c r="Q55" s="79">
        <v>1065</v>
      </c>
      <c r="R55" s="79">
        <v>889</v>
      </c>
      <c r="S55" s="79">
        <v>1275</v>
      </c>
      <c r="T55" s="79">
        <v>260</v>
      </c>
      <c r="U55" s="79">
        <v>78</v>
      </c>
      <c r="V55" s="79">
        <v>184</v>
      </c>
    </row>
    <row r="56" spans="1:22" x14ac:dyDescent="0.35">
      <c r="A56" s="78" t="s">
        <v>512</v>
      </c>
      <c r="B56" s="79">
        <v>18668</v>
      </c>
      <c r="C56" s="79">
        <v>9192</v>
      </c>
      <c r="D56" s="79">
        <v>54</v>
      </c>
      <c r="E56" s="79">
        <v>8055</v>
      </c>
      <c r="F56" s="79">
        <v>459</v>
      </c>
      <c r="G56" s="79">
        <v>818</v>
      </c>
      <c r="H56" s="79">
        <v>3485</v>
      </c>
      <c r="I56" s="79">
        <v>998</v>
      </c>
      <c r="J56" s="79">
        <v>208</v>
      </c>
      <c r="K56" s="79">
        <v>1336</v>
      </c>
      <c r="L56" s="79">
        <v>968</v>
      </c>
      <c r="M56" s="79">
        <v>1582</v>
      </c>
      <c r="N56" s="79">
        <v>1583</v>
      </c>
      <c r="O56" s="79">
        <v>4394</v>
      </c>
      <c r="P56" s="79">
        <v>1514</v>
      </c>
      <c r="Q56" s="79">
        <v>1109</v>
      </c>
      <c r="R56" s="79">
        <v>866</v>
      </c>
      <c r="S56" s="79">
        <v>1197</v>
      </c>
      <c r="T56" s="79">
        <v>262</v>
      </c>
      <c r="U56" s="79">
        <v>78</v>
      </c>
      <c r="V56" s="79">
        <v>185</v>
      </c>
    </row>
    <row r="57" spans="1:22" x14ac:dyDescent="0.35">
      <c r="A57" s="78" t="s">
        <v>513</v>
      </c>
      <c r="B57" s="79">
        <v>18983</v>
      </c>
      <c r="C57" s="79">
        <v>9498</v>
      </c>
      <c r="D57" s="79">
        <v>55</v>
      </c>
      <c r="E57" s="79">
        <v>8314</v>
      </c>
      <c r="F57" s="79">
        <v>462</v>
      </c>
      <c r="G57" s="79">
        <v>858</v>
      </c>
      <c r="H57" s="79">
        <v>3529</v>
      </c>
      <c r="I57" s="79">
        <v>1034</v>
      </c>
      <c r="J57" s="79">
        <v>228</v>
      </c>
      <c r="K57" s="79">
        <v>1354</v>
      </c>
      <c r="L57" s="79">
        <v>924</v>
      </c>
      <c r="M57" s="79">
        <v>1373</v>
      </c>
      <c r="N57" s="79">
        <v>1373</v>
      </c>
      <c r="O57" s="79">
        <v>4481</v>
      </c>
      <c r="P57" s="79">
        <v>1497</v>
      </c>
      <c r="Q57" s="79">
        <v>1160</v>
      </c>
      <c r="R57" s="79">
        <v>895</v>
      </c>
      <c r="S57" s="79">
        <v>1210</v>
      </c>
      <c r="T57" s="79">
        <v>275</v>
      </c>
      <c r="U57" s="79">
        <v>88</v>
      </c>
      <c r="V57" s="79">
        <v>191</v>
      </c>
    </row>
    <row r="58" spans="1:22" x14ac:dyDescent="0.35">
      <c r="A58" s="78" t="s">
        <v>514</v>
      </c>
      <c r="B58" s="79">
        <v>19282</v>
      </c>
      <c r="C58" s="79">
        <v>9647</v>
      </c>
      <c r="D58" s="79">
        <v>70</v>
      </c>
      <c r="E58" s="79">
        <v>8426</v>
      </c>
      <c r="F58" s="79">
        <v>462</v>
      </c>
      <c r="G58" s="79">
        <v>879</v>
      </c>
      <c r="H58" s="79">
        <v>3552</v>
      </c>
      <c r="I58" s="79">
        <v>1064</v>
      </c>
      <c r="J58" s="79">
        <v>218</v>
      </c>
      <c r="K58" s="79">
        <v>1370</v>
      </c>
      <c r="L58" s="79">
        <v>906</v>
      </c>
      <c r="M58" s="79">
        <v>1456</v>
      </c>
      <c r="N58" s="79">
        <v>1456</v>
      </c>
      <c r="O58" s="79">
        <v>4551</v>
      </c>
      <c r="P58" s="79">
        <v>1494</v>
      </c>
      <c r="Q58" s="79">
        <v>1182</v>
      </c>
      <c r="R58" s="79">
        <v>919</v>
      </c>
      <c r="S58" s="79">
        <v>1246</v>
      </c>
      <c r="T58" s="79">
        <v>268</v>
      </c>
      <c r="U58" s="79">
        <v>76</v>
      </c>
      <c r="V58" s="79">
        <v>194</v>
      </c>
    </row>
    <row r="59" spans="1:22" x14ac:dyDescent="0.35">
      <c r="A59" s="78" t="s">
        <v>515</v>
      </c>
      <c r="B59" s="79">
        <v>19398</v>
      </c>
      <c r="C59" s="79">
        <v>9650</v>
      </c>
      <c r="D59" s="79">
        <v>44</v>
      </c>
      <c r="E59" s="79">
        <v>8510</v>
      </c>
      <c r="F59" s="79">
        <v>402</v>
      </c>
      <c r="G59" s="79">
        <v>882</v>
      </c>
      <c r="H59" s="79">
        <v>3665</v>
      </c>
      <c r="I59" s="79">
        <v>1084</v>
      </c>
      <c r="J59" s="79">
        <v>255</v>
      </c>
      <c r="K59" s="79">
        <v>1376</v>
      </c>
      <c r="L59" s="79">
        <v>962</v>
      </c>
      <c r="M59" s="79">
        <v>1374</v>
      </c>
      <c r="N59" s="79">
        <v>1374</v>
      </c>
      <c r="O59" s="79">
        <v>4545</v>
      </c>
      <c r="P59" s="79">
        <v>1435</v>
      </c>
      <c r="Q59" s="79">
        <v>1216</v>
      </c>
      <c r="R59" s="79">
        <v>915</v>
      </c>
      <c r="S59" s="79">
        <v>1265</v>
      </c>
      <c r="T59" s="79">
        <v>341</v>
      </c>
      <c r="U59" s="79">
        <v>92</v>
      </c>
      <c r="V59" s="79">
        <v>250</v>
      </c>
    </row>
    <row r="60" spans="1:22" x14ac:dyDescent="0.35">
      <c r="A60" s="78" t="s">
        <v>516</v>
      </c>
      <c r="B60" s="79">
        <v>19928</v>
      </c>
      <c r="C60" s="79">
        <v>9906</v>
      </c>
      <c r="D60" s="79">
        <v>64</v>
      </c>
      <c r="E60" s="79">
        <v>8714</v>
      </c>
      <c r="F60" s="79">
        <v>380</v>
      </c>
      <c r="G60" s="79">
        <v>928</v>
      </c>
      <c r="H60" s="79">
        <v>3680</v>
      </c>
      <c r="I60" s="79">
        <v>1105</v>
      </c>
      <c r="J60" s="79">
        <v>259</v>
      </c>
      <c r="K60" s="79">
        <v>1392</v>
      </c>
      <c r="L60" s="79">
        <v>928</v>
      </c>
      <c r="M60" s="79">
        <v>1636</v>
      </c>
      <c r="N60" s="79">
        <v>1637</v>
      </c>
      <c r="O60" s="79">
        <v>4615</v>
      </c>
      <c r="P60" s="79">
        <v>1435</v>
      </c>
      <c r="Q60" s="79">
        <v>1243</v>
      </c>
      <c r="R60" s="79">
        <v>944</v>
      </c>
      <c r="S60" s="79">
        <v>1272</v>
      </c>
      <c r="T60" s="79">
        <v>338</v>
      </c>
      <c r="U60" s="79">
        <v>81</v>
      </c>
      <c r="V60" s="79">
        <v>255</v>
      </c>
    </row>
    <row r="61" spans="1:22" x14ac:dyDescent="0.35">
      <c r="A61" s="78" t="s">
        <v>517</v>
      </c>
      <c r="B61" s="79">
        <v>20400</v>
      </c>
      <c r="C61" s="79">
        <v>10318</v>
      </c>
      <c r="D61" s="79">
        <v>32</v>
      </c>
      <c r="E61" s="79">
        <v>9104</v>
      </c>
      <c r="F61" s="79">
        <v>400</v>
      </c>
      <c r="G61" s="79">
        <v>969</v>
      </c>
      <c r="H61" s="79">
        <v>3672</v>
      </c>
      <c r="I61" s="79">
        <v>1121</v>
      </c>
      <c r="J61" s="79">
        <v>213</v>
      </c>
      <c r="K61" s="79">
        <v>1369</v>
      </c>
      <c r="L61" s="79">
        <v>977</v>
      </c>
      <c r="M61" s="79">
        <v>1530</v>
      </c>
      <c r="N61" s="79">
        <v>1530</v>
      </c>
      <c r="O61" s="79">
        <v>4755</v>
      </c>
      <c r="P61" s="79">
        <v>1494</v>
      </c>
      <c r="Q61" s="79">
        <v>1263</v>
      </c>
      <c r="R61" s="79">
        <v>978</v>
      </c>
      <c r="S61" s="79">
        <v>1318</v>
      </c>
      <c r="T61" s="79">
        <v>326</v>
      </c>
      <c r="U61" s="79">
        <v>61</v>
      </c>
      <c r="V61" s="79">
        <v>259</v>
      </c>
    </row>
    <row r="62" spans="1:22" x14ac:dyDescent="0.35">
      <c r="A62" s="78" t="s">
        <v>518</v>
      </c>
      <c r="B62" s="79">
        <v>20830</v>
      </c>
      <c r="C62" s="79">
        <v>10735</v>
      </c>
      <c r="D62" s="79">
        <v>45</v>
      </c>
      <c r="E62" s="79">
        <v>9488</v>
      </c>
      <c r="F62" s="79">
        <v>391</v>
      </c>
      <c r="G62" s="79">
        <v>1006</v>
      </c>
      <c r="H62" s="79">
        <v>3739</v>
      </c>
      <c r="I62" s="79">
        <v>1110</v>
      </c>
      <c r="J62" s="79">
        <v>224</v>
      </c>
      <c r="K62" s="79">
        <v>1348</v>
      </c>
      <c r="L62" s="79">
        <v>1082</v>
      </c>
      <c r="M62" s="79">
        <v>1251</v>
      </c>
      <c r="N62" s="79">
        <v>1252</v>
      </c>
      <c r="O62" s="79">
        <v>4868</v>
      </c>
      <c r="P62" s="79">
        <v>1524</v>
      </c>
      <c r="Q62" s="79">
        <v>1293</v>
      </c>
      <c r="R62" s="79">
        <v>1026</v>
      </c>
      <c r="S62" s="79">
        <v>1313</v>
      </c>
      <c r="T62" s="79">
        <v>343</v>
      </c>
      <c r="U62" s="79">
        <v>68</v>
      </c>
      <c r="V62" s="79">
        <v>270</v>
      </c>
    </row>
    <row r="63" spans="1:22" x14ac:dyDescent="0.35">
      <c r="A63" s="78" t="s">
        <v>519</v>
      </c>
      <c r="B63" s="79">
        <v>21395</v>
      </c>
      <c r="C63" s="79">
        <v>11127</v>
      </c>
      <c r="D63" s="79">
        <v>54</v>
      </c>
      <c r="E63" s="79">
        <v>9802</v>
      </c>
      <c r="F63" s="79">
        <v>388</v>
      </c>
      <c r="G63" s="79">
        <v>1070</v>
      </c>
      <c r="H63" s="79">
        <v>3712</v>
      </c>
      <c r="I63" s="79">
        <v>1169</v>
      </c>
      <c r="J63" s="79">
        <v>140</v>
      </c>
      <c r="K63" s="79">
        <v>1310</v>
      </c>
      <c r="L63" s="79">
        <v>1110</v>
      </c>
      <c r="M63" s="79">
        <v>1337</v>
      </c>
      <c r="N63" s="79">
        <v>1337</v>
      </c>
      <c r="O63" s="79">
        <v>4979</v>
      </c>
      <c r="P63" s="79">
        <v>1586</v>
      </c>
      <c r="Q63" s="79">
        <v>1354</v>
      </c>
      <c r="R63" s="79">
        <v>1022</v>
      </c>
      <c r="S63" s="79">
        <v>1267</v>
      </c>
      <c r="T63" s="79">
        <v>363</v>
      </c>
      <c r="U63" s="79">
        <v>66</v>
      </c>
      <c r="V63" s="79">
        <v>292</v>
      </c>
    </row>
    <row r="64" spans="1:22" x14ac:dyDescent="0.35">
      <c r="A64" s="78" t="s">
        <v>520</v>
      </c>
      <c r="B64" s="79">
        <v>21948</v>
      </c>
      <c r="C64" s="79">
        <v>11269</v>
      </c>
      <c r="D64" s="79">
        <v>50</v>
      </c>
      <c r="E64" s="79">
        <v>9932</v>
      </c>
      <c r="F64" s="79">
        <v>393</v>
      </c>
      <c r="G64" s="79">
        <v>1084</v>
      </c>
      <c r="H64" s="79">
        <v>3806</v>
      </c>
      <c r="I64" s="79">
        <v>1145</v>
      </c>
      <c r="J64" s="79">
        <v>321</v>
      </c>
      <c r="K64" s="79">
        <v>1278</v>
      </c>
      <c r="L64" s="79">
        <v>1081</v>
      </c>
      <c r="M64" s="79">
        <v>1571</v>
      </c>
      <c r="N64" s="79">
        <v>1571</v>
      </c>
      <c r="O64" s="79">
        <v>5091</v>
      </c>
      <c r="P64" s="79">
        <v>1643</v>
      </c>
      <c r="Q64" s="79">
        <v>1389</v>
      </c>
      <c r="R64" s="79">
        <v>1003</v>
      </c>
      <c r="S64" s="79">
        <v>1327</v>
      </c>
      <c r="T64" s="79">
        <v>399</v>
      </c>
      <c r="U64" s="79">
        <v>111</v>
      </c>
      <c r="V64" s="79">
        <v>288</v>
      </c>
    </row>
    <row r="65" spans="1:22" x14ac:dyDescent="0.35">
      <c r="A65" s="78" t="s">
        <v>521</v>
      </c>
      <c r="B65" s="79">
        <v>22190</v>
      </c>
      <c r="C65" s="79">
        <v>11531</v>
      </c>
      <c r="D65" s="79">
        <v>45</v>
      </c>
      <c r="E65" s="79">
        <v>10184</v>
      </c>
      <c r="F65" s="79">
        <v>398</v>
      </c>
      <c r="G65" s="79">
        <v>1103</v>
      </c>
      <c r="H65" s="79">
        <v>3903</v>
      </c>
      <c r="I65" s="79">
        <v>1189</v>
      </c>
      <c r="J65" s="79">
        <v>304</v>
      </c>
      <c r="K65" s="79">
        <v>1258</v>
      </c>
      <c r="L65" s="79">
        <v>1176</v>
      </c>
      <c r="M65" s="79">
        <v>1360</v>
      </c>
      <c r="N65" s="79">
        <v>1361</v>
      </c>
      <c r="O65" s="79">
        <v>5124</v>
      </c>
      <c r="P65" s="79">
        <v>1667</v>
      </c>
      <c r="Q65" s="79">
        <v>1425</v>
      </c>
      <c r="R65" s="79">
        <v>952</v>
      </c>
      <c r="S65" s="79">
        <v>1350</v>
      </c>
      <c r="T65" s="79">
        <v>405</v>
      </c>
      <c r="U65" s="79">
        <v>110</v>
      </c>
      <c r="V65" s="79">
        <v>294</v>
      </c>
    </row>
    <row r="66" spans="1:22" x14ac:dyDescent="0.35">
      <c r="A66" s="78" t="s">
        <v>522</v>
      </c>
      <c r="B66" s="79">
        <v>22210</v>
      </c>
      <c r="C66" s="79">
        <v>11543</v>
      </c>
      <c r="D66" s="79">
        <v>12</v>
      </c>
      <c r="E66" s="79">
        <v>10212</v>
      </c>
      <c r="F66" s="79">
        <v>423</v>
      </c>
      <c r="G66" s="79">
        <v>1097</v>
      </c>
      <c r="H66" s="79">
        <v>3814</v>
      </c>
      <c r="I66" s="79">
        <v>1159</v>
      </c>
      <c r="J66" s="79">
        <v>273</v>
      </c>
      <c r="K66" s="79">
        <v>1246</v>
      </c>
      <c r="L66" s="79">
        <v>1162</v>
      </c>
      <c r="M66" s="79">
        <v>1258</v>
      </c>
      <c r="N66" s="79">
        <v>1258</v>
      </c>
      <c r="O66" s="79">
        <v>5287</v>
      </c>
      <c r="P66" s="79">
        <v>1796</v>
      </c>
      <c r="Q66" s="79">
        <v>1469</v>
      </c>
      <c r="R66" s="79">
        <v>934</v>
      </c>
      <c r="S66" s="79">
        <v>1353</v>
      </c>
      <c r="T66" s="79">
        <v>390</v>
      </c>
      <c r="U66" s="79">
        <v>98</v>
      </c>
      <c r="V66" s="79">
        <v>291</v>
      </c>
    </row>
    <row r="67" spans="1:22" x14ac:dyDescent="0.35">
      <c r="A67" s="78" t="s">
        <v>523</v>
      </c>
      <c r="B67" s="79">
        <v>22777</v>
      </c>
      <c r="C67" s="79">
        <v>11789</v>
      </c>
      <c r="D67" s="79">
        <v>64</v>
      </c>
      <c r="E67" s="79">
        <v>10371</v>
      </c>
      <c r="F67" s="79">
        <v>441</v>
      </c>
      <c r="G67" s="79">
        <v>1120</v>
      </c>
      <c r="H67" s="79">
        <v>3840</v>
      </c>
      <c r="I67" s="79">
        <v>1154</v>
      </c>
      <c r="J67" s="79">
        <v>304</v>
      </c>
      <c r="K67" s="79">
        <v>1241</v>
      </c>
      <c r="L67" s="79">
        <v>1169</v>
      </c>
      <c r="M67" s="79">
        <v>1515</v>
      </c>
      <c r="N67" s="79">
        <v>1516</v>
      </c>
      <c r="O67" s="79">
        <v>5348</v>
      </c>
      <c r="P67" s="79">
        <v>1686</v>
      </c>
      <c r="Q67" s="79">
        <v>1588</v>
      </c>
      <c r="R67" s="79">
        <v>953</v>
      </c>
      <c r="S67" s="79">
        <v>1347</v>
      </c>
      <c r="T67" s="79">
        <v>430</v>
      </c>
      <c r="U67" s="79">
        <v>95</v>
      </c>
      <c r="V67" s="79">
        <v>331</v>
      </c>
    </row>
    <row r="68" spans="1:22" x14ac:dyDescent="0.35">
      <c r="A68" s="78" t="s">
        <v>524</v>
      </c>
      <c r="B68" s="79">
        <v>23186</v>
      </c>
      <c r="C68" s="79">
        <v>12009</v>
      </c>
      <c r="D68" s="79">
        <v>39</v>
      </c>
      <c r="E68" s="79">
        <v>10568</v>
      </c>
      <c r="F68" s="79">
        <v>471</v>
      </c>
      <c r="G68" s="79">
        <v>1141</v>
      </c>
      <c r="H68" s="79">
        <v>3733</v>
      </c>
      <c r="I68" s="79">
        <v>1140</v>
      </c>
      <c r="J68" s="79">
        <v>219</v>
      </c>
      <c r="K68" s="79">
        <v>1235</v>
      </c>
      <c r="L68" s="79">
        <v>1167</v>
      </c>
      <c r="M68" s="79">
        <v>1512</v>
      </c>
      <c r="N68" s="79">
        <v>1512</v>
      </c>
      <c r="O68" s="79">
        <v>5602</v>
      </c>
      <c r="P68" s="79">
        <v>1813</v>
      </c>
      <c r="Q68" s="79">
        <v>1665</v>
      </c>
      <c r="R68" s="79">
        <v>946</v>
      </c>
      <c r="S68" s="79">
        <v>1415</v>
      </c>
      <c r="T68" s="79">
        <v>445</v>
      </c>
      <c r="U68" s="79">
        <v>93</v>
      </c>
      <c r="V68" s="79">
        <v>348</v>
      </c>
    </row>
    <row r="69" spans="1:22" x14ac:dyDescent="0.35">
      <c r="A69" s="78" t="s">
        <v>525</v>
      </c>
      <c r="B69" s="79">
        <v>23395</v>
      </c>
      <c r="C69" s="79">
        <v>12127</v>
      </c>
      <c r="D69" s="79">
        <v>48</v>
      </c>
      <c r="E69" s="79">
        <v>10677</v>
      </c>
      <c r="F69" s="79">
        <v>456</v>
      </c>
      <c r="G69" s="79">
        <v>1155</v>
      </c>
      <c r="H69" s="79">
        <v>3687</v>
      </c>
      <c r="I69" s="79">
        <v>1162</v>
      </c>
      <c r="J69" s="79">
        <v>234</v>
      </c>
      <c r="K69" s="79">
        <v>1242</v>
      </c>
      <c r="L69" s="79">
        <v>1062</v>
      </c>
      <c r="M69" s="79">
        <v>1381</v>
      </c>
      <c r="N69" s="79">
        <v>1381</v>
      </c>
      <c r="O69" s="79">
        <v>5740</v>
      </c>
      <c r="P69" s="79">
        <v>1850</v>
      </c>
      <c r="Q69" s="79">
        <v>1712</v>
      </c>
      <c r="R69" s="79">
        <v>945</v>
      </c>
      <c r="S69" s="79">
        <v>1494</v>
      </c>
      <c r="T69" s="79">
        <v>526</v>
      </c>
      <c r="U69" s="79">
        <v>178</v>
      </c>
      <c r="V69" s="79">
        <v>352</v>
      </c>
    </row>
    <row r="70" spans="1:22" x14ac:dyDescent="0.35">
      <c r="A70" s="78" t="s">
        <v>526</v>
      </c>
      <c r="B70" s="79">
        <v>23969</v>
      </c>
      <c r="C70" s="79">
        <v>12207</v>
      </c>
      <c r="D70" s="79">
        <v>11</v>
      </c>
      <c r="E70" s="79">
        <v>10745</v>
      </c>
      <c r="F70" s="79">
        <v>490</v>
      </c>
      <c r="G70" s="79">
        <v>1169</v>
      </c>
      <c r="H70" s="79">
        <v>4144</v>
      </c>
      <c r="I70" s="79">
        <v>1184</v>
      </c>
      <c r="J70" s="79">
        <v>339</v>
      </c>
      <c r="K70" s="79">
        <v>1375</v>
      </c>
      <c r="L70" s="79">
        <v>1290</v>
      </c>
      <c r="M70" s="79">
        <v>1440</v>
      </c>
      <c r="N70" s="79">
        <v>1441</v>
      </c>
      <c r="O70" s="79">
        <v>5750</v>
      </c>
      <c r="P70" s="79">
        <v>1866</v>
      </c>
      <c r="Q70" s="79">
        <v>1736</v>
      </c>
      <c r="R70" s="79">
        <v>944</v>
      </c>
      <c r="S70" s="79">
        <v>1432</v>
      </c>
      <c r="T70" s="79">
        <v>532</v>
      </c>
      <c r="U70" s="79">
        <v>193</v>
      </c>
      <c r="V70" s="79">
        <v>346</v>
      </c>
    </row>
    <row r="71" spans="1:22" x14ac:dyDescent="0.35">
      <c r="A71" s="78" t="s">
        <v>527</v>
      </c>
      <c r="B71" s="79">
        <v>23847</v>
      </c>
      <c r="C71" s="79">
        <v>12384</v>
      </c>
      <c r="D71" s="79">
        <v>81</v>
      </c>
      <c r="E71" s="79">
        <v>10696</v>
      </c>
      <c r="F71" s="79">
        <v>602</v>
      </c>
      <c r="G71" s="79">
        <v>1204</v>
      </c>
      <c r="H71" s="79">
        <v>3884</v>
      </c>
      <c r="I71" s="79">
        <v>1139</v>
      </c>
      <c r="J71" s="79">
        <v>368</v>
      </c>
      <c r="K71" s="79">
        <v>1184</v>
      </c>
      <c r="L71" s="79">
        <v>1237</v>
      </c>
      <c r="M71" s="79">
        <v>1326</v>
      </c>
      <c r="N71" s="79">
        <v>1327</v>
      </c>
      <c r="O71" s="79">
        <v>5789</v>
      </c>
      <c r="P71" s="79">
        <v>1976</v>
      </c>
      <c r="Q71" s="79">
        <v>1722</v>
      </c>
      <c r="R71" s="79">
        <v>931</v>
      </c>
      <c r="S71" s="79">
        <v>1370</v>
      </c>
      <c r="T71" s="79">
        <v>526</v>
      </c>
      <c r="U71" s="79">
        <v>210</v>
      </c>
      <c r="V71" s="79">
        <v>325</v>
      </c>
    </row>
    <row r="72" spans="1:22" x14ac:dyDescent="0.35">
      <c r="A72" s="78" t="s">
        <v>528</v>
      </c>
      <c r="B72" s="79">
        <v>24155</v>
      </c>
      <c r="C72" s="79">
        <v>12394</v>
      </c>
      <c r="D72" s="79">
        <v>145</v>
      </c>
      <c r="E72" s="79">
        <v>10578</v>
      </c>
      <c r="F72" s="79">
        <v>598</v>
      </c>
      <c r="G72" s="79">
        <v>1250</v>
      </c>
      <c r="H72" s="79">
        <v>3988</v>
      </c>
      <c r="I72" s="79">
        <v>1134</v>
      </c>
      <c r="J72" s="79">
        <v>417</v>
      </c>
      <c r="K72" s="79">
        <v>1240</v>
      </c>
      <c r="L72" s="79">
        <v>1246</v>
      </c>
      <c r="M72" s="79">
        <v>1506</v>
      </c>
      <c r="N72" s="79">
        <v>1506</v>
      </c>
      <c r="O72" s="79">
        <v>5863</v>
      </c>
      <c r="P72" s="79">
        <v>2016</v>
      </c>
      <c r="Q72" s="79">
        <v>1706</v>
      </c>
      <c r="R72" s="79">
        <v>955</v>
      </c>
      <c r="S72" s="79">
        <v>1420</v>
      </c>
      <c r="T72" s="79">
        <v>509</v>
      </c>
      <c r="U72" s="79">
        <v>187</v>
      </c>
      <c r="V72" s="79">
        <v>328</v>
      </c>
    </row>
    <row r="73" spans="1:22" x14ac:dyDescent="0.35">
      <c r="A73" s="78" t="s">
        <v>529</v>
      </c>
      <c r="B73" s="79">
        <v>23919</v>
      </c>
      <c r="C73" s="79">
        <v>12335</v>
      </c>
      <c r="D73" s="79">
        <v>61</v>
      </c>
      <c r="E73" s="79">
        <v>10476</v>
      </c>
      <c r="F73" s="79">
        <v>689</v>
      </c>
      <c r="G73" s="79">
        <v>1272</v>
      </c>
      <c r="H73" s="79">
        <v>3877</v>
      </c>
      <c r="I73" s="79">
        <v>1129</v>
      </c>
      <c r="J73" s="79">
        <v>299</v>
      </c>
      <c r="K73" s="79">
        <v>1234</v>
      </c>
      <c r="L73" s="79">
        <v>1263</v>
      </c>
      <c r="M73" s="79">
        <v>1385</v>
      </c>
      <c r="N73" s="79">
        <v>1385</v>
      </c>
      <c r="O73" s="79">
        <v>5883</v>
      </c>
      <c r="P73" s="79">
        <v>1975</v>
      </c>
      <c r="Q73" s="79">
        <v>1713</v>
      </c>
      <c r="R73" s="79">
        <v>969</v>
      </c>
      <c r="S73" s="79">
        <v>1481</v>
      </c>
      <c r="T73" s="79">
        <v>508</v>
      </c>
      <c r="U73" s="79">
        <v>189</v>
      </c>
      <c r="V73" s="79">
        <v>325</v>
      </c>
    </row>
    <row r="74" spans="1:22" x14ac:dyDescent="0.35">
      <c r="A74" s="78" t="s">
        <v>530</v>
      </c>
      <c r="B74" s="79">
        <v>23764</v>
      </c>
      <c r="C74" s="79">
        <v>12364</v>
      </c>
      <c r="D74" s="79">
        <v>62</v>
      </c>
      <c r="E74" s="79">
        <v>10475</v>
      </c>
      <c r="F74" s="79">
        <v>671</v>
      </c>
      <c r="G74" s="79">
        <v>1304</v>
      </c>
      <c r="H74" s="79">
        <v>3933</v>
      </c>
      <c r="I74" s="79">
        <v>1129</v>
      </c>
      <c r="J74" s="79">
        <v>372</v>
      </c>
      <c r="K74" s="79">
        <v>1248</v>
      </c>
      <c r="L74" s="79">
        <v>1231</v>
      </c>
      <c r="M74" s="79">
        <v>1278</v>
      </c>
      <c r="N74" s="79">
        <v>1278</v>
      </c>
      <c r="O74" s="79">
        <v>5706</v>
      </c>
      <c r="P74" s="79">
        <v>1923</v>
      </c>
      <c r="Q74" s="79">
        <v>1693</v>
      </c>
      <c r="R74" s="79">
        <v>869</v>
      </c>
      <c r="S74" s="79">
        <v>1482</v>
      </c>
      <c r="T74" s="79">
        <v>547</v>
      </c>
      <c r="U74" s="79">
        <v>212</v>
      </c>
      <c r="V74" s="79">
        <v>343</v>
      </c>
    </row>
    <row r="75" spans="1:22" x14ac:dyDescent="0.35">
      <c r="A75" s="78" t="s">
        <v>531</v>
      </c>
      <c r="B75" s="79">
        <v>24213</v>
      </c>
      <c r="C75" s="79">
        <v>12710</v>
      </c>
      <c r="D75" s="79">
        <v>37</v>
      </c>
      <c r="E75" s="79">
        <v>10741</v>
      </c>
      <c r="F75" s="79">
        <v>778</v>
      </c>
      <c r="G75" s="79">
        <v>1318</v>
      </c>
      <c r="H75" s="79">
        <v>3758</v>
      </c>
      <c r="I75" s="79">
        <v>1054</v>
      </c>
      <c r="J75" s="79">
        <v>230</v>
      </c>
      <c r="K75" s="79">
        <v>1302</v>
      </c>
      <c r="L75" s="79">
        <v>1220</v>
      </c>
      <c r="M75" s="79">
        <v>1620</v>
      </c>
      <c r="N75" s="79">
        <v>1621</v>
      </c>
      <c r="O75" s="79">
        <v>5774</v>
      </c>
      <c r="P75" s="79">
        <v>2010</v>
      </c>
      <c r="Q75" s="79">
        <v>1672</v>
      </c>
      <c r="R75" s="79">
        <v>862</v>
      </c>
      <c r="S75" s="79">
        <v>1502</v>
      </c>
      <c r="T75" s="79">
        <v>462</v>
      </c>
      <c r="U75" s="79">
        <v>152</v>
      </c>
      <c r="V75" s="79">
        <v>314</v>
      </c>
    </row>
    <row r="76" spans="1:22" x14ac:dyDescent="0.35">
      <c r="A76" s="78" t="s">
        <v>532</v>
      </c>
      <c r="B76" s="79">
        <v>23949</v>
      </c>
      <c r="C76" s="79">
        <v>12767</v>
      </c>
      <c r="D76" s="79">
        <v>106</v>
      </c>
      <c r="E76" s="79">
        <v>10790</v>
      </c>
      <c r="F76" s="79">
        <v>745</v>
      </c>
      <c r="G76" s="79">
        <v>1300</v>
      </c>
      <c r="H76" s="79">
        <v>3768</v>
      </c>
      <c r="I76" s="79">
        <v>1044</v>
      </c>
      <c r="J76" s="79">
        <v>258</v>
      </c>
      <c r="K76" s="79">
        <v>1270</v>
      </c>
      <c r="L76" s="79">
        <v>1252</v>
      </c>
      <c r="M76" s="79">
        <v>1276</v>
      </c>
      <c r="N76" s="79">
        <v>1276</v>
      </c>
      <c r="O76" s="79">
        <v>5734</v>
      </c>
      <c r="P76" s="79">
        <v>1937</v>
      </c>
      <c r="Q76" s="79">
        <v>1668</v>
      </c>
      <c r="R76" s="79">
        <v>913</v>
      </c>
      <c r="S76" s="79">
        <v>1477</v>
      </c>
      <c r="T76" s="79">
        <v>453</v>
      </c>
      <c r="U76" s="79">
        <v>147</v>
      </c>
      <c r="V76" s="79">
        <v>308</v>
      </c>
    </row>
    <row r="77" spans="1:22" x14ac:dyDescent="0.35">
      <c r="A77" s="78" t="s">
        <v>533</v>
      </c>
      <c r="B77" s="79">
        <v>24379</v>
      </c>
      <c r="C77" s="79">
        <v>12898</v>
      </c>
      <c r="D77" s="79">
        <v>102</v>
      </c>
      <c r="E77" s="79">
        <v>10879</v>
      </c>
      <c r="F77" s="79">
        <v>732</v>
      </c>
      <c r="G77" s="79">
        <v>1347</v>
      </c>
      <c r="H77" s="79">
        <v>3942</v>
      </c>
      <c r="I77" s="79">
        <v>1082</v>
      </c>
      <c r="J77" s="79">
        <v>428</v>
      </c>
      <c r="K77" s="79">
        <v>1273</v>
      </c>
      <c r="L77" s="79">
        <v>1210</v>
      </c>
      <c r="M77" s="79">
        <v>1288</v>
      </c>
      <c r="N77" s="79">
        <v>1288</v>
      </c>
      <c r="O77" s="79">
        <v>5771</v>
      </c>
      <c r="P77" s="79">
        <v>1980</v>
      </c>
      <c r="Q77" s="79">
        <v>1715</v>
      </c>
      <c r="R77" s="79">
        <v>858</v>
      </c>
      <c r="S77" s="79">
        <v>1467</v>
      </c>
      <c r="T77" s="79">
        <v>540</v>
      </c>
      <c r="U77" s="79">
        <v>204</v>
      </c>
      <c r="V77" s="79">
        <v>343</v>
      </c>
    </row>
    <row r="78" spans="1:22" x14ac:dyDescent="0.35">
      <c r="A78" s="78" t="s">
        <v>534</v>
      </c>
      <c r="B78" s="79">
        <v>25035</v>
      </c>
      <c r="C78" s="79">
        <v>13187</v>
      </c>
      <c r="D78" s="79">
        <v>34</v>
      </c>
      <c r="E78" s="79">
        <v>11074</v>
      </c>
      <c r="F78" s="79">
        <v>811</v>
      </c>
      <c r="G78" s="79">
        <v>1416</v>
      </c>
      <c r="H78" s="79">
        <v>3978</v>
      </c>
      <c r="I78" s="79">
        <v>1125</v>
      </c>
      <c r="J78" s="79">
        <v>331</v>
      </c>
      <c r="K78" s="79">
        <v>1273</v>
      </c>
      <c r="L78" s="79">
        <v>1305</v>
      </c>
      <c r="M78" s="79">
        <v>1579</v>
      </c>
      <c r="N78" s="79">
        <v>1578</v>
      </c>
      <c r="O78" s="79">
        <v>5938</v>
      </c>
      <c r="P78" s="79">
        <v>1966</v>
      </c>
      <c r="Q78" s="79">
        <v>1737</v>
      </c>
      <c r="R78" s="79">
        <v>1026</v>
      </c>
      <c r="S78" s="79">
        <v>1447</v>
      </c>
      <c r="T78" s="79">
        <v>456</v>
      </c>
      <c r="U78" s="79">
        <v>117</v>
      </c>
      <c r="V78" s="79">
        <v>338</v>
      </c>
    </row>
    <row r="79" spans="1:22" x14ac:dyDescent="0.35">
      <c r="A79" s="78" t="s">
        <v>535</v>
      </c>
      <c r="B79" s="79">
        <v>24918</v>
      </c>
      <c r="C79" s="79">
        <v>13218</v>
      </c>
      <c r="D79" s="79">
        <v>124</v>
      </c>
      <c r="E79" s="79">
        <v>11001</v>
      </c>
      <c r="F79" s="79">
        <v>768</v>
      </c>
      <c r="G79" s="79">
        <v>1455</v>
      </c>
      <c r="H79" s="79">
        <v>4161</v>
      </c>
      <c r="I79" s="79">
        <v>1158</v>
      </c>
      <c r="J79" s="79">
        <v>386</v>
      </c>
      <c r="K79" s="79">
        <v>1337</v>
      </c>
      <c r="L79" s="79">
        <v>1339</v>
      </c>
      <c r="M79" s="79">
        <v>1350</v>
      </c>
      <c r="N79" s="79">
        <v>1350</v>
      </c>
      <c r="O79" s="79">
        <v>5770</v>
      </c>
      <c r="P79" s="79">
        <v>1825</v>
      </c>
      <c r="Q79" s="79">
        <v>1666</v>
      </c>
      <c r="R79" s="79">
        <v>1080</v>
      </c>
      <c r="S79" s="79">
        <v>1451</v>
      </c>
      <c r="T79" s="79">
        <v>508</v>
      </c>
      <c r="U79" s="79">
        <v>122</v>
      </c>
      <c r="V79" s="79">
        <v>384</v>
      </c>
    </row>
    <row r="80" spans="1:22" x14ac:dyDescent="0.35">
      <c r="A80" s="78" t="s">
        <v>536</v>
      </c>
      <c r="B80" s="79">
        <v>25283</v>
      </c>
      <c r="C80" s="79">
        <v>13249</v>
      </c>
      <c r="D80" s="79">
        <v>115</v>
      </c>
      <c r="E80" s="79">
        <v>10893</v>
      </c>
      <c r="F80" s="79">
        <v>822</v>
      </c>
      <c r="G80" s="79">
        <v>1522</v>
      </c>
      <c r="H80" s="79">
        <v>4363</v>
      </c>
      <c r="I80" s="79">
        <v>1197</v>
      </c>
      <c r="J80" s="79">
        <v>369</v>
      </c>
      <c r="K80" s="79">
        <v>1403</v>
      </c>
      <c r="L80" s="79">
        <v>1466</v>
      </c>
      <c r="M80" s="79">
        <v>1427</v>
      </c>
      <c r="N80" s="79">
        <v>1428</v>
      </c>
      <c r="O80" s="79">
        <v>5822</v>
      </c>
      <c r="P80" s="79">
        <v>1933</v>
      </c>
      <c r="Q80" s="79">
        <v>1600</v>
      </c>
      <c r="R80" s="79">
        <v>1120</v>
      </c>
      <c r="S80" s="79">
        <v>1438</v>
      </c>
      <c r="T80" s="79">
        <v>534</v>
      </c>
      <c r="U80" s="79">
        <v>135</v>
      </c>
      <c r="V80" s="79">
        <v>398</v>
      </c>
    </row>
    <row r="81" spans="1:22" x14ac:dyDescent="0.35">
      <c r="A81" s="78" t="s">
        <v>537</v>
      </c>
      <c r="B81" s="79">
        <v>26001</v>
      </c>
      <c r="C81" s="79">
        <v>13429</v>
      </c>
      <c r="D81" s="79">
        <v>59</v>
      </c>
      <c r="E81" s="79">
        <v>10998</v>
      </c>
      <c r="F81" s="79">
        <v>936</v>
      </c>
      <c r="G81" s="79">
        <v>1541</v>
      </c>
      <c r="H81" s="79">
        <v>4566</v>
      </c>
      <c r="I81" s="79">
        <v>1210</v>
      </c>
      <c r="J81" s="79">
        <v>462</v>
      </c>
      <c r="K81" s="79">
        <v>1463</v>
      </c>
      <c r="L81" s="79">
        <v>1513</v>
      </c>
      <c r="M81" s="79">
        <v>1511</v>
      </c>
      <c r="N81" s="79">
        <v>1510</v>
      </c>
      <c r="O81" s="79">
        <v>6093</v>
      </c>
      <c r="P81" s="79">
        <v>1952</v>
      </c>
      <c r="Q81" s="79">
        <v>1764</v>
      </c>
      <c r="R81" s="79">
        <v>1217</v>
      </c>
      <c r="S81" s="79">
        <v>1380</v>
      </c>
      <c r="T81" s="79">
        <v>529</v>
      </c>
      <c r="U81" s="79">
        <v>112</v>
      </c>
      <c r="V81" s="79">
        <v>411</v>
      </c>
    </row>
    <row r="82" spans="1:22" x14ac:dyDescent="0.35">
      <c r="A82" s="78" t="s">
        <v>538</v>
      </c>
      <c r="B82" s="79">
        <v>26461</v>
      </c>
      <c r="C82" s="79">
        <v>13584</v>
      </c>
      <c r="D82" s="79">
        <v>25</v>
      </c>
      <c r="E82" s="79">
        <v>11064</v>
      </c>
      <c r="F82" s="79">
        <v>918</v>
      </c>
      <c r="G82" s="79">
        <v>1649</v>
      </c>
      <c r="H82" s="79">
        <v>4431</v>
      </c>
      <c r="I82" s="79">
        <v>1202</v>
      </c>
      <c r="J82" s="79">
        <v>314</v>
      </c>
      <c r="K82" s="79">
        <v>1505</v>
      </c>
      <c r="L82" s="79">
        <v>1479</v>
      </c>
      <c r="M82" s="79">
        <v>1730</v>
      </c>
      <c r="N82" s="79">
        <v>1730</v>
      </c>
      <c r="O82" s="79">
        <v>6299</v>
      </c>
      <c r="P82" s="79">
        <v>1933</v>
      </c>
      <c r="Q82" s="79">
        <v>1924</v>
      </c>
      <c r="R82" s="79">
        <v>1216</v>
      </c>
      <c r="S82" s="79">
        <v>1428</v>
      </c>
      <c r="T82" s="79">
        <v>554</v>
      </c>
      <c r="U82" s="79">
        <v>141</v>
      </c>
      <c r="V82" s="79">
        <v>412</v>
      </c>
    </row>
    <row r="83" spans="1:22" x14ac:dyDescent="0.35">
      <c r="A83" s="78" t="s">
        <v>539</v>
      </c>
      <c r="B83" s="79">
        <v>26125</v>
      </c>
      <c r="C83" s="79">
        <v>13098</v>
      </c>
      <c r="D83" s="79">
        <v>56</v>
      </c>
      <c r="E83" s="79">
        <v>10691</v>
      </c>
      <c r="F83" s="79">
        <v>924</v>
      </c>
      <c r="G83" s="79">
        <v>1521</v>
      </c>
      <c r="H83" s="79">
        <v>4744</v>
      </c>
      <c r="I83" s="79">
        <v>1335</v>
      </c>
      <c r="J83" s="79">
        <v>420</v>
      </c>
      <c r="K83" s="79">
        <v>1445</v>
      </c>
      <c r="L83" s="79">
        <v>1622</v>
      </c>
      <c r="M83" s="79">
        <v>1386</v>
      </c>
      <c r="N83" s="79">
        <v>1387</v>
      </c>
      <c r="O83" s="79">
        <v>6446</v>
      </c>
      <c r="P83" s="79">
        <v>1854</v>
      </c>
      <c r="Q83" s="79">
        <v>2132</v>
      </c>
      <c r="R83" s="79">
        <v>1132</v>
      </c>
      <c r="S83" s="79">
        <v>1515</v>
      </c>
      <c r="T83" s="79">
        <v>571</v>
      </c>
      <c r="U83" s="79">
        <v>174</v>
      </c>
      <c r="V83" s="79">
        <v>397</v>
      </c>
    </row>
    <row r="84" spans="1:22" x14ac:dyDescent="0.35">
      <c r="A84" s="78" t="s">
        <v>540</v>
      </c>
      <c r="B84" s="79">
        <v>26750</v>
      </c>
      <c r="C84" s="79">
        <v>13631</v>
      </c>
      <c r="D84" s="79">
        <v>87</v>
      </c>
      <c r="E84" s="79">
        <v>11169</v>
      </c>
      <c r="F84" s="79">
        <v>957</v>
      </c>
      <c r="G84" s="79">
        <v>1532</v>
      </c>
      <c r="H84" s="79">
        <v>4678</v>
      </c>
      <c r="I84" s="79">
        <v>1382</v>
      </c>
      <c r="J84" s="79">
        <v>319</v>
      </c>
      <c r="K84" s="79">
        <v>1438</v>
      </c>
      <c r="L84" s="79">
        <v>1604</v>
      </c>
      <c r="M84" s="79">
        <v>1431</v>
      </c>
      <c r="N84" s="79">
        <v>1431</v>
      </c>
      <c r="O84" s="79">
        <v>6608</v>
      </c>
      <c r="P84" s="79">
        <v>1860</v>
      </c>
      <c r="Q84" s="79">
        <v>2330</v>
      </c>
      <c r="R84" s="79">
        <v>1122</v>
      </c>
      <c r="S84" s="79">
        <v>1417</v>
      </c>
      <c r="T84" s="79">
        <v>508</v>
      </c>
      <c r="U84" s="79">
        <v>109</v>
      </c>
      <c r="V84" s="79">
        <v>395</v>
      </c>
    </row>
    <row r="85" spans="1:22" x14ac:dyDescent="0.35">
      <c r="A85" s="78" t="s">
        <v>541</v>
      </c>
      <c r="B85" s="79">
        <v>27405</v>
      </c>
      <c r="C85" s="79">
        <v>14110</v>
      </c>
      <c r="D85" s="79">
        <v>103</v>
      </c>
      <c r="E85" s="79">
        <v>11702</v>
      </c>
      <c r="F85" s="79">
        <v>882</v>
      </c>
      <c r="G85" s="79">
        <v>1557</v>
      </c>
      <c r="H85" s="79">
        <v>4647</v>
      </c>
      <c r="I85" s="79">
        <v>1338</v>
      </c>
      <c r="J85" s="79">
        <v>289</v>
      </c>
      <c r="K85" s="79">
        <v>1459</v>
      </c>
      <c r="L85" s="79">
        <v>1632</v>
      </c>
      <c r="M85" s="79">
        <v>1514</v>
      </c>
      <c r="N85" s="79">
        <v>1514</v>
      </c>
      <c r="O85" s="79">
        <v>6704</v>
      </c>
      <c r="P85" s="79">
        <v>1883</v>
      </c>
      <c r="Q85" s="79">
        <v>2394</v>
      </c>
      <c r="R85" s="79">
        <v>1109</v>
      </c>
      <c r="S85" s="79">
        <v>1431</v>
      </c>
      <c r="T85" s="79">
        <v>532</v>
      </c>
      <c r="U85" s="79">
        <v>153</v>
      </c>
      <c r="V85" s="79">
        <v>379</v>
      </c>
    </row>
    <row r="86" spans="1:22" x14ac:dyDescent="0.35">
      <c r="A86" s="78" t="s">
        <v>542</v>
      </c>
      <c r="B86" s="79">
        <v>27143</v>
      </c>
      <c r="C86" s="79">
        <v>14052</v>
      </c>
      <c r="D86" s="79">
        <v>50</v>
      </c>
      <c r="E86" s="79">
        <v>11619</v>
      </c>
      <c r="F86" s="79">
        <v>959</v>
      </c>
      <c r="G86" s="79">
        <v>1554</v>
      </c>
      <c r="H86" s="79">
        <v>4768</v>
      </c>
      <c r="I86" s="79">
        <v>1431</v>
      </c>
      <c r="J86" s="79">
        <v>383</v>
      </c>
      <c r="K86" s="79">
        <v>1460</v>
      </c>
      <c r="L86" s="79">
        <v>1550</v>
      </c>
      <c r="M86" s="79">
        <v>1747</v>
      </c>
      <c r="N86" s="79">
        <v>1746</v>
      </c>
      <c r="O86" s="79">
        <v>6255</v>
      </c>
      <c r="P86" s="79">
        <v>1677</v>
      </c>
      <c r="Q86" s="79">
        <v>2162</v>
      </c>
      <c r="R86" s="79">
        <v>1173</v>
      </c>
      <c r="S86" s="79">
        <v>1377</v>
      </c>
      <c r="T86" s="79">
        <v>486</v>
      </c>
      <c r="U86" s="79">
        <v>121</v>
      </c>
      <c r="V86" s="79">
        <v>363</v>
      </c>
    </row>
    <row r="87" spans="1:22" x14ac:dyDescent="0.35">
      <c r="A87" s="78" t="s">
        <v>543</v>
      </c>
      <c r="B87" s="79">
        <v>27412</v>
      </c>
      <c r="C87" s="79">
        <v>14195</v>
      </c>
      <c r="D87" s="79">
        <v>28</v>
      </c>
      <c r="E87" s="79">
        <v>11764</v>
      </c>
      <c r="F87" s="79">
        <v>940</v>
      </c>
      <c r="G87" s="79">
        <v>1591</v>
      </c>
      <c r="H87" s="79">
        <v>4294</v>
      </c>
      <c r="I87" s="79">
        <v>1216</v>
      </c>
      <c r="J87" s="79">
        <v>323</v>
      </c>
      <c r="K87" s="79">
        <v>1433</v>
      </c>
      <c r="L87" s="79">
        <v>1371</v>
      </c>
      <c r="M87" s="79">
        <v>1587</v>
      </c>
      <c r="N87" s="79">
        <v>1587</v>
      </c>
      <c r="O87" s="79">
        <v>6942</v>
      </c>
      <c r="P87" s="79">
        <v>1943</v>
      </c>
      <c r="Q87" s="79">
        <v>2567</v>
      </c>
      <c r="R87" s="79">
        <v>1166</v>
      </c>
      <c r="S87" s="79">
        <v>1328</v>
      </c>
      <c r="T87" s="79">
        <v>467</v>
      </c>
      <c r="U87" s="79">
        <v>95</v>
      </c>
      <c r="V87" s="79">
        <v>370</v>
      </c>
    </row>
    <row r="88" spans="1:22" x14ac:dyDescent="0.35">
      <c r="A88" s="78" t="s">
        <v>544</v>
      </c>
      <c r="B88" s="79">
        <v>27534</v>
      </c>
      <c r="C88" s="79">
        <v>14897</v>
      </c>
      <c r="D88" s="79">
        <v>53</v>
      </c>
      <c r="E88" s="79">
        <v>12396</v>
      </c>
      <c r="F88" s="79">
        <v>954</v>
      </c>
      <c r="G88" s="79">
        <v>1639</v>
      </c>
      <c r="H88" s="79">
        <v>4263</v>
      </c>
      <c r="I88" s="79">
        <v>1250</v>
      </c>
      <c r="J88" s="79">
        <v>263</v>
      </c>
      <c r="K88" s="79">
        <v>1413</v>
      </c>
      <c r="L88" s="79">
        <v>1385</v>
      </c>
      <c r="M88" s="79">
        <v>1321</v>
      </c>
      <c r="N88" s="79">
        <v>1322</v>
      </c>
      <c r="O88" s="79">
        <v>6658</v>
      </c>
      <c r="P88" s="79">
        <v>1814</v>
      </c>
      <c r="Q88" s="79">
        <v>2510</v>
      </c>
      <c r="R88" s="79">
        <v>1095</v>
      </c>
      <c r="S88" s="79">
        <v>1295</v>
      </c>
      <c r="T88" s="79">
        <v>428</v>
      </c>
      <c r="U88" s="79">
        <v>106</v>
      </c>
      <c r="V88" s="79">
        <v>319</v>
      </c>
    </row>
    <row r="89" spans="1:22" x14ac:dyDescent="0.35">
      <c r="A89" s="78" t="s">
        <v>545</v>
      </c>
      <c r="B89" s="79">
        <v>27335</v>
      </c>
      <c r="C89" s="79">
        <v>14763</v>
      </c>
      <c r="D89" s="79">
        <v>108</v>
      </c>
      <c r="E89" s="79">
        <v>12258</v>
      </c>
      <c r="F89" s="79">
        <v>816</v>
      </c>
      <c r="G89" s="79">
        <v>1701</v>
      </c>
      <c r="H89" s="79">
        <v>4142</v>
      </c>
      <c r="I89" s="79">
        <v>1281</v>
      </c>
      <c r="J89" s="79">
        <v>278</v>
      </c>
      <c r="K89" s="79">
        <v>1310</v>
      </c>
      <c r="L89" s="79">
        <v>1312</v>
      </c>
      <c r="M89" s="79">
        <v>1660</v>
      </c>
      <c r="N89" s="79">
        <v>1659</v>
      </c>
      <c r="O89" s="79">
        <v>6451</v>
      </c>
      <c r="P89" s="79">
        <v>1812</v>
      </c>
      <c r="Q89" s="79">
        <v>2326</v>
      </c>
      <c r="R89" s="79">
        <v>1080</v>
      </c>
      <c r="S89" s="79">
        <v>1327</v>
      </c>
      <c r="T89" s="79">
        <v>398</v>
      </c>
      <c r="U89" s="79">
        <v>92</v>
      </c>
      <c r="V89" s="79">
        <v>304</v>
      </c>
    </row>
    <row r="90" spans="1:22" x14ac:dyDescent="0.35">
      <c r="A90" s="78" t="s">
        <v>546</v>
      </c>
      <c r="B90" s="79">
        <v>27035</v>
      </c>
      <c r="C90" s="79">
        <v>14636</v>
      </c>
      <c r="D90" s="79">
        <v>141</v>
      </c>
      <c r="E90" s="79">
        <v>11939</v>
      </c>
      <c r="F90" s="79">
        <v>928</v>
      </c>
      <c r="G90" s="79">
        <v>1725</v>
      </c>
      <c r="H90" s="79">
        <v>4065</v>
      </c>
      <c r="I90" s="79">
        <v>1295</v>
      </c>
      <c r="J90" s="79">
        <v>305</v>
      </c>
      <c r="K90" s="79">
        <v>1230</v>
      </c>
      <c r="L90" s="79">
        <v>1272</v>
      </c>
      <c r="M90" s="79">
        <v>1920</v>
      </c>
      <c r="N90" s="79">
        <v>1920</v>
      </c>
      <c r="O90" s="79">
        <v>6127</v>
      </c>
      <c r="P90" s="79">
        <v>1829</v>
      </c>
      <c r="Q90" s="79">
        <v>2148</v>
      </c>
      <c r="R90" s="79">
        <v>985</v>
      </c>
      <c r="S90" s="79">
        <v>1270</v>
      </c>
      <c r="T90" s="79">
        <v>407</v>
      </c>
      <c r="U90" s="79">
        <v>115</v>
      </c>
      <c r="V90" s="79">
        <v>291</v>
      </c>
    </row>
    <row r="91" spans="1:22" x14ac:dyDescent="0.35">
      <c r="A91" s="78" t="s">
        <v>547</v>
      </c>
      <c r="B91" s="79">
        <v>27668</v>
      </c>
      <c r="C91" s="79">
        <v>15475</v>
      </c>
      <c r="D91" s="79">
        <v>81</v>
      </c>
      <c r="E91" s="79">
        <v>12787</v>
      </c>
      <c r="F91" s="79">
        <v>832</v>
      </c>
      <c r="G91" s="79">
        <v>1876</v>
      </c>
      <c r="H91" s="79">
        <v>3967</v>
      </c>
      <c r="I91" s="79">
        <v>1396</v>
      </c>
      <c r="J91" s="79">
        <v>255</v>
      </c>
      <c r="K91" s="79">
        <v>1129</v>
      </c>
      <c r="L91" s="79">
        <v>1210</v>
      </c>
      <c r="M91" s="79">
        <v>1454</v>
      </c>
      <c r="N91" s="79">
        <v>1455</v>
      </c>
      <c r="O91" s="79">
        <v>6439</v>
      </c>
      <c r="P91" s="79">
        <v>1847</v>
      </c>
      <c r="Q91" s="79">
        <v>2270</v>
      </c>
      <c r="R91" s="79">
        <v>1132</v>
      </c>
      <c r="S91" s="79">
        <v>1281</v>
      </c>
      <c r="T91" s="79">
        <v>381</v>
      </c>
      <c r="U91" s="79">
        <v>78</v>
      </c>
      <c r="V91" s="79">
        <v>301</v>
      </c>
    </row>
    <row r="92" spans="1:22" x14ac:dyDescent="0.35">
      <c r="A92" s="78" t="s">
        <v>548</v>
      </c>
      <c r="B92" s="79">
        <v>27390</v>
      </c>
      <c r="C92" s="79">
        <v>15195</v>
      </c>
      <c r="D92" s="79">
        <v>135</v>
      </c>
      <c r="E92" s="79">
        <v>12410</v>
      </c>
      <c r="F92" s="79">
        <v>794</v>
      </c>
      <c r="G92" s="79">
        <v>1925</v>
      </c>
      <c r="H92" s="79">
        <v>3955</v>
      </c>
      <c r="I92" s="79">
        <v>1471</v>
      </c>
      <c r="J92" s="79">
        <v>354</v>
      </c>
      <c r="K92" s="79">
        <v>1034</v>
      </c>
      <c r="L92" s="79">
        <v>1115</v>
      </c>
      <c r="M92" s="79">
        <v>1474</v>
      </c>
      <c r="N92" s="79">
        <v>1473</v>
      </c>
      <c r="O92" s="79">
        <v>6417</v>
      </c>
      <c r="P92" s="79">
        <v>1746</v>
      </c>
      <c r="Q92" s="79">
        <v>2304</v>
      </c>
      <c r="R92" s="79">
        <v>1163</v>
      </c>
      <c r="S92" s="79">
        <v>1286</v>
      </c>
      <c r="T92" s="79">
        <v>396</v>
      </c>
      <c r="U92" s="79">
        <v>73</v>
      </c>
      <c r="V92" s="79">
        <v>321</v>
      </c>
    </row>
    <row r="93" spans="1:22" x14ac:dyDescent="0.35">
      <c r="A93" s="78" t="s">
        <v>549</v>
      </c>
      <c r="B93" s="79">
        <v>27077</v>
      </c>
      <c r="C93" s="79">
        <v>15068</v>
      </c>
      <c r="D93" s="79">
        <v>128</v>
      </c>
      <c r="E93" s="79">
        <v>12365</v>
      </c>
      <c r="F93" s="79">
        <v>812</v>
      </c>
      <c r="G93" s="79">
        <v>1850</v>
      </c>
      <c r="H93" s="79">
        <v>3947</v>
      </c>
      <c r="I93" s="79">
        <v>1562</v>
      </c>
      <c r="J93" s="79">
        <v>211</v>
      </c>
      <c r="K93" s="79">
        <v>1022</v>
      </c>
      <c r="L93" s="79">
        <v>1161</v>
      </c>
      <c r="M93" s="79">
        <v>1533</v>
      </c>
      <c r="N93" s="79">
        <v>1533</v>
      </c>
      <c r="O93" s="79">
        <v>6177</v>
      </c>
      <c r="P93" s="79">
        <v>1679</v>
      </c>
      <c r="Q93" s="79">
        <v>2272</v>
      </c>
      <c r="R93" s="79">
        <v>1046</v>
      </c>
      <c r="S93" s="79">
        <v>1253</v>
      </c>
      <c r="T93" s="79">
        <v>411</v>
      </c>
      <c r="U93" s="79">
        <v>78</v>
      </c>
      <c r="V93" s="79">
        <v>331</v>
      </c>
    </row>
    <row r="94" spans="1:22" x14ac:dyDescent="0.35">
      <c r="A94" s="78" t="s">
        <v>550</v>
      </c>
      <c r="B94" s="79">
        <v>27335</v>
      </c>
      <c r="C94" s="79">
        <v>15047</v>
      </c>
      <c r="D94" s="79">
        <v>102</v>
      </c>
      <c r="E94" s="79">
        <v>12445</v>
      </c>
      <c r="F94" s="79">
        <v>779</v>
      </c>
      <c r="G94" s="79">
        <v>1821</v>
      </c>
      <c r="H94" s="79">
        <v>4072</v>
      </c>
      <c r="I94" s="79">
        <v>1617</v>
      </c>
      <c r="J94" s="79">
        <v>247</v>
      </c>
      <c r="K94" s="79">
        <v>1036</v>
      </c>
      <c r="L94" s="79">
        <v>1181</v>
      </c>
      <c r="M94" s="79">
        <v>1680</v>
      </c>
      <c r="N94" s="79">
        <v>1680</v>
      </c>
      <c r="O94" s="79">
        <v>6189</v>
      </c>
      <c r="P94" s="79">
        <v>1717</v>
      </c>
      <c r="Q94" s="79">
        <v>2261</v>
      </c>
      <c r="R94" s="79">
        <v>1001</v>
      </c>
      <c r="S94" s="79">
        <v>1297</v>
      </c>
      <c r="T94" s="79">
        <v>425</v>
      </c>
      <c r="U94" s="79">
        <v>66</v>
      </c>
      <c r="V94" s="79">
        <v>356</v>
      </c>
    </row>
    <row r="95" spans="1:22" x14ac:dyDescent="0.35">
      <c r="A95" s="78" t="s">
        <v>551</v>
      </c>
      <c r="B95" s="79">
        <v>27503</v>
      </c>
      <c r="C95" s="79">
        <v>15211</v>
      </c>
      <c r="D95" s="79">
        <v>55</v>
      </c>
      <c r="E95" s="79">
        <v>12433</v>
      </c>
      <c r="F95" s="79">
        <v>1057</v>
      </c>
      <c r="G95" s="79">
        <v>1767</v>
      </c>
      <c r="H95" s="79">
        <v>4086</v>
      </c>
      <c r="I95" s="79">
        <v>1602</v>
      </c>
      <c r="J95" s="79">
        <v>244</v>
      </c>
      <c r="K95" s="79">
        <v>1072</v>
      </c>
      <c r="L95" s="79">
        <v>1179</v>
      </c>
      <c r="M95" s="79">
        <v>1362</v>
      </c>
      <c r="N95" s="79">
        <v>1362</v>
      </c>
      <c r="O95" s="79">
        <v>6351</v>
      </c>
      <c r="P95" s="79">
        <v>1619</v>
      </c>
      <c r="Q95" s="79">
        <v>2251</v>
      </c>
      <c r="R95" s="79">
        <v>1289</v>
      </c>
      <c r="S95" s="79">
        <v>1253</v>
      </c>
      <c r="T95" s="79">
        <v>537</v>
      </c>
      <c r="U95" s="79">
        <v>78</v>
      </c>
      <c r="V95" s="79">
        <v>455</v>
      </c>
    </row>
    <row r="96" spans="1:22" x14ac:dyDescent="0.35">
      <c r="A96" s="78" t="s">
        <v>552</v>
      </c>
      <c r="B96" s="79">
        <v>28112</v>
      </c>
      <c r="C96" s="79">
        <v>15282</v>
      </c>
      <c r="D96" s="79">
        <v>89</v>
      </c>
      <c r="E96" s="79">
        <v>12533</v>
      </c>
      <c r="F96" s="79">
        <v>1016</v>
      </c>
      <c r="G96" s="79">
        <v>1755</v>
      </c>
      <c r="H96" s="79">
        <v>4108</v>
      </c>
      <c r="I96" s="79">
        <v>1598</v>
      </c>
      <c r="J96" s="79">
        <v>283</v>
      </c>
      <c r="K96" s="79">
        <v>1141</v>
      </c>
      <c r="L96" s="79">
        <v>1085</v>
      </c>
      <c r="M96" s="79">
        <v>1375</v>
      </c>
      <c r="N96" s="79">
        <v>1375</v>
      </c>
      <c r="O96" s="79">
        <v>6546</v>
      </c>
      <c r="P96" s="79">
        <v>1660</v>
      </c>
      <c r="Q96" s="79">
        <v>2338</v>
      </c>
      <c r="R96" s="79">
        <v>1314</v>
      </c>
      <c r="S96" s="79">
        <v>1291</v>
      </c>
      <c r="T96" s="79">
        <v>802</v>
      </c>
      <c r="U96" s="79">
        <v>86</v>
      </c>
      <c r="V96" s="79">
        <v>707</v>
      </c>
    </row>
    <row r="97" spans="1:22" x14ac:dyDescent="0.35">
      <c r="A97" s="78" t="s">
        <v>553</v>
      </c>
      <c r="B97" s="79">
        <v>28818</v>
      </c>
      <c r="C97" s="79">
        <v>15369</v>
      </c>
      <c r="D97" s="79">
        <v>83</v>
      </c>
      <c r="E97" s="79">
        <v>12478</v>
      </c>
      <c r="F97" s="79">
        <v>1062</v>
      </c>
      <c r="G97" s="79">
        <v>1830</v>
      </c>
      <c r="H97" s="79">
        <v>4244</v>
      </c>
      <c r="I97" s="79">
        <v>1608</v>
      </c>
      <c r="J97" s="79">
        <v>353</v>
      </c>
      <c r="K97" s="79">
        <v>1189</v>
      </c>
      <c r="L97" s="79">
        <v>1091</v>
      </c>
      <c r="M97" s="79">
        <v>1464</v>
      </c>
      <c r="N97" s="79">
        <v>1464</v>
      </c>
      <c r="O97" s="79">
        <v>6734</v>
      </c>
      <c r="P97" s="79">
        <v>1670</v>
      </c>
      <c r="Q97" s="79">
        <v>2436</v>
      </c>
      <c r="R97" s="79">
        <v>1371</v>
      </c>
      <c r="S97" s="79">
        <v>1300</v>
      </c>
      <c r="T97" s="79">
        <v>985</v>
      </c>
      <c r="U97" s="79">
        <v>144</v>
      </c>
      <c r="V97" s="79">
        <v>832</v>
      </c>
    </row>
    <row r="98" spans="1:22" x14ac:dyDescent="0.35">
      <c r="A98" s="78" t="s">
        <v>554</v>
      </c>
      <c r="B98" s="79">
        <v>28379</v>
      </c>
      <c r="C98" s="79">
        <v>15229</v>
      </c>
      <c r="D98" s="79">
        <v>118</v>
      </c>
      <c r="E98" s="79">
        <v>12294</v>
      </c>
      <c r="F98" s="79">
        <v>1042</v>
      </c>
      <c r="G98" s="79">
        <v>1844</v>
      </c>
      <c r="H98" s="79">
        <v>4132</v>
      </c>
      <c r="I98" s="79">
        <v>1535</v>
      </c>
      <c r="J98" s="79">
        <v>311</v>
      </c>
      <c r="K98" s="79">
        <v>1222</v>
      </c>
      <c r="L98" s="79">
        <v>1062</v>
      </c>
      <c r="M98" s="79">
        <v>1496</v>
      </c>
      <c r="N98" s="79">
        <v>1496</v>
      </c>
      <c r="O98" s="79">
        <v>6549</v>
      </c>
      <c r="P98" s="79">
        <v>1706</v>
      </c>
      <c r="Q98" s="79">
        <v>2363</v>
      </c>
      <c r="R98" s="79">
        <v>1299</v>
      </c>
      <c r="S98" s="79">
        <v>1226</v>
      </c>
      <c r="T98" s="79">
        <v>959</v>
      </c>
      <c r="U98" s="79">
        <v>106</v>
      </c>
      <c r="V98" s="79">
        <v>842</v>
      </c>
    </row>
    <row r="99" spans="1:22" x14ac:dyDescent="0.35">
      <c r="A99" s="78" t="s">
        <v>555</v>
      </c>
      <c r="B99" s="79">
        <v>27808</v>
      </c>
      <c r="C99" s="79">
        <v>15274</v>
      </c>
      <c r="D99" s="79">
        <v>73</v>
      </c>
      <c r="E99" s="79">
        <v>12380</v>
      </c>
      <c r="F99" s="79">
        <v>1079</v>
      </c>
      <c r="G99" s="79">
        <v>1822</v>
      </c>
      <c r="H99" s="79">
        <v>3941</v>
      </c>
      <c r="I99" s="79">
        <v>1223</v>
      </c>
      <c r="J99" s="79">
        <v>362</v>
      </c>
      <c r="K99" s="79">
        <v>1265</v>
      </c>
      <c r="L99" s="79">
        <v>1100</v>
      </c>
      <c r="M99" s="79">
        <v>1443</v>
      </c>
      <c r="N99" s="79">
        <v>1443</v>
      </c>
      <c r="O99" s="79">
        <v>6291</v>
      </c>
      <c r="P99" s="79">
        <v>1679</v>
      </c>
      <c r="Q99" s="79">
        <v>2289</v>
      </c>
      <c r="R99" s="79">
        <v>1197</v>
      </c>
      <c r="S99" s="79">
        <v>1171</v>
      </c>
      <c r="T99" s="79">
        <v>856</v>
      </c>
      <c r="U99" s="79">
        <v>143</v>
      </c>
      <c r="V99" s="79">
        <v>706</v>
      </c>
    </row>
    <row r="100" spans="1:22" x14ac:dyDescent="0.35">
      <c r="A100" s="78" t="s">
        <v>556</v>
      </c>
      <c r="B100" s="79">
        <v>28205</v>
      </c>
      <c r="C100" s="79">
        <v>15726</v>
      </c>
      <c r="D100" s="79">
        <v>91</v>
      </c>
      <c r="E100" s="79">
        <v>12656</v>
      </c>
      <c r="F100" s="79">
        <v>1146</v>
      </c>
      <c r="G100" s="79">
        <v>1903</v>
      </c>
      <c r="H100" s="79">
        <v>3973</v>
      </c>
      <c r="I100" s="79">
        <v>1076</v>
      </c>
      <c r="J100" s="79">
        <v>487</v>
      </c>
      <c r="K100" s="79">
        <v>1285</v>
      </c>
      <c r="L100" s="79">
        <v>1141</v>
      </c>
      <c r="M100" s="79">
        <v>1224</v>
      </c>
      <c r="N100" s="79">
        <v>1224</v>
      </c>
      <c r="O100" s="79">
        <v>6344</v>
      </c>
      <c r="P100" s="79">
        <v>1704</v>
      </c>
      <c r="Q100" s="79">
        <v>2229</v>
      </c>
      <c r="R100" s="79">
        <v>1310</v>
      </c>
      <c r="S100" s="79">
        <v>1156</v>
      </c>
      <c r="T100" s="79">
        <v>928</v>
      </c>
      <c r="U100" s="79">
        <v>156</v>
      </c>
      <c r="V100" s="79">
        <v>764</v>
      </c>
    </row>
    <row r="101" spans="1:22" x14ac:dyDescent="0.35">
      <c r="A101" s="78" t="s">
        <v>557</v>
      </c>
      <c r="B101" s="79">
        <v>28162</v>
      </c>
      <c r="C101" s="79">
        <v>15562</v>
      </c>
      <c r="D101" s="79">
        <v>80</v>
      </c>
      <c r="E101" s="79">
        <v>12463</v>
      </c>
      <c r="F101" s="79">
        <v>1160</v>
      </c>
      <c r="G101" s="79">
        <v>1919</v>
      </c>
      <c r="H101" s="79">
        <v>3846</v>
      </c>
      <c r="I101" s="79">
        <v>1047</v>
      </c>
      <c r="J101" s="79">
        <v>376</v>
      </c>
      <c r="K101" s="79">
        <v>1344</v>
      </c>
      <c r="L101" s="79">
        <v>1089</v>
      </c>
      <c r="M101" s="79">
        <v>1282</v>
      </c>
      <c r="N101" s="79">
        <v>1282</v>
      </c>
      <c r="O101" s="79">
        <v>6528</v>
      </c>
      <c r="P101" s="79">
        <v>1660</v>
      </c>
      <c r="Q101" s="79">
        <v>2376</v>
      </c>
      <c r="R101" s="79">
        <v>1365</v>
      </c>
      <c r="S101" s="79">
        <v>1151</v>
      </c>
      <c r="T101" s="79">
        <v>926</v>
      </c>
      <c r="U101" s="79">
        <v>134</v>
      </c>
      <c r="V101" s="79">
        <v>784</v>
      </c>
    </row>
    <row r="102" spans="1:22" x14ac:dyDescent="0.35">
      <c r="A102" s="78" t="s">
        <v>558</v>
      </c>
      <c r="B102" s="79">
        <v>28361</v>
      </c>
      <c r="C102" s="79">
        <v>15747</v>
      </c>
      <c r="D102" s="79">
        <v>60</v>
      </c>
      <c r="E102" s="79">
        <v>12616</v>
      </c>
      <c r="F102" s="79">
        <v>1162</v>
      </c>
      <c r="G102" s="79">
        <v>1965</v>
      </c>
      <c r="H102" s="79">
        <v>3956</v>
      </c>
      <c r="I102" s="79">
        <v>1082</v>
      </c>
      <c r="J102" s="79">
        <v>423</v>
      </c>
      <c r="K102" s="79">
        <v>1291</v>
      </c>
      <c r="L102" s="79">
        <v>1179</v>
      </c>
      <c r="M102" s="79">
        <v>1317</v>
      </c>
      <c r="N102" s="79">
        <v>1317</v>
      </c>
      <c r="O102" s="79">
        <v>6400</v>
      </c>
      <c r="P102" s="79">
        <v>1594</v>
      </c>
      <c r="Q102" s="79">
        <v>2306</v>
      </c>
      <c r="R102" s="79">
        <v>1350</v>
      </c>
      <c r="S102" s="79">
        <v>1182</v>
      </c>
      <c r="T102" s="79">
        <v>932</v>
      </c>
      <c r="U102" s="79">
        <v>186</v>
      </c>
      <c r="V102" s="79">
        <v>741</v>
      </c>
    </row>
    <row r="103" spans="1:22" x14ac:dyDescent="0.35">
      <c r="A103" s="78" t="s">
        <v>559</v>
      </c>
      <c r="B103" s="79">
        <v>28452</v>
      </c>
      <c r="C103" s="79">
        <v>15876</v>
      </c>
      <c r="D103" s="79">
        <v>63</v>
      </c>
      <c r="E103" s="79">
        <v>12517</v>
      </c>
      <c r="F103" s="79">
        <v>1215</v>
      </c>
      <c r="G103" s="79">
        <v>2110</v>
      </c>
      <c r="H103" s="79">
        <v>4164</v>
      </c>
      <c r="I103" s="79">
        <v>1128</v>
      </c>
      <c r="J103" s="79">
        <v>492</v>
      </c>
      <c r="K103" s="79">
        <v>1384</v>
      </c>
      <c r="L103" s="79">
        <v>1177</v>
      </c>
      <c r="M103" s="79">
        <v>1362</v>
      </c>
      <c r="N103" s="79">
        <v>1363</v>
      </c>
      <c r="O103" s="79">
        <v>6084</v>
      </c>
      <c r="P103" s="79">
        <v>1560</v>
      </c>
      <c r="Q103" s="79">
        <v>2143</v>
      </c>
      <c r="R103" s="79">
        <v>1225</v>
      </c>
      <c r="S103" s="79">
        <v>1217</v>
      </c>
      <c r="T103" s="79">
        <v>945</v>
      </c>
      <c r="U103" s="79">
        <v>162</v>
      </c>
      <c r="V103" s="79">
        <v>777</v>
      </c>
    </row>
    <row r="104" spans="1:22" x14ac:dyDescent="0.35">
      <c r="A104" s="78" t="s">
        <v>560</v>
      </c>
      <c r="B104" s="79">
        <v>28295</v>
      </c>
      <c r="C104" s="79">
        <v>15853</v>
      </c>
      <c r="D104" s="79">
        <v>59</v>
      </c>
      <c r="E104" s="79">
        <v>12496</v>
      </c>
      <c r="F104" s="79">
        <v>1230</v>
      </c>
      <c r="G104" s="79">
        <v>2099</v>
      </c>
      <c r="H104" s="79">
        <v>4165</v>
      </c>
      <c r="I104" s="79">
        <v>1201</v>
      </c>
      <c r="J104" s="79">
        <v>268</v>
      </c>
      <c r="K104" s="79">
        <v>1440</v>
      </c>
      <c r="L104" s="79">
        <v>1263</v>
      </c>
      <c r="M104" s="79">
        <v>1421</v>
      </c>
      <c r="N104" s="79">
        <v>1421</v>
      </c>
      <c r="O104" s="79">
        <v>5924</v>
      </c>
      <c r="P104" s="79">
        <v>1532</v>
      </c>
      <c r="Q104" s="79">
        <v>2076</v>
      </c>
      <c r="R104" s="79">
        <v>1254</v>
      </c>
      <c r="S104" s="79">
        <v>1109</v>
      </c>
      <c r="T104" s="79">
        <v>909</v>
      </c>
      <c r="U104" s="79">
        <v>176</v>
      </c>
      <c r="V104" s="79">
        <v>726</v>
      </c>
    </row>
    <row r="105" spans="1:22" x14ac:dyDescent="0.35">
      <c r="A105" s="78" t="s">
        <v>561</v>
      </c>
      <c r="B105" s="79">
        <v>28986</v>
      </c>
      <c r="C105" s="79">
        <v>16045</v>
      </c>
      <c r="D105" s="79">
        <v>41</v>
      </c>
      <c r="E105" s="79">
        <v>12673</v>
      </c>
      <c r="F105" s="79">
        <v>1177</v>
      </c>
      <c r="G105" s="79">
        <v>2183</v>
      </c>
      <c r="H105" s="79">
        <v>4226</v>
      </c>
      <c r="I105" s="79">
        <v>1220</v>
      </c>
      <c r="J105" s="79">
        <v>302</v>
      </c>
      <c r="K105" s="79">
        <v>1441</v>
      </c>
      <c r="L105" s="79">
        <v>1273</v>
      </c>
      <c r="M105" s="79">
        <v>1504</v>
      </c>
      <c r="N105" s="79">
        <v>1504</v>
      </c>
      <c r="O105" s="79">
        <v>6335</v>
      </c>
      <c r="P105" s="79">
        <v>1615</v>
      </c>
      <c r="Q105" s="79">
        <v>2138</v>
      </c>
      <c r="R105" s="79">
        <v>1482</v>
      </c>
      <c r="S105" s="79">
        <v>1148</v>
      </c>
      <c r="T105" s="79">
        <v>865</v>
      </c>
      <c r="U105" s="79">
        <v>145</v>
      </c>
      <c r="V105" s="79">
        <v>713</v>
      </c>
    </row>
    <row r="106" spans="1:22" x14ac:dyDescent="0.35">
      <c r="A106" s="78" t="s">
        <v>562</v>
      </c>
      <c r="B106" s="79">
        <v>29947</v>
      </c>
      <c r="C106" s="79">
        <v>16475</v>
      </c>
      <c r="D106" s="79">
        <v>78</v>
      </c>
      <c r="E106" s="79">
        <v>12980</v>
      </c>
      <c r="F106" s="79">
        <v>1210</v>
      </c>
      <c r="G106" s="79">
        <v>2235</v>
      </c>
      <c r="H106" s="79">
        <v>4213</v>
      </c>
      <c r="I106" s="79">
        <v>1246</v>
      </c>
      <c r="J106" s="79">
        <v>363</v>
      </c>
      <c r="K106" s="79">
        <v>1449</v>
      </c>
      <c r="L106" s="79">
        <v>1161</v>
      </c>
      <c r="M106" s="79">
        <v>1508</v>
      </c>
      <c r="N106" s="79">
        <v>1507</v>
      </c>
      <c r="O106" s="79">
        <v>6732</v>
      </c>
      <c r="P106" s="79">
        <v>1993</v>
      </c>
      <c r="Q106" s="79">
        <v>2177</v>
      </c>
      <c r="R106" s="79">
        <v>1396</v>
      </c>
      <c r="S106" s="79">
        <v>1273</v>
      </c>
      <c r="T106" s="79">
        <v>1007</v>
      </c>
      <c r="U106" s="79">
        <v>255</v>
      </c>
      <c r="V106" s="79">
        <v>745</v>
      </c>
    </row>
    <row r="107" spans="1:22" x14ac:dyDescent="0.35">
      <c r="A107" s="78" t="s">
        <v>563</v>
      </c>
      <c r="B107" s="79">
        <v>29782</v>
      </c>
      <c r="C107" s="79">
        <v>16721</v>
      </c>
      <c r="D107" s="79">
        <v>165</v>
      </c>
      <c r="E107" s="79">
        <v>13226</v>
      </c>
      <c r="F107" s="79">
        <v>1172</v>
      </c>
      <c r="G107" s="79">
        <v>2196</v>
      </c>
      <c r="H107" s="79">
        <v>4276</v>
      </c>
      <c r="I107" s="79">
        <v>1276</v>
      </c>
      <c r="J107" s="79">
        <v>285</v>
      </c>
      <c r="K107" s="79">
        <v>1476</v>
      </c>
      <c r="L107" s="79">
        <v>1242</v>
      </c>
      <c r="M107" s="79">
        <v>1573</v>
      </c>
      <c r="N107" s="79">
        <v>1573</v>
      </c>
      <c r="O107" s="79">
        <v>6076</v>
      </c>
      <c r="P107" s="79">
        <v>1511</v>
      </c>
      <c r="Q107" s="79">
        <v>2149</v>
      </c>
      <c r="R107" s="79">
        <v>1314</v>
      </c>
      <c r="S107" s="79">
        <v>1149</v>
      </c>
      <c r="T107" s="79">
        <v>1096</v>
      </c>
      <c r="U107" s="79">
        <v>213</v>
      </c>
      <c r="V107" s="79">
        <v>875</v>
      </c>
    </row>
    <row r="108" spans="1:22" x14ac:dyDescent="0.35">
      <c r="A108" s="78" t="s">
        <v>564</v>
      </c>
      <c r="B108" s="79">
        <v>30101</v>
      </c>
      <c r="C108" s="79">
        <v>16531</v>
      </c>
      <c r="D108" s="79">
        <v>90</v>
      </c>
      <c r="E108" s="79">
        <v>12989</v>
      </c>
      <c r="F108" s="79">
        <v>1270</v>
      </c>
      <c r="G108" s="79">
        <v>2209</v>
      </c>
      <c r="H108" s="79">
        <v>4531</v>
      </c>
      <c r="I108" s="79">
        <v>1249</v>
      </c>
      <c r="J108" s="79">
        <v>498</v>
      </c>
      <c r="K108" s="79">
        <v>1488</v>
      </c>
      <c r="L108" s="79">
        <v>1314</v>
      </c>
      <c r="M108" s="79">
        <v>1521</v>
      </c>
      <c r="N108" s="79">
        <v>1521</v>
      </c>
      <c r="O108" s="79">
        <v>6336</v>
      </c>
      <c r="P108" s="79">
        <v>1827</v>
      </c>
      <c r="Q108" s="79">
        <v>2191</v>
      </c>
      <c r="R108" s="79">
        <v>1240</v>
      </c>
      <c r="S108" s="79">
        <v>1141</v>
      </c>
      <c r="T108" s="79">
        <v>1143</v>
      </c>
      <c r="U108" s="79">
        <v>237</v>
      </c>
      <c r="V108" s="79">
        <v>898</v>
      </c>
    </row>
    <row r="109" spans="1:22" x14ac:dyDescent="0.35">
      <c r="A109" s="78" t="s">
        <v>565</v>
      </c>
      <c r="B109" s="79">
        <v>30431</v>
      </c>
      <c r="C109" s="79">
        <v>16886</v>
      </c>
      <c r="D109" s="79">
        <v>108</v>
      </c>
      <c r="E109" s="79">
        <v>13202</v>
      </c>
      <c r="F109" s="79">
        <v>1297</v>
      </c>
      <c r="G109" s="79">
        <v>2299</v>
      </c>
      <c r="H109" s="79">
        <v>4279</v>
      </c>
      <c r="I109" s="79">
        <v>1254</v>
      </c>
      <c r="J109" s="79">
        <v>374</v>
      </c>
      <c r="K109" s="79">
        <v>1527</v>
      </c>
      <c r="L109" s="79">
        <v>1132</v>
      </c>
      <c r="M109" s="79">
        <v>1542</v>
      </c>
      <c r="N109" s="79">
        <v>1542</v>
      </c>
      <c r="O109" s="79">
        <v>6400</v>
      </c>
      <c r="P109" s="79">
        <v>1901</v>
      </c>
      <c r="Q109" s="79">
        <v>2184</v>
      </c>
      <c r="R109" s="79">
        <v>1234</v>
      </c>
      <c r="S109" s="79">
        <v>1152</v>
      </c>
      <c r="T109" s="79">
        <v>1283</v>
      </c>
      <c r="U109" s="79">
        <v>319</v>
      </c>
      <c r="V109" s="79">
        <v>954</v>
      </c>
    </row>
    <row r="110" spans="1:22" x14ac:dyDescent="0.35">
      <c r="A110" s="78" t="s">
        <v>566</v>
      </c>
      <c r="B110" s="79">
        <v>30372</v>
      </c>
      <c r="C110" s="79">
        <v>16959</v>
      </c>
      <c r="D110" s="79">
        <v>175</v>
      </c>
      <c r="E110" s="79">
        <v>13108</v>
      </c>
      <c r="F110" s="79">
        <v>1346</v>
      </c>
      <c r="G110" s="79">
        <v>2337</v>
      </c>
      <c r="H110" s="79">
        <v>4410</v>
      </c>
      <c r="I110" s="79">
        <v>1301</v>
      </c>
      <c r="J110" s="79">
        <v>398</v>
      </c>
      <c r="K110" s="79">
        <v>1523</v>
      </c>
      <c r="L110" s="79">
        <v>1198</v>
      </c>
      <c r="M110" s="79">
        <v>1509</v>
      </c>
      <c r="N110" s="79">
        <v>1509</v>
      </c>
      <c r="O110" s="79">
        <v>6212</v>
      </c>
      <c r="P110" s="79">
        <v>1684</v>
      </c>
      <c r="Q110" s="79">
        <v>2257</v>
      </c>
      <c r="R110" s="79">
        <v>1187</v>
      </c>
      <c r="S110" s="79">
        <v>1127</v>
      </c>
      <c r="T110" s="79">
        <v>1233</v>
      </c>
      <c r="U110" s="79">
        <v>284</v>
      </c>
      <c r="V110" s="79">
        <v>941</v>
      </c>
    </row>
    <row r="111" spans="1:22" x14ac:dyDescent="0.35">
      <c r="A111" s="78" t="s">
        <v>567</v>
      </c>
      <c r="B111" s="79">
        <v>29965</v>
      </c>
      <c r="C111" s="79">
        <v>16874</v>
      </c>
      <c r="D111" s="79">
        <v>15</v>
      </c>
      <c r="E111" s="79">
        <v>13183</v>
      </c>
      <c r="F111" s="79">
        <v>1331</v>
      </c>
      <c r="G111" s="79">
        <v>2359</v>
      </c>
      <c r="H111" s="79">
        <v>4245</v>
      </c>
      <c r="I111" s="79">
        <v>1287</v>
      </c>
      <c r="J111" s="79">
        <v>487</v>
      </c>
      <c r="K111" s="79">
        <v>1384</v>
      </c>
      <c r="L111" s="79">
        <v>1102</v>
      </c>
      <c r="M111" s="79">
        <v>1407</v>
      </c>
      <c r="N111" s="79">
        <v>1407</v>
      </c>
      <c r="O111" s="79">
        <v>6168</v>
      </c>
      <c r="P111" s="79">
        <v>1816</v>
      </c>
      <c r="Q111" s="79">
        <v>2099</v>
      </c>
      <c r="R111" s="79">
        <v>1251</v>
      </c>
      <c r="S111" s="79">
        <v>1056</v>
      </c>
      <c r="T111" s="79">
        <v>1219</v>
      </c>
      <c r="U111" s="79">
        <v>356</v>
      </c>
      <c r="V111" s="79">
        <v>857</v>
      </c>
    </row>
    <row r="112" spans="1:22" x14ac:dyDescent="0.35">
      <c r="A112" s="78" t="s">
        <v>568</v>
      </c>
      <c r="B112" s="79">
        <v>30397</v>
      </c>
      <c r="C112" s="79">
        <v>17239</v>
      </c>
      <c r="D112" s="79">
        <v>132</v>
      </c>
      <c r="E112" s="79">
        <v>13416</v>
      </c>
      <c r="F112" s="79">
        <v>1341</v>
      </c>
      <c r="G112" s="79">
        <v>2365</v>
      </c>
      <c r="H112" s="79">
        <v>4353</v>
      </c>
      <c r="I112" s="79">
        <v>1348</v>
      </c>
      <c r="J112" s="79">
        <v>562</v>
      </c>
      <c r="K112" s="79">
        <v>1422</v>
      </c>
      <c r="L112" s="79">
        <v>1035</v>
      </c>
      <c r="M112" s="79">
        <v>1476</v>
      </c>
      <c r="N112" s="79">
        <v>1476</v>
      </c>
      <c r="O112" s="79">
        <v>6163</v>
      </c>
      <c r="P112" s="79">
        <v>1682</v>
      </c>
      <c r="Q112" s="79">
        <v>2137</v>
      </c>
      <c r="R112" s="79">
        <v>1332</v>
      </c>
      <c r="S112" s="79">
        <v>1054</v>
      </c>
      <c r="T112" s="79">
        <v>1121</v>
      </c>
      <c r="U112" s="79">
        <v>309</v>
      </c>
      <c r="V112" s="79">
        <v>806</v>
      </c>
    </row>
    <row r="113" spans="1:22" x14ac:dyDescent="0.35">
      <c r="A113" s="78" t="s">
        <v>569</v>
      </c>
      <c r="B113" s="79">
        <v>30667</v>
      </c>
      <c r="C113" s="79">
        <v>17301</v>
      </c>
      <c r="D113" s="79">
        <v>106</v>
      </c>
      <c r="E113" s="79">
        <v>13483</v>
      </c>
      <c r="F113" s="79">
        <v>1339</v>
      </c>
      <c r="G113" s="79">
        <v>2389</v>
      </c>
      <c r="H113" s="79">
        <v>4563</v>
      </c>
      <c r="I113" s="79">
        <v>1419</v>
      </c>
      <c r="J113" s="79">
        <v>609</v>
      </c>
      <c r="K113" s="79">
        <v>1403</v>
      </c>
      <c r="L113" s="79">
        <v>1152</v>
      </c>
      <c r="M113" s="79">
        <v>1603</v>
      </c>
      <c r="N113" s="79">
        <v>1603</v>
      </c>
      <c r="O113" s="79">
        <v>6175</v>
      </c>
      <c r="P113" s="79">
        <v>1613</v>
      </c>
      <c r="Q113" s="79">
        <v>2184</v>
      </c>
      <c r="R113" s="79">
        <v>1338</v>
      </c>
      <c r="S113" s="79">
        <v>1079</v>
      </c>
      <c r="T113" s="79">
        <v>992</v>
      </c>
      <c r="U113" s="79">
        <v>189</v>
      </c>
      <c r="V113" s="79">
        <v>795</v>
      </c>
    </row>
    <row r="114" spans="1:22" x14ac:dyDescent="0.35">
      <c r="A114" s="78" t="s">
        <v>570</v>
      </c>
      <c r="B114" s="79">
        <v>31013</v>
      </c>
      <c r="C114" s="79">
        <v>17596</v>
      </c>
      <c r="D114" s="79">
        <v>37</v>
      </c>
      <c r="E114" s="79">
        <v>13838</v>
      </c>
      <c r="F114" s="79">
        <v>1310</v>
      </c>
      <c r="G114" s="79">
        <v>2435</v>
      </c>
      <c r="H114" s="79">
        <v>4443</v>
      </c>
      <c r="I114" s="79">
        <v>1457</v>
      </c>
      <c r="J114" s="79">
        <v>389</v>
      </c>
      <c r="K114" s="79">
        <v>1455</v>
      </c>
      <c r="L114" s="79">
        <v>1148</v>
      </c>
      <c r="M114" s="79">
        <v>1498</v>
      </c>
      <c r="N114" s="79">
        <v>1498</v>
      </c>
      <c r="O114" s="79">
        <v>6404</v>
      </c>
      <c r="P114" s="79">
        <v>1678</v>
      </c>
      <c r="Q114" s="79">
        <v>2300</v>
      </c>
      <c r="R114" s="79">
        <v>1357</v>
      </c>
      <c r="S114" s="79">
        <v>1102</v>
      </c>
      <c r="T114" s="79">
        <v>1038</v>
      </c>
      <c r="U114" s="79">
        <v>198</v>
      </c>
      <c r="V114" s="79">
        <v>831</v>
      </c>
    </row>
    <row r="115" spans="1:22" x14ac:dyDescent="0.35">
      <c r="A115" s="78" t="s">
        <v>571</v>
      </c>
      <c r="B115" s="79">
        <v>31067</v>
      </c>
      <c r="C115" s="79">
        <v>17657</v>
      </c>
      <c r="D115" s="79">
        <v>18</v>
      </c>
      <c r="E115" s="79">
        <v>13788</v>
      </c>
      <c r="F115" s="79">
        <v>1385</v>
      </c>
      <c r="G115" s="79">
        <v>2481</v>
      </c>
      <c r="H115" s="79">
        <v>4503</v>
      </c>
      <c r="I115" s="79">
        <v>1501</v>
      </c>
      <c r="J115" s="79">
        <v>393</v>
      </c>
      <c r="K115" s="79">
        <v>1462</v>
      </c>
      <c r="L115" s="79">
        <v>1153</v>
      </c>
      <c r="M115" s="79">
        <v>1455</v>
      </c>
      <c r="N115" s="79">
        <v>1455</v>
      </c>
      <c r="O115" s="79">
        <v>6419</v>
      </c>
      <c r="P115" s="79">
        <v>1926</v>
      </c>
      <c r="Q115" s="79">
        <v>2157</v>
      </c>
      <c r="R115" s="79">
        <v>1279</v>
      </c>
      <c r="S115" s="79">
        <v>1122</v>
      </c>
      <c r="T115" s="79">
        <v>998</v>
      </c>
      <c r="U115" s="79">
        <v>184</v>
      </c>
      <c r="V115" s="79">
        <v>805</v>
      </c>
    </row>
    <row r="116" spans="1:22" x14ac:dyDescent="0.35">
      <c r="A116" s="78" t="s">
        <v>572</v>
      </c>
      <c r="B116" s="79">
        <v>31966</v>
      </c>
      <c r="C116" s="79">
        <v>18088</v>
      </c>
      <c r="D116" s="79">
        <v>19</v>
      </c>
      <c r="E116" s="79">
        <v>14138</v>
      </c>
      <c r="F116" s="79">
        <v>1383</v>
      </c>
      <c r="G116" s="79">
        <v>2561</v>
      </c>
      <c r="H116" s="79">
        <v>4645</v>
      </c>
      <c r="I116" s="79">
        <v>1547</v>
      </c>
      <c r="J116" s="79">
        <v>544</v>
      </c>
      <c r="K116" s="79">
        <v>1444</v>
      </c>
      <c r="L116" s="79">
        <v>1128</v>
      </c>
      <c r="M116" s="79">
        <v>1461</v>
      </c>
      <c r="N116" s="79">
        <v>1461</v>
      </c>
      <c r="O116" s="79">
        <v>6696</v>
      </c>
      <c r="P116" s="79">
        <v>2026</v>
      </c>
      <c r="Q116" s="79">
        <v>2303</v>
      </c>
      <c r="R116" s="79">
        <v>1283</v>
      </c>
      <c r="S116" s="79">
        <v>1148</v>
      </c>
      <c r="T116" s="79">
        <v>1042</v>
      </c>
      <c r="U116" s="79">
        <v>189</v>
      </c>
      <c r="V116" s="79">
        <v>843</v>
      </c>
    </row>
    <row r="117" spans="1:22" x14ac:dyDescent="0.35">
      <c r="A117" s="78" t="s">
        <v>573</v>
      </c>
      <c r="B117" s="79">
        <v>32613</v>
      </c>
      <c r="C117" s="79">
        <v>18222</v>
      </c>
      <c r="D117" s="79">
        <v>8</v>
      </c>
      <c r="E117" s="79">
        <v>14238</v>
      </c>
      <c r="F117" s="79">
        <v>1430</v>
      </c>
      <c r="G117" s="79">
        <v>2561</v>
      </c>
      <c r="H117" s="79">
        <v>4703</v>
      </c>
      <c r="I117" s="79">
        <v>1608</v>
      </c>
      <c r="J117" s="79">
        <v>530</v>
      </c>
      <c r="K117" s="79">
        <v>1429</v>
      </c>
      <c r="L117" s="79">
        <v>1153</v>
      </c>
      <c r="M117" s="79">
        <v>1513</v>
      </c>
      <c r="N117" s="79">
        <v>1513</v>
      </c>
      <c r="O117" s="79">
        <v>7015</v>
      </c>
      <c r="P117" s="79">
        <v>1997</v>
      </c>
      <c r="Q117" s="79">
        <v>2513</v>
      </c>
      <c r="R117" s="79">
        <v>1374</v>
      </c>
      <c r="S117" s="79">
        <v>1176</v>
      </c>
      <c r="T117" s="79">
        <v>1127</v>
      </c>
      <c r="U117" s="79">
        <v>344</v>
      </c>
      <c r="V117" s="79">
        <v>780</v>
      </c>
    </row>
    <row r="118" spans="1:22" x14ac:dyDescent="0.35">
      <c r="A118" s="78" t="s">
        <v>574</v>
      </c>
      <c r="B118" s="79">
        <v>33439</v>
      </c>
      <c r="C118" s="79">
        <v>18357</v>
      </c>
      <c r="D118" s="79">
        <v>11</v>
      </c>
      <c r="E118" s="79">
        <v>14280</v>
      </c>
      <c r="F118" s="79">
        <v>1430</v>
      </c>
      <c r="G118" s="79">
        <v>2642</v>
      </c>
      <c r="H118" s="79">
        <v>4851</v>
      </c>
      <c r="I118" s="79">
        <v>1695</v>
      </c>
      <c r="J118" s="79">
        <v>502</v>
      </c>
      <c r="K118" s="79">
        <v>1403</v>
      </c>
      <c r="L118" s="79">
        <v>1269</v>
      </c>
      <c r="M118" s="79">
        <v>1679</v>
      </c>
      <c r="N118" s="79">
        <v>1679</v>
      </c>
      <c r="O118" s="79">
        <v>7238</v>
      </c>
      <c r="P118" s="79">
        <v>1985</v>
      </c>
      <c r="Q118" s="79">
        <v>2857</v>
      </c>
      <c r="R118" s="79">
        <v>1313</v>
      </c>
      <c r="S118" s="79">
        <v>1092</v>
      </c>
      <c r="T118" s="79">
        <v>1278</v>
      </c>
      <c r="U118" s="79">
        <v>289</v>
      </c>
      <c r="V118" s="79">
        <v>979</v>
      </c>
    </row>
    <row r="119" spans="1:22" x14ac:dyDescent="0.35">
      <c r="A119" s="78" t="s">
        <v>575</v>
      </c>
      <c r="B119" s="79">
        <v>32911</v>
      </c>
      <c r="C119" s="79">
        <v>18168</v>
      </c>
      <c r="D119" s="79">
        <v>46</v>
      </c>
      <c r="E119" s="79">
        <v>14315</v>
      </c>
      <c r="F119" s="79">
        <v>1334</v>
      </c>
      <c r="G119" s="79">
        <v>2499</v>
      </c>
      <c r="H119" s="79">
        <v>5047</v>
      </c>
      <c r="I119" s="79">
        <v>1740</v>
      </c>
      <c r="J119" s="79">
        <v>491</v>
      </c>
      <c r="K119" s="79">
        <v>1510</v>
      </c>
      <c r="L119" s="79">
        <v>1319</v>
      </c>
      <c r="M119" s="79">
        <v>1655</v>
      </c>
      <c r="N119" s="79">
        <v>1655</v>
      </c>
      <c r="O119" s="79">
        <v>6867</v>
      </c>
      <c r="P119" s="79">
        <v>1826</v>
      </c>
      <c r="Q119" s="79">
        <v>2383</v>
      </c>
      <c r="R119" s="79">
        <v>1559</v>
      </c>
      <c r="S119" s="79">
        <v>1136</v>
      </c>
      <c r="T119" s="79">
        <v>1134</v>
      </c>
      <c r="U119" s="79">
        <v>362</v>
      </c>
      <c r="V119" s="79">
        <v>771</v>
      </c>
    </row>
    <row r="120" spans="1:22" x14ac:dyDescent="0.35">
      <c r="A120" s="78" t="s">
        <v>576</v>
      </c>
      <c r="B120" s="79">
        <v>32909</v>
      </c>
      <c r="C120" s="79">
        <v>18312</v>
      </c>
      <c r="D120" s="79">
        <v>17</v>
      </c>
      <c r="E120" s="79">
        <v>14406</v>
      </c>
      <c r="F120" s="79">
        <v>1391</v>
      </c>
      <c r="G120" s="79">
        <v>2522</v>
      </c>
      <c r="H120" s="79">
        <v>4933</v>
      </c>
      <c r="I120" s="79">
        <v>1811</v>
      </c>
      <c r="J120" s="79">
        <v>378</v>
      </c>
      <c r="K120" s="79">
        <v>1592</v>
      </c>
      <c r="L120" s="79">
        <v>1155</v>
      </c>
      <c r="M120" s="79">
        <v>1709</v>
      </c>
      <c r="N120" s="79">
        <v>1709</v>
      </c>
      <c r="O120" s="79">
        <v>6837</v>
      </c>
      <c r="P120" s="79">
        <v>1806</v>
      </c>
      <c r="Q120" s="79">
        <v>2349</v>
      </c>
      <c r="R120" s="79">
        <v>1595</v>
      </c>
      <c r="S120" s="79">
        <v>1126</v>
      </c>
      <c r="T120" s="79">
        <v>1084</v>
      </c>
      <c r="U120" s="79">
        <v>304</v>
      </c>
      <c r="V120" s="79">
        <v>776</v>
      </c>
    </row>
    <row r="121" spans="1:22" x14ac:dyDescent="0.35">
      <c r="A121" s="78" t="s">
        <v>577</v>
      </c>
      <c r="B121" s="79">
        <v>33557</v>
      </c>
      <c r="C121" s="79">
        <v>18547</v>
      </c>
      <c r="D121" s="79">
        <v>23</v>
      </c>
      <c r="E121" s="79">
        <v>14677</v>
      </c>
      <c r="F121" s="79">
        <v>1353</v>
      </c>
      <c r="G121" s="79">
        <v>2525</v>
      </c>
      <c r="H121" s="79">
        <v>5332</v>
      </c>
      <c r="I121" s="79">
        <v>1904</v>
      </c>
      <c r="J121" s="79">
        <v>380</v>
      </c>
      <c r="K121" s="79">
        <v>1703</v>
      </c>
      <c r="L121" s="79">
        <v>1348</v>
      </c>
      <c r="M121" s="79">
        <v>1710</v>
      </c>
      <c r="N121" s="79">
        <v>1709</v>
      </c>
      <c r="O121" s="79">
        <v>6792</v>
      </c>
      <c r="P121" s="79">
        <v>1890</v>
      </c>
      <c r="Q121" s="79">
        <v>2292</v>
      </c>
      <c r="R121" s="79">
        <v>1580</v>
      </c>
      <c r="S121" s="79">
        <v>1072</v>
      </c>
      <c r="T121" s="79">
        <v>1129</v>
      </c>
      <c r="U121" s="79">
        <v>313</v>
      </c>
      <c r="V121" s="79">
        <v>812</v>
      </c>
    </row>
    <row r="122" spans="1:22" x14ac:dyDescent="0.35">
      <c r="A122" s="78" t="s">
        <v>578</v>
      </c>
      <c r="B122" s="79">
        <v>34561</v>
      </c>
      <c r="C122" s="79">
        <v>18610</v>
      </c>
      <c r="D122" s="79">
        <v>42</v>
      </c>
      <c r="E122" s="79">
        <v>14617</v>
      </c>
      <c r="F122" s="79">
        <v>1426</v>
      </c>
      <c r="G122" s="79">
        <v>2549</v>
      </c>
      <c r="H122" s="79">
        <v>5521</v>
      </c>
      <c r="I122" s="79">
        <v>1917</v>
      </c>
      <c r="J122" s="79">
        <v>461</v>
      </c>
      <c r="K122" s="79">
        <v>1731</v>
      </c>
      <c r="L122" s="79">
        <v>1419</v>
      </c>
      <c r="M122" s="79">
        <v>1717</v>
      </c>
      <c r="N122" s="79">
        <v>1717</v>
      </c>
      <c r="O122" s="79">
        <v>7628</v>
      </c>
      <c r="P122" s="79">
        <v>2297</v>
      </c>
      <c r="Q122" s="79">
        <v>2582</v>
      </c>
      <c r="R122" s="79">
        <v>1722</v>
      </c>
      <c r="S122" s="79">
        <v>1071</v>
      </c>
      <c r="T122" s="79">
        <v>1066</v>
      </c>
      <c r="U122" s="79">
        <v>268</v>
      </c>
      <c r="V122" s="79">
        <v>792</v>
      </c>
    </row>
    <row r="123" spans="1:22" x14ac:dyDescent="0.35">
      <c r="A123" s="78" t="s">
        <v>579</v>
      </c>
      <c r="B123" s="79">
        <v>35144</v>
      </c>
      <c r="C123" s="79">
        <v>18756</v>
      </c>
      <c r="D123" s="79">
        <v>55</v>
      </c>
      <c r="E123" s="79">
        <v>14801</v>
      </c>
      <c r="F123" s="79">
        <v>1309</v>
      </c>
      <c r="G123" s="79">
        <v>2616</v>
      </c>
      <c r="H123" s="79">
        <v>5658</v>
      </c>
      <c r="I123" s="79">
        <v>2115</v>
      </c>
      <c r="J123" s="79">
        <v>421</v>
      </c>
      <c r="K123" s="79">
        <v>1677</v>
      </c>
      <c r="L123" s="79">
        <v>1454</v>
      </c>
      <c r="M123" s="79">
        <v>1677</v>
      </c>
      <c r="N123" s="79">
        <v>1677</v>
      </c>
      <c r="O123" s="79">
        <v>7659</v>
      </c>
      <c r="P123" s="79">
        <v>1374</v>
      </c>
      <c r="Q123" s="79">
        <v>3189</v>
      </c>
      <c r="R123" s="79">
        <v>1882</v>
      </c>
      <c r="S123" s="79">
        <v>1196</v>
      </c>
      <c r="T123" s="79">
        <v>1352</v>
      </c>
      <c r="U123" s="79">
        <v>415</v>
      </c>
      <c r="V123" s="79">
        <v>934</v>
      </c>
    </row>
    <row r="124" spans="1:22" x14ac:dyDescent="0.35">
      <c r="A124" s="78" t="s">
        <v>580</v>
      </c>
      <c r="B124" s="79">
        <v>35316</v>
      </c>
      <c r="C124" s="79">
        <v>18549</v>
      </c>
      <c r="D124" s="79">
        <v>68</v>
      </c>
      <c r="E124" s="79">
        <v>14565</v>
      </c>
      <c r="F124" s="79">
        <v>1267</v>
      </c>
      <c r="G124" s="79">
        <v>2663</v>
      </c>
      <c r="H124" s="79">
        <v>5713</v>
      </c>
      <c r="I124" s="79">
        <v>2143</v>
      </c>
      <c r="J124" s="79">
        <v>470</v>
      </c>
      <c r="K124" s="79">
        <v>1738</v>
      </c>
      <c r="L124" s="79">
        <v>1372</v>
      </c>
      <c r="M124" s="79">
        <v>1669</v>
      </c>
      <c r="N124" s="79">
        <v>1669</v>
      </c>
      <c r="O124" s="79">
        <v>8155</v>
      </c>
      <c r="P124" s="79">
        <v>1734</v>
      </c>
      <c r="Q124" s="79">
        <v>3334</v>
      </c>
      <c r="R124" s="79">
        <v>1906</v>
      </c>
      <c r="S124" s="79">
        <v>1164</v>
      </c>
      <c r="T124" s="79">
        <v>1211</v>
      </c>
      <c r="U124" s="79">
        <v>249</v>
      </c>
      <c r="V124" s="79">
        <v>953</v>
      </c>
    </row>
    <row r="125" spans="1:22" x14ac:dyDescent="0.35">
      <c r="A125" s="78" t="s">
        <v>581</v>
      </c>
      <c r="B125" s="79">
        <v>35559</v>
      </c>
      <c r="C125" s="79">
        <v>18656</v>
      </c>
      <c r="D125" s="79">
        <v>66</v>
      </c>
      <c r="E125" s="79">
        <v>14536</v>
      </c>
      <c r="F125" s="79">
        <v>1329</v>
      </c>
      <c r="G125" s="79">
        <v>2732</v>
      </c>
      <c r="H125" s="79">
        <v>5655</v>
      </c>
      <c r="I125" s="79">
        <v>2178</v>
      </c>
      <c r="J125" s="79">
        <v>354</v>
      </c>
      <c r="K125" s="79">
        <v>1755</v>
      </c>
      <c r="L125" s="79">
        <v>1371</v>
      </c>
      <c r="M125" s="79">
        <v>1607</v>
      </c>
      <c r="N125" s="79">
        <v>1607</v>
      </c>
      <c r="O125" s="79">
        <v>8371</v>
      </c>
      <c r="P125" s="79">
        <v>1723</v>
      </c>
      <c r="Q125" s="79">
        <v>3437</v>
      </c>
      <c r="R125" s="79">
        <v>2006</v>
      </c>
      <c r="S125" s="79">
        <v>1183</v>
      </c>
      <c r="T125" s="79">
        <v>1251</v>
      </c>
      <c r="U125" s="79">
        <v>276</v>
      </c>
      <c r="V125" s="79">
        <v>966</v>
      </c>
    </row>
    <row r="126" spans="1:22" x14ac:dyDescent="0.35">
      <c r="A126" s="78" t="s">
        <v>582</v>
      </c>
      <c r="B126" s="79">
        <v>35450</v>
      </c>
      <c r="C126" s="79">
        <v>18661</v>
      </c>
      <c r="D126" s="79">
        <v>60</v>
      </c>
      <c r="E126" s="79">
        <v>14490</v>
      </c>
      <c r="F126" s="79">
        <v>1319</v>
      </c>
      <c r="G126" s="79">
        <v>2794</v>
      </c>
      <c r="H126" s="79">
        <v>5839</v>
      </c>
      <c r="I126" s="79">
        <v>2164</v>
      </c>
      <c r="J126" s="79">
        <v>523</v>
      </c>
      <c r="K126" s="79">
        <v>1809</v>
      </c>
      <c r="L126" s="79">
        <v>1353</v>
      </c>
      <c r="M126" s="79">
        <v>1608</v>
      </c>
      <c r="N126" s="79">
        <v>1608</v>
      </c>
      <c r="O126" s="79">
        <v>8226</v>
      </c>
      <c r="P126" s="79">
        <v>1619</v>
      </c>
      <c r="Q126" s="79">
        <v>3432</v>
      </c>
      <c r="R126" s="79">
        <v>2002</v>
      </c>
      <c r="S126" s="79">
        <v>1145</v>
      </c>
      <c r="T126" s="79">
        <v>1101</v>
      </c>
      <c r="U126" s="79">
        <v>105</v>
      </c>
      <c r="V126" s="79">
        <v>981</v>
      </c>
    </row>
    <row r="127" spans="1:22" x14ac:dyDescent="0.35">
      <c r="A127" s="78" t="s">
        <v>583</v>
      </c>
      <c r="B127" s="79">
        <v>35422</v>
      </c>
      <c r="C127" s="79">
        <v>18639</v>
      </c>
      <c r="D127" s="79">
        <v>12</v>
      </c>
      <c r="E127" s="79">
        <v>14423</v>
      </c>
      <c r="F127" s="79">
        <v>1463</v>
      </c>
      <c r="G127" s="79">
        <v>2745</v>
      </c>
      <c r="H127" s="79">
        <v>5849</v>
      </c>
      <c r="I127" s="79">
        <v>2039</v>
      </c>
      <c r="J127" s="79">
        <v>437</v>
      </c>
      <c r="K127" s="79">
        <v>1839</v>
      </c>
      <c r="L127" s="79">
        <v>1538</v>
      </c>
      <c r="M127" s="79">
        <v>1572</v>
      </c>
      <c r="N127" s="79">
        <v>1572</v>
      </c>
      <c r="O127" s="79">
        <v>8134</v>
      </c>
      <c r="P127" s="79">
        <v>1819</v>
      </c>
      <c r="Q127" s="79">
        <v>3366</v>
      </c>
      <c r="R127" s="79">
        <v>1782</v>
      </c>
      <c r="S127" s="79">
        <v>1151</v>
      </c>
      <c r="T127" s="79">
        <v>1203</v>
      </c>
      <c r="U127" s="79">
        <v>314</v>
      </c>
      <c r="V127" s="79">
        <v>885</v>
      </c>
    </row>
    <row r="128" spans="1:22" x14ac:dyDescent="0.35">
      <c r="A128" s="78" t="s">
        <v>584</v>
      </c>
      <c r="B128" s="79">
        <v>34037</v>
      </c>
      <c r="C128" s="79">
        <v>18654</v>
      </c>
      <c r="D128" s="79">
        <v>10</v>
      </c>
      <c r="E128" s="79">
        <v>14447</v>
      </c>
      <c r="F128" s="79">
        <v>1419</v>
      </c>
      <c r="G128" s="79">
        <v>2780</v>
      </c>
      <c r="H128" s="79">
        <v>5376</v>
      </c>
      <c r="I128" s="79">
        <v>1848</v>
      </c>
      <c r="J128" s="79">
        <v>358</v>
      </c>
      <c r="K128" s="79">
        <v>1808</v>
      </c>
      <c r="L128" s="79">
        <v>1362</v>
      </c>
      <c r="M128" s="79">
        <v>1552</v>
      </c>
      <c r="N128" s="79">
        <v>1552</v>
      </c>
      <c r="O128" s="79">
        <v>7198</v>
      </c>
      <c r="P128" s="79">
        <v>1113</v>
      </c>
      <c r="Q128" s="79">
        <v>3301</v>
      </c>
      <c r="R128" s="79">
        <v>1642</v>
      </c>
      <c r="S128" s="79">
        <v>1101</v>
      </c>
      <c r="T128" s="79">
        <v>1206</v>
      </c>
      <c r="U128" s="79">
        <v>312</v>
      </c>
      <c r="V128" s="79">
        <v>889</v>
      </c>
    </row>
    <row r="129" spans="1:22" x14ac:dyDescent="0.35">
      <c r="A129" s="78" t="s">
        <v>585</v>
      </c>
      <c r="B129" s="79">
        <v>35243</v>
      </c>
      <c r="C129" s="79">
        <v>18975</v>
      </c>
      <c r="D129" s="79">
        <v>24</v>
      </c>
      <c r="E129" s="79">
        <v>14519</v>
      </c>
      <c r="F129" s="79">
        <v>1543</v>
      </c>
      <c r="G129" s="79">
        <v>2882</v>
      </c>
      <c r="H129" s="79">
        <v>5844</v>
      </c>
      <c r="I129" s="79">
        <v>1887</v>
      </c>
      <c r="J129" s="79">
        <v>400</v>
      </c>
      <c r="K129" s="79">
        <v>1830</v>
      </c>
      <c r="L129" s="79">
        <v>1724</v>
      </c>
      <c r="M129" s="79">
        <v>1517</v>
      </c>
      <c r="N129" s="79">
        <v>1517</v>
      </c>
      <c r="O129" s="79">
        <v>7722</v>
      </c>
      <c r="P129" s="79">
        <v>1770</v>
      </c>
      <c r="Q129" s="79">
        <v>3290</v>
      </c>
      <c r="R129" s="79">
        <v>1539</v>
      </c>
      <c r="S129" s="79">
        <v>1105</v>
      </c>
      <c r="T129" s="79">
        <v>1141</v>
      </c>
      <c r="U129" s="79">
        <v>253</v>
      </c>
      <c r="V129" s="79">
        <v>880</v>
      </c>
    </row>
    <row r="130" spans="1:22" x14ac:dyDescent="0.35">
      <c r="A130" s="78" t="s">
        <v>586</v>
      </c>
      <c r="B130" s="79">
        <v>36778</v>
      </c>
      <c r="C130" s="79">
        <v>19087</v>
      </c>
      <c r="D130" s="79">
        <v>18</v>
      </c>
      <c r="E130" s="79">
        <v>14719</v>
      </c>
      <c r="F130" s="79">
        <v>1461</v>
      </c>
      <c r="G130" s="79">
        <v>2887</v>
      </c>
      <c r="H130" s="79">
        <v>5800</v>
      </c>
      <c r="I130" s="79">
        <v>1983</v>
      </c>
      <c r="J130" s="79">
        <v>362</v>
      </c>
      <c r="K130" s="79">
        <v>1872</v>
      </c>
      <c r="L130" s="79">
        <v>1582</v>
      </c>
      <c r="M130" s="79">
        <v>1480</v>
      </c>
      <c r="N130" s="79">
        <v>1480</v>
      </c>
      <c r="O130" s="79">
        <v>8881</v>
      </c>
      <c r="P130" s="79">
        <v>2827</v>
      </c>
      <c r="Q130" s="79">
        <v>3281</v>
      </c>
      <c r="R130" s="79">
        <v>1629</v>
      </c>
      <c r="S130" s="79">
        <v>1167</v>
      </c>
      <c r="T130" s="79">
        <v>1506</v>
      </c>
      <c r="U130" s="79">
        <v>333</v>
      </c>
      <c r="V130" s="79">
        <v>1162</v>
      </c>
    </row>
    <row r="131" spans="1:22" x14ac:dyDescent="0.35">
      <c r="A131" s="78" t="s">
        <v>587</v>
      </c>
      <c r="B131" s="79">
        <v>36668</v>
      </c>
      <c r="C131" s="79">
        <v>19520</v>
      </c>
      <c r="D131" s="79">
        <v>106</v>
      </c>
      <c r="E131" s="79">
        <v>14721</v>
      </c>
      <c r="F131" s="79">
        <v>1774</v>
      </c>
      <c r="G131" s="79">
        <v>2911</v>
      </c>
      <c r="H131" s="79">
        <v>5895</v>
      </c>
      <c r="I131" s="79">
        <v>1937</v>
      </c>
      <c r="J131" s="79">
        <v>531</v>
      </c>
      <c r="K131" s="79">
        <v>1955</v>
      </c>
      <c r="L131" s="79">
        <v>1475</v>
      </c>
      <c r="M131" s="79">
        <v>1483</v>
      </c>
      <c r="N131" s="79">
        <v>1483</v>
      </c>
      <c r="O131" s="79">
        <v>8439</v>
      </c>
      <c r="P131" s="79">
        <v>1324</v>
      </c>
      <c r="Q131" s="79">
        <v>3263</v>
      </c>
      <c r="R131" s="79">
        <v>2687</v>
      </c>
      <c r="S131" s="79">
        <v>1160</v>
      </c>
      <c r="T131" s="79">
        <v>1296</v>
      </c>
      <c r="U131" s="79">
        <v>334</v>
      </c>
      <c r="V131" s="79">
        <v>957</v>
      </c>
    </row>
    <row r="132" spans="1:22" x14ac:dyDescent="0.35">
      <c r="A132" s="78" t="s">
        <v>588</v>
      </c>
      <c r="B132" s="79">
        <v>37158</v>
      </c>
      <c r="C132" s="79">
        <v>19432</v>
      </c>
      <c r="D132" s="79">
        <v>111</v>
      </c>
      <c r="E132" s="79">
        <v>14616</v>
      </c>
      <c r="F132" s="79">
        <v>1886</v>
      </c>
      <c r="G132" s="79">
        <v>2813</v>
      </c>
      <c r="H132" s="79">
        <v>5942</v>
      </c>
      <c r="I132" s="79">
        <v>1924</v>
      </c>
      <c r="J132" s="79">
        <v>487</v>
      </c>
      <c r="K132" s="79">
        <v>1986</v>
      </c>
      <c r="L132" s="79">
        <v>1544</v>
      </c>
      <c r="M132" s="79">
        <v>1474</v>
      </c>
      <c r="N132" s="79">
        <v>1474</v>
      </c>
      <c r="O132" s="79">
        <v>8841</v>
      </c>
      <c r="P132" s="79">
        <v>1659</v>
      </c>
      <c r="Q132" s="79">
        <v>3306</v>
      </c>
      <c r="R132" s="79">
        <v>2681</v>
      </c>
      <c r="S132" s="79">
        <v>1195</v>
      </c>
      <c r="T132" s="79">
        <v>1437</v>
      </c>
      <c r="U132" s="79">
        <v>463</v>
      </c>
      <c r="V132" s="79">
        <v>974</v>
      </c>
    </row>
    <row r="133" spans="1:22" x14ac:dyDescent="0.35">
      <c r="A133" s="78" t="s">
        <v>589</v>
      </c>
      <c r="B133" s="79">
        <v>38139</v>
      </c>
      <c r="C133" s="79">
        <v>19845</v>
      </c>
      <c r="D133" s="79">
        <v>110</v>
      </c>
      <c r="E133" s="79">
        <v>14846</v>
      </c>
      <c r="F133" s="79">
        <v>2009</v>
      </c>
      <c r="G133" s="79">
        <v>2873</v>
      </c>
      <c r="H133" s="79">
        <v>6158</v>
      </c>
      <c r="I133" s="79">
        <v>1928</v>
      </c>
      <c r="J133" s="79">
        <v>719</v>
      </c>
      <c r="K133" s="79">
        <v>1971</v>
      </c>
      <c r="L133" s="79">
        <v>1541</v>
      </c>
      <c r="M133" s="79">
        <v>1522</v>
      </c>
      <c r="N133" s="79">
        <v>1522</v>
      </c>
      <c r="O133" s="79">
        <v>9202</v>
      </c>
      <c r="P133" s="79">
        <v>1877</v>
      </c>
      <c r="Q133" s="79">
        <v>3276</v>
      </c>
      <c r="R133" s="79">
        <v>2862</v>
      </c>
      <c r="S133" s="79">
        <v>1195</v>
      </c>
      <c r="T133" s="79">
        <v>1383</v>
      </c>
      <c r="U133" s="79">
        <v>360</v>
      </c>
      <c r="V133" s="79">
        <v>1018</v>
      </c>
    </row>
    <row r="134" spans="1:22" x14ac:dyDescent="0.35">
      <c r="A134" s="78" t="s">
        <v>590</v>
      </c>
      <c r="B134" s="79">
        <v>37480</v>
      </c>
      <c r="C134" s="79">
        <v>19741</v>
      </c>
      <c r="D134" s="79">
        <v>103</v>
      </c>
      <c r="E134" s="79">
        <v>14848</v>
      </c>
      <c r="F134" s="79">
        <v>2056</v>
      </c>
      <c r="G134" s="79">
        <v>2737</v>
      </c>
      <c r="H134" s="79">
        <v>5991</v>
      </c>
      <c r="I134" s="79">
        <v>2009</v>
      </c>
      <c r="J134" s="79">
        <v>538</v>
      </c>
      <c r="K134" s="79">
        <v>1930</v>
      </c>
      <c r="L134" s="79">
        <v>1518</v>
      </c>
      <c r="M134" s="79">
        <v>1457</v>
      </c>
      <c r="N134" s="79">
        <v>1457</v>
      </c>
      <c r="O134" s="79">
        <v>8685</v>
      </c>
      <c r="P134" s="79">
        <v>1742</v>
      </c>
      <c r="Q134" s="79">
        <v>3273</v>
      </c>
      <c r="R134" s="79">
        <v>2455</v>
      </c>
      <c r="S134" s="79">
        <v>1213</v>
      </c>
      <c r="T134" s="79">
        <v>1563</v>
      </c>
      <c r="U134" s="79">
        <v>594</v>
      </c>
      <c r="V134" s="79">
        <v>976</v>
      </c>
    </row>
    <row r="135" spans="1:22" x14ac:dyDescent="0.35">
      <c r="A135" s="78" t="s">
        <v>591</v>
      </c>
      <c r="B135" s="79">
        <v>32160</v>
      </c>
      <c r="C135" s="79">
        <v>15542</v>
      </c>
      <c r="D135" s="79">
        <v>123</v>
      </c>
      <c r="E135" s="79">
        <v>11672</v>
      </c>
      <c r="F135" s="79">
        <v>1535</v>
      </c>
      <c r="G135" s="79">
        <v>2211</v>
      </c>
      <c r="H135" s="79">
        <v>6027</v>
      </c>
      <c r="I135" s="79">
        <v>2063</v>
      </c>
      <c r="J135" s="79">
        <v>543</v>
      </c>
      <c r="K135" s="79">
        <v>1875</v>
      </c>
      <c r="L135" s="79">
        <v>1549</v>
      </c>
      <c r="M135" s="79">
        <v>1458</v>
      </c>
      <c r="N135" s="79">
        <v>1457</v>
      </c>
      <c r="O135" s="79">
        <v>8236</v>
      </c>
      <c r="P135" s="79">
        <v>1275</v>
      </c>
      <c r="Q135" s="79">
        <v>3176</v>
      </c>
      <c r="R135" s="79">
        <v>2589</v>
      </c>
      <c r="S135" s="79">
        <v>1193</v>
      </c>
      <c r="T135" s="79">
        <v>872</v>
      </c>
      <c r="U135" s="79">
        <v>294</v>
      </c>
      <c r="V135" s="79">
        <v>578</v>
      </c>
    </row>
    <row r="136" spans="1:22" x14ac:dyDescent="0.35">
      <c r="A136" s="78" t="s">
        <v>592</v>
      </c>
      <c r="B136" s="79">
        <v>27330</v>
      </c>
      <c r="C136" s="79">
        <v>12964</v>
      </c>
      <c r="D136" s="79">
        <v>89</v>
      </c>
      <c r="E136" s="79">
        <v>9932</v>
      </c>
      <c r="F136" s="79">
        <v>1169</v>
      </c>
      <c r="G136" s="79">
        <v>1775</v>
      </c>
      <c r="H136" s="79">
        <v>5153</v>
      </c>
      <c r="I136" s="79">
        <v>1728</v>
      </c>
      <c r="J136" s="79">
        <v>227</v>
      </c>
      <c r="K136" s="79">
        <v>1731</v>
      </c>
      <c r="L136" s="79">
        <v>1458</v>
      </c>
      <c r="M136" s="79">
        <v>862</v>
      </c>
      <c r="N136" s="79">
        <v>862</v>
      </c>
      <c r="O136" s="79">
        <v>7685</v>
      </c>
      <c r="P136" s="79">
        <v>1440</v>
      </c>
      <c r="Q136" s="79">
        <v>2836</v>
      </c>
      <c r="R136" s="79">
        <v>2209</v>
      </c>
      <c r="S136" s="79">
        <v>1201</v>
      </c>
      <c r="T136" s="79">
        <v>647</v>
      </c>
      <c r="U136" s="79">
        <v>131</v>
      </c>
      <c r="V136" s="79">
        <v>511</v>
      </c>
    </row>
    <row r="137" spans="1:22" x14ac:dyDescent="0.35">
      <c r="A137" s="78" t="s">
        <v>593</v>
      </c>
      <c r="B137" s="79">
        <v>34325</v>
      </c>
      <c r="C137" s="79">
        <v>17066</v>
      </c>
      <c r="D137" s="79">
        <v>130</v>
      </c>
      <c r="E137" s="79">
        <v>12964</v>
      </c>
      <c r="F137" s="79">
        <v>1629</v>
      </c>
      <c r="G137" s="79">
        <v>2346</v>
      </c>
      <c r="H137" s="79">
        <v>6427</v>
      </c>
      <c r="I137" s="79">
        <v>2315</v>
      </c>
      <c r="J137" s="79">
        <v>530</v>
      </c>
      <c r="K137" s="79">
        <v>1936</v>
      </c>
      <c r="L137" s="79">
        <v>1649</v>
      </c>
      <c r="M137" s="79">
        <v>1328</v>
      </c>
      <c r="N137" s="79">
        <v>1328</v>
      </c>
      <c r="O137" s="79">
        <v>8278</v>
      </c>
      <c r="P137" s="79">
        <v>1236</v>
      </c>
      <c r="Q137" s="79">
        <v>3304</v>
      </c>
      <c r="R137" s="79">
        <v>2740</v>
      </c>
      <c r="S137" s="79">
        <v>991</v>
      </c>
      <c r="T137" s="79">
        <v>1179</v>
      </c>
      <c r="U137" s="79">
        <v>548</v>
      </c>
      <c r="V137" s="79">
        <v>644</v>
      </c>
    </row>
    <row r="138" spans="1:22" x14ac:dyDescent="0.35">
      <c r="A138" s="78" t="s">
        <v>594</v>
      </c>
      <c r="B138" s="79">
        <v>35132</v>
      </c>
      <c r="C138" s="79">
        <v>17192</v>
      </c>
      <c r="D138" s="79">
        <v>175</v>
      </c>
      <c r="E138" s="79">
        <v>12786</v>
      </c>
      <c r="F138" s="79">
        <v>1744</v>
      </c>
      <c r="G138" s="79">
        <v>2483</v>
      </c>
      <c r="H138" s="79">
        <v>6851</v>
      </c>
      <c r="I138" s="79">
        <v>2226</v>
      </c>
      <c r="J138" s="79">
        <v>831</v>
      </c>
      <c r="K138" s="79">
        <v>2000</v>
      </c>
      <c r="L138" s="79">
        <v>1796</v>
      </c>
      <c r="M138" s="79">
        <v>950</v>
      </c>
      <c r="N138" s="79">
        <v>950</v>
      </c>
      <c r="O138" s="79">
        <v>9063</v>
      </c>
      <c r="P138" s="79">
        <v>1544</v>
      </c>
      <c r="Q138" s="79">
        <v>3371</v>
      </c>
      <c r="R138" s="79">
        <v>2963</v>
      </c>
      <c r="S138" s="79">
        <v>1186</v>
      </c>
      <c r="T138" s="79">
        <v>1028</v>
      </c>
      <c r="U138" s="79">
        <v>363</v>
      </c>
      <c r="V138" s="79">
        <v>669</v>
      </c>
    </row>
    <row r="139" spans="1:22" x14ac:dyDescent="0.35">
      <c r="A139" s="78" t="s">
        <v>595</v>
      </c>
      <c r="B139" s="79">
        <v>32343</v>
      </c>
      <c r="C139" s="79">
        <v>15105</v>
      </c>
      <c r="D139" s="79">
        <v>159</v>
      </c>
      <c r="E139" s="79">
        <v>11678</v>
      </c>
      <c r="F139" s="79">
        <v>1202</v>
      </c>
      <c r="G139" s="79">
        <v>2074</v>
      </c>
      <c r="H139" s="79">
        <v>6719</v>
      </c>
      <c r="I139" s="79">
        <v>2288</v>
      </c>
      <c r="J139" s="79">
        <v>578</v>
      </c>
      <c r="K139" s="79">
        <v>1903</v>
      </c>
      <c r="L139" s="79">
        <v>1947</v>
      </c>
      <c r="M139" s="79">
        <v>1232</v>
      </c>
      <c r="N139" s="79">
        <v>1232</v>
      </c>
      <c r="O139" s="79">
        <v>8379</v>
      </c>
      <c r="P139" s="79">
        <v>1533</v>
      </c>
      <c r="Q139" s="79">
        <v>2960</v>
      </c>
      <c r="R139" s="79">
        <v>2716</v>
      </c>
      <c r="S139" s="79">
        <v>1179</v>
      </c>
      <c r="T139" s="79">
        <v>860</v>
      </c>
      <c r="U139" s="79">
        <v>320</v>
      </c>
      <c r="V139" s="79">
        <v>543</v>
      </c>
    </row>
    <row r="140" spans="1:22" x14ac:dyDescent="0.35">
      <c r="A140" s="78" t="s">
        <v>596</v>
      </c>
      <c r="B140" s="79">
        <v>37440</v>
      </c>
      <c r="C140" s="79">
        <v>18604</v>
      </c>
      <c r="D140" s="79">
        <v>104</v>
      </c>
      <c r="E140" s="79">
        <v>14281</v>
      </c>
      <c r="F140" s="79">
        <v>1712</v>
      </c>
      <c r="G140" s="79">
        <v>2517</v>
      </c>
      <c r="H140" s="79">
        <v>7265</v>
      </c>
      <c r="I140" s="79">
        <v>2271</v>
      </c>
      <c r="J140" s="79">
        <v>719</v>
      </c>
      <c r="K140" s="79">
        <v>2029</v>
      </c>
      <c r="L140" s="79">
        <v>2235</v>
      </c>
      <c r="M140" s="79">
        <v>1220</v>
      </c>
      <c r="N140" s="79">
        <v>1220</v>
      </c>
      <c r="O140" s="79">
        <v>9401</v>
      </c>
      <c r="P140" s="79">
        <v>1512</v>
      </c>
      <c r="Q140" s="79">
        <v>3463</v>
      </c>
      <c r="R140" s="79">
        <v>3231</v>
      </c>
      <c r="S140" s="79">
        <v>1197</v>
      </c>
      <c r="T140" s="79">
        <v>920</v>
      </c>
      <c r="U140" s="79">
        <v>262</v>
      </c>
      <c r="V140" s="79">
        <v>659</v>
      </c>
    </row>
    <row r="141" spans="1:22" x14ac:dyDescent="0.35">
      <c r="A141" s="78" t="s">
        <v>597</v>
      </c>
      <c r="B141" s="79">
        <v>35994</v>
      </c>
      <c r="C141" s="79">
        <v>18263</v>
      </c>
      <c r="D141" s="79">
        <v>98</v>
      </c>
      <c r="E141" s="79">
        <v>13981</v>
      </c>
      <c r="F141" s="79">
        <v>1694</v>
      </c>
      <c r="G141" s="79">
        <v>2497</v>
      </c>
      <c r="H141" s="79">
        <v>6630</v>
      </c>
      <c r="I141" s="79">
        <v>2019</v>
      </c>
      <c r="J141" s="79">
        <v>565</v>
      </c>
      <c r="K141" s="79">
        <v>1979</v>
      </c>
      <c r="L141" s="79">
        <v>2056</v>
      </c>
      <c r="M141" s="79">
        <v>1300</v>
      </c>
      <c r="N141" s="79">
        <v>1300</v>
      </c>
      <c r="O141" s="79">
        <v>8765</v>
      </c>
      <c r="P141" s="79">
        <v>1371</v>
      </c>
      <c r="Q141" s="79">
        <v>3286</v>
      </c>
      <c r="R141" s="79">
        <v>2907</v>
      </c>
      <c r="S141" s="79">
        <v>1205</v>
      </c>
      <c r="T141" s="79">
        <v>1015</v>
      </c>
      <c r="U141" s="79">
        <v>345</v>
      </c>
      <c r="V141" s="79">
        <v>672</v>
      </c>
    </row>
    <row r="142" spans="1:22" x14ac:dyDescent="0.35">
      <c r="A142" s="78" t="s">
        <v>598</v>
      </c>
      <c r="B142" s="63">
        <v>37407</v>
      </c>
      <c r="C142" s="63">
        <v>19434</v>
      </c>
      <c r="D142" s="63">
        <v>142</v>
      </c>
      <c r="E142" s="63">
        <v>14895</v>
      </c>
      <c r="F142" s="63">
        <v>1725</v>
      </c>
      <c r="G142" s="63">
        <v>2677</v>
      </c>
      <c r="H142" s="63">
        <v>6723</v>
      </c>
      <c r="I142" s="63">
        <v>2112</v>
      </c>
      <c r="J142" s="63">
        <v>446</v>
      </c>
      <c r="K142" s="63">
        <v>2073</v>
      </c>
      <c r="L142" s="63">
        <v>2082</v>
      </c>
      <c r="M142" s="63">
        <v>1225</v>
      </c>
      <c r="N142" s="63">
        <v>1225</v>
      </c>
      <c r="O142" s="63">
        <v>8733</v>
      </c>
      <c r="P142" s="63">
        <v>1321</v>
      </c>
      <c r="Q142" s="63">
        <v>3253</v>
      </c>
      <c r="R142" s="63">
        <v>2902</v>
      </c>
      <c r="S142" s="63">
        <v>1264</v>
      </c>
      <c r="T142" s="63">
        <v>1274</v>
      </c>
      <c r="U142" s="63">
        <v>560</v>
      </c>
      <c r="V142" s="63">
        <v>721</v>
      </c>
    </row>
    <row r="143" spans="1:22" x14ac:dyDescent="0.35">
      <c r="A143" s="78" t="s">
        <v>599</v>
      </c>
      <c r="B143" s="63">
        <v>39318</v>
      </c>
      <c r="C143" s="63">
        <v>20550</v>
      </c>
      <c r="D143" s="63">
        <v>234</v>
      </c>
      <c r="E143" s="63">
        <v>15634</v>
      </c>
      <c r="F143" s="63">
        <v>1825</v>
      </c>
      <c r="G143" s="63">
        <v>2861</v>
      </c>
      <c r="H143" s="63">
        <v>6710</v>
      </c>
      <c r="I143" s="63">
        <v>1841</v>
      </c>
      <c r="J143" s="63">
        <v>604</v>
      </c>
      <c r="K143" s="63">
        <v>2235</v>
      </c>
      <c r="L143" s="63">
        <v>2021</v>
      </c>
      <c r="M143" s="63">
        <v>1298</v>
      </c>
      <c r="N143" s="63">
        <v>1298</v>
      </c>
      <c r="O143" s="63">
        <v>9287</v>
      </c>
      <c r="P143" s="63">
        <v>1592</v>
      </c>
      <c r="Q143" s="63">
        <v>3470</v>
      </c>
      <c r="R143" s="63">
        <v>3020</v>
      </c>
      <c r="S143" s="63">
        <v>1205</v>
      </c>
      <c r="T143" s="63">
        <v>1457</v>
      </c>
      <c r="U143" s="63">
        <v>393</v>
      </c>
      <c r="V143" s="63">
        <v>1064</v>
      </c>
    </row>
    <row r="144" spans="1:22" x14ac:dyDescent="0.35">
      <c r="A144" s="78" t="s">
        <v>600</v>
      </c>
      <c r="B144" s="63">
        <v>39202</v>
      </c>
      <c r="C144" s="63">
        <v>20433</v>
      </c>
      <c r="D144" s="63">
        <v>158</v>
      </c>
      <c r="E144" s="63">
        <v>15396</v>
      </c>
      <c r="F144" s="63">
        <v>1909</v>
      </c>
      <c r="G144" s="63">
        <v>2967</v>
      </c>
      <c r="H144" s="63">
        <v>6522</v>
      </c>
      <c r="I144" s="63">
        <v>1813</v>
      </c>
      <c r="J144" s="63">
        <v>437</v>
      </c>
      <c r="K144" s="63">
        <v>2294</v>
      </c>
      <c r="L144" s="63">
        <v>1974</v>
      </c>
      <c r="M144" s="63">
        <v>1321</v>
      </c>
      <c r="N144" s="63">
        <v>1321</v>
      </c>
      <c r="O144" s="63">
        <v>9222</v>
      </c>
      <c r="P144" s="63">
        <v>1580</v>
      </c>
      <c r="Q144" s="63">
        <v>3495</v>
      </c>
      <c r="R144" s="63">
        <v>2896</v>
      </c>
      <c r="S144" s="63">
        <v>1254</v>
      </c>
      <c r="T144" s="63">
        <v>1682</v>
      </c>
      <c r="U144" s="63">
        <v>433</v>
      </c>
      <c r="V144" s="63">
        <v>1249</v>
      </c>
    </row>
    <row r="145" spans="1:22" x14ac:dyDescent="0.35">
      <c r="A145" s="78" t="s">
        <v>601</v>
      </c>
      <c r="B145" s="63">
        <v>39103</v>
      </c>
      <c r="C145" s="63">
        <v>20283</v>
      </c>
      <c r="D145" s="63">
        <v>147</v>
      </c>
      <c r="E145" s="63">
        <v>15226</v>
      </c>
      <c r="F145" s="63">
        <v>1875</v>
      </c>
      <c r="G145" s="63">
        <v>3031</v>
      </c>
      <c r="H145" s="63">
        <v>6346</v>
      </c>
      <c r="I145" s="63">
        <v>1799</v>
      </c>
      <c r="J145" s="63">
        <v>383</v>
      </c>
      <c r="K145" s="63">
        <v>2288</v>
      </c>
      <c r="L145" s="63">
        <v>1876</v>
      </c>
      <c r="M145" s="63">
        <v>1341</v>
      </c>
      <c r="N145" s="63">
        <v>1341</v>
      </c>
      <c r="O145" s="63">
        <v>9520</v>
      </c>
      <c r="P145" s="63">
        <v>1756</v>
      </c>
      <c r="Q145" s="63">
        <v>3507</v>
      </c>
      <c r="R145" s="63">
        <v>3118</v>
      </c>
      <c r="S145" s="63">
        <v>1134</v>
      </c>
      <c r="T145" s="63">
        <v>1585</v>
      </c>
      <c r="U145" s="63">
        <v>307</v>
      </c>
      <c r="V145" s="63">
        <v>1275</v>
      </c>
    </row>
    <row r="146" spans="1:22" x14ac:dyDescent="0.35">
      <c r="A146" s="78" t="s">
        <v>602</v>
      </c>
      <c r="B146" s="63">
        <v>39263</v>
      </c>
      <c r="C146" s="63">
        <v>20098</v>
      </c>
      <c r="D146" s="63">
        <v>145</v>
      </c>
      <c r="E146" s="63">
        <v>15056</v>
      </c>
      <c r="F146" s="63">
        <v>1875</v>
      </c>
      <c r="G146" s="63">
        <v>3017</v>
      </c>
      <c r="H146" s="63">
        <v>6464</v>
      </c>
      <c r="I146" s="63">
        <v>1850</v>
      </c>
      <c r="J146" s="63">
        <v>454</v>
      </c>
      <c r="K146" s="63">
        <v>2163</v>
      </c>
      <c r="L146" s="63">
        <v>1993</v>
      </c>
      <c r="M146" s="63">
        <v>1336</v>
      </c>
      <c r="N146" s="63">
        <v>1336</v>
      </c>
      <c r="O146" s="63">
        <v>9657</v>
      </c>
      <c r="P146" s="63">
        <v>1813</v>
      </c>
      <c r="Q146" s="63">
        <v>3506</v>
      </c>
      <c r="R146" s="63">
        <v>3220</v>
      </c>
      <c r="S146" s="63">
        <v>1111</v>
      </c>
      <c r="T146" s="63">
        <v>1672</v>
      </c>
      <c r="U146" s="63">
        <v>338</v>
      </c>
      <c r="V146" s="63">
        <v>1332</v>
      </c>
    </row>
    <row r="147" spans="1:22" x14ac:dyDescent="0.35">
      <c r="A147" s="78" t="s">
        <v>603</v>
      </c>
      <c r="B147" s="63">
        <v>37917</v>
      </c>
      <c r="C147" s="63">
        <v>20724</v>
      </c>
      <c r="D147" s="63">
        <v>136</v>
      </c>
      <c r="E147" s="63">
        <v>15761</v>
      </c>
      <c r="F147" s="63">
        <v>1774</v>
      </c>
      <c r="G147" s="63">
        <v>3057</v>
      </c>
      <c r="H147" s="63">
        <v>5692</v>
      </c>
      <c r="I147" s="63">
        <v>1802</v>
      </c>
      <c r="J147" s="63">
        <v>314</v>
      </c>
      <c r="K147" s="63">
        <v>1932</v>
      </c>
      <c r="L147" s="63">
        <v>1642</v>
      </c>
      <c r="M147" s="63">
        <v>1468</v>
      </c>
      <c r="N147" s="63">
        <v>1468</v>
      </c>
      <c r="O147" s="63">
        <v>8562</v>
      </c>
      <c r="P147" s="63">
        <v>1460</v>
      </c>
      <c r="Q147" s="63">
        <v>3105</v>
      </c>
      <c r="R147" s="63">
        <v>2869</v>
      </c>
      <c r="S147" s="63">
        <v>1130</v>
      </c>
      <c r="T147" s="63">
        <v>1491</v>
      </c>
      <c r="U147" s="63">
        <v>327</v>
      </c>
      <c r="V147" s="63">
        <v>1163</v>
      </c>
    </row>
    <row r="148" spans="1:22" x14ac:dyDescent="0.35">
      <c r="A148" s="78" t="s">
        <v>604</v>
      </c>
      <c r="B148" s="63">
        <v>37244</v>
      </c>
      <c r="C148" s="63">
        <v>19929</v>
      </c>
      <c r="D148" s="63">
        <v>134</v>
      </c>
      <c r="E148" s="63">
        <v>15022</v>
      </c>
      <c r="F148" s="63">
        <v>1856</v>
      </c>
      <c r="G148" s="63">
        <v>2914</v>
      </c>
      <c r="H148" s="63">
        <v>5972</v>
      </c>
      <c r="I148" s="63">
        <v>1768</v>
      </c>
      <c r="J148" s="63">
        <v>432</v>
      </c>
      <c r="K148" s="63">
        <v>1887</v>
      </c>
      <c r="L148" s="63">
        <v>1888</v>
      </c>
      <c r="M148" s="63">
        <v>1451</v>
      </c>
      <c r="N148" s="63">
        <v>1451</v>
      </c>
      <c r="O148" s="63">
        <v>8363</v>
      </c>
      <c r="P148" s="63">
        <v>1556</v>
      </c>
      <c r="Q148" s="63">
        <v>2908</v>
      </c>
      <c r="R148" s="63">
        <v>2816</v>
      </c>
      <c r="S148" s="63">
        <v>1084</v>
      </c>
      <c r="T148" s="63">
        <v>1529</v>
      </c>
      <c r="U148" s="63">
        <v>369</v>
      </c>
      <c r="V148" s="63">
        <v>1159</v>
      </c>
    </row>
    <row r="149" spans="1:22" x14ac:dyDescent="0.35">
      <c r="A149" s="78" t="s">
        <v>605</v>
      </c>
      <c r="B149" s="63">
        <v>36647</v>
      </c>
      <c r="C149" s="63">
        <v>19369</v>
      </c>
      <c r="D149" s="63">
        <v>139</v>
      </c>
      <c r="E149" s="63">
        <v>14604</v>
      </c>
      <c r="F149" s="63">
        <v>1804</v>
      </c>
      <c r="G149" s="63">
        <v>2821</v>
      </c>
      <c r="H149" s="63">
        <v>6098</v>
      </c>
      <c r="I149" s="63">
        <v>1706</v>
      </c>
      <c r="J149" s="63">
        <v>646</v>
      </c>
      <c r="K149" s="63">
        <v>1806</v>
      </c>
      <c r="L149" s="63">
        <v>1941</v>
      </c>
      <c r="M149" s="63">
        <v>1419</v>
      </c>
      <c r="N149" s="63">
        <v>1419</v>
      </c>
      <c r="O149" s="63">
        <v>8162</v>
      </c>
      <c r="P149" s="63">
        <v>1582</v>
      </c>
      <c r="Q149" s="63">
        <v>2894</v>
      </c>
      <c r="R149" s="63">
        <v>2648</v>
      </c>
      <c r="S149" s="63">
        <v>1039</v>
      </c>
      <c r="T149" s="63">
        <v>1585</v>
      </c>
      <c r="U149" s="63">
        <v>420</v>
      </c>
      <c r="V149" s="63">
        <v>1167</v>
      </c>
    </row>
    <row r="150" spans="1:22" x14ac:dyDescent="0.35">
      <c r="A150" s="78" t="s">
        <v>606</v>
      </c>
      <c r="B150" s="63">
        <v>35891</v>
      </c>
      <c r="C150" s="63">
        <v>19043</v>
      </c>
      <c r="D150" s="63">
        <v>127</v>
      </c>
      <c r="E150" s="63">
        <v>14380</v>
      </c>
      <c r="F150" s="63">
        <v>1754</v>
      </c>
      <c r="G150" s="63">
        <v>2782</v>
      </c>
      <c r="H150" s="63">
        <v>5973</v>
      </c>
      <c r="I150" s="63">
        <v>1642</v>
      </c>
      <c r="J150" s="63">
        <v>698</v>
      </c>
      <c r="K150" s="63">
        <v>1798</v>
      </c>
      <c r="L150" s="63">
        <v>1833</v>
      </c>
      <c r="M150" s="63">
        <v>1369</v>
      </c>
      <c r="N150" s="63">
        <v>1369</v>
      </c>
      <c r="O150" s="63">
        <v>8050</v>
      </c>
      <c r="P150" s="63">
        <v>1544</v>
      </c>
      <c r="Q150" s="63">
        <v>2963</v>
      </c>
      <c r="R150" s="63">
        <v>2578</v>
      </c>
      <c r="S150" s="63">
        <v>961</v>
      </c>
      <c r="T150" s="63">
        <v>1450</v>
      </c>
      <c r="U150" s="63">
        <v>350</v>
      </c>
      <c r="V150" s="63">
        <v>1100</v>
      </c>
    </row>
    <row r="151" spans="1:22" x14ac:dyDescent="0.35">
      <c r="A151" s="78" t="s">
        <v>607</v>
      </c>
      <c r="B151" s="63">
        <v>36372</v>
      </c>
      <c r="C151" s="63">
        <v>18688</v>
      </c>
      <c r="D151" s="63">
        <v>123</v>
      </c>
      <c r="E151" s="63">
        <v>14057</v>
      </c>
      <c r="F151" s="63">
        <v>1713</v>
      </c>
      <c r="G151" s="63">
        <v>2795</v>
      </c>
      <c r="H151" s="63">
        <v>5969</v>
      </c>
      <c r="I151" s="63">
        <v>1641</v>
      </c>
      <c r="J151" s="63">
        <v>762</v>
      </c>
      <c r="K151" s="63">
        <v>1841</v>
      </c>
      <c r="L151" s="63">
        <v>1725</v>
      </c>
      <c r="M151" s="63">
        <v>1433</v>
      </c>
      <c r="N151" s="63">
        <v>1433</v>
      </c>
      <c r="O151" s="63">
        <v>8563</v>
      </c>
      <c r="P151" s="63">
        <v>1624</v>
      </c>
      <c r="Q151" s="63">
        <v>3202</v>
      </c>
      <c r="R151" s="63">
        <v>2744</v>
      </c>
      <c r="S151" s="63">
        <v>993</v>
      </c>
      <c r="T151" s="63">
        <v>1719</v>
      </c>
      <c r="U151" s="63">
        <v>550</v>
      </c>
      <c r="V151" s="63">
        <v>1169</v>
      </c>
    </row>
    <row r="152" spans="1:22" x14ac:dyDescent="0.35">
      <c r="A152" s="78" t="s">
        <v>608</v>
      </c>
      <c r="B152" s="63">
        <v>36377</v>
      </c>
      <c r="C152" s="63">
        <v>18777</v>
      </c>
      <c r="D152" s="63">
        <v>136</v>
      </c>
      <c r="E152" s="63">
        <v>13982</v>
      </c>
      <c r="F152" s="63">
        <v>1771</v>
      </c>
      <c r="G152" s="63">
        <v>2888</v>
      </c>
      <c r="H152" s="63">
        <v>5957</v>
      </c>
      <c r="I152" s="63">
        <v>1601</v>
      </c>
      <c r="J152" s="63">
        <v>781</v>
      </c>
      <c r="K152" s="63">
        <v>1829</v>
      </c>
      <c r="L152" s="63">
        <v>1746</v>
      </c>
      <c r="M152" s="63">
        <v>1425</v>
      </c>
      <c r="N152" s="63">
        <v>1425</v>
      </c>
      <c r="O152" s="63">
        <v>8684</v>
      </c>
      <c r="P152" s="63">
        <v>1612</v>
      </c>
      <c r="Q152" s="63">
        <v>3249</v>
      </c>
      <c r="R152" s="63">
        <v>2850</v>
      </c>
      <c r="S152" s="63">
        <v>973</v>
      </c>
      <c r="T152" s="63">
        <v>1534</v>
      </c>
      <c r="U152" s="63">
        <v>333</v>
      </c>
      <c r="V152" s="63">
        <v>1201</v>
      </c>
    </row>
    <row r="153" spans="1:22" x14ac:dyDescent="0.35">
      <c r="A153" s="78" t="s">
        <v>609</v>
      </c>
      <c r="B153" s="63">
        <v>36727</v>
      </c>
      <c r="C153" s="63">
        <v>19154</v>
      </c>
      <c r="D153" s="63">
        <v>150</v>
      </c>
      <c r="E153" s="63">
        <v>14244</v>
      </c>
      <c r="F153" s="63">
        <v>1765</v>
      </c>
      <c r="G153" s="63">
        <v>2995</v>
      </c>
      <c r="H153" s="63">
        <v>5810</v>
      </c>
      <c r="I153" s="63">
        <v>1600</v>
      </c>
      <c r="J153" s="63">
        <v>753</v>
      </c>
      <c r="K153" s="63">
        <v>1845</v>
      </c>
      <c r="L153" s="63">
        <v>1612</v>
      </c>
      <c r="M153" s="63">
        <v>1453</v>
      </c>
      <c r="N153" s="63">
        <v>1453</v>
      </c>
      <c r="O153" s="63">
        <v>8710</v>
      </c>
      <c r="P153" s="63">
        <v>1480</v>
      </c>
      <c r="Q153" s="63">
        <v>3337</v>
      </c>
      <c r="R153" s="63">
        <v>2881</v>
      </c>
      <c r="S153" s="63">
        <v>1012</v>
      </c>
      <c r="T153" s="63">
        <v>1600</v>
      </c>
      <c r="U153" s="63">
        <v>362</v>
      </c>
      <c r="V153" s="63">
        <v>1238</v>
      </c>
    </row>
    <row r="154" spans="1:22" x14ac:dyDescent="0.35">
      <c r="A154" s="78" t="s">
        <v>610</v>
      </c>
      <c r="B154" s="63">
        <v>36470</v>
      </c>
      <c r="C154" s="63">
        <v>19087</v>
      </c>
      <c r="D154" s="63">
        <v>132</v>
      </c>
      <c r="E154" s="63">
        <v>14145</v>
      </c>
      <c r="F154" s="63">
        <v>1841</v>
      </c>
      <c r="G154" s="63">
        <v>2969</v>
      </c>
      <c r="H154" s="63">
        <v>5787</v>
      </c>
      <c r="I154" s="63">
        <v>1568</v>
      </c>
      <c r="J154" s="63">
        <v>644</v>
      </c>
      <c r="K154" s="63">
        <v>1848</v>
      </c>
      <c r="L154" s="63">
        <v>1727</v>
      </c>
      <c r="M154" s="63">
        <v>1352</v>
      </c>
      <c r="N154" s="63">
        <v>1352</v>
      </c>
      <c r="O154" s="63">
        <v>8718</v>
      </c>
      <c r="P154" s="63">
        <v>1498</v>
      </c>
      <c r="Q154" s="63">
        <v>3331</v>
      </c>
      <c r="R154" s="63">
        <v>2878</v>
      </c>
      <c r="S154" s="63">
        <v>1011</v>
      </c>
      <c r="T154" s="63">
        <v>1526</v>
      </c>
      <c r="U154" s="63">
        <v>309</v>
      </c>
      <c r="V154" s="63">
        <v>1217</v>
      </c>
    </row>
    <row r="155" spans="1:22" x14ac:dyDescent="0.35">
      <c r="A155" s="78" t="s">
        <v>611</v>
      </c>
      <c r="B155" s="63">
        <v>36866</v>
      </c>
      <c r="C155" s="63">
        <v>19237</v>
      </c>
      <c r="D155" s="63">
        <v>146</v>
      </c>
      <c r="E155" s="63">
        <v>14300</v>
      </c>
      <c r="F155" s="63">
        <v>1852</v>
      </c>
      <c r="G155" s="63">
        <v>2939</v>
      </c>
      <c r="H155" s="63">
        <v>5826</v>
      </c>
      <c r="I155" s="63">
        <v>1631</v>
      </c>
      <c r="J155" s="63">
        <v>612</v>
      </c>
      <c r="K155" s="63">
        <v>1932</v>
      </c>
      <c r="L155" s="63">
        <v>1651</v>
      </c>
      <c r="M155" s="63">
        <v>1392</v>
      </c>
      <c r="N155" s="63">
        <v>1392</v>
      </c>
      <c r="O155" s="63">
        <v>8832</v>
      </c>
      <c r="P155" s="63">
        <v>1560</v>
      </c>
      <c r="Q155" s="63">
        <v>3394</v>
      </c>
      <c r="R155" s="63">
        <v>2909</v>
      </c>
      <c r="S155" s="63">
        <v>969</v>
      </c>
      <c r="T155" s="63">
        <v>1579</v>
      </c>
      <c r="U155" s="63">
        <v>328</v>
      </c>
      <c r="V155" s="63">
        <v>1251</v>
      </c>
    </row>
    <row r="156" spans="1:22" x14ac:dyDescent="0.35">
      <c r="A156" s="78" t="s">
        <v>612</v>
      </c>
      <c r="B156" s="63">
        <v>36986</v>
      </c>
      <c r="C156" s="63">
        <v>19456</v>
      </c>
      <c r="D156" s="63">
        <v>132</v>
      </c>
      <c r="E156" s="63">
        <v>14528</v>
      </c>
      <c r="F156" s="63">
        <v>1827</v>
      </c>
      <c r="G156" s="63">
        <v>2969</v>
      </c>
      <c r="H156" s="63">
        <v>5841</v>
      </c>
      <c r="I156" s="63">
        <v>1616</v>
      </c>
      <c r="J156" s="63">
        <v>641</v>
      </c>
      <c r="K156" s="63">
        <v>1934</v>
      </c>
      <c r="L156" s="63">
        <v>1650</v>
      </c>
      <c r="M156" s="63">
        <v>1293</v>
      </c>
      <c r="N156" s="63">
        <v>1293</v>
      </c>
      <c r="O156" s="63">
        <v>8831</v>
      </c>
      <c r="P156" s="63">
        <v>1551</v>
      </c>
      <c r="Q156" s="63">
        <v>3492</v>
      </c>
      <c r="R156" s="63">
        <v>2796</v>
      </c>
      <c r="S156" s="63">
        <v>992</v>
      </c>
      <c r="T156" s="63">
        <v>1565</v>
      </c>
      <c r="U156" s="63">
        <v>297</v>
      </c>
      <c r="V156" s="63">
        <v>1268</v>
      </c>
    </row>
    <row r="157" spans="1:22" x14ac:dyDescent="0.35">
      <c r="A157" s="78" t="s">
        <v>613</v>
      </c>
      <c r="B157" s="63">
        <v>37498</v>
      </c>
      <c r="C157" s="63">
        <v>19889</v>
      </c>
      <c r="D157" s="63">
        <v>109</v>
      </c>
      <c r="E157" s="63">
        <v>14906</v>
      </c>
      <c r="F157" s="63">
        <v>1884</v>
      </c>
      <c r="G157" s="63">
        <v>2990</v>
      </c>
      <c r="H157" s="63">
        <v>5781</v>
      </c>
      <c r="I157" s="63">
        <v>1611</v>
      </c>
      <c r="J157" s="63">
        <v>597</v>
      </c>
      <c r="K157" s="63">
        <v>1949</v>
      </c>
      <c r="L157" s="63">
        <v>1624</v>
      </c>
      <c r="M157" s="63">
        <v>1308</v>
      </c>
      <c r="N157" s="63">
        <v>1308</v>
      </c>
      <c r="O157" s="63">
        <v>8978</v>
      </c>
      <c r="P157" s="63">
        <v>1626</v>
      </c>
      <c r="Q157" s="63">
        <v>3503</v>
      </c>
      <c r="R157" s="63">
        <v>2851</v>
      </c>
      <c r="S157" s="63">
        <v>998</v>
      </c>
      <c r="T157" s="63">
        <v>1542</v>
      </c>
      <c r="U157" s="63">
        <v>272</v>
      </c>
      <c r="V157" s="63">
        <v>1270</v>
      </c>
    </row>
    <row r="158" spans="1:22" x14ac:dyDescent="0.35">
      <c r="A158" s="78" t="s">
        <v>614</v>
      </c>
      <c r="B158" s="63">
        <v>37744</v>
      </c>
      <c r="C158" s="63">
        <v>19983</v>
      </c>
      <c r="D158" s="63">
        <v>106</v>
      </c>
      <c r="E158" s="63">
        <v>14940</v>
      </c>
      <c r="F158" s="63">
        <v>1888</v>
      </c>
      <c r="G158" s="63">
        <v>3049</v>
      </c>
      <c r="H158" s="63">
        <v>5978</v>
      </c>
      <c r="I158" s="63">
        <v>1619</v>
      </c>
      <c r="J158" s="63">
        <v>684</v>
      </c>
      <c r="K158" s="63">
        <v>1970</v>
      </c>
      <c r="L158" s="63">
        <v>1705</v>
      </c>
      <c r="M158" s="63">
        <v>1274</v>
      </c>
      <c r="N158" s="63">
        <v>1274</v>
      </c>
      <c r="O158" s="63">
        <v>8955</v>
      </c>
      <c r="P158" s="63">
        <v>1572</v>
      </c>
      <c r="Q158" s="63">
        <v>3479</v>
      </c>
      <c r="R158" s="63">
        <v>2931</v>
      </c>
      <c r="S158" s="63">
        <v>973</v>
      </c>
      <c r="T158" s="63">
        <v>1554</v>
      </c>
      <c r="U158" s="63">
        <v>296</v>
      </c>
      <c r="V158" s="63">
        <v>1258</v>
      </c>
    </row>
    <row r="159" spans="1:22" x14ac:dyDescent="0.35">
      <c r="A159" s="81" t="s">
        <v>813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</row>
    <row r="160" spans="1:22" x14ac:dyDescent="0.35">
      <c r="B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</row>
    <row r="161" spans="2:22" x14ac:dyDescent="0.35"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</row>
    <row r="162" spans="2:22" x14ac:dyDescent="0.35"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</row>
    <row r="163" spans="2:22" x14ac:dyDescent="0.35"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</row>
    <row r="164" spans="2:22" x14ac:dyDescent="0.35"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</row>
    <row r="165" spans="2:22" x14ac:dyDescent="0.35"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</row>
    <row r="166" spans="2:22" x14ac:dyDescent="0.35"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</row>
    <row r="167" spans="2:22" x14ac:dyDescent="0.35"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</row>
  </sheetData>
  <hyperlinks>
    <hyperlink ref="A4" location="Table_of_contents!A1" tooltip="Link to table of contents" display="Table of contents" xr:uid="{FAECDAFA-E1BB-4851-9EDD-D658FED0DB29}"/>
  </hyperlinks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45A0-AE1B-4D52-A5B2-C5939D436112}">
  <dimension ref="A1:AU167"/>
  <sheetViews>
    <sheetView zoomScale="70" zoomScaleNormal="70" workbookViewId="0">
      <pane xSplit="1" ySplit="6" topLeftCell="Y7" activePane="bottomRight" state="frozen"/>
      <selection pane="topRight" activeCell="B1" sqref="B1"/>
      <selection pane="bottomLeft" activeCell="A7" sqref="A7"/>
      <selection pane="bottomRight" activeCell="AT6" sqref="AT6"/>
    </sheetView>
  </sheetViews>
  <sheetFormatPr defaultColWidth="20.54296875" defaultRowHeight="15.5" x14ac:dyDescent="0.35"/>
  <cols>
    <col min="1" max="1" width="22.54296875" style="84" customWidth="1"/>
    <col min="2" max="11" width="13.54296875" style="84" customWidth="1"/>
    <col min="12" max="12" width="15.54296875" style="84" customWidth="1"/>
    <col min="13" max="24" width="13.54296875" style="84" customWidth="1"/>
    <col min="25" max="25" width="14.26953125" style="84" customWidth="1"/>
    <col min="26" max="35" width="13.54296875" style="84" customWidth="1"/>
    <col min="36" max="36" width="17.26953125" style="84" customWidth="1"/>
    <col min="37" max="43" width="13.54296875" style="84" customWidth="1"/>
    <col min="44" max="44" width="16.54296875" style="84" customWidth="1"/>
    <col min="45" max="45" width="13.54296875" style="84" customWidth="1"/>
    <col min="46" max="46" width="16.54296875" style="84" customWidth="1"/>
    <col min="47" max="47" width="15.54296875" style="84" customWidth="1"/>
  </cols>
  <sheetData>
    <row r="1" spans="1:47" s="87" customFormat="1" ht="20" thickBot="1" x14ac:dyDescent="0.5">
      <c r="A1" s="86" t="s">
        <v>616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4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</row>
    <row r="2" spans="1:47" ht="16" thickTop="1" x14ac:dyDescent="0.35">
      <c r="A2" s="65" t="s">
        <v>300</v>
      </c>
      <c r="B2" s="66"/>
      <c r="C2" s="66"/>
      <c r="D2" s="66"/>
      <c r="E2" s="66"/>
      <c r="F2" s="66"/>
      <c r="G2" s="66"/>
      <c r="H2" s="66"/>
      <c r="I2" s="66"/>
      <c r="J2" s="66"/>
      <c r="K2" s="67"/>
      <c r="L2" s="89"/>
      <c r="M2" s="89"/>
      <c r="N2" s="89"/>
      <c r="O2" s="89"/>
      <c r="P2" s="89"/>
      <c r="Q2" s="89"/>
      <c r="R2" s="67"/>
      <c r="S2" s="90"/>
      <c r="T2" s="90"/>
      <c r="U2" s="90"/>
      <c r="V2" s="90"/>
      <c r="W2" s="90"/>
      <c r="X2" s="90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</row>
    <row r="3" spans="1:47" x14ac:dyDescent="0.35">
      <c r="A3" s="65" t="s">
        <v>301</v>
      </c>
      <c r="B3" s="66"/>
      <c r="C3" s="66"/>
      <c r="D3" s="66"/>
      <c r="E3" s="66"/>
      <c r="F3" s="66"/>
      <c r="G3" s="66"/>
      <c r="H3" s="66"/>
      <c r="I3" s="66"/>
      <c r="J3" s="66"/>
      <c r="K3" s="67"/>
      <c r="L3" s="89"/>
      <c r="M3" s="89"/>
      <c r="N3" s="89"/>
      <c r="O3" s="89"/>
      <c r="P3" s="89"/>
      <c r="Q3" s="89"/>
      <c r="R3" s="67"/>
      <c r="S3" s="90"/>
      <c r="T3" s="90"/>
      <c r="U3" s="90"/>
      <c r="V3" s="90"/>
      <c r="W3" s="90"/>
      <c r="X3" s="90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</row>
    <row r="4" spans="1:47" x14ac:dyDescent="0.35">
      <c r="A4" s="68" t="s">
        <v>302</v>
      </c>
      <c r="B4" s="66"/>
      <c r="C4" s="66"/>
      <c r="D4" s="66"/>
      <c r="E4" s="66"/>
      <c r="F4" s="66"/>
      <c r="G4" s="66"/>
      <c r="H4" s="66"/>
      <c r="I4" s="66"/>
      <c r="J4" s="66"/>
      <c r="K4" s="67"/>
      <c r="L4" s="89"/>
      <c r="M4" s="89"/>
      <c r="N4" s="89"/>
      <c r="O4" s="89"/>
      <c r="P4" s="89"/>
      <c r="Q4" s="89"/>
      <c r="R4" s="67"/>
      <c r="S4" s="90"/>
      <c r="T4" s="90"/>
      <c r="U4" s="90"/>
      <c r="V4" s="90"/>
      <c r="W4" s="90"/>
      <c r="X4" s="90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</row>
    <row r="5" spans="1:47" s="87" customFormat="1" ht="50.15" customHeight="1" x14ac:dyDescent="0.4">
      <c r="A5" s="88" t="s">
        <v>617</v>
      </c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</row>
    <row r="6" spans="1:47" ht="80.150000000000006" customHeight="1" x14ac:dyDescent="0.35">
      <c r="A6" s="72" t="s">
        <v>304</v>
      </c>
      <c r="B6" s="93" t="s">
        <v>618</v>
      </c>
      <c r="C6" s="93" t="s">
        <v>3</v>
      </c>
      <c r="D6" s="94" t="s">
        <v>272</v>
      </c>
      <c r="E6" s="94" t="s">
        <v>619</v>
      </c>
      <c r="F6" s="94" t="s">
        <v>620</v>
      </c>
      <c r="G6" s="94" t="s">
        <v>621</v>
      </c>
      <c r="H6" s="94" t="s">
        <v>622</v>
      </c>
      <c r="I6" s="94" t="s">
        <v>623</v>
      </c>
      <c r="J6" s="94" t="s">
        <v>624</v>
      </c>
      <c r="K6" s="94" t="s">
        <v>625</v>
      </c>
      <c r="L6" s="94" t="s">
        <v>626</v>
      </c>
      <c r="M6" s="94" t="s">
        <v>627</v>
      </c>
      <c r="N6" s="94" t="s">
        <v>628</v>
      </c>
      <c r="O6" s="94" t="s">
        <v>629</v>
      </c>
      <c r="P6" s="94" t="s">
        <v>630</v>
      </c>
      <c r="Q6" s="93" t="s">
        <v>631</v>
      </c>
      <c r="R6" s="94" t="s">
        <v>632</v>
      </c>
      <c r="S6" s="94" t="s">
        <v>633</v>
      </c>
      <c r="T6" s="94" t="s">
        <v>634</v>
      </c>
      <c r="U6" s="94" t="s">
        <v>635</v>
      </c>
      <c r="V6" s="94" t="s">
        <v>636</v>
      </c>
      <c r="W6" s="93" t="s">
        <v>637</v>
      </c>
      <c r="X6" s="93" t="s">
        <v>309</v>
      </c>
      <c r="Y6" s="93" t="s">
        <v>638</v>
      </c>
      <c r="Z6" s="94" t="s">
        <v>639</v>
      </c>
      <c r="AA6" s="94" t="s">
        <v>4</v>
      </c>
      <c r="AB6" s="94" t="s">
        <v>640</v>
      </c>
      <c r="AC6" s="94" t="s">
        <v>641</v>
      </c>
      <c r="AD6" s="94" t="s">
        <v>642</v>
      </c>
      <c r="AE6" s="94" t="s">
        <v>643</v>
      </c>
      <c r="AF6" s="93" t="s">
        <v>644</v>
      </c>
      <c r="AG6" s="93" t="s">
        <v>645</v>
      </c>
      <c r="AH6" s="94" t="s">
        <v>646</v>
      </c>
      <c r="AI6" s="93" t="s">
        <v>324</v>
      </c>
      <c r="AJ6" s="94" t="s">
        <v>647</v>
      </c>
      <c r="AK6" s="94" t="s">
        <v>648</v>
      </c>
      <c r="AL6" s="93" t="s">
        <v>330</v>
      </c>
      <c r="AM6" s="94" t="s">
        <v>649</v>
      </c>
      <c r="AN6" s="93" t="s">
        <v>342</v>
      </c>
      <c r="AO6" s="94" t="s">
        <v>650</v>
      </c>
      <c r="AP6" s="94" t="s">
        <v>651</v>
      </c>
      <c r="AQ6" s="94" t="s">
        <v>652</v>
      </c>
      <c r="AR6" s="73" t="s">
        <v>653</v>
      </c>
      <c r="AS6" s="94" t="s">
        <v>654</v>
      </c>
      <c r="AT6" s="93" t="s">
        <v>357</v>
      </c>
      <c r="AU6" s="94" t="s">
        <v>655</v>
      </c>
    </row>
    <row r="7" spans="1:47" ht="31" x14ac:dyDescent="0.35">
      <c r="A7" s="72" t="s">
        <v>371</v>
      </c>
      <c r="B7" s="75" t="s">
        <v>656</v>
      </c>
      <c r="C7" s="77" t="s">
        <v>657</v>
      </c>
      <c r="D7" s="77" t="s">
        <v>658</v>
      </c>
      <c r="E7" s="76" t="s">
        <v>659</v>
      </c>
      <c r="F7" s="76" t="s">
        <v>660</v>
      </c>
      <c r="G7" s="76" t="s">
        <v>661</v>
      </c>
      <c r="H7" s="76" t="s">
        <v>662</v>
      </c>
      <c r="I7" s="76" t="s">
        <v>663</v>
      </c>
      <c r="J7" s="76" t="s">
        <v>664</v>
      </c>
      <c r="K7" s="76" t="s">
        <v>665</v>
      </c>
      <c r="L7" s="76" t="s">
        <v>666</v>
      </c>
      <c r="M7" s="76" t="s">
        <v>667</v>
      </c>
      <c r="N7" s="77" t="s">
        <v>668</v>
      </c>
      <c r="O7" s="76" t="s">
        <v>669</v>
      </c>
      <c r="P7" s="76" t="s">
        <v>670</v>
      </c>
      <c r="Q7" s="77" t="s">
        <v>671</v>
      </c>
      <c r="R7" s="77" t="s">
        <v>672</v>
      </c>
      <c r="S7" s="76" t="s">
        <v>673</v>
      </c>
      <c r="T7" s="76" t="s">
        <v>674</v>
      </c>
      <c r="U7" s="76" t="s">
        <v>675</v>
      </c>
      <c r="V7" s="77" t="s">
        <v>676</v>
      </c>
      <c r="W7" s="77" t="s">
        <v>677</v>
      </c>
      <c r="X7" s="75" t="s">
        <v>678</v>
      </c>
      <c r="Y7" s="76" t="s">
        <v>679</v>
      </c>
      <c r="Z7" s="76" t="s">
        <v>680</v>
      </c>
      <c r="AA7" s="77" t="s">
        <v>681</v>
      </c>
      <c r="AB7" s="76" t="s">
        <v>682</v>
      </c>
      <c r="AC7" s="76" t="s">
        <v>683</v>
      </c>
      <c r="AD7" s="76" t="s">
        <v>684</v>
      </c>
      <c r="AE7" s="76" t="s">
        <v>685</v>
      </c>
      <c r="AF7" s="76" t="s">
        <v>686</v>
      </c>
      <c r="AG7" s="75" t="s">
        <v>687</v>
      </c>
      <c r="AH7" s="76" t="s">
        <v>688</v>
      </c>
      <c r="AI7" s="75" t="s">
        <v>689</v>
      </c>
      <c r="AJ7" s="76" t="s">
        <v>690</v>
      </c>
      <c r="AK7" s="76" t="s">
        <v>691</v>
      </c>
      <c r="AL7" s="75" t="s">
        <v>692</v>
      </c>
      <c r="AM7" s="76" t="s">
        <v>693</v>
      </c>
      <c r="AN7" s="75" t="s">
        <v>694</v>
      </c>
      <c r="AO7" s="76" t="s">
        <v>695</v>
      </c>
      <c r="AP7" s="76" t="s">
        <v>696</v>
      </c>
      <c r="AQ7" s="76" t="s">
        <v>697</v>
      </c>
      <c r="AR7" s="76" t="s">
        <v>698</v>
      </c>
      <c r="AS7" s="76" t="s">
        <v>699</v>
      </c>
      <c r="AT7" s="75" t="s">
        <v>700</v>
      </c>
      <c r="AU7" s="76" t="s">
        <v>701</v>
      </c>
    </row>
    <row r="8" spans="1:47" x14ac:dyDescent="0.35">
      <c r="A8" s="72" t="s">
        <v>429</v>
      </c>
      <c r="B8" s="95" t="s">
        <v>702</v>
      </c>
      <c r="C8" s="95" t="s">
        <v>703</v>
      </c>
      <c r="D8" s="95" t="s">
        <v>704</v>
      </c>
      <c r="E8" s="95" t="s">
        <v>705</v>
      </c>
      <c r="F8" s="95" t="s">
        <v>706</v>
      </c>
      <c r="G8" s="95" t="s">
        <v>707</v>
      </c>
      <c r="H8" s="95" t="s">
        <v>708</v>
      </c>
      <c r="I8" s="95" t="s">
        <v>709</v>
      </c>
      <c r="J8" s="95" t="s">
        <v>710</v>
      </c>
      <c r="K8" s="95" t="s">
        <v>711</v>
      </c>
      <c r="L8" s="95" t="s">
        <v>712</v>
      </c>
      <c r="M8" s="95" t="s">
        <v>713</v>
      </c>
      <c r="N8" s="95" t="s">
        <v>714</v>
      </c>
      <c r="O8" s="95" t="s">
        <v>715</v>
      </c>
      <c r="P8" s="95" t="s">
        <v>716</v>
      </c>
      <c r="Q8" s="95" t="s">
        <v>717</v>
      </c>
      <c r="R8" s="95" t="s">
        <v>718</v>
      </c>
      <c r="S8" s="95" t="s">
        <v>719</v>
      </c>
      <c r="T8" s="95" t="s">
        <v>720</v>
      </c>
      <c r="U8" s="95" t="s">
        <v>721</v>
      </c>
      <c r="V8" s="95" t="s">
        <v>722</v>
      </c>
      <c r="W8" s="95" t="s">
        <v>723</v>
      </c>
      <c r="X8" s="95" t="s">
        <v>724</v>
      </c>
      <c r="Y8" s="95" t="s">
        <v>725</v>
      </c>
      <c r="Z8" s="95" t="s">
        <v>726</v>
      </c>
      <c r="AA8" s="95" t="s">
        <v>727</v>
      </c>
      <c r="AB8" s="95" t="s">
        <v>728</v>
      </c>
      <c r="AC8" s="95" t="s">
        <v>729</v>
      </c>
      <c r="AD8" s="95" t="s">
        <v>730</v>
      </c>
      <c r="AE8" s="95" t="s">
        <v>731</v>
      </c>
      <c r="AF8" s="95" t="s">
        <v>732</v>
      </c>
      <c r="AG8" s="95" t="s">
        <v>733</v>
      </c>
      <c r="AH8" s="95" t="s">
        <v>734</v>
      </c>
      <c r="AI8" s="95" t="s">
        <v>735</v>
      </c>
      <c r="AJ8" s="95" t="s">
        <v>736</v>
      </c>
      <c r="AK8" s="95" t="s">
        <v>737</v>
      </c>
      <c r="AL8" s="95" t="s">
        <v>738</v>
      </c>
      <c r="AM8" s="95" t="s">
        <v>739</v>
      </c>
      <c r="AN8" s="95" t="s">
        <v>740</v>
      </c>
      <c r="AO8" s="95" t="s">
        <v>741</v>
      </c>
      <c r="AP8" s="95" t="s">
        <v>742</v>
      </c>
      <c r="AQ8" s="95" t="s">
        <v>743</v>
      </c>
      <c r="AR8" s="95" t="s">
        <v>744</v>
      </c>
      <c r="AS8" s="95" t="s">
        <v>745</v>
      </c>
      <c r="AT8" s="95" t="s">
        <v>746</v>
      </c>
      <c r="AU8" s="95" t="s">
        <v>747</v>
      </c>
    </row>
    <row r="9" spans="1:47" x14ac:dyDescent="0.35">
      <c r="A9" s="78">
        <v>1997</v>
      </c>
      <c r="B9" s="79">
        <v>324841</v>
      </c>
      <c r="C9" s="79">
        <v>107316</v>
      </c>
      <c r="D9" s="79">
        <v>97592</v>
      </c>
      <c r="E9" s="79">
        <v>18593</v>
      </c>
      <c r="F9" s="79">
        <v>20520</v>
      </c>
      <c r="G9" s="79">
        <v>4943</v>
      </c>
      <c r="H9" s="79">
        <v>13644</v>
      </c>
      <c r="I9" s="79">
        <v>3701</v>
      </c>
      <c r="J9" s="79">
        <v>6762</v>
      </c>
      <c r="K9" s="79">
        <v>14315</v>
      </c>
      <c r="L9" s="79">
        <v>11266</v>
      </c>
      <c r="M9" s="79">
        <v>4081</v>
      </c>
      <c r="N9" s="79">
        <v>9974</v>
      </c>
      <c r="O9" s="79">
        <v>2145</v>
      </c>
      <c r="P9" s="79">
        <v>7853</v>
      </c>
      <c r="Q9" s="79">
        <v>70027</v>
      </c>
      <c r="R9" s="79">
        <v>15914</v>
      </c>
      <c r="S9" s="79">
        <v>4609</v>
      </c>
      <c r="T9" s="79">
        <v>7007</v>
      </c>
      <c r="U9" s="79">
        <v>4277</v>
      </c>
      <c r="V9" s="79">
        <v>61173</v>
      </c>
      <c r="W9" s="79">
        <v>5632</v>
      </c>
      <c r="X9" s="79">
        <v>81999</v>
      </c>
      <c r="Y9" s="79">
        <v>1250</v>
      </c>
      <c r="Z9" s="79">
        <v>5945</v>
      </c>
      <c r="AA9" s="79">
        <v>76628</v>
      </c>
      <c r="AB9" s="79">
        <v>36174</v>
      </c>
      <c r="AC9" s="79">
        <v>34527</v>
      </c>
      <c r="AD9" s="79">
        <v>2335</v>
      </c>
      <c r="AE9" s="79">
        <v>3828</v>
      </c>
      <c r="AF9" s="80" t="s">
        <v>496</v>
      </c>
      <c r="AG9" s="79">
        <v>4238</v>
      </c>
      <c r="AH9" s="79">
        <v>4236</v>
      </c>
      <c r="AI9" s="79">
        <v>3415</v>
      </c>
      <c r="AJ9" s="79">
        <v>3069</v>
      </c>
      <c r="AK9" s="79">
        <v>375</v>
      </c>
      <c r="AL9" s="79">
        <v>38846</v>
      </c>
      <c r="AM9" s="79">
        <v>38844</v>
      </c>
      <c r="AN9" s="79">
        <v>27020</v>
      </c>
      <c r="AO9" s="79">
        <v>4230</v>
      </c>
      <c r="AP9" s="79">
        <v>6319</v>
      </c>
      <c r="AQ9" s="79">
        <v>13268</v>
      </c>
      <c r="AR9" s="79">
        <v>3597</v>
      </c>
      <c r="AS9" s="79">
        <v>2217</v>
      </c>
      <c r="AT9" s="79">
        <v>9749</v>
      </c>
      <c r="AU9" s="79">
        <v>9750</v>
      </c>
    </row>
    <row r="10" spans="1:47" x14ac:dyDescent="0.35">
      <c r="A10" s="78">
        <v>1998</v>
      </c>
      <c r="B10" s="79">
        <v>328869</v>
      </c>
      <c r="C10" s="79">
        <v>110291</v>
      </c>
      <c r="D10" s="79">
        <v>99897</v>
      </c>
      <c r="E10" s="79">
        <v>18761</v>
      </c>
      <c r="F10" s="79">
        <v>21154</v>
      </c>
      <c r="G10" s="79">
        <v>4820</v>
      </c>
      <c r="H10" s="79">
        <v>13735</v>
      </c>
      <c r="I10" s="79">
        <v>3526</v>
      </c>
      <c r="J10" s="79">
        <v>7198</v>
      </c>
      <c r="K10" s="79">
        <v>14625</v>
      </c>
      <c r="L10" s="79">
        <v>12200</v>
      </c>
      <c r="M10" s="79">
        <v>4127</v>
      </c>
      <c r="N10" s="79">
        <v>10634</v>
      </c>
      <c r="O10" s="79">
        <v>2115</v>
      </c>
      <c r="P10" s="79">
        <v>8567</v>
      </c>
      <c r="Q10" s="79">
        <v>69705</v>
      </c>
      <c r="R10" s="79">
        <v>16308</v>
      </c>
      <c r="S10" s="79">
        <v>4507</v>
      </c>
      <c r="T10" s="79">
        <v>7200</v>
      </c>
      <c r="U10" s="79">
        <v>4550</v>
      </c>
      <c r="V10" s="79">
        <v>59602</v>
      </c>
      <c r="W10" s="79">
        <v>5587</v>
      </c>
      <c r="X10" s="79">
        <v>81738</v>
      </c>
      <c r="Y10" s="79">
        <v>1394</v>
      </c>
      <c r="Z10" s="79">
        <v>6003</v>
      </c>
      <c r="AA10" s="79">
        <v>75814</v>
      </c>
      <c r="AB10" s="79">
        <v>36536</v>
      </c>
      <c r="AC10" s="79">
        <v>33705</v>
      </c>
      <c r="AD10" s="79">
        <v>2443</v>
      </c>
      <c r="AE10" s="79">
        <v>3158</v>
      </c>
      <c r="AF10" s="80" t="s">
        <v>496</v>
      </c>
      <c r="AG10" s="79">
        <v>4433</v>
      </c>
      <c r="AH10" s="79">
        <v>4431</v>
      </c>
      <c r="AI10" s="79">
        <v>3322</v>
      </c>
      <c r="AJ10" s="79">
        <v>2984</v>
      </c>
      <c r="AK10" s="79">
        <v>367</v>
      </c>
      <c r="AL10" s="79">
        <v>39476</v>
      </c>
      <c r="AM10" s="79">
        <v>39475</v>
      </c>
      <c r="AN10" s="79">
        <v>26933</v>
      </c>
      <c r="AO10" s="79">
        <v>4443</v>
      </c>
      <c r="AP10" s="79">
        <v>5388</v>
      </c>
      <c r="AQ10" s="79">
        <v>13046</v>
      </c>
      <c r="AR10" s="79">
        <v>3696</v>
      </c>
      <c r="AS10" s="79">
        <v>2636</v>
      </c>
      <c r="AT10" s="79">
        <v>10067</v>
      </c>
      <c r="AU10" s="79">
        <v>10068</v>
      </c>
    </row>
    <row r="11" spans="1:47" x14ac:dyDescent="0.35">
      <c r="A11" s="78">
        <v>1999</v>
      </c>
      <c r="B11" s="79">
        <v>331222</v>
      </c>
      <c r="C11" s="79">
        <v>112821</v>
      </c>
      <c r="D11" s="79">
        <v>101402</v>
      </c>
      <c r="E11" s="79">
        <v>18691</v>
      </c>
      <c r="F11" s="79">
        <v>21265</v>
      </c>
      <c r="G11" s="79">
        <v>4588</v>
      </c>
      <c r="H11" s="79">
        <v>13881</v>
      </c>
      <c r="I11" s="79">
        <v>4063</v>
      </c>
      <c r="J11" s="79">
        <v>7474</v>
      </c>
      <c r="K11" s="79">
        <v>14983</v>
      </c>
      <c r="L11" s="79">
        <v>12175</v>
      </c>
      <c r="M11" s="79">
        <v>4492</v>
      </c>
      <c r="N11" s="79">
        <v>11609</v>
      </c>
      <c r="O11" s="79">
        <v>2254</v>
      </c>
      <c r="P11" s="79">
        <v>9415</v>
      </c>
      <c r="Q11" s="79">
        <v>68627</v>
      </c>
      <c r="R11" s="79">
        <v>17067</v>
      </c>
      <c r="S11" s="79">
        <v>4949</v>
      </c>
      <c r="T11" s="79">
        <v>7768</v>
      </c>
      <c r="U11" s="79">
        <v>4376</v>
      </c>
      <c r="V11" s="79">
        <v>55538</v>
      </c>
      <c r="W11" s="79">
        <v>5540</v>
      </c>
      <c r="X11" s="79">
        <v>79593</v>
      </c>
      <c r="Y11" s="79">
        <v>1449</v>
      </c>
      <c r="Z11" s="79">
        <v>5718</v>
      </c>
      <c r="AA11" s="79">
        <v>73854</v>
      </c>
      <c r="AB11" s="79">
        <v>35876</v>
      </c>
      <c r="AC11" s="79">
        <v>32848</v>
      </c>
      <c r="AD11" s="79">
        <v>1969</v>
      </c>
      <c r="AE11" s="79">
        <v>3136</v>
      </c>
      <c r="AF11" s="80" t="s">
        <v>496</v>
      </c>
      <c r="AG11" s="79">
        <v>4686</v>
      </c>
      <c r="AH11" s="79">
        <v>4684</v>
      </c>
      <c r="AI11" s="79">
        <v>3401</v>
      </c>
      <c r="AJ11" s="79">
        <v>3074</v>
      </c>
      <c r="AK11" s="79">
        <v>352</v>
      </c>
      <c r="AL11" s="79">
        <v>38191</v>
      </c>
      <c r="AM11" s="79">
        <v>38190</v>
      </c>
      <c r="AN11" s="79">
        <v>27954</v>
      </c>
      <c r="AO11" s="79">
        <v>4773</v>
      </c>
      <c r="AP11" s="79">
        <v>5202</v>
      </c>
      <c r="AQ11" s="79">
        <v>13679</v>
      </c>
      <c r="AR11" s="79">
        <v>3851</v>
      </c>
      <c r="AS11" s="79">
        <v>2765</v>
      </c>
      <c r="AT11" s="79">
        <v>10731</v>
      </c>
      <c r="AU11" s="79">
        <v>10732</v>
      </c>
    </row>
    <row r="12" spans="1:47" x14ac:dyDescent="0.35">
      <c r="A12" s="78">
        <v>2000</v>
      </c>
      <c r="B12" s="79">
        <v>334754</v>
      </c>
      <c r="C12" s="79">
        <v>113520</v>
      </c>
      <c r="D12" s="79">
        <v>101554</v>
      </c>
      <c r="E12" s="79">
        <v>18979</v>
      </c>
      <c r="F12" s="79">
        <v>21328</v>
      </c>
      <c r="G12" s="79">
        <v>4691</v>
      </c>
      <c r="H12" s="79">
        <v>13874</v>
      </c>
      <c r="I12" s="79">
        <v>3679</v>
      </c>
      <c r="J12" s="79">
        <v>7615</v>
      </c>
      <c r="K12" s="79">
        <v>15353</v>
      </c>
      <c r="L12" s="79">
        <v>12062</v>
      </c>
      <c r="M12" s="79">
        <v>4147</v>
      </c>
      <c r="N12" s="79">
        <v>12123</v>
      </c>
      <c r="O12" s="79">
        <v>2406</v>
      </c>
      <c r="P12" s="79">
        <v>9774</v>
      </c>
      <c r="Q12" s="79">
        <v>66934</v>
      </c>
      <c r="R12" s="79">
        <v>17435</v>
      </c>
      <c r="S12" s="79">
        <v>5017</v>
      </c>
      <c r="T12" s="79">
        <v>8070</v>
      </c>
      <c r="U12" s="79">
        <v>4392</v>
      </c>
      <c r="V12" s="79">
        <v>51959</v>
      </c>
      <c r="W12" s="79">
        <v>5438</v>
      </c>
      <c r="X12" s="79">
        <v>83447</v>
      </c>
      <c r="Y12" s="79">
        <v>1500</v>
      </c>
      <c r="Z12" s="79">
        <v>5525</v>
      </c>
      <c r="AA12" s="79">
        <v>78624</v>
      </c>
      <c r="AB12" s="79">
        <v>37776</v>
      </c>
      <c r="AC12" s="79">
        <v>36669</v>
      </c>
      <c r="AD12" s="79">
        <v>2020</v>
      </c>
      <c r="AE12" s="79">
        <v>2348</v>
      </c>
      <c r="AF12" s="80" t="s">
        <v>496</v>
      </c>
      <c r="AG12" s="79">
        <v>4972</v>
      </c>
      <c r="AH12" s="79">
        <v>4970</v>
      </c>
      <c r="AI12" s="79">
        <v>3258</v>
      </c>
      <c r="AJ12" s="79">
        <v>2924</v>
      </c>
      <c r="AK12" s="79">
        <v>364</v>
      </c>
      <c r="AL12" s="79">
        <v>37606</v>
      </c>
      <c r="AM12" s="79">
        <v>37605</v>
      </c>
      <c r="AN12" s="79">
        <v>29773</v>
      </c>
      <c r="AO12" s="79">
        <v>5022</v>
      </c>
      <c r="AP12" s="79">
        <v>5767</v>
      </c>
      <c r="AQ12" s="79">
        <v>13963</v>
      </c>
      <c r="AR12" s="79">
        <v>4190</v>
      </c>
      <c r="AS12" s="79">
        <v>3065</v>
      </c>
      <c r="AT12" s="79">
        <v>11386</v>
      </c>
      <c r="AU12" s="79">
        <v>11387</v>
      </c>
    </row>
    <row r="13" spans="1:47" x14ac:dyDescent="0.35">
      <c r="A13" s="78">
        <v>2001</v>
      </c>
      <c r="B13" s="79">
        <v>338649</v>
      </c>
      <c r="C13" s="79">
        <v>113223</v>
      </c>
      <c r="D13" s="79">
        <v>100393</v>
      </c>
      <c r="E13" s="79">
        <v>19019</v>
      </c>
      <c r="F13" s="79">
        <v>20914</v>
      </c>
      <c r="G13" s="79">
        <v>5080</v>
      </c>
      <c r="H13" s="79">
        <v>13082</v>
      </c>
      <c r="I13" s="79">
        <v>4041</v>
      </c>
      <c r="J13" s="79">
        <v>7128</v>
      </c>
      <c r="K13" s="79">
        <v>14969</v>
      </c>
      <c r="L13" s="79">
        <v>12168</v>
      </c>
      <c r="M13" s="79">
        <v>4325</v>
      </c>
      <c r="N13" s="79">
        <v>12929</v>
      </c>
      <c r="O13" s="79">
        <v>2486</v>
      </c>
      <c r="P13" s="79">
        <v>10508</v>
      </c>
      <c r="Q13" s="79">
        <v>65783</v>
      </c>
      <c r="R13" s="79">
        <v>17582</v>
      </c>
      <c r="S13" s="79">
        <v>4881</v>
      </c>
      <c r="T13" s="79">
        <v>8340</v>
      </c>
      <c r="U13" s="79">
        <v>4406</v>
      </c>
      <c r="V13" s="79">
        <v>49324</v>
      </c>
      <c r="W13" s="79">
        <v>5473</v>
      </c>
      <c r="X13" s="79">
        <v>82686</v>
      </c>
      <c r="Y13" s="79">
        <v>1668</v>
      </c>
      <c r="Z13" s="79">
        <v>5550</v>
      </c>
      <c r="AA13" s="79">
        <v>77202</v>
      </c>
      <c r="AB13" s="79">
        <v>36839</v>
      </c>
      <c r="AC13" s="79">
        <v>35507</v>
      </c>
      <c r="AD13" s="79">
        <v>2067</v>
      </c>
      <c r="AE13" s="79">
        <v>2824</v>
      </c>
      <c r="AF13" s="80" t="s">
        <v>496</v>
      </c>
      <c r="AG13" s="79">
        <v>5724</v>
      </c>
      <c r="AH13" s="79">
        <v>5722</v>
      </c>
      <c r="AI13" s="79">
        <v>4365</v>
      </c>
      <c r="AJ13" s="79">
        <v>4075</v>
      </c>
      <c r="AK13" s="79">
        <v>300</v>
      </c>
      <c r="AL13" s="79">
        <v>39052</v>
      </c>
      <c r="AM13" s="79">
        <v>39050</v>
      </c>
      <c r="AN13" s="79">
        <v>30029</v>
      </c>
      <c r="AO13" s="79">
        <v>5072</v>
      </c>
      <c r="AP13" s="79">
        <v>6358</v>
      </c>
      <c r="AQ13" s="79">
        <v>14060</v>
      </c>
      <c r="AR13" s="79">
        <v>4070</v>
      </c>
      <c r="AS13" s="79">
        <v>2819</v>
      </c>
      <c r="AT13" s="79">
        <v>11745</v>
      </c>
      <c r="AU13" s="79">
        <v>11746</v>
      </c>
    </row>
    <row r="14" spans="1:47" x14ac:dyDescent="0.35">
      <c r="A14" s="78">
        <v>2002</v>
      </c>
      <c r="B14" s="79">
        <v>346008</v>
      </c>
      <c r="C14" s="79">
        <v>115096</v>
      </c>
      <c r="D14" s="79">
        <v>102456</v>
      </c>
      <c r="E14" s="79">
        <v>19773</v>
      </c>
      <c r="F14" s="79">
        <v>20983</v>
      </c>
      <c r="G14" s="79">
        <v>5303</v>
      </c>
      <c r="H14" s="79">
        <v>13141</v>
      </c>
      <c r="I14" s="79">
        <v>3913</v>
      </c>
      <c r="J14" s="79">
        <v>7726</v>
      </c>
      <c r="K14" s="79">
        <v>15286</v>
      </c>
      <c r="L14" s="79">
        <v>12358</v>
      </c>
      <c r="M14" s="79">
        <v>4299</v>
      </c>
      <c r="N14" s="79">
        <v>12753</v>
      </c>
      <c r="O14" s="79">
        <v>2388</v>
      </c>
      <c r="P14" s="79">
        <v>10433</v>
      </c>
      <c r="Q14" s="79">
        <v>66209</v>
      </c>
      <c r="R14" s="79">
        <v>18313</v>
      </c>
      <c r="S14" s="79">
        <v>4938</v>
      </c>
      <c r="T14" s="79">
        <v>8809</v>
      </c>
      <c r="U14" s="79">
        <v>4604</v>
      </c>
      <c r="V14" s="79">
        <v>47039</v>
      </c>
      <c r="W14" s="79">
        <v>5765</v>
      </c>
      <c r="X14" s="79">
        <v>82058</v>
      </c>
      <c r="Y14" s="79">
        <v>1699</v>
      </c>
      <c r="Z14" s="79">
        <v>5911</v>
      </c>
      <c r="AA14" s="79">
        <v>75535</v>
      </c>
      <c r="AB14" s="79">
        <v>38577</v>
      </c>
      <c r="AC14" s="79">
        <v>32611</v>
      </c>
      <c r="AD14" s="79">
        <v>2248</v>
      </c>
      <c r="AE14" s="79">
        <v>1886</v>
      </c>
      <c r="AF14" s="80" t="s">
        <v>496</v>
      </c>
      <c r="AG14" s="79">
        <v>6425</v>
      </c>
      <c r="AH14" s="79">
        <v>6423</v>
      </c>
      <c r="AI14" s="79">
        <v>4863</v>
      </c>
      <c r="AJ14" s="79">
        <v>4579</v>
      </c>
      <c r="AK14" s="79">
        <v>289</v>
      </c>
      <c r="AL14" s="79">
        <v>38893</v>
      </c>
      <c r="AM14" s="79">
        <v>38892</v>
      </c>
      <c r="AN14" s="79">
        <v>31417</v>
      </c>
      <c r="AO14" s="79">
        <v>5742</v>
      </c>
      <c r="AP14" s="79">
        <v>7023</v>
      </c>
      <c r="AQ14" s="79">
        <v>14278</v>
      </c>
      <c r="AR14" s="79">
        <v>3965</v>
      </c>
      <c r="AS14" s="79">
        <v>2657</v>
      </c>
      <c r="AT14" s="79">
        <v>12846</v>
      </c>
      <c r="AU14" s="79">
        <v>12847</v>
      </c>
    </row>
    <row r="15" spans="1:47" x14ac:dyDescent="0.35">
      <c r="A15" s="78">
        <v>2003</v>
      </c>
      <c r="B15" s="79">
        <v>356440</v>
      </c>
      <c r="C15" s="79">
        <v>120010</v>
      </c>
      <c r="D15" s="79">
        <v>106453</v>
      </c>
      <c r="E15" s="79">
        <v>20570</v>
      </c>
      <c r="F15" s="79">
        <v>23429</v>
      </c>
      <c r="G15" s="79">
        <v>5280</v>
      </c>
      <c r="H15" s="79">
        <v>13658</v>
      </c>
      <c r="I15" s="79">
        <v>3778</v>
      </c>
      <c r="J15" s="79">
        <v>7876</v>
      </c>
      <c r="K15" s="79">
        <v>15377</v>
      </c>
      <c r="L15" s="79">
        <v>12276</v>
      </c>
      <c r="M15" s="79">
        <v>4332</v>
      </c>
      <c r="N15" s="79">
        <v>13666</v>
      </c>
      <c r="O15" s="79">
        <v>2319</v>
      </c>
      <c r="P15" s="79">
        <v>11436</v>
      </c>
      <c r="Q15" s="79">
        <v>68801</v>
      </c>
      <c r="R15" s="79">
        <v>19460</v>
      </c>
      <c r="S15" s="79">
        <v>5277</v>
      </c>
      <c r="T15" s="79">
        <v>9217</v>
      </c>
      <c r="U15" s="79">
        <v>4992</v>
      </c>
      <c r="V15" s="79">
        <v>50451</v>
      </c>
      <c r="W15" s="79">
        <v>5360</v>
      </c>
      <c r="X15" s="79">
        <v>81468</v>
      </c>
      <c r="Y15" s="79">
        <v>1641</v>
      </c>
      <c r="Z15" s="79">
        <v>6303</v>
      </c>
      <c r="AA15" s="79">
        <v>74103</v>
      </c>
      <c r="AB15" s="79">
        <v>37581</v>
      </c>
      <c r="AC15" s="79">
        <v>32920</v>
      </c>
      <c r="AD15" s="79">
        <v>2346</v>
      </c>
      <c r="AE15" s="79">
        <v>1248</v>
      </c>
      <c r="AF15" s="80" t="s">
        <v>496</v>
      </c>
      <c r="AG15" s="79">
        <v>6831</v>
      </c>
      <c r="AH15" s="79">
        <v>6829</v>
      </c>
      <c r="AI15" s="79">
        <v>4403</v>
      </c>
      <c r="AJ15" s="79">
        <v>4153</v>
      </c>
      <c r="AK15" s="79">
        <v>254</v>
      </c>
      <c r="AL15" s="79">
        <v>39877</v>
      </c>
      <c r="AM15" s="79">
        <v>39876</v>
      </c>
      <c r="AN15" s="79">
        <v>30858</v>
      </c>
      <c r="AO15" s="79">
        <v>5768</v>
      </c>
      <c r="AP15" s="79">
        <v>6466</v>
      </c>
      <c r="AQ15" s="79">
        <v>14278</v>
      </c>
      <c r="AR15" s="79">
        <v>3948</v>
      </c>
      <c r="AS15" s="79">
        <v>2614</v>
      </c>
      <c r="AT15" s="79">
        <v>14422</v>
      </c>
      <c r="AU15" s="79">
        <v>14424</v>
      </c>
    </row>
    <row r="16" spans="1:47" x14ac:dyDescent="0.35">
      <c r="A16" s="78">
        <v>2004</v>
      </c>
      <c r="B16" s="79">
        <v>365724</v>
      </c>
      <c r="C16" s="79">
        <v>123213</v>
      </c>
      <c r="D16" s="79">
        <v>109045</v>
      </c>
      <c r="E16" s="79">
        <v>20530</v>
      </c>
      <c r="F16" s="79">
        <v>23586</v>
      </c>
      <c r="G16" s="79">
        <v>5711</v>
      </c>
      <c r="H16" s="79">
        <v>13761</v>
      </c>
      <c r="I16" s="79">
        <v>4131</v>
      </c>
      <c r="J16" s="79">
        <v>8799</v>
      </c>
      <c r="K16" s="79">
        <v>15781</v>
      </c>
      <c r="L16" s="79">
        <v>12101</v>
      </c>
      <c r="M16" s="79">
        <v>4787</v>
      </c>
      <c r="N16" s="79">
        <v>14279</v>
      </c>
      <c r="O16" s="79">
        <v>2490</v>
      </c>
      <c r="P16" s="79">
        <v>11879</v>
      </c>
      <c r="Q16" s="79">
        <v>66435</v>
      </c>
      <c r="R16" s="79">
        <v>19643</v>
      </c>
      <c r="S16" s="79">
        <v>5360</v>
      </c>
      <c r="T16" s="79">
        <v>9410</v>
      </c>
      <c r="U16" s="79">
        <v>4920</v>
      </c>
      <c r="V16" s="79">
        <v>47991</v>
      </c>
      <c r="W16" s="79">
        <v>4863</v>
      </c>
      <c r="X16" s="79">
        <v>89108</v>
      </c>
      <c r="Y16" s="79">
        <v>2027</v>
      </c>
      <c r="Z16" s="79">
        <v>6050</v>
      </c>
      <c r="AA16" s="79">
        <v>82404</v>
      </c>
      <c r="AB16" s="79">
        <v>42209</v>
      </c>
      <c r="AC16" s="79">
        <v>36917</v>
      </c>
      <c r="AD16" s="79">
        <v>2371</v>
      </c>
      <c r="AE16" s="79">
        <v>1119</v>
      </c>
      <c r="AF16" s="80" t="s">
        <v>496</v>
      </c>
      <c r="AG16" s="79">
        <v>7399</v>
      </c>
      <c r="AH16" s="79">
        <v>7397</v>
      </c>
      <c r="AI16" s="79">
        <v>4621</v>
      </c>
      <c r="AJ16" s="79">
        <v>4353</v>
      </c>
      <c r="AK16" s="79">
        <v>272</v>
      </c>
      <c r="AL16" s="79">
        <v>39869</v>
      </c>
      <c r="AM16" s="79">
        <v>39868</v>
      </c>
      <c r="AN16" s="79">
        <v>31926</v>
      </c>
      <c r="AO16" s="79">
        <v>5514</v>
      </c>
      <c r="AP16" s="79">
        <v>6619</v>
      </c>
      <c r="AQ16" s="79">
        <v>13951</v>
      </c>
      <c r="AR16" s="79">
        <v>4506</v>
      </c>
      <c r="AS16" s="79">
        <v>3333</v>
      </c>
      <c r="AT16" s="79">
        <v>15767</v>
      </c>
      <c r="AU16" s="79">
        <v>15769</v>
      </c>
    </row>
    <row r="17" spans="1:47" x14ac:dyDescent="0.35">
      <c r="A17" s="78">
        <v>2005</v>
      </c>
      <c r="B17" s="79">
        <v>366129</v>
      </c>
      <c r="C17" s="79">
        <v>124813</v>
      </c>
      <c r="D17" s="79">
        <v>110124</v>
      </c>
      <c r="E17" s="79">
        <v>20324</v>
      </c>
      <c r="F17" s="79">
        <v>23692</v>
      </c>
      <c r="G17" s="79">
        <v>6032</v>
      </c>
      <c r="H17" s="79">
        <v>14050</v>
      </c>
      <c r="I17" s="79">
        <v>3964</v>
      </c>
      <c r="J17" s="79">
        <v>9403</v>
      </c>
      <c r="K17" s="79">
        <v>15983</v>
      </c>
      <c r="L17" s="79">
        <v>11922</v>
      </c>
      <c r="M17" s="79">
        <v>4858</v>
      </c>
      <c r="N17" s="79">
        <v>14802</v>
      </c>
      <c r="O17" s="79">
        <v>2503</v>
      </c>
      <c r="P17" s="79">
        <v>12392</v>
      </c>
      <c r="Q17" s="79">
        <v>67217</v>
      </c>
      <c r="R17" s="79">
        <v>20325</v>
      </c>
      <c r="S17" s="79">
        <v>5480</v>
      </c>
      <c r="T17" s="79">
        <v>9791</v>
      </c>
      <c r="U17" s="79">
        <v>5099</v>
      </c>
      <c r="V17" s="79">
        <v>45766</v>
      </c>
      <c r="W17" s="79">
        <v>5526</v>
      </c>
      <c r="X17" s="79">
        <v>84342</v>
      </c>
      <c r="Y17" s="79">
        <v>1871</v>
      </c>
      <c r="Z17" s="79">
        <v>6042</v>
      </c>
      <c r="AA17" s="79">
        <v>77387</v>
      </c>
      <c r="AB17" s="79">
        <v>40979</v>
      </c>
      <c r="AC17" s="79">
        <v>34287</v>
      </c>
      <c r="AD17" s="79">
        <v>1872</v>
      </c>
      <c r="AE17" s="79">
        <v>753</v>
      </c>
      <c r="AF17" s="80" t="s">
        <v>496</v>
      </c>
      <c r="AG17" s="79">
        <v>7433</v>
      </c>
      <c r="AH17" s="79">
        <v>7430</v>
      </c>
      <c r="AI17" s="79">
        <v>3791</v>
      </c>
      <c r="AJ17" s="79">
        <v>3524</v>
      </c>
      <c r="AK17" s="79">
        <v>275</v>
      </c>
      <c r="AL17" s="79">
        <v>41785</v>
      </c>
      <c r="AM17" s="79">
        <v>41784</v>
      </c>
      <c r="AN17" s="79">
        <v>31749</v>
      </c>
      <c r="AO17" s="79">
        <v>5365</v>
      </c>
      <c r="AP17" s="79">
        <v>6774</v>
      </c>
      <c r="AQ17" s="79">
        <v>13473</v>
      </c>
      <c r="AR17" s="79">
        <v>4636</v>
      </c>
      <c r="AS17" s="79">
        <v>3382</v>
      </c>
      <c r="AT17" s="79">
        <v>15682</v>
      </c>
      <c r="AU17" s="79">
        <v>15684</v>
      </c>
    </row>
    <row r="18" spans="1:47" x14ac:dyDescent="0.35">
      <c r="A18" s="78">
        <v>2006</v>
      </c>
      <c r="B18" s="79">
        <v>363724</v>
      </c>
      <c r="C18" s="79">
        <v>125273</v>
      </c>
      <c r="D18" s="79">
        <v>110659</v>
      </c>
      <c r="E18" s="79">
        <v>20599</v>
      </c>
      <c r="F18" s="79">
        <v>22969</v>
      </c>
      <c r="G18" s="79">
        <v>6138</v>
      </c>
      <c r="H18" s="79">
        <v>14464</v>
      </c>
      <c r="I18" s="79">
        <v>3763</v>
      </c>
      <c r="J18" s="79">
        <v>9944</v>
      </c>
      <c r="K18" s="79">
        <v>16181</v>
      </c>
      <c r="L18" s="79">
        <v>11550</v>
      </c>
      <c r="M18" s="79">
        <v>5106</v>
      </c>
      <c r="N18" s="79">
        <v>14725</v>
      </c>
      <c r="O18" s="79">
        <v>2415</v>
      </c>
      <c r="P18" s="79">
        <v>12403</v>
      </c>
      <c r="Q18" s="79">
        <v>65139</v>
      </c>
      <c r="R18" s="79">
        <v>20078</v>
      </c>
      <c r="S18" s="79">
        <v>5373</v>
      </c>
      <c r="T18" s="79">
        <v>9448</v>
      </c>
      <c r="U18" s="79">
        <v>5280</v>
      </c>
      <c r="V18" s="79">
        <v>43424</v>
      </c>
      <c r="W18" s="79">
        <v>5431</v>
      </c>
      <c r="X18" s="79">
        <v>84127</v>
      </c>
      <c r="Y18" s="79">
        <v>1840</v>
      </c>
      <c r="Z18" s="79">
        <v>5910</v>
      </c>
      <c r="AA18" s="79">
        <v>77519</v>
      </c>
      <c r="AB18" s="79">
        <v>42927</v>
      </c>
      <c r="AC18" s="79">
        <v>32145</v>
      </c>
      <c r="AD18" s="79">
        <v>2078</v>
      </c>
      <c r="AE18" s="79">
        <v>691</v>
      </c>
      <c r="AF18" s="80" t="s">
        <v>496</v>
      </c>
      <c r="AG18" s="79">
        <v>7581</v>
      </c>
      <c r="AH18" s="79">
        <v>7578</v>
      </c>
      <c r="AI18" s="79">
        <v>3465</v>
      </c>
      <c r="AJ18" s="79">
        <v>3215</v>
      </c>
      <c r="AK18" s="79">
        <v>258</v>
      </c>
      <c r="AL18" s="79">
        <v>39970</v>
      </c>
      <c r="AM18" s="79">
        <v>39969</v>
      </c>
      <c r="AN18" s="79">
        <v>32025</v>
      </c>
      <c r="AO18" s="79">
        <v>5436</v>
      </c>
      <c r="AP18" s="79">
        <v>6939</v>
      </c>
      <c r="AQ18" s="79">
        <v>12468</v>
      </c>
      <c r="AR18" s="79">
        <v>4946</v>
      </c>
      <c r="AS18" s="79">
        <v>3728</v>
      </c>
      <c r="AT18" s="79">
        <v>16648</v>
      </c>
      <c r="AU18" s="79">
        <v>16650</v>
      </c>
    </row>
    <row r="19" spans="1:47" x14ac:dyDescent="0.35">
      <c r="A19" s="78">
        <v>2007</v>
      </c>
      <c r="B19" s="79">
        <v>369084</v>
      </c>
      <c r="C19" s="79">
        <v>124936</v>
      </c>
      <c r="D19" s="79">
        <v>110575</v>
      </c>
      <c r="E19" s="79">
        <v>20605</v>
      </c>
      <c r="F19" s="79">
        <v>22811</v>
      </c>
      <c r="G19" s="79">
        <v>5928</v>
      </c>
      <c r="H19" s="79">
        <v>14277</v>
      </c>
      <c r="I19" s="79">
        <v>3469</v>
      </c>
      <c r="J19" s="79">
        <v>10125</v>
      </c>
      <c r="K19" s="79">
        <v>16159</v>
      </c>
      <c r="L19" s="79">
        <v>11834</v>
      </c>
      <c r="M19" s="79">
        <v>5372</v>
      </c>
      <c r="N19" s="79">
        <v>14472</v>
      </c>
      <c r="O19" s="79">
        <v>2465</v>
      </c>
      <c r="P19" s="79">
        <v>12097</v>
      </c>
      <c r="Q19" s="79">
        <v>63803</v>
      </c>
      <c r="R19" s="79">
        <v>21050</v>
      </c>
      <c r="S19" s="79">
        <v>5674</v>
      </c>
      <c r="T19" s="79">
        <v>10092</v>
      </c>
      <c r="U19" s="79">
        <v>5319</v>
      </c>
      <c r="V19" s="79">
        <v>41253</v>
      </c>
      <c r="W19" s="79">
        <v>4989</v>
      </c>
      <c r="X19" s="79">
        <v>80827</v>
      </c>
      <c r="Y19" s="79">
        <v>1725</v>
      </c>
      <c r="Z19" s="79">
        <v>5946</v>
      </c>
      <c r="AA19" s="79">
        <v>74020</v>
      </c>
      <c r="AB19" s="79">
        <v>38291</v>
      </c>
      <c r="AC19" s="79">
        <v>33317</v>
      </c>
      <c r="AD19" s="79">
        <v>1946</v>
      </c>
      <c r="AE19" s="79">
        <v>688</v>
      </c>
      <c r="AF19" s="80" t="s">
        <v>496</v>
      </c>
      <c r="AG19" s="79">
        <v>7520</v>
      </c>
      <c r="AH19" s="79">
        <v>7517</v>
      </c>
      <c r="AI19" s="79">
        <v>6575</v>
      </c>
      <c r="AJ19" s="79">
        <v>6297</v>
      </c>
      <c r="AK19" s="79">
        <v>287</v>
      </c>
      <c r="AL19" s="79">
        <v>41936</v>
      </c>
      <c r="AM19" s="79">
        <v>41935</v>
      </c>
      <c r="AN19" s="79">
        <v>32373</v>
      </c>
      <c r="AO19" s="79">
        <v>5889</v>
      </c>
      <c r="AP19" s="79">
        <v>6718</v>
      </c>
      <c r="AQ19" s="79">
        <v>12175</v>
      </c>
      <c r="AR19" s="79">
        <v>5047</v>
      </c>
      <c r="AS19" s="79">
        <v>3825</v>
      </c>
      <c r="AT19" s="79">
        <v>17766</v>
      </c>
      <c r="AU19" s="79">
        <v>17768</v>
      </c>
    </row>
    <row r="20" spans="1:47" x14ac:dyDescent="0.35">
      <c r="A20" s="78">
        <v>2008</v>
      </c>
      <c r="B20" s="79">
        <v>363194</v>
      </c>
      <c r="C20" s="79">
        <v>122510</v>
      </c>
      <c r="D20" s="79">
        <v>108070</v>
      </c>
      <c r="E20" s="79">
        <v>20321</v>
      </c>
      <c r="F20" s="79">
        <v>21017</v>
      </c>
      <c r="G20" s="79">
        <v>5773</v>
      </c>
      <c r="H20" s="79">
        <v>13935</v>
      </c>
      <c r="I20" s="79">
        <v>4180</v>
      </c>
      <c r="J20" s="79">
        <v>10417</v>
      </c>
      <c r="K20" s="79">
        <v>15624</v>
      </c>
      <c r="L20" s="79">
        <v>11494</v>
      </c>
      <c r="M20" s="79">
        <v>5547</v>
      </c>
      <c r="N20" s="79">
        <v>14550</v>
      </c>
      <c r="O20" s="79">
        <v>2371</v>
      </c>
      <c r="P20" s="79">
        <v>12270</v>
      </c>
      <c r="Q20" s="79">
        <v>64847</v>
      </c>
      <c r="R20" s="79">
        <v>21086</v>
      </c>
      <c r="S20" s="79">
        <v>5797</v>
      </c>
      <c r="T20" s="79">
        <v>9998</v>
      </c>
      <c r="U20" s="79">
        <v>5334</v>
      </c>
      <c r="V20" s="79">
        <v>42112</v>
      </c>
      <c r="W20" s="79">
        <v>5192</v>
      </c>
      <c r="X20" s="79">
        <v>79537</v>
      </c>
      <c r="Y20" s="79">
        <v>1132</v>
      </c>
      <c r="Z20" s="79">
        <v>5732</v>
      </c>
      <c r="AA20" s="79">
        <v>74057</v>
      </c>
      <c r="AB20" s="79">
        <v>39168</v>
      </c>
      <c r="AC20" s="79">
        <v>32108</v>
      </c>
      <c r="AD20" s="79">
        <v>2106</v>
      </c>
      <c r="AE20" s="79">
        <v>805</v>
      </c>
      <c r="AF20" s="80" t="s">
        <v>496</v>
      </c>
      <c r="AG20" s="79">
        <v>7032</v>
      </c>
      <c r="AH20" s="79">
        <v>7029</v>
      </c>
      <c r="AI20" s="79">
        <v>5667</v>
      </c>
      <c r="AJ20" s="79">
        <v>5391</v>
      </c>
      <c r="AK20" s="79">
        <v>284</v>
      </c>
      <c r="AL20" s="79">
        <v>42172</v>
      </c>
      <c r="AM20" s="79">
        <v>42170</v>
      </c>
      <c r="AN20" s="79">
        <v>31888</v>
      </c>
      <c r="AO20" s="79">
        <v>6186</v>
      </c>
      <c r="AP20" s="79">
        <v>6715</v>
      </c>
      <c r="AQ20" s="79">
        <v>11286</v>
      </c>
      <c r="AR20" s="79">
        <v>4965</v>
      </c>
      <c r="AS20" s="79">
        <v>3740</v>
      </c>
      <c r="AT20" s="79">
        <v>16843</v>
      </c>
      <c r="AU20" s="79">
        <v>16845</v>
      </c>
    </row>
    <row r="21" spans="1:47" x14ac:dyDescent="0.35">
      <c r="A21" s="78">
        <v>2009</v>
      </c>
      <c r="B21" s="79">
        <v>348025</v>
      </c>
      <c r="C21" s="79">
        <v>119242</v>
      </c>
      <c r="D21" s="79">
        <v>105038</v>
      </c>
      <c r="E21" s="79">
        <v>20639</v>
      </c>
      <c r="F21" s="79">
        <v>21094</v>
      </c>
      <c r="G21" s="79">
        <v>5184</v>
      </c>
      <c r="H21" s="79">
        <v>13387</v>
      </c>
      <c r="I21" s="79">
        <v>3879</v>
      </c>
      <c r="J21" s="79">
        <v>10451</v>
      </c>
      <c r="K21" s="79">
        <v>14590</v>
      </c>
      <c r="L21" s="79">
        <v>10610</v>
      </c>
      <c r="M21" s="79">
        <v>5373</v>
      </c>
      <c r="N21" s="79">
        <v>14321</v>
      </c>
      <c r="O21" s="79">
        <v>2368</v>
      </c>
      <c r="P21" s="79">
        <v>12042</v>
      </c>
      <c r="Q21" s="79">
        <v>63274</v>
      </c>
      <c r="R21" s="79">
        <v>20529</v>
      </c>
      <c r="S21" s="79">
        <v>5563</v>
      </c>
      <c r="T21" s="79">
        <v>9818</v>
      </c>
      <c r="U21" s="79">
        <v>5186</v>
      </c>
      <c r="V21" s="79">
        <v>41296</v>
      </c>
      <c r="W21" s="79">
        <v>5019</v>
      </c>
      <c r="X21" s="79">
        <v>74942</v>
      </c>
      <c r="Y21" s="79">
        <v>1049</v>
      </c>
      <c r="Z21" s="79">
        <v>5684</v>
      </c>
      <c r="AA21" s="79">
        <v>69311</v>
      </c>
      <c r="AB21" s="79">
        <v>36737</v>
      </c>
      <c r="AC21" s="79">
        <v>29988</v>
      </c>
      <c r="AD21" s="79">
        <v>1987</v>
      </c>
      <c r="AE21" s="79">
        <v>720</v>
      </c>
      <c r="AF21" s="80" t="s">
        <v>496</v>
      </c>
      <c r="AG21" s="79">
        <v>6641</v>
      </c>
      <c r="AH21" s="79">
        <v>6639</v>
      </c>
      <c r="AI21" s="79">
        <v>4730</v>
      </c>
      <c r="AJ21" s="79">
        <v>4431</v>
      </c>
      <c r="AK21" s="79">
        <v>305</v>
      </c>
      <c r="AL21" s="79">
        <v>39678</v>
      </c>
      <c r="AM21" s="79">
        <v>39677</v>
      </c>
      <c r="AN21" s="79">
        <v>30205</v>
      </c>
      <c r="AO21" s="79">
        <v>5589</v>
      </c>
      <c r="AP21" s="79">
        <v>6622</v>
      </c>
      <c r="AQ21" s="79">
        <v>10671</v>
      </c>
      <c r="AR21" s="79">
        <v>4939</v>
      </c>
      <c r="AS21" s="79">
        <v>3390</v>
      </c>
      <c r="AT21" s="79">
        <v>16309</v>
      </c>
      <c r="AU21" s="79">
        <v>16311</v>
      </c>
    </row>
    <row r="22" spans="1:47" x14ac:dyDescent="0.35">
      <c r="A22" s="78">
        <v>2010</v>
      </c>
      <c r="B22" s="79">
        <v>351387</v>
      </c>
      <c r="C22" s="79">
        <v>118425</v>
      </c>
      <c r="D22" s="79">
        <v>104965</v>
      </c>
      <c r="E22" s="79">
        <v>20700</v>
      </c>
      <c r="F22" s="79">
        <v>20817</v>
      </c>
      <c r="G22" s="79">
        <v>5388</v>
      </c>
      <c r="H22" s="79">
        <v>13198</v>
      </c>
      <c r="I22" s="79">
        <v>3686</v>
      </c>
      <c r="J22" s="79">
        <v>9680</v>
      </c>
      <c r="K22" s="79">
        <v>14814</v>
      </c>
      <c r="L22" s="79">
        <v>11376</v>
      </c>
      <c r="M22" s="79">
        <v>5486</v>
      </c>
      <c r="N22" s="79">
        <v>13523</v>
      </c>
      <c r="O22" s="79">
        <v>2354</v>
      </c>
      <c r="P22" s="79">
        <v>11239</v>
      </c>
      <c r="Q22" s="79">
        <v>61383</v>
      </c>
      <c r="R22" s="79">
        <v>20192</v>
      </c>
      <c r="S22" s="79">
        <v>5486</v>
      </c>
      <c r="T22" s="79">
        <v>9777</v>
      </c>
      <c r="U22" s="79">
        <v>4979</v>
      </c>
      <c r="V22" s="79">
        <v>40134</v>
      </c>
      <c r="W22" s="79">
        <v>4705</v>
      </c>
      <c r="X22" s="79">
        <v>80150</v>
      </c>
      <c r="Y22" s="79">
        <v>1184</v>
      </c>
      <c r="Z22" s="79">
        <v>5672</v>
      </c>
      <c r="AA22" s="79">
        <v>74735</v>
      </c>
      <c r="AB22" s="79">
        <v>36857</v>
      </c>
      <c r="AC22" s="79">
        <v>34434</v>
      </c>
      <c r="AD22" s="79">
        <v>2267</v>
      </c>
      <c r="AE22" s="79">
        <v>837</v>
      </c>
      <c r="AF22" s="80" t="s">
        <v>496</v>
      </c>
      <c r="AG22" s="79">
        <v>6682</v>
      </c>
      <c r="AH22" s="79">
        <v>6680</v>
      </c>
      <c r="AI22" s="79">
        <v>6559</v>
      </c>
      <c r="AJ22" s="79">
        <v>6281</v>
      </c>
      <c r="AK22" s="79">
        <v>288</v>
      </c>
      <c r="AL22" s="79">
        <v>39823</v>
      </c>
      <c r="AM22" s="79">
        <v>39822</v>
      </c>
      <c r="AN22" s="79">
        <v>29668</v>
      </c>
      <c r="AO22" s="79">
        <v>5373</v>
      </c>
      <c r="AP22" s="79">
        <v>7571</v>
      </c>
      <c r="AQ22" s="79">
        <v>10469</v>
      </c>
      <c r="AR22" s="79">
        <v>4179</v>
      </c>
      <c r="AS22" s="79">
        <v>3129</v>
      </c>
      <c r="AT22" s="79">
        <v>16490</v>
      </c>
      <c r="AU22" s="79">
        <v>16492</v>
      </c>
    </row>
    <row r="23" spans="1:47" x14ac:dyDescent="0.35">
      <c r="A23" s="78">
        <v>2011</v>
      </c>
      <c r="B23" s="79">
        <v>341944</v>
      </c>
      <c r="C23" s="79">
        <v>118808</v>
      </c>
      <c r="D23" s="79">
        <v>105660</v>
      </c>
      <c r="E23" s="79">
        <v>19779</v>
      </c>
      <c r="F23" s="79">
        <v>20777</v>
      </c>
      <c r="G23" s="79">
        <v>4959</v>
      </c>
      <c r="H23" s="79">
        <v>13002</v>
      </c>
      <c r="I23" s="79">
        <v>3782</v>
      </c>
      <c r="J23" s="79">
        <v>10576</v>
      </c>
      <c r="K23" s="79">
        <v>15910</v>
      </c>
      <c r="L23" s="79">
        <v>11328</v>
      </c>
      <c r="M23" s="79">
        <v>5664</v>
      </c>
      <c r="N23" s="79">
        <v>13193</v>
      </c>
      <c r="O23" s="79">
        <v>2271</v>
      </c>
      <c r="P23" s="79">
        <v>10994</v>
      </c>
      <c r="Q23" s="79">
        <v>59572</v>
      </c>
      <c r="R23" s="79">
        <v>20594</v>
      </c>
      <c r="S23" s="79">
        <v>5526</v>
      </c>
      <c r="T23" s="79">
        <v>9954</v>
      </c>
      <c r="U23" s="79">
        <v>5163</v>
      </c>
      <c r="V23" s="79">
        <v>37473</v>
      </c>
      <c r="W23" s="79">
        <v>4503</v>
      </c>
      <c r="X23" s="79">
        <v>72330</v>
      </c>
      <c r="Y23" s="79">
        <v>1196</v>
      </c>
      <c r="Z23" s="79">
        <v>5538</v>
      </c>
      <c r="AA23" s="79">
        <v>66460</v>
      </c>
      <c r="AB23" s="79">
        <v>34939</v>
      </c>
      <c r="AC23" s="79">
        <v>29050</v>
      </c>
      <c r="AD23" s="79">
        <v>1809</v>
      </c>
      <c r="AE23" s="79">
        <v>773</v>
      </c>
      <c r="AF23" s="80" t="s">
        <v>496</v>
      </c>
      <c r="AG23" s="79">
        <v>6080</v>
      </c>
      <c r="AH23" s="79">
        <v>6078</v>
      </c>
      <c r="AI23" s="79">
        <v>5818</v>
      </c>
      <c r="AJ23" s="79">
        <v>5539</v>
      </c>
      <c r="AK23" s="79">
        <v>287</v>
      </c>
      <c r="AL23" s="79">
        <v>39804</v>
      </c>
      <c r="AM23" s="79">
        <v>39803</v>
      </c>
      <c r="AN23" s="79">
        <v>29177</v>
      </c>
      <c r="AO23" s="79">
        <v>5515</v>
      </c>
      <c r="AP23" s="79">
        <v>7405</v>
      </c>
      <c r="AQ23" s="79">
        <v>9920</v>
      </c>
      <c r="AR23" s="79">
        <v>4500</v>
      </c>
      <c r="AS23" s="79">
        <v>2738</v>
      </c>
      <c r="AT23" s="79">
        <v>15884</v>
      </c>
      <c r="AU23" s="79">
        <v>15885</v>
      </c>
    </row>
    <row r="24" spans="1:47" x14ac:dyDescent="0.35">
      <c r="A24" s="78">
        <v>2012</v>
      </c>
      <c r="B24" s="79">
        <v>344489</v>
      </c>
      <c r="C24" s="79">
        <v>119113</v>
      </c>
      <c r="D24" s="79">
        <v>106351</v>
      </c>
      <c r="E24" s="79">
        <v>20248</v>
      </c>
      <c r="F24" s="79">
        <v>21732</v>
      </c>
      <c r="G24" s="79">
        <v>4755</v>
      </c>
      <c r="H24" s="79">
        <v>13037</v>
      </c>
      <c r="I24" s="79">
        <v>3604</v>
      </c>
      <c r="J24" s="79">
        <v>10565</v>
      </c>
      <c r="K24" s="79">
        <v>15433</v>
      </c>
      <c r="L24" s="79">
        <v>11285</v>
      </c>
      <c r="M24" s="79">
        <v>5796</v>
      </c>
      <c r="N24" s="79">
        <v>12799</v>
      </c>
      <c r="O24" s="79">
        <v>2321</v>
      </c>
      <c r="P24" s="79">
        <v>10534</v>
      </c>
      <c r="Q24" s="79">
        <v>57630</v>
      </c>
      <c r="R24" s="79">
        <v>20343</v>
      </c>
      <c r="S24" s="79">
        <v>5488</v>
      </c>
      <c r="T24" s="79">
        <v>9913</v>
      </c>
      <c r="U24" s="79">
        <v>4987</v>
      </c>
      <c r="V24" s="79">
        <v>35962</v>
      </c>
      <c r="W24" s="79">
        <v>4239</v>
      </c>
      <c r="X24" s="79">
        <v>75450</v>
      </c>
      <c r="Y24" s="79">
        <v>1088</v>
      </c>
      <c r="Z24" s="79">
        <v>5563</v>
      </c>
      <c r="AA24" s="79">
        <v>69969</v>
      </c>
      <c r="AB24" s="79">
        <v>36606</v>
      </c>
      <c r="AC24" s="79">
        <v>30987</v>
      </c>
      <c r="AD24" s="79">
        <v>1837</v>
      </c>
      <c r="AE24" s="79">
        <v>693</v>
      </c>
      <c r="AF24" s="80" t="s">
        <v>496</v>
      </c>
      <c r="AG24" s="79">
        <v>6013</v>
      </c>
      <c r="AH24" s="79">
        <v>6012</v>
      </c>
      <c r="AI24" s="79">
        <v>8951</v>
      </c>
      <c r="AJ24" s="79">
        <v>8642</v>
      </c>
      <c r="AK24" s="79">
        <v>326</v>
      </c>
      <c r="AL24" s="79">
        <v>39391</v>
      </c>
      <c r="AM24" s="79">
        <v>39390</v>
      </c>
      <c r="AN24" s="79">
        <v>27875</v>
      </c>
      <c r="AO24" s="79">
        <v>5120</v>
      </c>
      <c r="AP24" s="79">
        <v>7770</v>
      </c>
      <c r="AQ24" s="79">
        <v>8939</v>
      </c>
      <c r="AR24" s="79">
        <v>4157</v>
      </c>
      <c r="AS24" s="79">
        <v>2642</v>
      </c>
      <c r="AT24" s="79">
        <v>16037</v>
      </c>
      <c r="AU24" s="79">
        <v>16038</v>
      </c>
    </row>
    <row r="25" spans="1:47" x14ac:dyDescent="0.35">
      <c r="A25" s="78">
        <v>2013</v>
      </c>
      <c r="B25" s="79">
        <v>343898</v>
      </c>
      <c r="C25" s="79">
        <v>119649</v>
      </c>
      <c r="D25" s="79">
        <v>107093</v>
      </c>
      <c r="E25" s="79">
        <v>20883</v>
      </c>
      <c r="F25" s="79">
        <v>21154</v>
      </c>
      <c r="G25" s="79">
        <v>5133</v>
      </c>
      <c r="H25" s="79">
        <v>13578</v>
      </c>
      <c r="I25" s="79">
        <v>3421</v>
      </c>
      <c r="J25" s="79">
        <v>10249</v>
      </c>
      <c r="K25" s="79">
        <v>15381</v>
      </c>
      <c r="L25" s="79">
        <v>11579</v>
      </c>
      <c r="M25" s="79">
        <v>5832</v>
      </c>
      <c r="N25" s="79">
        <v>12592</v>
      </c>
      <c r="O25" s="79">
        <v>2407</v>
      </c>
      <c r="P25" s="79">
        <v>10225</v>
      </c>
      <c r="Q25" s="79">
        <v>57282</v>
      </c>
      <c r="R25" s="79">
        <v>21718</v>
      </c>
      <c r="S25" s="79">
        <v>5857</v>
      </c>
      <c r="T25" s="79">
        <v>10275</v>
      </c>
      <c r="U25" s="79">
        <v>5637</v>
      </c>
      <c r="V25" s="79">
        <v>32892</v>
      </c>
      <c r="W25" s="79">
        <v>4413</v>
      </c>
      <c r="X25" s="79">
        <v>74767</v>
      </c>
      <c r="Y25" s="79">
        <v>1151</v>
      </c>
      <c r="Z25" s="79">
        <v>5449</v>
      </c>
      <c r="AA25" s="79">
        <v>69323</v>
      </c>
      <c r="AB25" s="79">
        <v>36444</v>
      </c>
      <c r="AC25" s="79">
        <v>30326</v>
      </c>
      <c r="AD25" s="79">
        <v>1937</v>
      </c>
      <c r="AE25" s="79">
        <v>714</v>
      </c>
      <c r="AF25" s="80" t="s">
        <v>496</v>
      </c>
      <c r="AG25" s="79">
        <v>6025</v>
      </c>
      <c r="AH25" s="79">
        <v>6024</v>
      </c>
      <c r="AI25" s="79">
        <v>8414</v>
      </c>
      <c r="AJ25" s="79">
        <v>8081</v>
      </c>
      <c r="AK25" s="79">
        <v>346</v>
      </c>
      <c r="AL25" s="79">
        <v>38288</v>
      </c>
      <c r="AM25" s="79">
        <v>38286</v>
      </c>
      <c r="AN25" s="79">
        <v>28348</v>
      </c>
      <c r="AO25" s="79">
        <v>4872</v>
      </c>
      <c r="AP25" s="79">
        <v>8564</v>
      </c>
      <c r="AQ25" s="79">
        <v>8381</v>
      </c>
      <c r="AR25" s="79">
        <v>4190</v>
      </c>
      <c r="AS25" s="79">
        <v>2979</v>
      </c>
      <c r="AT25" s="79">
        <v>17030</v>
      </c>
      <c r="AU25" s="79">
        <v>17031</v>
      </c>
    </row>
    <row r="26" spans="1:47" x14ac:dyDescent="0.35">
      <c r="A26" s="78">
        <v>2014</v>
      </c>
      <c r="B26" s="79">
        <v>339249</v>
      </c>
      <c r="C26" s="79">
        <v>121304</v>
      </c>
      <c r="D26" s="79">
        <v>108568</v>
      </c>
      <c r="E26" s="79">
        <v>20818</v>
      </c>
      <c r="F26" s="79">
        <v>21201</v>
      </c>
      <c r="G26" s="79">
        <v>4949</v>
      </c>
      <c r="H26" s="79">
        <v>13767</v>
      </c>
      <c r="I26" s="79">
        <v>3253</v>
      </c>
      <c r="J26" s="79">
        <v>11213</v>
      </c>
      <c r="K26" s="79">
        <v>16123</v>
      </c>
      <c r="L26" s="79">
        <v>11689</v>
      </c>
      <c r="M26" s="79">
        <v>5567</v>
      </c>
      <c r="N26" s="79">
        <v>12772</v>
      </c>
      <c r="O26" s="79">
        <v>2470</v>
      </c>
      <c r="P26" s="79">
        <v>10339</v>
      </c>
      <c r="Q26" s="79">
        <v>54417</v>
      </c>
      <c r="R26" s="79">
        <v>21547</v>
      </c>
      <c r="S26" s="79">
        <v>5781</v>
      </c>
      <c r="T26" s="79">
        <v>9986</v>
      </c>
      <c r="U26" s="79">
        <v>5838</v>
      </c>
      <c r="V26" s="79">
        <v>30293</v>
      </c>
      <c r="W26" s="79">
        <v>3984</v>
      </c>
      <c r="X26" s="79">
        <v>65834</v>
      </c>
      <c r="Y26" s="79">
        <v>1197</v>
      </c>
      <c r="Z26" s="79">
        <v>5791</v>
      </c>
      <c r="AA26" s="79">
        <v>59130</v>
      </c>
      <c r="AB26" s="79">
        <v>32677</v>
      </c>
      <c r="AC26" s="79">
        <v>24428</v>
      </c>
      <c r="AD26" s="79">
        <v>1727</v>
      </c>
      <c r="AE26" s="79">
        <v>650</v>
      </c>
      <c r="AF26" s="80" t="s">
        <v>496</v>
      </c>
      <c r="AG26" s="79">
        <v>6342</v>
      </c>
      <c r="AH26" s="79">
        <v>6342</v>
      </c>
      <c r="AI26" s="79">
        <v>8850</v>
      </c>
      <c r="AJ26" s="79">
        <v>8532</v>
      </c>
      <c r="AK26" s="79">
        <v>334</v>
      </c>
      <c r="AL26" s="79">
        <v>37809</v>
      </c>
      <c r="AM26" s="79">
        <v>37808</v>
      </c>
      <c r="AN26" s="79">
        <v>28842</v>
      </c>
      <c r="AO26" s="79">
        <v>5808</v>
      </c>
      <c r="AP26" s="79">
        <v>9602</v>
      </c>
      <c r="AQ26" s="79">
        <v>7578</v>
      </c>
      <c r="AR26" s="79">
        <v>3790</v>
      </c>
      <c r="AS26" s="79">
        <v>2467</v>
      </c>
      <c r="AT26" s="79">
        <v>18871</v>
      </c>
      <c r="AU26" s="79">
        <v>18872</v>
      </c>
    </row>
    <row r="27" spans="1:47" x14ac:dyDescent="0.35">
      <c r="A27" s="78">
        <v>2015</v>
      </c>
      <c r="B27" s="79">
        <v>344114</v>
      </c>
      <c r="C27" s="79">
        <v>123025</v>
      </c>
      <c r="D27" s="79">
        <v>110557</v>
      </c>
      <c r="E27" s="79">
        <v>22444</v>
      </c>
      <c r="F27" s="79">
        <v>21839</v>
      </c>
      <c r="G27" s="79">
        <v>4987</v>
      </c>
      <c r="H27" s="79">
        <v>13421</v>
      </c>
      <c r="I27" s="79">
        <v>3554</v>
      </c>
      <c r="J27" s="79">
        <v>10890</v>
      </c>
      <c r="K27" s="79">
        <v>15984</v>
      </c>
      <c r="L27" s="79">
        <v>11885</v>
      </c>
      <c r="M27" s="79">
        <v>5614</v>
      </c>
      <c r="N27" s="79">
        <v>12493</v>
      </c>
      <c r="O27" s="79">
        <v>2570</v>
      </c>
      <c r="P27" s="79">
        <v>9947</v>
      </c>
      <c r="Q27" s="79">
        <v>52363</v>
      </c>
      <c r="R27" s="79">
        <v>22011</v>
      </c>
      <c r="S27" s="79">
        <v>5997</v>
      </c>
      <c r="T27" s="79">
        <v>10103</v>
      </c>
      <c r="U27" s="79">
        <v>5963</v>
      </c>
      <c r="V27" s="79">
        <v>28096</v>
      </c>
      <c r="W27" s="79">
        <v>3427</v>
      </c>
      <c r="X27" s="79">
        <v>68986</v>
      </c>
      <c r="Y27" s="79">
        <v>1450</v>
      </c>
      <c r="Z27" s="79">
        <v>5793</v>
      </c>
      <c r="AA27" s="79">
        <v>62117</v>
      </c>
      <c r="AB27" s="79">
        <v>33460</v>
      </c>
      <c r="AC27" s="79">
        <v>26486</v>
      </c>
      <c r="AD27" s="79">
        <v>1774</v>
      </c>
      <c r="AE27" s="79">
        <v>608</v>
      </c>
      <c r="AF27" s="80" t="s">
        <v>496</v>
      </c>
      <c r="AG27" s="79">
        <v>6786</v>
      </c>
      <c r="AH27" s="79">
        <v>6786</v>
      </c>
      <c r="AI27" s="79">
        <v>8692</v>
      </c>
      <c r="AJ27" s="79">
        <v>8186</v>
      </c>
      <c r="AK27" s="79">
        <v>512</v>
      </c>
      <c r="AL27" s="79">
        <v>37417</v>
      </c>
      <c r="AM27" s="79">
        <v>37416</v>
      </c>
      <c r="AN27" s="79">
        <v>28829</v>
      </c>
      <c r="AO27" s="79">
        <v>5902</v>
      </c>
      <c r="AP27" s="79">
        <v>9615</v>
      </c>
      <c r="AQ27" s="79">
        <v>7504</v>
      </c>
      <c r="AR27" s="79">
        <v>3849</v>
      </c>
      <c r="AS27" s="79">
        <v>2344</v>
      </c>
      <c r="AT27" s="79">
        <v>21442</v>
      </c>
      <c r="AU27" s="79">
        <v>21443</v>
      </c>
    </row>
    <row r="28" spans="1:47" x14ac:dyDescent="0.35">
      <c r="A28" s="78">
        <v>2016</v>
      </c>
      <c r="B28" s="79">
        <v>358644</v>
      </c>
      <c r="C28" s="79">
        <v>131956</v>
      </c>
      <c r="D28" s="79">
        <v>118953</v>
      </c>
      <c r="E28" s="79">
        <v>23829</v>
      </c>
      <c r="F28" s="79">
        <v>24143</v>
      </c>
      <c r="G28" s="79">
        <v>5346</v>
      </c>
      <c r="H28" s="79">
        <v>14259</v>
      </c>
      <c r="I28" s="79">
        <v>3494</v>
      </c>
      <c r="J28" s="79">
        <v>11681</v>
      </c>
      <c r="K28" s="79">
        <v>17351</v>
      </c>
      <c r="L28" s="79">
        <v>12739</v>
      </c>
      <c r="M28" s="79">
        <v>6082</v>
      </c>
      <c r="N28" s="79">
        <v>13028</v>
      </c>
      <c r="O28" s="79">
        <v>2635</v>
      </c>
      <c r="P28" s="79">
        <v>10420</v>
      </c>
      <c r="Q28" s="79">
        <v>50546</v>
      </c>
      <c r="R28" s="79">
        <v>21884</v>
      </c>
      <c r="S28" s="79">
        <v>6018</v>
      </c>
      <c r="T28" s="79">
        <v>10127</v>
      </c>
      <c r="U28" s="79">
        <v>5779</v>
      </c>
      <c r="V28" s="79">
        <v>26354</v>
      </c>
      <c r="W28" s="79">
        <v>3250</v>
      </c>
      <c r="X28" s="79">
        <v>72190</v>
      </c>
      <c r="Y28" s="79">
        <v>1533</v>
      </c>
      <c r="Z28" s="79">
        <v>5899</v>
      </c>
      <c r="AA28" s="79">
        <v>65248</v>
      </c>
      <c r="AB28" s="79">
        <v>34677</v>
      </c>
      <c r="AC28" s="79">
        <v>28295</v>
      </c>
      <c r="AD28" s="79">
        <v>1796</v>
      </c>
      <c r="AE28" s="79">
        <v>625</v>
      </c>
      <c r="AF28" s="80" t="s">
        <v>496</v>
      </c>
      <c r="AG28" s="79">
        <v>7214</v>
      </c>
      <c r="AH28" s="79">
        <v>7214</v>
      </c>
      <c r="AI28" s="79">
        <v>9189</v>
      </c>
      <c r="AJ28" s="79">
        <v>8768</v>
      </c>
      <c r="AK28" s="79">
        <v>433</v>
      </c>
      <c r="AL28" s="79">
        <v>38944</v>
      </c>
      <c r="AM28" s="79">
        <v>38943</v>
      </c>
      <c r="AN28" s="79">
        <v>30914</v>
      </c>
      <c r="AO28" s="79">
        <v>6364</v>
      </c>
      <c r="AP28" s="79">
        <v>10497</v>
      </c>
      <c r="AQ28" s="79">
        <v>7177</v>
      </c>
      <c r="AR28" s="79">
        <v>4269</v>
      </c>
      <c r="AS28" s="79">
        <v>2847</v>
      </c>
      <c r="AT28" s="79">
        <v>21493</v>
      </c>
      <c r="AU28" s="79">
        <v>21494</v>
      </c>
    </row>
    <row r="29" spans="1:47" x14ac:dyDescent="0.35">
      <c r="A29" s="78">
        <v>2017</v>
      </c>
      <c r="B29" s="79">
        <v>365712</v>
      </c>
      <c r="C29" s="79">
        <v>135517</v>
      </c>
      <c r="D29" s="79">
        <v>122034</v>
      </c>
      <c r="E29" s="79">
        <v>24366</v>
      </c>
      <c r="F29" s="79">
        <v>24519</v>
      </c>
      <c r="G29" s="79">
        <v>5485</v>
      </c>
      <c r="H29" s="79">
        <v>15031</v>
      </c>
      <c r="I29" s="79">
        <v>3816</v>
      </c>
      <c r="J29" s="79">
        <v>12219</v>
      </c>
      <c r="K29" s="79">
        <v>17641</v>
      </c>
      <c r="L29" s="79">
        <v>13037</v>
      </c>
      <c r="M29" s="79">
        <v>5908</v>
      </c>
      <c r="N29" s="79">
        <v>13509</v>
      </c>
      <c r="O29" s="79">
        <v>2647</v>
      </c>
      <c r="P29" s="79">
        <v>10898</v>
      </c>
      <c r="Q29" s="79">
        <v>51526</v>
      </c>
      <c r="R29" s="79">
        <v>23148</v>
      </c>
      <c r="S29" s="79">
        <v>6387</v>
      </c>
      <c r="T29" s="79">
        <v>10639</v>
      </c>
      <c r="U29" s="79">
        <v>6164</v>
      </c>
      <c r="V29" s="79">
        <v>25214</v>
      </c>
      <c r="W29" s="79">
        <v>3717</v>
      </c>
      <c r="X29" s="79">
        <v>68505</v>
      </c>
      <c r="Y29" s="79">
        <v>1634</v>
      </c>
      <c r="Z29" s="79">
        <v>5728</v>
      </c>
      <c r="AA29" s="79">
        <v>61414</v>
      </c>
      <c r="AB29" s="79">
        <v>33426</v>
      </c>
      <c r="AC29" s="79">
        <v>25860</v>
      </c>
      <c r="AD29" s="79">
        <v>1692</v>
      </c>
      <c r="AE29" s="79">
        <v>645</v>
      </c>
      <c r="AF29" s="80" t="s">
        <v>496</v>
      </c>
      <c r="AG29" s="79">
        <v>7634</v>
      </c>
      <c r="AH29" s="79">
        <v>7634</v>
      </c>
      <c r="AI29" s="79">
        <v>9828</v>
      </c>
      <c r="AJ29" s="79">
        <v>9361</v>
      </c>
      <c r="AK29" s="79">
        <v>480</v>
      </c>
      <c r="AL29" s="79">
        <v>39339</v>
      </c>
      <c r="AM29" s="79">
        <v>39338</v>
      </c>
      <c r="AN29" s="79">
        <v>30411</v>
      </c>
      <c r="AO29" s="79">
        <v>6623</v>
      </c>
      <c r="AP29" s="79">
        <v>9991</v>
      </c>
      <c r="AQ29" s="79">
        <v>6870</v>
      </c>
      <c r="AR29" s="79">
        <v>4131</v>
      </c>
      <c r="AS29" s="79">
        <v>2968</v>
      </c>
      <c r="AT29" s="79">
        <v>24824</v>
      </c>
      <c r="AU29" s="79">
        <v>24825</v>
      </c>
    </row>
    <row r="30" spans="1:47" x14ac:dyDescent="0.35">
      <c r="A30" s="78">
        <v>2018</v>
      </c>
      <c r="B30" s="79">
        <v>373798</v>
      </c>
      <c r="C30" s="79">
        <v>139276</v>
      </c>
      <c r="D30" s="79">
        <v>125637</v>
      </c>
      <c r="E30" s="79">
        <v>25348</v>
      </c>
      <c r="F30" s="79">
        <v>24562</v>
      </c>
      <c r="G30" s="79">
        <v>5395</v>
      </c>
      <c r="H30" s="79">
        <v>15354</v>
      </c>
      <c r="I30" s="79">
        <v>4010</v>
      </c>
      <c r="J30" s="79">
        <v>12560</v>
      </c>
      <c r="K30" s="79">
        <v>18087</v>
      </c>
      <c r="L30" s="79">
        <v>14035</v>
      </c>
      <c r="M30" s="79">
        <v>6300</v>
      </c>
      <c r="N30" s="79">
        <v>13659</v>
      </c>
      <c r="O30" s="79">
        <v>2764</v>
      </c>
      <c r="P30" s="79">
        <v>10917</v>
      </c>
      <c r="Q30" s="79">
        <v>51704</v>
      </c>
      <c r="R30" s="79">
        <v>24333</v>
      </c>
      <c r="S30" s="79">
        <v>6787</v>
      </c>
      <c r="T30" s="79">
        <v>10757</v>
      </c>
      <c r="U30" s="79">
        <v>6832</v>
      </c>
      <c r="V30" s="79">
        <v>23889</v>
      </c>
      <c r="W30" s="79">
        <v>3747</v>
      </c>
      <c r="X30" s="79">
        <v>69667</v>
      </c>
      <c r="Y30" s="79">
        <v>1681</v>
      </c>
      <c r="Z30" s="79">
        <v>5843</v>
      </c>
      <c r="AA30" s="79">
        <v>62398</v>
      </c>
      <c r="AB30" s="79">
        <v>33715</v>
      </c>
      <c r="AC30" s="79">
        <v>26200</v>
      </c>
      <c r="AD30" s="79">
        <v>1816</v>
      </c>
      <c r="AE30" s="79">
        <v>801</v>
      </c>
      <c r="AF30" s="80" t="s">
        <v>496</v>
      </c>
      <c r="AG30" s="79">
        <v>7872</v>
      </c>
      <c r="AH30" s="79">
        <v>7872</v>
      </c>
      <c r="AI30" s="79">
        <v>9494</v>
      </c>
      <c r="AJ30" s="79">
        <v>8998</v>
      </c>
      <c r="AK30" s="79">
        <v>504</v>
      </c>
      <c r="AL30" s="79">
        <v>40710</v>
      </c>
      <c r="AM30" s="79">
        <v>40709</v>
      </c>
      <c r="AN30" s="79">
        <v>30690</v>
      </c>
      <c r="AO30" s="79">
        <v>7056</v>
      </c>
      <c r="AP30" s="79">
        <v>9925</v>
      </c>
      <c r="AQ30" s="79">
        <v>6446</v>
      </c>
      <c r="AR30" s="79">
        <v>3965</v>
      </c>
      <c r="AS30" s="79">
        <v>3374</v>
      </c>
      <c r="AT30" s="79">
        <v>26232</v>
      </c>
      <c r="AU30" s="79">
        <v>26233</v>
      </c>
    </row>
    <row r="31" spans="1:47" x14ac:dyDescent="0.35">
      <c r="A31" s="78">
        <v>2019</v>
      </c>
      <c r="B31" s="79">
        <v>369876</v>
      </c>
      <c r="C31" s="79">
        <v>139372</v>
      </c>
      <c r="D31" s="79">
        <v>125470</v>
      </c>
      <c r="E31" s="79">
        <v>25364</v>
      </c>
      <c r="F31" s="79">
        <v>24389</v>
      </c>
      <c r="G31" s="79">
        <v>5599</v>
      </c>
      <c r="H31" s="79">
        <v>15497</v>
      </c>
      <c r="I31" s="79">
        <v>3849</v>
      </c>
      <c r="J31" s="79">
        <v>12175</v>
      </c>
      <c r="K31" s="79">
        <v>18513</v>
      </c>
      <c r="L31" s="79">
        <v>13922</v>
      </c>
      <c r="M31" s="79">
        <v>6172</v>
      </c>
      <c r="N31" s="79">
        <v>13924</v>
      </c>
      <c r="O31" s="79">
        <v>2869</v>
      </c>
      <c r="P31" s="79">
        <v>11070</v>
      </c>
      <c r="Q31" s="79">
        <v>49481</v>
      </c>
      <c r="R31" s="79">
        <v>23837</v>
      </c>
      <c r="S31" s="79">
        <v>6705</v>
      </c>
      <c r="T31" s="79">
        <v>10486</v>
      </c>
      <c r="U31" s="79">
        <v>6685</v>
      </c>
      <c r="V31" s="79">
        <v>22353</v>
      </c>
      <c r="W31" s="79">
        <v>3481</v>
      </c>
      <c r="X31" s="79">
        <v>66591</v>
      </c>
      <c r="Y31" s="79">
        <v>1744</v>
      </c>
      <c r="Z31" s="79">
        <v>5807</v>
      </c>
      <c r="AA31" s="79">
        <v>59090</v>
      </c>
      <c r="AB31" s="79">
        <v>32182</v>
      </c>
      <c r="AC31" s="79">
        <v>24626</v>
      </c>
      <c r="AD31" s="79">
        <v>1749</v>
      </c>
      <c r="AE31" s="79">
        <v>675</v>
      </c>
      <c r="AF31" s="80" t="s">
        <v>496</v>
      </c>
      <c r="AG31" s="79">
        <v>8453</v>
      </c>
      <c r="AH31" s="79">
        <v>8453</v>
      </c>
      <c r="AI31" s="79">
        <v>9960</v>
      </c>
      <c r="AJ31" s="79">
        <v>9463</v>
      </c>
      <c r="AK31" s="79">
        <v>507</v>
      </c>
      <c r="AL31" s="79">
        <v>40139</v>
      </c>
      <c r="AM31" s="79">
        <v>40139</v>
      </c>
      <c r="AN31" s="79">
        <v>30575</v>
      </c>
      <c r="AO31" s="79">
        <v>6910</v>
      </c>
      <c r="AP31" s="79">
        <v>10203</v>
      </c>
      <c r="AQ31" s="79">
        <v>6032</v>
      </c>
      <c r="AR31" s="79">
        <v>3813</v>
      </c>
      <c r="AS31" s="79">
        <v>3652</v>
      </c>
      <c r="AT31" s="79">
        <v>26572</v>
      </c>
      <c r="AU31" s="79">
        <v>26572</v>
      </c>
    </row>
    <row r="32" spans="1:47" x14ac:dyDescent="0.35">
      <c r="A32" s="78">
        <v>2020</v>
      </c>
      <c r="B32" s="79">
        <v>373004</v>
      </c>
      <c r="C32" s="79">
        <v>146077</v>
      </c>
      <c r="D32" s="79">
        <v>131722</v>
      </c>
      <c r="E32" s="79">
        <v>26488</v>
      </c>
      <c r="F32" s="79">
        <v>25392</v>
      </c>
      <c r="G32" s="79">
        <v>5858</v>
      </c>
      <c r="H32" s="79">
        <v>16716</v>
      </c>
      <c r="I32" s="79">
        <v>4295</v>
      </c>
      <c r="J32" s="79">
        <v>12160</v>
      </c>
      <c r="K32" s="79">
        <v>19631</v>
      </c>
      <c r="L32" s="79">
        <v>14458</v>
      </c>
      <c r="M32" s="79">
        <v>6858</v>
      </c>
      <c r="N32" s="79">
        <v>14380</v>
      </c>
      <c r="O32" s="79">
        <v>3106</v>
      </c>
      <c r="P32" s="79">
        <v>11279</v>
      </c>
      <c r="Q32" s="79">
        <v>55986</v>
      </c>
      <c r="R32" s="79">
        <v>28942</v>
      </c>
      <c r="S32" s="79">
        <v>7952</v>
      </c>
      <c r="T32" s="79">
        <v>12508</v>
      </c>
      <c r="U32" s="79">
        <v>8546</v>
      </c>
      <c r="V32" s="79">
        <v>24214</v>
      </c>
      <c r="W32" s="79">
        <v>3011</v>
      </c>
      <c r="X32" s="79">
        <v>68910</v>
      </c>
      <c r="Y32" s="79">
        <v>1892</v>
      </c>
      <c r="Z32" s="79">
        <v>6160</v>
      </c>
      <c r="AA32" s="79">
        <v>60782</v>
      </c>
      <c r="AB32" s="79">
        <v>33573</v>
      </c>
      <c r="AC32" s="79">
        <v>25090</v>
      </c>
      <c r="AD32" s="79">
        <v>1806</v>
      </c>
      <c r="AE32" s="79">
        <v>491</v>
      </c>
      <c r="AF32" s="80" t="s">
        <v>496</v>
      </c>
      <c r="AG32" s="79">
        <v>10183</v>
      </c>
      <c r="AH32" s="79">
        <v>10183</v>
      </c>
      <c r="AI32" s="79">
        <v>9727</v>
      </c>
      <c r="AJ32" s="79">
        <v>9074</v>
      </c>
      <c r="AK32" s="79">
        <v>652</v>
      </c>
      <c r="AL32" s="79">
        <v>31143</v>
      </c>
      <c r="AM32" s="79">
        <v>31143</v>
      </c>
      <c r="AN32" s="79">
        <v>29057</v>
      </c>
      <c r="AO32" s="79">
        <v>7188</v>
      </c>
      <c r="AP32" s="79">
        <v>10503</v>
      </c>
      <c r="AQ32" s="79">
        <v>4806</v>
      </c>
      <c r="AR32" s="79">
        <v>3300</v>
      </c>
      <c r="AS32" s="79">
        <v>3271</v>
      </c>
      <c r="AT32" s="79">
        <v>24038</v>
      </c>
      <c r="AU32" s="79">
        <v>24038</v>
      </c>
    </row>
    <row r="33" spans="1:47" x14ac:dyDescent="0.35">
      <c r="A33" s="78">
        <v>2021</v>
      </c>
      <c r="B33" s="63">
        <v>383204</v>
      </c>
      <c r="C33" s="63">
        <v>146867</v>
      </c>
      <c r="D33" s="63">
        <v>131406</v>
      </c>
      <c r="E33" s="63">
        <v>25477</v>
      </c>
      <c r="F33" s="63">
        <v>25829</v>
      </c>
      <c r="G33" s="63">
        <v>5909</v>
      </c>
      <c r="H33" s="63">
        <v>15605</v>
      </c>
      <c r="I33" s="63">
        <v>4020</v>
      </c>
      <c r="J33" s="63">
        <v>12539</v>
      </c>
      <c r="K33" s="63">
        <v>19869</v>
      </c>
      <c r="L33" s="63">
        <v>15215</v>
      </c>
      <c r="M33" s="63">
        <v>6940</v>
      </c>
      <c r="N33" s="63">
        <v>15466</v>
      </c>
      <c r="O33" s="63">
        <v>3506</v>
      </c>
      <c r="P33" s="63">
        <v>11960</v>
      </c>
      <c r="Q33" s="63">
        <v>55063</v>
      </c>
      <c r="R33" s="63">
        <v>28277</v>
      </c>
      <c r="S33" s="63">
        <v>7925</v>
      </c>
      <c r="T33" s="63">
        <v>12068</v>
      </c>
      <c r="U33" s="63">
        <v>8341</v>
      </c>
      <c r="V33" s="63">
        <v>23851</v>
      </c>
      <c r="W33" s="63">
        <v>3118</v>
      </c>
      <c r="X33" s="63">
        <v>70180</v>
      </c>
      <c r="Y33" s="63">
        <v>1791</v>
      </c>
      <c r="Z33" s="63">
        <v>5864</v>
      </c>
      <c r="AA33" s="63">
        <v>62798</v>
      </c>
      <c r="AB33" s="63">
        <v>34667</v>
      </c>
      <c r="AC33" s="63">
        <v>25847</v>
      </c>
      <c r="AD33" s="63">
        <v>1775</v>
      </c>
      <c r="AE33" s="63">
        <v>628</v>
      </c>
      <c r="AF33" s="64" t="s">
        <v>496</v>
      </c>
      <c r="AG33" s="63">
        <v>9020</v>
      </c>
      <c r="AH33" s="63">
        <v>9020</v>
      </c>
      <c r="AI33" s="63">
        <v>9887</v>
      </c>
      <c r="AJ33" s="63">
        <v>9193</v>
      </c>
      <c r="AK33" s="63">
        <v>692</v>
      </c>
      <c r="AL33" s="63">
        <v>35502</v>
      </c>
      <c r="AM33" s="63">
        <v>35502</v>
      </c>
      <c r="AN33" s="63">
        <v>32096</v>
      </c>
      <c r="AO33" s="63">
        <v>8333</v>
      </c>
      <c r="AP33" s="63">
        <v>11800</v>
      </c>
      <c r="AQ33" s="63">
        <v>4190</v>
      </c>
      <c r="AR33" s="63">
        <v>3626</v>
      </c>
      <c r="AS33" s="63">
        <v>4077</v>
      </c>
      <c r="AT33" s="63">
        <v>26768</v>
      </c>
      <c r="AU33" s="63">
        <v>26768</v>
      </c>
    </row>
    <row r="34" spans="1:47" x14ac:dyDescent="0.35">
      <c r="A34" s="78">
        <v>2022</v>
      </c>
      <c r="B34" s="63">
        <v>376600</v>
      </c>
      <c r="C34" s="63">
        <v>146444</v>
      </c>
      <c r="D34" s="63">
        <v>130773</v>
      </c>
      <c r="E34" s="63">
        <v>26094</v>
      </c>
      <c r="F34" s="63">
        <v>24727</v>
      </c>
      <c r="G34" s="63">
        <v>5376</v>
      </c>
      <c r="H34" s="63">
        <v>16845</v>
      </c>
      <c r="I34" s="63">
        <v>4059</v>
      </c>
      <c r="J34" s="63">
        <v>13045</v>
      </c>
      <c r="K34" s="63">
        <v>19764</v>
      </c>
      <c r="L34" s="63">
        <v>14545</v>
      </c>
      <c r="M34" s="63">
        <v>6310</v>
      </c>
      <c r="N34" s="63">
        <v>15672</v>
      </c>
      <c r="O34" s="63">
        <v>3314</v>
      </c>
      <c r="P34" s="63">
        <v>12358</v>
      </c>
      <c r="Q34" s="63">
        <v>51604</v>
      </c>
      <c r="R34" s="63">
        <v>26300</v>
      </c>
      <c r="S34" s="63">
        <v>7592</v>
      </c>
      <c r="T34" s="63">
        <v>11839</v>
      </c>
      <c r="U34" s="63">
        <v>6889</v>
      </c>
      <c r="V34" s="63">
        <v>22110</v>
      </c>
      <c r="W34" s="63">
        <v>3341</v>
      </c>
      <c r="X34" s="63">
        <v>64093</v>
      </c>
      <c r="Y34" s="63">
        <v>1817</v>
      </c>
      <c r="Z34" s="63">
        <v>5556</v>
      </c>
      <c r="AA34" s="63">
        <v>56746</v>
      </c>
      <c r="AB34" s="63">
        <v>31796</v>
      </c>
      <c r="AC34" s="63">
        <v>22970</v>
      </c>
      <c r="AD34" s="63">
        <v>1398</v>
      </c>
      <c r="AE34" s="63">
        <v>622</v>
      </c>
      <c r="AF34" s="64" t="s">
        <v>496</v>
      </c>
      <c r="AG34" s="63">
        <v>8255</v>
      </c>
      <c r="AH34" s="63">
        <v>8255</v>
      </c>
      <c r="AI34" s="63">
        <v>10326</v>
      </c>
      <c r="AJ34" s="63">
        <v>9566</v>
      </c>
      <c r="AK34" s="63">
        <v>757</v>
      </c>
      <c r="AL34" s="63">
        <v>37491</v>
      </c>
      <c r="AM34" s="63">
        <v>37491</v>
      </c>
      <c r="AN34" s="63">
        <v>31736</v>
      </c>
      <c r="AO34" s="63">
        <v>7968</v>
      </c>
      <c r="AP34" s="63">
        <v>12067</v>
      </c>
      <c r="AQ34" s="63">
        <v>4026</v>
      </c>
      <c r="AR34" s="63">
        <v>3606</v>
      </c>
      <c r="AS34" s="63">
        <v>4018</v>
      </c>
      <c r="AT34" s="63">
        <v>27403</v>
      </c>
      <c r="AU34" s="63">
        <v>27403</v>
      </c>
    </row>
    <row r="35" spans="1:47" x14ac:dyDescent="0.35">
      <c r="A35" s="78">
        <v>2023</v>
      </c>
      <c r="B35" s="63">
        <v>360077</v>
      </c>
      <c r="C35" s="63">
        <v>139909</v>
      </c>
      <c r="D35" s="63">
        <v>124710</v>
      </c>
      <c r="E35" s="63">
        <v>24022</v>
      </c>
      <c r="F35" s="63">
        <v>24232</v>
      </c>
      <c r="G35" s="63">
        <v>5066</v>
      </c>
      <c r="H35" s="63">
        <v>16123</v>
      </c>
      <c r="I35" s="63">
        <v>3624</v>
      </c>
      <c r="J35" s="63">
        <v>12209</v>
      </c>
      <c r="K35" s="63">
        <v>19396</v>
      </c>
      <c r="L35" s="63">
        <v>14018</v>
      </c>
      <c r="M35" s="63">
        <v>6020</v>
      </c>
      <c r="N35" s="63">
        <v>15199</v>
      </c>
      <c r="O35" s="63">
        <v>3250</v>
      </c>
      <c r="P35" s="63">
        <v>11949</v>
      </c>
      <c r="Q35" s="63">
        <v>50348</v>
      </c>
      <c r="R35" s="63">
        <v>27175</v>
      </c>
      <c r="S35" s="63">
        <v>7864</v>
      </c>
      <c r="T35" s="63">
        <v>12697</v>
      </c>
      <c r="U35" s="63">
        <v>6614</v>
      </c>
      <c r="V35" s="63">
        <v>19829</v>
      </c>
      <c r="W35" s="63">
        <v>3344</v>
      </c>
      <c r="X35" s="63">
        <v>59771</v>
      </c>
      <c r="Y35" s="63">
        <v>1626</v>
      </c>
      <c r="Z35" s="63">
        <v>5640</v>
      </c>
      <c r="AA35" s="63">
        <v>52505</v>
      </c>
      <c r="AB35" s="63">
        <v>30589</v>
      </c>
      <c r="AC35" s="63">
        <v>20085</v>
      </c>
      <c r="AD35" s="63">
        <v>1302</v>
      </c>
      <c r="AE35" s="63">
        <v>529</v>
      </c>
      <c r="AF35" s="64" t="s">
        <v>496</v>
      </c>
      <c r="AG35" s="63">
        <v>7673</v>
      </c>
      <c r="AH35" s="63">
        <v>7673</v>
      </c>
      <c r="AI35" s="63">
        <v>8728</v>
      </c>
      <c r="AJ35" s="63">
        <v>8192</v>
      </c>
      <c r="AK35" s="63">
        <v>536</v>
      </c>
      <c r="AL35" s="63">
        <v>38504</v>
      </c>
      <c r="AM35" s="63">
        <v>38504</v>
      </c>
      <c r="AN35" s="63">
        <v>29102</v>
      </c>
      <c r="AO35" s="63">
        <v>7396</v>
      </c>
      <c r="AP35" s="63">
        <v>11631</v>
      </c>
      <c r="AQ35" s="63">
        <v>3905</v>
      </c>
      <c r="AR35" s="63">
        <v>2878</v>
      </c>
      <c r="AS35" s="63">
        <v>3292</v>
      </c>
      <c r="AT35" s="63">
        <v>26042</v>
      </c>
      <c r="AU35" s="63">
        <v>26042</v>
      </c>
    </row>
    <row r="36" spans="1:47" x14ac:dyDescent="0.35">
      <c r="A36" s="78">
        <v>2024</v>
      </c>
      <c r="B36" s="63">
        <v>356095</v>
      </c>
      <c r="C36" s="63">
        <v>138368</v>
      </c>
      <c r="D36" s="63">
        <v>123204</v>
      </c>
      <c r="E36" s="63">
        <v>23432</v>
      </c>
      <c r="F36" s="63">
        <v>24010</v>
      </c>
      <c r="G36" s="63">
        <v>5170</v>
      </c>
      <c r="H36" s="63">
        <v>15859</v>
      </c>
      <c r="I36" s="63">
        <v>3490</v>
      </c>
      <c r="J36" s="63">
        <v>11982</v>
      </c>
      <c r="K36" s="63">
        <v>19418</v>
      </c>
      <c r="L36" s="63">
        <v>13638</v>
      </c>
      <c r="M36" s="63">
        <v>6205</v>
      </c>
      <c r="N36" s="63">
        <v>15164</v>
      </c>
      <c r="O36" s="63">
        <v>3267</v>
      </c>
      <c r="P36" s="63">
        <v>11897</v>
      </c>
      <c r="Q36" s="63">
        <v>48367</v>
      </c>
      <c r="R36" s="63">
        <v>26976</v>
      </c>
      <c r="S36" s="63">
        <v>7951</v>
      </c>
      <c r="T36" s="63">
        <v>12686</v>
      </c>
      <c r="U36" s="63">
        <v>6339</v>
      </c>
      <c r="V36" s="63">
        <v>17969</v>
      </c>
      <c r="W36" s="63">
        <v>3422</v>
      </c>
      <c r="X36" s="63">
        <v>58773</v>
      </c>
      <c r="Y36" s="63">
        <v>1570</v>
      </c>
      <c r="Z36" s="63">
        <v>5656</v>
      </c>
      <c r="AA36" s="63">
        <v>51547</v>
      </c>
      <c r="AB36" s="63">
        <v>31083</v>
      </c>
      <c r="AC36" s="63">
        <v>18725</v>
      </c>
      <c r="AD36" s="63">
        <v>1373</v>
      </c>
      <c r="AE36" s="63">
        <v>366</v>
      </c>
      <c r="AF36" s="64" t="s">
        <v>496</v>
      </c>
      <c r="AG36" s="63">
        <v>8211</v>
      </c>
      <c r="AH36" s="63">
        <v>8211</v>
      </c>
      <c r="AI36" s="63">
        <v>8223</v>
      </c>
      <c r="AJ36" s="63">
        <v>7667</v>
      </c>
      <c r="AK36" s="63">
        <v>556</v>
      </c>
      <c r="AL36" s="63">
        <v>38998</v>
      </c>
      <c r="AM36" s="63">
        <v>38998</v>
      </c>
      <c r="AN36" s="63">
        <v>28663</v>
      </c>
      <c r="AO36" s="63">
        <v>7152</v>
      </c>
      <c r="AP36" s="63">
        <v>11775</v>
      </c>
      <c r="AQ36" s="63">
        <v>3595</v>
      </c>
      <c r="AR36" s="63">
        <v>2937</v>
      </c>
      <c r="AS36" s="63">
        <v>3204</v>
      </c>
      <c r="AT36" s="63">
        <v>26492</v>
      </c>
      <c r="AU36" s="63">
        <v>26492</v>
      </c>
    </row>
    <row r="37" spans="1:47" x14ac:dyDescent="0.35">
      <c r="A37" s="78">
        <v>2025</v>
      </c>
      <c r="B37" s="63">
        <v>355199</v>
      </c>
      <c r="C37" s="63">
        <v>138197</v>
      </c>
      <c r="D37" s="63">
        <v>122992</v>
      </c>
      <c r="E37" s="63">
        <v>23668</v>
      </c>
      <c r="F37" s="63">
        <v>24386</v>
      </c>
      <c r="G37" s="63">
        <v>5108</v>
      </c>
      <c r="H37" s="63">
        <v>15956</v>
      </c>
      <c r="I37" s="63">
        <v>3492</v>
      </c>
      <c r="J37" s="63">
        <v>12245</v>
      </c>
      <c r="K37" s="63">
        <v>18743</v>
      </c>
      <c r="L37" s="63">
        <v>13437</v>
      </c>
      <c r="M37" s="63">
        <v>5957</v>
      </c>
      <c r="N37" s="63">
        <v>15205</v>
      </c>
      <c r="O37" s="63">
        <v>3281</v>
      </c>
      <c r="P37" s="63">
        <v>11924</v>
      </c>
      <c r="Q37" s="63">
        <v>47289</v>
      </c>
      <c r="R37" s="63">
        <v>27344</v>
      </c>
      <c r="S37" s="63">
        <v>8129</v>
      </c>
      <c r="T37" s="63">
        <v>12903</v>
      </c>
      <c r="U37" s="63">
        <v>6312</v>
      </c>
      <c r="V37" s="63">
        <v>16489</v>
      </c>
      <c r="W37" s="63">
        <v>3456</v>
      </c>
      <c r="X37" s="63">
        <v>60253</v>
      </c>
      <c r="Y37" s="63">
        <v>1577</v>
      </c>
      <c r="Z37" s="63">
        <v>5754</v>
      </c>
      <c r="AA37" s="63">
        <v>52922</v>
      </c>
      <c r="AB37" s="63">
        <v>31445</v>
      </c>
      <c r="AC37" s="63">
        <v>19524</v>
      </c>
      <c r="AD37" s="63">
        <v>1632</v>
      </c>
      <c r="AE37" s="63">
        <v>321</v>
      </c>
      <c r="AF37" s="64" t="s">
        <v>496</v>
      </c>
      <c r="AG37" s="63">
        <v>8265</v>
      </c>
      <c r="AH37" s="63">
        <v>8265</v>
      </c>
      <c r="AI37" s="63">
        <v>7865</v>
      </c>
      <c r="AJ37" s="63">
        <v>7379</v>
      </c>
      <c r="AK37" s="63">
        <v>486</v>
      </c>
      <c r="AL37" s="63">
        <v>38774</v>
      </c>
      <c r="AM37" s="63">
        <v>38774</v>
      </c>
      <c r="AN37" s="63">
        <v>28517</v>
      </c>
      <c r="AO37" s="63">
        <v>7612</v>
      </c>
      <c r="AP37" s="63">
        <v>11336</v>
      </c>
      <c r="AQ37" s="63">
        <v>3196</v>
      </c>
      <c r="AR37" s="63">
        <v>3185</v>
      </c>
      <c r="AS37" s="63">
        <v>3188</v>
      </c>
      <c r="AT37" s="63">
        <v>26039</v>
      </c>
      <c r="AU37" s="63">
        <v>26039</v>
      </c>
    </row>
    <row r="38" spans="1:47" ht="16.149999999999999" customHeight="1" x14ac:dyDescent="0.35">
      <c r="A38" s="81" t="s">
        <v>748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</row>
    <row r="39" spans="1:47" s="87" customFormat="1" ht="79.900000000000006" customHeight="1" x14ac:dyDescent="0.4">
      <c r="A39" s="88" t="s">
        <v>749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</row>
    <row r="40" spans="1:47" ht="93" x14ac:dyDescent="0.35">
      <c r="A40" s="72" t="s">
        <v>304</v>
      </c>
      <c r="B40" s="93" t="s">
        <v>618</v>
      </c>
      <c r="C40" s="93" t="s">
        <v>3</v>
      </c>
      <c r="D40" s="94" t="s">
        <v>272</v>
      </c>
      <c r="E40" s="94" t="s">
        <v>619</v>
      </c>
      <c r="F40" s="94" t="s">
        <v>620</v>
      </c>
      <c r="G40" s="94" t="s">
        <v>621</v>
      </c>
      <c r="H40" s="94" t="s">
        <v>622</v>
      </c>
      <c r="I40" s="94" t="s">
        <v>623</v>
      </c>
      <c r="J40" s="94" t="s">
        <v>624</v>
      </c>
      <c r="K40" s="94" t="s">
        <v>625</v>
      </c>
      <c r="L40" s="94" t="s">
        <v>626</v>
      </c>
      <c r="M40" s="94" t="s">
        <v>627</v>
      </c>
      <c r="N40" s="94" t="s">
        <v>628</v>
      </c>
      <c r="O40" s="94" t="s">
        <v>629</v>
      </c>
      <c r="P40" s="94" t="s">
        <v>630</v>
      </c>
      <c r="Q40" s="93" t="s">
        <v>631</v>
      </c>
      <c r="R40" s="94" t="s">
        <v>632</v>
      </c>
      <c r="S40" s="94" t="s">
        <v>633</v>
      </c>
      <c r="T40" s="94" t="s">
        <v>634</v>
      </c>
      <c r="U40" s="94" t="s">
        <v>635</v>
      </c>
      <c r="V40" s="94" t="s">
        <v>636</v>
      </c>
      <c r="W40" s="93" t="s">
        <v>637</v>
      </c>
      <c r="X40" s="93" t="s">
        <v>309</v>
      </c>
      <c r="Y40" s="93" t="s">
        <v>638</v>
      </c>
      <c r="Z40" s="94" t="s">
        <v>639</v>
      </c>
      <c r="AA40" s="94" t="s">
        <v>4</v>
      </c>
      <c r="AB40" s="94" t="s">
        <v>640</v>
      </c>
      <c r="AC40" s="94" t="s">
        <v>641</v>
      </c>
      <c r="AD40" s="94" t="s">
        <v>642</v>
      </c>
      <c r="AE40" s="94" t="s">
        <v>643</v>
      </c>
      <c r="AF40" s="93" t="s">
        <v>644</v>
      </c>
      <c r="AG40" s="93" t="s">
        <v>645</v>
      </c>
      <c r="AH40" s="94" t="s">
        <v>646</v>
      </c>
      <c r="AI40" s="93" t="s">
        <v>324</v>
      </c>
      <c r="AJ40" s="94" t="s">
        <v>647</v>
      </c>
      <c r="AK40" s="94" t="s">
        <v>648</v>
      </c>
      <c r="AL40" s="93" t="s">
        <v>330</v>
      </c>
      <c r="AM40" s="94" t="s">
        <v>649</v>
      </c>
      <c r="AN40" s="93" t="s">
        <v>342</v>
      </c>
      <c r="AO40" s="94" t="s">
        <v>650</v>
      </c>
      <c r="AP40" s="94" t="s">
        <v>651</v>
      </c>
      <c r="AQ40" s="94" t="s">
        <v>652</v>
      </c>
      <c r="AR40" s="73" t="s">
        <v>653</v>
      </c>
      <c r="AS40" s="94" t="s">
        <v>654</v>
      </c>
      <c r="AT40" s="93" t="s">
        <v>357</v>
      </c>
      <c r="AU40" s="94" t="s">
        <v>655</v>
      </c>
    </row>
    <row r="41" spans="1:47" ht="31" x14ac:dyDescent="0.35">
      <c r="A41" s="72" t="s">
        <v>371</v>
      </c>
      <c r="B41" s="75" t="s">
        <v>656</v>
      </c>
      <c r="C41" s="77" t="s">
        <v>657</v>
      </c>
      <c r="D41" s="77" t="s">
        <v>658</v>
      </c>
      <c r="E41" s="76" t="s">
        <v>659</v>
      </c>
      <c r="F41" s="76" t="s">
        <v>660</v>
      </c>
      <c r="G41" s="76" t="s">
        <v>661</v>
      </c>
      <c r="H41" s="76" t="s">
        <v>662</v>
      </c>
      <c r="I41" s="76" t="s">
        <v>663</v>
      </c>
      <c r="J41" s="76" t="s">
        <v>664</v>
      </c>
      <c r="K41" s="76" t="s">
        <v>665</v>
      </c>
      <c r="L41" s="76" t="s">
        <v>666</v>
      </c>
      <c r="M41" s="76" t="s">
        <v>667</v>
      </c>
      <c r="N41" s="77" t="s">
        <v>668</v>
      </c>
      <c r="O41" s="76" t="s">
        <v>669</v>
      </c>
      <c r="P41" s="76" t="s">
        <v>670</v>
      </c>
      <c r="Q41" s="77" t="s">
        <v>671</v>
      </c>
      <c r="R41" s="77" t="s">
        <v>672</v>
      </c>
      <c r="S41" s="76" t="s">
        <v>673</v>
      </c>
      <c r="T41" s="76" t="s">
        <v>674</v>
      </c>
      <c r="U41" s="76" t="s">
        <v>675</v>
      </c>
      <c r="V41" s="77" t="s">
        <v>676</v>
      </c>
      <c r="W41" s="77" t="s">
        <v>677</v>
      </c>
      <c r="X41" s="75" t="s">
        <v>678</v>
      </c>
      <c r="Y41" s="76" t="s">
        <v>679</v>
      </c>
      <c r="Z41" s="76" t="s">
        <v>680</v>
      </c>
      <c r="AA41" s="77" t="s">
        <v>681</v>
      </c>
      <c r="AB41" s="76" t="s">
        <v>682</v>
      </c>
      <c r="AC41" s="76" t="s">
        <v>683</v>
      </c>
      <c r="AD41" s="76" t="s">
        <v>684</v>
      </c>
      <c r="AE41" s="76" t="s">
        <v>685</v>
      </c>
      <c r="AF41" s="76" t="s">
        <v>686</v>
      </c>
      <c r="AG41" s="75" t="s">
        <v>687</v>
      </c>
      <c r="AH41" s="76" t="s">
        <v>688</v>
      </c>
      <c r="AI41" s="75" t="s">
        <v>689</v>
      </c>
      <c r="AJ41" s="76" t="s">
        <v>690</v>
      </c>
      <c r="AK41" s="76" t="s">
        <v>691</v>
      </c>
      <c r="AL41" s="75" t="s">
        <v>692</v>
      </c>
      <c r="AM41" s="76" t="s">
        <v>693</v>
      </c>
      <c r="AN41" s="75" t="s">
        <v>694</v>
      </c>
      <c r="AO41" s="76" t="s">
        <v>695</v>
      </c>
      <c r="AP41" s="76" t="s">
        <v>696</v>
      </c>
      <c r="AQ41" s="76" t="s">
        <v>697</v>
      </c>
      <c r="AR41" s="76" t="s">
        <v>698</v>
      </c>
      <c r="AS41" s="76" t="s">
        <v>699</v>
      </c>
      <c r="AT41" s="75" t="s">
        <v>700</v>
      </c>
      <c r="AU41" s="76" t="s">
        <v>701</v>
      </c>
    </row>
    <row r="42" spans="1:47" x14ac:dyDescent="0.35">
      <c r="A42" s="72" t="s">
        <v>429</v>
      </c>
      <c r="B42" s="95" t="s">
        <v>702</v>
      </c>
      <c r="C42" s="95" t="s">
        <v>703</v>
      </c>
      <c r="D42" s="95" t="s">
        <v>704</v>
      </c>
      <c r="E42" s="95" t="s">
        <v>705</v>
      </c>
      <c r="F42" s="95" t="s">
        <v>706</v>
      </c>
      <c r="G42" s="95" t="s">
        <v>707</v>
      </c>
      <c r="H42" s="95" t="s">
        <v>708</v>
      </c>
      <c r="I42" s="95" t="s">
        <v>709</v>
      </c>
      <c r="J42" s="95" t="s">
        <v>710</v>
      </c>
      <c r="K42" s="95" t="s">
        <v>711</v>
      </c>
      <c r="L42" s="95" t="s">
        <v>712</v>
      </c>
      <c r="M42" s="95" t="s">
        <v>713</v>
      </c>
      <c r="N42" s="95" t="s">
        <v>714</v>
      </c>
      <c r="O42" s="95" t="s">
        <v>715</v>
      </c>
      <c r="P42" s="95" t="s">
        <v>716</v>
      </c>
      <c r="Q42" s="95" t="s">
        <v>717</v>
      </c>
      <c r="R42" s="95" t="s">
        <v>718</v>
      </c>
      <c r="S42" s="95" t="s">
        <v>719</v>
      </c>
      <c r="T42" s="95" t="s">
        <v>720</v>
      </c>
      <c r="U42" s="95" t="s">
        <v>721</v>
      </c>
      <c r="V42" s="95" t="s">
        <v>722</v>
      </c>
      <c r="W42" s="95" t="s">
        <v>723</v>
      </c>
      <c r="X42" s="95" t="s">
        <v>724</v>
      </c>
      <c r="Y42" s="95" t="s">
        <v>725</v>
      </c>
      <c r="Z42" s="95" t="s">
        <v>726</v>
      </c>
      <c r="AA42" s="95" t="s">
        <v>727</v>
      </c>
      <c r="AB42" s="95" t="s">
        <v>728</v>
      </c>
      <c r="AC42" s="95" t="s">
        <v>729</v>
      </c>
      <c r="AD42" s="95" t="s">
        <v>730</v>
      </c>
      <c r="AE42" s="95" t="s">
        <v>731</v>
      </c>
      <c r="AF42" s="95" t="s">
        <v>732</v>
      </c>
      <c r="AG42" s="95" t="s">
        <v>733</v>
      </c>
      <c r="AH42" s="95" t="s">
        <v>734</v>
      </c>
      <c r="AI42" s="95" t="s">
        <v>735</v>
      </c>
      <c r="AJ42" s="95" t="s">
        <v>736</v>
      </c>
      <c r="AK42" s="95" t="s">
        <v>737</v>
      </c>
      <c r="AL42" s="95" t="s">
        <v>738</v>
      </c>
      <c r="AM42" s="95" t="s">
        <v>739</v>
      </c>
      <c r="AN42" s="95" t="s">
        <v>740</v>
      </c>
      <c r="AO42" s="95" t="s">
        <v>741</v>
      </c>
      <c r="AP42" s="95" t="s">
        <v>742</v>
      </c>
      <c r="AQ42" s="95" t="s">
        <v>743</v>
      </c>
      <c r="AR42" s="95" t="s">
        <v>744</v>
      </c>
      <c r="AS42" s="95" t="s">
        <v>745</v>
      </c>
      <c r="AT42" s="95" t="s">
        <v>746</v>
      </c>
      <c r="AU42" s="95" t="s">
        <v>747</v>
      </c>
    </row>
    <row r="43" spans="1:47" x14ac:dyDescent="0.35">
      <c r="A43" s="78" t="s">
        <v>499</v>
      </c>
      <c r="B43" s="79">
        <v>81324</v>
      </c>
      <c r="C43" s="79">
        <v>26855</v>
      </c>
      <c r="D43" s="79">
        <v>24464</v>
      </c>
      <c r="E43" s="79">
        <v>4750</v>
      </c>
      <c r="F43" s="79">
        <v>5193</v>
      </c>
      <c r="G43" s="79">
        <v>1262</v>
      </c>
      <c r="H43" s="79">
        <v>3433</v>
      </c>
      <c r="I43" s="79">
        <v>962</v>
      </c>
      <c r="J43" s="79">
        <v>1738</v>
      </c>
      <c r="K43" s="79">
        <v>3511</v>
      </c>
      <c r="L43" s="79">
        <v>2616</v>
      </c>
      <c r="M43" s="79">
        <v>1025</v>
      </c>
      <c r="N43" s="79">
        <v>2457</v>
      </c>
      <c r="O43" s="79">
        <v>503</v>
      </c>
      <c r="P43" s="79">
        <v>1962</v>
      </c>
      <c r="Q43" s="79">
        <v>17374</v>
      </c>
      <c r="R43" s="79">
        <v>3986</v>
      </c>
      <c r="S43" s="79">
        <v>1196</v>
      </c>
      <c r="T43" s="79">
        <v>1722</v>
      </c>
      <c r="U43" s="79">
        <v>1062</v>
      </c>
      <c r="V43" s="79">
        <v>15330</v>
      </c>
      <c r="W43" s="79">
        <v>1367</v>
      </c>
      <c r="X43" s="79">
        <v>20532</v>
      </c>
      <c r="Y43" s="79">
        <v>305</v>
      </c>
      <c r="Z43" s="79">
        <v>1466</v>
      </c>
      <c r="AA43" s="79">
        <v>19279</v>
      </c>
      <c r="AB43" s="79">
        <v>9108</v>
      </c>
      <c r="AC43" s="79">
        <v>8608</v>
      </c>
      <c r="AD43" s="79">
        <v>599</v>
      </c>
      <c r="AE43" s="79">
        <v>1035</v>
      </c>
      <c r="AF43" s="80" t="s">
        <v>496</v>
      </c>
      <c r="AG43" s="79">
        <v>1022</v>
      </c>
      <c r="AH43" s="79">
        <v>1022</v>
      </c>
      <c r="AI43" s="79">
        <v>925</v>
      </c>
      <c r="AJ43" s="79">
        <v>838</v>
      </c>
      <c r="AK43" s="79">
        <v>94</v>
      </c>
      <c r="AL43" s="79">
        <v>9633</v>
      </c>
      <c r="AM43" s="79">
        <v>9632</v>
      </c>
      <c r="AN43" s="79">
        <v>7031</v>
      </c>
      <c r="AO43" s="79">
        <v>1062</v>
      </c>
      <c r="AP43" s="79">
        <v>1731</v>
      </c>
      <c r="AQ43" s="79">
        <v>3361</v>
      </c>
      <c r="AR43" s="79">
        <v>962</v>
      </c>
      <c r="AS43" s="79">
        <v>579</v>
      </c>
      <c r="AT43" s="79">
        <v>2387</v>
      </c>
      <c r="AU43" s="79">
        <v>2388</v>
      </c>
    </row>
    <row r="44" spans="1:47" x14ac:dyDescent="0.35">
      <c r="A44" s="78" t="s">
        <v>500</v>
      </c>
      <c r="B44" s="79">
        <v>81018</v>
      </c>
      <c r="C44" s="79">
        <v>26607</v>
      </c>
      <c r="D44" s="79">
        <v>24223</v>
      </c>
      <c r="E44" s="79">
        <v>4517</v>
      </c>
      <c r="F44" s="79">
        <v>5018</v>
      </c>
      <c r="G44" s="79">
        <v>1233</v>
      </c>
      <c r="H44" s="79">
        <v>3368</v>
      </c>
      <c r="I44" s="79">
        <v>940</v>
      </c>
      <c r="J44" s="79">
        <v>1697</v>
      </c>
      <c r="K44" s="79">
        <v>3589</v>
      </c>
      <c r="L44" s="79">
        <v>2931</v>
      </c>
      <c r="M44" s="79">
        <v>1022</v>
      </c>
      <c r="N44" s="79">
        <v>2447</v>
      </c>
      <c r="O44" s="79">
        <v>563</v>
      </c>
      <c r="P44" s="79">
        <v>1885</v>
      </c>
      <c r="Q44" s="79">
        <v>17502</v>
      </c>
      <c r="R44" s="79">
        <v>3953</v>
      </c>
      <c r="S44" s="79">
        <v>1158</v>
      </c>
      <c r="T44" s="79">
        <v>1751</v>
      </c>
      <c r="U44" s="79">
        <v>1043</v>
      </c>
      <c r="V44" s="79">
        <v>15305</v>
      </c>
      <c r="W44" s="79">
        <v>1416</v>
      </c>
      <c r="X44" s="79">
        <v>19613</v>
      </c>
      <c r="Y44" s="79">
        <v>299</v>
      </c>
      <c r="Z44" s="79">
        <v>1478</v>
      </c>
      <c r="AA44" s="79">
        <v>18207</v>
      </c>
      <c r="AB44" s="79">
        <v>8844</v>
      </c>
      <c r="AC44" s="79">
        <v>7830</v>
      </c>
      <c r="AD44" s="79">
        <v>568</v>
      </c>
      <c r="AE44" s="79">
        <v>957</v>
      </c>
      <c r="AF44" s="80" t="s">
        <v>496</v>
      </c>
      <c r="AG44" s="79">
        <v>1065</v>
      </c>
      <c r="AH44" s="79">
        <v>1064</v>
      </c>
      <c r="AI44" s="79">
        <v>863</v>
      </c>
      <c r="AJ44" s="79">
        <v>777</v>
      </c>
      <c r="AK44" s="79">
        <v>92</v>
      </c>
      <c r="AL44" s="79">
        <v>10125</v>
      </c>
      <c r="AM44" s="79">
        <v>10124</v>
      </c>
      <c r="AN44" s="79">
        <v>6876</v>
      </c>
      <c r="AO44" s="79">
        <v>1093</v>
      </c>
      <c r="AP44" s="79">
        <v>1659</v>
      </c>
      <c r="AQ44" s="79">
        <v>3339</v>
      </c>
      <c r="AR44" s="79">
        <v>896</v>
      </c>
      <c r="AS44" s="79">
        <v>540</v>
      </c>
      <c r="AT44" s="79">
        <v>2416</v>
      </c>
      <c r="AU44" s="79">
        <v>2416</v>
      </c>
    </row>
    <row r="45" spans="1:47" x14ac:dyDescent="0.35">
      <c r="A45" s="78" t="s">
        <v>501</v>
      </c>
      <c r="B45" s="79">
        <v>80301</v>
      </c>
      <c r="C45" s="79">
        <v>26285</v>
      </c>
      <c r="D45" s="79">
        <v>23915</v>
      </c>
      <c r="E45" s="79">
        <v>4575</v>
      </c>
      <c r="F45" s="79">
        <v>5026</v>
      </c>
      <c r="G45" s="79">
        <v>1210</v>
      </c>
      <c r="H45" s="79">
        <v>3418</v>
      </c>
      <c r="I45" s="79">
        <v>913</v>
      </c>
      <c r="J45" s="79">
        <v>1596</v>
      </c>
      <c r="K45" s="79">
        <v>3414</v>
      </c>
      <c r="L45" s="79">
        <v>2832</v>
      </c>
      <c r="M45" s="79">
        <v>990</v>
      </c>
      <c r="N45" s="79">
        <v>2431</v>
      </c>
      <c r="O45" s="79">
        <v>502</v>
      </c>
      <c r="P45" s="79">
        <v>1939</v>
      </c>
      <c r="Q45" s="79">
        <v>17584</v>
      </c>
      <c r="R45" s="79">
        <v>4002</v>
      </c>
      <c r="S45" s="79">
        <v>1133</v>
      </c>
      <c r="T45" s="79">
        <v>1753</v>
      </c>
      <c r="U45" s="79">
        <v>1106</v>
      </c>
      <c r="V45" s="79">
        <v>15231</v>
      </c>
      <c r="W45" s="79">
        <v>1426</v>
      </c>
      <c r="X45" s="79">
        <v>20791</v>
      </c>
      <c r="Y45" s="79">
        <v>314</v>
      </c>
      <c r="Z45" s="79">
        <v>1485</v>
      </c>
      <c r="AA45" s="79">
        <v>19476</v>
      </c>
      <c r="AB45" s="79">
        <v>8895</v>
      </c>
      <c r="AC45" s="79">
        <v>9178</v>
      </c>
      <c r="AD45" s="79">
        <v>585</v>
      </c>
      <c r="AE45" s="79">
        <v>948</v>
      </c>
      <c r="AF45" s="80" t="s">
        <v>496</v>
      </c>
      <c r="AG45" s="79">
        <v>1043</v>
      </c>
      <c r="AH45" s="79">
        <v>1042</v>
      </c>
      <c r="AI45" s="79">
        <v>820</v>
      </c>
      <c r="AJ45" s="79">
        <v>734</v>
      </c>
      <c r="AK45" s="79">
        <v>94</v>
      </c>
      <c r="AL45" s="79">
        <v>9370</v>
      </c>
      <c r="AM45" s="79">
        <v>9371</v>
      </c>
      <c r="AN45" s="79">
        <v>6606</v>
      </c>
      <c r="AO45" s="79">
        <v>1050</v>
      </c>
      <c r="AP45" s="79">
        <v>1511</v>
      </c>
      <c r="AQ45" s="79">
        <v>3291</v>
      </c>
      <c r="AR45" s="79">
        <v>869</v>
      </c>
      <c r="AS45" s="79">
        <v>535</v>
      </c>
      <c r="AT45" s="79">
        <v>2457</v>
      </c>
      <c r="AU45" s="79">
        <v>2457</v>
      </c>
    </row>
    <row r="46" spans="1:47" x14ac:dyDescent="0.35">
      <c r="A46" s="78" t="s">
        <v>502</v>
      </c>
      <c r="B46" s="79">
        <v>82198</v>
      </c>
      <c r="C46" s="79">
        <v>27569</v>
      </c>
      <c r="D46" s="79">
        <v>24990</v>
      </c>
      <c r="E46" s="79">
        <v>4751</v>
      </c>
      <c r="F46" s="79">
        <v>5283</v>
      </c>
      <c r="G46" s="79">
        <v>1238</v>
      </c>
      <c r="H46" s="79">
        <v>3425</v>
      </c>
      <c r="I46" s="79">
        <v>886</v>
      </c>
      <c r="J46" s="79">
        <v>1731</v>
      </c>
      <c r="K46" s="79">
        <v>3801</v>
      </c>
      <c r="L46" s="79">
        <v>2887</v>
      </c>
      <c r="M46" s="79">
        <v>1044</v>
      </c>
      <c r="N46" s="79">
        <v>2639</v>
      </c>
      <c r="O46" s="79">
        <v>577</v>
      </c>
      <c r="P46" s="79">
        <v>2067</v>
      </c>
      <c r="Q46" s="79">
        <v>17567</v>
      </c>
      <c r="R46" s="79">
        <v>3973</v>
      </c>
      <c r="S46" s="79">
        <v>1122</v>
      </c>
      <c r="T46" s="79">
        <v>1781</v>
      </c>
      <c r="U46" s="79">
        <v>1066</v>
      </c>
      <c r="V46" s="79">
        <v>15307</v>
      </c>
      <c r="W46" s="79">
        <v>1423</v>
      </c>
      <c r="X46" s="79">
        <v>21063</v>
      </c>
      <c r="Y46" s="79">
        <v>332</v>
      </c>
      <c r="Z46" s="79">
        <v>1516</v>
      </c>
      <c r="AA46" s="79">
        <v>19666</v>
      </c>
      <c r="AB46" s="79">
        <v>9327</v>
      </c>
      <c r="AC46" s="79">
        <v>8911</v>
      </c>
      <c r="AD46" s="79">
        <v>583</v>
      </c>
      <c r="AE46" s="79">
        <v>888</v>
      </c>
      <c r="AF46" s="80" t="s">
        <v>496</v>
      </c>
      <c r="AG46" s="79">
        <v>1108</v>
      </c>
      <c r="AH46" s="79">
        <v>1108</v>
      </c>
      <c r="AI46" s="79">
        <v>807</v>
      </c>
      <c r="AJ46" s="79">
        <v>720</v>
      </c>
      <c r="AK46" s="79">
        <v>95</v>
      </c>
      <c r="AL46" s="79">
        <v>9718</v>
      </c>
      <c r="AM46" s="79">
        <v>9717</v>
      </c>
      <c r="AN46" s="79">
        <v>6507</v>
      </c>
      <c r="AO46" s="79">
        <v>1025</v>
      </c>
      <c r="AP46" s="79">
        <v>1418</v>
      </c>
      <c r="AQ46" s="79">
        <v>3277</v>
      </c>
      <c r="AR46" s="79">
        <v>870</v>
      </c>
      <c r="AS46" s="79">
        <v>563</v>
      </c>
      <c r="AT46" s="79">
        <v>2489</v>
      </c>
      <c r="AU46" s="79">
        <v>2489</v>
      </c>
    </row>
    <row r="47" spans="1:47" x14ac:dyDescent="0.35">
      <c r="A47" s="78" t="s">
        <v>503</v>
      </c>
      <c r="B47" s="79">
        <v>82239</v>
      </c>
      <c r="C47" s="79">
        <v>27252</v>
      </c>
      <c r="D47" s="79">
        <v>24828</v>
      </c>
      <c r="E47" s="79">
        <v>4646</v>
      </c>
      <c r="F47" s="79">
        <v>5253</v>
      </c>
      <c r="G47" s="79">
        <v>1237</v>
      </c>
      <c r="H47" s="79">
        <v>3470</v>
      </c>
      <c r="I47" s="79">
        <v>855</v>
      </c>
      <c r="J47" s="79">
        <v>1801</v>
      </c>
      <c r="K47" s="79">
        <v>3674</v>
      </c>
      <c r="L47" s="79">
        <v>2948</v>
      </c>
      <c r="M47" s="79">
        <v>1003</v>
      </c>
      <c r="N47" s="79">
        <v>2489</v>
      </c>
      <c r="O47" s="79">
        <v>494</v>
      </c>
      <c r="P47" s="79">
        <v>2007</v>
      </c>
      <c r="Q47" s="79">
        <v>17582</v>
      </c>
      <c r="R47" s="79">
        <v>4045</v>
      </c>
      <c r="S47" s="79">
        <v>1116</v>
      </c>
      <c r="T47" s="79">
        <v>1789</v>
      </c>
      <c r="U47" s="79">
        <v>1128</v>
      </c>
      <c r="V47" s="79">
        <v>15240</v>
      </c>
      <c r="W47" s="79">
        <v>1408</v>
      </c>
      <c r="X47" s="79">
        <v>19973</v>
      </c>
      <c r="Y47" s="79">
        <v>339</v>
      </c>
      <c r="Z47" s="79">
        <v>1520</v>
      </c>
      <c r="AA47" s="79">
        <v>18412</v>
      </c>
      <c r="AB47" s="79">
        <v>9094</v>
      </c>
      <c r="AC47" s="79">
        <v>7960</v>
      </c>
      <c r="AD47" s="79">
        <v>561</v>
      </c>
      <c r="AE47" s="79">
        <v>766</v>
      </c>
      <c r="AF47" s="80" t="s">
        <v>496</v>
      </c>
      <c r="AG47" s="79">
        <v>1105</v>
      </c>
      <c r="AH47" s="79">
        <v>1105</v>
      </c>
      <c r="AI47" s="79">
        <v>815</v>
      </c>
      <c r="AJ47" s="79">
        <v>728</v>
      </c>
      <c r="AK47" s="79">
        <v>95</v>
      </c>
      <c r="AL47" s="79">
        <v>10624</v>
      </c>
      <c r="AM47" s="79">
        <v>10622</v>
      </c>
      <c r="AN47" s="79">
        <v>6649</v>
      </c>
      <c r="AO47" s="79">
        <v>1124</v>
      </c>
      <c r="AP47" s="79">
        <v>1341</v>
      </c>
      <c r="AQ47" s="79">
        <v>3227</v>
      </c>
      <c r="AR47" s="79">
        <v>899</v>
      </c>
      <c r="AS47" s="79">
        <v>619</v>
      </c>
      <c r="AT47" s="79">
        <v>2450</v>
      </c>
      <c r="AU47" s="79">
        <v>2450</v>
      </c>
    </row>
    <row r="48" spans="1:47" x14ac:dyDescent="0.35">
      <c r="A48" s="78" t="s">
        <v>504</v>
      </c>
      <c r="B48" s="79">
        <v>82357</v>
      </c>
      <c r="C48" s="79">
        <v>27628</v>
      </c>
      <c r="D48" s="79">
        <v>25051</v>
      </c>
      <c r="E48" s="79">
        <v>4708</v>
      </c>
      <c r="F48" s="79">
        <v>5389</v>
      </c>
      <c r="G48" s="79">
        <v>1226</v>
      </c>
      <c r="H48" s="79">
        <v>3529</v>
      </c>
      <c r="I48" s="79">
        <v>893</v>
      </c>
      <c r="J48" s="79">
        <v>1651</v>
      </c>
      <c r="K48" s="79">
        <v>3662</v>
      </c>
      <c r="L48" s="79">
        <v>3061</v>
      </c>
      <c r="M48" s="79">
        <v>983</v>
      </c>
      <c r="N48" s="79">
        <v>2638</v>
      </c>
      <c r="O48" s="79">
        <v>508</v>
      </c>
      <c r="P48" s="79">
        <v>2144</v>
      </c>
      <c r="Q48" s="79">
        <v>17697</v>
      </c>
      <c r="R48" s="79">
        <v>4211</v>
      </c>
      <c r="S48" s="79">
        <v>1129</v>
      </c>
      <c r="T48" s="79">
        <v>1828</v>
      </c>
      <c r="U48" s="79">
        <v>1230</v>
      </c>
      <c r="V48" s="79">
        <v>15114</v>
      </c>
      <c r="W48" s="79">
        <v>1391</v>
      </c>
      <c r="X48" s="79">
        <v>20666</v>
      </c>
      <c r="Y48" s="79">
        <v>350</v>
      </c>
      <c r="Z48" s="79">
        <v>1509</v>
      </c>
      <c r="AA48" s="79">
        <v>19193</v>
      </c>
      <c r="AB48" s="79">
        <v>9131</v>
      </c>
      <c r="AC48" s="79">
        <v>8675</v>
      </c>
      <c r="AD48" s="79">
        <v>632</v>
      </c>
      <c r="AE48" s="79">
        <v>783</v>
      </c>
      <c r="AF48" s="80" t="s">
        <v>496</v>
      </c>
      <c r="AG48" s="79">
        <v>1105</v>
      </c>
      <c r="AH48" s="79">
        <v>1105</v>
      </c>
      <c r="AI48" s="79">
        <v>821</v>
      </c>
      <c r="AJ48" s="79">
        <v>740</v>
      </c>
      <c r="AK48" s="79">
        <v>88</v>
      </c>
      <c r="AL48" s="79">
        <v>9535</v>
      </c>
      <c r="AM48" s="79">
        <v>9536</v>
      </c>
      <c r="AN48" s="79">
        <v>6789</v>
      </c>
      <c r="AO48" s="79">
        <v>1143</v>
      </c>
      <c r="AP48" s="79">
        <v>1351</v>
      </c>
      <c r="AQ48" s="79">
        <v>3266</v>
      </c>
      <c r="AR48" s="79">
        <v>928</v>
      </c>
      <c r="AS48" s="79">
        <v>655</v>
      </c>
      <c r="AT48" s="79">
        <v>2498</v>
      </c>
      <c r="AU48" s="79">
        <v>2498</v>
      </c>
    </row>
    <row r="49" spans="1:47" x14ac:dyDescent="0.35">
      <c r="A49" s="78" t="s">
        <v>505</v>
      </c>
      <c r="B49" s="79">
        <v>82363</v>
      </c>
      <c r="C49" s="79">
        <v>27797</v>
      </c>
      <c r="D49" s="79">
        <v>25124</v>
      </c>
      <c r="E49" s="79">
        <v>4758</v>
      </c>
      <c r="F49" s="79">
        <v>5290</v>
      </c>
      <c r="G49" s="79">
        <v>1202</v>
      </c>
      <c r="H49" s="79">
        <v>3359</v>
      </c>
      <c r="I49" s="79">
        <v>849</v>
      </c>
      <c r="J49" s="79">
        <v>1862</v>
      </c>
      <c r="K49" s="79">
        <v>3702</v>
      </c>
      <c r="L49" s="79">
        <v>3129</v>
      </c>
      <c r="M49" s="79">
        <v>1048</v>
      </c>
      <c r="N49" s="79">
        <v>2732</v>
      </c>
      <c r="O49" s="79">
        <v>547</v>
      </c>
      <c r="P49" s="79">
        <v>2196</v>
      </c>
      <c r="Q49" s="79">
        <v>17351</v>
      </c>
      <c r="R49" s="79">
        <v>4056</v>
      </c>
      <c r="S49" s="79">
        <v>1142</v>
      </c>
      <c r="T49" s="79">
        <v>1807</v>
      </c>
      <c r="U49" s="79">
        <v>1099</v>
      </c>
      <c r="V49" s="79">
        <v>14794</v>
      </c>
      <c r="W49" s="79">
        <v>1399</v>
      </c>
      <c r="X49" s="79">
        <v>20907</v>
      </c>
      <c r="Y49" s="79">
        <v>355</v>
      </c>
      <c r="Z49" s="79">
        <v>1495</v>
      </c>
      <c r="AA49" s="79">
        <v>19483</v>
      </c>
      <c r="AB49" s="79">
        <v>9087</v>
      </c>
      <c r="AC49" s="79">
        <v>9046</v>
      </c>
      <c r="AD49" s="79">
        <v>657</v>
      </c>
      <c r="AE49" s="79">
        <v>760</v>
      </c>
      <c r="AF49" s="80" t="s">
        <v>496</v>
      </c>
      <c r="AG49" s="79">
        <v>1102</v>
      </c>
      <c r="AH49" s="79">
        <v>1101</v>
      </c>
      <c r="AI49" s="79">
        <v>853</v>
      </c>
      <c r="AJ49" s="79">
        <v>767</v>
      </c>
      <c r="AK49" s="79">
        <v>93</v>
      </c>
      <c r="AL49" s="79">
        <v>9660</v>
      </c>
      <c r="AM49" s="79">
        <v>9660</v>
      </c>
      <c r="AN49" s="79">
        <v>6601</v>
      </c>
      <c r="AO49" s="79">
        <v>1000</v>
      </c>
      <c r="AP49" s="79">
        <v>1335</v>
      </c>
      <c r="AQ49" s="79">
        <v>3268</v>
      </c>
      <c r="AR49" s="79">
        <v>943</v>
      </c>
      <c r="AS49" s="79">
        <v>675</v>
      </c>
      <c r="AT49" s="79">
        <v>2538</v>
      </c>
      <c r="AU49" s="79">
        <v>2538</v>
      </c>
    </row>
    <row r="50" spans="1:47" x14ac:dyDescent="0.35">
      <c r="A50" s="78" t="s">
        <v>506</v>
      </c>
      <c r="B50" s="79">
        <v>81910</v>
      </c>
      <c r="C50" s="79">
        <v>27614</v>
      </c>
      <c r="D50" s="79">
        <v>24894</v>
      </c>
      <c r="E50" s="79">
        <v>4649</v>
      </c>
      <c r="F50" s="79">
        <v>5222</v>
      </c>
      <c r="G50" s="79">
        <v>1155</v>
      </c>
      <c r="H50" s="79">
        <v>3377</v>
      </c>
      <c r="I50" s="79">
        <v>929</v>
      </c>
      <c r="J50" s="79">
        <v>1884</v>
      </c>
      <c r="K50" s="79">
        <v>3587</v>
      </c>
      <c r="L50" s="79">
        <v>3062</v>
      </c>
      <c r="M50" s="79">
        <v>1093</v>
      </c>
      <c r="N50" s="79">
        <v>2775</v>
      </c>
      <c r="O50" s="79">
        <v>566</v>
      </c>
      <c r="P50" s="79">
        <v>2220</v>
      </c>
      <c r="Q50" s="79">
        <v>17075</v>
      </c>
      <c r="R50" s="79">
        <v>3996</v>
      </c>
      <c r="S50" s="79">
        <v>1120</v>
      </c>
      <c r="T50" s="79">
        <v>1776</v>
      </c>
      <c r="U50" s="79">
        <v>1093</v>
      </c>
      <c r="V50" s="79">
        <v>14454</v>
      </c>
      <c r="W50" s="79">
        <v>1389</v>
      </c>
      <c r="X50" s="79">
        <v>20192</v>
      </c>
      <c r="Y50" s="79">
        <v>350</v>
      </c>
      <c r="Z50" s="79">
        <v>1479</v>
      </c>
      <c r="AA50" s="79">
        <v>18726</v>
      </c>
      <c r="AB50" s="79">
        <v>9224</v>
      </c>
      <c r="AC50" s="79">
        <v>8024</v>
      </c>
      <c r="AD50" s="79">
        <v>593</v>
      </c>
      <c r="AE50" s="79">
        <v>849</v>
      </c>
      <c r="AF50" s="80" t="s">
        <v>496</v>
      </c>
      <c r="AG50" s="79">
        <v>1121</v>
      </c>
      <c r="AH50" s="79">
        <v>1120</v>
      </c>
      <c r="AI50" s="79">
        <v>833</v>
      </c>
      <c r="AJ50" s="79">
        <v>749</v>
      </c>
      <c r="AK50" s="79">
        <v>91</v>
      </c>
      <c r="AL50" s="79">
        <v>9657</v>
      </c>
      <c r="AM50" s="79">
        <v>9657</v>
      </c>
      <c r="AN50" s="79">
        <v>6894</v>
      </c>
      <c r="AO50" s="79">
        <v>1176</v>
      </c>
      <c r="AP50" s="79">
        <v>1361</v>
      </c>
      <c r="AQ50" s="79">
        <v>3285</v>
      </c>
      <c r="AR50" s="79">
        <v>926</v>
      </c>
      <c r="AS50" s="79">
        <v>687</v>
      </c>
      <c r="AT50" s="79">
        <v>2581</v>
      </c>
      <c r="AU50" s="79">
        <v>2582</v>
      </c>
    </row>
    <row r="51" spans="1:47" x14ac:dyDescent="0.35">
      <c r="A51" s="78" t="s">
        <v>507</v>
      </c>
      <c r="B51" s="79">
        <v>82088</v>
      </c>
      <c r="C51" s="79">
        <v>27589</v>
      </c>
      <c r="D51" s="79">
        <v>24752</v>
      </c>
      <c r="E51" s="79">
        <v>4670</v>
      </c>
      <c r="F51" s="79">
        <v>5399</v>
      </c>
      <c r="G51" s="79">
        <v>1076</v>
      </c>
      <c r="H51" s="79">
        <v>3378</v>
      </c>
      <c r="I51" s="79">
        <v>988</v>
      </c>
      <c r="J51" s="79">
        <v>1794</v>
      </c>
      <c r="K51" s="79">
        <v>3630</v>
      </c>
      <c r="L51" s="79">
        <v>2770</v>
      </c>
      <c r="M51" s="79">
        <v>1056</v>
      </c>
      <c r="N51" s="79">
        <v>2881</v>
      </c>
      <c r="O51" s="79">
        <v>590</v>
      </c>
      <c r="P51" s="79">
        <v>2302</v>
      </c>
      <c r="Q51" s="79">
        <v>17286</v>
      </c>
      <c r="R51" s="79">
        <v>4205</v>
      </c>
      <c r="S51" s="79">
        <v>1227</v>
      </c>
      <c r="T51" s="79">
        <v>1891</v>
      </c>
      <c r="U51" s="79">
        <v>1090</v>
      </c>
      <c r="V51" s="79">
        <v>14267</v>
      </c>
      <c r="W51" s="79">
        <v>1392</v>
      </c>
      <c r="X51" s="79">
        <v>20032</v>
      </c>
      <c r="Y51" s="79">
        <v>359</v>
      </c>
      <c r="Z51" s="79">
        <v>1451</v>
      </c>
      <c r="AA51" s="79">
        <v>18580</v>
      </c>
      <c r="AB51" s="79">
        <v>8930</v>
      </c>
      <c r="AC51" s="79">
        <v>8212</v>
      </c>
      <c r="AD51" s="79">
        <v>572</v>
      </c>
      <c r="AE51" s="79">
        <v>875</v>
      </c>
      <c r="AF51" s="80" t="s">
        <v>496</v>
      </c>
      <c r="AG51" s="79">
        <v>1159</v>
      </c>
      <c r="AH51" s="79">
        <v>1158</v>
      </c>
      <c r="AI51" s="79">
        <v>848</v>
      </c>
      <c r="AJ51" s="79">
        <v>770</v>
      </c>
      <c r="AK51" s="79">
        <v>83</v>
      </c>
      <c r="AL51" s="79">
        <v>9528</v>
      </c>
      <c r="AM51" s="79">
        <v>9529</v>
      </c>
      <c r="AN51" s="79">
        <v>6923</v>
      </c>
      <c r="AO51" s="79">
        <v>1204</v>
      </c>
      <c r="AP51" s="79">
        <v>1290</v>
      </c>
      <c r="AQ51" s="79">
        <v>3347</v>
      </c>
      <c r="AR51" s="79">
        <v>950</v>
      </c>
      <c r="AS51" s="79">
        <v>678</v>
      </c>
      <c r="AT51" s="79">
        <v>2623</v>
      </c>
      <c r="AU51" s="79">
        <v>2623</v>
      </c>
    </row>
    <row r="52" spans="1:47" x14ac:dyDescent="0.35">
      <c r="A52" s="78" t="s">
        <v>508</v>
      </c>
      <c r="B52" s="79">
        <v>83131</v>
      </c>
      <c r="C52" s="79">
        <v>29025</v>
      </c>
      <c r="D52" s="79">
        <v>26109</v>
      </c>
      <c r="E52" s="79">
        <v>4803</v>
      </c>
      <c r="F52" s="79">
        <v>5491</v>
      </c>
      <c r="G52" s="79">
        <v>1231</v>
      </c>
      <c r="H52" s="79">
        <v>3529</v>
      </c>
      <c r="I52" s="79">
        <v>1015</v>
      </c>
      <c r="J52" s="79">
        <v>1934</v>
      </c>
      <c r="K52" s="79">
        <v>3775</v>
      </c>
      <c r="L52" s="79">
        <v>3141</v>
      </c>
      <c r="M52" s="79">
        <v>1249</v>
      </c>
      <c r="N52" s="79">
        <v>2966</v>
      </c>
      <c r="O52" s="79">
        <v>571</v>
      </c>
      <c r="P52" s="79">
        <v>2411</v>
      </c>
      <c r="Q52" s="79">
        <v>17088</v>
      </c>
      <c r="R52" s="79">
        <v>4210</v>
      </c>
      <c r="S52" s="79">
        <v>1235</v>
      </c>
      <c r="T52" s="79">
        <v>1934</v>
      </c>
      <c r="U52" s="79">
        <v>1053</v>
      </c>
      <c r="V52" s="79">
        <v>13916</v>
      </c>
      <c r="W52" s="79">
        <v>1383</v>
      </c>
      <c r="X52" s="79">
        <v>19845</v>
      </c>
      <c r="Y52" s="79">
        <v>356</v>
      </c>
      <c r="Z52" s="79">
        <v>1426</v>
      </c>
      <c r="AA52" s="79">
        <v>18428</v>
      </c>
      <c r="AB52" s="79">
        <v>8924</v>
      </c>
      <c r="AC52" s="79">
        <v>8158</v>
      </c>
      <c r="AD52" s="79">
        <v>529</v>
      </c>
      <c r="AE52" s="79">
        <v>810</v>
      </c>
      <c r="AF52" s="80" t="s">
        <v>496</v>
      </c>
      <c r="AG52" s="79">
        <v>1140</v>
      </c>
      <c r="AH52" s="79">
        <v>1140</v>
      </c>
      <c r="AI52" s="79">
        <v>861</v>
      </c>
      <c r="AJ52" s="79">
        <v>785</v>
      </c>
      <c r="AK52" s="79">
        <v>81</v>
      </c>
      <c r="AL52" s="79">
        <v>9245</v>
      </c>
      <c r="AM52" s="79">
        <v>9244</v>
      </c>
      <c r="AN52" s="79">
        <v>6912</v>
      </c>
      <c r="AO52" s="79">
        <v>1155</v>
      </c>
      <c r="AP52" s="79">
        <v>1321</v>
      </c>
      <c r="AQ52" s="79">
        <v>3365</v>
      </c>
      <c r="AR52" s="79">
        <v>956</v>
      </c>
      <c r="AS52" s="79">
        <v>693</v>
      </c>
      <c r="AT52" s="79">
        <v>2630</v>
      </c>
      <c r="AU52" s="79">
        <v>2630</v>
      </c>
    </row>
    <row r="53" spans="1:47" x14ac:dyDescent="0.35">
      <c r="A53" s="78" t="s">
        <v>509</v>
      </c>
      <c r="B53" s="79">
        <v>83774</v>
      </c>
      <c r="C53" s="79">
        <v>28860</v>
      </c>
      <c r="D53" s="79">
        <v>25893</v>
      </c>
      <c r="E53" s="79">
        <v>4694</v>
      </c>
      <c r="F53" s="79">
        <v>5325</v>
      </c>
      <c r="G53" s="79">
        <v>1184</v>
      </c>
      <c r="H53" s="79">
        <v>3559</v>
      </c>
      <c r="I53" s="79">
        <v>1056</v>
      </c>
      <c r="J53" s="79">
        <v>1977</v>
      </c>
      <c r="K53" s="79">
        <v>3815</v>
      </c>
      <c r="L53" s="79">
        <v>3248</v>
      </c>
      <c r="M53" s="79">
        <v>1118</v>
      </c>
      <c r="N53" s="79">
        <v>3012</v>
      </c>
      <c r="O53" s="79">
        <v>555</v>
      </c>
      <c r="P53" s="79">
        <v>2477</v>
      </c>
      <c r="Q53" s="79">
        <v>17121</v>
      </c>
      <c r="R53" s="79">
        <v>4285</v>
      </c>
      <c r="S53" s="79">
        <v>1237</v>
      </c>
      <c r="T53" s="79">
        <v>1949</v>
      </c>
      <c r="U53" s="79">
        <v>1104</v>
      </c>
      <c r="V53" s="79">
        <v>13772</v>
      </c>
      <c r="W53" s="79">
        <v>1384</v>
      </c>
      <c r="X53" s="79">
        <v>19744</v>
      </c>
      <c r="Y53" s="79">
        <v>362</v>
      </c>
      <c r="Z53" s="79">
        <v>1422</v>
      </c>
      <c r="AA53" s="79">
        <v>18305</v>
      </c>
      <c r="AB53" s="79">
        <v>9072</v>
      </c>
      <c r="AC53" s="79">
        <v>7973</v>
      </c>
      <c r="AD53" s="79">
        <v>427</v>
      </c>
      <c r="AE53" s="79">
        <v>791</v>
      </c>
      <c r="AF53" s="80" t="s">
        <v>496</v>
      </c>
      <c r="AG53" s="79">
        <v>1178</v>
      </c>
      <c r="AH53" s="79">
        <v>1178</v>
      </c>
      <c r="AI53" s="79">
        <v>866</v>
      </c>
      <c r="AJ53" s="79">
        <v>778</v>
      </c>
      <c r="AK53" s="79">
        <v>95</v>
      </c>
      <c r="AL53" s="79">
        <v>9758</v>
      </c>
      <c r="AM53" s="79">
        <v>9758</v>
      </c>
      <c r="AN53" s="79">
        <v>7028</v>
      </c>
      <c r="AO53" s="79">
        <v>1202</v>
      </c>
      <c r="AP53" s="79">
        <v>1284</v>
      </c>
      <c r="AQ53" s="79">
        <v>3456</v>
      </c>
      <c r="AR53" s="79">
        <v>988</v>
      </c>
      <c r="AS53" s="79">
        <v>686</v>
      </c>
      <c r="AT53" s="79">
        <v>2719</v>
      </c>
      <c r="AU53" s="79">
        <v>2720</v>
      </c>
    </row>
    <row r="54" spans="1:47" x14ac:dyDescent="0.35">
      <c r="A54" s="78" t="s">
        <v>510</v>
      </c>
      <c r="B54" s="79">
        <v>82229</v>
      </c>
      <c r="C54" s="79">
        <v>27347</v>
      </c>
      <c r="D54" s="79">
        <v>24648</v>
      </c>
      <c r="E54" s="79">
        <v>4524</v>
      </c>
      <c r="F54" s="79">
        <v>5050</v>
      </c>
      <c r="G54" s="79">
        <v>1097</v>
      </c>
      <c r="H54" s="79">
        <v>3415</v>
      </c>
      <c r="I54" s="79">
        <v>1004</v>
      </c>
      <c r="J54" s="79">
        <v>1769</v>
      </c>
      <c r="K54" s="79">
        <v>3763</v>
      </c>
      <c r="L54" s="79">
        <v>3016</v>
      </c>
      <c r="M54" s="79">
        <v>1069</v>
      </c>
      <c r="N54" s="79">
        <v>2750</v>
      </c>
      <c r="O54" s="79">
        <v>538</v>
      </c>
      <c r="P54" s="79">
        <v>2225</v>
      </c>
      <c r="Q54" s="79">
        <v>17132</v>
      </c>
      <c r="R54" s="79">
        <v>4367</v>
      </c>
      <c r="S54" s="79">
        <v>1250</v>
      </c>
      <c r="T54" s="79">
        <v>1994</v>
      </c>
      <c r="U54" s="79">
        <v>1129</v>
      </c>
      <c r="V54" s="79">
        <v>13583</v>
      </c>
      <c r="W54" s="79">
        <v>1381</v>
      </c>
      <c r="X54" s="79">
        <v>19972</v>
      </c>
      <c r="Y54" s="79">
        <v>372</v>
      </c>
      <c r="Z54" s="79">
        <v>1419</v>
      </c>
      <c r="AA54" s="79">
        <v>18541</v>
      </c>
      <c r="AB54" s="79">
        <v>8950</v>
      </c>
      <c r="AC54" s="79">
        <v>8505</v>
      </c>
      <c r="AD54" s="79">
        <v>441</v>
      </c>
      <c r="AE54" s="79">
        <v>660</v>
      </c>
      <c r="AF54" s="80" t="s">
        <v>496</v>
      </c>
      <c r="AG54" s="79">
        <v>1209</v>
      </c>
      <c r="AH54" s="79">
        <v>1208</v>
      </c>
      <c r="AI54" s="79">
        <v>826</v>
      </c>
      <c r="AJ54" s="79">
        <v>741</v>
      </c>
      <c r="AK54" s="79">
        <v>93</v>
      </c>
      <c r="AL54" s="79">
        <v>9660</v>
      </c>
      <c r="AM54" s="79">
        <v>9659</v>
      </c>
      <c r="AN54" s="79">
        <v>7091</v>
      </c>
      <c r="AO54" s="79">
        <v>1212</v>
      </c>
      <c r="AP54" s="79">
        <v>1307</v>
      </c>
      <c r="AQ54" s="79">
        <v>3511</v>
      </c>
      <c r="AR54" s="79">
        <v>957</v>
      </c>
      <c r="AS54" s="79">
        <v>708</v>
      </c>
      <c r="AT54" s="79">
        <v>2759</v>
      </c>
      <c r="AU54" s="79">
        <v>2759</v>
      </c>
    </row>
    <row r="55" spans="1:47" x14ac:dyDescent="0.35">
      <c r="A55" s="78" t="s">
        <v>511</v>
      </c>
      <c r="B55" s="79">
        <v>83586</v>
      </c>
      <c r="C55" s="79">
        <v>28631</v>
      </c>
      <c r="D55" s="79">
        <v>25651</v>
      </c>
      <c r="E55" s="79">
        <v>4809</v>
      </c>
      <c r="F55" s="79">
        <v>5412</v>
      </c>
      <c r="G55" s="79">
        <v>1148</v>
      </c>
      <c r="H55" s="79">
        <v>3467</v>
      </c>
      <c r="I55" s="79">
        <v>918</v>
      </c>
      <c r="J55" s="79">
        <v>1912</v>
      </c>
      <c r="K55" s="79">
        <v>3882</v>
      </c>
      <c r="L55" s="79">
        <v>2977</v>
      </c>
      <c r="M55" s="79">
        <v>1148</v>
      </c>
      <c r="N55" s="79">
        <v>3022</v>
      </c>
      <c r="O55" s="79">
        <v>593</v>
      </c>
      <c r="P55" s="79">
        <v>2445</v>
      </c>
      <c r="Q55" s="79">
        <v>16867</v>
      </c>
      <c r="R55" s="79">
        <v>4275</v>
      </c>
      <c r="S55" s="79">
        <v>1248</v>
      </c>
      <c r="T55" s="79">
        <v>1971</v>
      </c>
      <c r="U55" s="79">
        <v>1068</v>
      </c>
      <c r="V55" s="79">
        <v>13386</v>
      </c>
      <c r="W55" s="79">
        <v>1371</v>
      </c>
      <c r="X55" s="79">
        <v>20721</v>
      </c>
      <c r="Y55" s="79">
        <v>371</v>
      </c>
      <c r="Z55" s="79">
        <v>1394</v>
      </c>
      <c r="AA55" s="79">
        <v>19476</v>
      </c>
      <c r="AB55" s="79">
        <v>9428</v>
      </c>
      <c r="AC55" s="79">
        <v>9039</v>
      </c>
      <c r="AD55" s="79">
        <v>461</v>
      </c>
      <c r="AE55" s="79">
        <v>587</v>
      </c>
      <c r="AF55" s="80" t="s">
        <v>496</v>
      </c>
      <c r="AG55" s="79">
        <v>1234</v>
      </c>
      <c r="AH55" s="79">
        <v>1233</v>
      </c>
      <c r="AI55" s="79">
        <v>794</v>
      </c>
      <c r="AJ55" s="79">
        <v>717</v>
      </c>
      <c r="AK55" s="79">
        <v>85</v>
      </c>
      <c r="AL55" s="79">
        <v>9136</v>
      </c>
      <c r="AM55" s="79">
        <v>9136</v>
      </c>
      <c r="AN55" s="79">
        <v>7353</v>
      </c>
      <c r="AO55" s="79">
        <v>1281</v>
      </c>
      <c r="AP55" s="79">
        <v>1356</v>
      </c>
      <c r="AQ55" s="79">
        <v>3527</v>
      </c>
      <c r="AR55" s="79">
        <v>1030</v>
      </c>
      <c r="AS55" s="79">
        <v>728</v>
      </c>
      <c r="AT55" s="79">
        <v>2835</v>
      </c>
      <c r="AU55" s="79">
        <v>2835</v>
      </c>
    </row>
    <row r="56" spans="1:47" x14ac:dyDescent="0.35">
      <c r="A56" s="78" t="s">
        <v>512</v>
      </c>
      <c r="B56" s="79">
        <v>83577</v>
      </c>
      <c r="C56" s="79">
        <v>28213</v>
      </c>
      <c r="D56" s="79">
        <v>25193</v>
      </c>
      <c r="E56" s="79">
        <v>4828</v>
      </c>
      <c r="F56" s="79">
        <v>5211</v>
      </c>
      <c r="G56" s="79">
        <v>1139</v>
      </c>
      <c r="H56" s="79">
        <v>3419</v>
      </c>
      <c r="I56" s="79">
        <v>915</v>
      </c>
      <c r="J56" s="79">
        <v>1920</v>
      </c>
      <c r="K56" s="79">
        <v>3885</v>
      </c>
      <c r="L56" s="79">
        <v>2879</v>
      </c>
      <c r="M56" s="79">
        <v>1029</v>
      </c>
      <c r="N56" s="79">
        <v>3055</v>
      </c>
      <c r="O56" s="79">
        <v>604</v>
      </c>
      <c r="P56" s="79">
        <v>2466</v>
      </c>
      <c r="Q56" s="79">
        <v>16743</v>
      </c>
      <c r="R56" s="79">
        <v>4324</v>
      </c>
      <c r="S56" s="79">
        <v>1241</v>
      </c>
      <c r="T56" s="79">
        <v>1979</v>
      </c>
      <c r="U56" s="79">
        <v>1112</v>
      </c>
      <c r="V56" s="79">
        <v>13096</v>
      </c>
      <c r="W56" s="79">
        <v>1360</v>
      </c>
      <c r="X56" s="79">
        <v>21067</v>
      </c>
      <c r="Y56" s="79">
        <v>374</v>
      </c>
      <c r="Z56" s="79">
        <v>1382</v>
      </c>
      <c r="AA56" s="79">
        <v>19892</v>
      </c>
      <c r="AB56" s="79">
        <v>9481</v>
      </c>
      <c r="AC56" s="79">
        <v>9331</v>
      </c>
      <c r="AD56" s="79">
        <v>548</v>
      </c>
      <c r="AE56" s="79">
        <v>593</v>
      </c>
      <c r="AF56" s="80" t="s">
        <v>496</v>
      </c>
      <c r="AG56" s="79">
        <v>1216</v>
      </c>
      <c r="AH56" s="79">
        <v>1216</v>
      </c>
      <c r="AI56" s="79">
        <v>781</v>
      </c>
      <c r="AJ56" s="79">
        <v>699</v>
      </c>
      <c r="AK56" s="79">
        <v>88</v>
      </c>
      <c r="AL56" s="79">
        <v>9535</v>
      </c>
      <c r="AM56" s="79">
        <v>9535</v>
      </c>
      <c r="AN56" s="79">
        <v>7418</v>
      </c>
      <c r="AO56" s="79">
        <v>1257</v>
      </c>
      <c r="AP56" s="79">
        <v>1425</v>
      </c>
      <c r="AQ56" s="79">
        <v>3504</v>
      </c>
      <c r="AR56" s="79">
        <v>1030</v>
      </c>
      <c r="AS56" s="79">
        <v>765</v>
      </c>
      <c r="AT56" s="79">
        <v>2826</v>
      </c>
      <c r="AU56" s="79">
        <v>2826</v>
      </c>
    </row>
    <row r="57" spans="1:47" x14ac:dyDescent="0.35">
      <c r="A57" s="78" t="s">
        <v>513</v>
      </c>
      <c r="B57" s="79">
        <v>83703</v>
      </c>
      <c r="C57" s="79">
        <v>28373</v>
      </c>
      <c r="D57" s="79">
        <v>25441</v>
      </c>
      <c r="E57" s="79">
        <v>4670</v>
      </c>
      <c r="F57" s="79">
        <v>5331</v>
      </c>
      <c r="G57" s="79">
        <v>1151</v>
      </c>
      <c r="H57" s="79">
        <v>3495</v>
      </c>
      <c r="I57" s="79">
        <v>913</v>
      </c>
      <c r="J57" s="79">
        <v>1894</v>
      </c>
      <c r="K57" s="79">
        <v>3764</v>
      </c>
      <c r="L57" s="79">
        <v>3275</v>
      </c>
      <c r="M57" s="79">
        <v>1019</v>
      </c>
      <c r="N57" s="79">
        <v>2976</v>
      </c>
      <c r="O57" s="79">
        <v>602</v>
      </c>
      <c r="P57" s="79">
        <v>2385</v>
      </c>
      <c r="Q57" s="79">
        <v>16727</v>
      </c>
      <c r="R57" s="79">
        <v>4416</v>
      </c>
      <c r="S57" s="79">
        <v>1271</v>
      </c>
      <c r="T57" s="79">
        <v>2054</v>
      </c>
      <c r="U57" s="79">
        <v>1103</v>
      </c>
      <c r="V57" s="79">
        <v>12857</v>
      </c>
      <c r="W57" s="79">
        <v>1355</v>
      </c>
      <c r="X57" s="79">
        <v>20702</v>
      </c>
      <c r="Y57" s="79">
        <v>375</v>
      </c>
      <c r="Z57" s="79">
        <v>1380</v>
      </c>
      <c r="AA57" s="79">
        <v>19476</v>
      </c>
      <c r="AB57" s="79">
        <v>9430</v>
      </c>
      <c r="AC57" s="79">
        <v>8984</v>
      </c>
      <c r="AD57" s="79">
        <v>514</v>
      </c>
      <c r="AE57" s="79">
        <v>579</v>
      </c>
      <c r="AF57" s="80" t="s">
        <v>496</v>
      </c>
      <c r="AG57" s="79">
        <v>1261</v>
      </c>
      <c r="AH57" s="79">
        <v>1261</v>
      </c>
      <c r="AI57" s="79">
        <v>805</v>
      </c>
      <c r="AJ57" s="79">
        <v>718</v>
      </c>
      <c r="AK57" s="79">
        <v>95</v>
      </c>
      <c r="AL57" s="79">
        <v>9494</v>
      </c>
      <c r="AM57" s="79">
        <v>9494</v>
      </c>
      <c r="AN57" s="79">
        <v>7489</v>
      </c>
      <c r="AO57" s="79">
        <v>1239</v>
      </c>
      <c r="AP57" s="79">
        <v>1504</v>
      </c>
      <c r="AQ57" s="79">
        <v>3471</v>
      </c>
      <c r="AR57" s="79">
        <v>1083</v>
      </c>
      <c r="AS57" s="79">
        <v>750</v>
      </c>
      <c r="AT57" s="79">
        <v>2818</v>
      </c>
      <c r="AU57" s="79">
        <v>2819</v>
      </c>
    </row>
    <row r="58" spans="1:47" x14ac:dyDescent="0.35">
      <c r="A58" s="78" t="s">
        <v>514</v>
      </c>
      <c r="B58" s="79">
        <v>83888</v>
      </c>
      <c r="C58" s="79">
        <v>28303</v>
      </c>
      <c r="D58" s="79">
        <v>25269</v>
      </c>
      <c r="E58" s="79">
        <v>4672</v>
      </c>
      <c r="F58" s="79">
        <v>5374</v>
      </c>
      <c r="G58" s="79">
        <v>1253</v>
      </c>
      <c r="H58" s="79">
        <v>3493</v>
      </c>
      <c r="I58" s="79">
        <v>933</v>
      </c>
      <c r="J58" s="79">
        <v>1889</v>
      </c>
      <c r="K58" s="79">
        <v>3822</v>
      </c>
      <c r="L58" s="79">
        <v>2931</v>
      </c>
      <c r="M58" s="79">
        <v>951</v>
      </c>
      <c r="N58" s="79">
        <v>3070</v>
      </c>
      <c r="O58" s="79">
        <v>607</v>
      </c>
      <c r="P58" s="79">
        <v>2478</v>
      </c>
      <c r="Q58" s="79">
        <v>16597</v>
      </c>
      <c r="R58" s="79">
        <v>4420</v>
      </c>
      <c r="S58" s="79">
        <v>1257</v>
      </c>
      <c r="T58" s="79">
        <v>2066</v>
      </c>
      <c r="U58" s="79">
        <v>1109</v>
      </c>
      <c r="V58" s="79">
        <v>12620</v>
      </c>
      <c r="W58" s="79">
        <v>1352</v>
      </c>
      <c r="X58" s="79">
        <v>20957</v>
      </c>
      <c r="Y58" s="79">
        <v>380</v>
      </c>
      <c r="Z58" s="79">
        <v>1369</v>
      </c>
      <c r="AA58" s="79">
        <v>19780</v>
      </c>
      <c r="AB58" s="79">
        <v>9437</v>
      </c>
      <c r="AC58" s="79">
        <v>9315</v>
      </c>
      <c r="AD58" s="79">
        <v>497</v>
      </c>
      <c r="AE58" s="79">
        <v>589</v>
      </c>
      <c r="AF58" s="80" t="s">
        <v>496</v>
      </c>
      <c r="AG58" s="79">
        <v>1261</v>
      </c>
      <c r="AH58" s="79">
        <v>1260</v>
      </c>
      <c r="AI58" s="79">
        <v>878</v>
      </c>
      <c r="AJ58" s="79">
        <v>790</v>
      </c>
      <c r="AK58" s="79">
        <v>96</v>
      </c>
      <c r="AL58" s="79">
        <v>9441</v>
      </c>
      <c r="AM58" s="79">
        <v>9440</v>
      </c>
      <c r="AN58" s="79">
        <v>7513</v>
      </c>
      <c r="AO58" s="79">
        <v>1245</v>
      </c>
      <c r="AP58" s="79">
        <v>1482</v>
      </c>
      <c r="AQ58" s="79">
        <v>3461</v>
      </c>
      <c r="AR58" s="79">
        <v>1047</v>
      </c>
      <c r="AS58" s="79">
        <v>822</v>
      </c>
      <c r="AT58" s="79">
        <v>2907</v>
      </c>
      <c r="AU58" s="79">
        <v>2907</v>
      </c>
    </row>
    <row r="59" spans="1:47" x14ac:dyDescent="0.35">
      <c r="A59" s="78" t="s">
        <v>515</v>
      </c>
      <c r="B59" s="79">
        <v>84172</v>
      </c>
      <c r="C59" s="79">
        <v>28463</v>
      </c>
      <c r="D59" s="79">
        <v>25270</v>
      </c>
      <c r="E59" s="79">
        <v>4668</v>
      </c>
      <c r="F59" s="79">
        <v>5233</v>
      </c>
      <c r="G59" s="79">
        <v>1201</v>
      </c>
      <c r="H59" s="79">
        <v>3501</v>
      </c>
      <c r="I59" s="79">
        <v>1033</v>
      </c>
      <c r="J59" s="79">
        <v>1841</v>
      </c>
      <c r="K59" s="79">
        <v>3818</v>
      </c>
      <c r="L59" s="79">
        <v>2974</v>
      </c>
      <c r="M59" s="79">
        <v>1063</v>
      </c>
      <c r="N59" s="79">
        <v>3220</v>
      </c>
      <c r="O59" s="79">
        <v>664</v>
      </c>
      <c r="P59" s="79">
        <v>2568</v>
      </c>
      <c r="Q59" s="79">
        <v>16389</v>
      </c>
      <c r="R59" s="79">
        <v>4388</v>
      </c>
      <c r="S59" s="79">
        <v>1222</v>
      </c>
      <c r="T59" s="79">
        <v>2056</v>
      </c>
      <c r="U59" s="79">
        <v>1119</v>
      </c>
      <c r="V59" s="79">
        <v>12330</v>
      </c>
      <c r="W59" s="79">
        <v>1351</v>
      </c>
      <c r="X59" s="79">
        <v>20962</v>
      </c>
      <c r="Y59" s="79">
        <v>393</v>
      </c>
      <c r="Z59" s="79">
        <v>1369</v>
      </c>
      <c r="AA59" s="79">
        <v>19748</v>
      </c>
      <c r="AB59" s="79">
        <v>9321</v>
      </c>
      <c r="AC59" s="79">
        <v>9211</v>
      </c>
      <c r="AD59" s="79">
        <v>500</v>
      </c>
      <c r="AE59" s="79">
        <v>760</v>
      </c>
      <c r="AF59" s="80" t="s">
        <v>496</v>
      </c>
      <c r="AG59" s="79">
        <v>1293</v>
      </c>
      <c r="AH59" s="79">
        <v>1292</v>
      </c>
      <c r="AI59" s="79">
        <v>964</v>
      </c>
      <c r="AJ59" s="79">
        <v>884</v>
      </c>
      <c r="AK59" s="79">
        <v>85</v>
      </c>
      <c r="AL59" s="79">
        <v>9870</v>
      </c>
      <c r="AM59" s="79">
        <v>9869</v>
      </c>
      <c r="AN59" s="79">
        <v>7294</v>
      </c>
      <c r="AO59" s="79">
        <v>1205</v>
      </c>
      <c r="AP59" s="79">
        <v>1482</v>
      </c>
      <c r="AQ59" s="79">
        <v>3469</v>
      </c>
      <c r="AR59" s="79">
        <v>1015</v>
      </c>
      <c r="AS59" s="79">
        <v>714</v>
      </c>
      <c r="AT59" s="79">
        <v>2834</v>
      </c>
      <c r="AU59" s="79">
        <v>2835</v>
      </c>
    </row>
    <row r="60" spans="1:47" x14ac:dyDescent="0.35">
      <c r="A60" s="78" t="s">
        <v>516</v>
      </c>
      <c r="B60" s="79">
        <v>83589</v>
      </c>
      <c r="C60" s="79">
        <v>27493</v>
      </c>
      <c r="D60" s="79">
        <v>24392</v>
      </c>
      <c r="E60" s="79">
        <v>4641</v>
      </c>
      <c r="F60" s="79">
        <v>5110</v>
      </c>
      <c r="G60" s="79">
        <v>1229</v>
      </c>
      <c r="H60" s="79">
        <v>3121</v>
      </c>
      <c r="I60" s="79">
        <v>1025</v>
      </c>
      <c r="J60" s="79">
        <v>1742</v>
      </c>
      <c r="K60" s="79">
        <v>3642</v>
      </c>
      <c r="L60" s="79">
        <v>2944</v>
      </c>
      <c r="M60" s="79">
        <v>1028</v>
      </c>
      <c r="N60" s="79">
        <v>3126</v>
      </c>
      <c r="O60" s="79">
        <v>595</v>
      </c>
      <c r="P60" s="79">
        <v>2548</v>
      </c>
      <c r="Q60" s="79">
        <v>16457</v>
      </c>
      <c r="R60" s="79">
        <v>4362</v>
      </c>
      <c r="S60" s="79">
        <v>1215</v>
      </c>
      <c r="T60" s="79">
        <v>2076</v>
      </c>
      <c r="U60" s="79">
        <v>1084</v>
      </c>
      <c r="V60" s="79">
        <v>12554</v>
      </c>
      <c r="W60" s="79">
        <v>1344</v>
      </c>
      <c r="X60" s="79">
        <v>20613</v>
      </c>
      <c r="Y60" s="79">
        <v>416</v>
      </c>
      <c r="Z60" s="79">
        <v>1375</v>
      </c>
      <c r="AA60" s="79">
        <v>19267</v>
      </c>
      <c r="AB60" s="79">
        <v>9095</v>
      </c>
      <c r="AC60" s="79">
        <v>8959</v>
      </c>
      <c r="AD60" s="79">
        <v>502</v>
      </c>
      <c r="AE60" s="79">
        <v>740</v>
      </c>
      <c r="AF60" s="80" t="s">
        <v>496</v>
      </c>
      <c r="AG60" s="79">
        <v>1409</v>
      </c>
      <c r="AH60" s="79">
        <v>1408</v>
      </c>
      <c r="AI60" s="79">
        <v>1047</v>
      </c>
      <c r="AJ60" s="79">
        <v>980</v>
      </c>
      <c r="AK60" s="79">
        <v>68</v>
      </c>
      <c r="AL60" s="79">
        <v>9824</v>
      </c>
      <c r="AM60" s="79">
        <v>9824</v>
      </c>
      <c r="AN60" s="79">
        <v>7410</v>
      </c>
      <c r="AO60" s="79">
        <v>1244</v>
      </c>
      <c r="AP60" s="79">
        <v>1526</v>
      </c>
      <c r="AQ60" s="79">
        <v>3497</v>
      </c>
      <c r="AR60" s="79">
        <v>996</v>
      </c>
      <c r="AS60" s="79">
        <v>731</v>
      </c>
      <c r="AT60" s="79">
        <v>2915</v>
      </c>
      <c r="AU60" s="79">
        <v>2915</v>
      </c>
    </row>
    <row r="61" spans="1:47" x14ac:dyDescent="0.35">
      <c r="A61" s="78" t="s">
        <v>517</v>
      </c>
      <c r="B61" s="79">
        <v>84901</v>
      </c>
      <c r="C61" s="79">
        <v>28225</v>
      </c>
      <c r="D61" s="79">
        <v>25070</v>
      </c>
      <c r="E61" s="79">
        <v>4847</v>
      </c>
      <c r="F61" s="79">
        <v>5325</v>
      </c>
      <c r="G61" s="79">
        <v>1320</v>
      </c>
      <c r="H61" s="79">
        <v>3177</v>
      </c>
      <c r="I61" s="79">
        <v>993</v>
      </c>
      <c r="J61" s="79">
        <v>1729</v>
      </c>
      <c r="K61" s="79">
        <v>3708</v>
      </c>
      <c r="L61" s="79">
        <v>2994</v>
      </c>
      <c r="M61" s="79">
        <v>1056</v>
      </c>
      <c r="N61" s="79">
        <v>3182</v>
      </c>
      <c r="O61" s="79">
        <v>620</v>
      </c>
      <c r="P61" s="79">
        <v>2578</v>
      </c>
      <c r="Q61" s="79">
        <v>16530</v>
      </c>
      <c r="R61" s="79">
        <v>4433</v>
      </c>
      <c r="S61" s="79">
        <v>1229</v>
      </c>
      <c r="T61" s="79">
        <v>2114</v>
      </c>
      <c r="U61" s="79">
        <v>1102</v>
      </c>
      <c r="V61" s="79">
        <v>12359</v>
      </c>
      <c r="W61" s="79">
        <v>1375</v>
      </c>
      <c r="X61" s="79">
        <v>21004</v>
      </c>
      <c r="Y61" s="79">
        <v>425</v>
      </c>
      <c r="Z61" s="79">
        <v>1394</v>
      </c>
      <c r="AA61" s="79">
        <v>19643</v>
      </c>
      <c r="AB61" s="79">
        <v>9369</v>
      </c>
      <c r="AC61" s="79">
        <v>8849</v>
      </c>
      <c r="AD61" s="79">
        <v>615</v>
      </c>
      <c r="AE61" s="79">
        <v>736</v>
      </c>
      <c r="AF61" s="80" t="s">
        <v>496</v>
      </c>
      <c r="AG61" s="79">
        <v>1482</v>
      </c>
      <c r="AH61" s="79">
        <v>1482</v>
      </c>
      <c r="AI61" s="79">
        <v>1145</v>
      </c>
      <c r="AJ61" s="79">
        <v>1075</v>
      </c>
      <c r="AK61" s="79">
        <v>72</v>
      </c>
      <c r="AL61" s="79">
        <v>9452</v>
      </c>
      <c r="AM61" s="79">
        <v>9451</v>
      </c>
      <c r="AN61" s="79">
        <v>7695</v>
      </c>
      <c r="AO61" s="79">
        <v>1320</v>
      </c>
      <c r="AP61" s="79">
        <v>1646</v>
      </c>
      <c r="AQ61" s="79">
        <v>3548</v>
      </c>
      <c r="AR61" s="79">
        <v>982</v>
      </c>
      <c r="AS61" s="79">
        <v>772</v>
      </c>
      <c r="AT61" s="79">
        <v>2965</v>
      </c>
      <c r="AU61" s="79">
        <v>2965</v>
      </c>
    </row>
    <row r="62" spans="1:47" x14ac:dyDescent="0.35">
      <c r="A62" s="78" t="s">
        <v>518</v>
      </c>
      <c r="B62" s="79">
        <v>85987</v>
      </c>
      <c r="C62" s="79">
        <v>29042</v>
      </c>
      <c r="D62" s="79">
        <v>25661</v>
      </c>
      <c r="E62" s="79">
        <v>4863</v>
      </c>
      <c r="F62" s="79">
        <v>5246</v>
      </c>
      <c r="G62" s="79">
        <v>1330</v>
      </c>
      <c r="H62" s="79">
        <v>3283</v>
      </c>
      <c r="I62" s="79">
        <v>990</v>
      </c>
      <c r="J62" s="79">
        <v>1816</v>
      </c>
      <c r="K62" s="79">
        <v>3801</v>
      </c>
      <c r="L62" s="79">
        <v>3256</v>
      </c>
      <c r="M62" s="79">
        <v>1178</v>
      </c>
      <c r="N62" s="79">
        <v>3401</v>
      </c>
      <c r="O62" s="79">
        <v>607</v>
      </c>
      <c r="P62" s="79">
        <v>2814</v>
      </c>
      <c r="Q62" s="79">
        <v>16407</v>
      </c>
      <c r="R62" s="79">
        <v>4399</v>
      </c>
      <c r="S62" s="79">
        <v>1215</v>
      </c>
      <c r="T62" s="79">
        <v>2094</v>
      </c>
      <c r="U62" s="79">
        <v>1101</v>
      </c>
      <c r="V62" s="79">
        <v>12081</v>
      </c>
      <c r="W62" s="79">
        <v>1403</v>
      </c>
      <c r="X62" s="79">
        <v>20107</v>
      </c>
      <c r="Y62" s="79">
        <v>434</v>
      </c>
      <c r="Z62" s="79">
        <v>1412</v>
      </c>
      <c r="AA62" s="79">
        <v>18544</v>
      </c>
      <c r="AB62" s="79">
        <v>9054</v>
      </c>
      <c r="AC62" s="79">
        <v>8488</v>
      </c>
      <c r="AD62" s="79">
        <v>450</v>
      </c>
      <c r="AE62" s="79">
        <v>588</v>
      </c>
      <c r="AF62" s="80" t="s">
        <v>496</v>
      </c>
      <c r="AG62" s="79">
        <v>1540</v>
      </c>
      <c r="AH62" s="79">
        <v>1540</v>
      </c>
      <c r="AI62" s="79">
        <v>1209</v>
      </c>
      <c r="AJ62" s="79">
        <v>1136</v>
      </c>
      <c r="AK62" s="79">
        <v>75</v>
      </c>
      <c r="AL62" s="79">
        <v>9906</v>
      </c>
      <c r="AM62" s="79">
        <v>9906</v>
      </c>
      <c r="AN62" s="79">
        <v>7630</v>
      </c>
      <c r="AO62" s="79">
        <v>1303</v>
      </c>
      <c r="AP62" s="79">
        <v>1704</v>
      </c>
      <c r="AQ62" s="79">
        <v>3546</v>
      </c>
      <c r="AR62" s="79">
        <v>1077</v>
      </c>
      <c r="AS62" s="79">
        <v>602</v>
      </c>
      <c r="AT62" s="79">
        <v>3031</v>
      </c>
      <c r="AU62" s="79">
        <v>3031</v>
      </c>
    </row>
    <row r="63" spans="1:47" x14ac:dyDescent="0.35">
      <c r="A63" s="78" t="s">
        <v>519</v>
      </c>
      <c r="B63" s="79">
        <v>84753</v>
      </c>
      <c r="C63" s="79">
        <v>27781</v>
      </c>
      <c r="D63" s="79">
        <v>24677</v>
      </c>
      <c r="E63" s="79">
        <v>4687</v>
      </c>
      <c r="F63" s="79">
        <v>5170</v>
      </c>
      <c r="G63" s="79">
        <v>1344</v>
      </c>
      <c r="H63" s="79">
        <v>3121</v>
      </c>
      <c r="I63" s="79">
        <v>967</v>
      </c>
      <c r="J63" s="79">
        <v>1824</v>
      </c>
      <c r="K63" s="79">
        <v>3609</v>
      </c>
      <c r="L63" s="79">
        <v>3045</v>
      </c>
      <c r="M63" s="79">
        <v>1011</v>
      </c>
      <c r="N63" s="79">
        <v>3129</v>
      </c>
      <c r="O63" s="79">
        <v>594</v>
      </c>
      <c r="P63" s="79">
        <v>2552</v>
      </c>
      <c r="Q63" s="79">
        <v>16263</v>
      </c>
      <c r="R63" s="79">
        <v>4509</v>
      </c>
      <c r="S63" s="79">
        <v>1213</v>
      </c>
      <c r="T63" s="79">
        <v>2171</v>
      </c>
      <c r="U63" s="79">
        <v>1134</v>
      </c>
      <c r="V63" s="79">
        <v>11461</v>
      </c>
      <c r="W63" s="79">
        <v>1430</v>
      </c>
      <c r="X63" s="79">
        <v>20221</v>
      </c>
      <c r="Y63" s="79">
        <v>441</v>
      </c>
      <c r="Z63" s="79">
        <v>1432</v>
      </c>
      <c r="AA63" s="79">
        <v>18607</v>
      </c>
      <c r="AB63" s="79">
        <v>9404</v>
      </c>
      <c r="AC63" s="79">
        <v>8031</v>
      </c>
      <c r="AD63" s="79">
        <v>583</v>
      </c>
      <c r="AE63" s="79">
        <v>520</v>
      </c>
      <c r="AF63" s="80" t="s">
        <v>496</v>
      </c>
      <c r="AG63" s="79">
        <v>1545</v>
      </c>
      <c r="AH63" s="79">
        <v>1545</v>
      </c>
      <c r="AI63" s="79">
        <v>1209</v>
      </c>
      <c r="AJ63" s="79">
        <v>1138</v>
      </c>
      <c r="AK63" s="79">
        <v>73</v>
      </c>
      <c r="AL63" s="79">
        <v>9800</v>
      </c>
      <c r="AM63" s="79">
        <v>9800</v>
      </c>
      <c r="AN63" s="79">
        <v>7743</v>
      </c>
      <c r="AO63" s="79">
        <v>1340</v>
      </c>
      <c r="AP63" s="79">
        <v>1739</v>
      </c>
      <c r="AQ63" s="79">
        <v>3544</v>
      </c>
      <c r="AR63" s="79">
        <v>968</v>
      </c>
      <c r="AS63" s="79">
        <v>732</v>
      </c>
      <c r="AT63" s="79">
        <v>3157</v>
      </c>
      <c r="AU63" s="79">
        <v>3157</v>
      </c>
    </row>
    <row r="64" spans="1:47" x14ac:dyDescent="0.35">
      <c r="A64" s="78" t="s">
        <v>520</v>
      </c>
      <c r="B64" s="79">
        <v>85947</v>
      </c>
      <c r="C64" s="79">
        <v>28244</v>
      </c>
      <c r="D64" s="79">
        <v>25153</v>
      </c>
      <c r="E64" s="79">
        <v>4790</v>
      </c>
      <c r="F64" s="79">
        <v>5152</v>
      </c>
      <c r="G64" s="79">
        <v>1276</v>
      </c>
      <c r="H64" s="79">
        <v>3286</v>
      </c>
      <c r="I64" s="79">
        <v>953</v>
      </c>
      <c r="J64" s="79">
        <v>1903</v>
      </c>
      <c r="K64" s="79">
        <v>3721</v>
      </c>
      <c r="L64" s="79">
        <v>3092</v>
      </c>
      <c r="M64" s="79">
        <v>1059</v>
      </c>
      <c r="N64" s="79">
        <v>3120</v>
      </c>
      <c r="O64" s="79">
        <v>606</v>
      </c>
      <c r="P64" s="79">
        <v>2528</v>
      </c>
      <c r="Q64" s="79">
        <v>16489</v>
      </c>
      <c r="R64" s="79">
        <v>4515</v>
      </c>
      <c r="S64" s="79">
        <v>1225</v>
      </c>
      <c r="T64" s="79">
        <v>2162</v>
      </c>
      <c r="U64" s="79">
        <v>1138</v>
      </c>
      <c r="V64" s="79">
        <v>11762</v>
      </c>
      <c r="W64" s="79">
        <v>1447</v>
      </c>
      <c r="X64" s="79">
        <v>20580</v>
      </c>
      <c r="Y64" s="79">
        <v>417</v>
      </c>
      <c r="Z64" s="79">
        <v>1457</v>
      </c>
      <c r="AA64" s="79">
        <v>19035</v>
      </c>
      <c r="AB64" s="79">
        <v>9670</v>
      </c>
      <c r="AC64" s="79">
        <v>8381</v>
      </c>
      <c r="AD64" s="79">
        <v>503</v>
      </c>
      <c r="AE64" s="79">
        <v>479</v>
      </c>
      <c r="AF64" s="80" t="s">
        <v>496</v>
      </c>
      <c r="AG64" s="79">
        <v>1599</v>
      </c>
      <c r="AH64" s="79">
        <v>1599</v>
      </c>
      <c r="AI64" s="79">
        <v>1243</v>
      </c>
      <c r="AJ64" s="79">
        <v>1172</v>
      </c>
      <c r="AK64" s="79">
        <v>72</v>
      </c>
      <c r="AL64" s="79">
        <v>9559</v>
      </c>
      <c r="AM64" s="79">
        <v>9559</v>
      </c>
      <c r="AN64" s="79">
        <v>8048</v>
      </c>
      <c r="AO64" s="79">
        <v>1550</v>
      </c>
      <c r="AP64" s="79">
        <v>1775</v>
      </c>
      <c r="AQ64" s="79">
        <v>3576</v>
      </c>
      <c r="AR64" s="79">
        <v>969</v>
      </c>
      <c r="AS64" s="79">
        <v>695</v>
      </c>
      <c r="AT64" s="79">
        <v>3197</v>
      </c>
      <c r="AU64" s="79">
        <v>3198</v>
      </c>
    </row>
    <row r="65" spans="1:47" x14ac:dyDescent="0.35">
      <c r="A65" s="78" t="s">
        <v>521</v>
      </c>
      <c r="B65" s="79">
        <v>87131</v>
      </c>
      <c r="C65" s="79">
        <v>28953</v>
      </c>
      <c r="D65" s="79">
        <v>25801</v>
      </c>
      <c r="E65" s="79">
        <v>5076</v>
      </c>
      <c r="F65" s="79">
        <v>5172</v>
      </c>
      <c r="G65" s="79">
        <v>1276</v>
      </c>
      <c r="H65" s="79">
        <v>3293</v>
      </c>
      <c r="I65" s="79">
        <v>1020</v>
      </c>
      <c r="J65" s="79">
        <v>1937</v>
      </c>
      <c r="K65" s="79">
        <v>3960</v>
      </c>
      <c r="L65" s="79">
        <v>3015</v>
      </c>
      <c r="M65" s="79">
        <v>1122</v>
      </c>
      <c r="N65" s="79">
        <v>3181</v>
      </c>
      <c r="O65" s="79">
        <v>573</v>
      </c>
      <c r="P65" s="79">
        <v>2627</v>
      </c>
      <c r="Q65" s="79">
        <v>16614</v>
      </c>
      <c r="R65" s="79">
        <v>4588</v>
      </c>
      <c r="S65" s="79">
        <v>1239</v>
      </c>
      <c r="T65" s="79">
        <v>2225</v>
      </c>
      <c r="U65" s="79">
        <v>1137</v>
      </c>
      <c r="V65" s="79">
        <v>11798</v>
      </c>
      <c r="W65" s="79">
        <v>1452</v>
      </c>
      <c r="X65" s="79">
        <v>20594</v>
      </c>
      <c r="Y65" s="79">
        <v>428</v>
      </c>
      <c r="Z65" s="79">
        <v>1491</v>
      </c>
      <c r="AA65" s="79">
        <v>18930</v>
      </c>
      <c r="AB65" s="79">
        <v>9881</v>
      </c>
      <c r="AC65" s="79">
        <v>7896</v>
      </c>
      <c r="AD65" s="79">
        <v>609</v>
      </c>
      <c r="AE65" s="79">
        <v>436</v>
      </c>
      <c r="AF65" s="80" t="s">
        <v>496</v>
      </c>
      <c r="AG65" s="79">
        <v>1638</v>
      </c>
      <c r="AH65" s="79">
        <v>1637</v>
      </c>
      <c r="AI65" s="79">
        <v>1227</v>
      </c>
      <c r="AJ65" s="79">
        <v>1158</v>
      </c>
      <c r="AK65" s="79">
        <v>69</v>
      </c>
      <c r="AL65" s="79">
        <v>10025</v>
      </c>
      <c r="AM65" s="79">
        <v>10025</v>
      </c>
      <c r="AN65" s="79">
        <v>7775</v>
      </c>
      <c r="AO65" s="79">
        <v>1374</v>
      </c>
      <c r="AP65" s="79">
        <v>1773</v>
      </c>
      <c r="AQ65" s="79">
        <v>3588</v>
      </c>
      <c r="AR65" s="79">
        <v>1030</v>
      </c>
      <c r="AS65" s="79">
        <v>610</v>
      </c>
      <c r="AT65" s="79">
        <v>3235</v>
      </c>
      <c r="AU65" s="79">
        <v>3235</v>
      </c>
    </row>
    <row r="66" spans="1:47" x14ac:dyDescent="0.35">
      <c r="A66" s="78" t="s">
        <v>522</v>
      </c>
      <c r="B66" s="79">
        <v>88177</v>
      </c>
      <c r="C66" s="79">
        <v>30118</v>
      </c>
      <c r="D66" s="79">
        <v>26825</v>
      </c>
      <c r="E66" s="79">
        <v>5220</v>
      </c>
      <c r="F66" s="79">
        <v>5489</v>
      </c>
      <c r="G66" s="79">
        <v>1407</v>
      </c>
      <c r="H66" s="79">
        <v>3441</v>
      </c>
      <c r="I66" s="79">
        <v>973</v>
      </c>
      <c r="J66" s="79">
        <v>2062</v>
      </c>
      <c r="K66" s="79">
        <v>3996</v>
      </c>
      <c r="L66" s="79">
        <v>3206</v>
      </c>
      <c r="M66" s="79">
        <v>1107</v>
      </c>
      <c r="N66" s="79">
        <v>3323</v>
      </c>
      <c r="O66" s="79">
        <v>615</v>
      </c>
      <c r="P66" s="79">
        <v>2726</v>
      </c>
      <c r="Q66" s="79">
        <v>16843</v>
      </c>
      <c r="R66" s="79">
        <v>4701</v>
      </c>
      <c r="S66" s="79">
        <v>1261</v>
      </c>
      <c r="T66" s="79">
        <v>2251</v>
      </c>
      <c r="U66" s="79">
        <v>1195</v>
      </c>
      <c r="V66" s="79">
        <v>12018</v>
      </c>
      <c r="W66" s="79">
        <v>1436</v>
      </c>
      <c r="X66" s="79">
        <v>20663</v>
      </c>
      <c r="Y66" s="79">
        <v>413</v>
      </c>
      <c r="Z66" s="79">
        <v>1531</v>
      </c>
      <c r="AA66" s="79">
        <v>18963</v>
      </c>
      <c r="AB66" s="79">
        <v>9622</v>
      </c>
      <c r="AC66" s="79">
        <v>8303</v>
      </c>
      <c r="AD66" s="79">
        <v>553</v>
      </c>
      <c r="AE66" s="79">
        <v>451</v>
      </c>
      <c r="AF66" s="80" t="s">
        <v>496</v>
      </c>
      <c r="AG66" s="79">
        <v>1643</v>
      </c>
      <c r="AH66" s="79">
        <v>1642</v>
      </c>
      <c r="AI66" s="79">
        <v>1184</v>
      </c>
      <c r="AJ66" s="79">
        <v>1111</v>
      </c>
      <c r="AK66" s="79">
        <v>75</v>
      </c>
      <c r="AL66" s="79">
        <v>9509</v>
      </c>
      <c r="AM66" s="79">
        <v>9508</v>
      </c>
      <c r="AN66" s="79">
        <v>7851</v>
      </c>
      <c r="AO66" s="79">
        <v>1478</v>
      </c>
      <c r="AP66" s="79">
        <v>1736</v>
      </c>
      <c r="AQ66" s="79">
        <v>3570</v>
      </c>
      <c r="AR66" s="79">
        <v>998</v>
      </c>
      <c r="AS66" s="79">
        <v>620</v>
      </c>
      <c r="AT66" s="79">
        <v>3257</v>
      </c>
      <c r="AU66" s="79">
        <v>3257</v>
      </c>
    </row>
    <row r="67" spans="1:47" x14ac:dyDescent="0.35">
      <c r="A67" s="78" t="s">
        <v>523</v>
      </c>
      <c r="B67" s="79">
        <v>88356</v>
      </c>
      <c r="C67" s="79">
        <v>29632</v>
      </c>
      <c r="D67" s="79">
        <v>26425</v>
      </c>
      <c r="E67" s="79">
        <v>5265</v>
      </c>
      <c r="F67" s="79">
        <v>5826</v>
      </c>
      <c r="G67" s="79">
        <v>1221</v>
      </c>
      <c r="H67" s="79">
        <v>3366</v>
      </c>
      <c r="I67" s="79">
        <v>949</v>
      </c>
      <c r="J67" s="79">
        <v>1944</v>
      </c>
      <c r="K67" s="79">
        <v>3844</v>
      </c>
      <c r="L67" s="79">
        <v>2954</v>
      </c>
      <c r="M67" s="79">
        <v>1074</v>
      </c>
      <c r="N67" s="79">
        <v>3237</v>
      </c>
      <c r="O67" s="79">
        <v>561</v>
      </c>
      <c r="P67" s="79">
        <v>2697</v>
      </c>
      <c r="Q67" s="79">
        <v>17123</v>
      </c>
      <c r="R67" s="79">
        <v>4773</v>
      </c>
      <c r="S67" s="79">
        <v>1298</v>
      </c>
      <c r="T67" s="79">
        <v>2278</v>
      </c>
      <c r="U67" s="79">
        <v>1206</v>
      </c>
      <c r="V67" s="79">
        <v>12398</v>
      </c>
      <c r="W67" s="79">
        <v>1414</v>
      </c>
      <c r="X67" s="79">
        <v>20548</v>
      </c>
      <c r="Y67" s="79">
        <v>402</v>
      </c>
      <c r="Z67" s="79">
        <v>1574</v>
      </c>
      <c r="AA67" s="79">
        <v>18763</v>
      </c>
      <c r="AB67" s="79">
        <v>9290</v>
      </c>
      <c r="AC67" s="79">
        <v>8531</v>
      </c>
      <c r="AD67" s="79">
        <v>611</v>
      </c>
      <c r="AE67" s="79">
        <v>332</v>
      </c>
      <c r="AF67" s="80" t="s">
        <v>496</v>
      </c>
      <c r="AG67" s="79">
        <v>1643</v>
      </c>
      <c r="AH67" s="79">
        <v>1642</v>
      </c>
      <c r="AI67" s="79">
        <v>1125</v>
      </c>
      <c r="AJ67" s="79">
        <v>1058</v>
      </c>
      <c r="AK67" s="79">
        <v>68</v>
      </c>
      <c r="AL67" s="79">
        <v>10141</v>
      </c>
      <c r="AM67" s="79">
        <v>10141</v>
      </c>
      <c r="AN67" s="79">
        <v>7571</v>
      </c>
      <c r="AO67" s="79">
        <v>1407</v>
      </c>
      <c r="AP67" s="79">
        <v>1635</v>
      </c>
      <c r="AQ67" s="79">
        <v>3547</v>
      </c>
      <c r="AR67" s="79">
        <v>963</v>
      </c>
      <c r="AS67" s="79">
        <v>592</v>
      </c>
      <c r="AT67" s="79">
        <v>3412</v>
      </c>
      <c r="AU67" s="79">
        <v>3413</v>
      </c>
    </row>
    <row r="68" spans="1:47" x14ac:dyDescent="0.35">
      <c r="A68" s="78" t="s">
        <v>524</v>
      </c>
      <c r="B68" s="79">
        <v>89349</v>
      </c>
      <c r="C68" s="79">
        <v>30510</v>
      </c>
      <c r="D68" s="79">
        <v>27149</v>
      </c>
      <c r="E68" s="79">
        <v>5173</v>
      </c>
      <c r="F68" s="79">
        <v>5964</v>
      </c>
      <c r="G68" s="79">
        <v>1412</v>
      </c>
      <c r="H68" s="79">
        <v>3418</v>
      </c>
      <c r="I68" s="79">
        <v>934</v>
      </c>
      <c r="J68" s="79">
        <v>1979</v>
      </c>
      <c r="K68" s="79">
        <v>3879</v>
      </c>
      <c r="L68" s="79">
        <v>3348</v>
      </c>
      <c r="M68" s="79">
        <v>1104</v>
      </c>
      <c r="N68" s="79">
        <v>3390</v>
      </c>
      <c r="O68" s="79">
        <v>586</v>
      </c>
      <c r="P68" s="79">
        <v>2825</v>
      </c>
      <c r="Q68" s="79">
        <v>17186</v>
      </c>
      <c r="R68" s="79">
        <v>4825</v>
      </c>
      <c r="S68" s="79">
        <v>1311</v>
      </c>
      <c r="T68" s="79">
        <v>2307</v>
      </c>
      <c r="U68" s="79">
        <v>1217</v>
      </c>
      <c r="V68" s="79">
        <v>12592</v>
      </c>
      <c r="W68" s="79">
        <v>1362</v>
      </c>
      <c r="X68" s="79">
        <v>20113</v>
      </c>
      <c r="Y68" s="79">
        <v>412</v>
      </c>
      <c r="Z68" s="79">
        <v>1587</v>
      </c>
      <c r="AA68" s="79">
        <v>18204</v>
      </c>
      <c r="AB68" s="79">
        <v>9238</v>
      </c>
      <c r="AC68" s="79">
        <v>8073</v>
      </c>
      <c r="AD68" s="79">
        <v>564</v>
      </c>
      <c r="AE68" s="79">
        <v>327</v>
      </c>
      <c r="AF68" s="80" t="s">
        <v>496</v>
      </c>
      <c r="AG68" s="79">
        <v>1719</v>
      </c>
      <c r="AH68" s="79">
        <v>1719</v>
      </c>
      <c r="AI68" s="79">
        <v>1086</v>
      </c>
      <c r="AJ68" s="79">
        <v>1022</v>
      </c>
      <c r="AK68" s="79">
        <v>65</v>
      </c>
      <c r="AL68" s="79">
        <v>9969</v>
      </c>
      <c r="AM68" s="79">
        <v>9969</v>
      </c>
      <c r="AN68" s="79">
        <v>7646</v>
      </c>
      <c r="AO68" s="79">
        <v>1464</v>
      </c>
      <c r="AP68" s="79">
        <v>1595</v>
      </c>
      <c r="AQ68" s="79">
        <v>3535</v>
      </c>
      <c r="AR68" s="79">
        <v>995</v>
      </c>
      <c r="AS68" s="79">
        <v>601</v>
      </c>
      <c r="AT68" s="79">
        <v>3546</v>
      </c>
      <c r="AU68" s="79">
        <v>3546</v>
      </c>
    </row>
    <row r="69" spans="1:47" x14ac:dyDescent="0.35">
      <c r="A69" s="78" t="s">
        <v>525</v>
      </c>
      <c r="B69" s="79">
        <v>89329</v>
      </c>
      <c r="C69" s="79">
        <v>30162</v>
      </c>
      <c r="D69" s="79">
        <v>26641</v>
      </c>
      <c r="E69" s="79">
        <v>5117</v>
      </c>
      <c r="F69" s="79">
        <v>5894</v>
      </c>
      <c r="G69" s="79">
        <v>1354</v>
      </c>
      <c r="H69" s="79">
        <v>3462</v>
      </c>
      <c r="I69" s="79">
        <v>919</v>
      </c>
      <c r="J69" s="79">
        <v>1968</v>
      </c>
      <c r="K69" s="79">
        <v>3850</v>
      </c>
      <c r="L69" s="79">
        <v>2981</v>
      </c>
      <c r="M69" s="79">
        <v>1110</v>
      </c>
      <c r="N69" s="79">
        <v>3545</v>
      </c>
      <c r="O69" s="79">
        <v>572</v>
      </c>
      <c r="P69" s="79">
        <v>2998</v>
      </c>
      <c r="Q69" s="79">
        <v>17257</v>
      </c>
      <c r="R69" s="79">
        <v>4897</v>
      </c>
      <c r="S69" s="79">
        <v>1320</v>
      </c>
      <c r="T69" s="79">
        <v>2293</v>
      </c>
      <c r="U69" s="79">
        <v>1286</v>
      </c>
      <c r="V69" s="79">
        <v>12749</v>
      </c>
      <c r="W69" s="79">
        <v>1311</v>
      </c>
      <c r="X69" s="79">
        <v>20154</v>
      </c>
      <c r="Y69" s="79">
        <v>412</v>
      </c>
      <c r="Z69" s="79">
        <v>1581</v>
      </c>
      <c r="AA69" s="79">
        <v>18262</v>
      </c>
      <c r="AB69" s="79">
        <v>9210</v>
      </c>
      <c r="AC69" s="79">
        <v>8248</v>
      </c>
      <c r="AD69" s="79">
        <v>553</v>
      </c>
      <c r="AE69" s="79">
        <v>272</v>
      </c>
      <c r="AF69" s="80" t="s">
        <v>496</v>
      </c>
      <c r="AG69" s="79">
        <v>1739</v>
      </c>
      <c r="AH69" s="79">
        <v>1738</v>
      </c>
      <c r="AI69" s="79">
        <v>1078</v>
      </c>
      <c r="AJ69" s="79">
        <v>1019</v>
      </c>
      <c r="AK69" s="79">
        <v>60</v>
      </c>
      <c r="AL69" s="79">
        <v>9785</v>
      </c>
      <c r="AM69" s="79">
        <v>9785</v>
      </c>
      <c r="AN69" s="79">
        <v>7867</v>
      </c>
      <c r="AO69" s="79">
        <v>1498</v>
      </c>
      <c r="AP69" s="79">
        <v>1611</v>
      </c>
      <c r="AQ69" s="79">
        <v>3585</v>
      </c>
      <c r="AR69" s="79">
        <v>973</v>
      </c>
      <c r="AS69" s="79">
        <v>728</v>
      </c>
      <c r="AT69" s="79">
        <v>3667</v>
      </c>
      <c r="AU69" s="79">
        <v>3668</v>
      </c>
    </row>
    <row r="70" spans="1:47" x14ac:dyDescent="0.35">
      <c r="A70" s="78" t="s">
        <v>526</v>
      </c>
      <c r="B70" s="79">
        <v>89406</v>
      </c>
      <c r="C70" s="79">
        <v>29706</v>
      </c>
      <c r="D70" s="79">
        <v>26238</v>
      </c>
      <c r="E70" s="79">
        <v>5015</v>
      </c>
      <c r="F70" s="79">
        <v>5745</v>
      </c>
      <c r="G70" s="79">
        <v>1293</v>
      </c>
      <c r="H70" s="79">
        <v>3412</v>
      </c>
      <c r="I70" s="79">
        <v>976</v>
      </c>
      <c r="J70" s="79">
        <v>1985</v>
      </c>
      <c r="K70" s="79">
        <v>3804</v>
      </c>
      <c r="L70" s="79">
        <v>2993</v>
      </c>
      <c r="M70" s="79">
        <v>1044</v>
      </c>
      <c r="N70" s="79">
        <v>3494</v>
      </c>
      <c r="O70" s="79">
        <v>600</v>
      </c>
      <c r="P70" s="79">
        <v>2916</v>
      </c>
      <c r="Q70" s="79">
        <v>17235</v>
      </c>
      <c r="R70" s="79">
        <v>4965</v>
      </c>
      <c r="S70" s="79">
        <v>1348</v>
      </c>
      <c r="T70" s="79">
        <v>2339</v>
      </c>
      <c r="U70" s="79">
        <v>1283</v>
      </c>
      <c r="V70" s="79">
        <v>12712</v>
      </c>
      <c r="W70" s="79">
        <v>1273</v>
      </c>
      <c r="X70" s="79">
        <v>20653</v>
      </c>
      <c r="Y70" s="79">
        <v>415</v>
      </c>
      <c r="Z70" s="79">
        <v>1561</v>
      </c>
      <c r="AA70" s="79">
        <v>18874</v>
      </c>
      <c r="AB70" s="79">
        <v>9843</v>
      </c>
      <c r="AC70" s="79">
        <v>8068</v>
      </c>
      <c r="AD70" s="79">
        <v>618</v>
      </c>
      <c r="AE70" s="79">
        <v>317</v>
      </c>
      <c r="AF70" s="80" t="s">
        <v>496</v>
      </c>
      <c r="AG70" s="79">
        <v>1730</v>
      </c>
      <c r="AH70" s="79">
        <v>1730</v>
      </c>
      <c r="AI70" s="79">
        <v>1114</v>
      </c>
      <c r="AJ70" s="79">
        <v>1054</v>
      </c>
      <c r="AK70" s="79">
        <v>61</v>
      </c>
      <c r="AL70" s="79">
        <v>9982</v>
      </c>
      <c r="AM70" s="79">
        <v>9981</v>
      </c>
      <c r="AN70" s="79">
        <v>7774</v>
      </c>
      <c r="AO70" s="79">
        <v>1399</v>
      </c>
      <c r="AP70" s="79">
        <v>1625</v>
      </c>
      <c r="AQ70" s="79">
        <v>3611</v>
      </c>
      <c r="AR70" s="79">
        <v>1017</v>
      </c>
      <c r="AS70" s="79">
        <v>693</v>
      </c>
      <c r="AT70" s="79">
        <v>3797</v>
      </c>
      <c r="AU70" s="79">
        <v>3797</v>
      </c>
    </row>
    <row r="71" spans="1:47" x14ac:dyDescent="0.35">
      <c r="A71" s="78" t="s">
        <v>527</v>
      </c>
      <c r="B71" s="79">
        <v>90881</v>
      </c>
      <c r="C71" s="79">
        <v>30979</v>
      </c>
      <c r="D71" s="79">
        <v>27447</v>
      </c>
      <c r="E71" s="79">
        <v>5223</v>
      </c>
      <c r="F71" s="79">
        <v>6081</v>
      </c>
      <c r="G71" s="79">
        <v>1437</v>
      </c>
      <c r="H71" s="79">
        <v>3474</v>
      </c>
      <c r="I71" s="79">
        <v>972</v>
      </c>
      <c r="J71" s="79">
        <v>2088</v>
      </c>
      <c r="K71" s="79">
        <v>4001</v>
      </c>
      <c r="L71" s="79">
        <v>3006</v>
      </c>
      <c r="M71" s="79">
        <v>1181</v>
      </c>
      <c r="N71" s="79">
        <v>3559</v>
      </c>
      <c r="O71" s="79">
        <v>638</v>
      </c>
      <c r="P71" s="79">
        <v>2944</v>
      </c>
      <c r="Q71" s="79">
        <v>16858</v>
      </c>
      <c r="R71" s="79">
        <v>4962</v>
      </c>
      <c r="S71" s="79">
        <v>1365</v>
      </c>
      <c r="T71" s="79">
        <v>2379</v>
      </c>
      <c r="U71" s="79">
        <v>1233</v>
      </c>
      <c r="V71" s="79">
        <v>12296</v>
      </c>
      <c r="W71" s="79">
        <v>1215</v>
      </c>
      <c r="X71" s="79">
        <v>21881</v>
      </c>
      <c r="Y71" s="79">
        <v>482</v>
      </c>
      <c r="Z71" s="79">
        <v>1533</v>
      </c>
      <c r="AA71" s="79">
        <v>20168</v>
      </c>
      <c r="AB71" s="79">
        <v>10294</v>
      </c>
      <c r="AC71" s="79">
        <v>9011</v>
      </c>
      <c r="AD71" s="79">
        <v>585</v>
      </c>
      <c r="AE71" s="79">
        <v>314</v>
      </c>
      <c r="AF71" s="80" t="s">
        <v>496</v>
      </c>
      <c r="AG71" s="79">
        <v>1806</v>
      </c>
      <c r="AH71" s="79">
        <v>1805</v>
      </c>
      <c r="AI71" s="79">
        <v>1136</v>
      </c>
      <c r="AJ71" s="79">
        <v>1067</v>
      </c>
      <c r="AK71" s="79">
        <v>71</v>
      </c>
      <c r="AL71" s="79">
        <v>9536</v>
      </c>
      <c r="AM71" s="79">
        <v>9536</v>
      </c>
      <c r="AN71" s="79">
        <v>7960</v>
      </c>
      <c r="AO71" s="79">
        <v>1362</v>
      </c>
      <c r="AP71" s="79">
        <v>1649</v>
      </c>
      <c r="AQ71" s="79">
        <v>3569</v>
      </c>
      <c r="AR71" s="79">
        <v>1144</v>
      </c>
      <c r="AS71" s="79">
        <v>774</v>
      </c>
      <c r="AT71" s="79">
        <v>3793</v>
      </c>
      <c r="AU71" s="79">
        <v>3793</v>
      </c>
    </row>
    <row r="72" spans="1:47" x14ac:dyDescent="0.35">
      <c r="A72" s="78" t="s">
        <v>528</v>
      </c>
      <c r="B72" s="79">
        <v>91201</v>
      </c>
      <c r="C72" s="79">
        <v>30257</v>
      </c>
      <c r="D72" s="79">
        <v>26774</v>
      </c>
      <c r="E72" s="79">
        <v>5053</v>
      </c>
      <c r="F72" s="79">
        <v>5719</v>
      </c>
      <c r="G72" s="79">
        <v>1364</v>
      </c>
      <c r="H72" s="79">
        <v>3426</v>
      </c>
      <c r="I72" s="79">
        <v>1066</v>
      </c>
      <c r="J72" s="79">
        <v>2122</v>
      </c>
      <c r="K72" s="79">
        <v>3914</v>
      </c>
      <c r="L72" s="79">
        <v>2988</v>
      </c>
      <c r="M72" s="79">
        <v>1165</v>
      </c>
      <c r="N72" s="79">
        <v>3510</v>
      </c>
      <c r="O72" s="79">
        <v>593</v>
      </c>
      <c r="P72" s="79">
        <v>2940</v>
      </c>
      <c r="Q72" s="79">
        <v>16642</v>
      </c>
      <c r="R72" s="79">
        <v>4943</v>
      </c>
      <c r="S72" s="79">
        <v>1335</v>
      </c>
      <c r="T72" s="79">
        <v>2359</v>
      </c>
      <c r="U72" s="79">
        <v>1256</v>
      </c>
      <c r="V72" s="79">
        <v>12053</v>
      </c>
      <c r="W72" s="79">
        <v>1195</v>
      </c>
      <c r="X72" s="79">
        <v>22607</v>
      </c>
      <c r="Y72" s="79">
        <v>513</v>
      </c>
      <c r="Z72" s="79">
        <v>1508</v>
      </c>
      <c r="AA72" s="79">
        <v>20971</v>
      </c>
      <c r="AB72" s="79">
        <v>10696</v>
      </c>
      <c r="AC72" s="79">
        <v>9543</v>
      </c>
      <c r="AD72" s="79">
        <v>552</v>
      </c>
      <c r="AE72" s="79">
        <v>275</v>
      </c>
      <c r="AF72" s="80" t="s">
        <v>496</v>
      </c>
      <c r="AG72" s="79">
        <v>1840</v>
      </c>
      <c r="AH72" s="79">
        <v>1840</v>
      </c>
      <c r="AI72" s="79">
        <v>1185</v>
      </c>
      <c r="AJ72" s="79">
        <v>1116</v>
      </c>
      <c r="AK72" s="79">
        <v>70</v>
      </c>
      <c r="AL72" s="79">
        <v>9991</v>
      </c>
      <c r="AM72" s="79">
        <v>9991</v>
      </c>
      <c r="AN72" s="79">
        <v>8045</v>
      </c>
      <c r="AO72" s="79">
        <v>1400</v>
      </c>
      <c r="AP72" s="79">
        <v>1633</v>
      </c>
      <c r="AQ72" s="79">
        <v>3487</v>
      </c>
      <c r="AR72" s="79">
        <v>1177</v>
      </c>
      <c r="AS72" s="79">
        <v>834</v>
      </c>
      <c r="AT72" s="79">
        <v>3967</v>
      </c>
      <c r="AU72" s="79">
        <v>3968</v>
      </c>
    </row>
    <row r="73" spans="1:47" x14ac:dyDescent="0.35">
      <c r="A73" s="78" t="s">
        <v>529</v>
      </c>
      <c r="B73" s="79">
        <v>91118</v>
      </c>
      <c r="C73" s="79">
        <v>30577</v>
      </c>
      <c r="D73" s="79">
        <v>27178</v>
      </c>
      <c r="E73" s="79">
        <v>5101</v>
      </c>
      <c r="F73" s="79">
        <v>5838</v>
      </c>
      <c r="G73" s="79">
        <v>1423</v>
      </c>
      <c r="H73" s="79">
        <v>3469</v>
      </c>
      <c r="I73" s="79">
        <v>1052</v>
      </c>
      <c r="J73" s="79">
        <v>2265</v>
      </c>
      <c r="K73" s="79">
        <v>3872</v>
      </c>
      <c r="L73" s="79">
        <v>3035</v>
      </c>
      <c r="M73" s="79">
        <v>1164</v>
      </c>
      <c r="N73" s="79">
        <v>3428</v>
      </c>
      <c r="O73" s="79">
        <v>620</v>
      </c>
      <c r="P73" s="79">
        <v>2828</v>
      </c>
      <c r="Q73" s="79">
        <v>16349</v>
      </c>
      <c r="R73" s="79">
        <v>4776</v>
      </c>
      <c r="S73" s="79">
        <v>1300</v>
      </c>
      <c r="T73" s="79">
        <v>2293</v>
      </c>
      <c r="U73" s="79">
        <v>1195</v>
      </c>
      <c r="V73" s="79">
        <v>11899</v>
      </c>
      <c r="W73" s="79">
        <v>1206</v>
      </c>
      <c r="X73" s="79">
        <v>22251</v>
      </c>
      <c r="Y73" s="79">
        <v>523</v>
      </c>
      <c r="Z73" s="79">
        <v>1503</v>
      </c>
      <c r="AA73" s="79">
        <v>20546</v>
      </c>
      <c r="AB73" s="79">
        <v>10392</v>
      </c>
      <c r="AC73" s="79">
        <v>9368</v>
      </c>
      <c r="AD73" s="79">
        <v>601</v>
      </c>
      <c r="AE73" s="79">
        <v>250</v>
      </c>
      <c r="AF73" s="80" t="s">
        <v>496</v>
      </c>
      <c r="AG73" s="79">
        <v>1862</v>
      </c>
      <c r="AH73" s="79">
        <v>1861</v>
      </c>
      <c r="AI73" s="79">
        <v>1172</v>
      </c>
      <c r="AJ73" s="79">
        <v>1108</v>
      </c>
      <c r="AK73" s="79">
        <v>64</v>
      </c>
      <c r="AL73" s="79">
        <v>10073</v>
      </c>
      <c r="AM73" s="79">
        <v>10072</v>
      </c>
      <c r="AN73" s="79">
        <v>7898</v>
      </c>
      <c r="AO73" s="79">
        <v>1359</v>
      </c>
      <c r="AP73" s="79">
        <v>1667</v>
      </c>
      <c r="AQ73" s="79">
        <v>3441</v>
      </c>
      <c r="AR73" s="79">
        <v>1022</v>
      </c>
      <c r="AS73" s="79">
        <v>902</v>
      </c>
      <c r="AT73" s="79">
        <v>4032</v>
      </c>
      <c r="AU73" s="79">
        <v>4033</v>
      </c>
    </row>
    <row r="74" spans="1:47" x14ac:dyDescent="0.35">
      <c r="A74" s="78" t="s">
        <v>530</v>
      </c>
      <c r="B74" s="79">
        <v>92524</v>
      </c>
      <c r="C74" s="79">
        <v>31400</v>
      </c>
      <c r="D74" s="79">
        <v>27646</v>
      </c>
      <c r="E74" s="79">
        <v>5153</v>
      </c>
      <c r="F74" s="79">
        <v>5948</v>
      </c>
      <c r="G74" s="79">
        <v>1487</v>
      </c>
      <c r="H74" s="79">
        <v>3392</v>
      </c>
      <c r="I74" s="79">
        <v>1041</v>
      </c>
      <c r="J74" s="79">
        <v>2324</v>
      </c>
      <c r="K74" s="79">
        <v>3994</v>
      </c>
      <c r="L74" s="79">
        <v>3072</v>
      </c>
      <c r="M74" s="79">
        <v>1277</v>
      </c>
      <c r="N74" s="79">
        <v>3782</v>
      </c>
      <c r="O74" s="79">
        <v>639</v>
      </c>
      <c r="P74" s="79">
        <v>3167</v>
      </c>
      <c r="Q74" s="79">
        <v>16586</v>
      </c>
      <c r="R74" s="79">
        <v>4962</v>
      </c>
      <c r="S74" s="79">
        <v>1360</v>
      </c>
      <c r="T74" s="79">
        <v>2379</v>
      </c>
      <c r="U74" s="79">
        <v>1236</v>
      </c>
      <c r="V74" s="79">
        <v>11743</v>
      </c>
      <c r="W74" s="79">
        <v>1247</v>
      </c>
      <c r="X74" s="79">
        <v>22369</v>
      </c>
      <c r="Y74" s="79">
        <v>509</v>
      </c>
      <c r="Z74" s="79">
        <v>1506</v>
      </c>
      <c r="AA74" s="79">
        <v>20719</v>
      </c>
      <c r="AB74" s="79">
        <v>10827</v>
      </c>
      <c r="AC74" s="79">
        <v>8995</v>
      </c>
      <c r="AD74" s="79">
        <v>633</v>
      </c>
      <c r="AE74" s="79">
        <v>280</v>
      </c>
      <c r="AF74" s="80" t="s">
        <v>496</v>
      </c>
      <c r="AG74" s="79">
        <v>1891</v>
      </c>
      <c r="AH74" s="79">
        <v>1891</v>
      </c>
      <c r="AI74" s="79">
        <v>1128</v>
      </c>
      <c r="AJ74" s="79">
        <v>1062</v>
      </c>
      <c r="AK74" s="79">
        <v>67</v>
      </c>
      <c r="AL74" s="79">
        <v>10269</v>
      </c>
      <c r="AM74" s="79">
        <v>10269</v>
      </c>
      <c r="AN74" s="79">
        <v>8023</v>
      </c>
      <c r="AO74" s="79">
        <v>1393</v>
      </c>
      <c r="AP74" s="79">
        <v>1670</v>
      </c>
      <c r="AQ74" s="79">
        <v>3454</v>
      </c>
      <c r="AR74" s="79">
        <v>1163</v>
      </c>
      <c r="AS74" s="79">
        <v>823</v>
      </c>
      <c r="AT74" s="79">
        <v>3975</v>
      </c>
      <c r="AU74" s="79">
        <v>3975</v>
      </c>
    </row>
    <row r="75" spans="1:47" x14ac:dyDescent="0.35">
      <c r="A75" s="78" t="s">
        <v>531</v>
      </c>
      <c r="B75" s="79">
        <v>91644</v>
      </c>
      <c r="C75" s="79">
        <v>31032</v>
      </c>
      <c r="D75" s="79">
        <v>27387</v>
      </c>
      <c r="E75" s="79">
        <v>5058</v>
      </c>
      <c r="F75" s="79">
        <v>5888</v>
      </c>
      <c r="G75" s="79">
        <v>1532</v>
      </c>
      <c r="H75" s="79">
        <v>3488</v>
      </c>
      <c r="I75" s="79">
        <v>1008</v>
      </c>
      <c r="J75" s="79">
        <v>2281</v>
      </c>
      <c r="K75" s="79">
        <v>3936</v>
      </c>
      <c r="L75" s="79">
        <v>3031</v>
      </c>
      <c r="M75" s="79">
        <v>1208</v>
      </c>
      <c r="N75" s="79">
        <v>3672</v>
      </c>
      <c r="O75" s="79">
        <v>645</v>
      </c>
      <c r="P75" s="79">
        <v>3051</v>
      </c>
      <c r="Q75" s="79">
        <v>16604</v>
      </c>
      <c r="R75" s="79">
        <v>4949</v>
      </c>
      <c r="S75" s="79">
        <v>1333</v>
      </c>
      <c r="T75" s="79">
        <v>2379</v>
      </c>
      <c r="U75" s="79">
        <v>1248</v>
      </c>
      <c r="V75" s="79">
        <v>11611</v>
      </c>
      <c r="W75" s="79">
        <v>1312</v>
      </c>
      <c r="X75" s="79">
        <v>21100</v>
      </c>
      <c r="Y75" s="79">
        <v>473</v>
      </c>
      <c r="Z75" s="79">
        <v>1511</v>
      </c>
      <c r="AA75" s="79">
        <v>19347</v>
      </c>
      <c r="AB75" s="79">
        <v>9900</v>
      </c>
      <c r="AC75" s="79">
        <v>8811</v>
      </c>
      <c r="AD75" s="79">
        <v>523</v>
      </c>
      <c r="AE75" s="79">
        <v>207</v>
      </c>
      <c r="AF75" s="80" t="s">
        <v>496</v>
      </c>
      <c r="AG75" s="79">
        <v>1923</v>
      </c>
      <c r="AH75" s="79">
        <v>1923</v>
      </c>
      <c r="AI75" s="79">
        <v>1065</v>
      </c>
      <c r="AJ75" s="79">
        <v>991</v>
      </c>
      <c r="AK75" s="79">
        <v>76</v>
      </c>
      <c r="AL75" s="79">
        <v>10499</v>
      </c>
      <c r="AM75" s="79">
        <v>10500</v>
      </c>
      <c r="AN75" s="79">
        <v>8084</v>
      </c>
      <c r="AO75" s="79">
        <v>1366</v>
      </c>
      <c r="AP75" s="79">
        <v>1699</v>
      </c>
      <c r="AQ75" s="79">
        <v>3469</v>
      </c>
      <c r="AR75" s="79">
        <v>1179</v>
      </c>
      <c r="AS75" s="79">
        <v>860</v>
      </c>
      <c r="AT75" s="79">
        <v>3902</v>
      </c>
      <c r="AU75" s="79">
        <v>3902</v>
      </c>
    </row>
    <row r="76" spans="1:47" x14ac:dyDescent="0.35">
      <c r="A76" s="78" t="s">
        <v>532</v>
      </c>
      <c r="B76" s="79">
        <v>91855</v>
      </c>
      <c r="C76" s="79">
        <v>31273</v>
      </c>
      <c r="D76" s="79">
        <v>27556</v>
      </c>
      <c r="E76" s="79">
        <v>5123</v>
      </c>
      <c r="F76" s="79">
        <v>6135</v>
      </c>
      <c r="G76" s="79">
        <v>1435</v>
      </c>
      <c r="H76" s="79">
        <v>3467</v>
      </c>
      <c r="I76" s="79">
        <v>978</v>
      </c>
      <c r="J76" s="79">
        <v>2312</v>
      </c>
      <c r="K76" s="79">
        <v>3971</v>
      </c>
      <c r="L76" s="79">
        <v>2977</v>
      </c>
      <c r="M76" s="79">
        <v>1165</v>
      </c>
      <c r="N76" s="79">
        <v>3745</v>
      </c>
      <c r="O76" s="79">
        <v>601</v>
      </c>
      <c r="P76" s="79">
        <v>3167</v>
      </c>
      <c r="Q76" s="79">
        <v>16708</v>
      </c>
      <c r="R76" s="79">
        <v>5027</v>
      </c>
      <c r="S76" s="79">
        <v>1352</v>
      </c>
      <c r="T76" s="79">
        <v>2444</v>
      </c>
      <c r="U76" s="79">
        <v>1243</v>
      </c>
      <c r="V76" s="79">
        <v>11426</v>
      </c>
      <c r="W76" s="79">
        <v>1373</v>
      </c>
      <c r="X76" s="79">
        <v>21522</v>
      </c>
      <c r="Y76" s="79">
        <v>465</v>
      </c>
      <c r="Z76" s="79">
        <v>1512</v>
      </c>
      <c r="AA76" s="79">
        <v>19852</v>
      </c>
      <c r="AB76" s="79">
        <v>9915</v>
      </c>
      <c r="AC76" s="79">
        <v>9404</v>
      </c>
      <c r="AD76" s="79">
        <v>493</v>
      </c>
      <c r="AE76" s="79">
        <v>188</v>
      </c>
      <c r="AF76" s="80" t="s">
        <v>496</v>
      </c>
      <c r="AG76" s="79">
        <v>1827</v>
      </c>
      <c r="AH76" s="79">
        <v>1827</v>
      </c>
      <c r="AI76" s="79">
        <v>973</v>
      </c>
      <c r="AJ76" s="79">
        <v>910</v>
      </c>
      <c r="AK76" s="79">
        <v>65</v>
      </c>
      <c r="AL76" s="79">
        <v>10791</v>
      </c>
      <c r="AM76" s="79">
        <v>10791</v>
      </c>
      <c r="AN76" s="79">
        <v>7825</v>
      </c>
      <c r="AO76" s="79">
        <v>1318</v>
      </c>
      <c r="AP76" s="79">
        <v>1652</v>
      </c>
      <c r="AQ76" s="79">
        <v>3437</v>
      </c>
      <c r="AR76" s="79">
        <v>1113</v>
      </c>
      <c r="AS76" s="79">
        <v>812</v>
      </c>
      <c r="AT76" s="79">
        <v>3839</v>
      </c>
      <c r="AU76" s="79">
        <v>3839</v>
      </c>
    </row>
    <row r="77" spans="1:47" x14ac:dyDescent="0.35">
      <c r="A77" s="78" t="s">
        <v>533</v>
      </c>
      <c r="B77" s="79">
        <v>90551</v>
      </c>
      <c r="C77" s="79">
        <v>30972</v>
      </c>
      <c r="D77" s="79">
        <v>27344</v>
      </c>
      <c r="E77" s="79">
        <v>4996</v>
      </c>
      <c r="F77" s="79">
        <v>5851</v>
      </c>
      <c r="G77" s="79">
        <v>1476</v>
      </c>
      <c r="H77" s="79">
        <v>3499</v>
      </c>
      <c r="I77" s="79">
        <v>983</v>
      </c>
      <c r="J77" s="79">
        <v>2381</v>
      </c>
      <c r="K77" s="79">
        <v>4046</v>
      </c>
      <c r="L77" s="79">
        <v>2964</v>
      </c>
      <c r="M77" s="79">
        <v>1167</v>
      </c>
      <c r="N77" s="79">
        <v>3657</v>
      </c>
      <c r="O77" s="79">
        <v>585</v>
      </c>
      <c r="P77" s="79">
        <v>3095</v>
      </c>
      <c r="Q77" s="79">
        <v>17022</v>
      </c>
      <c r="R77" s="79">
        <v>5226</v>
      </c>
      <c r="S77" s="79">
        <v>1399</v>
      </c>
      <c r="T77" s="79">
        <v>2496</v>
      </c>
      <c r="U77" s="79">
        <v>1339</v>
      </c>
      <c r="V77" s="79">
        <v>11376</v>
      </c>
      <c r="W77" s="79">
        <v>1418</v>
      </c>
      <c r="X77" s="79">
        <v>20711</v>
      </c>
      <c r="Y77" s="79">
        <v>474</v>
      </c>
      <c r="Z77" s="79">
        <v>1515</v>
      </c>
      <c r="AA77" s="79">
        <v>18893</v>
      </c>
      <c r="AB77" s="79">
        <v>10344</v>
      </c>
      <c r="AC77" s="79">
        <v>7955</v>
      </c>
      <c r="AD77" s="79">
        <v>484</v>
      </c>
      <c r="AE77" s="79">
        <v>193</v>
      </c>
      <c r="AF77" s="80" t="s">
        <v>496</v>
      </c>
      <c r="AG77" s="79">
        <v>1806</v>
      </c>
      <c r="AH77" s="79">
        <v>1804</v>
      </c>
      <c r="AI77" s="79">
        <v>906</v>
      </c>
      <c r="AJ77" s="79">
        <v>843</v>
      </c>
      <c r="AK77" s="79">
        <v>64</v>
      </c>
      <c r="AL77" s="79">
        <v>10087</v>
      </c>
      <c r="AM77" s="79">
        <v>10086</v>
      </c>
      <c r="AN77" s="79">
        <v>7751</v>
      </c>
      <c r="AO77" s="79">
        <v>1274</v>
      </c>
      <c r="AP77" s="79">
        <v>1692</v>
      </c>
      <c r="AQ77" s="79">
        <v>3336</v>
      </c>
      <c r="AR77" s="79">
        <v>1117</v>
      </c>
      <c r="AS77" s="79">
        <v>820</v>
      </c>
      <c r="AT77" s="79">
        <v>3905</v>
      </c>
      <c r="AU77" s="79">
        <v>3906</v>
      </c>
    </row>
    <row r="78" spans="1:47" x14ac:dyDescent="0.35">
      <c r="A78" s="78" t="s">
        <v>534</v>
      </c>
      <c r="B78" s="79">
        <v>92079</v>
      </c>
      <c r="C78" s="79">
        <v>31536</v>
      </c>
      <c r="D78" s="79">
        <v>27837</v>
      </c>
      <c r="E78" s="79">
        <v>5147</v>
      </c>
      <c r="F78" s="79">
        <v>5818</v>
      </c>
      <c r="G78" s="79">
        <v>1589</v>
      </c>
      <c r="H78" s="79">
        <v>3596</v>
      </c>
      <c r="I78" s="79">
        <v>995</v>
      </c>
      <c r="J78" s="79">
        <v>2429</v>
      </c>
      <c r="K78" s="79">
        <v>4030</v>
      </c>
      <c r="L78" s="79">
        <v>2950</v>
      </c>
      <c r="M78" s="79">
        <v>1318</v>
      </c>
      <c r="N78" s="79">
        <v>3728</v>
      </c>
      <c r="O78" s="79">
        <v>672</v>
      </c>
      <c r="P78" s="79">
        <v>3079</v>
      </c>
      <c r="Q78" s="79">
        <v>16883</v>
      </c>
      <c r="R78" s="79">
        <v>5123</v>
      </c>
      <c r="S78" s="79">
        <v>1396</v>
      </c>
      <c r="T78" s="79">
        <v>2472</v>
      </c>
      <c r="U78" s="79">
        <v>1269</v>
      </c>
      <c r="V78" s="79">
        <v>11353</v>
      </c>
      <c r="W78" s="79">
        <v>1423</v>
      </c>
      <c r="X78" s="79">
        <v>21009</v>
      </c>
      <c r="Y78" s="79">
        <v>459</v>
      </c>
      <c r="Z78" s="79">
        <v>1504</v>
      </c>
      <c r="AA78" s="79">
        <v>19295</v>
      </c>
      <c r="AB78" s="79">
        <v>10820</v>
      </c>
      <c r="AC78" s="79">
        <v>8117</v>
      </c>
      <c r="AD78" s="79">
        <v>372</v>
      </c>
      <c r="AE78" s="79">
        <v>165</v>
      </c>
      <c r="AF78" s="80" t="s">
        <v>496</v>
      </c>
      <c r="AG78" s="79">
        <v>1877</v>
      </c>
      <c r="AH78" s="79">
        <v>1876</v>
      </c>
      <c r="AI78" s="79">
        <v>847</v>
      </c>
      <c r="AJ78" s="79">
        <v>780</v>
      </c>
      <c r="AK78" s="79">
        <v>70</v>
      </c>
      <c r="AL78" s="79">
        <v>10408</v>
      </c>
      <c r="AM78" s="79">
        <v>10407</v>
      </c>
      <c r="AN78" s="79">
        <v>8089</v>
      </c>
      <c r="AO78" s="79">
        <v>1407</v>
      </c>
      <c r="AP78" s="79">
        <v>1731</v>
      </c>
      <c r="AQ78" s="79">
        <v>3231</v>
      </c>
      <c r="AR78" s="79">
        <v>1227</v>
      </c>
      <c r="AS78" s="79">
        <v>890</v>
      </c>
      <c r="AT78" s="79">
        <v>4036</v>
      </c>
      <c r="AU78" s="79">
        <v>4037</v>
      </c>
    </row>
    <row r="79" spans="1:47" x14ac:dyDescent="0.35">
      <c r="A79" s="78" t="s">
        <v>535</v>
      </c>
      <c r="B79" s="79">
        <v>90943</v>
      </c>
      <c r="C79" s="79">
        <v>31684</v>
      </c>
      <c r="D79" s="79">
        <v>28001</v>
      </c>
      <c r="E79" s="79">
        <v>5190</v>
      </c>
      <c r="F79" s="79">
        <v>5863</v>
      </c>
      <c r="G79" s="79">
        <v>1511</v>
      </c>
      <c r="H79" s="79">
        <v>3652</v>
      </c>
      <c r="I79" s="79">
        <v>1014</v>
      </c>
      <c r="J79" s="79">
        <v>2509</v>
      </c>
      <c r="K79" s="79">
        <v>4137</v>
      </c>
      <c r="L79" s="79">
        <v>2884</v>
      </c>
      <c r="M79" s="79">
        <v>1260</v>
      </c>
      <c r="N79" s="79">
        <v>3710</v>
      </c>
      <c r="O79" s="79">
        <v>592</v>
      </c>
      <c r="P79" s="79">
        <v>3141</v>
      </c>
      <c r="Q79" s="79">
        <v>16346</v>
      </c>
      <c r="R79" s="79">
        <v>4920</v>
      </c>
      <c r="S79" s="79">
        <v>1321</v>
      </c>
      <c r="T79" s="79">
        <v>2324</v>
      </c>
      <c r="U79" s="79">
        <v>1282</v>
      </c>
      <c r="V79" s="79">
        <v>10974</v>
      </c>
      <c r="W79" s="79">
        <v>1410</v>
      </c>
      <c r="X79" s="79">
        <v>21317</v>
      </c>
      <c r="Y79" s="79">
        <v>417</v>
      </c>
      <c r="Z79" s="79">
        <v>1506</v>
      </c>
      <c r="AA79" s="79">
        <v>19727</v>
      </c>
      <c r="AB79" s="79">
        <v>11088</v>
      </c>
      <c r="AC79" s="79">
        <v>8012</v>
      </c>
      <c r="AD79" s="79">
        <v>515</v>
      </c>
      <c r="AE79" s="79">
        <v>187</v>
      </c>
      <c r="AF79" s="80" t="s">
        <v>496</v>
      </c>
      <c r="AG79" s="79">
        <v>1858</v>
      </c>
      <c r="AH79" s="79">
        <v>1858</v>
      </c>
      <c r="AI79" s="79">
        <v>712</v>
      </c>
      <c r="AJ79" s="79">
        <v>656</v>
      </c>
      <c r="AK79" s="79">
        <v>58</v>
      </c>
      <c r="AL79" s="79">
        <v>10091</v>
      </c>
      <c r="AM79" s="79">
        <v>10091</v>
      </c>
      <c r="AN79" s="79">
        <v>7794</v>
      </c>
      <c r="AO79" s="79">
        <v>1229</v>
      </c>
      <c r="AP79" s="79">
        <v>1795</v>
      </c>
      <c r="AQ79" s="79">
        <v>3146</v>
      </c>
      <c r="AR79" s="79">
        <v>1154</v>
      </c>
      <c r="AS79" s="79">
        <v>900</v>
      </c>
      <c r="AT79" s="79">
        <v>4045</v>
      </c>
      <c r="AU79" s="79">
        <v>4045</v>
      </c>
    </row>
    <row r="80" spans="1:47" x14ac:dyDescent="0.35">
      <c r="A80" s="78" t="s">
        <v>536</v>
      </c>
      <c r="B80" s="79">
        <v>90239</v>
      </c>
      <c r="C80" s="79">
        <v>31002</v>
      </c>
      <c r="D80" s="79">
        <v>27470</v>
      </c>
      <c r="E80" s="79">
        <v>5120</v>
      </c>
      <c r="F80" s="79">
        <v>5736</v>
      </c>
      <c r="G80" s="79">
        <v>1560</v>
      </c>
      <c r="H80" s="79">
        <v>3570</v>
      </c>
      <c r="I80" s="79">
        <v>937</v>
      </c>
      <c r="J80" s="79">
        <v>2440</v>
      </c>
      <c r="K80" s="79">
        <v>3998</v>
      </c>
      <c r="L80" s="79">
        <v>2849</v>
      </c>
      <c r="M80" s="79">
        <v>1279</v>
      </c>
      <c r="N80" s="79">
        <v>3559</v>
      </c>
      <c r="O80" s="79">
        <v>606</v>
      </c>
      <c r="P80" s="79">
        <v>2975</v>
      </c>
      <c r="Q80" s="79">
        <v>16413</v>
      </c>
      <c r="R80" s="79">
        <v>5063</v>
      </c>
      <c r="S80" s="79">
        <v>1357</v>
      </c>
      <c r="T80" s="79">
        <v>2356</v>
      </c>
      <c r="U80" s="79">
        <v>1354</v>
      </c>
      <c r="V80" s="79">
        <v>10914</v>
      </c>
      <c r="W80" s="79">
        <v>1374</v>
      </c>
      <c r="X80" s="79">
        <v>21402</v>
      </c>
      <c r="Y80" s="79">
        <v>421</v>
      </c>
      <c r="Z80" s="79">
        <v>1480</v>
      </c>
      <c r="AA80" s="79">
        <v>19873</v>
      </c>
      <c r="AB80" s="79">
        <v>10934</v>
      </c>
      <c r="AC80" s="79">
        <v>8143</v>
      </c>
      <c r="AD80" s="79">
        <v>621</v>
      </c>
      <c r="AE80" s="79">
        <v>178</v>
      </c>
      <c r="AF80" s="80" t="s">
        <v>496</v>
      </c>
      <c r="AG80" s="79">
        <v>1852</v>
      </c>
      <c r="AH80" s="79">
        <v>1851</v>
      </c>
      <c r="AI80" s="79">
        <v>769</v>
      </c>
      <c r="AJ80" s="79">
        <v>702</v>
      </c>
      <c r="AK80" s="79">
        <v>69</v>
      </c>
      <c r="AL80" s="79">
        <v>9633</v>
      </c>
      <c r="AM80" s="79">
        <v>9633</v>
      </c>
      <c r="AN80" s="79">
        <v>8010</v>
      </c>
      <c r="AO80" s="79">
        <v>1350</v>
      </c>
      <c r="AP80" s="79">
        <v>1783</v>
      </c>
      <c r="AQ80" s="79">
        <v>3122</v>
      </c>
      <c r="AR80" s="79">
        <v>1222</v>
      </c>
      <c r="AS80" s="79">
        <v>914</v>
      </c>
      <c r="AT80" s="79">
        <v>4119</v>
      </c>
      <c r="AU80" s="79">
        <v>4120</v>
      </c>
    </row>
    <row r="81" spans="1:47" x14ac:dyDescent="0.35">
      <c r="A81" s="78" t="s">
        <v>537</v>
      </c>
      <c r="B81" s="79">
        <v>91502</v>
      </c>
      <c r="C81" s="79">
        <v>31256</v>
      </c>
      <c r="D81" s="79">
        <v>27490</v>
      </c>
      <c r="E81" s="79">
        <v>5150</v>
      </c>
      <c r="F81" s="79">
        <v>5692</v>
      </c>
      <c r="G81" s="79">
        <v>1563</v>
      </c>
      <c r="H81" s="79">
        <v>3603</v>
      </c>
      <c r="I81" s="79">
        <v>913</v>
      </c>
      <c r="J81" s="79">
        <v>2443</v>
      </c>
      <c r="K81" s="79">
        <v>3997</v>
      </c>
      <c r="L81" s="79">
        <v>2838</v>
      </c>
      <c r="M81" s="79">
        <v>1303</v>
      </c>
      <c r="N81" s="79">
        <v>3796</v>
      </c>
      <c r="O81" s="79">
        <v>635</v>
      </c>
      <c r="P81" s="79">
        <v>3185</v>
      </c>
      <c r="Q81" s="79">
        <v>16325</v>
      </c>
      <c r="R81" s="79">
        <v>5088</v>
      </c>
      <c r="S81" s="79">
        <v>1363</v>
      </c>
      <c r="T81" s="79">
        <v>2387</v>
      </c>
      <c r="U81" s="79">
        <v>1343</v>
      </c>
      <c r="V81" s="79">
        <v>10828</v>
      </c>
      <c r="W81" s="79">
        <v>1345</v>
      </c>
      <c r="X81" s="79">
        <v>21508</v>
      </c>
      <c r="Y81" s="79">
        <v>494</v>
      </c>
      <c r="Z81" s="79">
        <v>1469</v>
      </c>
      <c r="AA81" s="79">
        <v>19864</v>
      </c>
      <c r="AB81" s="79">
        <v>10724</v>
      </c>
      <c r="AC81" s="79">
        <v>8602</v>
      </c>
      <c r="AD81" s="79">
        <v>490</v>
      </c>
      <c r="AE81" s="79">
        <v>180</v>
      </c>
      <c r="AF81" s="80" t="s">
        <v>496</v>
      </c>
      <c r="AG81" s="79">
        <v>1913</v>
      </c>
      <c r="AH81" s="79">
        <v>1912</v>
      </c>
      <c r="AI81" s="79">
        <v>866</v>
      </c>
      <c r="AJ81" s="79">
        <v>806</v>
      </c>
      <c r="AK81" s="79">
        <v>61</v>
      </c>
      <c r="AL81" s="79">
        <v>10133</v>
      </c>
      <c r="AM81" s="79">
        <v>10132</v>
      </c>
      <c r="AN81" s="79">
        <v>8072</v>
      </c>
      <c r="AO81" s="79">
        <v>1428</v>
      </c>
      <c r="AP81" s="79">
        <v>1712</v>
      </c>
      <c r="AQ81" s="79">
        <v>3104</v>
      </c>
      <c r="AR81" s="79">
        <v>1272</v>
      </c>
      <c r="AS81" s="79">
        <v>907</v>
      </c>
      <c r="AT81" s="79">
        <v>4221</v>
      </c>
      <c r="AU81" s="79">
        <v>4221</v>
      </c>
    </row>
    <row r="82" spans="1:47" x14ac:dyDescent="0.35">
      <c r="A82" s="78" t="s">
        <v>538</v>
      </c>
      <c r="B82" s="79">
        <v>91040</v>
      </c>
      <c r="C82" s="79">
        <v>31331</v>
      </c>
      <c r="D82" s="79">
        <v>27698</v>
      </c>
      <c r="E82" s="79">
        <v>5139</v>
      </c>
      <c r="F82" s="79">
        <v>5678</v>
      </c>
      <c r="G82" s="79">
        <v>1504</v>
      </c>
      <c r="H82" s="79">
        <v>3639</v>
      </c>
      <c r="I82" s="79">
        <v>899</v>
      </c>
      <c r="J82" s="79">
        <v>2552</v>
      </c>
      <c r="K82" s="79">
        <v>4049</v>
      </c>
      <c r="L82" s="79">
        <v>2979</v>
      </c>
      <c r="M82" s="79">
        <v>1264</v>
      </c>
      <c r="N82" s="79">
        <v>3660</v>
      </c>
      <c r="O82" s="79">
        <v>582</v>
      </c>
      <c r="P82" s="79">
        <v>3102</v>
      </c>
      <c r="Q82" s="79">
        <v>16055</v>
      </c>
      <c r="R82" s="79">
        <v>5007</v>
      </c>
      <c r="S82" s="79">
        <v>1332</v>
      </c>
      <c r="T82" s="79">
        <v>2381</v>
      </c>
      <c r="U82" s="79">
        <v>1301</v>
      </c>
      <c r="V82" s="79">
        <v>10708</v>
      </c>
      <c r="W82" s="79">
        <v>1302</v>
      </c>
      <c r="X82" s="79">
        <v>19900</v>
      </c>
      <c r="Y82" s="79">
        <v>508</v>
      </c>
      <c r="Z82" s="79">
        <v>1455</v>
      </c>
      <c r="AA82" s="79">
        <v>18055</v>
      </c>
      <c r="AB82" s="79">
        <v>10181</v>
      </c>
      <c r="AC82" s="79">
        <v>7388</v>
      </c>
      <c r="AD82" s="79">
        <v>452</v>
      </c>
      <c r="AE82" s="79">
        <v>146</v>
      </c>
      <c r="AF82" s="80" t="s">
        <v>496</v>
      </c>
      <c r="AG82" s="79">
        <v>1958</v>
      </c>
      <c r="AH82" s="79">
        <v>1957</v>
      </c>
      <c r="AI82" s="79">
        <v>1118</v>
      </c>
      <c r="AJ82" s="79">
        <v>1051</v>
      </c>
      <c r="AK82" s="79">
        <v>70</v>
      </c>
      <c r="AL82" s="79">
        <v>10113</v>
      </c>
      <c r="AM82" s="79">
        <v>10113</v>
      </c>
      <c r="AN82" s="79">
        <v>8149</v>
      </c>
      <c r="AO82" s="79">
        <v>1429</v>
      </c>
      <c r="AP82" s="79">
        <v>1649</v>
      </c>
      <c r="AQ82" s="79">
        <v>3096</v>
      </c>
      <c r="AR82" s="79">
        <v>1298</v>
      </c>
      <c r="AS82" s="79">
        <v>1007</v>
      </c>
      <c r="AT82" s="79">
        <v>4263</v>
      </c>
      <c r="AU82" s="79">
        <v>4264</v>
      </c>
    </row>
    <row r="83" spans="1:47" x14ac:dyDescent="0.35">
      <c r="A83" s="78" t="s">
        <v>539</v>
      </c>
      <c r="B83" s="79">
        <v>91354</v>
      </c>
      <c r="C83" s="79">
        <v>31591</v>
      </c>
      <c r="D83" s="79">
        <v>28010</v>
      </c>
      <c r="E83" s="79">
        <v>5171</v>
      </c>
      <c r="F83" s="79">
        <v>5578</v>
      </c>
      <c r="G83" s="79">
        <v>1448</v>
      </c>
      <c r="H83" s="79">
        <v>3657</v>
      </c>
      <c r="I83" s="79">
        <v>857</v>
      </c>
      <c r="J83" s="79">
        <v>2564</v>
      </c>
      <c r="K83" s="79">
        <v>4285</v>
      </c>
      <c r="L83" s="79">
        <v>2989</v>
      </c>
      <c r="M83" s="79">
        <v>1453</v>
      </c>
      <c r="N83" s="79">
        <v>3609</v>
      </c>
      <c r="O83" s="79">
        <v>583</v>
      </c>
      <c r="P83" s="79">
        <v>3049</v>
      </c>
      <c r="Q83" s="79">
        <v>15986</v>
      </c>
      <c r="R83" s="79">
        <v>5196</v>
      </c>
      <c r="S83" s="79">
        <v>1371</v>
      </c>
      <c r="T83" s="79">
        <v>2483</v>
      </c>
      <c r="U83" s="79">
        <v>1347</v>
      </c>
      <c r="V83" s="79">
        <v>10429</v>
      </c>
      <c r="W83" s="79">
        <v>1261</v>
      </c>
      <c r="X83" s="79">
        <v>18996</v>
      </c>
      <c r="Y83" s="79">
        <v>537</v>
      </c>
      <c r="Z83" s="79">
        <v>1467</v>
      </c>
      <c r="AA83" s="79">
        <v>17008</v>
      </c>
      <c r="AB83" s="79">
        <v>9503</v>
      </c>
      <c r="AC83" s="79">
        <v>6953</v>
      </c>
      <c r="AD83" s="79">
        <v>467</v>
      </c>
      <c r="AE83" s="79">
        <v>154</v>
      </c>
      <c r="AF83" s="80" t="s">
        <v>496</v>
      </c>
      <c r="AG83" s="79">
        <v>1933</v>
      </c>
      <c r="AH83" s="79">
        <v>1933</v>
      </c>
      <c r="AI83" s="79">
        <v>1398</v>
      </c>
      <c r="AJ83" s="79">
        <v>1324</v>
      </c>
      <c r="AK83" s="79">
        <v>76</v>
      </c>
      <c r="AL83" s="79">
        <v>10500</v>
      </c>
      <c r="AM83" s="79">
        <v>10499</v>
      </c>
      <c r="AN83" s="79">
        <v>7991</v>
      </c>
      <c r="AO83" s="79">
        <v>1457</v>
      </c>
      <c r="AP83" s="79">
        <v>1596</v>
      </c>
      <c r="AQ83" s="79">
        <v>3070</v>
      </c>
      <c r="AR83" s="79">
        <v>1176</v>
      </c>
      <c r="AS83" s="79">
        <v>1018</v>
      </c>
      <c r="AT83" s="79">
        <v>4303</v>
      </c>
      <c r="AU83" s="79">
        <v>4304</v>
      </c>
    </row>
    <row r="84" spans="1:47" x14ac:dyDescent="0.35">
      <c r="A84" s="78" t="s">
        <v>540</v>
      </c>
      <c r="B84" s="79">
        <v>89874</v>
      </c>
      <c r="C84" s="79">
        <v>30439</v>
      </c>
      <c r="D84" s="79">
        <v>26842</v>
      </c>
      <c r="E84" s="79">
        <v>5001</v>
      </c>
      <c r="F84" s="79">
        <v>5604</v>
      </c>
      <c r="G84" s="79">
        <v>1572</v>
      </c>
      <c r="H84" s="79">
        <v>3523</v>
      </c>
      <c r="I84" s="79">
        <v>856</v>
      </c>
      <c r="J84" s="79">
        <v>2358</v>
      </c>
      <c r="K84" s="79">
        <v>3803</v>
      </c>
      <c r="L84" s="79">
        <v>2885</v>
      </c>
      <c r="M84" s="79">
        <v>1254</v>
      </c>
      <c r="N84" s="79">
        <v>3623</v>
      </c>
      <c r="O84" s="79">
        <v>641</v>
      </c>
      <c r="P84" s="79">
        <v>3004</v>
      </c>
      <c r="Q84" s="79">
        <v>15853</v>
      </c>
      <c r="R84" s="79">
        <v>5248</v>
      </c>
      <c r="S84" s="79">
        <v>1438</v>
      </c>
      <c r="T84" s="79">
        <v>2519</v>
      </c>
      <c r="U84" s="79">
        <v>1301</v>
      </c>
      <c r="V84" s="79">
        <v>10225</v>
      </c>
      <c r="W84" s="79">
        <v>1238</v>
      </c>
      <c r="X84" s="79">
        <v>19134</v>
      </c>
      <c r="Y84" s="79">
        <v>491</v>
      </c>
      <c r="Z84" s="79">
        <v>1490</v>
      </c>
      <c r="AA84" s="79">
        <v>17211</v>
      </c>
      <c r="AB84" s="79">
        <v>9221</v>
      </c>
      <c r="AC84" s="79">
        <v>7398</v>
      </c>
      <c r="AD84" s="79">
        <v>467</v>
      </c>
      <c r="AE84" s="79">
        <v>174</v>
      </c>
      <c r="AF84" s="80" t="s">
        <v>496</v>
      </c>
      <c r="AG84" s="79">
        <v>1839</v>
      </c>
      <c r="AH84" s="79">
        <v>1839</v>
      </c>
      <c r="AI84" s="79">
        <v>1625</v>
      </c>
      <c r="AJ84" s="79">
        <v>1563</v>
      </c>
      <c r="AK84" s="79">
        <v>64</v>
      </c>
      <c r="AL84" s="79">
        <v>9936</v>
      </c>
      <c r="AM84" s="79">
        <v>9935</v>
      </c>
      <c r="AN84" s="79">
        <v>8013</v>
      </c>
      <c r="AO84" s="79">
        <v>1419</v>
      </c>
      <c r="AP84" s="79">
        <v>1650</v>
      </c>
      <c r="AQ84" s="79">
        <v>3065</v>
      </c>
      <c r="AR84" s="79">
        <v>1317</v>
      </c>
      <c r="AS84" s="79">
        <v>901</v>
      </c>
      <c r="AT84" s="79">
        <v>4421</v>
      </c>
      <c r="AU84" s="79">
        <v>4421</v>
      </c>
    </row>
    <row r="85" spans="1:47" x14ac:dyDescent="0.35">
      <c r="A85" s="78" t="s">
        <v>541</v>
      </c>
      <c r="B85" s="79">
        <v>94431</v>
      </c>
      <c r="C85" s="79">
        <v>31694</v>
      </c>
      <c r="D85" s="79">
        <v>28083</v>
      </c>
      <c r="E85" s="79">
        <v>5291</v>
      </c>
      <c r="F85" s="79">
        <v>5757</v>
      </c>
      <c r="G85" s="79">
        <v>1467</v>
      </c>
      <c r="H85" s="79">
        <v>3564</v>
      </c>
      <c r="I85" s="79">
        <v>883</v>
      </c>
      <c r="J85" s="79">
        <v>2658</v>
      </c>
      <c r="K85" s="79">
        <v>4078</v>
      </c>
      <c r="L85" s="79">
        <v>3005</v>
      </c>
      <c r="M85" s="79">
        <v>1385</v>
      </c>
      <c r="N85" s="79">
        <v>3640</v>
      </c>
      <c r="O85" s="79">
        <v>618</v>
      </c>
      <c r="P85" s="79">
        <v>3044</v>
      </c>
      <c r="Q85" s="79">
        <v>16030</v>
      </c>
      <c r="R85" s="79">
        <v>5353</v>
      </c>
      <c r="S85" s="79">
        <v>1444</v>
      </c>
      <c r="T85" s="79">
        <v>2601</v>
      </c>
      <c r="U85" s="79">
        <v>1319</v>
      </c>
      <c r="V85" s="79">
        <v>10294</v>
      </c>
      <c r="W85" s="79">
        <v>1242</v>
      </c>
      <c r="X85" s="79">
        <v>21676</v>
      </c>
      <c r="Y85" s="79">
        <v>441</v>
      </c>
      <c r="Z85" s="79">
        <v>1500</v>
      </c>
      <c r="AA85" s="79">
        <v>20084</v>
      </c>
      <c r="AB85" s="79">
        <v>10272</v>
      </c>
      <c r="AC85" s="79">
        <v>9224</v>
      </c>
      <c r="AD85" s="79">
        <v>489</v>
      </c>
      <c r="AE85" s="79">
        <v>184</v>
      </c>
      <c r="AF85" s="80" t="s">
        <v>496</v>
      </c>
      <c r="AG85" s="79">
        <v>1893</v>
      </c>
      <c r="AH85" s="79">
        <v>1891</v>
      </c>
      <c r="AI85" s="79">
        <v>1723</v>
      </c>
      <c r="AJ85" s="79">
        <v>1653</v>
      </c>
      <c r="AK85" s="79">
        <v>72</v>
      </c>
      <c r="AL85" s="79">
        <v>10870</v>
      </c>
      <c r="AM85" s="79">
        <v>10871</v>
      </c>
      <c r="AN85" s="79">
        <v>8129</v>
      </c>
      <c r="AO85" s="79">
        <v>1448</v>
      </c>
      <c r="AP85" s="79">
        <v>1707</v>
      </c>
      <c r="AQ85" s="79">
        <v>3059</v>
      </c>
      <c r="AR85" s="79">
        <v>1276</v>
      </c>
      <c r="AS85" s="79">
        <v>967</v>
      </c>
      <c r="AT85" s="79">
        <v>4513</v>
      </c>
      <c r="AU85" s="79">
        <v>4513</v>
      </c>
    </row>
    <row r="86" spans="1:47" x14ac:dyDescent="0.35">
      <c r="A86" s="78" t="s">
        <v>542</v>
      </c>
      <c r="B86" s="79">
        <v>93425</v>
      </c>
      <c r="C86" s="79">
        <v>31212</v>
      </c>
      <c r="D86" s="79">
        <v>27640</v>
      </c>
      <c r="E86" s="79">
        <v>5142</v>
      </c>
      <c r="F86" s="79">
        <v>5872</v>
      </c>
      <c r="G86" s="79">
        <v>1441</v>
      </c>
      <c r="H86" s="79">
        <v>3533</v>
      </c>
      <c r="I86" s="79">
        <v>873</v>
      </c>
      <c r="J86" s="79">
        <v>2545</v>
      </c>
      <c r="K86" s="79">
        <v>3993</v>
      </c>
      <c r="L86" s="79">
        <v>2955</v>
      </c>
      <c r="M86" s="79">
        <v>1280</v>
      </c>
      <c r="N86" s="79">
        <v>3600</v>
      </c>
      <c r="O86" s="79">
        <v>623</v>
      </c>
      <c r="P86" s="79">
        <v>3000</v>
      </c>
      <c r="Q86" s="79">
        <v>15934</v>
      </c>
      <c r="R86" s="79">
        <v>5253</v>
      </c>
      <c r="S86" s="79">
        <v>1421</v>
      </c>
      <c r="T86" s="79">
        <v>2489</v>
      </c>
      <c r="U86" s="79">
        <v>1352</v>
      </c>
      <c r="V86" s="79">
        <v>10305</v>
      </c>
      <c r="W86" s="79">
        <v>1248</v>
      </c>
      <c r="X86" s="79">
        <v>21021</v>
      </c>
      <c r="Y86" s="79">
        <v>256</v>
      </c>
      <c r="Z86" s="79">
        <v>1489</v>
      </c>
      <c r="AA86" s="79">
        <v>19717</v>
      </c>
      <c r="AB86" s="79">
        <v>9295</v>
      </c>
      <c r="AC86" s="79">
        <v>9742</v>
      </c>
      <c r="AD86" s="79">
        <v>523</v>
      </c>
      <c r="AE86" s="79">
        <v>176</v>
      </c>
      <c r="AF86" s="80" t="s">
        <v>496</v>
      </c>
      <c r="AG86" s="79">
        <v>1855</v>
      </c>
      <c r="AH86" s="79">
        <v>1854</v>
      </c>
      <c r="AI86" s="79">
        <v>1829</v>
      </c>
      <c r="AJ86" s="79">
        <v>1757</v>
      </c>
      <c r="AK86" s="79">
        <v>75</v>
      </c>
      <c r="AL86" s="79">
        <v>10630</v>
      </c>
      <c r="AM86" s="79">
        <v>10630</v>
      </c>
      <c r="AN86" s="79">
        <v>8240</v>
      </c>
      <c r="AO86" s="79">
        <v>1565</v>
      </c>
      <c r="AP86" s="79">
        <v>1765</v>
      </c>
      <c r="AQ86" s="79">
        <v>2981</v>
      </c>
      <c r="AR86" s="79">
        <v>1278</v>
      </c>
      <c r="AS86" s="79">
        <v>939</v>
      </c>
      <c r="AT86" s="79">
        <v>4529</v>
      </c>
      <c r="AU86" s="79">
        <v>4530</v>
      </c>
    </row>
    <row r="87" spans="1:47" x14ac:dyDescent="0.35">
      <c r="A87" s="78" t="s">
        <v>543</v>
      </c>
      <c r="B87" s="79">
        <v>92584</v>
      </c>
      <c r="C87" s="79">
        <v>31176</v>
      </c>
      <c r="D87" s="79">
        <v>27551</v>
      </c>
      <c r="E87" s="79">
        <v>5119</v>
      </c>
      <c r="F87" s="79">
        <v>5667</v>
      </c>
      <c r="G87" s="79">
        <v>1487</v>
      </c>
      <c r="H87" s="79">
        <v>3446</v>
      </c>
      <c r="I87" s="79">
        <v>991</v>
      </c>
      <c r="J87" s="79">
        <v>2614</v>
      </c>
      <c r="K87" s="79">
        <v>3899</v>
      </c>
      <c r="L87" s="79">
        <v>3001</v>
      </c>
      <c r="M87" s="79">
        <v>1379</v>
      </c>
      <c r="N87" s="79">
        <v>3652</v>
      </c>
      <c r="O87" s="79">
        <v>599</v>
      </c>
      <c r="P87" s="79">
        <v>3076</v>
      </c>
      <c r="Q87" s="79">
        <v>16317</v>
      </c>
      <c r="R87" s="79">
        <v>5400</v>
      </c>
      <c r="S87" s="79">
        <v>1482</v>
      </c>
      <c r="T87" s="79">
        <v>2575</v>
      </c>
      <c r="U87" s="79">
        <v>1354</v>
      </c>
      <c r="V87" s="79">
        <v>10495</v>
      </c>
      <c r="W87" s="79">
        <v>1285</v>
      </c>
      <c r="X87" s="79">
        <v>19546</v>
      </c>
      <c r="Y87" s="79">
        <v>321</v>
      </c>
      <c r="Z87" s="79">
        <v>1459</v>
      </c>
      <c r="AA87" s="79">
        <v>18030</v>
      </c>
      <c r="AB87" s="79">
        <v>9871</v>
      </c>
      <c r="AC87" s="79">
        <v>7484</v>
      </c>
      <c r="AD87" s="79">
        <v>527</v>
      </c>
      <c r="AE87" s="79">
        <v>190</v>
      </c>
      <c r="AF87" s="80" t="s">
        <v>496</v>
      </c>
      <c r="AG87" s="79">
        <v>1842</v>
      </c>
      <c r="AH87" s="79">
        <v>1841</v>
      </c>
      <c r="AI87" s="79">
        <v>1645</v>
      </c>
      <c r="AJ87" s="79">
        <v>1572</v>
      </c>
      <c r="AK87" s="79">
        <v>75</v>
      </c>
      <c r="AL87" s="79">
        <v>10855</v>
      </c>
      <c r="AM87" s="79">
        <v>10855</v>
      </c>
      <c r="AN87" s="79">
        <v>8128</v>
      </c>
      <c r="AO87" s="79">
        <v>1561</v>
      </c>
      <c r="AP87" s="79">
        <v>1705</v>
      </c>
      <c r="AQ87" s="79">
        <v>2916</v>
      </c>
      <c r="AR87" s="79">
        <v>1275</v>
      </c>
      <c r="AS87" s="79">
        <v>941</v>
      </c>
      <c r="AT87" s="79">
        <v>4474</v>
      </c>
      <c r="AU87" s="79">
        <v>4475</v>
      </c>
    </row>
    <row r="88" spans="1:47" x14ac:dyDescent="0.35">
      <c r="A88" s="78" t="s">
        <v>544</v>
      </c>
      <c r="B88" s="79">
        <v>92441</v>
      </c>
      <c r="C88" s="79">
        <v>31509</v>
      </c>
      <c r="D88" s="79">
        <v>27842</v>
      </c>
      <c r="E88" s="79">
        <v>5173</v>
      </c>
      <c r="F88" s="79">
        <v>5321</v>
      </c>
      <c r="G88" s="79">
        <v>1535</v>
      </c>
      <c r="H88" s="79">
        <v>3625</v>
      </c>
      <c r="I88" s="79">
        <v>1069</v>
      </c>
      <c r="J88" s="79">
        <v>2693</v>
      </c>
      <c r="K88" s="79">
        <v>4000</v>
      </c>
      <c r="L88" s="79">
        <v>3034</v>
      </c>
      <c r="M88" s="79">
        <v>1465</v>
      </c>
      <c r="N88" s="79">
        <v>3695</v>
      </c>
      <c r="O88" s="79">
        <v>606</v>
      </c>
      <c r="P88" s="79">
        <v>3111</v>
      </c>
      <c r="Q88" s="79">
        <v>16162</v>
      </c>
      <c r="R88" s="79">
        <v>5165</v>
      </c>
      <c r="S88" s="79">
        <v>1419</v>
      </c>
      <c r="T88" s="79">
        <v>2430</v>
      </c>
      <c r="U88" s="79">
        <v>1326</v>
      </c>
      <c r="V88" s="79">
        <v>10634</v>
      </c>
      <c r="W88" s="79">
        <v>1300</v>
      </c>
      <c r="X88" s="79">
        <v>20149</v>
      </c>
      <c r="Y88" s="79">
        <v>276</v>
      </c>
      <c r="Z88" s="79">
        <v>1435</v>
      </c>
      <c r="AA88" s="79">
        <v>18813</v>
      </c>
      <c r="AB88" s="79">
        <v>10116</v>
      </c>
      <c r="AC88" s="79">
        <v>7908</v>
      </c>
      <c r="AD88" s="79">
        <v>590</v>
      </c>
      <c r="AE88" s="79">
        <v>203</v>
      </c>
      <c r="AF88" s="80" t="s">
        <v>496</v>
      </c>
      <c r="AG88" s="79">
        <v>1790</v>
      </c>
      <c r="AH88" s="79">
        <v>1789</v>
      </c>
      <c r="AI88" s="79">
        <v>1505</v>
      </c>
      <c r="AJ88" s="79">
        <v>1434</v>
      </c>
      <c r="AK88" s="79">
        <v>73</v>
      </c>
      <c r="AL88" s="79">
        <v>10765</v>
      </c>
      <c r="AM88" s="79">
        <v>10765</v>
      </c>
      <c r="AN88" s="79">
        <v>8004</v>
      </c>
      <c r="AO88" s="79">
        <v>1554</v>
      </c>
      <c r="AP88" s="79">
        <v>1686</v>
      </c>
      <c r="AQ88" s="79">
        <v>2839</v>
      </c>
      <c r="AR88" s="79">
        <v>1188</v>
      </c>
      <c r="AS88" s="79">
        <v>988</v>
      </c>
      <c r="AT88" s="79">
        <v>4312</v>
      </c>
      <c r="AU88" s="79">
        <v>4312</v>
      </c>
    </row>
    <row r="89" spans="1:47" x14ac:dyDescent="0.35">
      <c r="A89" s="78" t="s">
        <v>545</v>
      </c>
      <c r="B89" s="79">
        <v>90312</v>
      </c>
      <c r="C89" s="79">
        <v>30291</v>
      </c>
      <c r="D89" s="79">
        <v>26697</v>
      </c>
      <c r="E89" s="79">
        <v>5050</v>
      </c>
      <c r="F89" s="79">
        <v>5132</v>
      </c>
      <c r="G89" s="79">
        <v>1448</v>
      </c>
      <c r="H89" s="79">
        <v>3450</v>
      </c>
      <c r="I89" s="79">
        <v>997</v>
      </c>
      <c r="J89" s="79">
        <v>2590</v>
      </c>
      <c r="K89" s="79">
        <v>3960</v>
      </c>
      <c r="L89" s="79">
        <v>2724</v>
      </c>
      <c r="M89" s="79">
        <v>1389</v>
      </c>
      <c r="N89" s="79">
        <v>3621</v>
      </c>
      <c r="O89" s="79">
        <v>598</v>
      </c>
      <c r="P89" s="79">
        <v>3045</v>
      </c>
      <c r="Q89" s="79">
        <v>16301</v>
      </c>
      <c r="R89" s="79">
        <v>5294</v>
      </c>
      <c r="S89" s="79">
        <v>1471</v>
      </c>
      <c r="T89" s="79">
        <v>2517</v>
      </c>
      <c r="U89" s="79">
        <v>1319</v>
      </c>
      <c r="V89" s="79">
        <v>10563</v>
      </c>
      <c r="W89" s="79">
        <v>1317</v>
      </c>
      <c r="X89" s="79">
        <v>19990</v>
      </c>
      <c r="Y89" s="79">
        <v>266</v>
      </c>
      <c r="Z89" s="79">
        <v>1426</v>
      </c>
      <c r="AA89" s="79">
        <v>18673</v>
      </c>
      <c r="AB89" s="79">
        <v>9741</v>
      </c>
      <c r="AC89" s="79">
        <v>8382</v>
      </c>
      <c r="AD89" s="79">
        <v>441</v>
      </c>
      <c r="AE89" s="79">
        <v>199</v>
      </c>
      <c r="AF89" s="80" t="s">
        <v>496</v>
      </c>
      <c r="AG89" s="79">
        <v>1739</v>
      </c>
      <c r="AH89" s="79">
        <v>1738</v>
      </c>
      <c r="AI89" s="79">
        <v>1332</v>
      </c>
      <c r="AJ89" s="79">
        <v>1261</v>
      </c>
      <c r="AK89" s="79">
        <v>73</v>
      </c>
      <c r="AL89" s="79">
        <v>10373</v>
      </c>
      <c r="AM89" s="79">
        <v>10373</v>
      </c>
      <c r="AN89" s="79">
        <v>8101</v>
      </c>
      <c r="AO89" s="79">
        <v>1640</v>
      </c>
      <c r="AP89" s="79">
        <v>1666</v>
      </c>
      <c r="AQ89" s="79">
        <v>2794</v>
      </c>
      <c r="AR89" s="79">
        <v>1322</v>
      </c>
      <c r="AS89" s="79">
        <v>900</v>
      </c>
      <c r="AT89" s="79">
        <v>4155</v>
      </c>
      <c r="AU89" s="79">
        <v>4156</v>
      </c>
    </row>
    <row r="90" spans="1:47" x14ac:dyDescent="0.35">
      <c r="A90" s="78" t="s">
        <v>546</v>
      </c>
      <c r="B90" s="79">
        <v>87857</v>
      </c>
      <c r="C90" s="79">
        <v>29534</v>
      </c>
      <c r="D90" s="79">
        <v>25980</v>
      </c>
      <c r="E90" s="79">
        <v>4979</v>
      </c>
      <c r="F90" s="79">
        <v>4897</v>
      </c>
      <c r="G90" s="79">
        <v>1303</v>
      </c>
      <c r="H90" s="79">
        <v>3414</v>
      </c>
      <c r="I90" s="79">
        <v>1123</v>
      </c>
      <c r="J90" s="79">
        <v>2520</v>
      </c>
      <c r="K90" s="79">
        <v>3765</v>
      </c>
      <c r="L90" s="79">
        <v>2735</v>
      </c>
      <c r="M90" s="79">
        <v>1314</v>
      </c>
      <c r="N90" s="79">
        <v>3582</v>
      </c>
      <c r="O90" s="79">
        <v>568</v>
      </c>
      <c r="P90" s="79">
        <v>3038</v>
      </c>
      <c r="Q90" s="79">
        <v>16067</v>
      </c>
      <c r="R90" s="79">
        <v>5227</v>
      </c>
      <c r="S90" s="79">
        <v>1425</v>
      </c>
      <c r="T90" s="79">
        <v>2476</v>
      </c>
      <c r="U90" s="79">
        <v>1335</v>
      </c>
      <c r="V90" s="79">
        <v>10420</v>
      </c>
      <c r="W90" s="79">
        <v>1290</v>
      </c>
      <c r="X90" s="79">
        <v>19852</v>
      </c>
      <c r="Y90" s="79">
        <v>269</v>
      </c>
      <c r="Z90" s="79">
        <v>1412</v>
      </c>
      <c r="AA90" s="79">
        <v>18541</v>
      </c>
      <c r="AB90" s="79">
        <v>9440</v>
      </c>
      <c r="AC90" s="79">
        <v>8334</v>
      </c>
      <c r="AD90" s="79">
        <v>548</v>
      </c>
      <c r="AE90" s="79">
        <v>213</v>
      </c>
      <c r="AF90" s="80" t="s">
        <v>496</v>
      </c>
      <c r="AG90" s="79">
        <v>1661</v>
      </c>
      <c r="AH90" s="79">
        <v>1661</v>
      </c>
      <c r="AI90" s="79">
        <v>1185</v>
      </c>
      <c r="AJ90" s="79">
        <v>1124</v>
      </c>
      <c r="AK90" s="79">
        <v>63</v>
      </c>
      <c r="AL90" s="79">
        <v>10179</v>
      </c>
      <c r="AM90" s="79">
        <v>10177</v>
      </c>
      <c r="AN90" s="79">
        <v>7655</v>
      </c>
      <c r="AO90" s="79">
        <v>1431</v>
      </c>
      <c r="AP90" s="79">
        <v>1658</v>
      </c>
      <c r="AQ90" s="79">
        <v>2737</v>
      </c>
      <c r="AR90" s="79">
        <v>1180</v>
      </c>
      <c r="AS90" s="79">
        <v>911</v>
      </c>
      <c r="AT90" s="79">
        <v>3902</v>
      </c>
      <c r="AU90" s="79">
        <v>3902</v>
      </c>
    </row>
    <row r="91" spans="1:47" x14ac:dyDescent="0.35">
      <c r="A91" s="78" t="s">
        <v>547</v>
      </c>
      <c r="B91" s="79">
        <v>87279</v>
      </c>
      <c r="C91" s="79">
        <v>29316</v>
      </c>
      <c r="D91" s="79">
        <v>25791</v>
      </c>
      <c r="E91" s="79">
        <v>4985</v>
      </c>
      <c r="F91" s="79">
        <v>5071</v>
      </c>
      <c r="G91" s="79">
        <v>1318</v>
      </c>
      <c r="H91" s="79">
        <v>3345</v>
      </c>
      <c r="I91" s="79">
        <v>991</v>
      </c>
      <c r="J91" s="79">
        <v>2582</v>
      </c>
      <c r="K91" s="79">
        <v>3592</v>
      </c>
      <c r="L91" s="79">
        <v>2652</v>
      </c>
      <c r="M91" s="79">
        <v>1309</v>
      </c>
      <c r="N91" s="79">
        <v>3555</v>
      </c>
      <c r="O91" s="79">
        <v>590</v>
      </c>
      <c r="P91" s="79">
        <v>2987</v>
      </c>
      <c r="Q91" s="79">
        <v>15674</v>
      </c>
      <c r="R91" s="79">
        <v>4983</v>
      </c>
      <c r="S91" s="79">
        <v>1363</v>
      </c>
      <c r="T91" s="79">
        <v>2388</v>
      </c>
      <c r="U91" s="79">
        <v>1240</v>
      </c>
      <c r="V91" s="79">
        <v>10293</v>
      </c>
      <c r="W91" s="79">
        <v>1283</v>
      </c>
      <c r="X91" s="79">
        <v>19760</v>
      </c>
      <c r="Y91" s="79">
        <v>258</v>
      </c>
      <c r="Z91" s="79">
        <v>1425</v>
      </c>
      <c r="AA91" s="79">
        <v>18433</v>
      </c>
      <c r="AB91" s="79">
        <v>9305</v>
      </c>
      <c r="AC91" s="79">
        <v>8442</v>
      </c>
      <c r="AD91" s="79">
        <v>502</v>
      </c>
      <c r="AE91" s="79">
        <v>196</v>
      </c>
      <c r="AF91" s="80" t="s">
        <v>496</v>
      </c>
      <c r="AG91" s="79">
        <v>1661</v>
      </c>
      <c r="AH91" s="79">
        <v>1661</v>
      </c>
      <c r="AI91" s="79">
        <v>1119</v>
      </c>
      <c r="AJ91" s="79">
        <v>1047</v>
      </c>
      <c r="AK91" s="79">
        <v>73</v>
      </c>
      <c r="AL91" s="79">
        <v>10108</v>
      </c>
      <c r="AM91" s="79">
        <v>10108</v>
      </c>
      <c r="AN91" s="79">
        <v>7762</v>
      </c>
      <c r="AO91" s="79">
        <v>1441</v>
      </c>
      <c r="AP91" s="79">
        <v>1616</v>
      </c>
      <c r="AQ91" s="79">
        <v>2740</v>
      </c>
      <c r="AR91" s="79">
        <v>1298</v>
      </c>
      <c r="AS91" s="79">
        <v>920</v>
      </c>
      <c r="AT91" s="79">
        <v>3995</v>
      </c>
      <c r="AU91" s="79">
        <v>3995</v>
      </c>
    </row>
    <row r="92" spans="1:47" x14ac:dyDescent="0.35">
      <c r="A92" s="78" t="s">
        <v>548</v>
      </c>
      <c r="B92" s="79">
        <v>86838</v>
      </c>
      <c r="C92" s="79">
        <v>29989</v>
      </c>
      <c r="D92" s="79">
        <v>26340</v>
      </c>
      <c r="E92" s="79">
        <v>5096</v>
      </c>
      <c r="F92" s="79">
        <v>5297</v>
      </c>
      <c r="G92" s="79">
        <v>1301</v>
      </c>
      <c r="H92" s="79">
        <v>3325</v>
      </c>
      <c r="I92" s="79">
        <v>984</v>
      </c>
      <c r="J92" s="79">
        <v>2693</v>
      </c>
      <c r="K92" s="79">
        <v>3691</v>
      </c>
      <c r="L92" s="79">
        <v>2697</v>
      </c>
      <c r="M92" s="79">
        <v>1305</v>
      </c>
      <c r="N92" s="79">
        <v>3684</v>
      </c>
      <c r="O92" s="79">
        <v>597</v>
      </c>
      <c r="P92" s="79">
        <v>3111</v>
      </c>
      <c r="Q92" s="79">
        <v>15917</v>
      </c>
      <c r="R92" s="79">
        <v>5094</v>
      </c>
      <c r="S92" s="79">
        <v>1399</v>
      </c>
      <c r="T92" s="79">
        <v>2402</v>
      </c>
      <c r="U92" s="79">
        <v>1301</v>
      </c>
      <c r="V92" s="79">
        <v>10483</v>
      </c>
      <c r="W92" s="79">
        <v>1271</v>
      </c>
      <c r="X92" s="79">
        <v>18143</v>
      </c>
      <c r="Y92" s="79">
        <v>206</v>
      </c>
      <c r="Z92" s="79">
        <v>1427</v>
      </c>
      <c r="AA92" s="79">
        <v>16765</v>
      </c>
      <c r="AB92" s="79">
        <v>9150</v>
      </c>
      <c r="AC92" s="79">
        <v>6988</v>
      </c>
      <c r="AD92" s="79">
        <v>491</v>
      </c>
      <c r="AE92" s="79">
        <v>178</v>
      </c>
      <c r="AF92" s="80" t="s">
        <v>496</v>
      </c>
      <c r="AG92" s="79">
        <v>1673</v>
      </c>
      <c r="AH92" s="79">
        <v>1672</v>
      </c>
      <c r="AI92" s="79">
        <v>1133</v>
      </c>
      <c r="AJ92" s="79">
        <v>1045</v>
      </c>
      <c r="AK92" s="79">
        <v>89</v>
      </c>
      <c r="AL92" s="79">
        <v>10086</v>
      </c>
      <c r="AM92" s="79">
        <v>10085</v>
      </c>
      <c r="AN92" s="79">
        <v>7426</v>
      </c>
      <c r="AO92" s="79">
        <v>1367</v>
      </c>
      <c r="AP92" s="79">
        <v>1620</v>
      </c>
      <c r="AQ92" s="79">
        <v>2692</v>
      </c>
      <c r="AR92" s="79">
        <v>1268</v>
      </c>
      <c r="AS92" s="79">
        <v>746</v>
      </c>
      <c r="AT92" s="79">
        <v>4037</v>
      </c>
      <c r="AU92" s="79">
        <v>4038</v>
      </c>
    </row>
    <row r="93" spans="1:47" x14ac:dyDescent="0.35">
      <c r="A93" s="78" t="s">
        <v>549</v>
      </c>
      <c r="B93" s="79">
        <v>86883</v>
      </c>
      <c r="C93" s="79">
        <v>29936</v>
      </c>
      <c r="D93" s="79">
        <v>26442</v>
      </c>
      <c r="E93" s="79">
        <v>5259</v>
      </c>
      <c r="F93" s="79">
        <v>5333</v>
      </c>
      <c r="G93" s="79">
        <v>1267</v>
      </c>
      <c r="H93" s="79">
        <v>3351</v>
      </c>
      <c r="I93" s="79">
        <v>964</v>
      </c>
      <c r="J93" s="79">
        <v>2614</v>
      </c>
      <c r="K93" s="79">
        <v>3693</v>
      </c>
      <c r="L93" s="79">
        <v>2629</v>
      </c>
      <c r="M93" s="79">
        <v>1363</v>
      </c>
      <c r="N93" s="79">
        <v>3519</v>
      </c>
      <c r="O93" s="79">
        <v>590</v>
      </c>
      <c r="P93" s="79">
        <v>2950</v>
      </c>
      <c r="Q93" s="79">
        <v>15849</v>
      </c>
      <c r="R93" s="79">
        <v>5165</v>
      </c>
      <c r="S93" s="79">
        <v>1393</v>
      </c>
      <c r="T93" s="79">
        <v>2373</v>
      </c>
      <c r="U93" s="79">
        <v>1410</v>
      </c>
      <c r="V93" s="79">
        <v>10337</v>
      </c>
      <c r="W93" s="79">
        <v>1245</v>
      </c>
      <c r="X93" s="79">
        <v>18454</v>
      </c>
      <c r="Y93" s="79">
        <v>276</v>
      </c>
      <c r="Z93" s="79">
        <v>1422</v>
      </c>
      <c r="AA93" s="79">
        <v>17002</v>
      </c>
      <c r="AB93" s="79">
        <v>9193</v>
      </c>
      <c r="AC93" s="79">
        <v>7207</v>
      </c>
      <c r="AD93" s="79">
        <v>484</v>
      </c>
      <c r="AE93" s="79">
        <v>168</v>
      </c>
      <c r="AF93" s="80" t="s">
        <v>496</v>
      </c>
      <c r="AG93" s="79">
        <v>1644</v>
      </c>
      <c r="AH93" s="79">
        <v>1643</v>
      </c>
      <c r="AI93" s="79">
        <v>1187</v>
      </c>
      <c r="AJ93" s="79">
        <v>1117</v>
      </c>
      <c r="AK93" s="79">
        <v>72</v>
      </c>
      <c r="AL93" s="79">
        <v>9875</v>
      </c>
      <c r="AM93" s="79">
        <v>9875</v>
      </c>
      <c r="AN93" s="79">
        <v>7508</v>
      </c>
      <c r="AO93" s="79">
        <v>1400</v>
      </c>
      <c r="AP93" s="79">
        <v>1657</v>
      </c>
      <c r="AQ93" s="79">
        <v>2642</v>
      </c>
      <c r="AR93" s="79">
        <v>1149</v>
      </c>
      <c r="AS93" s="79">
        <v>904</v>
      </c>
      <c r="AT93" s="79">
        <v>4088</v>
      </c>
      <c r="AU93" s="79">
        <v>4089</v>
      </c>
    </row>
    <row r="94" spans="1:47" x14ac:dyDescent="0.35">
      <c r="A94" s="78" t="s">
        <v>550</v>
      </c>
      <c r="B94" s="79">
        <v>87025</v>
      </c>
      <c r="C94" s="79">
        <v>30001</v>
      </c>
      <c r="D94" s="79">
        <v>26465</v>
      </c>
      <c r="E94" s="79">
        <v>5299</v>
      </c>
      <c r="F94" s="79">
        <v>5393</v>
      </c>
      <c r="G94" s="79">
        <v>1298</v>
      </c>
      <c r="H94" s="79">
        <v>3366</v>
      </c>
      <c r="I94" s="79">
        <v>940</v>
      </c>
      <c r="J94" s="79">
        <v>2562</v>
      </c>
      <c r="K94" s="79">
        <v>3614</v>
      </c>
      <c r="L94" s="79">
        <v>2632</v>
      </c>
      <c r="M94" s="79">
        <v>1396</v>
      </c>
      <c r="N94" s="79">
        <v>3563</v>
      </c>
      <c r="O94" s="79">
        <v>591</v>
      </c>
      <c r="P94" s="79">
        <v>2994</v>
      </c>
      <c r="Q94" s="79">
        <v>15834</v>
      </c>
      <c r="R94" s="79">
        <v>5287</v>
      </c>
      <c r="S94" s="79">
        <v>1408</v>
      </c>
      <c r="T94" s="79">
        <v>2655</v>
      </c>
      <c r="U94" s="79">
        <v>1235</v>
      </c>
      <c r="V94" s="79">
        <v>10183</v>
      </c>
      <c r="W94" s="79">
        <v>1220</v>
      </c>
      <c r="X94" s="79">
        <v>18585</v>
      </c>
      <c r="Y94" s="79">
        <v>309</v>
      </c>
      <c r="Z94" s="79">
        <v>1410</v>
      </c>
      <c r="AA94" s="79">
        <v>17111</v>
      </c>
      <c r="AB94" s="79">
        <v>9089</v>
      </c>
      <c r="AC94" s="79">
        <v>7351</v>
      </c>
      <c r="AD94" s="79">
        <v>510</v>
      </c>
      <c r="AE94" s="79">
        <v>178</v>
      </c>
      <c r="AF94" s="80" t="s">
        <v>496</v>
      </c>
      <c r="AG94" s="79">
        <v>1663</v>
      </c>
      <c r="AH94" s="79">
        <v>1663</v>
      </c>
      <c r="AI94" s="79">
        <v>1291</v>
      </c>
      <c r="AJ94" s="79">
        <v>1222</v>
      </c>
      <c r="AK94" s="79">
        <v>71</v>
      </c>
      <c r="AL94" s="79">
        <v>9609</v>
      </c>
      <c r="AM94" s="79">
        <v>9609</v>
      </c>
      <c r="AN94" s="79">
        <v>7509</v>
      </c>
      <c r="AO94" s="79">
        <v>1381</v>
      </c>
      <c r="AP94" s="79">
        <v>1729</v>
      </c>
      <c r="AQ94" s="79">
        <v>2597</v>
      </c>
      <c r="AR94" s="79">
        <v>1224</v>
      </c>
      <c r="AS94" s="79">
        <v>820</v>
      </c>
      <c r="AT94" s="79">
        <v>4189</v>
      </c>
      <c r="AU94" s="79">
        <v>4189</v>
      </c>
    </row>
    <row r="95" spans="1:47" x14ac:dyDescent="0.35">
      <c r="A95" s="78" t="s">
        <v>551</v>
      </c>
      <c r="B95" s="79">
        <v>86359</v>
      </c>
      <c r="C95" s="79">
        <v>28741</v>
      </c>
      <c r="D95" s="79">
        <v>25333</v>
      </c>
      <c r="E95" s="79">
        <v>5099</v>
      </c>
      <c r="F95" s="79">
        <v>5218</v>
      </c>
      <c r="G95" s="79">
        <v>1267</v>
      </c>
      <c r="H95" s="79">
        <v>3164</v>
      </c>
      <c r="I95" s="79">
        <v>887</v>
      </c>
      <c r="J95" s="79">
        <v>2180</v>
      </c>
      <c r="K95" s="79">
        <v>3433</v>
      </c>
      <c r="L95" s="79">
        <v>2835</v>
      </c>
      <c r="M95" s="79">
        <v>1283</v>
      </c>
      <c r="N95" s="79">
        <v>3435</v>
      </c>
      <c r="O95" s="79">
        <v>578</v>
      </c>
      <c r="P95" s="79">
        <v>2876</v>
      </c>
      <c r="Q95" s="79">
        <v>15250</v>
      </c>
      <c r="R95" s="79">
        <v>4919</v>
      </c>
      <c r="S95" s="79">
        <v>1348</v>
      </c>
      <c r="T95" s="79">
        <v>2393</v>
      </c>
      <c r="U95" s="79">
        <v>1192</v>
      </c>
      <c r="V95" s="79">
        <v>10080</v>
      </c>
      <c r="W95" s="79">
        <v>1185</v>
      </c>
      <c r="X95" s="79">
        <v>20215</v>
      </c>
      <c r="Y95" s="79">
        <v>314</v>
      </c>
      <c r="Z95" s="79">
        <v>1385</v>
      </c>
      <c r="AA95" s="79">
        <v>18902</v>
      </c>
      <c r="AB95" s="79">
        <v>9237</v>
      </c>
      <c r="AC95" s="79">
        <v>8702</v>
      </c>
      <c r="AD95" s="79">
        <v>612</v>
      </c>
      <c r="AE95" s="79">
        <v>238</v>
      </c>
      <c r="AF95" s="80" t="s">
        <v>496</v>
      </c>
      <c r="AG95" s="79">
        <v>1642</v>
      </c>
      <c r="AH95" s="79">
        <v>1641</v>
      </c>
      <c r="AI95" s="79">
        <v>1490</v>
      </c>
      <c r="AJ95" s="79">
        <v>1420</v>
      </c>
      <c r="AK95" s="79">
        <v>72</v>
      </c>
      <c r="AL95" s="79">
        <v>9693</v>
      </c>
      <c r="AM95" s="79">
        <v>9693</v>
      </c>
      <c r="AN95" s="79">
        <v>7253</v>
      </c>
      <c r="AO95" s="79">
        <v>1310</v>
      </c>
      <c r="AP95" s="79">
        <v>1765</v>
      </c>
      <c r="AQ95" s="79">
        <v>2576</v>
      </c>
      <c r="AR95" s="79">
        <v>1126</v>
      </c>
      <c r="AS95" s="79">
        <v>737</v>
      </c>
      <c r="AT95" s="79">
        <v>4181</v>
      </c>
      <c r="AU95" s="79">
        <v>4181</v>
      </c>
    </row>
    <row r="96" spans="1:47" x14ac:dyDescent="0.35">
      <c r="A96" s="78" t="s">
        <v>552</v>
      </c>
      <c r="B96" s="79">
        <v>88896</v>
      </c>
      <c r="C96" s="79">
        <v>30572</v>
      </c>
      <c r="D96" s="79">
        <v>27046</v>
      </c>
      <c r="E96" s="79">
        <v>5393</v>
      </c>
      <c r="F96" s="79">
        <v>5256</v>
      </c>
      <c r="G96" s="79">
        <v>1466</v>
      </c>
      <c r="H96" s="79">
        <v>3454</v>
      </c>
      <c r="I96" s="79">
        <v>905</v>
      </c>
      <c r="J96" s="79">
        <v>2499</v>
      </c>
      <c r="K96" s="79">
        <v>3921</v>
      </c>
      <c r="L96" s="79">
        <v>2789</v>
      </c>
      <c r="M96" s="79">
        <v>1399</v>
      </c>
      <c r="N96" s="79">
        <v>3546</v>
      </c>
      <c r="O96" s="79">
        <v>575</v>
      </c>
      <c r="P96" s="79">
        <v>2994</v>
      </c>
      <c r="Q96" s="79">
        <v>15617</v>
      </c>
      <c r="R96" s="79">
        <v>5211</v>
      </c>
      <c r="S96" s="79">
        <v>1368</v>
      </c>
      <c r="T96" s="79">
        <v>2498</v>
      </c>
      <c r="U96" s="79">
        <v>1350</v>
      </c>
      <c r="V96" s="79">
        <v>10138</v>
      </c>
      <c r="W96" s="79">
        <v>1181</v>
      </c>
      <c r="X96" s="79">
        <v>19469</v>
      </c>
      <c r="Y96" s="79">
        <v>337</v>
      </c>
      <c r="Z96" s="79">
        <v>1439</v>
      </c>
      <c r="AA96" s="79">
        <v>17967</v>
      </c>
      <c r="AB96" s="79">
        <v>8979</v>
      </c>
      <c r="AC96" s="79">
        <v>8269</v>
      </c>
      <c r="AD96" s="79">
        <v>479</v>
      </c>
      <c r="AE96" s="79">
        <v>197</v>
      </c>
      <c r="AF96" s="80" t="s">
        <v>496</v>
      </c>
      <c r="AG96" s="79">
        <v>1727</v>
      </c>
      <c r="AH96" s="79">
        <v>1727</v>
      </c>
      <c r="AI96" s="79">
        <v>1689</v>
      </c>
      <c r="AJ96" s="79">
        <v>1611</v>
      </c>
      <c r="AK96" s="79">
        <v>80</v>
      </c>
      <c r="AL96" s="79">
        <v>9948</v>
      </c>
      <c r="AM96" s="79">
        <v>9947</v>
      </c>
      <c r="AN96" s="79">
        <v>7412</v>
      </c>
      <c r="AO96" s="79">
        <v>1387</v>
      </c>
      <c r="AP96" s="79">
        <v>1886</v>
      </c>
      <c r="AQ96" s="79">
        <v>2630</v>
      </c>
      <c r="AR96" s="79">
        <v>929</v>
      </c>
      <c r="AS96" s="79">
        <v>839</v>
      </c>
      <c r="AT96" s="79">
        <v>4147</v>
      </c>
      <c r="AU96" s="79">
        <v>4148</v>
      </c>
    </row>
    <row r="97" spans="1:47" x14ac:dyDescent="0.35">
      <c r="A97" s="78" t="s">
        <v>553</v>
      </c>
      <c r="B97" s="79">
        <v>87598</v>
      </c>
      <c r="C97" s="79">
        <v>29979</v>
      </c>
      <c r="D97" s="79">
        <v>26646</v>
      </c>
      <c r="E97" s="79">
        <v>5234</v>
      </c>
      <c r="F97" s="79">
        <v>5257</v>
      </c>
      <c r="G97" s="79">
        <v>1400</v>
      </c>
      <c r="H97" s="79">
        <v>3369</v>
      </c>
      <c r="I97" s="79">
        <v>952</v>
      </c>
      <c r="J97" s="79">
        <v>2525</v>
      </c>
      <c r="K97" s="79">
        <v>3652</v>
      </c>
      <c r="L97" s="79">
        <v>2884</v>
      </c>
      <c r="M97" s="79">
        <v>1439</v>
      </c>
      <c r="N97" s="79">
        <v>3343</v>
      </c>
      <c r="O97" s="79">
        <v>603</v>
      </c>
      <c r="P97" s="79">
        <v>2755</v>
      </c>
      <c r="Q97" s="79">
        <v>15237</v>
      </c>
      <c r="R97" s="79">
        <v>4947</v>
      </c>
      <c r="S97" s="79">
        <v>1345</v>
      </c>
      <c r="T97" s="79">
        <v>2408</v>
      </c>
      <c r="U97" s="79">
        <v>1207</v>
      </c>
      <c r="V97" s="79">
        <v>10051</v>
      </c>
      <c r="W97" s="79">
        <v>1176</v>
      </c>
      <c r="X97" s="79">
        <v>18572</v>
      </c>
      <c r="Y97" s="79">
        <v>319</v>
      </c>
      <c r="Z97" s="79">
        <v>1432</v>
      </c>
      <c r="AA97" s="79">
        <v>17044</v>
      </c>
      <c r="AB97" s="79">
        <v>9129</v>
      </c>
      <c r="AC97" s="79">
        <v>7235</v>
      </c>
      <c r="AD97" s="79">
        <v>514</v>
      </c>
      <c r="AE97" s="79">
        <v>200</v>
      </c>
      <c r="AF97" s="80" t="s">
        <v>496</v>
      </c>
      <c r="AG97" s="79">
        <v>1678</v>
      </c>
      <c r="AH97" s="79">
        <v>1678</v>
      </c>
      <c r="AI97" s="79">
        <v>1732</v>
      </c>
      <c r="AJ97" s="79">
        <v>1665</v>
      </c>
      <c r="AK97" s="79">
        <v>70</v>
      </c>
      <c r="AL97" s="79">
        <v>10218</v>
      </c>
      <c r="AM97" s="79">
        <v>10218</v>
      </c>
      <c r="AN97" s="79">
        <v>7506</v>
      </c>
      <c r="AO97" s="79">
        <v>1315</v>
      </c>
      <c r="AP97" s="79">
        <v>1949</v>
      </c>
      <c r="AQ97" s="79">
        <v>2642</v>
      </c>
      <c r="AR97" s="79">
        <v>1085</v>
      </c>
      <c r="AS97" s="79">
        <v>785</v>
      </c>
      <c r="AT97" s="79">
        <v>4111</v>
      </c>
      <c r="AU97" s="79">
        <v>4111</v>
      </c>
    </row>
    <row r="98" spans="1:47" x14ac:dyDescent="0.35">
      <c r="A98" s="78" t="s">
        <v>554</v>
      </c>
      <c r="B98" s="79">
        <v>88534</v>
      </c>
      <c r="C98" s="79">
        <v>29133</v>
      </c>
      <c r="D98" s="79">
        <v>25940</v>
      </c>
      <c r="E98" s="79">
        <v>4974</v>
      </c>
      <c r="F98" s="79">
        <v>5086</v>
      </c>
      <c r="G98" s="79">
        <v>1255</v>
      </c>
      <c r="H98" s="79">
        <v>3211</v>
      </c>
      <c r="I98" s="79">
        <v>942</v>
      </c>
      <c r="J98" s="79">
        <v>2476</v>
      </c>
      <c r="K98" s="79">
        <v>3808</v>
      </c>
      <c r="L98" s="79">
        <v>2868</v>
      </c>
      <c r="M98" s="79">
        <v>1365</v>
      </c>
      <c r="N98" s="79">
        <v>3199</v>
      </c>
      <c r="O98" s="79">
        <v>598</v>
      </c>
      <c r="P98" s="79">
        <v>2614</v>
      </c>
      <c r="Q98" s="79">
        <v>15279</v>
      </c>
      <c r="R98" s="79">
        <v>5115</v>
      </c>
      <c r="S98" s="79">
        <v>1425</v>
      </c>
      <c r="T98" s="79">
        <v>2478</v>
      </c>
      <c r="U98" s="79">
        <v>1230</v>
      </c>
      <c r="V98" s="79">
        <v>9865</v>
      </c>
      <c r="W98" s="79">
        <v>1163</v>
      </c>
      <c r="X98" s="79">
        <v>21894</v>
      </c>
      <c r="Y98" s="79">
        <v>214</v>
      </c>
      <c r="Z98" s="79">
        <v>1416</v>
      </c>
      <c r="AA98" s="79">
        <v>20822</v>
      </c>
      <c r="AB98" s="79">
        <v>9512</v>
      </c>
      <c r="AC98" s="79">
        <v>10228</v>
      </c>
      <c r="AD98" s="79">
        <v>662</v>
      </c>
      <c r="AE98" s="79">
        <v>202</v>
      </c>
      <c r="AF98" s="80" t="s">
        <v>496</v>
      </c>
      <c r="AG98" s="79">
        <v>1635</v>
      </c>
      <c r="AH98" s="79">
        <v>1634</v>
      </c>
      <c r="AI98" s="79">
        <v>1648</v>
      </c>
      <c r="AJ98" s="79">
        <v>1585</v>
      </c>
      <c r="AK98" s="79">
        <v>66</v>
      </c>
      <c r="AL98" s="79">
        <v>9964</v>
      </c>
      <c r="AM98" s="79">
        <v>9964</v>
      </c>
      <c r="AN98" s="79">
        <v>7497</v>
      </c>
      <c r="AO98" s="79">
        <v>1361</v>
      </c>
      <c r="AP98" s="79">
        <v>1971</v>
      </c>
      <c r="AQ98" s="79">
        <v>2621</v>
      </c>
      <c r="AR98" s="79">
        <v>1039</v>
      </c>
      <c r="AS98" s="79">
        <v>768</v>
      </c>
      <c r="AT98" s="79">
        <v>4051</v>
      </c>
      <c r="AU98" s="79">
        <v>4052</v>
      </c>
    </row>
    <row r="99" spans="1:47" x14ac:dyDescent="0.35">
      <c r="A99" s="78" t="s">
        <v>555</v>
      </c>
      <c r="B99" s="79">
        <v>86468</v>
      </c>
      <c r="C99" s="79">
        <v>30004</v>
      </c>
      <c r="D99" s="79">
        <v>26722</v>
      </c>
      <c r="E99" s="79">
        <v>4995</v>
      </c>
      <c r="F99" s="79">
        <v>5195</v>
      </c>
      <c r="G99" s="79">
        <v>1266</v>
      </c>
      <c r="H99" s="79">
        <v>3268</v>
      </c>
      <c r="I99" s="79">
        <v>1026</v>
      </c>
      <c r="J99" s="79">
        <v>2564</v>
      </c>
      <c r="K99" s="79">
        <v>4148</v>
      </c>
      <c r="L99" s="79">
        <v>2783</v>
      </c>
      <c r="M99" s="79">
        <v>1516</v>
      </c>
      <c r="N99" s="79">
        <v>3291</v>
      </c>
      <c r="O99" s="79">
        <v>583</v>
      </c>
      <c r="P99" s="79">
        <v>2724</v>
      </c>
      <c r="Q99" s="79">
        <v>14905</v>
      </c>
      <c r="R99" s="79">
        <v>4976</v>
      </c>
      <c r="S99" s="79">
        <v>1315</v>
      </c>
      <c r="T99" s="79">
        <v>2398</v>
      </c>
      <c r="U99" s="79">
        <v>1276</v>
      </c>
      <c r="V99" s="79">
        <v>9624</v>
      </c>
      <c r="W99" s="79">
        <v>1143</v>
      </c>
      <c r="X99" s="79">
        <v>18661</v>
      </c>
      <c r="Y99" s="79">
        <v>246</v>
      </c>
      <c r="Z99" s="79">
        <v>1393</v>
      </c>
      <c r="AA99" s="79">
        <v>17311</v>
      </c>
      <c r="AB99" s="79">
        <v>8904</v>
      </c>
      <c r="AC99" s="79">
        <v>7724</v>
      </c>
      <c r="AD99" s="79">
        <v>478</v>
      </c>
      <c r="AE99" s="79">
        <v>200</v>
      </c>
      <c r="AF99" s="80" t="s">
        <v>496</v>
      </c>
      <c r="AG99" s="79">
        <v>1565</v>
      </c>
      <c r="AH99" s="79">
        <v>1565</v>
      </c>
      <c r="AI99" s="79">
        <v>1487</v>
      </c>
      <c r="AJ99" s="79">
        <v>1421</v>
      </c>
      <c r="AK99" s="79">
        <v>69</v>
      </c>
      <c r="AL99" s="79">
        <v>9740</v>
      </c>
      <c r="AM99" s="79">
        <v>9740</v>
      </c>
      <c r="AN99" s="79">
        <v>7669</v>
      </c>
      <c r="AO99" s="79">
        <v>1447</v>
      </c>
      <c r="AP99" s="79">
        <v>1948</v>
      </c>
      <c r="AQ99" s="79">
        <v>2585</v>
      </c>
      <c r="AR99" s="79">
        <v>1206</v>
      </c>
      <c r="AS99" s="79">
        <v>713</v>
      </c>
      <c r="AT99" s="79">
        <v>4002</v>
      </c>
      <c r="AU99" s="79">
        <v>4002</v>
      </c>
    </row>
    <row r="100" spans="1:47" x14ac:dyDescent="0.35">
      <c r="A100" s="78" t="s">
        <v>556</v>
      </c>
      <c r="B100" s="79">
        <v>84796</v>
      </c>
      <c r="C100" s="79">
        <v>29305</v>
      </c>
      <c r="D100" s="79">
        <v>26035</v>
      </c>
      <c r="E100" s="79">
        <v>4899</v>
      </c>
      <c r="F100" s="79">
        <v>5212</v>
      </c>
      <c r="G100" s="79">
        <v>1217</v>
      </c>
      <c r="H100" s="79">
        <v>3220</v>
      </c>
      <c r="I100" s="79">
        <v>890</v>
      </c>
      <c r="J100" s="79">
        <v>2555</v>
      </c>
      <c r="K100" s="79">
        <v>3896</v>
      </c>
      <c r="L100" s="79">
        <v>2828</v>
      </c>
      <c r="M100" s="79">
        <v>1331</v>
      </c>
      <c r="N100" s="79">
        <v>3282</v>
      </c>
      <c r="O100" s="79">
        <v>577</v>
      </c>
      <c r="P100" s="79">
        <v>2721</v>
      </c>
      <c r="Q100" s="79">
        <v>15016</v>
      </c>
      <c r="R100" s="79">
        <v>5222</v>
      </c>
      <c r="S100" s="79">
        <v>1406</v>
      </c>
      <c r="T100" s="79">
        <v>2563</v>
      </c>
      <c r="U100" s="79">
        <v>1265</v>
      </c>
      <c r="V100" s="79">
        <v>9376</v>
      </c>
      <c r="W100" s="79">
        <v>1141</v>
      </c>
      <c r="X100" s="79">
        <v>17396</v>
      </c>
      <c r="Y100" s="79">
        <v>308</v>
      </c>
      <c r="Z100" s="79">
        <v>1381</v>
      </c>
      <c r="AA100" s="79">
        <v>15858</v>
      </c>
      <c r="AB100" s="79">
        <v>8690</v>
      </c>
      <c r="AC100" s="79">
        <v>6726</v>
      </c>
      <c r="AD100" s="79">
        <v>370</v>
      </c>
      <c r="AE100" s="79">
        <v>183</v>
      </c>
      <c r="AF100" s="80" t="s">
        <v>496</v>
      </c>
      <c r="AG100" s="79">
        <v>1538</v>
      </c>
      <c r="AH100" s="79">
        <v>1537</v>
      </c>
      <c r="AI100" s="79">
        <v>1373</v>
      </c>
      <c r="AJ100" s="79">
        <v>1306</v>
      </c>
      <c r="AK100" s="79">
        <v>70</v>
      </c>
      <c r="AL100" s="79">
        <v>10061</v>
      </c>
      <c r="AM100" s="79">
        <v>10061</v>
      </c>
      <c r="AN100" s="79">
        <v>7285</v>
      </c>
      <c r="AO100" s="79">
        <v>1410</v>
      </c>
      <c r="AP100" s="79">
        <v>1835</v>
      </c>
      <c r="AQ100" s="79">
        <v>2521</v>
      </c>
      <c r="AR100" s="79">
        <v>1029</v>
      </c>
      <c r="AS100" s="79">
        <v>723</v>
      </c>
      <c r="AT100" s="79">
        <v>3991</v>
      </c>
      <c r="AU100" s="79">
        <v>3991</v>
      </c>
    </row>
    <row r="101" spans="1:47" x14ac:dyDescent="0.35">
      <c r="A101" s="78" t="s">
        <v>557</v>
      </c>
      <c r="B101" s="79">
        <v>85901</v>
      </c>
      <c r="C101" s="79">
        <v>29686</v>
      </c>
      <c r="D101" s="79">
        <v>26386</v>
      </c>
      <c r="E101" s="79">
        <v>4870</v>
      </c>
      <c r="F101" s="79">
        <v>5177</v>
      </c>
      <c r="G101" s="79">
        <v>1256</v>
      </c>
      <c r="H101" s="79">
        <v>3219</v>
      </c>
      <c r="I101" s="79">
        <v>933</v>
      </c>
      <c r="J101" s="79">
        <v>2833</v>
      </c>
      <c r="K101" s="79">
        <v>3937</v>
      </c>
      <c r="L101" s="79">
        <v>2847</v>
      </c>
      <c r="M101" s="79">
        <v>1346</v>
      </c>
      <c r="N101" s="79">
        <v>3312</v>
      </c>
      <c r="O101" s="79">
        <v>555</v>
      </c>
      <c r="P101" s="79">
        <v>2778</v>
      </c>
      <c r="Q101" s="79">
        <v>14865</v>
      </c>
      <c r="R101" s="79">
        <v>5194</v>
      </c>
      <c r="S101" s="79">
        <v>1405</v>
      </c>
      <c r="T101" s="79">
        <v>2499</v>
      </c>
      <c r="U101" s="79">
        <v>1303</v>
      </c>
      <c r="V101" s="79">
        <v>9269</v>
      </c>
      <c r="W101" s="79">
        <v>1120</v>
      </c>
      <c r="X101" s="79">
        <v>19247</v>
      </c>
      <c r="Y101" s="79">
        <v>303</v>
      </c>
      <c r="Z101" s="79">
        <v>1379</v>
      </c>
      <c r="AA101" s="79">
        <v>17888</v>
      </c>
      <c r="AB101" s="79">
        <v>8793</v>
      </c>
      <c r="AC101" s="79">
        <v>8251</v>
      </c>
      <c r="AD101" s="79">
        <v>552</v>
      </c>
      <c r="AE101" s="79">
        <v>201</v>
      </c>
      <c r="AF101" s="80" t="s">
        <v>496</v>
      </c>
      <c r="AG101" s="79">
        <v>1485</v>
      </c>
      <c r="AH101" s="79">
        <v>1484</v>
      </c>
      <c r="AI101" s="79">
        <v>1387</v>
      </c>
      <c r="AJ101" s="79">
        <v>1316</v>
      </c>
      <c r="AK101" s="79">
        <v>72</v>
      </c>
      <c r="AL101" s="79">
        <v>9945</v>
      </c>
      <c r="AM101" s="79">
        <v>9944</v>
      </c>
      <c r="AN101" s="79">
        <v>7128</v>
      </c>
      <c r="AO101" s="79">
        <v>1309</v>
      </c>
      <c r="AP101" s="79">
        <v>1816</v>
      </c>
      <c r="AQ101" s="79">
        <v>2441</v>
      </c>
      <c r="AR101" s="79">
        <v>1152</v>
      </c>
      <c r="AS101" s="79">
        <v>640</v>
      </c>
      <c r="AT101" s="79">
        <v>3964</v>
      </c>
      <c r="AU101" s="79">
        <v>3965</v>
      </c>
    </row>
    <row r="102" spans="1:47" x14ac:dyDescent="0.35">
      <c r="A102" s="78" t="s">
        <v>558</v>
      </c>
      <c r="B102" s="79">
        <v>84779</v>
      </c>
      <c r="C102" s="79">
        <v>29813</v>
      </c>
      <c r="D102" s="79">
        <v>26517</v>
      </c>
      <c r="E102" s="79">
        <v>5015</v>
      </c>
      <c r="F102" s="79">
        <v>5193</v>
      </c>
      <c r="G102" s="79">
        <v>1220</v>
      </c>
      <c r="H102" s="79">
        <v>3295</v>
      </c>
      <c r="I102" s="79">
        <v>933</v>
      </c>
      <c r="J102" s="79">
        <v>2624</v>
      </c>
      <c r="K102" s="79">
        <v>3929</v>
      </c>
      <c r="L102" s="79">
        <v>2870</v>
      </c>
      <c r="M102" s="79">
        <v>1471</v>
      </c>
      <c r="N102" s="79">
        <v>3308</v>
      </c>
      <c r="O102" s="79">
        <v>556</v>
      </c>
      <c r="P102" s="79">
        <v>2771</v>
      </c>
      <c r="Q102" s="79">
        <v>14786</v>
      </c>
      <c r="R102" s="79">
        <v>5202</v>
      </c>
      <c r="S102" s="79">
        <v>1400</v>
      </c>
      <c r="T102" s="79">
        <v>2494</v>
      </c>
      <c r="U102" s="79">
        <v>1319</v>
      </c>
      <c r="V102" s="79">
        <v>9204</v>
      </c>
      <c r="W102" s="79">
        <v>1099</v>
      </c>
      <c r="X102" s="79">
        <v>17026</v>
      </c>
      <c r="Y102" s="79">
        <v>339</v>
      </c>
      <c r="Z102" s="79">
        <v>1385</v>
      </c>
      <c r="AA102" s="79">
        <v>15403</v>
      </c>
      <c r="AB102" s="79">
        <v>8552</v>
      </c>
      <c r="AC102" s="79">
        <v>6349</v>
      </c>
      <c r="AD102" s="79">
        <v>409</v>
      </c>
      <c r="AE102" s="79">
        <v>189</v>
      </c>
      <c r="AF102" s="80" t="s">
        <v>496</v>
      </c>
      <c r="AG102" s="79">
        <v>1492</v>
      </c>
      <c r="AH102" s="79">
        <v>1492</v>
      </c>
      <c r="AI102" s="79">
        <v>1571</v>
      </c>
      <c r="AJ102" s="79">
        <v>1496</v>
      </c>
      <c r="AK102" s="79">
        <v>76</v>
      </c>
      <c r="AL102" s="79">
        <v>10058</v>
      </c>
      <c r="AM102" s="79">
        <v>10058</v>
      </c>
      <c r="AN102" s="79">
        <v>7095</v>
      </c>
      <c r="AO102" s="79">
        <v>1349</v>
      </c>
      <c r="AP102" s="79">
        <v>1806</v>
      </c>
      <c r="AQ102" s="79">
        <v>2373</v>
      </c>
      <c r="AR102" s="79">
        <v>1113</v>
      </c>
      <c r="AS102" s="79">
        <v>662</v>
      </c>
      <c r="AT102" s="79">
        <v>3927</v>
      </c>
      <c r="AU102" s="79">
        <v>3927</v>
      </c>
    </row>
    <row r="103" spans="1:47" x14ac:dyDescent="0.35">
      <c r="A103" s="78" t="s">
        <v>559</v>
      </c>
      <c r="B103" s="79">
        <v>84778</v>
      </c>
      <c r="C103" s="79">
        <v>29593</v>
      </c>
      <c r="D103" s="79">
        <v>26360</v>
      </c>
      <c r="E103" s="79">
        <v>4887</v>
      </c>
      <c r="F103" s="79">
        <v>5337</v>
      </c>
      <c r="G103" s="79">
        <v>1155</v>
      </c>
      <c r="H103" s="79">
        <v>3201</v>
      </c>
      <c r="I103" s="79">
        <v>942</v>
      </c>
      <c r="J103" s="79">
        <v>2647</v>
      </c>
      <c r="K103" s="79">
        <v>3948</v>
      </c>
      <c r="L103" s="79">
        <v>2836</v>
      </c>
      <c r="M103" s="79">
        <v>1432</v>
      </c>
      <c r="N103" s="79">
        <v>3243</v>
      </c>
      <c r="O103" s="79">
        <v>551</v>
      </c>
      <c r="P103" s="79">
        <v>2711</v>
      </c>
      <c r="Q103" s="79">
        <v>14497</v>
      </c>
      <c r="R103" s="79">
        <v>5108</v>
      </c>
      <c r="S103" s="79">
        <v>1378</v>
      </c>
      <c r="T103" s="79">
        <v>2476</v>
      </c>
      <c r="U103" s="79">
        <v>1265</v>
      </c>
      <c r="V103" s="79">
        <v>9077</v>
      </c>
      <c r="W103" s="79">
        <v>1060</v>
      </c>
      <c r="X103" s="79">
        <v>17253</v>
      </c>
      <c r="Y103" s="79">
        <v>269</v>
      </c>
      <c r="Z103" s="79">
        <v>1390</v>
      </c>
      <c r="AA103" s="79">
        <v>15763</v>
      </c>
      <c r="AB103" s="79">
        <v>8715</v>
      </c>
      <c r="AC103" s="79">
        <v>6662</v>
      </c>
      <c r="AD103" s="79">
        <v>370</v>
      </c>
      <c r="AE103" s="79">
        <v>157</v>
      </c>
      <c r="AF103" s="80" t="s">
        <v>496</v>
      </c>
      <c r="AG103" s="79">
        <v>1469</v>
      </c>
      <c r="AH103" s="79">
        <v>1469</v>
      </c>
      <c r="AI103" s="79">
        <v>1848</v>
      </c>
      <c r="AJ103" s="79">
        <v>1779</v>
      </c>
      <c r="AK103" s="79">
        <v>72</v>
      </c>
      <c r="AL103" s="79">
        <v>10196</v>
      </c>
      <c r="AM103" s="79">
        <v>10196</v>
      </c>
      <c r="AN103" s="79">
        <v>6992</v>
      </c>
      <c r="AO103" s="79">
        <v>1392</v>
      </c>
      <c r="AP103" s="79">
        <v>1817</v>
      </c>
      <c r="AQ103" s="79">
        <v>2232</v>
      </c>
      <c r="AR103" s="79">
        <v>997</v>
      </c>
      <c r="AS103" s="79">
        <v>719</v>
      </c>
      <c r="AT103" s="79">
        <v>3914</v>
      </c>
      <c r="AU103" s="79">
        <v>3914</v>
      </c>
    </row>
    <row r="104" spans="1:47" x14ac:dyDescent="0.35">
      <c r="A104" s="78" t="s">
        <v>560</v>
      </c>
      <c r="B104" s="79">
        <v>85493</v>
      </c>
      <c r="C104" s="79">
        <v>29243</v>
      </c>
      <c r="D104" s="79">
        <v>26062</v>
      </c>
      <c r="E104" s="79">
        <v>4808</v>
      </c>
      <c r="F104" s="79">
        <v>5399</v>
      </c>
      <c r="G104" s="79">
        <v>1175</v>
      </c>
      <c r="H104" s="79">
        <v>3257</v>
      </c>
      <c r="I104" s="79">
        <v>931</v>
      </c>
      <c r="J104" s="79">
        <v>2607</v>
      </c>
      <c r="K104" s="79">
        <v>3768</v>
      </c>
      <c r="L104" s="79">
        <v>2707</v>
      </c>
      <c r="M104" s="79">
        <v>1440</v>
      </c>
      <c r="N104" s="79">
        <v>3191</v>
      </c>
      <c r="O104" s="79">
        <v>556</v>
      </c>
      <c r="P104" s="79">
        <v>2653</v>
      </c>
      <c r="Q104" s="79">
        <v>14210</v>
      </c>
      <c r="R104" s="79">
        <v>4940</v>
      </c>
      <c r="S104" s="79">
        <v>1319</v>
      </c>
      <c r="T104" s="79">
        <v>2413</v>
      </c>
      <c r="U104" s="79">
        <v>1221</v>
      </c>
      <c r="V104" s="79">
        <v>9009</v>
      </c>
      <c r="W104" s="79">
        <v>1039</v>
      </c>
      <c r="X104" s="79">
        <v>19945</v>
      </c>
      <c r="Y104" s="79">
        <v>268</v>
      </c>
      <c r="Z104" s="79">
        <v>1385</v>
      </c>
      <c r="AA104" s="79">
        <v>18679</v>
      </c>
      <c r="AB104" s="79">
        <v>9247</v>
      </c>
      <c r="AC104" s="79">
        <v>8710</v>
      </c>
      <c r="AD104" s="79">
        <v>491</v>
      </c>
      <c r="AE104" s="79">
        <v>193</v>
      </c>
      <c r="AF104" s="80" t="s">
        <v>496</v>
      </c>
      <c r="AG104" s="79">
        <v>1506</v>
      </c>
      <c r="AH104" s="79">
        <v>1506</v>
      </c>
      <c r="AI104" s="79">
        <v>2225</v>
      </c>
      <c r="AJ104" s="79">
        <v>2142</v>
      </c>
      <c r="AK104" s="79">
        <v>87</v>
      </c>
      <c r="AL104" s="79">
        <v>9507</v>
      </c>
      <c r="AM104" s="79">
        <v>9507</v>
      </c>
      <c r="AN104" s="79">
        <v>6806</v>
      </c>
      <c r="AO104" s="79">
        <v>1231</v>
      </c>
      <c r="AP104" s="79">
        <v>1879</v>
      </c>
      <c r="AQ104" s="79">
        <v>2224</v>
      </c>
      <c r="AR104" s="79">
        <v>1014</v>
      </c>
      <c r="AS104" s="79">
        <v>657</v>
      </c>
      <c r="AT104" s="79">
        <v>4001</v>
      </c>
      <c r="AU104" s="79">
        <v>4001</v>
      </c>
    </row>
    <row r="105" spans="1:47" x14ac:dyDescent="0.35">
      <c r="A105" s="78" t="s">
        <v>561</v>
      </c>
      <c r="B105" s="79">
        <v>85766</v>
      </c>
      <c r="C105" s="79">
        <v>29466</v>
      </c>
      <c r="D105" s="79">
        <v>26338</v>
      </c>
      <c r="E105" s="79">
        <v>5013</v>
      </c>
      <c r="F105" s="79">
        <v>5497</v>
      </c>
      <c r="G105" s="79">
        <v>1172</v>
      </c>
      <c r="H105" s="79">
        <v>3232</v>
      </c>
      <c r="I105" s="79">
        <v>865</v>
      </c>
      <c r="J105" s="79">
        <v>2635</v>
      </c>
      <c r="K105" s="79">
        <v>3745</v>
      </c>
      <c r="L105" s="79">
        <v>2848</v>
      </c>
      <c r="M105" s="79">
        <v>1346</v>
      </c>
      <c r="N105" s="79">
        <v>3137</v>
      </c>
      <c r="O105" s="79">
        <v>587</v>
      </c>
      <c r="P105" s="79">
        <v>2560</v>
      </c>
      <c r="Q105" s="79">
        <v>14346</v>
      </c>
      <c r="R105" s="79">
        <v>5059</v>
      </c>
      <c r="S105" s="79">
        <v>1355</v>
      </c>
      <c r="T105" s="79">
        <v>2488</v>
      </c>
      <c r="U105" s="79">
        <v>1227</v>
      </c>
      <c r="V105" s="79">
        <v>8954</v>
      </c>
      <c r="W105" s="79">
        <v>1058</v>
      </c>
      <c r="X105" s="79">
        <v>18582</v>
      </c>
      <c r="Y105" s="79">
        <v>275</v>
      </c>
      <c r="Z105" s="79">
        <v>1391</v>
      </c>
      <c r="AA105" s="79">
        <v>17183</v>
      </c>
      <c r="AB105" s="79">
        <v>9153</v>
      </c>
      <c r="AC105" s="79">
        <v>7383</v>
      </c>
      <c r="AD105" s="79">
        <v>501</v>
      </c>
      <c r="AE105" s="79">
        <v>166</v>
      </c>
      <c r="AF105" s="80" t="s">
        <v>496</v>
      </c>
      <c r="AG105" s="79">
        <v>1509</v>
      </c>
      <c r="AH105" s="79">
        <v>1508</v>
      </c>
      <c r="AI105" s="79">
        <v>2422</v>
      </c>
      <c r="AJ105" s="79">
        <v>2338</v>
      </c>
      <c r="AK105" s="79">
        <v>89</v>
      </c>
      <c r="AL105" s="79">
        <v>9766</v>
      </c>
      <c r="AM105" s="79">
        <v>9765</v>
      </c>
      <c r="AN105" s="79">
        <v>7000</v>
      </c>
      <c r="AO105" s="79">
        <v>1251</v>
      </c>
      <c r="AP105" s="79">
        <v>1992</v>
      </c>
      <c r="AQ105" s="79">
        <v>2231</v>
      </c>
      <c r="AR105" s="79">
        <v>1079</v>
      </c>
      <c r="AS105" s="79">
        <v>639</v>
      </c>
      <c r="AT105" s="79">
        <v>4061</v>
      </c>
      <c r="AU105" s="79">
        <v>4062</v>
      </c>
    </row>
    <row r="106" spans="1:47" x14ac:dyDescent="0.35">
      <c r="A106" s="78" t="s">
        <v>562</v>
      </c>
      <c r="B106" s="79">
        <v>88452</v>
      </c>
      <c r="C106" s="79">
        <v>30811</v>
      </c>
      <c r="D106" s="79">
        <v>27591</v>
      </c>
      <c r="E106" s="79">
        <v>5540</v>
      </c>
      <c r="F106" s="79">
        <v>5499</v>
      </c>
      <c r="G106" s="79">
        <v>1253</v>
      </c>
      <c r="H106" s="79">
        <v>3347</v>
      </c>
      <c r="I106" s="79">
        <v>866</v>
      </c>
      <c r="J106" s="79">
        <v>2676</v>
      </c>
      <c r="K106" s="79">
        <v>3972</v>
      </c>
      <c r="L106" s="79">
        <v>2894</v>
      </c>
      <c r="M106" s="79">
        <v>1578</v>
      </c>
      <c r="N106" s="79">
        <v>3228</v>
      </c>
      <c r="O106" s="79">
        <v>627</v>
      </c>
      <c r="P106" s="79">
        <v>2610</v>
      </c>
      <c r="Q106" s="79">
        <v>14577</v>
      </c>
      <c r="R106" s="79">
        <v>5236</v>
      </c>
      <c r="S106" s="79">
        <v>1436</v>
      </c>
      <c r="T106" s="79">
        <v>2536</v>
      </c>
      <c r="U106" s="79">
        <v>1274</v>
      </c>
      <c r="V106" s="79">
        <v>8922</v>
      </c>
      <c r="W106" s="79">
        <v>1082</v>
      </c>
      <c r="X106" s="79">
        <v>19670</v>
      </c>
      <c r="Y106" s="79">
        <v>276</v>
      </c>
      <c r="Z106" s="79">
        <v>1397</v>
      </c>
      <c r="AA106" s="79">
        <v>18344</v>
      </c>
      <c r="AB106" s="79">
        <v>9491</v>
      </c>
      <c r="AC106" s="79">
        <v>8232</v>
      </c>
      <c r="AD106" s="79">
        <v>475</v>
      </c>
      <c r="AE106" s="79">
        <v>177</v>
      </c>
      <c r="AF106" s="80" t="s">
        <v>496</v>
      </c>
      <c r="AG106" s="79">
        <v>1529</v>
      </c>
      <c r="AH106" s="79">
        <v>1529</v>
      </c>
      <c r="AI106" s="79">
        <v>2456</v>
      </c>
      <c r="AJ106" s="79">
        <v>2383</v>
      </c>
      <c r="AK106" s="79">
        <v>78</v>
      </c>
      <c r="AL106" s="79">
        <v>9922</v>
      </c>
      <c r="AM106" s="79">
        <v>9922</v>
      </c>
      <c r="AN106" s="79">
        <v>7077</v>
      </c>
      <c r="AO106" s="79">
        <v>1246</v>
      </c>
      <c r="AP106" s="79">
        <v>2082</v>
      </c>
      <c r="AQ106" s="79">
        <v>2252</v>
      </c>
      <c r="AR106" s="79">
        <v>1067</v>
      </c>
      <c r="AS106" s="79">
        <v>627</v>
      </c>
      <c r="AT106" s="79">
        <v>4061</v>
      </c>
      <c r="AU106" s="79">
        <v>4061</v>
      </c>
    </row>
    <row r="107" spans="1:47" x14ac:dyDescent="0.35">
      <c r="A107" s="78" t="s">
        <v>563</v>
      </c>
      <c r="B107" s="79">
        <v>87385</v>
      </c>
      <c r="C107" s="79">
        <v>29617</v>
      </c>
      <c r="D107" s="79">
        <v>26423</v>
      </c>
      <c r="E107" s="79">
        <v>5162</v>
      </c>
      <c r="F107" s="79">
        <v>5400</v>
      </c>
      <c r="G107" s="79">
        <v>1303</v>
      </c>
      <c r="H107" s="79">
        <v>3348</v>
      </c>
      <c r="I107" s="79">
        <v>837</v>
      </c>
      <c r="J107" s="79">
        <v>2326</v>
      </c>
      <c r="K107" s="79">
        <v>3750</v>
      </c>
      <c r="L107" s="79">
        <v>2850</v>
      </c>
      <c r="M107" s="79">
        <v>1468</v>
      </c>
      <c r="N107" s="79">
        <v>3203</v>
      </c>
      <c r="O107" s="79">
        <v>614</v>
      </c>
      <c r="P107" s="79">
        <v>2599</v>
      </c>
      <c r="Q107" s="79">
        <v>14763</v>
      </c>
      <c r="R107" s="79">
        <v>5510</v>
      </c>
      <c r="S107" s="79">
        <v>1494</v>
      </c>
      <c r="T107" s="79">
        <v>2649</v>
      </c>
      <c r="U107" s="79">
        <v>1379</v>
      </c>
      <c r="V107" s="79">
        <v>8703</v>
      </c>
      <c r="W107" s="79">
        <v>1102</v>
      </c>
      <c r="X107" s="79">
        <v>20221</v>
      </c>
      <c r="Y107" s="79">
        <v>282</v>
      </c>
      <c r="Z107" s="79">
        <v>1368</v>
      </c>
      <c r="AA107" s="79">
        <v>18974</v>
      </c>
      <c r="AB107" s="79">
        <v>9498</v>
      </c>
      <c r="AC107" s="79">
        <v>8678</v>
      </c>
      <c r="AD107" s="79">
        <v>546</v>
      </c>
      <c r="AE107" s="79">
        <v>174</v>
      </c>
      <c r="AF107" s="80" t="s">
        <v>496</v>
      </c>
      <c r="AG107" s="79">
        <v>1507</v>
      </c>
      <c r="AH107" s="79">
        <v>1507</v>
      </c>
      <c r="AI107" s="79">
        <v>2174</v>
      </c>
      <c r="AJ107" s="79">
        <v>2108</v>
      </c>
      <c r="AK107" s="79">
        <v>71</v>
      </c>
      <c r="AL107" s="79">
        <v>9737</v>
      </c>
      <c r="AM107" s="79">
        <v>9737</v>
      </c>
      <c r="AN107" s="79">
        <v>7173</v>
      </c>
      <c r="AO107" s="79">
        <v>1196</v>
      </c>
      <c r="AP107" s="79">
        <v>2145</v>
      </c>
      <c r="AQ107" s="79">
        <v>2198</v>
      </c>
      <c r="AR107" s="79">
        <v>1070</v>
      </c>
      <c r="AS107" s="79">
        <v>751</v>
      </c>
      <c r="AT107" s="79">
        <v>4127</v>
      </c>
      <c r="AU107" s="79">
        <v>4128</v>
      </c>
    </row>
    <row r="108" spans="1:47" x14ac:dyDescent="0.35">
      <c r="A108" s="78" t="s">
        <v>564</v>
      </c>
      <c r="B108" s="79">
        <v>85926</v>
      </c>
      <c r="C108" s="79">
        <v>29740</v>
      </c>
      <c r="D108" s="79">
        <v>26713</v>
      </c>
      <c r="E108" s="79">
        <v>5331</v>
      </c>
      <c r="F108" s="79">
        <v>5295</v>
      </c>
      <c r="G108" s="79">
        <v>1280</v>
      </c>
      <c r="H108" s="79">
        <v>3254</v>
      </c>
      <c r="I108" s="79">
        <v>855</v>
      </c>
      <c r="J108" s="79">
        <v>2609</v>
      </c>
      <c r="K108" s="79">
        <v>3760</v>
      </c>
      <c r="L108" s="79">
        <v>2897</v>
      </c>
      <c r="M108" s="79">
        <v>1472</v>
      </c>
      <c r="N108" s="79">
        <v>3036</v>
      </c>
      <c r="O108" s="79">
        <v>614</v>
      </c>
      <c r="P108" s="79">
        <v>2427</v>
      </c>
      <c r="Q108" s="79">
        <v>14020</v>
      </c>
      <c r="R108" s="79">
        <v>5136</v>
      </c>
      <c r="S108" s="79">
        <v>1385</v>
      </c>
      <c r="T108" s="79">
        <v>2434</v>
      </c>
      <c r="U108" s="79">
        <v>1330</v>
      </c>
      <c r="V108" s="79">
        <v>8249</v>
      </c>
      <c r="W108" s="79">
        <v>1110</v>
      </c>
      <c r="X108" s="79">
        <v>19725</v>
      </c>
      <c r="Y108" s="79">
        <v>296</v>
      </c>
      <c r="Z108" s="79">
        <v>1342</v>
      </c>
      <c r="AA108" s="79">
        <v>18461</v>
      </c>
      <c r="AB108" s="79">
        <v>9240</v>
      </c>
      <c r="AC108" s="79">
        <v>8388</v>
      </c>
      <c r="AD108" s="79">
        <v>558</v>
      </c>
      <c r="AE108" s="79">
        <v>180</v>
      </c>
      <c r="AF108" s="80" t="s">
        <v>496</v>
      </c>
      <c r="AG108" s="79">
        <v>1500</v>
      </c>
      <c r="AH108" s="79">
        <v>1499</v>
      </c>
      <c r="AI108" s="79">
        <v>2067</v>
      </c>
      <c r="AJ108" s="79">
        <v>1992</v>
      </c>
      <c r="AK108" s="79">
        <v>78</v>
      </c>
      <c r="AL108" s="79">
        <v>9462</v>
      </c>
      <c r="AM108" s="79">
        <v>9462</v>
      </c>
      <c r="AN108" s="79">
        <v>7058</v>
      </c>
      <c r="AO108" s="79">
        <v>1192</v>
      </c>
      <c r="AP108" s="79">
        <v>2137</v>
      </c>
      <c r="AQ108" s="79">
        <v>2143</v>
      </c>
      <c r="AR108" s="79">
        <v>1075</v>
      </c>
      <c r="AS108" s="79">
        <v>687</v>
      </c>
      <c r="AT108" s="79">
        <v>4188</v>
      </c>
      <c r="AU108" s="79">
        <v>4188</v>
      </c>
    </row>
    <row r="109" spans="1:47" x14ac:dyDescent="0.35">
      <c r="A109" s="78" t="s">
        <v>565</v>
      </c>
      <c r="B109" s="79">
        <v>85284</v>
      </c>
      <c r="C109" s="79">
        <v>30369</v>
      </c>
      <c r="D109" s="79">
        <v>27218</v>
      </c>
      <c r="E109" s="79">
        <v>5303</v>
      </c>
      <c r="F109" s="79">
        <v>5220</v>
      </c>
      <c r="G109" s="79">
        <v>1267</v>
      </c>
      <c r="H109" s="79">
        <v>3514</v>
      </c>
      <c r="I109" s="79">
        <v>864</v>
      </c>
      <c r="J109" s="79">
        <v>2626</v>
      </c>
      <c r="K109" s="79">
        <v>3980</v>
      </c>
      <c r="L109" s="79">
        <v>2950</v>
      </c>
      <c r="M109" s="79">
        <v>1525</v>
      </c>
      <c r="N109" s="79">
        <v>3160</v>
      </c>
      <c r="O109" s="79">
        <v>598</v>
      </c>
      <c r="P109" s="79">
        <v>2573</v>
      </c>
      <c r="Q109" s="79">
        <v>14432</v>
      </c>
      <c r="R109" s="79">
        <v>5612</v>
      </c>
      <c r="S109" s="79">
        <v>1487</v>
      </c>
      <c r="T109" s="79">
        <v>2647</v>
      </c>
      <c r="U109" s="79">
        <v>1493</v>
      </c>
      <c r="V109" s="79">
        <v>8074</v>
      </c>
      <c r="W109" s="79">
        <v>1110</v>
      </c>
      <c r="X109" s="79">
        <v>16979</v>
      </c>
      <c r="Y109" s="79">
        <v>291</v>
      </c>
      <c r="Z109" s="79">
        <v>1354</v>
      </c>
      <c r="AA109" s="79">
        <v>15498</v>
      </c>
      <c r="AB109" s="79">
        <v>8896</v>
      </c>
      <c r="AC109" s="79">
        <v>6283</v>
      </c>
      <c r="AD109" s="79">
        <v>361</v>
      </c>
      <c r="AE109" s="79">
        <v>179</v>
      </c>
      <c r="AF109" s="80" t="s">
        <v>496</v>
      </c>
      <c r="AG109" s="79">
        <v>1519</v>
      </c>
      <c r="AH109" s="79">
        <v>1519</v>
      </c>
      <c r="AI109" s="79">
        <v>2079</v>
      </c>
      <c r="AJ109" s="79">
        <v>1995</v>
      </c>
      <c r="AK109" s="79">
        <v>88</v>
      </c>
      <c r="AL109" s="79">
        <v>9563</v>
      </c>
      <c r="AM109" s="79">
        <v>9562</v>
      </c>
      <c r="AN109" s="79">
        <v>7002</v>
      </c>
      <c r="AO109" s="79">
        <v>1196</v>
      </c>
      <c r="AP109" s="79">
        <v>2100</v>
      </c>
      <c r="AQ109" s="79">
        <v>2064</v>
      </c>
      <c r="AR109" s="79">
        <v>1045</v>
      </c>
      <c r="AS109" s="79">
        <v>752</v>
      </c>
      <c r="AT109" s="79">
        <v>4279</v>
      </c>
      <c r="AU109" s="79">
        <v>4279</v>
      </c>
    </row>
    <row r="110" spans="1:47" x14ac:dyDescent="0.35">
      <c r="A110" s="78" t="s">
        <v>566</v>
      </c>
      <c r="B110" s="79">
        <v>85303</v>
      </c>
      <c r="C110" s="79">
        <v>29923</v>
      </c>
      <c r="D110" s="79">
        <v>26739</v>
      </c>
      <c r="E110" s="79">
        <v>5087</v>
      </c>
      <c r="F110" s="79">
        <v>5239</v>
      </c>
      <c r="G110" s="79">
        <v>1283</v>
      </c>
      <c r="H110" s="79">
        <v>3462</v>
      </c>
      <c r="I110" s="79">
        <v>865</v>
      </c>
      <c r="J110" s="79">
        <v>2688</v>
      </c>
      <c r="K110" s="79">
        <v>3891</v>
      </c>
      <c r="L110" s="79">
        <v>2882</v>
      </c>
      <c r="M110" s="79">
        <v>1367</v>
      </c>
      <c r="N110" s="79">
        <v>3193</v>
      </c>
      <c r="O110" s="79">
        <v>581</v>
      </c>
      <c r="P110" s="79">
        <v>2626</v>
      </c>
      <c r="Q110" s="79">
        <v>14067</v>
      </c>
      <c r="R110" s="79">
        <v>5460</v>
      </c>
      <c r="S110" s="79">
        <v>1491</v>
      </c>
      <c r="T110" s="79">
        <v>2545</v>
      </c>
      <c r="U110" s="79">
        <v>1435</v>
      </c>
      <c r="V110" s="79">
        <v>7866</v>
      </c>
      <c r="W110" s="79">
        <v>1091</v>
      </c>
      <c r="X110" s="79">
        <v>17842</v>
      </c>
      <c r="Y110" s="79">
        <v>282</v>
      </c>
      <c r="Z110" s="79">
        <v>1385</v>
      </c>
      <c r="AA110" s="79">
        <v>16390</v>
      </c>
      <c r="AB110" s="79">
        <v>8810</v>
      </c>
      <c r="AC110" s="79">
        <v>6977</v>
      </c>
      <c r="AD110" s="79">
        <v>472</v>
      </c>
      <c r="AE110" s="79">
        <v>181</v>
      </c>
      <c r="AF110" s="80" t="s">
        <v>496</v>
      </c>
      <c r="AG110" s="79">
        <v>1499</v>
      </c>
      <c r="AH110" s="79">
        <v>1499</v>
      </c>
      <c r="AI110" s="79">
        <v>2094</v>
      </c>
      <c r="AJ110" s="79">
        <v>1986</v>
      </c>
      <c r="AK110" s="79">
        <v>109</v>
      </c>
      <c r="AL110" s="79">
        <v>9526</v>
      </c>
      <c r="AM110" s="79">
        <v>9525</v>
      </c>
      <c r="AN110" s="79">
        <v>7115</v>
      </c>
      <c r="AO110" s="79">
        <v>1288</v>
      </c>
      <c r="AP110" s="79">
        <v>2182</v>
      </c>
      <c r="AQ110" s="79">
        <v>1976</v>
      </c>
      <c r="AR110" s="79">
        <v>1000</v>
      </c>
      <c r="AS110" s="79">
        <v>789</v>
      </c>
      <c r="AT110" s="79">
        <v>4436</v>
      </c>
      <c r="AU110" s="79">
        <v>4436</v>
      </c>
    </row>
    <row r="111" spans="1:47" x14ac:dyDescent="0.35">
      <c r="A111" s="78" t="s">
        <v>567</v>
      </c>
      <c r="B111" s="79">
        <v>84352</v>
      </c>
      <c r="C111" s="79">
        <v>30135</v>
      </c>
      <c r="D111" s="79">
        <v>26931</v>
      </c>
      <c r="E111" s="79">
        <v>5236</v>
      </c>
      <c r="F111" s="79">
        <v>5206</v>
      </c>
      <c r="G111" s="79">
        <v>1244</v>
      </c>
      <c r="H111" s="79">
        <v>3453</v>
      </c>
      <c r="I111" s="79">
        <v>818</v>
      </c>
      <c r="J111" s="79">
        <v>2735</v>
      </c>
      <c r="K111" s="79">
        <v>3949</v>
      </c>
      <c r="L111" s="79">
        <v>2941</v>
      </c>
      <c r="M111" s="79">
        <v>1360</v>
      </c>
      <c r="N111" s="79">
        <v>3213</v>
      </c>
      <c r="O111" s="79">
        <v>597</v>
      </c>
      <c r="P111" s="79">
        <v>2627</v>
      </c>
      <c r="Q111" s="79">
        <v>13972</v>
      </c>
      <c r="R111" s="79">
        <v>5550</v>
      </c>
      <c r="S111" s="79">
        <v>1488</v>
      </c>
      <c r="T111" s="79">
        <v>2606</v>
      </c>
      <c r="U111" s="79">
        <v>1470</v>
      </c>
      <c r="V111" s="79">
        <v>7680</v>
      </c>
      <c r="W111" s="79">
        <v>1056</v>
      </c>
      <c r="X111" s="79">
        <v>16723</v>
      </c>
      <c r="Y111" s="79">
        <v>288</v>
      </c>
      <c r="Z111" s="79">
        <v>1420</v>
      </c>
      <c r="AA111" s="79">
        <v>15128</v>
      </c>
      <c r="AB111" s="79">
        <v>8159</v>
      </c>
      <c r="AC111" s="79">
        <v>6470</v>
      </c>
      <c r="AD111" s="79">
        <v>407</v>
      </c>
      <c r="AE111" s="79">
        <v>162</v>
      </c>
      <c r="AF111" s="80" t="s">
        <v>496</v>
      </c>
      <c r="AG111" s="79">
        <v>1527</v>
      </c>
      <c r="AH111" s="79">
        <v>1527</v>
      </c>
      <c r="AI111" s="79">
        <v>2136</v>
      </c>
      <c r="AJ111" s="79">
        <v>2073</v>
      </c>
      <c r="AK111" s="79">
        <v>68</v>
      </c>
      <c r="AL111" s="79">
        <v>9287</v>
      </c>
      <c r="AM111" s="79">
        <v>9287</v>
      </c>
      <c r="AN111" s="79">
        <v>7025</v>
      </c>
      <c r="AO111" s="79">
        <v>1342</v>
      </c>
      <c r="AP111" s="79">
        <v>2273</v>
      </c>
      <c r="AQ111" s="79">
        <v>1910</v>
      </c>
      <c r="AR111" s="79">
        <v>955</v>
      </c>
      <c r="AS111" s="79">
        <v>660</v>
      </c>
      <c r="AT111" s="79">
        <v>4463</v>
      </c>
      <c r="AU111" s="79">
        <v>4463</v>
      </c>
    </row>
    <row r="112" spans="1:47" x14ac:dyDescent="0.35">
      <c r="A112" s="78" t="s">
        <v>568</v>
      </c>
      <c r="B112" s="79">
        <v>84070</v>
      </c>
      <c r="C112" s="79">
        <v>30053</v>
      </c>
      <c r="D112" s="79">
        <v>26896</v>
      </c>
      <c r="E112" s="79">
        <v>5100</v>
      </c>
      <c r="F112" s="79">
        <v>5226</v>
      </c>
      <c r="G112" s="79">
        <v>1222</v>
      </c>
      <c r="H112" s="79">
        <v>3360</v>
      </c>
      <c r="I112" s="79">
        <v>783</v>
      </c>
      <c r="J112" s="79">
        <v>2776</v>
      </c>
      <c r="K112" s="79">
        <v>4037</v>
      </c>
      <c r="L112" s="79">
        <v>2964</v>
      </c>
      <c r="M112" s="79">
        <v>1428</v>
      </c>
      <c r="N112" s="79">
        <v>3165</v>
      </c>
      <c r="O112" s="79">
        <v>605</v>
      </c>
      <c r="P112" s="79">
        <v>2571</v>
      </c>
      <c r="Q112" s="79">
        <v>13445</v>
      </c>
      <c r="R112" s="79">
        <v>5208</v>
      </c>
      <c r="S112" s="79">
        <v>1390</v>
      </c>
      <c r="T112" s="79">
        <v>2371</v>
      </c>
      <c r="U112" s="79">
        <v>1463</v>
      </c>
      <c r="V112" s="79">
        <v>7649</v>
      </c>
      <c r="W112" s="79">
        <v>990</v>
      </c>
      <c r="X112" s="79">
        <v>16213</v>
      </c>
      <c r="Y112" s="79">
        <v>299</v>
      </c>
      <c r="Z112" s="79">
        <v>1450</v>
      </c>
      <c r="AA112" s="79">
        <v>14517</v>
      </c>
      <c r="AB112" s="79">
        <v>8296</v>
      </c>
      <c r="AC112" s="79">
        <v>5789</v>
      </c>
      <c r="AD112" s="79">
        <v>409</v>
      </c>
      <c r="AE112" s="79">
        <v>171</v>
      </c>
      <c r="AF112" s="80" t="s">
        <v>496</v>
      </c>
      <c r="AG112" s="79">
        <v>1558</v>
      </c>
      <c r="AH112" s="79">
        <v>1558</v>
      </c>
      <c r="AI112" s="79">
        <v>2237</v>
      </c>
      <c r="AJ112" s="79">
        <v>2157</v>
      </c>
      <c r="AK112" s="79">
        <v>83</v>
      </c>
      <c r="AL112" s="79">
        <v>9421</v>
      </c>
      <c r="AM112" s="79">
        <v>9420</v>
      </c>
      <c r="AN112" s="79">
        <v>7184</v>
      </c>
      <c r="AO112" s="79">
        <v>1464</v>
      </c>
      <c r="AP112" s="79">
        <v>2376</v>
      </c>
      <c r="AQ112" s="79">
        <v>1875</v>
      </c>
      <c r="AR112" s="79">
        <v>923</v>
      </c>
      <c r="AS112" s="79">
        <v>641</v>
      </c>
      <c r="AT112" s="79">
        <v>4668</v>
      </c>
      <c r="AU112" s="79">
        <v>4668</v>
      </c>
    </row>
    <row r="113" spans="1:47" x14ac:dyDescent="0.35">
      <c r="A113" s="78" t="s">
        <v>569</v>
      </c>
      <c r="B113" s="79">
        <v>85260</v>
      </c>
      <c r="C113" s="79">
        <v>30404</v>
      </c>
      <c r="D113" s="79">
        <v>27262</v>
      </c>
      <c r="E113" s="79">
        <v>5156</v>
      </c>
      <c r="F113" s="79">
        <v>5334</v>
      </c>
      <c r="G113" s="79">
        <v>1233</v>
      </c>
      <c r="H113" s="79">
        <v>3478</v>
      </c>
      <c r="I113" s="79">
        <v>823</v>
      </c>
      <c r="J113" s="79">
        <v>2933</v>
      </c>
      <c r="K113" s="79">
        <v>4064</v>
      </c>
      <c r="L113" s="79">
        <v>2855</v>
      </c>
      <c r="M113" s="79">
        <v>1387</v>
      </c>
      <c r="N113" s="79">
        <v>3151</v>
      </c>
      <c r="O113" s="79">
        <v>623</v>
      </c>
      <c r="P113" s="79">
        <v>2536</v>
      </c>
      <c r="Q113" s="79">
        <v>13577</v>
      </c>
      <c r="R113" s="79">
        <v>5399</v>
      </c>
      <c r="S113" s="79">
        <v>1453</v>
      </c>
      <c r="T113" s="79">
        <v>2521</v>
      </c>
      <c r="U113" s="79">
        <v>1438</v>
      </c>
      <c r="V113" s="79">
        <v>7551</v>
      </c>
      <c r="W113" s="79">
        <v>981</v>
      </c>
      <c r="X113" s="79">
        <v>16509</v>
      </c>
      <c r="Y113" s="79">
        <v>300</v>
      </c>
      <c r="Z113" s="79">
        <v>1461</v>
      </c>
      <c r="AA113" s="79">
        <v>14812</v>
      </c>
      <c r="AB113" s="79">
        <v>8469</v>
      </c>
      <c r="AC113" s="79">
        <v>5825</v>
      </c>
      <c r="AD113" s="79">
        <v>471</v>
      </c>
      <c r="AE113" s="79">
        <v>170</v>
      </c>
      <c r="AF113" s="80" t="s">
        <v>496</v>
      </c>
      <c r="AG113" s="79">
        <v>1621</v>
      </c>
      <c r="AH113" s="79">
        <v>1621</v>
      </c>
      <c r="AI113" s="79">
        <v>2246</v>
      </c>
      <c r="AJ113" s="79">
        <v>2154</v>
      </c>
      <c r="AK113" s="79">
        <v>96</v>
      </c>
      <c r="AL113" s="79">
        <v>9508</v>
      </c>
      <c r="AM113" s="79">
        <v>9508</v>
      </c>
      <c r="AN113" s="79">
        <v>7330</v>
      </c>
      <c r="AO113" s="79">
        <v>1541</v>
      </c>
      <c r="AP113" s="79">
        <v>2425</v>
      </c>
      <c r="AQ113" s="79">
        <v>1889</v>
      </c>
      <c r="AR113" s="79">
        <v>932</v>
      </c>
      <c r="AS113" s="79">
        <v>631</v>
      </c>
      <c r="AT113" s="79">
        <v>4805</v>
      </c>
      <c r="AU113" s="79">
        <v>4806</v>
      </c>
    </row>
    <row r="114" spans="1:47" x14ac:dyDescent="0.35">
      <c r="A114" s="78" t="s">
        <v>570</v>
      </c>
      <c r="B114" s="79">
        <v>85567</v>
      </c>
      <c r="C114" s="79">
        <v>30712</v>
      </c>
      <c r="D114" s="79">
        <v>27479</v>
      </c>
      <c r="E114" s="79">
        <v>5326</v>
      </c>
      <c r="F114" s="79">
        <v>5435</v>
      </c>
      <c r="G114" s="79">
        <v>1250</v>
      </c>
      <c r="H114" s="79">
        <v>3476</v>
      </c>
      <c r="I114" s="79">
        <v>829</v>
      </c>
      <c r="J114" s="79">
        <v>2769</v>
      </c>
      <c r="K114" s="79">
        <v>4073</v>
      </c>
      <c r="L114" s="79">
        <v>2929</v>
      </c>
      <c r="M114" s="79">
        <v>1392</v>
      </c>
      <c r="N114" s="79">
        <v>3243</v>
      </c>
      <c r="O114" s="79">
        <v>645</v>
      </c>
      <c r="P114" s="79">
        <v>2605</v>
      </c>
      <c r="Q114" s="79">
        <v>13423</v>
      </c>
      <c r="R114" s="79">
        <v>5390</v>
      </c>
      <c r="S114" s="79">
        <v>1450</v>
      </c>
      <c r="T114" s="79">
        <v>2488</v>
      </c>
      <c r="U114" s="79">
        <v>1467</v>
      </c>
      <c r="V114" s="79">
        <v>7413</v>
      </c>
      <c r="W114" s="79">
        <v>957</v>
      </c>
      <c r="X114" s="79">
        <v>16389</v>
      </c>
      <c r="Y114" s="79">
        <v>310</v>
      </c>
      <c r="Z114" s="79">
        <v>1460</v>
      </c>
      <c r="AA114" s="79">
        <v>14673</v>
      </c>
      <c r="AB114" s="79">
        <v>7753</v>
      </c>
      <c r="AC114" s="79">
        <v>6344</v>
      </c>
      <c r="AD114" s="79">
        <v>440</v>
      </c>
      <c r="AE114" s="79">
        <v>147</v>
      </c>
      <c r="AF114" s="80" t="s">
        <v>496</v>
      </c>
      <c r="AG114" s="79">
        <v>1636</v>
      </c>
      <c r="AH114" s="79">
        <v>1636</v>
      </c>
      <c r="AI114" s="79">
        <v>2231</v>
      </c>
      <c r="AJ114" s="79">
        <v>2148</v>
      </c>
      <c r="AK114" s="79">
        <v>87</v>
      </c>
      <c r="AL114" s="79">
        <v>9593</v>
      </c>
      <c r="AM114" s="79">
        <v>9593</v>
      </c>
      <c r="AN114" s="79">
        <v>7303</v>
      </c>
      <c r="AO114" s="79">
        <v>1461</v>
      </c>
      <c r="AP114" s="79">
        <v>2528</v>
      </c>
      <c r="AQ114" s="79">
        <v>1904</v>
      </c>
      <c r="AR114" s="79">
        <v>980</v>
      </c>
      <c r="AS114" s="79">
        <v>535</v>
      </c>
      <c r="AT114" s="79">
        <v>4935</v>
      </c>
      <c r="AU114" s="79">
        <v>4935</v>
      </c>
    </row>
    <row r="115" spans="1:47" x14ac:dyDescent="0.35">
      <c r="A115" s="78" t="s">
        <v>571</v>
      </c>
      <c r="B115" s="79">
        <v>86233</v>
      </c>
      <c r="C115" s="79">
        <v>30506</v>
      </c>
      <c r="D115" s="79">
        <v>27419</v>
      </c>
      <c r="E115" s="79">
        <v>5533</v>
      </c>
      <c r="F115" s="79">
        <v>5312</v>
      </c>
      <c r="G115" s="79">
        <v>1233</v>
      </c>
      <c r="H115" s="79">
        <v>3368</v>
      </c>
      <c r="I115" s="79">
        <v>845</v>
      </c>
      <c r="J115" s="79">
        <v>2661</v>
      </c>
      <c r="K115" s="79">
        <v>4011</v>
      </c>
      <c r="L115" s="79">
        <v>3015</v>
      </c>
      <c r="M115" s="79">
        <v>1459</v>
      </c>
      <c r="N115" s="79">
        <v>3093</v>
      </c>
      <c r="O115" s="79">
        <v>632</v>
      </c>
      <c r="P115" s="79">
        <v>2467</v>
      </c>
      <c r="Q115" s="79">
        <v>13343</v>
      </c>
      <c r="R115" s="79">
        <v>5547</v>
      </c>
      <c r="S115" s="79">
        <v>1523</v>
      </c>
      <c r="T115" s="79">
        <v>2564</v>
      </c>
      <c r="U115" s="79">
        <v>1472</v>
      </c>
      <c r="V115" s="79">
        <v>7193</v>
      </c>
      <c r="W115" s="79">
        <v>902</v>
      </c>
      <c r="X115" s="79">
        <v>17524</v>
      </c>
      <c r="Y115" s="79">
        <v>348</v>
      </c>
      <c r="Z115" s="79">
        <v>1452</v>
      </c>
      <c r="AA115" s="79">
        <v>15843</v>
      </c>
      <c r="AB115" s="79">
        <v>8517</v>
      </c>
      <c r="AC115" s="79">
        <v>6776</v>
      </c>
      <c r="AD115" s="79">
        <v>451</v>
      </c>
      <c r="AE115" s="79">
        <v>151</v>
      </c>
      <c r="AF115" s="80" t="s">
        <v>496</v>
      </c>
      <c r="AG115" s="79">
        <v>1695</v>
      </c>
      <c r="AH115" s="79">
        <v>1695</v>
      </c>
      <c r="AI115" s="79">
        <v>2248</v>
      </c>
      <c r="AJ115" s="79">
        <v>2071</v>
      </c>
      <c r="AK115" s="79">
        <v>177</v>
      </c>
      <c r="AL115" s="79">
        <v>9345</v>
      </c>
      <c r="AM115" s="79">
        <v>9344</v>
      </c>
      <c r="AN115" s="79">
        <v>7238</v>
      </c>
      <c r="AO115" s="79">
        <v>1474</v>
      </c>
      <c r="AP115" s="79">
        <v>2420</v>
      </c>
      <c r="AQ115" s="79">
        <v>1917</v>
      </c>
      <c r="AR115" s="79">
        <v>1003</v>
      </c>
      <c r="AS115" s="79">
        <v>529</v>
      </c>
      <c r="AT115" s="79">
        <v>5272</v>
      </c>
      <c r="AU115" s="79">
        <v>5273</v>
      </c>
    </row>
    <row r="116" spans="1:47" x14ac:dyDescent="0.35">
      <c r="A116" s="78" t="s">
        <v>572</v>
      </c>
      <c r="B116" s="79">
        <v>85733</v>
      </c>
      <c r="C116" s="79">
        <v>30594</v>
      </c>
      <c r="D116" s="79">
        <v>27482</v>
      </c>
      <c r="E116" s="79">
        <v>5642</v>
      </c>
      <c r="F116" s="79">
        <v>5397</v>
      </c>
      <c r="G116" s="79">
        <v>1249</v>
      </c>
      <c r="H116" s="79">
        <v>3349</v>
      </c>
      <c r="I116" s="79">
        <v>857</v>
      </c>
      <c r="J116" s="79">
        <v>2699</v>
      </c>
      <c r="K116" s="79">
        <v>4070</v>
      </c>
      <c r="L116" s="79">
        <v>2838</v>
      </c>
      <c r="M116" s="79">
        <v>1397</v>
      </c>
      <c r="N116" s="79">
        <v>3119</v>
      </c>
      <c r="O116" s="79">
        <v>640</v>
      </c>
      <c r="P116" s="79">
        <v>2485</v>
      </c>
      <c r="Q116" s="79">
        <v>13045</v>
      </c>
      <c r="R116" s="79">
        <v>5418</v>
      </c>
      <c r="S116" s="79">
        <v>1471</v>
      </c>
      <c r="T116" s="79">
        <v>2488</v>
      </c>
      <c r="U116" s="79">
        <v>1472</v>
      </c>
      <c r="V116" s="79">
        <v>7068</v>
      </c>
      <c r="W116" s="79">
        <v>867</v>
      </c>
      <c r="X116" s="79">
        <v>17403</v>
      </c>
      <c r="Y116" s="79">
        <v>354</v>
      </c>
      <c r="Z116" s="79">
        <v>1434</v>
      </c>
      <c r="AA116" s="79">
        <v>15732</v>
      </c>
      <c r="AB116" s="79">
        <v>8541</v>
      </c>
      <c r="AC116" s="79">
        <v>6658</v>
      </c>
      <c r="AD116" s="79">
        <v>450</v>
      </c>
      <c r="AE116" s="79">
        <v>149</v>
      </c>
      <c r="AF116" s="80" t="s">
        <v>496</v>
      </c>
      <c r="AG116" s="79">
        <v>1656</v>
      </c>
      <c r="AH116" s="79">
        <v>1656</v>
      </c>
      <c r="AI116" s="79">
        <v>2134</v>
      </c>
      <c r="AJ116" s="79">
        <v>2022</v>
      </c>
      <c r="AK116" s="79">
        <v>114</v>
      </c>
      <c r="AL116" s="79">
        <v>9357</v>
      </c>
      <c r="AM116" s="79">
        <v>9357</v>
      </c>
      <c r="AN116" s="79">
        <v>7137</v>
      </c>
      <c r="AO116" s="79">
        <v>1459</v>
      </c>
      <c r="AP116" s="79">
        <v>2409</v>
      </c>
      <c r="AQ116" s="79">
        <v>1918</v>
      </c>
      <c r="AR116" s="79">
        <v>869</v>
      </c>
      <c r="AS116" s="79">
        <v>592</v>
      </c>
      <c r="AT116" s="79">
        <v>5324</v>
      </c>
      <c r="AU116" s="79">
        <v>5325</v>
      </c>
    </row>
    <row r="117" spans="1:47" x14ac:dyDescent="0.35">
      <c r="A117" s="78" t="s">
        <v>573</v>
      </c>
      <c r="B117" s="79">
        <v>87101</v>
      </c>
      <c r="C117" s="79">
        <v>30990</v>
      </c>
      <c r="D117" s="79">
        <v>27863</v>
      </c>
      <c r="E117" s="79">
        <v>5593</v>
      </c>
      <c r="F117" s="79">
        <v>5497</v>
      </c>
      <c r="G117" s="79">
        <v>1258</v>
      </c>
      <c r="H117" s="79">
        <v>3393</v>
      </c>
      <c r="I117" s="79">
        <v>1012</v>
      </c>
      <c r="J117" s="79">
        <v>2752</v>
      </c>
      <c r="K117" s="79">
        <v>3966</v>
      </c>
      <c r="L117" s="79">
        <v>2961</v>
      </c>
      <c r="M117" s="79">
        <v>1467</v>
      </c>
      <c r="N117" s="79">
        <v>3132</v>
      </c>
      <c r="O117" s="79">
        <v>654</v>
      </c>
      <c r="P117" s="79">
        <v>2484</v>
      </c>
      <c r="Q117" s="79">
        <v>13029</v>
      </c>
      <c r="R117" s="79">
        <v>5503</v>
      </c>
      <c r="S117" s="79">
        <v>1497</v>
      </c>
      <c r="T117" s="79">
        <v>2507</v>
      </c>
      <c r="U117" s="79">
        <v>1513</v>
      </c>
      <c r="V117" s="79">
        <v>6974</v>
      </c>
      <c r="W117" s="79">
        <v>842</v>
      </c>
      <c r="X117" s="79">
        <v>18335</v>
      </c>
      <c r="Y117" s="79">
        <v>369</v>
      </c>
      <c r="Z117" s="79">
        <v>1438</v>
      </c>
      <c r="AA117" s="79">
        <v>16696</v>
      </c>
      <c r="AB117" s="79">
        <v>8697</v>
      </c>
      <c r="AC117" s="79">
        <v>7370</v>
      </c>
      <c r="AD117" s="79">
        <v>478</v>
      </c>
      <c r="AE117" s="79">
        <v>151</v>
      </c>
      <c r="AF117" s="80" t="s">
        <v>496</v>
      </c>
      <c r="AG117" s="79">
        <v>1692</v>
      </c>
      <c r="AH117" s="79">
        <v>1692</v>
      </c>
      <c r="AI117" s="79">
        <v>2123</v>
      </c>
      <c r="AJ117" s="79">
        <v>2013</v>
      </c>
      <c r="AK117" s="79">
        <v>112</v>
      </c>
      <c r="AL117" s="79">
        <v>9411</v>
      </c>
      <c r="AM117" s="79">
        <v>9411</v>
      </c>
      <c r="AN117" s="79">
        <v>7260</v>
      </c>
      <c r="AO117" s="79">
        <v>1480</v>
      </c>
      <c r="AP117" s="79">
        <v>2369</v>
      </c>
      <c r="AQ117" s="79">
        <v>1853</v>
      </c>
      <c r="AR117" s="79">
        <v>1086</v>
      </c>
      <c r="AS117" s="79">
        <v>559</v>
      </c>
      <c r="AT117" s="79">
        <v>5391</v>
      </c>
      <c r="AU117" s="79">
        <v>5390</v>
      </c>
    </row>
    <row r="118" spans="1:47" x14ac:dyDescent="0.35">
      <c r="A118" s="78" t="s">
        <v>574</v>
      </c>
      <c r="B118" s="79">
        <v>85047</v>
      </c>
      <c r="C118" s="79">
        <v>30935</v>
      </c>
      <c r="D118" s="79">
        <v>27793</v>
      </c>
      <c r="E118" s="79">
        <v>5676</v>
      </c>
      <c r="F118" s="79">
        <v>5633</v>
      </c>
      <c r="G118" s="79">
        <v>1247</v>
      </c>
      <c r="H118" s="79">
        <v>3311</v>
      </c>
      <c r="I118" s="79">
        <v>840</v>
      </c>
      <c r="J118" s="79">
        <v>2778</v>
      </c>
      <c r="K118" s="79">
        <v>3937</v>
      </c>
      <c r="L118" s="79">
        <v>3071</v>
      </c>
      <c r="M118" s="79">
        <v>1291</v>
      </c>
      <c r="N118" s="79">
        <v>3149</v>
      </c>
      <c r="O118" s="79">
        <v>644</v>
      </c>
      <c r="P118" s="79">
        <v>2511</v>
      </c>
      <c r="Q118" s="79">
        <v>12946</v>
      </c>
      <c r="R118" s="79">
        <v>5543</v>
      </c>
      <c r="S118" s="79">
        <v>1506</v>
      </c>
      <c r="T118" s="79">
        <v>2544</v>
      </c>
      <c r="U118" s="79">
        <v>1506</v>
      </c>
      <c r="V118" s="79">
        <v>6861</v>
      </c>
      <c r="W118" s="79">
        <v>816</v>
      </c>
      <c r="X118" s="79">
        <v>15724</v>
      </c>
      <c r="Y118" s="79">
        <v>379</v>
      </c>
      <c r="Z118" s="79">
        <v>1469</v>
      </c>
      <c r="AA118" s="79">
        <v>13846</v>
      </c>
      <c r="AB118" s="79">
        <v>7705</v>
      </c>
      <c r="AC118" s="79">
        <v>5682</v>
      </c>
      <c r="AD118" s="79">
        <v>395</v>
      </c>
      <c r="AE118" s="79">
        <v>157</v>
      </c>
      <c r="AF118" s="80" t="s">
        <v>496</v>
      </c>
      <c r="AG118" s="79">
        <v>1743</v>
      </c>
      <c r="AH118" s="79">
        <v>1743</v>
      </c>
      <c r="AI118" s="79">
        <v>2187</v>
      </c>
      <c r="AJ118" s="79">
        <v>2080</v>
      </c>
      <c r="AK118" s="79">
        <v>109</v>
      </c>
      <c r="AL118" s="79">
        <v>9304</v>
      </c>
      <c r="AM118" s="79">
        <v>9304</v>
      </c>
      <c r="AN118" s="79">
        <v>7194</v>
      </c>
      <c r="AO118" s="79">
        <v>1489</v>
      </c>
      <c r="AP118" s="79">
        <v>2417</v>
      </c>
      <c r="AQ118" s="79">
        <v>1816</v>
      </c>
      <c r="AR118" s="79">
        <v>891</v>
      </c>
      <c r="AS118" s="79">
        <v>664</v>
      </c>
      <c r="AT118" s="79">
        <v>5455</v>
      </c>
      <c r="AU118" s="79">
        <v>5455</v>
      </c>
    </row>
    <row r="119" spans="1:47" x14ac:dyDescent="0.35">
      <c r="A119" s="78" t="s">
        <v>575</v>
      </c>
      <c r="B119" s="79">
        <v>88525</v>
      </c>
      <c r="C119" s="79">
        <v>32065</v>
      </c>
      <c r="D119" s="79">
        <v>28828</v>
      </c>
      <c r="E119" s="79">
        <v>5730</v>
      </c>
      <c r="F119" s="79">
        <v>5857</v>
      </c>
      <c r="G119" s="79">
        <v>1313</v>
      </c>
      <c r="H119" s="79">
        <v>3393</v>
      </c>
      <c r="I119" s="79">
        <v>872</v>
      </c>
      <c r="J119" s="79">
        <v>2803</v>
      </c>
      <c r="K119" s="79">
        <v>4171</v>
      </c>
      <c r="L119" s="79">
        <v>3132</v>
      </c>
      <c r="M119" s="79">
        <v>1564</v>
      </c>
      <c r="N119" s="79">
        <v>3244</v>
      </c>
      <c r="O119" s="79">
        <v>660</v>
      </c>
      <c r="P119" s="79">
        <v>2590</v>
      </c>
      <c r="Q119" s="79">
        <v>12731</v>
      </c>
      <c r="R119" s="79">
        <v>5423</v>
      </c>
      <c r="S119" s="79">
        <v>1484</v>
      </c>
      <c r="T119" s="79">
        <v>2506</v>
      </c>
      <c r="U119" s="79">
        <v>1444</v>
      </c>
      <c r="V119" s="79">
        <v>6769</v>
      </c>
      <c r="W119" s="79">
        <v>811</v>
      </c>
      <c r="X119" s="79">
        <v>18076</v>
      </c>
      <c r="Y119" s="79">
        <v>388</v>
      </c>
      <c r="Z119" s="79">
        <v>1490</v>
      </c>
      <c r="AA119" s="79">
        <v>16312</v>
      </c>
      <c r="AB119" s="79">
        <v>8636</v>
      </c>
      <c r="AC119" s="79">
        <v>7093</v>
      </c>
      <c r="AD119" s="79">
        <v>457</v>
      </c>
      <c r="AE119" s="79">
        <v>159</v>
      </c>
      <c r="AF119" s="80" t="s">
        <v>496</v>
      </c>
      <c r="AG119" s="79">
        <v>1744</v>
      </c>
      <c r="AH119" s="79">
        <v>1744</v>
      </c>
      <c r="AI119" s="79">
        <v>2237</v>
      </c>
      <c r="AJ119" s="79">
        <v>2109</v>
      </c>
      <c r="AK119" s="79">
        <v>130</v>
      </c>
      <c r="AL119" s="79">
        <v>9777</v>
      </c>
      <c r="AM119" s="79">
        <v>9778</v>
      </c>
      <c r="AN119" s="79">
        <v>7585</v>
      </c>
      <c r="AO119" s="79">
        <v>1549</v>
      </c>
      <c r="AP119" s="79">
        <v>2549</v>
      </c>
      <c r="AQ119" s="79">
        <v>1780</v>
      </c>
      <c r="AR119" s="79">
        <v>1089</v>
      </c>
      <c r="AS119" s="79">
        <v>679</v>
      </c>
      <c r="AT119" s="79">
        <v>5327</v>
      </c>
      <c r="AU119" s="79">
        <v>5327</v>
      </c>
    </row>
    <row r="120" spans="1:47" x14ac:dyDescent="0.35">
      <c r="A120" s="78" t="s">
        <v>576</v>
      </c>
      <c r="B120" s="79">
        <v>89899</v>
      </c>
      <c r="C120" s="79">
        <v>32795</v>
      </c>
      <c r="D120" s="79">
        <v>29610</v>
      </c>
      <c r="E120" s="79">
        <v>5899</v>
      </c>
      <c r="F120" s="79">
        <v>6015</v>
      </c>
      <c r="G120" s="79">
        <v>1374</v>
      </c>
      <c r="H120" s="79">
        <v>3558</v>
      </c>
      <c r="I120" s="79">
        <v>834</v>
      </c>
      <c r="J120" s="79">
        <v>2887</v>
      </c>
      <c r="K120" s="79">
        <v>4376</v>
      </c>
      <c r="L120" s="79">
        <v>3120</v>
      </c>
      <c r="M120" s="79">
        <v>1538</v>
      </c>
      <c r="N120" s="79">
        <v>3191</v>
      </c>
      <c r="O120" s="79">
        <v>645</v>
      </c>
      <c r="P120" s="79">
        <v>2553</v>
      </c>
      <c r="Q120" s="79">
        <v>12713</v>
      </c>
      <c r="R120" s="79">
        <v>5478</v>
      </c>
      <c r="S120" s="79">
        <v>1523</v>
      </c>
      <c r="T120" s="79">
        <v>2521</v>
      </c>
      <c r="U120" s="79">
        <v>1442</v>
      </c>
      <c r="V120" s="79">
        <v>6653</v>
      </c>
      <c r="W120" s="79">
        <v>824</v>
      </c>
      <c r="X120" s="79">
        <v>18908</v>
      </c>
      <c r="Y120" s="79">
        <v>360</v>
      </c>
      <c r="Z120" s="79">
        <v>1497</v>
      </c>
      <c r="AA120" s="79">
        <v>17231</v>
      </c>
      <c r="AB120" s="79">
        <v>8714</v>
      </c>
      <c r="AC120" s="79">
        <v>7866</v>
      </c>
      <c r="AD120" s="79">
        <v>451</v>
      </c>
      <c r="AE120" s="79">
        <v>166</v>
      </c>
      <c r="AF120" s="80" t="s">
        <v>496</v>
      </c>
      <c r="AG120" s="79">
        <v>1773</v>
      </c>
      <c r="AH120" s="79">
        <v>1773</v>
      </c>
      <c r="AI120" s="79">
        <v>2227</v>
      </c>
      <c r="AJ120" s="79">
        <v>2127</v>
      </c>
      <c r="AK120" s="79">
        <v>102</v>
      </c>
      <c r="AL120" s="79">
        <v>9766</v>
      </c>
      <c r="AM120" s="79">
        <v>9765</v>
      </c>
      <c r="AN120" s="79">
        <v>7652</v>
      </c>
      <c r="AO120" s="79">
        <v>1537</v>
      </c>
      <c r="AP120" s="79">
        <v>2633</v>
      </c>
      <c r="AQ120" s="79">
        <v>1788</v>
      </c>
      <c r="AR120" s="79">
        <v>1065</v>
      </c>
      <c r="AS120" s="79">
        <v>694</v>
      </c>
      <c r="AT120" s="79">
        <v>5277</v>
      </c>
      <c r="AU120" s="79">
        <v>5277</v>
      </c>
    </row>
    <row r="121" spans="1:47" x14ac:dyDescent="0.35">
      <c r="A121" s="78" t="s">
        <v>577</v>
      </c>
      <c r="B121" s="79">
        <v>89803</v>
      </c>
      <c r="C121" s="79">
        <v>33551</v>
      </c>
      <c r="D121" s="79">
        <v>30305</v>
      </c>
      <c r="E121" s="79">
        <v>6167</v>
      </c>
      <c r="F121" s="79">
        <v>6138</v>
      </c>
      <c r="G121" s="79">
        <v>1335</v>
      </c>
      <c r="H121" s="79">
        <v>3647</v>
      </c>
      <c r="I121" s="79">
        <v>829</v>
      </c>
      <c r="J121" s="79">
        <v>2966</v>
      </c>
      <c r="K121" s="79">
        <v>4418</v>
      </c>
      <c r="L121" s="79">
        <v>3274</v>
      </c>
      <c r="M121" s="79">
        <v>1506</v>
      </c>
      <c r="N121" s="79">
        <v>3252</v>
      </c>
      <c r="O121" s="79">
        <v>653</v>
      </c>
      <c r="P121" s="79">
        <v>2605</v>
      </c>
      <c r="Q121" s="79">
        <v>12563</v>
      </c>
      <c r="R121" s="79">
        <v>5445</v>
      </c>
      <c r="S121" s="79">
        <v>1488</v>
      </c>
      <c r="T121" s="79">
        <v>2516</v>
      </c>
      <c r="U121" s="79">
        <v>1454</v>
      </c>
      <c r="V121" s="79">
        <v>6525</v>
      </c>
      <c r="W121" s="79">
        <v>818</v>
      </c>
      <c r="X121" s="79">
        <v>17269</v>
      </c>
      <c r="Y121" s="79">
        <v>378</v>
      </c>
      <c r="Z121" s="79">
        <v>1479</v>
      </c>
      <c r="AA121" s="79">
        <v>15480</v>
      </c>
      <c r="AB121" s="79">
        <v>8730</v>
      </c>
      <c r="AC121" s="79">
        <v>6276</v>
      </c>
      <c r="AD121" s="79">
        <v>442</v>
      </c>
      <c r="AE121" s="79">
        <v>146</v>
      </c>
      <c r="AF121" s="80" t="s">
        <v>496</v>
      </c>
      <c r="AG121" s="79">
        <v>1855</v>
      </c>
      <c r="AH121" s="79">
        <v>1855</v>
      </c>
      <c r="AI121" s="79">
        <v>2309</v>
      </c>
      <c r="AJ121" s="79">
        <v>2221</v>
      </c>
      <c r="AK121" s="79">
        <v>92</v>
      </c>
      <c r="AL121" s="79">
        <v>9725</v>
      </c>
      <c r="AM121" s="79">
        <v>9725</v>
      </c>
      <c r="AN121" s="79">
        <v>7855</v>
      </c>
      <c r="AO121" s="79">
        <v>1602</v>
      </c>
      <c r="AP121" s="79">
        <v>2707</v>
      </c>
      <c r="AQ121" s="79">
        <v>1801</v>
      </c>
      <c r="AR121" s="79">
        <v>1079</v>
      </c>
      <c r="AS121" s="79">
        <v>724</v>
      </c>
      <c r="AT121" s="79">
        <v>5392</v>
      </c>
      <c r="AU121" s="79">
        <v>5392</v>
      </c>
    </row>
    <row r="122" spans="1:47" x14ac:dyDescent="0.35">
      <c r="A122" s="78" t="s">
        <v>578</v>
      </c>
      <c r="B122" s="79">
        <v>90417</v>
      </c>
      <c r="C122" s="79">
        <v>33545</v>
      </c>
      <c r="D122" s="79">
        <v>30210</v>
      </c>
      <c r="E122" s="79">
        <v>6033</v>
      </c>
      <c r="F122" s="79">
        <v>6133</v>
      </c>
      <c r="G122" s="79">
        <v>1324</v>
      </c>
      <c r="H122" s="79">
        <v>3661</v>
      </c>
      <c r="I122" s="79">
        <v>959</v>
      </c>
      <c r="J122" s="79">
        <v>3025</v>
      </c>
      <c r="K122" s="79">
        <v>4386</v>
      </c>
      <c r="L122" s="79">
        <v>3213</v>
      </c>
      <c r="M122" s="79">
        <v>1474</v>
      </c>
      <c r="N122" s="79">
        <v>3341</v>
      </c>
      <c r="O122" s="79">
        <v>677</v>
      </c>
      <c r="P122" s="79">
        <v>2672</v>
      </c>
      <c r="Q122" s="79">
        <v>12539</v>
      </c>
      <c r="R122" s="79">
        <v>5538</v>
      </c>
      <c r="S122" s="79">
        <v>1523</v>
      </c>
      <c r="T122" s="79">
        <v>2584</v>
      </c>
      <c r="U122" s="79">
        <v>1439</v>
      </c>
      <c r="V122" s="79">
        <v>6407</v>
      </c>
      <c r="W122" s="79">
        <v>797</v>
      </c>
      <c r="X122" s="79">
        <v>17937</v>
      </c>
      <c r="Y122" s="79">
        <v>407</v>
      </c>
      <c r="Z122" s="79">
        <v>1433</v>
      </c>
      <c r="AA122" s="79">
        <v>16225</v>
      </c>
      <c r="AB122" s="79">
        <v>8597</v>
      </c>
      <c r="AC122" s="79">
        <v>7060</v>
      </c>
      <c r="AD122" s="79">
        <v>446</v>
      </c>
      <c r="AE122" s="79">
        <v>154</v>
      </c>
      <c r="AF122" s="80" t="s">
        <v>496</v>
      </c>
      <c r="AG122" s="79">
        <v>1842</v>
      </c>
      <c r="AH122" s="79">
        <v>1842</v>
      </c>
      <c r="AI122" s="79">
        <v>2416</v>
      </c>
      <c r="AJ122" s="79">
        <v>2311</v>
      </c>
      <c r="AK122" s="79">
        <v>109</v>
      </c>
      <c r="AL122" s="79">
        <v>9676</v>
      </c>
      <c r="AM122" s="79">
        <v>9675</v>
      </c>
      <c r="AN122" s="79">
        <v>7822</v>
      </c>
      <c r="AO122" s="79">
        <v>1676</v>
      </c>
      <c r="AP122" s="79">
        <v>2608</v>
      </c>
      <c r="AQ122" s="79">
        <v>1808</v>
      </c>
      <c r="AR122" s="79">
        <v>1036</v>
      </c>
      <c r="AS122" s="79">
        <v>750</v>
      </c>
      <c r="AT122" s="79">
        <v>5497</v>
      </c>
      <c r="AU122" s="79">
        <v>5498</v>
      </c>
    </row>
    <row r="123" spans="1:47" x14ac:dyDescent="0.35">
      <c r="A123" s="78" t="s">
        <v>579</v>
      </c>
      <c r="B123" s="79">
        <v>90050</v>
      </c>
      <c r="C123" s="79">
        <v>33544</v>
      </c>
      <c r="D123" s="79">
        <v>30258</v>
      </c>
      <c r="E123" s="79">
        <v>6025</v>
      </c>
      <c r="F123" s="79">
        <v>6099</v>
      </c>
      <c r="G123" s="79">
        <v>1379</v>
      </c>
      <c r="H123" s="79">
        <v>3696</v>
      </c>
      <c r="I123" s="79">
        <v>862</v>
      </c>
      <c r="J123" s="79">
        <v>3028</v>
      </c>
      <c r="K123" s="79">
        <v>4398</v>
      </c>
      <c r="L123" s="79">
        <v>3291</v>
      </c>
      <c r="M123" s="79">
        <v>1456</v>
      </c>
      <c r="N123" s="79">
        <v>3293</v>
      </c>
      <c r="O123" s="79">
        <v>627</v>
      </c>
      <c r="P123" s="79">
        <v>2676</v>
      </c>
      <c r="Q123" s="79">
        <v>12765</v>
      </c>
      <c r="R123" s="79">
        <v>5602</v>
      </c>
      <c r="S123" s="79">
        <v>1531</v>
      </c>
      <c r="T123" s="79">
        <v>2572</v>
      </c>
      <c r="U123" s="79">
        <v>1511</v>
      </c>
      <c r="V123" s="79">
        <v>6391</v>
      </c>
      <c r="W123" s="79">
        <v>938</v>
      </c>
      <c r="X123" s="79">
        <v>16689</v>
      </c>
      <c r="Y123" s="79">
        <v>408</v>
      </c>
      <c r="Z123" s="79">
        <v>1418</v>
      </c>
      <c r="AA123" s="79">
        <v>14908</v>
      </c>
      <c r="AB123" s="79">
        <v>8308</v>
      </c>
      <c r="AC123" s="79">
        <v>6096</v>
      </c>
      <c r="AD123" s="79">
        <v>405</v>
      </c>
      <c r="AE123" s="79">
        <v>169</v>
      </c>
      <c r="AF123" s="80" t="s">
        <v>496</v>
      </c>
      <c r="AG123" s="79">
        <v>1902</v>
      </c>
      <c r="AH123" s="79">
        <v>1902</v>
      </c>
      <c r="AI123" s="79">
        <v>2378</v>
      </c>
      <c r="AJ123" s="79">
        <v>2260</v>
      </c>
      <c r="AK123" s="79">
        <v>120</v>
      </c>
      <c r="AL123" s="79">
        <v>9694</v>
      </c>
      <c r="AM123" s="79">
        <v>9693</v>
      </c>
      <c r="AN123" s="79">
        <v>7650</v>
      </c>
      <c r="AO123" s="79">
        <v>1600</v>
      </c>
      <c r="AP123" s="79">
        <v>2541</v>
      </c>
      <c r="AQ123" s="79">
        <v>1806</v>
      </c>
      <c r="AR123" s="79">
        <v>1036</v>
      </c>
      <c r="AS123" s="79">
        <v>728</v>
      </c>
      <c r="AT123" s="79">
        <v>5868</v>
      </c>
      <c r="AU123" s="79">
        <v>5869</v>
      </c>
    </row>
    <row r="124" spans="1:47" x14ac:dyDescent="0.35">
      <c r="A124" s="78" t="s">
        <v>580</v>
      </c>
      <c r="B124" s="79">
        <v>91095</v>
      </c>
      <c r="C124" s="79">
        <v>34220</v>
      </c>
      <c r="D124" s="79">
        <v>30861</v>
      </c>
      <c r="E124" s="79">
        <v>6170</v>
      </c>
      <c r="F124" s="79">
        <v>6103</v>
      </c>
      <c r="G124" s="79">
        <v>1389</v>
      </c>
      <c r="H124" s="79">
        <v>3866</v>
      </c>
      <c r="I124" s="79">
        <v>979</v>
      </c>
      <c r="J124" s="79">
        <v>2998</v>
      </c>
      <c r="K124" s="79">
        <v>4506</v>
      </c>
      <c r="L124" s="79">
        <v>3323</v>
      </c>
      <c r="M124" s="79">
        <v>1539</v>
      </c>
      <c r="N124" s="79">
        <v>3365</v>
      </c>
      <c r="O124" s="79">
        <v>673</v>
      </c>
      <c r="P124" s="79">
        <v>2700</v>
      </c>
      <c r="Q124" s="79">
        <v>12872</v>
      </c>
      <c r="R124" s="79">
        <v>5784</v>
      </c>
      <c r="S124" s="79">
        <v>1590</v>
      </c>
      <c r="T124" s="79">
        <v>2678</v>
      </c>
      <c r="U124" s="79">
        <v>1526</v>
      </c>
      <c r="V124" s="79">
        <v>6328</v>
      </c>
      <c r="W124" s="79">
        <v>906</v>
      </c>
      <c r="X124" s="79">
        <v>16575</v>
      </c>
      <c r="Y124" s="79">
        <v>399</v>
      </c>
      <c r="Z124" s="79">
        <v>1418</v>
      </c>
      <c r="AA124" s="79">
        <v>14797</v>
      </c>
      <c r="AB124" s="79">
        <v>8259</v>
      </c>
      <c r="AC124" s="79">
        <v>6067</v>
      </c>
      <c r="AD124" s="79">
        <v>395</v>
      </c>
      <c r="AE124" s="79">
        <v>150</v>
      </c>
      <c r="AF124" s="80" t="s">
        <v>496</v>
      </c>
      <c r="AG124" s="79">
        <v>1923</v>
      </c>
      <c r="AH124" s="79">
        <v>1923</v>
      </c>
      <c r="AI124" s="79">
        <v>2426</v>
      </c>
      <c r="AJ124" s="79">
        <v>2315</v>
      </c>
      <c r="AK124" s="79">
        <v>114</v>
      </c>
      <c r="AL124" s="79">
        <v>9755</v>
      </c>
      <c r="AM124" s="79">
        <v>9755</v>
      </c>
      <c r="AN124" s="79">
        <v>7547</v>
      </c>
      <c r="AO124" s="79">
        <v>1629</v>
      </c>
      <c r="AP124" s="79">
        <v>2468</v>
      </c>
      <c r="AQ124" s="79">
        <v>1739</v>
      </c>
      <c r="AR124" s="79">
        <v>1013</v>
      </c>
      <c r="AS124" s="79">
        <v>747</v>
      </c>
      <c r="AT124" s="79">
        <v>6107</v>
      </c>
      <c r="AU124" s="79">
        <v>6107</v>
      </c>
    </row>
    <row r="125" spans="1:47" x14ac:dyDescent="0.35">
      <c r="A125" s="78" t="s">
        <v>581</v>
      </c>
      <c r="B125" s="79">
        <v>92064</v>
      </c>
      <c r="C125" s="79">
        <v>33690</v>
      </c>
      <c r="D125" s="79">
        <v>30256</v>
      </c>
      <c r="E125" s="79">
        <v>5946</v>
      </c>
      <c r="F125" s="79">
        <v>6157</v>
      </c>
      <c r="G125" s="79">
        <v>1358</v>
      </c>
      <c r="H125" s="79">
        <v>3768</v>
      </c>
      <c r="I125" s="79">
        <v>962</v>
      </c>
      <c r="J125" s="79">
        <v>3077</v>
      </c>
      <c r="K125" s="79">
        <v>4372</v>
      </c>
      <c r="L125" s="79">
        <v>3222</v>
      </c>
      <c r="M125" s="79">
        <v>1383</v>
      </c>
      <c r="N125" s="79">
        <v>3441</v>
      </c>
      <c r="O125" s="79">
        <v>678</v>
      </c>
      <c r="P125" s="79">
        <v>2772</v>
      </c>
      <c r="Q125" s="79">
        <v>12921</v>
      </c>
      <c r="R125" s="79">
        <v>5822</v>
      </c>
      <c r="S125" s="79">
        <v>1623</v>
      </c>
      <c r="T125" s="79">
        <v>2670</v>
      </c>
      <c r="U125" s="79">
        <v>1539</v>
      </c>
      <c r="V125" s="79">
        <v>6296</v>
      </c>
      <c r="W125" s="79">
        <v>936</v>
      </c>
      <c r="X125" s="79">
        <v>17996</v>
      </c>
      <c r="Y125" s="79">
        <v>412</v>
      </c>
      <c r="Z125" s="79">
        <v>1443</v>
      </c>
      <c r="AA125" s="79">
        <v>16267</v>
      </c>
      <c r="AB125" s="79">
        <v>8413</v>
      </c>
      <c r="AC125" s="79">
        <v>7265</v>
      </c>
      <c r="AD125" s="79">
        <v>447</v>
      </c>
      <c r="AE125" s="79">
        <v>153</v>
      </c>
      <c r="AF125" s="80" t="s">
        <v>496</v>
      </c>
      <c r="AG125" s="79">
        <v>1911</v>
      </c>
      <c r="AH125" s="79">
        <v>1911</v>
      </c>
      <c r="AI125" s="79">
        <v>2443</v>
      </c>
      <c r="AJ125" s="79">
        <v>2326</v>
      </c>
      <c r="AK125" s="79">
        <v>121</v>
      </c>
      <c r="AL125" s="79">
        <v>9842</v>
      </c>
      <c r="AM125" s="79">
        <v>9842</v>
      </c>
      <c r="AN125" s="79">
        <v>7611</v>
      </c>
      <c r="AO125" s="79">
        <v>1688</v>
      </c>
      <c r="AP125" s="79">
        <v>2466</v>
      </c>
      <c r="AQ125" s="79">
        <v>1695</v>
      </c>
      <c r="AR125" s="79">
        <v>1022</v>
      </c>
      <c r="AS125" s="79">
        <v>774</v>
      </c>
      <c r="AT125" s="79">
        <v>6338</v>
      </c>
      <c r="AU125" s="79">
        <v>6338</v>
      </c>
    </row>
    <row r="126" spans="1:47" x14ac:dyDescent="0.35">
      <c r="A126" s="78" t="s">
        <v>582</v>
      </c>
      <c r="B126" s="79">
        <v>92503</v>
      </c>
      <c r="C126" s="79">
        <v>34063</v>
      </c>
      <c r="D126" s="79">
        <v>30659</v>
      </c>
      <c r="E126" s="79">
        <v>6225</v>
      </c>
      <c r="F126" s="79">
        <v>6160</v>
      </c>
      <c r="G126" s="79">
        <v>1359</v>
      </c>
      <c r="H126" s="79">
        <v>3701</v>
      </c>
      <c r="I126" s="79">
        <v>1013</v>
      </c>
      <c r="J126" s="79">
        <v>3116</v>
      </c>
      <c r="K126" s="79">
        <v>4365</v>
      </c>
      <c r="L126" s="79">
        <v>3201</v>
      </c>
      <c r="M126" s="79">
        <v>1530</v>
      </c>
      <c r="N126" s="79">
        <v>3410</v>
      </c>
      <c r="O126" s="79">
        <v>669</v>
      </c>
      <c r="P126" s="79">
        <v>2750</v>
      </c>
      <c r="Q126" s="79">
        <v>12968</v>
      </c>
      <c r="R126" s="79">
        <v>5940</v>
      </c>
      <c r="S126" s="79">
        <v>1643</v>
      </c>
      <c r="T126" s="79">
        <v>2719</v>
      </c>
      <c r="U126" s="79">
        <v>1588</v>
      </c>
      <c r="V126" s="79">
        <v>6199</v>
      </c>
      <c r="W126" s="79">
        <v>937</v>
      </c>
      <c r="X126" s="79">
        <v>17245</v>
      </c>
      <c r="Y126" s="79">
        <v>415</v>
      </c>
      <c r="Z126" s="79">
        <v>1449</v>
      </c>
      <c r="AA126" s="79">
        <v>15442</v>
      </c>
      <c r="AB126" s="79">
        <v>8446</v>
      </c>
      <c r="AC126" s="79">
        <v>6432</v>
      </c>
      <c r="AD126" s="79">
        <v>445</v>
      </c>
      <c r="AE126" s="79">
        <v>173</v>
      </c>
      <c r="AF126" s="80" t="s">
        <v>496</v>
      </c>
      <c r="AG126" s="79">
        <v>1898</v>
      </c>
      <c r="AH126" s="79">
        <v>1898</v>
      </c>
      <c r="AI126" s="79">
        <v>2581</v>
      </c>
      <c r="AJ126" s="79">
        <v>2460</v>
      </c>
      <c r="AK126" s="79">
        <v>125</v>
      </c>
      <c r="AL126" s="79">
        <v>10048</v>
      </c>
      <c r="AM126" s="79">
        <v>10048</v>
      </c>
      <c r="AN126" s="79">
        <v>7603</v>
      </c>
      <c r="AO126" s="79">
        <v>1706</v>
      </c>
      <c r="AP126" s="79">
        <v>2516</v>
      </c>
      <c r="AQ126" s="79">
        <v>1630</v>
      </c>
      <c r="AR126" s="79">
        <v>1060</v>
      </c>
      <c r="AS126" s="79">
        <v>719</v>
      </c>
      <c r="AT126" s="79">
        <v>6511</v>
      </c>
      <c r="AU126" s="79">
        <v>6511</v>
      </c>
    </row>
    <row r="127" spans="1:47" x14ac:dyDescent="0.35">
      <c r="A127" s="78" t="s">
        <v>583</v>
      </c>
      <c r="B127" s="79">
        <v>92985</v>
      </c>
      <c r="C127" s="79">
        <v>34245</v>
      </c>
      <c r="D127" s="79">
        <v>30835</v>
      </c>
      <c r="E127" s="79">
        <v>6250</v>
      </c>
      <c r="F127" s="79">
        <v>6113</v>
      </c>
      <c r="G127" s="79">
        <v>1339</v>
      </c>
      <c r="H127" s="79">
        <v>3843</v>
      </c>
      <c r="I127" s="79">
        <v>1003</v>
      </c>
      <c r="J127" s="79">
        <v>3125</v>
      </c>
      <c r="K127" s="79">
        <v>4418</v>
      </c>
      <c r="L127" s="79">
        <v>3257</v>
      </c>
      <c r="M127" s="79">
        <v>1494</v>
      </c>
      <c r="N127" s="79">
        <v>3417</v>
      </c>
      <c r="O127" s="79">
        <v>692</v>
      </c>
      <c r="P127" s="79">
        <v>2730</v>
      </c>
      <c r="Q127" s="79">
        <v>12854</v>
      </c>
      <c r="R127" s="79">
        <v>5897</v>
      </c>
      <c r="S127" s="79">
        <v>1647</v>
      </c>
      <c r="T127" s="79">
        <v>2635</v>
      </c>
      <c r="U127" s="79">
        <v>1626</v>
      </c>
      <c r="V127" s="79">
        <v>6113</v>
      </c>
      <c r="W127" s="79">
        <v>941</v>
      </c>
      <c r="X127" s="79">
        <v>18474</v>
      </c>
      <c r="Y127" s="79">
        <v>405</v>
      </c>
      <c r="Z127" s="79">
        <v>1467</v>
      </c>
      <c r="AA127" s="79">
        <v>16744</v>
      </c>
      <c r="AB127" s="79">
        <v>8515</v>
      </c>
      <c r="AC127" s="79">
        <v>7564</v>
      </c>
      <c r="AD127" s="79">
        <v>498</v>
      </c>
      <c r="AE127" s="79">
        <v>190</v>
      </c>
      <c r="AF127" s="80" t="s">
        <v>496</v>
      </c>
      <c r="AG127" s="79">
        <v>1910</v>
      </c>
      <c r="AH127" s="79">
        <v>1911</v>
      </c>
      <c r="AI127" s="79">
        <v>2327</v>
      </c>
      <c r="AJ127" s="79">
        <v>2210</v>
      </c>
      <c r="AK127" s="79">
        <v>120</v>
      </c>
      <c r="AL127" s="79">
        <v>9763</v>
      </c>
      <c r="AM127" s="79">
        <v>9763</v>
      </c>
      <c r="AN127" s="79">
        <v>7731</v>
      </c>
      <c r="AO127" s="79">
        <v>1723</v>
      </c>
      <c r="AP127" s="79">
        <v>2546</v>
      </c>
      <c r="AQ127" s="79">
        <v>1622</v>
      </c>
      <c r="AR127" s="79">
        <v>929</v>
      </c>
      <c r="AS127" s="79">
        <v>930</v>
      </c>
      <c r="AT127" s="79">
        <v>6488</v>
      </c>
      <c r="AU127" s="79">
        <v>6489</v>
      </c>
    </row>
    <row r="128" spans="1:47" x14ac:dyDescent="0.35">
      <c r="A128" s="78" t="s">
        <v>584</v>
      </c>
      <c r="B128" s="79">
        <v>92830</v>
      </c>
      <c r="C128" s="79">
        <v>34268</v>
      </c>
      <c r="D128" s="79">
        <v>30914</v>
      </c>
      <c r="E128" s="79">
        <v>6038</v>
      </c>
      <c r="F128" s="79">
        <v>6094</v>
      </c>
      <c r="G128" s="79">
        <v>1319</v>
      </c>
      <c r="H128" s="79">
        <v>3811</v>
      </c>
      <c r="I128" s="79">
        <v>1023</v>
      </c>
      <c r="J128" s="79">
        <v>3186</v>
      </c>
      <c r="K128" s="79">
        <v>4396</v>
      </c>
      <c r="L128" s="79">
        <v>3495</v>
      </c>
      <c r="M128" s="79">
        <v>1554</v>
      </c>
      <c r="N128" s="79">
        <v>3360</v>
      </c>
      <c r="O128" s="79">
        <v>691</v>
      </c>
      <c r="P128" s="79">
        <v>2673</v>
      </c>
      <c r="Q128" s="79">
        <v>13031</v>
      </c>
      <c r="R128" s="79">
        <v>6172</v>
      </c>
      <c r="S128" s="79">
        <v>1714</v>
      </c>
      <c r="T128" s="79">
        <v>2723</v>
      </c>
      <c r="U128" s="79">
        <v>1746</v>
      </c>
      <c r="V128" s="79">
        <v>5960</v>
      </c>
      <c r="W128" s="79">
        <v>952</v>
      </c>
      <c r="X128" s="79">
        <v>16853</v>
      </c>
      <c r="Y128" s="79">
        <v>404</v>
      </c>
      <c r="Z128" s="79">
        <v>1470</v>
      </c>
      <c r="AA128" s="79">
        <v>15004</v>
      </c>
      <c r="AB128" s="79">
        <v>8456</v>
      </c>
      <c r="AC128" s="79">
        <v>5990</v>
      </c>
      <c r="AD128" s="79">
        <v>430</v>
      </c>
      <c r="AE128" s="79">
        <v>180</v>
      </c>
      <c r="AF128" s="80" t="s">
        <v>496</v>
      </c>
      <c r="AG128" s="79">
        <v>1913</v>
      </c>
      <c r="AH128" s="79">
        <v>1913</v>
      </c>
      <c r="AI128" s="79">
        <v>2373</v>
      </c>
      <c r="AJ128" s="79">
        <v>2214</v>
      </c>
      <c r="AK128" s="79">
        <v>158</v>
      </c>
      <c r="AL128" s="79">
        <v>10393</v>
      </c>
      <c r="AM128" s="79">
        <v>10393</v>
      </c>
      <c r="AN128" s="79">
        <v>7766</v>
      </c>
      <c r="AO128" s="79">
        <v>1774</v>
      </c>
      <c r="AP128" s="79">
        <v>2563</v>
      </c>
      <c r="AQ128" s="79">
        <v>1628</v>
      </c>
      <c r="AR128" s="79">
        <v>1077</v>
      </c>
      <c r="AS128" s="79">
        <v>748</v>
      </c>
      <c r="AT128" s="79">
        <v>6535</v>
      </c>
      <c r="AU128" s="79">
        <v>6536</v>
      </c>
    </row>
    <row r="129" spans="1:47" x14ac:dyDescent="0.35">
      <c r="A129" s="78" t="s">
        <v>585</v>
      </c>
      <c r="B129" s="79">
        <v>93796</v>
      </c>
      <c r="C129" s="79">
        <v>35172</v>
      </c>
      <c r="D129" s="79">
        <v>31767</v>
      </c>
      <c r="E129" s="79">
        <v>6517</v>
      </c>
      <c r="F129" s="79">
        <v>6163</v>
      </c>
      <c r="G129" s="79">
        <v>1378</v>
      </c>
      <c r="H129" s="79">
        <v>3827</v>
      </c>
      <c r="I129" s="79">
        <v>1011</v>
      </c>
      <c r="J129" s="79">
        <v>3121</v>
      </c>
      <c r="K129" s="79">
        <v>4556</v>
      </c>
      <c r="L129" s="79">
        <v>3569</v>
      </c>
      <c r="M129" s="79">
        <v>1632</v>
      </c>
      <c r="N129" s="79">
        <v>3408</v>
      </c>
      <c r="O129" s="79">
        <v>675</v>
      </c>
      <c r="P129" s="79">
        <v>2741</v>
      </c>
      <c r="Q129" s="79">
        <v>13022</v>
      </c>
      <c r="R129" s="79">
        <v>6180</v>
      </c>
      <c r="S129" s="79">
        <v>1722</v>
      </c>
      <c r="T129" s="79">
        <v>2725</v>
      </c>
      <c r="U129" s="79">
        <v>1743</v>
      </c>
      <c r="V129" s="79">
        <v>5958</v>
      </c>
      <c r="W129" s="79">
        <v>940</v>
      </c>
      <c r="X129" s="79">
        <v>17092</v>
      </c>
      <c r="Y129" s="79">
        <v>427</v>
      </c>
      <c r="Z129" s="79">
        <v>1460</v>
      </c>
      <c r="AA129" s="79">
        <v>15242</v>
      </c>
      <c r="AB129" s="79">
        <v>8308</v>
      </c>
      <c r="AC129" s="79">
        <v>6279</v>
      </c>
      <c r="AD129" s="79">
        <v>449</v>
      </c>
      <c r="AE129" s="79">
        <v>229</v>
      </c>
      <c r="AF129" s="80" t="s">
        <v>496</v>
      </c>
      <c r="AG129" s="79">
        <v>2033</v>
      </c>
      <c r="AH129" s="79">
        <v>2032</v>
      </c>
      <c r="AI129" s="79">
        <v>2349</v>
      </c>
      <c r="AJ129" s="79">
        <v>2251</v>
      </c>
      <c r="AK129" s="79">
        <v>102</v>
      </c>
      <c r="AL129" s="79">
        <v>10280</v>
      </c>
      <c r="AM129" s="79">
        <v>10280</v>
      </c>
      <c r="AN129" s="79">
        <v>7602</v>
      </c>
      <c r="AO129" s="79">
        <v>1727</v>
      </c>
      <c r="AP129" s="79">
        <v>2464</v>
      </c>
      <c r="AQ129" s="79">
        <v>1604</v>
      </c>
      <c r="AR129" s="79">
        <v>948</v>
      </c>
      <c r="AS129" s="79">
        <v>880</v>
      </c>
      <c r="AT129" s="79">
        <v>6591</v>
      </c>
      <c r="AU129" s="79">
        <v>6590</v>
      </c>
    </row>
    <row r="130" spans="1:47" x14ac:dyDescent="0.35">
      <c r="A130" s="78" t="s">
        <v>586</v>
      </c>
      <c r="B130" s="79">
        <v>94187</v>
      </c>
      <c r="C130" s="79">
        <v>35591</v>
      </c>
      <c r="D130" s="79">
        <v>32121</v>
      </c>
      <c r="E130" s="79">
        <v>6543</v>
      </c>
      <c r="F130" s="79">
        <v>6192</v>
      </c>
      <c r="G130" s="79">
        <v>1359</v>
      </c>
      <c r="H130" s="79">
        <v>3873</v>
      </c>
      <c r="I130" s="79">
        <v>973</v>
      </c>
      <c r="J130" s="79">
        <v>3128</v>
      </c>
      <c r="K130" s="79">
        <v>4717</v>
      </c>
      <c r="L130" s="79">
        <v>3714</v>
      </c>
      <c r="M130" s="79">
        <v>1620</v>
      </c>
      <c r="N130" s="79">
        <v>3474</v>
      </c>
      <c r="O130" s="79">
        <v>706</v>
      </c>
      <c r="P130" s="79">
        <v>2773</v>
      </c>
      <c r="Q130" s="79">
        <v>12797</v>
      </c>
      <c r="R130" s="79">
        <v>6084</v>
      </c>
      <c r="S130" s="79">
        <v>1704</v>
      </c>
      <c r="T130" s="79">
        <v>2674</v>
      </c>
      <c r="U130" s="79">
        <v>1717</v>
      </c>
      <c r="V130" s="79">
        <v>5858</v>
      </c>
      <c r="W130" s="79">
        <v>914</v>
      </c>
      <c r="X130" s="79">
        <v>17248</v>
      </c>
      <c r="Y130" s="79">
        <v>445</v>
      </c>
      <c r="Z130" s="79">
        <v>1446</v>
      </c>
      <c r="AA130" s="79">
        <v>15408</v>
      </c>
      <c r="AB130" s="79">
        <v>8436</v>
      </c>
      <c r="AC130" s="79">
        <v>6367</v>
      </c>
      <c r="AD130" s="79">
        <v>439</v>
      </c>
      <c r="AE130" s="79">
        <v>202</v>
      </c>
      <c r="AF130" s="80" t="s">
        <v>496</v>
      </c>
      <c r="AG130" s="79">
        <v>2016</v>
      </c>
      <c r="AH130" s="79">
        <v>2016</v>
      </c>
      <c r="AI130" s="79">
        <v>2445</v>
      </c>
      <c r="AJ130" s="79">
        <v>2323</v>
      </c>
      <c r="AK130" s="79">
        <v>124</v>
      </c>
      <c r="AL130" s="79">
        <v>10274</v>
      </c>
      <c r="AM130" s="79">
        <v>10273</v>
      </c>
      <c r="AN130" s="79">
        <v>7591</v>
      </c>
      <c r="AO130" s="79">
        <v>1832</v>
      </c>
      <c r="AP130" s="79">
        <v>2352</v>
      </c>
      <c r="AQ130" s="79">
        <v>1592</v>
      </c>
      <c r="AR130" s="79">
        <v>1011</v>
      </c>
      <c r="AS130" s="79">
        <v>816</v>
      </c>
      <c r="AT130" s="79">
        <v>6618</v>
      </c>
      <c r="AU130" s="79">
        <v>6618</v>
      </c>
    </row>
    <row r="131" spans="1:47" x14ac:dyDescent="0.35">
      <c r="A131" s="78" t="s">
        <v>587</v>
      </c>
      <c r="B131" s="79">
        <v>93191</v>
      </c>
      <c r="C131" s="79">
        <v>34983</v>
      </c>
      <c r="D131" s="79">
        <v>31518</v>
      </c>
      <c r="E131" s="79">
        <v>6465</v>
      </c>
      <c r="F131" s="79">
        <v>6150</v>
      </c>
      <c r="G131" s="79">
        <v>1368</v>
      </c>
      <c r="H131" s="79">
        <v>3793</v>
      </c>
      <c r="I131" s="79">
        <v>956</v>
      </c>
      <c r="J131" s="79">
        <v>3137</v>
      </c>
      <c r="K131" s="79">
        <v>4607</v>
      </c>
      <c r="L131" s="79">
        <v>3456</v>
      </c>
      <c r="M131" s="79">
        <v>1588</v>
      </c>
      <c r="N131" s="79">
        <v>3470</v>
      </c>
      <c r="O131" s="79">
        <v>707</v>
      </c>
      <c r="P131" s="79">
        <v>2768</v>
      </c>
      <c r="Q131" s="79">
        <v>12627</v>
      </c>
      <c r="R131" s="79">
        <v>6025</v>
      </c>
      <c r="S131" s="79">
        <v>1696</v>
      </c>
      <c r="T131" s="79">
        <v>2659</v>
      </c>
      <c r="U131" s="79">
        <v>1680</v>
      </c>
      <c r="V131" s="79">
        <v>5765</v>
      </c>
      <c r="W131" s="79">
        <v>895</v>
      </c>
      <c r="X131" s="79">
        <v>16715</v>
      </c>
      <c r="Y131" s="79">
        <v>443</v>
      </c>
      <c r="Z131" s="79">
        <v>1438</v>
      </c>
      <c r="AA131" s="79">
        <v>14856</v>
      </c>
      <c r="AB131" s="79">
        <v>8422</v>
      </c>
      <c r="AC131" s="79">
        <v>5842</v>
      </c>
      <c r="AD131" s="79">
        <v>437</v>
      </c>
      <c r="AE131" s="79">
        <v>184</v>
      </c>
      <c r="AF131" s="80" t="s">
        <v>496</v>
      </c>
      <c r="AG131" s="79">
        <v>2064</v>
      </c>
      <c r="AH131" s="79">
        <v>2064</v>
      </c>
      <c r="AI131" s="79">
        <v>2626</v>
      </c>
      <c r="AJ131" s="79">
        <v>2479</v>
      </c>
      <c r="AK131" s="79">
        <v>148</v>
      </c>
      <c r="AL131" s="79">
        <v>10197</v>
      </c>
      <c r="AM131" s="79">
        <v>10196</v>
      </c>
      <c r="AN131" s="79">
        <v>7556</v>
      </c>
      <c r="AO131" s="79">
        <v>1759</v>
      </c>
      <c r="AP131" s="79">
        <v>2323</v>
      </c>
      <c r="AQ131" s="79">
        <v>1582</v>
      </c>
      <c r="AR131" s="79">
        <v>1039</v>
      </c>
      <c r="AS131" s="79">
        <v>861</v>
      </c>
      <c r="AT131" s="79">
        <v>6690</v>
      </c>
      <c r="AU131" s="79">
        <v>6690</v>
      </c>
    </row>
    <row r="132" spans="1:47" x14ac:dyDescent="0.35">
      <c r="A132" s="78" t="s">
        <v>588</v>
      </c>
      <c r="B132" s="79">
        <v>92804</v>
      </c>
      <c r="C132" s="79">
        <v>34547</v>
      </c>
      <c r="D132" s="79">
        <v>31070</v>
      </c>
      <c r="E132" s="79">
        <v>6249</v>
      </c>
      <c r="F132" s="79">
        <v>6105</v>
      </c>
      <c r="G132" s="79">
        <v>1382</v>
      </c>
      <c r="H132" s="79">
        <v>3790</v>
      </c>
      <c r="I132" s="79">
        <v>919</v>
      </c>
      <c r="J132" s="79">
        <v>3053</v>
      </c>
      <c r="K132" s="79">
        <v>4563</v>
      </c>
      <c r="L132" s="79">
        <v>3506</v>
      </c>
      <c r="M132" s="79">
        <v>1492</v>
      </c>
      <c r="N132" s="79">
        <v>3483</v>
      </c>
      <c r="O132" s="79">
        <v>706</v>
      </c>
      <c r="P132" s="79">
        <v>2782</v>
      </c>
      <c r="Q132" s="79">
        <v>12276</v>
      </c>
      <c r="R132" s="79">
        <v>5934</v>
      </c>
      <c r="S132" s="79">
        <v>1701</v>
      </c>
      <c r="T132" s="79">
        <v>2602</v>
      </c>
      <c r="U132" s="79">
        <v>1639</v>
      </c>
      <c r="V132" s="79">
        <v>5516</v>
      </c>
      <c r="W132" s="79">
        <v>867</v>
      </c>
      <c r="X132" s="79">
        <v>17270</v>
      </c>
      <c r="Y132" s="79">
        <v>463</v>
      </c>
      <c r="Z132" s="79">
        <v>1445</v>
      </c>
      <c r="AA132" s="79">
        <v>15408</v>
      </c>
      <c r="AB132" s="79">
        <v>8150</v>
      </c>
      <c r="AC132" s="79">
        <v>6818</v>
      </c>
      <c r="AD132" s="79">
        <v>349</v>
      </c>
      <c r="AE132" s="79">
        <v>166</v>
      </c>
      <c r="AF132" s="80" t="s">
        <v>496</v>
      </c>
      <c r="AG132" s="79">
        <v>2113</v>
      </c>
      <c r="AH132" s="79">
        <v>2113</v>
      </c>
      <c r="AI132" s="79">
        <v>2589</v>
      </c>
      <c r="AJ132" s="79">
        <v>2461</v>
      </c>
      <c r="AK132" s="79">
        <v>130</v>
      </c>
      <c r="AL132" s="79">
        <v>10136</v>
      </c>
      <c r="AM132" s="79">
        <v>10137</v>
      </c>
      <c r="AN132" s="79">
        <v>7590</v>
      </c>
      <c r="AO132" s="79">
        <v>1763</v>
      </c>
      <c r="AP132" s="79">
        <v>2448</v>
      </c>
      <c r="AQ132" s="79">
        <v>1527</v>
      </c>
      <c r="AR132" s="79">
        <v>1056</v>
      </c>
      <c r="AS132" s="79">
        <v>805</v>
      </c>
      <c r="AT132" s="79">
        <v>6744</v>
      </c>
      <c r="AU132" s="79">
        <v>6744</v>
      </c>
    </row>
    <row r="133" spans="1:47" x14ac:dyDescent="0.35">
      <c r="A133" s="78" t="s">
        <v>589</v>
      </c>
      <c r="B133" s="79">
        <v>91427</v>
      </c>
      <c r="C133" s="79">
        <v>34737</v>
      </c>
      <c r="D133" s="79">
        <v>31211</v>
      </c>
      <c r="E133" s="79">
        <v>6257</v>
      </c>
      <c r="F133" s="79">
        <v>6075</v>
      </c>
      <c r="G133" s="79">
        <v>1423</v>
      </c>
      <c r="H133" s="79">
        <v>3817</v>
      </c>
      <c r="I133" s="79">
        <v>997</v>
      </c>
      <c r="J133" s="79">
        <v>3026</v>
      </c>
      <c r="K133" s="79">
        <v>4619</v>
      </c>
      <c r="L133" s="79">
        <v>3455</v>
      </c>
      <c r="M133" s="79">
        <v>1548</v>
      </c>
      <c r="N133" s="79">
        <v>3532</v>
      </c>
      <c r="O133" s="79">
        <v>729</v>
      </c>
      <c r="P133" s="79">
        <v>2806</v>
      </c>
      <c r="Q133" s="79">
        <v>12322</v>
      </c>
      <c r="R133" s="79">
        <v>5991</v>
      </c>
      <c r="S133" s="79">
        <v>1671</v>
      </c>
      <c r="T133" s="79">
        <v>2651</v>
      </c>
      <c r="U133" s="79">
        <v>1679</v>
      </c>
      <c r="V133" s="79">
        <v>5516</v>
      </c>
      <c r="W133" s="79">
        <v>856</v>
      </c>
      <c r="X133" s="79">
        <v>16008</v>
      </c>
      <c r="Y133" s="79">
        <v>438</v>
      </c>
      <c r="Z133" s="79">
        <v>1449</v>
      </c>
      <c r="AA133" s="79">
        <v>14093</v>
      </c>
      <c r="AB133" s="79">
        <v>7931</v>
      </c>
      <c r="AC133" s="79">
        <v>5526</v>
      </c>
      <c r="AD133" s="79">
        <v>486</v>
      </c>
      <c r="AE133" s="79">
        <v>160</v>
      </c>
      <c r="AF133" s="80" t="s">
        <v>496</v>
      </c>
      <c r="AG133" s="79">
        <v>2130</v>
      </c>
      <c r="AH133" s="79">
        <v>2130</v>
      </c>
      <c r="AI133" s="79">
        <v>2442</v>
      </c>
      <c r="AJ133" s="79">
        <v>2337</v>
      </c>
      <c r="AK133" s="79">
        <v>109</v>
      </c>
      <c r="AL133" s="79">
        <v>9863</v>
      </c>
      <c r="AM133" s="79">
        <v>9863</v>
      </c>
      <c r="AN133" s="79">
        <v>7430</v>
      </c>
      <c r="AO133" s="79">
        <v>1560</v>
      </c>
      <c r="AP133" s="79">
        <v>2658</v>
      </c>
      <c r="AQ133" s="79">
        <v>1468</v>
      </c>
      <c r="AR133" s="79">
        <v>694</v>
      </c>
      <c r="AS133" s="79">
        <v>1067</v>
      </c>
      <c r="AT133" s="79">
        <v>6679</v>
      </c>
      <c r="AU133" s="79">
        <v>6679</v>
      </c>
    </row>
    <row r="134" spans="1:47" x14ac:dyDescent="0.35">
      <c r="A134" s="78" t="s">
        <v>590</v>
      </c>
      <c r="B134" s="79">
        <v>92454</v>
      </c>
      <c r="C134" s="79">
        <v>35105</v>
      </c>
      <c r="D134" s="79">
        <v>31671</v>
      </c>
      <c r="E134" s="79">
        <v>6393</v>
      </c>
      <c r="F134" s="79">
        <v>6059</v>
      </c>
      <c r="G134" s="79">
        <v>1426</v>
      </c>
      <c r="H134" s="79">
        <v>4097</v>
      </c>
      <c r="I134" s="79">
        <v>977</v>
      </c>
      <c r="J134" s="79">
        <v>2959</v>
      </c>
      <c r="K134" s="79">
        <v>4724</v>
      </c>
      <c r="L134" s="79">
        <v>3505</v>
      </c>
      <c r="M134" s="79">
        <v>1544</v>
      </c>
      <c r="N134" s="79">
        <v>3439</v>
      </c>
      <c r="O134" s="79">
        <v>727</v>
      </c>
      <c r="P134" s="79">
        <v>2714</v>
      </c>
      <c r="Q134" s="79">
        <v>12256</v>
      </c>
      <c r="R134" s="79">
        <v>5887</v>
      </c>
      <c r="S134" s="79">
        <v>1637</v>
      </c>
      <c r="T134" s="79">
        <v>2574</v>
      </c>
      <c r="U134" s="79">
        <v>1687</v>
      </c>
      <c r="V134" s="79">
        <v>5556</v>
      </c>
      <c r="W134" s="79">
        <v>863</v>
      </c>
      <c r="X134" s="79">
        <v>16598</v>
      </c>
      <c r="Y134" s="79">
        <v>400</v>
      </c>
      <c r="Z134" s="79">
        <v>1475</v>
      </c>
      <c r="AA134" s="79">
        <v>14733</v>
      </c>
      <c r="AB134" s="79">
        <v>7679</v>
      </c>
      <c r="AC134" s="79">
        <v>6440</v>
      </c>
      <c r="AD134" s="79">
        <v>477</v>
      </c>
      <c r="AE134" s="79">
        <v>165</v>
      </c>
      <c r="AF134" s="80" t="s">
        <v>496</v>
      </c>
      <c r="AG134" s="79">
        <v>2146</v>
      </c>
      <c r="AH134" s="79">
        <v>2146</v>
      </c>
      <c r="AI134" s="79">
        <v>2303</v>
      </c>
      <c r="AJ134" s="79">
        <v>2186</v>
      </c>
      <c r="AK134" s="79">
        <v>120</v>
      </c>
      <c r="AL134" s="79">
        <v>9943</v>
      </c>
      <c r="AM134" s="79">
        <v>9943</v>
      </c>
      <c r="AN134" s="79">
        <v>7999</v>
      </c>
      <c r="AO134" s="79">
        <v>1828</v>
      </c>
      <c r="AP134" s="79">
        <v>2774</v>
      </c>
      <c r="AQ134" s="79">
        <v>1455</v>
      </c>
      <c r="AR134" s="79">
        <v>1024</v>
      </c>
      <c r="AS134" s="79">
        <v>919</v>
      </c>
      <c r="AT134" s="79">
        <v>6459</v>
      </c>
      <c r="AU134" s="79">
        <v>6459</v>
      </c>
    </row>
    <row r="135" spans="1:47" x14ac:dyDescent="0.35">
      <c r="A135" s="78" t="s">
        <v>591</v>
      </c>
      <c r="B135" s="79">
        <v>95047</v>
      </c>
      <c r="C135" s="79">
        <v>37104</v>
      </c>
      <c r="D135" s="79">
        <v>33607</v>
      </c>
      <c r="E135" s="79">
        <v>7088</v>
      </c>
      <c r="F135" s="79">
        <v>6494</v>
      </c>
      <c r="G135" s="79">
        <v>1416</v>
      </c>
      <c r="H135" s="79">
        <v>4246</v>
      </c>
      <c r="I135" s="79">
        <v>1047</v>
      </c>
      <c r="J135" s="79">
        <v>3096</v>
      </c>
      <c r="K135" s="79">
        <v>5042</v>
      </c>
      <c r="L135" s="79">
        <v>3561</v>
      </c>
      <c r="M135" s="79">
        <v>1646</v>
      </c>
      <c r="N135" s="79">
        <v>3504</v>
      </c>
      <c r="O135" s="79">
        <v>730</v>
      </c>
      <c r="P135" s="79">
        <v>2777</v>
      </c>
      <c r="Q135" s="79">
        <v>13017</v>
      </c>
      <c r="R135" s="79">
        <v>6386</v>
      </c>
      <c r="S135" s="79">
        <v>1731</v>
      </c>
      <c r="T135" s="79">
        <v>2840</v>
      </c>
      <c r="U135" s="79">
        <v>1829</v>
      </c>
      <c r="V135" s="79">
        <v>5808</v>
      </c>
      <c r="W135" s="79">
        <v>869</v>
      </c>
      <c r="X135" s="79">
        <v>16546</v>
      </c>
      <c r="Y135" s="79">
        <v>484</v>
      </c>
      <c r="Z135" s="79">
        <v>1507</v>
      </c>
      <c r="AA135" s="79">
        <v>14507</v>
      </c>
      <c r="AB135" s="79">
        <v>8116</v>
      </c>
      <c r="AC135" s="79">
        <v>5811</v>
      </c>
      <c r="AD135" s="79">
        <v>461</v>
      </c>
      <c r="AE135" s="79">
        <v>131</v>
      </c>
      <c r="AF135" s="80" t="s">
        <v>496</v>
      </c>
      <c r="AG135" s="79">
        <v>2605</v>
      </c>
      <c r="AH135" s="79">
        <v>2606</v>
      </c>
      <c r="AI135" s="79">
        <v>2536</v>
      </c>
      <c r="AJ135" s="79">
        <v>2352</v>
      </c>
      <c r="AK135" s="79">
        <v>183</v>
      </c>
      <c r="AL135" s="79">
        <v>10161</v>
      </c>
      <c r="AM135" s="79">
        <v>10162</v>
      </c>
      <c r="AN135" s="79">
        <v>7379</v>
      </c>
      <c r="AO135" s="79">
        <v>1510</v>
      </c>
      <c r="AP135" s="79">
        <v>2761</v>
      </c>
      <c r="AQ135" s="79">
        <v>1413</v>
      </c>
      <c r="AR135" s="79">
        <v>850</v>
      </c>
      <c r="AS135" s="79">
        <v>866</v>
      </c>
      <c r="AT135" s="79">
        <v>5942</v>
      </c>
      <c r="AU135" s="79">
        <v>5942</v>
      </c>
    </row>
    <row r="136" spans="1:47" x14ac:dyDescent="0.35">
      <c r="A136" s="78" t="s">
        <v>592</v>
      </c>
      <c r="B136" s="79">
        <v>90697</v>
      </c>
      <c r="C136" s="79">
        <v>36831</v>
      </c>
      <c r="D136" s="79">
        <v>33101</v>
      </c>
      <c r="E136" s="79">
        <v>6758</v>
      </c>
      <c r="F136" s="79">
        <v>6612</v>
      </c>
      <c r="G136" s="79">
        <v>1475</v>
      </c>
      <c r="H136" s="79">
        <v>4182</v>
      </c>
      <c r="I136" s="79">
        <v>1106</v>
      </c>
      <c r="J136" s="79">
        <v>2992</v>
      </c>
      <c r="K136" s="79">
        <v>4795</v>
      </c>
      <c r="L136" s="79">
        <v>3563</v>
      </c>
      <c r="M136" s="79">
        <v>1657</v>
      </c>
      <c r="N136" s="79">
        <v>3736</v>
      </c>
      <c r="O136" s="79">
        <v>863</v>
      </c>
      <c r="P136" s="79">
        <v>2870</v>
      </c>
      <c r="Q136" s="79">
        <v>14615</v>
      </c>
      <c r="R136" s="79">
        <v>7874</v>
      </c>
      <c r="S136" s="79">
        <v>2185</v>
      </c>
      <c r="T136" s="79">
        <v>3362</v>
      </c>
      <c r="U136" s="79">
        <v>2344</v>
      </c>
      <c r="V136" s="79">
        <v>6208</v>
      </c>
      <c r="W136" s="79">
        <v>588</v>
      </c>
      <c r="X136" s="79">
        <v>17118</v>
      </c>
      <c r="Y136" s="79">
        <v>427</v>
      </c>
      <c r="Z136" s="79">
        <v>1546</v>
      </c>
      <c r="AA136" s="79">
        <v>15135</v>
      </c>
      <c r="AB136" s="79">
        <v>8615</v>
      </c>
      <c r="AC136" s="79">
        <v>5825</v>
      </c>
      <c r="AD136" s="79">
        <v>553</v>
      </c>
      <c r="AE136" s="79">
        <v>123</v>
      </c>
      <c r="AF136" s="80" t="s">
        <v>496</v>
      </c>
      <c r="AG136" s="79">
        <v>2830</v>
      </c>
      <c r="AH136" s="79">
        <v>2830</v>
      </c>
      <c r="AI136" s="79">
        <v>2394</v>
      </c>
      <c r="AJ136" s="79">
        <v>2269</v>
      </c>
      <c r="AK136" s="79">
        <v>127</v>
      </c>
      <c r="AL136" s="79">
        <v>5265</v>
      </c>
      <c r="AM136" s="79">
        <v>5264</v>
      </c>
      <c r="AN136" s="79">
        <v>6568</v>
      </c>
      <c r="AO136" s="79">
        <v>1834</v>
      </c>
      <c r="AP136" s="79">
        <v>2226</v>
      </c>
      <c r="AQ136" s="79">
        <v>1099</v>
      </c>
      <c r="AR136" s="79">
        <v>763</v>
      </c>
      <c r="AS136" s="79">
        <v>647</v>
      </c>
      <c r="AT136" s="79">
        <v>5774</v>
      </c>
      <c r="AU136" s="79">
        <v>5774</v>
      </c>
    </row>
    <row r="137" spans="1:47" x14ac:dyDescent="0.35">
      <c r="A137" s="78" t="s">
        <v>593</v>
      </c>
      <c r="B137" s="79">
        <v>93745</v>
      </c>
      <c r="C137" s="79">
        <v>36071</v>
      </c>
      <c r="D137" s="79">
        <v>32503</v>
      </c>
      <c r="E137" s="79">
        <v>6515</v>
      </c>
      <c r="F137" s="79">
        <v>6008</v>
      </c>
      <c r="G137" s="79">
        <v>1488</v>
      </c>
      <c r="H137" s="79">
        <v>4070</v>
      </c>
      <c r="I137" s="79">
        <v>1084</v>
      </c>
      <c r="J137" s="79">
        <v>3023</v>
      </c>
      <c r="K137" s="79">
        <v>4932</v>
      </c>
      <c r="L137" s="79">
        <v>3611</v>
      </c>
      <c r="M137" s="79">
        <v>1813</v>
      </c>
      <c r="N137" s="79">
        <v>3574</v>
      </c>
      <c r="O137" s="79">
        <v>753</v>
      </c>
      <c r="P137" s="79">
        <v>2824</v>
      </c>
      <c r="Q137" s="79">
        <v>14434</v>
      </c>
      <c r="R137" s="79">
        <v>7572</v>
      </c>
      <c r="S137" s="79">
        <v>2158</v>
      </c>
      <c r="T137" s="79">
        <v>3279</v>
      </c>
      <c r="U137" s="79">
        <v>2147</v>
      </c>
      <c r="V137" s="79">
        <v>6104</v>
      </c>
      <c r="W137" s="79">
        <v>784</v>
      </c>
      <c r="X137" s="79">
        <v>17061</v>
      </c>
      <c r="Y137" s="79">
        <v>481</v>
      </c>
      <c r="Z137" s="79">
        <v>1557</v>
      </c>
      <c r="AA137" s="79">
        <v>14979</v>
      </c>
      <c r="AB137" s="79">
        <v>7887</v>
      </c>
      <c r="AC137" s="79">
        <v>6680</v>
      </c>
      <c r="AD137" s="79">
        <v>394</v>
      </c>
      <c r="AE137" s="79">
        <v>122</v>
      </c>
      <c r="AF137" s="80" t="s">
        <v>496</v>
      </c>
      <c r="AG137" s="79">
        <v>2472</v>
      </c>
      <c r="AH137" s="79">
        <v>2471</v>
      </c>
      <c r="AI137" s="79">
        <v>2383</v>
      </c>
      <c r="AJ137" s="79">
        <v>2229</v>
      </c>
      <c r="AK137" s="79">
        <v>154</v>
      </c>
      <c r="AL137" s="79">
        <v>8111</v>
      </c>
      <c r="AM137" s="79">
        <v>8111</v>
      </c>
      <c r="AN137" s="79">
        <v>7376</v>
      </c>
      <c r="AO137" s="79">
        <v>1987</v>
      </c>
      <c r="AP137" s="79">
        <v>2480</v>
      </c>
      <c r="AQ137" s="79">
        <v>1148</v>
      </c>
      <c r="AR137" s="79">
        <v>896</v>
      </c>
      <c r="AS137" s="79">
        <v>849</v>
      </c>
      <c r="AT137" s="79">
        <v>6229</v>
      </c>
      <c r="AU137" s="79">
        <v>6229</v>
      </c>
    </row>
    <row r="138" spans="1:47" x14ac:dyDescent="0.35">
      <c r="A138" s="78" t="s">
        <v>594</v>
      </c>
      <c r="B138" s="79">
        <v>93515</v>
      </c>
      <c r="C138" s="79">
        <v>36071</v>
      </c>
      <c r="D138" s="79">
        <v>32511</v>
      </c>
      <c r="E138" s="79">
        <v>6127</v>
      </c>
      <c r="F138" s="79">
        <v>6278</v>
      </c>
      <c r="G138" s="79">
        <v>1479</v>
      </c>
      <c r="H138" s="79">
        <v>4218</v>
      </c>
      <c r="I138" s="79">
        <v>1058</v>
      </c>
      <c r="J138" s="79">
        <v>3049</v>
      </c>
      <c r="K138" s="79">
        <v>4862</v>
      </c>
      <c r="L138" s="79">
        <v>3723</v>
      </c>
      <c r="M138" s="79">
        <v>1742</v>
      </c>
      <c r="N138" s="79">
        <v>3566</v>
      </c>
      <c r="O138" s="79">
        <v>760</v>
      </c>
      <c r="P138" s="79">
        <v>2808</v>
      </c>
      <c r="Q138" s="79">
        <v>13920</v>
      </c>
      <c r="R138" s="79">
        <v>7110</v>
      </c>
      <c r="S138" s="79">
        <v>1878</v>
      </c>
      <c r="T138" s="79">
        <v>3027</v>
      </c>
      <c r="U138" s="79">
        <v>2226</v>
      </c>
      <c r="V138" s="79">
        <v>6094</v>
      </c>
      <c r="W138" s="79">
        <v>770</v>
      </c>
      <c r="X138" s="79">
        <v>18185</v>
      </c>
      <c r="Y138" s="79">
        <v>500</v>
      </c>
      <c r="Z138" s="79">
        <v>1550</v>
      </c>
      <c r="AA138" s="79">
        <v>16161</v>
      </c>
      <c r="AB138" s="79">
        <v>8955</v>
      </c>
      <c r="AC138" s="79">
        <v>6774</v>
      </c>
      <c r="AD138" s="79">
        <v>398</v>
      </c>
      <c r="AE138" s="79">
        <v>115</v>
      </c>
      <c r="AF138" s="80" t="s">
        <v>496</v>
      </c>
      <c r="AG138" s="79">
        <v>2276</v>
      </c>
      <c r="AH138" s="79">
        <v>2276</v>
      </c>
      <c r="AI138" s="79">
        <v>2414</v>
      </c>
      <c r="AJ138" s="79">
        <v>2224</v>
      </c>
      <c r="AK138" s="79">
        <v>188</v>
      </c>
      <c r="AL138" s="79">
        <v>7606</v>
      </c>
      <c r="AM138" s="79">
        <v>7606</v>
      </c>
      <c r="AN138" s="79">
        <v>7734</v>
      </c>
      <c r="AO138" s="79">
        <v>1857</v>
      </c>
      <c r="AP138" s="79">
        <v>3036</v>
      </c>
      <c r="AQ138" s="79">
        <v>1146</v>
      </c>
      <c r="AR138" s="79">
        <v>791</v>
      </c>
      <c r="AS138" s="79">
        <v>909</v>
      </c>
      <c r="AT138" s="79">
        <v>6093</v>
      </c>
      <c r="AU138" s="79">
        <v>6093</v>
      </c>
    </row>
    <row r="139" spans="1:47" x14ac:dyDescent="0.35">
      <c r="A139" s="78" t="s">
        <v>595</v>
      </c>
      <c r="B139" s="79">
        <v>95574</v>
      </c>
      <c r="C139" s="79">
        <v>37288</v>
      </c>
      <c r="D139" s="79">
        <v>33464</v>
      </c>
      <c r="E139" s="79">
        <v>6324</v>
      </c>
      <c r="F139" s="79">
        <v>6529</v>
      </c>
      <c r="G139" s="79">
        <v>1618</v>
      </c>
      <c r="H139" s="79">
        <v>3997</v>
      </c>
      <c r="I139" s="79">
        <v>1028</v>
      </c>
      <c r="J139" s="79">
        <v>3075</v>
      </c>
      <c r="K139" s="79">
        <v>5000</v>
      </c>
      <c r="L139" s="79">
        <v>4098</v>
      </c>
      <c r="M139" s="79">
        <v>1790</v>
      </c>
      <c r="N139" s="79">
        <v>3827</v>
      </c>
      <c r="O139" s="79">
        <v>907</v>
      </c>
      <c r="P139" s="79">
        <v>2919</v>
      </c>
      <c r="Q139" s="79">
        <v>14399</v>
      </c>
      <c r="R139" s="79">
        <v>7521</v>
      </c>
      <c r="S139" s="79">
        <v>2149</v>
      </c>
      <c r="T139" s="79">
        <v>3190</v>
      </c>
      <c r="U139" s="79">
        <v>2196</v>
      </c>
      <c r="V139" s="79">
        <v>6132</v>
      </c>
      <c r="W139" s="79">
        <v>779</v>
      </c>
      <c r="X139" s="79">
        <v>18535</v>
      </c>
      <c r="Y139" s="79">
        <v>446</v>
      </c>
      <c r="Z139" s="79">
        <v>1529</v>
      </c>
      <c r="AA139" s="79">
        <v>16658</v>
      </c>
      <c r="AB139" s="79">
        <v>9151</v>
      </c>
      <c r="AC139" s="79">
        <v>6922</v>
      </c>
      <c r="AD139" s="79">
        <v>391</v>
      </c>
      <c r="AE139" s="79">
        <v>217</v>
      </c>
      <c r="AF139" s="80" t="s">
        <v>496</v>
      </c>
      <c r="AG139" s="79">
        <v>2240</v>
      </c>
      <c r="AH139" s="79">
        <v>2240</v>
      </c>
      <c r="AI139" s="79">
        <v>2367</v>
      </c>
      <c r="AJ139" s="79">
        <v>2252</v>
      </c>
      <c r="AK139" s="79">
        <v>115</v>
      </c>
      <c r="AL139" s="79">
        <v>6960</v>
      </c>
      <c r="AM139" s="79">
        <v>6959</v>
      </c>
      <c r="AN139" s="79">
        <v>8012</v>
      </c>
      <c r="AO139" s="79">
        <v>2069</v>
      </c>
      <c r="AP139" s="79">
        <v>3082</v>
      </c>
      <c r="AQ139" s="79">
        <v>1060</v>
      </c>
      <c r="AR139" s="79">
        <v>840</v>
      </c>
      <c r="AS139" s="79">
        <v>957</v>
      </c>
      <c r="AT139" s="79">
        <v>6495</v>
      </c>
      <c r="AU139" s="79">
        <v>6495</v>
      </c>
    </row>
    <row r="140" spans="1:47" x14ac:dyDescent="0.35">
      <c r="A140" s="78" t="s">
        <v>596</v>
      </c>
      <c r="B140" s="79">
        <v>98172</v>
      </c>
      <c r="C140" s="79">
        <v>36634</v>
      </c>
      <c r="D140" s="79">
        <v>32753</v>
      </c>
      <c r="E140" s="79">
        <v>6265</v>
      </c>
      <c r="F140" s="79">
        <v>6576</v>
      </c>
      <c r="G140" s="79">
        <v>1478</v>
      </c>
      <c r="H140" s="79">
        <v>3874</v>
      </c>
      <c r="I140" s="79">
        <v>1011</v>
      </c>
      <c r="J140" s="79">
        <v>3120</v>
      </c>
      <c r="K140" s="79">
        <v>4969</v>
      </c>
      <c r="L140" s="79">
        <v>3693</v>
      </c>
      <c r="M140" s="79">
        <v>1773</v>
      </c>
      <c r="N140" s="79">
        <v>3882</v>
      </c>
      <c r="O140" s="79">
        <v>897</v>
      </c>
      <c r="P140" s="79">
        <v>2985</v>
      </c>
      <c r="Q140" s="79">
        <v>14074</v>
      </c>
      <c r="R140" s="79">
        <v>7270</v>
      </c>
      <c r="S140" s="79">
        <v>1991</v>
      </c>
      <c r="T140" s="79">
        <v>3098</v>
      </c>
      <c r="U140" s="79">
        <v>2197</v>
      </c>
      <c r="V140" s="79">
        <v>6062</v>
      </c>
      <c r="W140" s="79">
        <v>784</v>
      </c>
      <c r="X140" s="79">
        <v>18899</v>
      </c>
      <c r="Y140" s="79">
        <v>457</v>
      </c>
      <c r="Z140" s="79">
        <v>1485</v>
      </c>
      <c r="AA140" s="79">
        <v>17108</v>
      </c>
      <c r="AB140" s="79">
        <v>8918</v>
      </c>
      <c r="AC140" s="79">
        <v>7734</v>
      </c>
      <c r="AD140" s="79">
        <v>478</v>
      </c>
      <c r="AE140" s="79">
        <v>134</v>
      </c>
      <c r="AF140" s="80" t="s">
        <v>496</v>
      </c>
      <c r="AG140" s="79">
        <v>2296</v>
      </c>
      <c r="AH140" s="79">
        <v>2296</v>
      </c>
      <c r="AI140" s="79">
        <v>2508</v>
      </c>
      <c r="AJ140" s="79">
        <v>2303</v>
      </c>
      <c r="AK140" s="79">
        <v>204</v>
      </c>
      <c r="AL140" s="79">
        <v>9361</v>
      </c>
      <c r="AM140" s="79">
        <v>9362</v>
      </c>
      <c r="AN140" s="79">
        <v>8509</v>
      </c>
      <c r="AO140" s="79">
        <v>2172</v>
      </c>
      <c r="AP140" s="79">
        <v>3282</v>
      </c>
      <c r="AQ140" s="79">
        <v>1037</v>
      </c>
      <c r="AR140" s="79">
        <v>945</v>
      </c>
      <c r="AS140" s="79">
        <v>1060</v>
      </c>
      <c r="AT140" s="79">
        <v>6742</v>
      </c>
      <c r="AU140" s="79">
        <v>6742</v>
      </c>
    </row>
    <row r="141" spans="1:47" x14ac:dyDescent="0.35">
      <c r="A141" s="78" t="s">
        <v>597</v>
      </c>
      <c r="B141" s="79">
        <v>94295</v>
      </c>
      <c r="C141" s="79">
        <v>36260</v>
      </c>
      <c r="D141" s="79">
        <v>32446</v>
      </c>
      <c r="E141" s="79">
        <v>6352</v>
      </c>
      <c r="F141" s="79">
        <v>6406</v>
      </c>
      <c r="G141" s="79">
        <v>1427</v>
      </c>
      <c r="H141" s="79">
        <v>3832</v>
      </c>
      <c r="I141" s="79">
        <v>969</v>
      </c>
      <c r="J141" s="79">
        <v>3140</v>
      </c>
      <c r="K141" s="79">
        <v>4966</v>
      </c>
      <c r="L141" s="79">
        <v>3672</v>
      </c>
      <c r="M141" s="79">
        <v>1676</v>
      </c>
      <c r="N141" s="79">
        <v>3815</v>
      </c>
      <c r="O141" s="79">
        <v>839</v>
      </c>
      <c r="P141" s="79">
        <v>2977</v>
      </c>
      <c r="Q141" s="79">
        <v>13423</v>
      </c>
      <c r="R141" s="79">
        <v>6800</v>
      </c>
      <c r="S141" s="79">
        <v>1911</v>
      </c>
      <c r="T141" s="79">
        <v>2886</v>
      </c>
      <c r="U141" s="79">
        <v>2017</v>
      </c>
      <c r="V141" s="79">
        <v>5904</v>
      </c>
      <c r="W141" s="79">
        <v>777</v>
      </c>
      <c r="X141" s="79">
        <v>15971</v>
      </c>
      <c r="Y141" s="79">
        <v>434</v>
      </c>
      <c r="Z141" s="79">
        <v>1443</v>
      </c>
      <c r="AA141" s="79">
        <v>14070</v>
      </c>
      <c r="AB141" s="79">
        <v>8285</v>
      </c>
      <c r="AC141" s="79">
        <v>5092</v>
      </c>
      <c r="AD141" s="79">
        <v>479</v>
      </c>
      <c r="AE141" s="79">
        <v>137</v>
      </c>
      <c r="AF141" s="80" t="s">
        <v>496</v>
      </c>
      <c r="AG141" s="79">
        <v>2221</v>
      </c>
      <c r="AH141" s="79">
        <v>2221</v>
      </c>
      <c r="AI141" s="79">
        <v>2551</v>
      </c>
      <c r="AJ141" s="79">
        <v>2343</v>
      </c>
      <c r="AK141" s="79">
        <v>207</v>
      </c>
      <c r="AL141" s="79">
        <v>9738</v>
      </c>
      <c r="AM141" s="79">
        <v>9738</v>
      </c>
      <c r="AN141" s="79">
        <v>7760</v>
      </c>
      <c r="AO141" s="79">
        <v>2077</v>
      </c>
      <c r="AP141" s="79">
        <v>2679</v>
      </c>
      <c r="AQ141" s="79">
        <v>1049</v>
      </c>
      <c r="AR141" s="79">
        <v>890</v>
      </c>
      <c r="AS141" s="79">
        <v>1038</v>
      </c>
      <c r="AT141" s="79">
        <v>6578</v>
      </c>
      <c r="AU141" s="79">
        <v>6578</v>
      </c>
    </row>
    <row r="142" spans="1:47" x14ac:dyDescent="0.35">
      <c r="A142" s="78" t="s">
        <v>598</v>
      </c>
      <c r="B142" s="63">
        <v>95163</v>
      </c>
      <c r="C142" s="63">
        <v>36685</v>
      </c>
      <c r="D142" s="63">
        <v>32743</v>
      </c>
      <c r="E142" s="63">
        <v>6536</v>
      </c>
      <c r="F142" s="63">
        <v>6318</v>
      </c>
      <c r="G142" s="63">
        <v>1386</v>
      </c>
      <c r="H142" s="63">
        <v>3902</v>
      </c>
      <c r="I142" s="63">
        <v>1012</v>
      </c>
      <c r="J142" s="63">
        <v>3204</v>
      </c>
      <c r="K142" s="63">
        <v>4934</v>
      </c>
      <c r="L142" s="63">
        <v>3752</v>
      </c>
      <c r="M142" s="63">
        <v>1701</v>
      </c>
      <c r="N142" s="63">
        <v>3942</v>
      </c>
      <c r="O142" s="63">
        <v>863</v>
      </c>
      <c r="P142" s="63">
        <v>3079</v>
      </c>
      <c r="Q142" s="63">
        <v>13167</v>
      </c>
      <c r="R142" s="63">
        <v>6686</v>
      </c>
      <c r="S142" s="63">
        <v>1874</v>
      </c>
      <c r="T142" s="63">
        <v>2894</v>
      </c>
      <c r="U142" s="63">
        <v>1931</v>
      </c>
      <c r="V142" s="63">
        <v>5753</v>
      </c>
      <c r="W142" s="63">
        <v>778</v>
      </c>
      <c r="X142" s="63">
        <v>16775</v>
      </c>
      <c r="Y142" s="63">
        <v>454</v>
      </c>
      <c r="Z142" s="63">
        <v>1407</v>
      </c>
      <c r="AA142" s="63">
        <v>14962</v>
      </c>
      <c r="AB142" s="63">
        <v>8313</v>
      </c>
      <c r="AC142" s="63">
        <v>6099</v>
      </c>
      <c r="AD142" s="63">
        <v>427</v>
      </c>
      <c r="AE142" s="63">
        <v>140</v>
      </c>
      <c r="AF142" s="64" t="s">
        <v>496</v>
      </c>
      <c r="AG142" s="63">
        <v>2263</v>
      </c>
      <c r="AH142" s="63">
        <v>2263</v>
      </c>
      <c r="AI142" s="63">
        <v>2461</v>
      </c>
      <c r="AJ142" s="63">
        <v>2295</v>
      </c>
      <c r="AK142" s="63">
        <v>166</v>
      </c>
      <c r="AL142" s="63">
        <v>9443</v>
      </c>
      <c r="AM142" s="63">
        <v>9443</v>
      </c>
      <c r="AN142" s="63">
        <v>7815</v>
      </c>
      <c r="AO142" s="63">
        <v>2015</v>
      </c>
      <c r="AP142" s="63">
        <v>2757</v>
      </c>
      <c r="AQ142" s="63">
        <v>1044</v>
      </c>
      <c r="AR142" s="63">
        <v>951</v>
      </c>
      <c r="AS142" s="63">
        <v>1022</v>
      </c>
      <c r="AT142" s="63">
        <v>6953</v>
      </c>
      <c r="AU142" s="63">
        <v>6953</v>
      </c>
    </row>
    <row r="143" spans="1:47" x14ac:dyDescent="0.35">
      <c r="A143" s="78" t="s">
        <v>599</v>
      </c>
      <c r="B143" s="63">
        <v>94359</v>
      </c>
      <c r="C143" s="63">
        <v>36298</v>
      </c>
      <c r="D143" s="63">
        <v>32404</v>
      </c>
      <c r="E143" s="63">
        <v>6527</v>
      </c>
      <c r="F143" s="63">
        <v>6234</v>
      </c>
      <c r="G143" s="63">
        <v>1345</v>
      </c>
      <c r="H143" s="63">
        <v>4067</v>
      </c>
      <c r="I143" s="63">
        <v>1002</v>
      </c>
      <c r="J143" s="63">
        <v>3201</v>
      </c>
      <c r="K143" s="63">
        <v>4729</v>
      </c>
      <c r="L143" s="63">
        <v>3655</v>
      </c>
      <c r="M143" s="63">
        <v>1647</v>
      </c>
      <c r="N143" s="63">
        <v>3893</v>
      </c>
      <c r="O143" s="63">
        <v>833</v>
      </c>
      <c r="P143" s="63">
        <v>3060</v>
      </c>
      <c r="Q143" s="63">
        <v>12803</v>
      </c>
      <c r="R143" s="63">
        <v>6355</v>
      </c>
      <c r="S143" s="63">
        <v>1874</v>
      </c>
      <c r="T143" s="63">
        <v>2812</v>
      </c>
      <c r="U143" s="63">
        <v>1674</v>
      </c>
      <c r="V143" s="63">
        <v>5681</v>
      </c>
      <c r="W143" s="63">
        <v>826</v>
      </c>
      <c r="X143" s="63">
        <v>16713</v>
      </c>
      <c r="Y143" s="63">
        <v>472</v>
      </c>
      <c r="Z143" s="63">
        <v>1387</v>
      </c>
      <c r="AA143" s="63">
        <v>14896</v>
      </c>
      <c r="AB143" s="63">
        <v>8166</v>
      </c>
      <c r="AC143" s="63">
        <v>6204</v>
      </c>
      <c r="AD143" s="63">
        <v>409</v>
      </c>
      <c r="AE143" s="63">
        <v>156</v>
      </c>
      <c r="AF143" s="64" t="s">
        <v>496</v>
      </c>
      <c r="AG143" s="63">
        <v>2200</v>
      </c>
      <c r="AH143" s="63">
        <v>2200</v>
      </c>
      <c r="AI143" s="63">
        <v>2498</v>
      </c>
      <c r="AJ143" s="63">
        <v>2318</v>
      </c>
      <c r="AK143" s="63">
        <v>180</v>
      </c>
      <c r="AL143" s="63">
        <v>9301</v>
      </c>
      <c r="AM143" s="63">
        <v>9301</v>
      </c>
      <c r="AN143" s="63">
        <v>7980</v>
      </c>
      <c r="AO143" s="63">
        <v>2045</v>
      </c>
      <c r="AP143" s="63">
        <v>2920</v>
      </c>
      <c r="AQ143" s="63">
        <v>1018</v>
      </c>
      <c r="AR143" s="63">
        <v>959</v>
      </c>
      <c r="AS143" s="63">
        <v>1018</v>
      </c>
      <c r="AT143" s="63">
        <v>6965</v>
      </c>
      <c r="AU143" s="63">
        <v>6965</v>
      </c>
    </row>
    <row r="144" spans="1:47" x14ac:dyDescent="0.35">
      <c r="A144" s="78" t="s">
        <v>600</v>
      </c>
      <c r="B144" s="63">
        <v>94405</v>
      </c>
      <c r="C144" s="63">
        <v>36743</v>
      </c>
      <c r="D144" s="63">
        <v>32856</v>
      </c>
      <c r="E144" s="63">
        <v>6600</v>
      </c>
      <c r="F144" s="63">
        <v>6193</v>
      </c>
      <c r="G144" s="63">
        <v>1356</v>
      </c>
      <c r="H144" s="63">
        <v>4219</v>
      </c>
      <c r="I144" s="63">
        <v>1014</v>
      </c>
      <c r="J144" s="63">
        <v>3250</v>
      </c>
      <c r="K144" s="63">
        <v>5002</v>
      </c>
      <c r="L144" s="63">
        <v>3657</v>
      </c>
      <c r="M144" s="63">
        <v>1561</v>
      </c>
      <c r="N144" s="63">
        <v>3888</v>
      </c>
      <c r="O144" s="63">
        <v>824</v>
      </c>
      <c r="P144" s="63">
        <v>3065</v>
      </c>
      <c r="Q144" s="63">
        <v>12923</v>
      </c>
      <c r="R144" s="63">
        <v>6568</v>
      </c>
      <c r="S144" s="63">
        <v>1903</v>
      </c>
      <c r="T144" s="63">
        <v>2985</v>
      </c>
      <c r="U144" s="63">
        <v>1684</v>
      </c>
      <c r="V144" s="63">
        <v>5559</v>
      </c>
      <c r="W144" s="63">
        <v>835</v>
      </c>
      <c r="X144" s="63">
        <v>16254</v>
      </c>
      <c r="Y144" s="63">
        <v>475</v>
      </c>
      <c r="Z144" s="63">
        <v>1385</v>
      </c>
      <c r="AA144" s="63">
        <v>14404</v>
      </c>
      <c r="AB144" s="63">
        <v>8083</v>
      </c>
      <c r="AC144" s="63">
        <v>5815</v>
      </c>
      <c r="AD144" s="63">
        <v>342</v>
      </c>
      <c r="AE144" s="63">
        <v>167</v>
      </c>
      <c r="AF144" s="64" t="s">
        <v>496</v>
      </c>
      <c r="AG144" s="63">
        <v>2039</v>
      </c>
      <c r="AH144" s="63">
        <v>2039</v>
      </c>
      <c r="AI144" s="63">
        <v>2545</v>
      </c>
      <c r="AJ144" s="63">
        <v>2380</v>
      </c>
      <c r="AK144" s="63">
        <v>164</v>
      </c>
      <c r="AL144" s="63">
        <v>9343</v>
      </c>
      <c r="AM144" s="63">
        <v>9343</v>
      </c>
      <c r="AN144" s="63">
        <v>7841</v>
      </c>
      <c r="AO144" s="63">
        <v>1929</v>
      </c>
      <c r="AP144" s="63">
        <v>2931</v>
      </c>
      <c r="AQ144" s="63">
        <v>1028</v>
      </c>
      <c r="AR144" s="63">
        <v>931</v>
      </c>
      <c r="AS144" s="63">
        <v>1006</v>
      </c>
      <c r="AT144" s="63">
        <v>6958</v>
      </c>
      <c r="AU144" s="63">
        <v>6958</v>
      </c>
    </row>
    <row r="145" spans="1:47" x14ac:dyDescent="0.35">
      <c r="A145" s="78" t="s">
        <v>601</v>
      </c>
      <c r="B145" s="63">
        <v>93665</v>
      </c>
      <c r="C145" s="63">
        <v>36768</v>
      </c>
      <c r="D145" s="63">
        <v>32802</v>
      </c>
      <c r="E145" s="63">
        <v>6489</v>
      </c>
      <c r="F145" s="63">
        <v>6145</v>
      </c>
      <c r="G145" s="63">
        <v>1334</v>
      </c>
      <c r="H145" s="63">
        <v>4305</v>
      </c>
      <c r="I145" s="63">
        <v>1026</v>
      </c>
      <c r="J145" s="63">
        <v>3287</v>
      </c>
      <c r="K145" s="63">
        <v>5017</v>
      </c>
      <c r="L145" s="63">
        <v>3626</v>
      </c>
      <c r="M145" s="63">
        <v>1573</v>
      </c>
      <c r="N145" s="63">
        <v>3967</v>
      </c>
      <c r="O145" s="63">
        <v>827</v>
      </c>
      <c r="P145" s="63">
        <v>3139</v>
      </c>
      <c r="Q145" s="63">
        <v>12972</v>
      </c>
      <c r="R145" s="63">
        <v>6712</v>
      </c>
      <c r="S145" s="63">
        <v>1899</v>
      </c>
      <c r="T145" s="63">
        <v>3034</v>
      </c>
      <c r="U145" s="63">
        <v>1784</v>
      </c>
      <c r="V145" s="63">
        <v>5450</v>
      </c>
      <c r="W145" s="63">
        <v>835</v>
      </c>
      <c r="X145" s="63">
        <v>15777</v>
      </c>
      <c r="Y145" s="63">
        <v>445</v>
      </c>
      <c r="Z145" s="63">
        <v>1382</v>
      </c>
      <c r="AA145" s="63">
        <v>13948</v>
      </c>
      <c r="AB145" s="63">
        <v>7858</v>
      </c>
      <c r="AC145" s="63">
        <v>5709</v>
      </c>
      <c r="AD145" s="63">
        <v>261</v>
      </c>
      <c r="AE145" s="63">
        <v>153</v>
      </c>
      <c r="AF145" s="64" t="s">
        <v>496</v>
      </c>
      <c r="AG145" s="63">
        <v>1976</v>
      </c>
      <c r="AH145" s="63">
        <v>1976</v>
      </c>
      <c r="AI145" s="63">
        <v>2630</v>
      </c>
      <c r="AJ145" s="63">
        <v>2411</v>
      </c>
      <c r="AK145" s="63">
        <v>218</v>
      </c>
      <c r="AL145" s="63">
        <v>8855</v>
      </c>
      <c r="AM145" s="63">
        <v>8855</v>
      </c>
      <c r="AN145" s="63">
        <v>7974</v>
      </c>
      <c r="AO145" s="63">
        <v>2020</v>
      </c>
      <c r="AP145" s="63">
        <v>3044</v>
      </c>
      <c r="AQ145" s="63">
        <v>998</v>
      </c>
      <c r="AR145" s="63">
        <v>891</v>
      </c>
      <c r="AS145" s="63">
        <v>1008</v>
      </c>
      <c r="AT145" s="63">
        <v>6866</v>
      </c>
      <c r="AU145" s="63">
        <v>6866</v>
      </c>
    </row>
    <row r="146" spans="1:47" x14ac:dyDescent="0.35">
      <c r="A146" s="78" t="s">
        <v>602</v>
      </c>
      <c r="B146" s="63">
        <v>94171</v>
      </c>
      <c r="C146" s="63">
        <v>36635</v>
      </c>
      <c r="D146" s="63">
        <v>32711</v>
      </c>
      <c r="E146" s="63">
        <v>6478</v>
      </c>
      <c r="F146" s="63">
        <v>6155</v>
      </c>
      <c r="G146" s="63">
        <v>1341</v>
      </c>
      <c r="H146" s="63">
        <v>4254</v>
      </c>
      <c r="I146" s="63">
        <v>1017</v>
      </c>
      <c r="J146" s="63">
        <v>3307</v>
      </c>
      <c r="K146" s="63">
        <v>5016</v>
      </c>
      <c r="L146" s="63">
        <v>3607</v>
      </c>
      <c r="M146" s="63">
        <v>1529</v>
      </c>
      <c r="N146" s="63">
        <v>3924</v>
      </c>
      <c r="O146" s="63">
        <v>830</v>
      </c>
      <c r="P146" s="63">
        <v>3094</v>
      </c>
      <c r="Q146" s="63">
        <v>12906</v>
      </c>
      <c r="R146" s="63">
        <v>6665</v>
      </c>
      <c r="S146" s="63">
        <v>1916</v>
      </c>
      <c r="T146" s="63">
        <v>3008</v>
      </c>
      <c r="U146" s="63">
        <v>1747</v>
      </c>
      <c r="V146" s="63">
        <v>5420</v>
      </c>
      <c r="W146" s="63">
        <v>845</v>
      </c>
      <c r="X146" s="63">
        <v>15349</v>
      </c>
      <c r="Y146" s="63">
        <v>425</v>
      </c>
      <c r="Z146" s="63">
        <v>1402</v>
      </c>
      <c r="AA146" s="63">
        <v>13498</v>
      </c>
      <c r="AB146" s="63">
        <v>7689</v>
      </c>
      <c r="AC146" s="63">
        <v>5242</v>
      </c>
      <c r="AD146" s="63">
        <v>386</v>
      </c>
      <c r="AE146" s="63">
        <v>146</v>
      </c>
      <c r="AF146" s="64" t="s">
        <v>496</v>
      </c>
      <c r="AG146" s="63">
        <v>2040</v>
      </c>
      <c r="AH146" s="63">
        <v>2040</v>
      </c>
      <c r="AI146" s="63">
        <v>2653</v>
      </c>
      <c r="AJ146" s="63">
        <v>2457</v>
      </c>
      <c r="AK146" s="63">
        <v>195</v>
      </c>
      <c r="AL146" s="63">
        <v>9992</v>
      </c>
      <c r="AM146" s="63">
        <v>9992</v>
      </c>
      <c r="AN146" s="63">
        <v>7941</v>
      </c>
      <c r="AO146" s="63">
        <v>1974</v>
      </c>
      <c r="AP146" s="63">
        <v>3172</v>
      </c>
      <c r="AQ146" s="63">
        <v>982</v>
      </c>
      <c r="AR146" s="63">
        <v>825</v>
      </c>
      <c r="AS146" s="63">
        <v>986</v>
      </c>
      <c r="AT146" s="63">
        <v>6614</v>
      </c>
      <c r="AU146" s="63">
        <v>6614</v>
      </c>
    </row>
    <row r="147" spans="1:47" x14ac:dyDescent="0.35">
      <c r="A147" s="78" t="s">
        <v>603</v>
      </c>
      <c r="B147" s="63">
        <v>92317</v>
      </c>
      <c r="C147" s="63">
        <v>36132</v>
      </c>
      <c r="D147" s="63">
        <v>32274</v>
      </c>
      <c r="E147" s="63">
        <v>6295</v>
      </c>
      <c r="F147" s="63">
        <v>6218</v>
      </c>
      <c r="G147" s="63">
        <v>1287</v>
      </c>
      <c r="H147" s="63">
        <v>4268</v>
      </c>
      <c r="I147" s="63">
        <v>955</v>
      </c>
      <c r="J147" s="63">
        <v>3149</v>
      </c>
      <c r="K147" s="63">
        <v>5007</v>
      </c>
      <c r="L147" s="63">
        <v>3572</v>
      </c>
      <c r="M147" s="63">
        <v>1521</v>
      </c>
      <c r="N147" s="63">
        <v>3858</v>
      </c>
      <c r="O147" s="63">
        <v>810</v>
      </c>
      <c r="P147" s="63">
        <v>3048</v>
      </c>
      <c r="Q147" s="63">
        <v>12806</v>
      </c>
      <c r="R147" s="63">
        <v>6843</v>
      </c>
      <c r="S147" s="63">
        <v>1939</v>
      </c>
      <c r="T147" s="63">
        <v>3175</v>
      </c>
      <c r="U147" s="63">
        <v>1731</v>
      </c>
      <c r="V147" s="63">
        <v>5124</v>
      </c>
      <c r="W147" s="63">
        <v>844</v>
      </c>
      <c r="X147" s="63">
        <v>15358</v>
      </c>
      <c r="Y147" s="63">
        <v>430</v>
      </c>
      <c r="Z147" s="63">
        <v>1405</v>
      </c>
      <c r="AA147" s="63">
        <v>13515</v>
      </c>
      <c r="AB147" s="63">
        <v>7693</v>
      </c>
      <c r="AC147" s="63">
        <v>5315</v>
      </c>
      <c r="AD147" s="63">
        <v>352</v>
      </c>
      <c r="AE147" s="63">
        <v>146</v>
      </c>
      <c r="AF147" s="64" t="s">
        <v>496</v>
      </c>
      <c r="AG147" s="63">
        <v>1985</v>
      </c>
      <c r="AH147" s="63">
        <v>1985</v>
      </c>
      <c r="AI147" s="63">
        <v>2339</v>
      </c>
      <c r="AJ147" s="63">
        <v>2214</v>
      </c>
      <c r="AK147" s="63">
        <v>127</v>
      </c>
      <c r="AL147" s="63">
        <v>9635</v>
      </c>
      <c r="AM147" s="63">
        <v>9635</v>
      </c>
      <c r="AN147" s="63">
        <v>7530</v>
      </c>
      <c r="AO147" s="63">
        <v>1890</v>
      </c>
      <c r="AP147" s="63">
        <v>3011</v>
      </c>
      <c r="AQ147" s="63">
        <v>980</v>
      </c>
      <c r="AR147" s="63">
        <v>730</v>
      </c>
      <c r="AS147" s="63">
        <v>917</v>
      </c>
      <c r="AT147" s="63">
        <v>6582</v>
      </c>
      <c r="AU147" s="63">
        <v>6581</v>
      </c>
    </row>
    <row r="148" spans="1:47" x14ac:dyDescent="0.35">
      <c r="A148" s="78" t="s">
        <v>604</v>
      </c>
      <c r="B148" s="63">
        <v>90989</v>
      </c>
      <c r="C148" s="63">
        <v>35343</v>
      </c>
      <c r="D148" s="63">
        <v>31484</v>
      </c>
      <c r="E148" s="63">
        <v>6108</v>
      </c>
      <c r="F148" s="63">
        <v>6169</v>
      </c>
      <c r="G148" s="63">
        <v>1266</v>
      </c>
      <c r="H148" s="63">
        <v>3996</v>
      </c>
      <c r="I148" s="63">
        <v>909</v>
      </c>
      <c r="J148" s="63">
        <v>3103</v>
      </c>
      <c r="K148" s="63">
        <v>4870</v>
      </c>
      <c r="L148" s="63">
        <v>3532</v>
      </c>
      <c r="M148" s="63">
        <v>1529</v>
      </c>
      <c r="N148" s="63">
        <v>3859</v>
      </c>
      <c r="O148" s="63">
        <v>816</v>
      </c>
      <c r="P148" s="63">
        <v>3043</v>
      </c>
      <c r="Q148" s="63">
        <v>12869</v>
      </c>
      <c r="R148" s="63">
        <v>7038</v>
      </c>
      <c r="S148" s="63">
        <v>1986</v>
      </c>
      <c r="T148" s="63">
        <v>3234</v>
      </c>
      <c r="U148" s="63">
        <v>1821</v>
      </c>
      <c r="V148" s="63">
        <v>4995</v>
      </c>
      <c r="W148" s="63">
        <v>831</v>
      </c>
      <c r="X148" s="63">
        <v>15054</v>
      </c>
      <c r="Y148" s="63">
        <v>415</v>
      </c>
      <c r="Z148" s="63">
        <v>1408</v>
      </c>
      <c r="AA148" s="63">
        <v>13232</v>
      </c>
      <c r="AB148" s="63">
        <v>7709</v>
      </c>
      <c r="AC148" s="63">
        <v>5058</v>
      </c>
      <c r="AD148" s="63">
        <v>330</v>
      </c>
      <c r="AE148" s="63">
        <v>134</v>
      </c>
      <c r="AF148" s="64" t="s">
        <v>496</v>
      </c>
      <c r="AG148" s="63">
        <v>1930</v>
      </c>
      <c r="AH148" s="63">
        <v>1930</v>
      </c>
      <c r="AI148" s="63">
        <v>2212</v>
      </c>
      <c r="AJ148" s="63">
        <v>2107</v>
      </c>
      <c r="AK148" s="63">
        <v>105</v>
      </c>
      <c r="AL148" s="63">
        <v>9761</v>
      </c>
      <c r="AM148" s="63">
        <v>9761</v>
      </c>
      <c r="AN148" s="63">
        <v>7248</v>
      </c>
      <c r="AO148" s="63">
        <v>1824</v>
      </c>
      <c r="AP148" s="63">
        <v>2917</v>
      </c>
      <c r="AQ148" s="63">
        <v>982</v>
      </c>
      <c r="AR148" s="63">
        <v>722</v>
      </c>
      <c r="AS148" s="63">
        <v>805</v>
      </c>
      <c r="AT148" s="63">
        <v>6556</v>
      </c>
      <c r="AU148" s="63">
        <v>6557</v>
      </c>
    </row>
    <row r="149" spans="1:47" x14ac:dyDescent="0.35">
      <c r="A149" s="78" t="s">
        <v>605</v>
      </c>
      <c r="B149" s="63">
        <v>88263</v>
      </c>
      <c r="C149" s="63">
        <v>34129</v>
      </c>
      <c r="D149" s="63">
        <v>30427</v>
      </c>
      <c r="E149" s="63">
        <v>5823</v>
      </c>
      <c r="F149" s="63">
        <v>5948</v>
      </c>
      <c r="G149" s="63">
        <v>1250</v>
      </c>
      <c r="H149" s="63">
        <v>3893</v>
      </c>
      <c r="I149" s="63">
        <v>892</v>
      </c>
      <c r="J149" s="63">
        <v>2970</v>
      </c>
      <c r="K149" s="63">
        <v>4696</v>
      </c>
      <c r="L149" s="63">
        <v>3477</v>
      </c>
      <c r="M149" s="63">
        <v>1479</v>
      </c>
      <c r="N149" s="63">
        <v>3702</v>
      </c>
      <c r="O149" s="63">
        <v>803</v>
      </c>
      <c r="P149" s="63">
        <v>2899</v>
      </c>
      <c r="Q149" s="63">
        <v>12416</v>
      </c>
      <c r="R149" s="63">
        <v>6697</v>
      </c>
      <c r="S149" s="63">
        <v>1964</v>
      </c>
      <c r="T149" s="63">
        <v>3159</v>
      </c>
      <c r="U149" s="63">
        <v>1572</v>
      </c>
      <c r="V149" s="63">
        <v>4888</v>
      </c>
      <c r="W149" s="63">
        <v>831</v>
      </c>
      <c r="X149" s="63">
        <v>14517</v>
      </c>
      <c r="Y149" s="63">
        <v>392</v>
      </c>
      <c r="Z149" s="63">
        <v>1406</v>
      </c>
      <c r="AA149" s="63">
        <v>12722</v>
      </c>
      <c r="AB149" s="63">
        <v>7545</v>
      </c>
      <c r="AC149" s="63">
        <v>4786</v>
      </c>
      <c r="AD149" s="63">
        <v>279</v>
      </c>
      <c r="AE149" s="63">
        <v>124</v>
      </c>
      <c r="AF149" s="64" t="s">
        <v>496</v>
      </c>
      <c r="AG149" s="63">
        <v>1922</v>
      </c>
      <c r="AH149" s="63">
        <v>1922</v>
      </c>
      <c r="AI149" s="63">
        <v>2138</v>
      </c>
      <c r="AJ149" s="63">
        <v>1977</v>
      </c>
      <c r="AK149" s="63">
        <v>159</v>
      </c>
      <c r="AL149" s="63">
        <v>9528</v>
      </c>
      <c r="AM149" s="63">
        <v>9528</v>
      </c>
      <c r="AN149" s="63">
        <v>7172</v>
      </c>
      <c r="AO149" s="63">
        <v>1822</v>
      </c>
      <c r="AP149" s="63">
        <v>2889</v>
      </c>
      <c r="AQ149" s="63">
        <v>968</v>
      </c>
      <c r="AR149" s="63">
        <v>714</v>
      </c>
      <c r="AS149" s="63">
        <v>780</v>
      </c>
      <c r="AT149" s="63">
        <v>6415</v>
      </c>
      <c r="AU149" s="63">
        <v>6415</v>
      </c>
    </row>
    <row r="150" spans="1:47" x14ac:dyDescent="0.35">
      <c r="A150" s="78" t="s">
        <v>606</v>
      </c>
      <c r="B150" s="63">
        <v>88508</v>
      </c>
      <c r="C150" s="63">
        <v>34305</v>
      </c>
      <c r="D150" s="63">
        <v>30525</v>
      </c>
      <c r="E150" s="63">
        <v>5796</v>
      </c>
      <c r="F150" s="63">
        <v>5897</v>
      </c>
      <c r="G150" s="63">
        <v>1263</v>
      </c>
      <c r="H150" s="63">
        <v>3966</v>
      </c>
      <c r="I150" s="63">
        <v>868</v>
      </c>
      <c r="J150" s="63">
        <v>2987</v>
      </c>
      <c r="K150" s="63">
        <v>4823</v>
      </c>
      <c r="L150" s="63">
        <v>3437</v>
      </c>
      <c r="M150" s="63">
        <v>1491</v>
      </c>
      <c r="N150" s="63">
        <v>3780</v>
      </c>
      <c r="O150" s="63">
        <v>821</v>
      </c>
      <c r="P150" s="63">
        <v>2959</v>
      </c>
      <c r="Q150" s="63">
        <v>12257</v>
      </c>
      <c r="R150" s="63">
        <v>6597</v>
      </c>
      <c r="S150" s="63">
        <v>1975</v>
      </c>
      <c r="T150" s="63">
        <v>3129</v>
      </c>
      <c r="U150" s="63">
        <v>1490</v>
      </c>
      <c r="V150" s="63">
        <v>4822</v>
      </c>
      <c r="W150" s="63">
        <v>838</v>
      </c>
      <c r="X150" s="63">
        <v>14842</v>
      </c>
      <c r="Y150" s="63">
        <v>389</v>
      </c>
      <c r="Z150" s="63">
        <v>1421</v>
      </c>
      <c r="AA150" s="63">
        <v>13036</v>
      </c>
      <c r="AB150" s="63">
        <v>7642</v>
      </c>
      <c r="AC150" s="63">
        <v>4926</v>
      </c>
      <c r="AD150" s="63">
        <v>341</v>
      </c>
      <c r="AE150" s="63">
        <v>125</v>
      </c>
      <c r="AF150" s="64" t="s">
        <v>496</v>
      </c>
      <c r="AG150" s="63">
        <v>1836</v>
      </c>
      <c r="AH150" s="63">
        <v>1836</v>
      </c>
      <c r="AI150" s="63">
        <v>2039</v>
      </c>
      <c r="AJ150" s="63">
        <v>1894</v>
      </c>
      <c r="AK150" s="63">
        <v>145</v>
      </c>
      <c r="AL150" s="63">
        <v>9580</v>
      </c>
      <c r="AM150" s="63">
        <v>9580</v>
      </c>
      <c r="AN150" s="63">
        <v>7152</v>
      </c>
      <c r="AO150" s="63">
        <v>1860</v>
      </c>
      <c r="AP150" s="63">
        <v>2814</v>
      </c>
      <c r="AQ150" s="63">
        <v>975</v>
      </c>
      <c r="AR150" s="63">
        <v>712</v>
      </c>
      <c r="AS150" s="63">
        <v>790</v>
      </c>
      <c r="AT150" s="63">
        <v>6489</v>
      </c>
      <c r="AU150" s="63">
        <v>6489</v>
      </c>
    </row>
    <row r="151" spans="1:47" x14ac:dyDescent="0.35">
      <c r="A151" s="78" t="s">
        <v>607</v>
      </c>
      <c r="B151" s="63">
        <v>88951</v>
      </c>
      <c r="C151" s="63">
        <v>34581</v>
      </c>
      <c r="D151" s="63">
        <v>30782</v>
      </c>
      <c r="E151" s="63">
        <v>5826</v>
      </c>
      <c r="F151" s="63">
        <v>5894</v>
      </c>
      <c r="G151" s="63">
        <v>1303</v>
      </c>
      <c r="H151" s="63">
        <v>3992</v>
      </c>
      <c r="I151" s="63">
        <v>882</v>
      </c>
      <c r="J151" s="63">
        <v>3026</v>
      </c>
      <c r="K151" s="63">
        <v>4862</v>
      </c>
      <c r="L151" s="63">
        <v>3439</v>
      </c>
      <c r="M151" s="63">
        <v>1558</v>
      </c>
      <c r="N151" s="63">
        <v>3799</v>
      </c>
      <c r="O151" s="63">
        <v>807</v>
      </c>
      <c r="P151" s="63">
        <v>2992</v>
      </c>
      <c r="Q151" s="63">
        <v>12117</v>
      </c>
      <c r="R151" s="63">
        <v>6649</v>
      </c>
      <c r="S151" s="63">
        <v>1957</v>
      </c>
      <c r="T151" s="63">
        <v>3121</v>
      </c>
      <c r="U151" s="63">
        <v>1571</v>
      </c>
      <c r="V151" s="63">
        <v>4622</v>
      </c>
      <c r="W151" s="63">
        <v>846</v>
      </c>
      <c r="X151" s="63">
        <v>14509</v>
      </c>
      <c r="Y151" s="63">
        <v>392</v>
      </c>
      <c r="Z151" s="63">
        <v>1418</v>
      </c>
      <c r="AA151" s="63">
        <v>12699</v>
      </c>
      <c r="AB151" s="63">
        <v>7629</v>
      </c>
      <c r="AC151" s="63">
        <v>4663</v>
      </c>
      <c r="AD151" s="63">
        <v>313</v>
      </c>
      <c r="AE151" s="63">
        <v>94</v>
      </c>
      <c r="AF151" s="64" t="s">
        <v>496</v>
      </c>
      <c r="AG151" s="63">
        <v>1995</v>
      </c>
      <c r="AH151" s="63">
        <v>1995</v>
      </c>
      <c r="AI151" s="63">
        <v>2108</v>
      </c>
      <c r="AJ151" s="63">
        <v>1953</v>
      </c>
      <c r="AK151" s="63">
        <v>155</v>
      </c>
      <c r="AL151" s="63">
        <v>9757</v>
      </c>
      <c r="AM151" s="63">
        <v>9757</v>
      </c>
      <c r="AN151" s="63">
        <v>7206</v>
      </c>
      <c r="AO151" s="63">
        <v>1772</v>
      </c>
      <c r="AP151" s="63">
        <v>2922</v>
      </c>
      <c r="AQ151" s="63">
        <v>964</v>
      </c>
      <c r="AR151" s="63">
        <v>739</v>
      </c>
      <c r="AS151" s="63">
        <v>809</v>
      </c>
      <c r="AT151" s="63">
        <v>6678</v>
      </c>
      <c r="AU151" s="63">
        <v>6678</v>
      </c>
    </row>
    <row r="152" spans="1:47" x14ac:dyDescent="0.35">
      <c r="A152" s="78" t="s">
        <v>608</v>
      </c>
      <c r="B152" s="63">
        <v>88773</v>
      </c>
      <c r="C152" s="63">
        <v>34665</v>
      </c>
      <c r="D152" s="63">
        <v>30848</v>
      </c>
      <c r="E152" s="63">
        <v>5817</v>
      </c>
      <c r="F152" s="63">
        <v>6022</v>
      </c>
      <c r="G152" s="63">
        <v>1293</v>
      </c>
      <c r="H152" s="63">
        <v>3971</v>
      </c>
      <c r="I152" s="63">
        <v>885</v>
      </c>
      <c r="J152" s="63">
        <v>2989</v>
      </c>
      <c r="K152" s="63">
        <v>4864</v>
      </c>
      <c r="L152" s="63">
        <v>3464</v>
      </c>
      <c r="M152" s="63">
        <v>1543</v>
      </c>
      <c r="N152" s="63">
        <v>3817</v>
      </c>
      <c r="O152" s="63">
        <v>818</v>
      </c>
      <c r="P152" s="63">
        <v>2999</v>
      </c>
      <c r="Q152" s="63">
        <v>12110</v>
      </c>
      <c r="R152" s="63">
        <v>6710</v>
      </c>
      <c r="S152" s="63">
        <v>1980</v>
      </c>
      <c r="T152" s="63">
        <v>3162</v>
      </c>
      <c r="U152" s="63">
        <v>1568</v>
      </c>
      <c r="V152" s="63">
        <v>4546</v>
      </c>
      <c r="W152" s="63">
        <v>854</v>
      </c>
      <c r="X152" s="63">
        <v>14523</v>
      </c>
      <c r="Y152" s="63">
        <v>388</v>
      </c>
      <c r="Z152" s="63">
        <v>1413</v>
      </c>
      <c r="AA152" s="63">
        <v>12722</v>
      </c>
      <c r="AB152" s="63">
        <v>7740</v>
      </c>
      <c r="AC152" s="63">
        <v>4573</v>
      </c>
      <c r="AD152" s="63">
        <v>320</v>
      </c>
      <c r="AE152" s="63">
        <v>89</v>
      </c>
      <c r="AF152" s="64" t="s">
        <v>496</v>
      </c>
      <c r="AG152" s="63">
        <v>2094</v>
      </c>
      <c r="AH152" s="63">
        <v>2094</v>
      </c>
      <c r="AI152" s="63">
        <v>2079</v>
      </c>
      <c r="AJ152" s="63">
        <v>1941</v>
      </c>
      <c r="AK152" s="63">
        <v>138</v>
      </c>
      <c r="AL152" s="63">
        <v>9587</v>
      </c>
      <c r="AM152" s="63">
        <v>9587</v>
      </c>
      <c r="AN152" s="63">
        <v>7176</v>
      </c>
      <c r="AO152" s="63">
        <v>1746</v>
      </c>
      <c r="AP152" s="63">
        <v>2955</v>
      </c>
      <c r="AQ152" s="63">
        <v>927</v>
      </c>
      <c r="AR152" s="63">
        <v>735</v>
      </c>
      <c r="AS152" s="63">
        <v>813</v>
      </c>
      <c r="AT152" s="63">
        <v>6539</v>
      </c>
      <c r="AU152" s="63">
        <v>6539</v>
      </c>
    </row>
    <row r="153" spans="1:47" x14ac:dyDescent="0.35">
      <c r="A153" s="78" t="s">
        <v>609</v>
      </c>
      <c r="B153" s="63">
        <v>89270</v>
      </c>
      <c r="C153" s="63">
        <v>34721</v>
      </c>
      <c r="D153" s="63">
        <v>30916</v>
      </c>
      <c r="E153" s="63">
        <v>5875</v>
      </c>
      <c r="F153" s="63">
        <v>6024</v>
      </c>
      <c r="G153" s="63">
        <v>1289</v>
      </c>
      <c r="H153" s="63">
        <v>3976</v>
      </c>
      <c r="I153" s="63">
        <v>879</v>
      </c>
      <c r="J153" s="63">
        <v>3010</v>
      </c>
      <c r="K153" s="63">
        <v>4903</v>
      </c>
      <c r="L153" s="63">
        <v>3392</v>
      </c>
      <c r="M153" s="63">
        <v>1568</v>
      </c>
      <c r="N153" s="63">
        <v>3805</v>
      </c>
      <c r="O153" s="63">
        <v>825</v>
      </c>
      <c r="P153" s="63">
        <v>2980</v>
      </c>
      <c r="Q153" s="63">
        <v>12125</v>
      </c>
      <c r="R153" s="63">
        <v>6791</v>
      </c>
      <c r="S153" s="63">
        <v>1995</v>
      </c>
      <c r="T153" s="63">
        <v>3206</v>
      </c>
      <c r="U153" s="63">
        <v>1590</v>
      </c>
      <c r="V153" s="63">
        <v>4475</v>
      </c>
      <c r="W153" s="63">
        <v>859</v>
      </c>
      <c r="X153" s="63">
        <v>14765</v>
      </c>
      <c r="Y153" s="63">
        <v>395</v>
      </c>
      <c r="Z153" s="63">
        <v>1411</v>
      </c>
      <c r="AA153" s="63">
        <v>12959</v>
      </c>
      <c r="AB153" s="63">
        <v>7856</v>
      </c>
      <c r="AC153" s="63">
        <v>4656</v>
      </c>
      <c r="AD153" s="63">
        <v>351</v>
      </c>
      <c r="AE153" s="63">
        <v>96</v>
      </c>
      <c r="AF153" s="64" t="s">
        <v>496</v>
      </c>
      <c r="AG153" s="63">
        <v>2092</v>
      </c>
      <c r="AH153" s="63">
        <v>2092</v>
      </c>
      <c r="AI153" s="63">
        <v>2024</v>
      </c>
      <c r="AJ153" s="63">
        <v>1898</v>
      </c>
      <c r="AK153" s="63">
        <v>126</v>
      </c>
      <c r="AL153" s="63">
        <v>9836</v>
      </c>
      <c r="AM153" s="63">
        <v>9836</v>
      </c>
      <c r="AN153" s="63">
        <v>7098</v>
      </c>
      <c r="AO153" s="63">
        <v>1789</v>
      </c>
      <c r="AP153" s="63">
        <v>2954</v>
      </c>
      <c r="AQ153" s="63">
        <v>867</v>
      </c>
      <c r="AR153" s="63">
        <v>717</v>
      </c>
      <c r="AS153" s="63">
        <v>771</v>
      </c>
      <c r="AT153" s="63">
        <v>6609</v>
      </c>
      <c r="AU153" s="63">
        <v>6609</v>
      </c>
    </row>
    <row r="154" spans="1:47" x14ac:dyDescent="0.35">
      <c r="A154" s="78" t="s">
        <v>610</v>
      </c>
      <c r="B154" s="63">
        <v>89101</v>
      </c>
      <c r="C154" s="63">
        <v>34401</v>
      </c>
      <c r="D154" s="63">
        <v>30658</v>
      </c>
      <c r="E154" s="63">
        <v>5914</v>
      </c>
      <c r="F154" s="63">
        <v>6070</v>
      </c>
      <c r="G154" s="63">
        <v>1285</v>
      </c>
      <c r="H154" s="63">
        <v>3920</v>
      </c>
      <c r="I154" s="63">
        <v>844</v>
      </c>
      <c r="J154" s="63">
        <v>2957</v>
      </c>
      <c r="K154" s="63">
        <v>4789</v>
      </c>
      <c r="L154" s="63">
        <v>3343</v>
      </c>
      <c r="M154" s="63">
        <v>1536</v>
      </c>
      <c r="N154" s="63">
        <v>3743</v>
      </c>
      <c r="O154" s="63">
        <v>817</v>
      </c>
      <c r="P154" s="63">
        <v>2926</v>
      </c>
      <c r="Q154" s="63">
        <v>12015</v>
      </c>
      <c r="R154" s="63">
        <v>6826</v>
      </c>
      <c r="S154" s="63">
        <v>2019</v>
      </c>
      <c r="T154" s="63">
        <v>3197</v>
      </c>
      <c r="U154" s="63">
        <v>1610</v>
      </c>
      <c r="V154" s="63">
        <v>4326</v>
      </c>
      <c r="W154" s="63">
        <v>863</v>
      </c>
      <c r="X154" s="63">
        <v>14976</v>
      </c>
      <c r="Y154" s="63">
        <v>395</v>
      </c>
      <c r="Z154" s="63">
        <v>1414</v>
      </c>
      <c r="AA154" s="63">
        <v>13167</v>
      </c>
      <c r="AB154" s="63">
        <v>7858</v>
      </c>
      <c r="AC154" s="63">
        <v>4833</v>
      </c>
      <c r="AD154" s="63">
        <v>389</v>
      </c>
      <c r="AE154" s="63">
        <v>87</v>
      </c>
      <c r="AF154" s="64" t="s">
        <v>496</v>
      </c>
      <c r="AG154" s="63">
        <v>2030</v>
      </c>
      <c r="AH154" s="63">
        <v>2030</v>
      </c>
      <c r="AI154" s="63">
        <v>2012</v>
      </c>
      <c r="AJ154" s="63">
        <v>1875</v>
      </c>
      <c r="AK154" s="63">
        <v>137</v>
      </c>
      <c r="AL154" s="63">
        <v>9818</v>
      </c>
      <c r="AM154" s="63">
        <v>9818</v>
      </c>
      <c r="AN154" s="63">
        <v>7183</v>
      </c>
      <c r="AO154" s="63">
        <v>1845</v>
      </c>
      <c r="AP154" s="63">
        <v>2944</v>
      </c>
      <c r="AQ154" s="63">
        <v>837</v>
      </c>
      <c r="AR154" s="63">
        <v>746</v>
      </c>
      <c r="AS154" s="63">
        <v>811</v>
      </c>
      <c r="AT154" s="63">
        <v>6666</v>
      </c>
      <c r="AU154" s="63">
        <v>6666</v>
      </c>
    </row>
    <row r="155" spans="1:47" x14ac:dyDescent="0.35">
      <c r="A155" s="78" t="s">
        <v>611</v>
      </c>
      <c r="B155" s="63">
        <v>88405</v>
      </c>
      <c r="C155" s="63">
        <v>34373</v>
      </c>
      <c r="D155" s="63">
        <v>30622</v>
      </c>
      <c r="E155" s="63">
        <v>5875</v>
      </c>
      <c r="F155" s="63">
        <v>6093</v>
      </c>
      <c r="G155" s="63">
        <v>1258</v>
      </c>
      <c r="H155" s="63">
        <v>3931</v>
      </c>
      <c r="I155" s="63">
        <v>881</v>
      </c>
      <c r="J155" s="63">
        <v>3011</v>
      </c>
      <c r="K155" s="63">
        <v>4719</v>
      </c>
      <c r="L155" s="63">
        <v>3345</v>
      </c>
      <c r="M155" s="63">
        <v>1509</v>
      </c>
      <c r="N155" s="63">
        <v>3751</v>
      </c>
      <c r="O155" s="63">
        <v>814</v>
      </c>
      <c r="P155" s="63">
        <v>2937</v>
      </c>
      <c r="Q155" s="63">
        <v>11877</v>
      </c>
      <c r="R155" s="63">
        <v>6779</v>
      </c>
      <c r="S155" s="63">
        <v>2024</v>
      </c>
      <c r="T155" s="63">
        <v>3165</v>
      </c>
      <c r="U155" s="63">
        <v>1590</v>
      </c>
      <c r="V155" s="63">
        <v>4228</v>
      </c>
      <c r="W155" s="63">
        <v>870</v>
      </c>
      <c r="X155" s="63">
        <v>15009</v>
      </c>
      <c r="Y155" s="63">
        <v>388</v>
      </c>
      <c r="Z155" s="63">
        <v>1424</v>
      </c>
      <c r="AA155" s="63">
        <v>13197</v>
      </c>
      <c r="AB155" s="63">
        <v>7814</v>
      </c>
      <c r="AC155" s="63">
        <v>4917</v>
      </c>
      <c r="AD155" s="63">
        <v>383</v>
      </c>
      <c r="AE155" s="63">
        <v>83</v>
      </c>
      <c r="AF155" s="64" t="s">
        <v>496</v>
      </c>
      <c r="AG155" s="63">
        <v>2004</v>
      </c>
      <c r="AH155" s="63">
        <v>2004</v>
      </c>
      <c r="AI155" s="63">
        <v>1974</v>
      </c>
      <c r="AJ155" s="63">
        <v>1857</v>
      </c>
      <c r="AK155" s="63">
        <v>117</v>
      </c>
      <c r="AL155" s="63">
        <v>9598</v>
      </c>
      <c r="AM155" s="63">
        <v>9598</v>
      </c>
      <c r="AN155" s="63">
        <v>7095</v>
      </c>
      <c r="AO155" s="63">
        <v>1904</v>
      </c>
      <c r="AP155" s="63">
        <v>2823</v>
      </c>
      <c r="AQ155" s="63">
        <v>836</v>
      </c>
      <c r="AR155" s="63">
        <v>731</v>
      </c>
      <c r="AS155" s="63">
        <v>801</v>
      </c>
      <c r="AT155" s="63">
        <v>6475</v>
      </c>
      <c r="AU155" s="63">
        <v>6475</v>
      </c>
    </row>
    <row r="156" spans="1:47" x14ac:dyDescent="0.35">
      <c r="A156" s="78" t="s">
        <v>612</v>
      </c>
      <c r="B156" s="63">
        <v>88941</v>
      </c>
      <c r="C156" s="63">
        <v>34513</v>
      </c>
      <c r="D156" s="63">
        <v>30720</v>
      </c>
      <c r="E156" s="63">
        <v>5903</v>
      </c>
      <c r="F156" s="63">
        <v>6095</v>
      </c>
      <c r="G156" s="63">
        <v>1263</v>
      </c>
      <c r="H156" s="63">
        <v>4010</v>
      </c>
      <c r="I156" s="63">
        <v>869</v>
      </c>
      <c r="J156" s="63">
        <v>3070</v>
      </c>
      <c r="K156" s="63">
        <v>4662</v>
      </c>
      <c r="L156" s="63">
        <v>3350</v>
      </c>
      <c r="M156" s="63">
        <v>1498</v>
      </c>
      <c r="N156" s="63">
        <v>3793</v>
      </c>
      <c r="O156" s="63">
        <v>809</v>
      </c>
      <c r="P156" s="63">
        <v>2984</v>
      </c>
      <c r="Q156" s="63">
        <v>11854</v>
      </c>
      <c r="R156" s="63">
        <v>6842</v>
      </c>
      <c r="S156" s="63">
        <v>2043</v>
      </c>
      <c r="T156" s="63">
        <v>3215</v>
      </c>
      <c r="U156" s="63">
        <v>1584</v>
      </c>
      <c r="V156" s="63">
        <v>4155</v>
      </c>
      <c r="W156" s="63">
        <v>857</v>
      </c>
      <c r="X156" s="63">
        <v>14982</v>
      </c>
      <c r="Y156" s="63">
        <v>385</v>
      </c>
      <c r="Z156" s="63">
        <v>1432</v>
      </c>
      <c r="AA156" s="63">
        <v>13165</v>
      </c>
      <c r="AB156" s="63">
        <v>7835</v>
      </c>
      <c r="AC156" s="63">
        <v>4841</v>
      </c>
      <c r="AD156" s="63">
        <v>405</v>
      </c>
      <c r="AE156" s="63">
        <v>84</v>
      </c>
      <c r="AF156" s="64" t="s">
        <v>496</v>
      </c>
      <c r="AG156" s="63">
        <v>2043</v>
      </c>
      <c r="AH156" s="63">
        <v>2043</v>
      </c>
      <c r="AI156" s="63">
        <v>1983</v>
      </c>
      <c r="AJ156" s="63">
        <v>1845</v>
      </c>
      <c r="AK156" s="63">
        <v>138</v>
      </c>
      <c r="AL156" s="63">
        <v>9908</v>
      </c>
      <c r="AM156" s="63">
        <v>9908</v>
      </c>
      <c r="AN156" s="63">
        <v>7157</v>
      </c>
      <c r="AO156" s="63">
        <v>1944</v>
      </c>
      <c r="AP156" s="63">
        <v>2846</v>
      </c>
      <c r="AQ156" s="63">
        <v>801</v>
      </c>
      <c r="AR156" s="63">
        <v>801</v>
      </c>
      <c r="AS156" s="63">
        <v>765</v>
      </c>
      <c r="AT156" s="63">
        <v>6501</v>
      </c>
      <c r="AU156" s="63">
        <v>6501</v>
      </c>
    </row>
    <row r="157" spans="1:47" x14ac:dyDescent="0.35">
      <c r="A157" s="78" t="s">
        <v>613</v>
      </c>
      <c r="B157" s="63">
        <v>89058</v>
      </c>
      <c r="C157" s="63">
        <v>34680</v>
      </c>
      <c r="D157" s="63">
        <v>30871</v>
      </c>
      <c r="E157" s="63">
        <v>5926</v>
      </c>
      <c r="F157" s="63">
        <v>6113</v>
      </c>
      <c r="G157" s="63">
        <v>1292</v>
      </c>
      <c r="H157" s="63">
        <v>4022</v>
      </c>
      <c r="I157" s="63">
        <v>882</v>
      </c>
      <c r="J157" s="63">
        <v>3075</v>
      </c>
      <c r="K157" s="63">
        <v>4716</v>
      </c>
      <c r="L157" s="63">
        <v>3359</v>
      </c>
      <c r="M157" s="63">
        <v>1486</v>
      </c>
      <c r="N157" s="63">
        <v>3809</v>
      </c>
      <c r="O157" s="63">
        <v>826</v>
      </c>
      <c r="P157" s="63">
        <v>2983</v>
      </c>
      <c r="Q157" s="63">
        <v>11777</v>
      </c>
      <c r="R157" s="63">
        <v>6834</v>
      </c>
      <c r="S157" s="63">
        <v>2027</v>
      </c>
      <c r="T157" s="63">
        <v>3238</v>
      </c>
      <c r="U157" s="63">
        <v>1569</v>
      </c>
      <c r="V157" s="63">
        <v>4080</v>
      </c>
      <c r="W157" s="63">
        <v>863</v>
      </c>
      <c r="X157" s="63">
        <v>15187</v>
      </c>
      <c r="Y157" s="63">
        <v>394</v>
      </c>
      <c r="Z157" s="63">
        <v>1445</v>
      </c>
      <c r="AA157" s="63">
        <v>13348</v>
      </c>
      <c r="AB157" s="63">
        <v>7913</v>
      </c>
      <c r="AC157" s="63">
        <v>4945</v>
      </c>
      <c r="AD157" s="63">
        <v>408</v>
      </c>
      <c r="AE157" s="63">
        <v>82</v>
      </c>
      <c r="AF157" s="64" t="s">
        <v>496</v>
      </c>
      <c r="AG157" s="63">
        <v>2083</v>
      </c>
      <c r="AH157" s="63">
        <v>2083</v>
      </c>
      <c r="AI157" s="63">
        <v>1953</v>
      </c>
      <c r="AJ157" s="63">
        <v>1829</v>
      </c>
      <c r="AK157" s="63">
        <v>124</v>
      </c>
      <c r="AL157" s="63">
        <v>9680</v>
      </c>
      <c r="AM157" s="63">
        <v>9680</v>
      </c>
      <c r="AN157" s="63">
        <v>7158</v>
      </c>
      <c r="AO157" s="63">
        <v>1873</v>
      </c>
      <c r="AP157" s="63">
        <v>2864</v>
      </c>
      <c r="AQ157" s="63">
        <v>788</v>
      </c>
      <c r="AR157" s="63">
        <v>850</v>
      </c>
      <c r="AS157" s="63">
        <v>783</v>
      </c>
      <c r="AT157" s="63">
        <v>6540</v>
      </c>
      <c r="AU157" s="63">
        <v>6540</v>
      </c>
    </row>
    <row r="158" spans="1:47" x14ac:dyDescent="0.35">
      <c r="A158" s="78" t="s">
        <v>614</v>
      </c>
      <c r="B158" s="63">
        <v>88795</v>
      </c>
      <c r="C158" s="63">
        <v>34631</v>
      </c>
      <c r="D158" s="63">
        <v>30779</v>
      </c>
      <c r="E158" s="63">
        <v>5964</v>
      </c>
      <c r="F158" s="63">
        <v>6085</v>
      </c>
      <c r="G158" s="63">
        <v>1295</v>
      </c>
      <c r="H158" s="63">
        <v>3993</v>
      </c>
      <c r="I158" s="63">
        <v>860</v>
      </c>
      <c r="J158" s="63">
        <v>3089</v>
      </c>
      <c r="K158" s="63">
        <v>4646</v>
      </c>
      <c r="L158" s="63">
        <v>3383</v>
      </c>
      <c r="M158" s="63">
        <v>1464</v>
      </c>
      <c r="N158" s="63">
        <v>3852</v>
      </c>
      <c r="O158" s="63">
        <v>832</v>
      </c>
      <c r="P158" s="63">
        <v>3020</v>
      </c>
      <c r="Q158" s="63">
        <v>11781</v>
      </c>
      <c r="R158" s="63">
        <v>6889</v>
      </c>
      <c r="S158" s="63">
        <v>2035</v>
      </c>
      <c r="T158" s="63">
        <v>3285</v>
      </c>
      <c r="U158" s="63">
        <v>1569</v>
      </c>
      <c r="V158" s="63">
        <v>4026</v>
      </c>
      <c r="W158" s="63">
        <v>866</v>
      </c>
      <c r="X158" s="63">
        <v>15075</v>
      </c>
      <c r="Y158" s="63">
        <v>410</v>
      </c>
      <c r="Z158" s="63">
        <v>1453</v>
      </c>
      <c r="AA158" s="63">
        <v>13212</v>
      </c>
      <c r="AB158" s="63">
        <v>7883</v>
      </c>
      <c r="AC158" s="63">
        <v>4821</v>
      </c>
      <c r="AD158" s="63">
        <v>436</v>
      </c>
      <c r="AE158" s="63">
        <v>72</v>
      </c>
      <c r="AF158" s="64" t="s">
        <v>496</v>
      </c>
      <c r="AG158" s="63">
        <v>2135</v>
      </c>
      <c r="AH158" s="63">
        <v>2135</v>
      </c>
      <c r="AI158" s="63">
        <v>1955</v>
      </c>
      <c r="AJ158" s="63">
        <v>1848</v>
      </c>
      <c r="AK158" s="63">
        <v>107</v>
      </c>
      <c r="AL158" s="63">
        <v>9588</v>
      </c>
      <c r="AM158" s="63">
        <v>9588</v>
      </c>
      <c r="AN158" s="63">
        <v>7107</v>
      </c>
      <c r="AO158" s="63">
        <v>1891</v>
      </c>
      <c r="AP158" s="63">
        <v>2803</v>
      </c>
      <c r="AQ158" s="63">
        <v>771</v>
      </c>
      <c r="AR158" s="63">
        <v>803</v>
      </c>
      <c r="AS158" s="63">
        <v>839</v>
      </c>
      <c r="AT158" s="63">
        <v>6523</v>
      </c>
      <c r="AU158" s="63">
        <v>6523</v>
      </c>
    </row>
    <row r="159" spans="1:47" x14ac:dyDescent="0.35">
      <c r="A159" s="81" t="s">
        <v>750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</row>
    <row r="160" spans="1:47" x14ac:dyDescent="0.35">
      <c r="B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4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</row>
    <row r="161" spans="2:47" x14ac:dyDescent="0.35"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4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</row>
    <row r="162" spans="2:47" x14ac:dyDescent="0.35"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4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</row>
    <row r="163" spans="2:47" x14ac:dyDescent="0.35"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</row>
    <row r="164" spans="2:47" x14ac:dyDescent="0.35"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</row>
    <row r="165" spans="2:47" x14ac:dyDescent="0.35"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</row>
    <row r="166" spans="2:47" x14ac:dyDescent="0.35"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</row>
    <row r="167" spans="2:47" x14ac:dyDescent="0.35"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</row>
  </sheetData>
  <hyperlinks>
    <hyperlink ref="A4" location="Table_of_contents!A1" tooltip="Link to table of contents" display="Table of contents" xr:uid="{33CCB312-E97B-4AAD-A3B3-0C35102F4969}"/>
  </hyperlinks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4953-ECA4-4EC2-9ABE-51EA8B04562D}">
  <dimension ref="A1:BO167"/>
  <sheetViews>
    <sheetView zoomScale="85" zoomScaleNormal="85" workbookViewId="0">
      <pane xSplit="1" ySplit="8" topLeftCell="AM35" activePane="bottomRight" state="frozen"/>
      <selection pane="topRight" activeCell="B1" sqref="B1"/>
      <selection pane="bottomLeft" activeCell="A9" sqref="A9"/>
      <selection pane="bottomRight" activeCell="BB6" activeCellId="8" sqref="F6 Q6 U6 AA6 AJ6 AM6 AV6 AW6 BB6"/>
    </sheetView>
  </sheetViews>
  <sheetFormatPr defaultColWidth="20.54296875" defaultRowHeight="15.5" x14ac:dyDescent="0.35"/>
  <cols>
    <col min="1" max="1" width="22.54296875" style="84" customWidth="1"/>
    <col min="2" max="5" width="13.54296875" style="84" customWidth="1"/>
    <col min="6" max="6" width="16.54296875" style="84" customWidth="1"/>
    <col min="7" max="12" width="13.54296875" style="84" customWidth="1"/>
    <col min="13" max="13" width="14.26953125" style="84" customWidth="1"/>
    <col min="14" max="17" width="13.54296875" style="84" customWidth="1"/>
    <col min="18" max="18" width="17.54296875" style="84" customWidth="1"/>
    <col min="19" max="27" width="13.54296875" style="84" customWidth="1"/>
    <col min="28" max="28" width="14.26953125" style="84" customWidth="1"/>
    <col min="29" max="29" width="17.54296875" style="84" customWidth="1"/>
    <col min="30" max="35" width="13.54296875" style="84" customWidth="1"/>
    <col min="36" max="36" width="17.54296875" style="84" customWidth="1"/>
    <col min="37" max="40" width="13.54296875" style="84" customWidth="1"/>
    <col min="41" max="41" width="14.26953125" style="84" customWidth="1"/>
    <col min="42" max="42" width="13.54296875" style="84" customWidth="1"/>
    <col min="43" max="44" width="14.26953125" style="84" customWidth="1"/>
    <col min="45" max="50" width="13.54296875" style="84" customWidth="1"/>
    <col min="51" max="51" width="17.26953125" style="84" customWidth="1"/>
    <col min="52" max="52" width="13.54296875" style="84" customWidth="1"/>
    <col min="53" max="53" width="18.54296875" style="84" customWidth="1"/>
    <col min="54" max="54" width="16.54296875" style="84" customWidth="1"/>
    <col min="55" max="55" width="16.7265625" style="84" customWidth="1"/>
    <col min="56" max="67" width="13.54296875" style="84" customWidth="1"/>
  </cols>
  <sheetData>
    <row r="1" spans="1:67" s="87" customFormat="1" ht="20" thickBot="1" x14ac:dyDescent="0.5">
      <c r="A1" s="86" t="s">
        <v>299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4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4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</row>
    <row r="2" spans="1:67" ht="16" thickTop="1" x14ac:dyDescent="0.35">
      <c r="A2" s="65" t="s">
        <v>300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7"/>
      <c r="AZ2" s="67"/>
      <c r="BA2" s="67"/>
      <c r="BB2" s="67"/>
      <c r="BC2" s="67"/>
      <c r="BD2" s="67"/>
      <c r="BE2" s="67"/>
      <c r="BF2" s="67"/>
      <c r="BG2" s="67"/>
      <c r="BH2" s="66"/>
      <c r="BI2" s="66"/>
      <c r="BJ2" s="66"/>
      <c r="BK2" s="66"/>
      <c r="BL2" s="66"/>
      <c r="BM2" s="66"/>
      <c r="BN2" s="66"/>
      <c r="BO2" s="66"/>
    </row>
    <row r="3" spans="1:67" x14ac:dyDescent="0.35">
      <c r="A3" s="65" t="s">
        <v>301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7"/>
      <c r="AZ3" s="67"/>
      <c r="BA3" s="67"/>
      <c r="BB3" s="67"/>
      <c r="BC3" s="67"/>
      <c r="BD3" s="67"/>
      <c r="BE3" s="67"/>
      <c r="BF3" s="67"/>
      <c r="BG3" s="67"/>
      <c r="BH3" s="66"/>
      <c r="BI3" s="66"/>
      <c r="BJ3" s="66"/>
      <c r="BK3" s="66"/>
      <c r="BL3" s="66"/>
      <c r="BM3" s="66"/>
      <c r="BN3" s="66"/>
      <c r="BO3" s="66"/>
    </row>
    <row r="4" spans="1:67" x14ac:dyDescent="0.35">
      <c r="A4" s="68" t="s">
        <v>302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7"/>
      <c r="AZ4" s="67"/>
      <c r="BA4" s="67"/>
      <c r="BB4" s="67"/>
      <c r="BC4" s="67"/>
      <c r="BD4" s="67"/>
      <c r="BE4" s="67"/>
      <c r="BF4" s="67"/>
      <c r="BG4" s="67"/>
      <c r="BH4" s="66"/>
      <c r="BI4" s="66"/>
      <c r="BJ4" s="66"/>
      <c r="BK4" s="66"/>
      <c r="BL4" s="66"/>
      <c r="BM4" s="66"/>
      <c r="BN4" s="66"/>
      <c r="BO4" s="66"/>
    </row>
    <row r="5" spans="1:67" s="87" customFormat="1" ht="50.15" customHeight="1" x14ac:dyDescent="0.4">
      <c r="A5" s="88" t="s">
        <v>303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1"/>
      <c r="AZ5" s="71"/>
      <c r="BA5" s="71"/>
      <c r="BB5" s="71"/>
      <c r="BC5" s="71"/>
      <c r="BD5" s="71"/>
      <c r="BE5" s="71"/>
      <c r="BF5" s="71"/>
      <c r="BG5" s="71"/>
      <c r="BH5" s="70"/>
      <c r="BI5" s="70"/>
      <c r="BJ5" s="70"/>
      <c r="BK5" s="70"/>
      <c r="BL5" s="70"/>
      <c r="BM5" s="70"/>
      <c r="BN5" s="70"/>
      <c r="BO5" s="70"/>
    </row>
    <row r="6" spans="1:67" ht="79.900000000000006" customHeight="1" x14ac:dyDescent="0.35">
      <c r="A6" s="72" t="s">
        <v>304</v>
      </c>
      <c r="B6" s="73" t="s">
        <v>305</v>
      </c>
      <c r="C6" s="73" t="s">
        <v>306</v>
      </c>
      <c r="D6" s="73" t="s">
        <v>307</v>
      </c>
      <c r="E6" s="73" t="s">
        <v>308</v>
      </c>
      <c r="F6" s="73" t="s">
        <v>309</v>
      </c>
      <c r="G6" s="73" t="s">
        <v>310</v>
      </c>
      <c r="H6" s="73" t="s">
        <v>311</v>
      </c>
      <c r="I6" s="73" t="s">
        <v>312</v>
      </c>
      <c r="J6" s="73" t="s">
        <v>313</v>
      </c>
      <c r="K6" s="73" t="s">
        <v>314</v>
      </c>
      <c r="L6" s="73" t="s">
        <v>315</v>
      </c>
      <c r="M6" s="73" t="s">
        <v>316</v>
      </c>
      <c r="N6" s="73" t="s">
        <v>317</v>
      </c>
      <c r="O6" s="73" t="s">
        <v>318</v>
      </c>
      <c r="P6" s="73" t="s">
        <v>319</v>
      </c>
      <c r="Q6" s="73" t="s">
        <v>320</v>
      </c>
      <c r="R6" s="73" t="s">
        <v>321</v>
      </c>
      <c r="S6" s="73" t="s">
        <v>322</v>
      </c>
      <c r="T6" s="73" t="s">
        <v>323</v>
      </c>
      <c r="U6" s="73" t="s">
        <v>324</v>
      </c>
      <c r="V6" s="73" t="s">
        <v>325</v>
      </c>
      <c r="W6" s="73" t="s">
        <v>326</v>
      </c>
      <c r="X6" s="73" t="s">
        <v>327</v>
      </c>
      <c r="Y6" s="73" t="s">
        <v>328</v>
      </c>
      <c r="Z6" s="73" t="s">
        <v>329</v>
      </c>
      <c r="AA6" s="73" t="s">
        <v>330</v>
      </c>
      <c r="AB6" s="73" t="s">
        <v>331</v>
      </c>
      <c r="AC6" s="73" t="s">
        <v>332</v>
      </c>
      <c r="AD6" s="73" t="s">
        <v>333</v>
      </c>
      <c r="AE6" s="73" t="s">
        <v>334</v>
      </c>
      <c r="AF6" s="73" t="s">
        <v>335</v>
      </c>
      <c r="AG6" s="73" t="s">
        <v>336</v>
      </c>
      <c r="AH6" s="73" t="s">
        <v>337</v>
      </c>
      <c r="AI6" s="73" t="s">
        <v>338</v>
      </c>
      <c r="AJ6" s="73" t="s">
        <v>339</v>
      </c>
      <c r="AK6" s="73" t="s">
        <v>340</v>
      </c>
      <c r="AL6" s="73" t="s">
        <v>341</v>
      </c>
      <c r="AM6" s="73" t="s">
        <v>342</v>
      </c>
      <c r="AN6" s="73" t="s">
        <v>343</v>
      </c>
      <c r="AO6" s="73" t="s">
        <v>344</v>
      </c>
      <c r="AP6" s="73" t="s">
        <v>345</v>
      </c>
      <c r="AQ6" s="73" t="s">
        <v>346</v>
      </c>
      <c r="AR6" s="73" t="s">
        <v>347</v>
      </c>
      <c r="AS6" s="73" t="s">
        <v>348</v>
      </c>
      <c r="AT6" s="73" t="s">
        <v>349</v>
      </c>
      <c r="AU6" s="73" t="s">
        <v>350</v>
      </c>
      <c r="AV6" s="73" t="s">
        <v>351</v>
      </c>
      <c r="AW6" s="73" t="s">
        <v>352</v>
      </c>
      <c r="AX6" s="73" t="s">
        <v>353</v>
      </c>
      <c r="AY6" s="74" t="s">
        <v>354</v>
      </c>
      <c r="AZ6" s="73" t="s">
        <v>355</v>
      </c>
      <c r="BA6" s="73" t="s">
        <v>356</v>
      </c>
      <c r="BB6" s="73" t="s">
        <v>357</v>
      </c>
      <c r="BC6" s="73" t="s">
        <v>358</v>
      </c>
      <c r="BD6" s="73" t="s">
        <v>359</v>
      </c>
      <c r="BE6" s="73" t="s">
        <v>360</v>
      </c>
      <c r="BF6" s="73" t="s">
        <v>361</v>
      </c>
      <c r="BG6" s="73" t="s">
        <v>362</v>
      </c>
      <c r="BH6" s="73" t="s">
        <v>363</v>
      </c>
      <c r="BI6" s="73" t="s">
        <v>364</v>
      </c>
      <c r="BJ6" s="73" t="s">
        <v>365</v>
      </c>
      <c r="BK6" s="73" t="s">
        <v>366</v>
      </c>
      <c r="BL6" s="73" t="s">
        <v>367</v>
      </c>
      <c r="BM6" s="73" t="s">
        <v>368</v>
      </c>
      <c r="BN6" s="73" t="s">
        <v>369</v>
      </c>
      <c r="BO6" s="73" t="s">
        <v>370</v>
      </c>
    </row>
    <row r="7" spans="1:67" ht="31" x14ac:dyDescent="0.35">
      <c r="A7" s="72" t="s">
        <v>371</v>
      </c>
      <c r="B7" s="75" t="s">
        <v>372</v>
      </c>
      <c r="C7" s="75" t="s">
        <v>373</v>
      </c>
      <c r="D7" s="76" t="s">
        <v>374</v>
      </c>
      <c r="E7" s="76" t="s">
        <v>375</v>
      </c>
      <c r="F7" s="75" t="s">
        <v>376</v>
      </c>
      <c r="G7" s="77" t="s">
        <v>377</v>
      </c>
      <c r="H7" s="76" t="s">
        <v>378</v>
      </c>
      <c r="I7" s="75" t="s">
        <v>379</v>
      </c>
      <c r="J7" s="77" t="s">
        <v>380</v>
      </c>
      <c r="K7" s="76" t="s">
        <v>381</v>
      </c>
      <c r="L7" s="76" t="s">
        <v>382</v>
      </c>
      <c r="M7" s="76" t="s">
        <v>383</v>
      </c>
      <c r="N7" s="76" t="s">
        <v>384</v>
      </c>
      <c r="O7" s="76" t="s">
        <v>385</v>
      </c>
      <c r="P7" s="76" t="s">
        <v>386</v>
      </c>
      <c r="Q7" s="75" t="s">
        <v>387</v>
      </c>
      <c r="R7" s="76" t="s">
        <v>388</v>
      </c>
      <c r="S7" s="76" t="s">
        <v>389</v>
      </c>
      <c r="T7" s="76" t="s">
        <v>390</v>
      </c>
      <c r="U7" s="75" t="s">
        <v>391</v>
      </c>
      <c r="V7" s="77" t="s">
        <v>392</v>
      </c>
      <c r="W7" s="76" t="s">
        <v>393</v>
      </c>
      <c r="X7" s="76" t="s">
        <v>394</v>
      </c>
      <c r="Y7" s="76" t="s">
        <v>395</v>
      </c>
      <c r="Z7" s="77" t="s">
        <v>396</v>
      </c>
      <c r="AA7" s="75" t="s">
        <v>397</v>
      </c>
      <c r="AB7" s="76" t="s">
        <v>398</v>
      </c>
      <c r="AC7" s="76" t="s">
        <v>399</v>
      </c>
      <c r="AD7" s="77" t="s">
        <v>400</v>
      </c>
      <c r="AE7" s="76" t="s">
        <v>401</v>
      </c>
      <c r="AF7" s="76" t="s">
        <v>402</v>
      </c>
      <c r="AG7" s="76" t="s">
        <v>403</v>
      </c>
      <c r="AH7" s="76" t="s">
        <v>404</v>
      </c>
      <c r="AI7" s="76" t="s">
        <v>405</v>
      </c>
      <c r="AJ7" s="75" t="s">
        <v>406</v>
      </c>
      <c r="AK7" s="77" t="s">
        <v>407</v>
      </c>
      <c r="AL7" s="77" t="s">
        <v>408</v>
      </c>
      <c r="AM7" s="75" t="s">
        <v>409</v>
      </c>
      <c r="AN7" s="76" t="s">
        <v>410</v>
      </c>
      <c r="AO7" s="76" t="s">
        <v>411</v>
      </c>
      <c r="AP7" s="76" t="s">
        <v>412</v>
      </c>
      <c r="AQ7" s="77" t="s">
        <v>413</v>
      </c>
      <c r="AR7" s="76" t="s">
        <v>414</v>
      </c>
      <c r="AS7" s="76" t="s">
        <v>415</v>
      </c>
      <c r="AT7" s="76" t="s">
        <v>416</v>
      </c>
      <c r="AU7" s="74" t="s">
        <v>417</v>
      </c>
      <c r="AV7" s="75">
        <v>10</v>
      </c>
      <c r="AW7" s="75">
        <v>11</v>
      </c>
      <c r="AX7" s="76">
        <v>11.1</v>
      </c>
      <c r="AY7" s="76" t="s">
        <v>418</v>
      </c>
      <c r="AZ7" s="76" t="s">
        <v>419</v>
      </c>
      <c r="BA7" s="76">
        <v>11.2</v>
      </c>
      <c r="BB7" s="75" t="s">
        <v>420</v>
      </c>
      <c r="BC7" s="76" t="s">
        <v>421</v>
      </c>
      <c r="BD7" s="75">
        <v>12.2</v>
      </c>
      <c r="BE7" s="76">
        <v>12.4</v>
      </c>
      <c r="BF7" s="76">
        <v>12.5</v>
      </c>
      <c r="BG7" s="76" t="s">
        <v>422</v>
      </c>
      <c r="BH7" s="76" t="s">
        <v>423</v>
      </c>
      <c r="BI7" s="76" t="s">
        <v>424</v>
      </c>
      <c r="BJ7" s="76" t="s">
        <v>425</v>
      </c>
      <c r="BK7" s="76" t="s">
        <v>426</v>
      </c>
      <c r="BL7" s="76">
        <v>12.6</v>
      </c>
      <c r="BM7" s="76" t="s">
        <v>427</v>
      </c>
      <c r="BN7" s="76" t="s">
        <v>428</v>
      </c>
      <c r="BO7" s="76">
        <v>12.7</v>
      </c>
    </row>
    <row r="8" spans="1:67" x14ac:dyDescent="0.35">
      <c r="A8" s="72" t="s">
        <v>429</v>
      </c>
      <c r="B8" s="75" t="s">
        <v>430</v>
      </c>
      <c r="C8" s="75" t="s">
        <v>431</v>
      </c>
      <c r="D8" s="75" t="s">
        <v>432</v>
      </c>
      <c r="E8" s="75" t="s">
        <v>433</v>
      </c>
      <c r="F8" s="75" t="s">
        <v>434</v>
      </c>
      <c r="G8" s="75" t="s">
        <v>435</v>
      </c>
      <c r="H8" s="75" t="s">
        <v>436</v>
      </c>
      <c r="I8" s="75" t="s">
        <v>437</v>
      </c>
      <c r="J8" s="75" t="s">
        <v>438</v>
      </c>
      <c r="K8" s="75" t="s">
        <v>439</v>
      </c>
      <c r="L8" s="75" t="s">
        <v>440</v>
      </c>
      <c r="M8" s="75" t="s">
        <v>441</v>
      </c>
      <c r="N8" s="75" t="s">
        <v>442</v>
      </c>
      <c r="O8" s="75" t="s">
        <v>443</v>
      </c>
      <c r="P8" s="75" t="s">
        <v>444</v>
      </c>
      <c r="Q8" s="75" t="s">
        <v>445</v>
      </c>
      <c r="R8" s="75" t="s">
        <v>446</v>
      </c>
      <c r="S8" s="75" t="s">
        <v>447</v>
      </c>
      <c r="T8" s="75" t="s">
        <v>448</v>
      </c>
      <c r="U8" s="75" t="s">
        <v>449</v>
      </c>
      <c r="V8" s="75" t="s">
        <v>450</v>
      </c>
      <c r="W8" s="75" t="s">
        <v>451</v>
      </c>
      <c r="X8" s="75" t="s">
        <v>452</v>
      </c>
      <c r="Y8" s="75" t="s">
        <v>453</v>
      </c>
      <c r="Z8" s="75" t="s">
        <v>454</v>
      </c>
      <c r="AA8" s="75" t="s">
        <v>455</v>
      </c>
      <c r="AB8" s="75" t="s">
        <v>456</v>
      </c>
      <c r="AC8" s="75" t="s">
        <v>457</v>
      </c>
      <c r="AD8" s="75" t="s">
        <v>458</v>
      </c>
      <c r="AE8" s="75" t="s">
        <v>459</v>
      </c>
      <c r="AF8" s="75" t="s">
        <v>460</v>
      </c>
      <c r="AG8" s="75" t="s">
        <v>461</v>
      </c>
      <c r="AH8" s="75" t="s">
        <v>462</v>
      </c>
      <c r="AI8" s="75" t="s">
        <v>463</v>
      </c>
      <c r="AJ8" s="75" t="s">
        <v>464</v>
      </c>
      <c r="AK8" s="75" t="s">
        <v>465</v>
      </c>
      <c r="AL8" s="75" t="s">
        <v>466</v>
      </c>
      <c r="AM8" s="75" t="s">
        <v>467</v>
      </c>
      <c r="AN8" s="75" t="s">
        <v>468</v>
      </c>
      <c r="AO8" s="75" t="s">
        <v>469</v>
      </c>
      <c r="AP8" s="75" t="s">
        <v>470</v>
      </c>
      <c r="AQ8" s="75" t="s">
        <v>471</v>
      </c>
      <c r="AR8" s="75" t="s">
        <v>472</v>
      </c>
      <c r="AS8" s="75" t="s">
        <v>473</v>
      </c>
      <c r="AT8" s="75" t="s">
        <v>474</v>
      </c>
      <c r="AU8" s="75" t="s">
        <v>475</v>
      </c>
      <c r="AV8" s="75" t="s">
        <v>476</v>
      </c>
      <c r="AW8" s="75" t="s">
        <v>477</v>
      </c>
      <c r="AX8" s="75" t="s">
        <v>478</v>
      </c>
      <c r="AY8" s="75" t="s">
        <v>479</v>
      </c>
      <c r="AZ8" s="75" t="s">
        <v>480</v>
      </c>
      <c r="BA8" s="75" t="s">
        <v>481</v>
      </c>
      <c r="BB8" s="75" t="s">
        <v>482</v>
      </c>
      <c r="BC8" s="75" t="s">
        <v>483</v>
      </c>
      <c r="BD8" s="75" t="s">
        <v>484</v>
      </c>
      <c r="BE8" s="75" t="s">
        <v>485</v>
      </c>
      <c r="BF8" s="75" t="s">
        <v>486</v>
      </c>
      <c r="BG8" s="75" t="s">
        <v>487</v>
      </c>
      <c r="BH8" s="75" t="s">
        <v>488</v>
      </c>
      <c r="BI8" s="75" t="s">
        <v>489</v>
      </c>
      <c r="BJ8" s="75" t="s">
        <v>490</v>
      </c>
      <c r="BK8" s="75" t="s">
        <v>491</v>
      </c>
      <c r="BL8" s="75" t="s">
        <v>492</v>
      </c>
      <c r="BM8" s="75" t="s">
        <v>493</v>
      </c>
      <c r="BN8" s="75" t="s">
        <v>494</v>
      </c>
      <c r="BO8" s="75" t="s">
        <v>495</v>
      </c>
    </row>
    <row r="9" spans="1:67" x14ac:dyDescent="0.35">
      <c r="A9" s="78">
        <v>1997</v>
      </c>
      <c r="B9" s="79">
        <v>596770</v>
      </c>
      <c r="C9" s="79">
        <v>1353</v>
      </c>
      <c r="D9" s="79">
        <v>1413</v>
      </c>
      <c r="E9" s="79">
        <v>41</v>
      </c>
      <c r="F9" s="79">
        <v>247850</v>
      </c>
      <c r="G9" s="79">
        <v>46077</v>
      </c>
      <c r="H9" s="79">
        <v>45943</v>
      </c>
      <c r="I9" s="79">
        <v>132</v>
      </c>
      <c r="J9" s="79">
        <v>194448</v>
      </c>
      <c r="K9" s="79">
        <v>187957</v>
      </c>
      <c r="L9" s="79">
        <v>6453</v>
      </c>
      <c r="M9" s="79">
        <v>1413</v>
      </c>
      <c r="N9" s="79">
        <v>160</v>
      </c>
      <c r="O9" s="79">
        <v>5526</v>
      </c>
      <c r="P9" s="80" t="s">
        <v>496</v>
      </c>
      <c r="Q9" s="79">
        <v>5796</v>
      </c>
      <c r="R9" s="79">
        <v>51</v>
      </c>
      <c r="S9" s="79">
        <v>661</v>
      </c>
      <c r="T9" s="79">
        <v>5021</v>
      </c>
      <c r="U9" s="79">
        <v>15300</v>
      </c>
      <c r="V9" s="79">
        <v>7428</v>
      </c>
      <c r="W9" s="79">
        <v>3956</v>
      </c>
      <c r="X9" s="79">
        <v>2904</v>
      </c>
      <c r="Y9" s="79">
        <v>503</v>
      </c>
      <c r="Z9" s="79">
        <v>8095</v>
      </c>
      <c r="AA9" s="79">
        <v>83049</v>
      </c>
      <c r="AB9" s="79">
        <v>27646</v>
      </c>
      <c r="AC9" s="79">
        <v>8224</v>
      </c>
      <c r="AD9" s="79">
        <v>46662</v>
      </c>
      <c r="AE9" s="79">
        <v>7929</v>
      </c>
      <c r="AF9" s="79">
        <v>13533</v>
      </c>
      <c r="AG9" s="79">
        <v>15899</v>
      </c>
      <c r="AH9" s="79">
        <v>6836</v>
      </c>
      <c r="AI9" s="79">
        <v>3450</v>
      </c>
      <c r="AJ9" s="79">
        <v>387</v>
      </c>
      <c r="AK9" s="79">
        <v>3754</v>
      </c>
      <c r="AL9" s="79">
        <v>289</v>
      </c>
      <c r="AM9" s="79">
        <v>46502</v>
      </c>
      <c r="AN9" s="79">
        <v>391</v>
      </c>
      <c r="AO9" s="79">
        <v>2196</v>
      </c>
      <c r="AP9" s="79">
        <v>1823</v>
      </c>
      <c r="AQ9" s="79">
        <v>41790</v>
      </c>
      <c r="AR9" s="79">
        <v>10028</v>
      </c>
      <c r="AS9" s="79">
        <v>18153</v>
      </c>
      <c r="AT9" s="79">
        <v>13553</v>
      </c>
      <c r="AU9" s="80" t="s">
        <v>496</v>
      </c>
      <c r="AV9" s="79">
        <v>27025</v>
      </c>
      <c r="AW9" s="79">
        <v>152742</v>
      </c>
      <c r="AX9" s="79">
        <v>121100</v>
      </c>
      <c r="AY9" s="79">
        <v>110987</v>
      </c>
      <c r="AZ9" s="79">
        <v>9365</v>
      </c>
      <c r="BA9" s="79">
        <v>31540</v>
      </c>
      <c r="BB9" s="79">
        <v>99748</v>
      </c>
      <c r="BC9" s="79">
        <v>7548</v>
      </c>
      <c r="BD9" s="79">
        <v>4863</v>
      </c>
      <c r="BE9" s="79">
        <v>16100</v>
      </c>
      <c r="BF9" s="79">
        <v>30242</v>
      </c>
      <c r="BG9" s="79">
        <v>20923</v>
      </c>
      <c r="BH9" s="79">
        <v>2035</v>
      </c>
      <c r="BI9" s="79">
        <v>2439</v>
      </c>
      <c r="BJ9" s="79">
        <v>2049</v>
      </c>
      <c r="BK9" s="79">
        <v>2580</v>
      </c>
      <c r="BL9" s="79">
        <v>29247</v>
      </c>
      <c r="BM9" s="79">
        <v>32835</v>
      </c>
      <c r="BN9" s="79">
        <v>6979</v>
      </c>
      <c r="BO9" s="79">
        <v>20229</v>
      </c>
    </row>
    <row r="10" spans="1:67" x14ac:dyDescent="0.35">
      <c r="A10" s="78">
        <v>1998</v>
      </c>
      <c r="B10" s="79">
        <v>614158</v>
      </c>
      <c r="C10" s="79">
        <v>1396</v>
      </c>
      <c r="D10" s="79">
        <v>1383</v>
      </c>
      <c r="E10" s="79">
        <v>63</v>
      </c>
      <c r="F10" s="79">
        <v>250136</v>
      </c>
      <c r="G10" s="79">
        <v>46110</v>
      </c>
      <c r="H10" s="79">
        <v>45964</v>
      </c>
      <c r="I10" s="79">
        <v>142</v>
      </c>
      <c r="J10" s="79">
        <v>196922</v>
      </c>
      <c r="K10" s="79">
        <v>190250</v>
      </c>
      <c r="L10" s="79">
        <v>6634</v>
      </c>
      <c r="M10" s="79">
        <v>1103</v>
      </c>
      <c r="N10" s="79">
        <v>151</v>
      </c>
      <c r="O10" s="79">
        <v>5481</v>
      </c>
      <c r="P10" s="80" t="s">
        <v>496</v>
      </c>
      <c r="Q10" s="79">
        <v>5723</v>
      </c>
      <c r="R10" s="79">
        <v>59</v>
      </c>
      <c r="S10" s="79">
        <v>631</v>
      </c>
      <c r="T10" s="79">
        <v>4974</v>
      </c>
      <c r="U10" s="79">
        <v>14943</v>
      </c>
      <c r="V10" s="79">
        <v>7302</v>
      </c>
      <c r="W10" s="79">
        <v>3666</v>
      </c>
      <c r="X10" s="79">
        <v>3107</v>
      </c>
      <c r="Y10" s="79">
        <v>534</v>
      </c>
      <c r="Z10" s="79">
        <v>7828</v>
      </c>
      <c r="AA10" s="79">
        <v>85467</v>
      </c>
      <c r="AB10" s="79">
        <v>27750</v>
      </c>
      <c r="AC10" s="79">
        <v>8492</v>
      </c>
      <c r="AD10" s="79">
        <v>48567</v>
      </c>
      <c r="AE10" s="79">
        <v>7806</v>
      </c>
      <c r="AF10" s="79">
        <v>13900</v>
      </c>
      <c r="AG10" s="79">
        <v>16996</v>
      </c>
      <c r="AH10" s="79">
        <v>7252</v>
      </c>
      <c r="AI10" s="79">
        <v>3616</v>
      </c>
      <c r="AJ10" s="79">
        <v>495</v>
      </c>
      <c r="AK10" s="79">
        <v>2611</v>
      </c>
      <c r="AL10" s="79">
        <v>385</v>
      </c>
      <c r="AM10" s="79">
        <v>46868</v>
      </c>
      <c r="AN10" s="79">
        <v>441</v>
      </c>
      <c r="AO10" s="79">
        <v>2246</v>
      </c>
      <c r="AP10" s="79">
        <v>1980</v>
      </c>
      <c r="AQ10" s="79">
        <v>41887</v>
      </c>
      <c r="AR10" s="79">
        <v>9814</v>
      </c>
      <c r="AS10" s="79">
        <v>18932</v>
      </c>
      <c r="AT10" s="79">
        <v>13094</v>
      </c>
      <c r="AU10" s="80" t="s">
        <v>496</v>
      </c>
      <c r="AV10" s="79">
        <v>27769</v>
      </c>
      <c r="AW10" s="79">
        <v>154063</v>
      </c>
      <c r="AX10" s="79">
        <v>122899</v>
      </c>
      <c r="AY10" s="79">
        <v>112228</v>
      </c>
      <c r="AZ10" s="79">
        <v>9873</v>
      </c>
      <c r="BA10" s="79">
        <v>30969</v>
      </c>
      <c r="BB10" s="79">
        <v>105793</v>
      </c>
      <c r="BC10" s="79">
        <v>8018</v>
      </c>
      <c r="BD10" s="79">
        <v>4889</v>
      </c>
      <c r="BE10" s="79">
        <v>15091</v>
      </c>
      <c r="BF10" s="79">
        <v>30360</v>
      </c>
      <c r="BG10" s="79">
        <v>22656</v>
      </c>
      <c r="BH10" s="79">
        <v>1737</v>
      </c>
      <c r="BI10" s="79">
        <v>2092</v>
      </c>
      <c r="BJ10" s="79">
        <v>1773</v>
      </c>
      <c r="BK10" s="79">
        <v>2202</v>
      </c>
      <c r="BL10" s="79">
        <v>33430</v>
      </c>
      <c r="BM10" s="79">
        <v>36879</v>
      </c>
      <c r="BN10" s="79">
        <v>8139</v>
      </c>
      <c r="BO10" s="79">
        <v>20933</v>
      </c>
    </row>
    <row r="11" spans="1:67" x14ac:dyDescent="0.35">
      <c r="A11" s="78">
        <v>1999</v>
      </c>
      <c r="B11" s="79">
        <v>633471</v>
      </c>
      <c r="C11" s="79">
        <v>1572</v>
      </c>
      <c r="D11" s="79">
        <v>1613</v>
      </c>
      <c r="E11" s="79">
        <v>54</v>
      </c>
      <c r="F11" s="79">
        <v>255822</v>
      </c>
      <c r="G11" s="79">
        <v>45410</v>
      </c>
      <c r="H11" s="79">
        <v>45254</v>
      </c>
      <c r="I11" s="79">
        <v>152</v>
      </c>
      <c r="J11" s="79">
        <v>203432</v>
      </c>
      <c r="K11" s="79">
        <v>196308</v>
      </c>
      <c r="L11" s="79">
        <v>7087</v>
      </c>
      <c r="M11" s="79">
        <v>1182</v>
      </c>
      <c r="N11" s="79">
        <v>127</v>
      </c>
      <c r="O11" s="79">
        <v>5006</v>
      </c>
      <c r="P11" s="80" t="s">
        <v>496</v>
      </c>
      <c r="Q11" s="79">
        <v>5819</v>
      </c>
      <c r="R11" s="79">
        <v>69</v>
      </c>
      <c r="S11" s="79">
        <v>663</v>
      </c>
      <c r="T11" s="79">
        <v>5014</v>
      </c>
      <c r="U11" s="79">
        <v>13538</v>
      </c>
      <c r="V11" s="79">
        <v>6483</v>
      </c>
      <c r="W11" s="79">
        <v>3390</v>
      </c>
      <c r="X11" s="79">
        <v>2669</v>
      </c>
      <c r="Y11" s="79">
        <v>397</v>
      </c>
      <c r="Z11" s="79">
        <v>7307</v>
      </c>
      <c r="AA11" s="79">
        <v>89056</v>
      </c>
      <c r="AB11" s="79">
        <v>27711</v>
      </c>
      <c r="AC11" s="79">
        <v>8580</v>
      </c>
      <c r="AD11" s="79">
        <v>51825</v>
      </c>
      <c r="AE11" s="79">
        <v>8053</v>
      </c>
      <c r="AF11" s="79">
        <v>13533</v>
      </c>
      <c r="AG11" s="79">
        <v>19771</v>
      </c>
      <c r="AH11" s="79">
        <v>6985</v>
      </c>
      <c r="AI11" s="79">
        <v>3834</v>
      </c>
      <c r="AJ11" s="79">
        <v>612</v>
      </c>
      <c r="AK11" s="79">
        <v>2490</v>
      </c>
      <c r="AL11" s="79">
        <v>483</v>
      </c>
      <c r="AM11" s="79">
        <v>48143</v>
      </c>
      <c r="AN11" s="79">
        <v>364</v>
      </c>
      <c r="AO11" s="79">
        <v>2316</v>
      </c>
      <c r="AP11" s="79">
        <v>2207</v>
      </c>
      <c r="AQ11" s="79">
        <v>42954</v>
      </c>
      <c r="AR11" s="79">
        <v>10115</v>
      </c>
      <c r="AS11" s="79">
        <v>20392</v>
      </c>
      <c r="AT11" s="79">
        <v>12526</v>
      </c>
      <c r="AU11" s="80" t="s">
        <v>496</v>
      </c>
      <c r="AV11" s="79">
        <v>27580</v>
      </c>
      <c r="AW11" s="79">
        <v>154759</v>
      </c>
      <c r="AX11" s="79">
        <v>124987</v>
      </c>
      <c r="AY11" s="79">
        <v>114219</v>
      </c>
      <c r="AZ11" s="79">
        <v>9964</v>
      </c>
      <c r="BA11" s="79">
        <v>29400</v>
      </c>
      <c r="BB11" s="79">
        <v>110774</v>
      </c>
      <c r="BC11" s="79">
        <v>8315</v>
      </c>
      <c r="BD11" s="79">
        <v>5022</v>
      </c>
      <c r="BE11" s="79">
        <v>14777</v>
      </c>
      <c r="BF11" s="79">
        <v>30213</v>
      </c>
      <c r="BG11" s="79">
        <v>22255</v>
      </c>
      <c r="BH11" s="79">
        <v>1774</v>
      </c>
      <c r="BI11" s="79">
        <v>2140</v>
      </c>
      <c r="BJ11" s="79">
        <v>1832</v>
      </c>
      <c r="BK11" s="79">
        <v>2252</v>
      </c>
      <c r="BL11" s="79">
        <v>37008</v>
      </c>
      <c r="BM11" s="79">
        <v>39334</v>
      </c>
      <c r="BN11" s="79">
        <v>9378</v>
      </c>
      <c r="BO11" s="79">
        <v>21084</v>
      </c>
    </row>
    <row r="12" spans="1:67" x14ac:dyDescent="0.35">
      <c r="A12" s="78">
        <v>2000</v>
      </c>
      <c r="B12" s="79">
        <v>659745</v>
      </c>
      <c r="C12" s="79">
        <v>1629</v>
      </c>
      <c r="D12" s="79">
        <v>1727</v>
      </c>
      <c r="E12" s="79">
        <v>38</v>
      </c>
      <c r="F12" s="79">
        <v>258505</v>
      </c>
      <c r="G12" s="79">
        <v>46091</v>
      </c>
      <c r="H12" s="79">
        <v>45936</v>
      </c>
      <c r="I12" s="79">
        <v>151</v>
      </c>
      <c r="J12" s="79">
        <v>204858</v>
      </c>
      <c r="K12" s="79">
        <v>197669</v>
      </c>
      <c r="L12" s="79">
        <v>7152</v>
      </c>
      <c r="M12" s="79">
        <v>1230</v>
      </c>
      <c r="N12" s="79">
        <v>160</v>
      </c>
      <c r="O12" s="79">
        <v>5644</v>
      </c>
      <c r="P12" s="80" t="s">
        <v>496</v>
      </c>
      <c r="Q12" s="79">
        <v>6228</v>
      </c>
      <c r="R12" s="79">
        <v>83</v>
      </c>
      <c r="S12" s="79">
        <v>645</v>
      </c>
      <c r="T12" s="79">
        <v>5447</v>
      </c>
      <c r="U12" s="79">
        <v>13086</v>
      </c>
      <c r="V12" s="79">
        <v>6065</v>
      </c>
      <c r="W12" s="79">
        <v>2887</v>
      </c>
      <c r="X12" s="79">
        <v>2811</v>
      </c>
      <c r="Y12" s="79">
        <v>434</v>
      </c>
      <c r="Z12" s="79">
        <v>7388</v>
      </c>
      <c r="AA12" s="79">
        <v>92168</v>
      </c>
      <c r="AB12" s="79">
        <v>27884</v>
      </c>
      <c r="AC12" s="79">
        <v>8780</v>
      </c>
      <c r="AD12" s="79">
        <v>54425</v>
      </c>
      <c r="AE12" s="79">
        <v>8542</v>
      </c>
      <c r="AF12" s="79">
        <v>14543</v>
      </c>
      <c r="AG12" s="79">
        <v>20920</v>
      </c>
      <c r="AH12" s="79">
        <v>6351</v>
      </c>
      <c r="AI12" s="79">
        <v>4135</v>
      </c>
      <c r="AJ12" s="79">
        <v>859</v>
      </c>
      <c r="AK12" s="79">
        <v>2254</v>
      </c>
      <c r="AL12" s="79">
        <v>692</v>
      </c>
      <c r="AM12" s="79">
        <v>52027</v>
      </c>
      <c r="AN12" s="79">
        <v>382</v>
      </c>
      <c r="AO12" s="79">
        <v>2352</v>
      </c>
      <c r="AP12" s="79">
        <v>2247</v>
      </c>
      <c r="AQ12" s="79">
        <v>46735</v>
      </c>
      <c r="AR12" s="79">
        <v>11046</v>
      </c>
      <c r="AS12" s="79">
        <v>22846</v>
      </c>
      <c r="AT12" s="79">
        <v>13015</v>
      </c>
      <c r="AU12" s="80" t="s">
        <v>496</v>
      </c>
      <c r="AV12" s="79">
        <v>27079</v>
      </c>
      <c r="AW12" s="79">
        <v>158881</v>
      </c>
      <c r="AX12" s="79">
        <v>128132</v>
      </c>
      <c r="AY12" s="79">
        <v>117130</v>
      </c>
      <c r="AZ12" s="79">
        <v>10182</v>
      </c>
      <c r="BA12" s="79">
        <v>30381</v>
      </c>
      <c r="BB12" s="79">
        <v>116844</v>
      </c>
      <c r="BC12" s="79">
        <v>8579</v>
      </c>
      <c r="BD12" s="79">
        <v>5061</v>
      </c>
      <c r="BE12" s="79">
        <v>15642</v>
      </c>
      <c r="BF12" s="79">
        <v>30030</v>
      </c>
      <c r="BG12" s="79">
        <v>23829</v>
      </c>
      <c r="BH12" s="79">
        <v>1446</v>
      </c>
      <c r="BI12" s="79">
        <v>1755</v>
      </c>
      <c r="BJ12" s="79">
        <v>1533</v>
      </c>
      <c r="BK12" s="79">
        <v>1845</v>
      </c>
      <c r="BL12" s="79">
        <v>41527</v>
      </c>
      <c r="BM12" s="79">
        <v>42072</v>
      </c>
      <c r="BN12" s="79">
        <v>11019</v>
      </c>
      <c r="BO12" s="79">
        <v>20440</v>
      </c>
    </row>
    <row r="13" spans="1:67" x14ac:dyDescent="0.35">
      <c r="A13" s="78">
        <v>2001</v>
      </c>
      <c r="B13" s="79">
        <v>668640</v>
      </c>
      <c r="C13" s="79">
        <v>1323</v>
      </c>
      <c r="D13" s="79">
        <v>1343</v>
      </c>
      <c r="E13" s="79">
        <v>51</v>
      </c>
      <c r="F13" s="79">
        <v>262874</v>
      </c>
      <c r="G13" s="79">
        <v>46239</v>
      </c>
      <c r="H13" s="79">
        <v>46090</v>
      </c>
      <c r="I13" s="79">
        <v>146</v>
      </c>
      <c r="J13" s="79">
        <v>208797</v>
      </c>
      <c r="K13" s="79">
        <v>201520</v>
      </c>
      <c r="L13" s="79">
        <v>7239</v>
      </c>
      <c r="M13" s="79">
        <v>1377</v>
      </c>
      <c r="N13" s="79">
        <v>255</v>
      </c>
      <c r="O13" s="79">
        <v>5642</v>
      </c>
      <c r="P13" s="80" t="s">
        <v>496</v>
      </c>
      <c r="Q13" s="79">
        <v>6046</v>
      </c>
      <c r="R13" s="79">
        <v>88</v>
      </c>
      <c r="S13" s="79">
        <v>621</v>
      </c>
      <c r="T13" s="79">
        <v>5285</v>
      </c>
      <c r="U13" s="79">
        <v>15149</v>
      </c>
      <c r="V13" s="79">
        <v>7492</v>
      </c>
      <c r="W13" s="79">
        <v>4221</v>
      </c>
      <c r="X13" s="79">
        <v>2555</v>
      </c>
      <c r="Y13" s="79">
        <v>550</v>
      </c>
      <c r="Z13" s="79">
        <v>7796</v>
      </c>
      <c r="AA13" s="79">
        <v>86312</v>
      </c>
      <c r="AB13" s="79">
        <v>26715</v>
      </c>
      <c r="AC13" s="79">
        <v>8713</v>
      </c>
      <c r="AD13" s="79">
        <v>49987</v>
      </c>
      <c r="AE13" s="79">
        <v>8089</v>
      </c>
      <c r="AF13" s="79">
        <v>14048</v>
      </c>
      <c r="AG13" s="79">
        <v>17712</v>
      </c>
      <c r="AH13" s="79">
        <v>6660</v>
      </c>
      <c r="AI13" s="79">
        <v>4025</v>
      </c>
      <c r="AJ13" s="79">
        <v>1004</v>
      </c>
      <c r="AK13" s="79">
        <v>2720</v>
      </c>
      <c r="AL13" s="79">
        <v>807</v>
      </c>
      <c r="AM13" s="79">
        <v>53207</v>
      </c>
      <c r="AN13" s="79">
        <v>368</v>
      </c>
      <c r="AO13" s="79">
        <v>2410</v>
      </c>
      <c r="AP13" s="79">
        <v>1994</v>
      </c>
      <c r="AQ13" s="79">
        <v>48106</v>
      </c>
      <c r="AR13" s="79">
        <v>11984</v>
      </c>
      <c r="AS13" s="79">
        <v>22177</v>
      </c>
      <c r="AT13" s="79">
        <v>14120</v>
      </c>
      <c r="AU13" s="80" t="s">
        <v>496</v>
      </c>
      <c r="AV13" s="79">
        <v>28861</v>
      </c>
      <c r="AW13" s="79">
        <v>157986</v>
      </c>
      <c r="AX13" s="79">
        <v>127695</v>
      </c>
      <c r="AY13" s="79">
        <v>118547</v>
      </c>
      <c r="AZ13" s="79">
        <v>8569</v>
      </c>
      <c r="BA13" s="79">
        <v>29910</v>
      </c>
      <c r="BB13" s="79">
        <v>119400</v>
      </c>
      <c r="BC13" s="79">
        <v>9142</v>
      </c>
      <c r="BD13" s="79">
        <v>5107</v>
      </c>
      <c r="BE13" s="79">
        <v>15509</v>
      </c>
      <c r="BF13" s="79">
        <v>27897</v>
      </c>
      <c r="BG13" s="79">
        <v>17383</v>
      </c>
      <c r="BH13" s="79">
        <v>2209</v>
      </c>
      <c r="BI13" s="79">
        <v>2663</v>
      </c>
      <c r="BJ13" s="79">
        <v>2250</v>
      </c>
      <c r="BK13" s="79">
        <v>2770</v>
      </c>
      <c r="BL13" s="79">
        <v>45985</v>
      </c>
      <c r="BM13" s="79">
        <v>45046</v>
      </c>
      <c r="BN13" s="79">
        <v>12646</v>
      </c>
      <c r="BO13" s="79">
        <v>18086</v>
      </c>
    </row>
    <row r="14" spans="1:67" x14ac:dyDescent="0.35">
      <c r="A14" s="78">
        <v>2002</v>
      </c>
      <c r="B14" s="79">
        <v>681942</v>
      </c>
      <c r="C14" s="79">
        <v>1178</v>
      </c>
      <c r="D14" s="79">
        <v>1171</v>
      </c>
      <c r="E14" s="79">
        <v>55</v>
      </c>
      <c r="F14" s="79">
        <v>266481</v>
      </c>
      <c r="G14" s="79">
        <v>48780</v>
      </c>
      <c r="H14" s="79">
        <v>48618</v>
      </c>
      <c r="I14" s="79">
        <v>159</v>
      </c>
      <c r="J14" s="79">
        <v>209691</v>
      </c>
      <c r="K14" s="79">
        <v>202061</v>
      </c>
      <c r="L14" s="79">
        <v>7596</v>
      </c>
      <c r="M14" s="79">
        <v>1424</v>
      </c>
      <c r="N14" s="79">
        <v>378</v>
      </c>
      <c r="O14" s="79">
        <v>5838</v>
      </c>
      <c r="P14" s="80" t="s">
        <v>496</v>
      </c>
      <c r="Q14" s="79">
        <v>5348</v>
      </c>
      <c r="R14" s="79">
        <v>24</v>
      </c>
      <c r="S14" s="79">
        <v>522</v>
      </c>
      <c r="T14" s="79">
        <v>4778</v>
      </c>
      <c r="U14" s="79">
        <v>15138</v>
      </c>
      <c r="V14" s="79">
        <v>7628</v>
      </c>
      <c r="W14" s="79">
        <v>4107</v>
      </c>
      <c r="X14" s="79">
        <v>2687</v>
      </c>
      <c r="Y14" s="79">
        <v>695</v>
      </c>
      <c r="Z14" s="79">
        <v>7564</v>
      </c>
      <c r="AA14" s="79">
        <v>87862</v>
      </c>
      <c r="AB14" s="79">
        <v>28836</v>
      </c>
      <c r="AC14" s="79">
        <v>8976</v>
      </c>
      <c r="AD14" s="79">
        <v>49393</v>
      </c>
      <c r="AE14" s="79">
        <v>7585</v>
      </c>
      <c r="AF14" s="79">
        <v>13336</v>
      </c>
      <c r="AG14" s="79">
        <v>17868</v>
      </c>
      <c r="AH14" s="79">
        <v>7248</v>
      </c>
      <c r="AI14" s="79">
        <v>3985</v>
      </c>
      <c r="AJ14" s="79">
        <v>1155</v>
      </c>
      <c r="AK14" s="79">
        <v>1820</v>
      </c>
      <c r="AL14" s="79">
        <v>952</v>
      </c>
      <c r="AM14" s="79">
        <v>56899</v>
      </c>
      <c r="AN14" s="79">
        <v>291</v>
      </c>
      <c r="AO14" s="79">
        <v>2502</v>
      </c>
      <c r="AP14" s="79">
        <v>2015</v>
      </c>
      <c r="AQ14" s="79">
        <v>51771</v>
      </c>
      <c r="AR14" s="79">
        <v>13140</v>
      </c>
      <c r="AS14" s="79">
        <v>23763</v>
      </c>
      <c r="AT14" s="79">
        <v>15083</v>
      </c>
      <c r="AU14" s="80" t="s">
        <v>496</v>
      </c>
      <c r="AV14" s="79">
        <v>28567</v>
      </c>
      <c r="AW14" s="79">
        <v>159269</v>
      </c>
      <c r="AX14" s="79">
        <v>128260</v>
      </c>
      <c r="AY14" s="79">
        <v>120178</v>
      </c>
      <c r="AZ14" s="79">
        <v>7655</v>
      </c>
      <c r="BA14" s="79">
        <v>30655</v>
      </c>
      <c r="BB14" s="79">
        <v>121028</v>
      </c>
      <c r="BC14" s="79">
        <v>9039</v>
      </c>
      <c r="BD14" s="79">
        <v>5131</v>
      </c>
      <c r="BE14" s="79">
        <v>14358</v>
      </c>
      <c r="BF14" s="79">
        <v>23090</v>
      </c>
      <c r="BG14" s="79">
        <v>11152</v>
      </c>
      <c r="BH14" s="79">
        <v>2397</v>
      </c>
      <c r="BI14" s="79">
        <v>2870</v>
      </c>
      <c r="BJ14" s="79">
        <v>2404</v>
      </c>
      <c r="BK14" s="79">
        <v>3037</v>
      </c>
      <c r="BL14" s="79">
        <v>53073</v>
      </c>
      <c r="BM14" s="79">
        <v>48335</v>
      </c>
      <c r="BN14" s="79">
        <v>15519</v>
      </c>
      <c r="BO14" s="79">
        <v>17629</v>
      </c>
    </row>
    <row r="15" spans="1:67" x14ac:dyDescent="0.35">
      <c r="A15" s="78">
        <v>2003</v>
      </c>
      <c r="B15" s="79">
        <v>701652</v>
      </c>
      <c r="C15" s="79">
        <v>1149</v>
      </c>
      <c r="D15" s="79">
        <v>1086</v>
      </c>
      <c r="E15" s="79">
        <v>76</v>
      </c>
      <c r="F15" s="79">
        <v>274568</v>
      </c>
      <c r="G15" s="79">
        <v>52088</v>
      </c>
      <c r="H15" s="79">
        <v>51916</v>
      </c>
      <c r="I15" s="79">
        <v>169</v>
      </c>
      <c r="J15" s="79">
        <v>214643</v>
      </c>
      <c r="K15" s="79">
        <v>206536</v>
      </c>
      <c r="L15" s="79">
        <v>8075</v>
      </c>
      <c r="M15" s="79">
        <v>1371</v>
      </c>
      <c r="N15" s="79">
        <v>365</v>
      </c>
      <c r="O15" s="79">
        <v>5717</v>
      </c>
      <c r="P15" s="80" t="s">
        <v>496</v>
      </c>
      <c r="Q15" s="79">
        <v>4820</v>
      </c>
      <c r="R15" s="79">
        <v>88</v>
      </c>
      <c r="S15" s="79">
        <v>504</v>
      </c>
      <c r="T15" s="79">
        <v>4185</v>
      </c>
      <c r="U15" s="79">
        <v>15011</v>
      </c>
      <c r="V15" s="79">
        <v>7369</v>
      </c>
      <c r="W15" s="79">
        <v>4237</v>
      </c>
      <c r="X15" s="79">
        <v>2298</v>
      </c>
      <c r="Y15" s="79">
        <v>616</v>
      </c>
      <c r="Z15" s="79">
        <v>7801</v>
      </c>
      <c r="AA15" s="79">
        <v>86523</v>
      </c>
      <c r="AB15" s="79">
        <v>27825</v>
      </c>
      <c r="AC15" s="79">
        <v>8710</v>
      </c>
      <c r="AD15" s="79">
        <v>49259</v>
      </c>
      <c r="AE15" s="79">
        <v>7452</v>
      </c>
      <c r="AF15" s="79">
        <v>12265</v>
      </c>
      <c r="AG15" s="79">
        <v>18987</v>
      </c>
      <c r="AH15" s="79">
        <v>6953</v>
      </c>
      <c r="AI15" s="79">
        <v>3766</v>
      </c>
      <c r="AJ15" s="79">
        <v>1399</v>
      </c>
      <c r="AK15" s="79">
        <v>2362</v>
      </c>
      <c r="AL15" s="79">
        <v>1150</v>
      </c>
      <c r="AM15" s="79">
        <v>60054</v>
      </c>
      <c r="AN15" s="79">
        <v>274</v>
      </c>
      <c r="AO15" s="79">
        <v>2575</v>
      </c>
      <c r="AP15" s="79">
        <v>1958</v>
      </c>
      <c r="AQ15" s="79">
        <v>54920</v>
      </c>
      <c r="AR15" s="79">
        <v>14256</v>
      </c>
      <c r="AS15" s="79">
        <v>25092</v>
      </c>
      <c r="AT15" s="79">
        <v>15834</v>
      </c>
      <c r="AU15" s="80" t="s">
        <v>496</v>
      </c>
      <c r="AV15" s="79">
        <v>27649</v>
      </c>
      <c r="AW15" s="79">
        <v>163277</v>
      </c>
      <c r="AX15" s="79">
        <v>131944</v>
      </c>
      <c r="AY15" s="79">
        <v>124178</v>
      </c>
      <c r="AZ15" s="79">
        <v>7410</v>
      </c>
      <c r="BA15" s="79">
        <v>30954</v>
      </c>
      <c r="BB15" s="79">
        <v>123770</v>
      </c>
      <c r="BC15" s="79">
        <v>8662</v>
      </c>
      <c r="BD15" s="79">
        <v>5178</v>
      </c>
      <c r="BE15" s="79">
        <v>12623</v>
      </c>
      <c r="BF15" s="79">
        <v>23751</v>
      </c>
      <c r="BG15" s="79">
        <v>11136</v>
      </c>
      <c r="BH15" s="79">
        <v>2525</v>
      </c>
      <c r="BI15" s="79">
        <v>3024</v>
      </c>
      <c r="BJ15" s="79">
        <v>2524</v>
      </c>
      <c r="BK15" s="79">
        <v>3199</v>
      </c>
      <c r="BL15" s="79">
        <v>56568</v>
      </c>
      <c r="BM15" s="79">
        <v>50536</v>
      </c>
      <c r="BN15" s="79">
        <v>16829</v>
      </c>
      <c r="BO15" s="79">
        <v>17639</v>
      </c>
    </row>
    <row r="16" spans="1:67" x14ac:dyDescent="0.35">
      <c r="A16" s="78">
        <v>2004</v>
      </c>
      <c r="B16" s="79">
        <v>720790</v>
      </c>
      <c r="C16" s="79">
        <v>1068</v>
      </c>
      <c r="D16" s="79">
        <v>994</v>
      </c>
      <c r="E16" s="79">
        <v>77</v>
      </c>
      <c r="F16" s="79">
        <v>279399</v>
      </c>
      <c r="G16" s="79">
        <v>52815</v>
      </c>
      <c r="H16" s="79">
        <v>52644</v>
      </c>
      <c r="I16" s="79">
        <v>168</v>
      </c>
      <c r="J16" s="79">
        <v>218325</v>
      </c>
      <c r="K16" s="79">
        <v>210137</v>
      </c>
      <c r="L16" s="79">
        <v>8155</v>
      </c>
      <c r="M16" s="79">
        <v>1720</v>
      </c>
      <c r="N16" s="79">
        <v>294</v>
      </c>
      <c r="O16" s="79">
        <v>5808</v>
      </c>
      <c r="P16" s="80" t="s">
        <v>496</v>
      </c>
      <c r="Q16" s="79">
        <v>4715</v>
      </c>
      <c r="R16" s="79">
        <v>48</v>
      </c>
      <c r="S16" s="79">
        <v>510</v>
      </c>
      <c r="T16" s="79">
        <v>4113</v>
      </c>
      <c r="U16" s="79">
        <v>15817</v>
      </c>
      <c r="V16" s="79">
        <v>8119</v>
      </c>
      <c r="W16" s="79">
        <v>4724</v>
      </c>
      <c r="X16" s="79">
        <v>2566</v>
      </c>
      <c r="Y16" s="79">
        <v>591</v>
      </c>
      <c r="Z16" s="79">
        <v>7685</v>
      </c>
      <c r="AA16" s="79">
        <v>89189</v>
      </c>
      <c r="AB16" s="79">
        <v>27538</v>
      </c>
      <c r="AC16" s="79">
        <v>8688</v>
      </c>
      <c r="AD16" s="79">
        <v>52110</v>
      </c>
      <c r="AE16" s="79">
        <v>9258</v>
      </c>
      <c r="AF16" s="79">
        <v>11502</v>
      </c>
      <c r="AG16" s="79">
        <v>20120</v>
      </c>
      <c r="AH16" s="79">
        <v>7254</v>
      </c>
      <c r="AI16" s="79">
        <v>4132</v>
      </c>
      <c r="AJ16" s="79">
        <v>1649</v>
      </c>
      <c r="AK16" s="79">
        <v>2162</v>
      </c>
      <c r="AL16" s="79">
        <v>1371</v>
      </c>
      <c r="AM16" s="79">
        <v>61249</v>
      </c>
      <c r="AN16" s="79">
        <v>308</v>
      </c>
      <c r="AO16" s="79">
        <v>2641</v>
      </c>
      <c r="AP16" s="79">
        <v>1970</v>
      </c>
      <c r="AQ16" s="79">
        <v>55984</v>
      </c>
      <c r="AR16" s="79">
        <v>14134</v>
      </c>
      <c r="AS16" s="79">
        <v>25351</v>
      </c>
      <c r="AT16" s="79">
        <v>16761</v>
      </c>
      <c r="AU16" s="80" t="s">
        <v>496</v>
      </c>
      <c r="AV16" s="79">
        <v>28561</v>
      </c>
      <c r="AW16" s="79">
        <v>168103</v>
      </c>
      <c r="AX16" s="79">
        <v>134432</v>
      </c>
      <c r="AY16" s="79">
        <v>126473</v>
      </c>
      <c r="AZ16" s="79">
        <v>7589</v>
      </c>
      <c r="BA16" s="79">
        <v>33290</v>
      </c>
      <c r="BB16" s="79">
        <v>125713</v>
      </c>
      <c r="BC16" s="79">
        <v>9031</v>
      </c>
      <c r="BD16" s="79">
        <v>5215</v>
      </c>
      <c r="BE16" s="79">
        <v>12885</v>
      </c>
      <c r="BF16" s="79">
        <v>22297</v>
      </c>
      <c r="BG16" s="79">
        <v>10842</v>
      </c>
      <c r="BH16" s="79">
        <v>2291</v>
      </c>
      <c r="BI16" s="79">
        <v>2757</v>
      </c>
      <c r="BJ16" s="79">
        <v>2325</v>
      </c>
      <c r="BK16" s="79">
        <v>2907</v>
      </c>
      <c r="BL16" s="79">
        <v>59612</v>
      </c>
      <c r="BM16" s="79">
        <v>53759</v>
      </c>
      <c r="BN16" s="79">
        <v>17573</v>
      </c>
      <c r="BO16" s="79">
        <v>17489</v>
      </c>
    </row>
    <row r="17" spans="1:67" x14ac:dyDescent="0.35">
      <c r="A17" s="78">
        <v>2005</v>
      </c>
      <c r="B17" s="79">
        <v>748077</v>
      </c>
      <c r="C17" s="79">
        <v>1082</v>
      </c>
      <c r="D17" s="79">
        <v>1022</v>
      </c>
      <c r="E17" s="79">
        <v>71</v>
      </c>
      <c r="F17" s="79">
        <v>284998</v>
      </c>
      <c r="G17" s="79">
        <v>56197</v>
      </c>
      <c r="H17" s="79">
        <v>56029</v>
      </c>
      <c r="I17" s="79">
        <v>163</v>
      </c>
      <c r="J17" s="79">
        <v>220225</v>
      </c>
      <c r="K17" s="79">
        <v>211861</v>
      </c>
      <c r="L17" s="79">
        <v>8331</v>
      </c>
      <c r="M17" s="79">
        <v>2127</v>
      </c>
      <c r="N17" s="79">
        <v>236</v>
      </c>
      <c r="O17" s="79">
        <v>5820</v>
      </c>
      <c r="P17" s="80" t="s">
        <v>496</v>
      </c>
      <c r="Q17" s="79">
        <v>5289</v>
      </c>
      <c r="R17" s="79">
        <v>100</v>
      </c>
      <c r="S17" s="79">
        <v>450</v>
      </c>
      <c r="T17" s="79">
        <v>4724</v>
      </c>
      <c r="U17" s="79">
        <v>17101</v>
      </c>
      <c r="V17" s="79">
        <v>8801</v>
      </c>
      <c r="W17" s="79">
        <v>5162</v>
      </c>
      <c r="X17" s="79">
        <v>2510</v>
      </c>
      <c r="Y17" s="79">
        <v>827</v>
      </c>
      <c r="Z17" s="79">
        <v>8276</v>
      </c>
      <c r="AA17" s="79">
        <v>93780</v>
      </c>
      <c r="AB17" s="79">
        <v>28532</v>
      </c>
      <c r="AC17" s="79">
        <v>9194</v>
      </c>
      <c r="AD17" s="79">
        <v>55147</v>
      </c>
      <c r="AE17" s="79">
        <v>9263</v>
      </c>
      <c r="AF17" s="79">
        <v>12569</v>
      </c>
      <c r="AG17" s="79">
        <v>21556</v>
      </c>
      <c r="AH17" s="79">
        <v>7952</v>
      </c>
      <c r="AI17" s="79">
        <v>3838</v>
      </c>
      <c r="AJ17" s="79">
        <v>1830</v>
      </c>
      <c r="AK17" s="79">
        <v>2037</v>
      </c>
      <c r="AL17" s="79">
        <v>1531</v>
      </c>
      <c r="AM17" s="79">
        <v>61900</v>
      </c>
      <c r="AN17" s="79">
        <v>294</v>
      </c>
      <c r="AO17" s="79">
        <v>2718</v>
      </c>
      <c r="AP17" s="79">
        <v>2183</v>
      </c>
      <c r="AQ17" s="79">
        <v>56364</v>
      </c>
      <c r="AR17" s="79">
        <v>14641</v>
      </c>
      <c r="AS17" s="79">
        <v>25460</v>
      </c>
      <c r="AT17" s="79">
        <v>16544</v>
      </c>
      <c r="AU17" s="80" t="s">
        <v>496</v>
      </c>
      <c r="AV17" s="79">
        <v>28739</v>
      </c>
      <c r="AW17" s="79">
        <v>169235</v>
      </c>
      <c r="AX17" s="79">
        <v>136245</v>
      </c>
      <c r="AY17" s="79">
        <v>128569</v>
      </c>
      <c r="AZ17" s="79">
        <v>7368</v>
      </c>
      <c r="BA17" s="79">
        <v>32599</v>
      </c>
      <c r="BB17" s="79">
        <v>137550</v>
      </c>
      <c r="BC17" s="79">
        <v>8963</v>
      </c>
      <c r="BD17" s="79">
        <v>5270</v>
      </c>
      <c r="BE17" s="79">
        <v>13696</v>
      </c>
      <c r="BF17" s="79">
        <v>27432</v>
      </c>
      <c r="BG17" s="79">
        <v>14550</v>
      </c>
      <c r="BH17" s="79">
        <v>2614</v>
      </c>
      <c r="BI17" s="79">
        <v>3141</v>
      </c>
      <c r="BJ17" s="79">
        <v>2633</v>
      </c>
      <c r="BK17" s="79">
        <v>3318</v>
      </c>
      <c r="BL17" s="79">
        <v>64300</v>
      </c>
      <c r="BM17" s="79">
        <v>57276</v>
      </c>
      <c r="BN17" s="79">
        <v>19200</v>
      </c>
      <c r="BO17" s="79">
        <v>17762</v>
      </c>
    </row>
    <row r="18" spans="1:67" x14ac:dyDescent="0.35">
      <c r="A18" s="78">
        <v>2006</v>
      </c>
      <c r="B18" s="79">
        <v>748717</v>
      </c>
      <c r="C18" s="79">
        <v>1122</v>
      </c>
      <c r="D18" s="79">
        <v>1038</v>
      </c>
      <c r="E18" s="79">
        <v>85</v>
      </c>
      <c r="F18" s="79">
        <v>289618</v>
      </c>
      <c r="G18" s="79">
        <v>60606</v>
      </c>
      <c r="H18" s="79">
        <v>60434</v>
      </c>
      <c r="I18" s="79">
        <v>168</v>
      </c>
      <c r="J18" s="79">
        <v>220541</v>
      </c>
      <c r="K18" s="79">
        <v>212354</v>
      </c>
      <c r="L18" s="79">
        <v>8150</v>
      </c>
      <c r="M18" s="79">
        <v>2172</v>
      </c>
      <c r="N18" s="79">
        <v>293</v>
      </c>
      <c r="O18" s="79">
        <v>5735</v>
      </c>
      <c r="P18" s="80" t="s">
        <v>496</v>
      </c>
      <c r="Q18" s="79">
        <v>5122</v>
      </c>
      <c r="R18" s="79">
        <v>92</v>
      </c>
      <c r="S18" s="79">
        <v>406</v>
      </c>
      <c r="T18" s="79">
        <v>4617</v>
      </c>
      <c r="U18" s="79">
        <v>13790</v>
      </c>
      <c r="V18" s="79">
        <v>6483</v>
      </c>
      <c r="W18" s="79">
        <v>2808</v>
      </c>
      <c r="X18" s="79">
        <v>2678</v>
      </c>
      <c r="Y18" s="79">
        <v>990</v>
      </c>
      <c r="Z18" s="79">
        <v>7548</v>
      </c>
      <c r="AA18" s="79">
        <v>93725</v>
      </c>
      <c r="AB18" s="79">
        <v>25244</v>
      </c>
      <c r="AC18" s="79">
        <v>9582</v>
      </c>
      <c r="AD18" s="79">
        <v>58032</v>
      </c>
      <c r="AE18" s="79">
        <v>8675</v>
      </c>
      <c r="AF18" s="79">
        <v>13806</v>
      </c>
      <c r="AG18" s="79">
        <v>22588</v>
      </c>
      <c r="AH18" s="79">
        <v>9012</v>
      </c>
      <c r="AI18" s="79">
        <v>4283</v>
      </c>
      <c r="AJ18" s="79">
        <v>2072</v>
      </c>
      <c r="AK18" s="79">
        <v>1765</v>
      </c>
      <c r="AL18" s="79">
        <v>1751</v>
      </c>
      <c r="AM18" s="79">
        <v>63211</v>
      </c>
      <c r="AN18" s="79">
        <v>198</v>
      </c>
      <c r="AO18" s="79">
        <v>2818</v>
      </c>
      <c r="AP18" s="79">
        <v>2730</v>
      </c>
      <c r="AQ18" s="79">
        <v>57179</v>
      </c>
      <c r="AR18" s="79">
        <v>14711</v>
      </c>
      <c r="AS18" s="79">
        <v>26176</v>
      </c>
      <c r="AT18" s="79">
        <v>16544</v>
      </c>
      <c r="AU18" s="80" t="s">
        <v>496</v>
      </c>
      <c r="AV18" s="79">
        <v>29456</v>
      </c>
      <c r="AW18" s="79">
        <v>168255</v>
      </c>
      <c r="AX18" s="79">
        <v>134401</v>
      </c>
      <c r="AY18" s="79">
        <v>126839</v>
      </c>
      <c r="AZ18" s="79">
        <v>7260</v>
      </c>
      <c r="BA18" s="79">
        <v>33470</v>
      </c>
      <c r="BB18" s="79">
        <v>132121</v>
      </c>
      <c r="BC18" s="79">
        <v>9063</v>
      </c>
      <c r="BD18" s="79">
        <v>5323</v>
      </c>
      <c r="BE18" s="79">
        <v>14373</v>
      </c>
      <c r="BF18" s="79">
        <v>19421</v>
      </c>
      <c r="BG18" s="79">
        <v>13124</v>
      </c>
      <c r="BH18" s="79">
        <v>1344</v>
      </c>
      <c r="BI18" s="79">
        <v>1637</v>
      </c>
      <c r="BJ18" s="79">
        <v>1430</v>
      </c>
      <c r="BK18" s="79">
        <v>1706</v>
      </c>
      <c r="BL18" s="79">
        <v>68064</v>
      </c>
      <c r="BM18" s="79">
        <v>58727</v>
      </c>
      <c r="BN18" s="79">
        <v>20914</v>
      </c>
      <c r="BO18" s="79">
        <v>17294</v>
      </c>
    </row>
    <row r="19" spans="1:67" x14ac:dyDescent="0.35">
      <c r="A19" s="78">
        <v>2007</v>
      </c>
      <c r="B19" s="79">
        <v>777314</v>
      </c>
      <c r="C19" s="79">
        <v>1133</v>
      </c>
      <c r="D19" s="79">
        <v>1065</v>
      </c>
      <c r="E19" s="79">
        <v>77</v>
      </c>
      <c r="F19" s="79">
        <v>294132</v>
      </c>
      <c r="G19" s="79">
        <v>64296</v>
      </c>
      <c r="H19" s="79">
        <v>64112</v>
      </c>
      <c r="I19" s="79">
        <v>180</v>
      </c>
      <c r="J19" s="79">
        <v>221620</v>
      </c>
      <c r="K19" s="79">
        <v>213171</v>
      </c>
      <c r="L19" s="79">
        <v>8417</v>
      </c>
      <c r="M19" s="79">
        <v>2175</v>
      </c>
      <c r="N19" s="79">
        <v>237</v>
      </c>
      <c r="O19" s="79">
        <v>5599</v>
      </c>
      <c r="P19" s="80" t="s">
        <v>496</v>
      </c>
      <c r="Q19" s="79">
        <v>4268</v>
      </c>
      <c r="R19" s="79">
        <v>62</v>
      </c>
      <c r="S19" s="79">
        <v>385</v>
      </c>
      <c r="T19" s="79">
        <v>3804</v>
      </c>
      <c r="U19" s="79">
        <v>16401</v>
      </c>
      <c r="V19" s="79">
        <v>8677</v>
      </c>
      <c r="W19" s="79">
        <v>4410</v>
      </c>
      <c r="X19" s="79">
        <v>3503</v>
      </c>
      <c r="Y19" s="79">
        <v>685</v>
      </c>
      <c r="Z19" s="79">
        <v>7617</v>
      </c>
      <c r="AA19" s="79">
        <v>98592</v>
      </c>
      <c r="AB19" s="79">
        <v>26837</v>
      </c>
      <c r="AC19" s="79">
        <v>9601</v>
      </c>
      <c r="AD19" s="79">
        <v>61222</v>
      </c>
      <c r="AE19" s="79">
        <v>9219</v>
      </c>
      <c r="AF19" s="79">
        <v>13925</v>
      </c>
      <c r="AG19" s="79">
        <v>24263</v>
      </c>
      <c r="AH19" s="79">
        <v>9272</v>
      </c>
      <c r="AI19" s="79">
        <v>4890</v>
      </c>
      <c r="AJ19" s="79">
        <v>2299</v>
      </c>
      <c r="AK19" s="79">
        <v>1906</v>
      </c>
      <c r="AL19" s="79">
        <v>1945</v>
      </c>
      <c r="AM19" s="79">
        <v>62863</v>
      </c>
      <c r="AN19" s="79">
        <v>194</v>
      </c>
      <c r="AO19" s="79">
        <v>2761</v>
      </c>
      <c r="AP19" s="79">
        <v>2789</v>
      </c>
      <c r="AQ19" s="79">
        <v>56844</v>
      </c>
      <c r="AR19" s="79">
        <v>13692</v>
      </c>
      <c r="AS19" s="79">
        <v>26658</v>
      </c>
      <c r="AT19" s="79">
        <v>16680</v>
      </c>
      <c r="AU19" s="80" t="s">
        <v>496</v>
      </c>
      <c r="AV19" s="79">
        <v>29999</v>
      </c>
      <c r="AW19" s="79">
        <v>168688</v>
      </c>
      <c r="AX19" s="79">
        <v>135457</v>
      </c>
      <c r="AY19" s="79">
        <v>128260</v>
      </c>
      <c r="AZ19" s="79">
        <v>6963</v>
      </c>
      <c r="BA19" s="79">
        <v>32830</v>
      </c>
      <c r="BB19" s="79">
        <v>147047</v>
      </c>
      <c r="BC19" s="79">
        <v>8753</v>
      </c>
      <c r="BD19" s="79">
        <v>5380</v>
      </c>
      <c r="BE19" s="79">
        <v>13622</v>
      </c>
      <c r="BF19" s="79">
        <v>29000</v>
      </c>
      <c r="BG19" s="79">
        <v>15527</v>
      </c>
      <c r="BH19" s="79">
        <v>3023</v>
      </c>
      <c r="BI19" s="79">
        <v>3639</v>
      </c>
      <c r="BJ19" s="79">
        <v>3026</v>
      </c>
      <c r="BK19" s="79">
        <v>3833</v>
      </c>
      <c r="BL19" s="79">
        <v>70940</v>
      </c>
      <c r="BM19" s="79">
        <v>60196</v>
      </c>
      <c r="BN19" s="79">
        <v>22111</v>
      </c>
      <c r="BO19" s="79">
        <v>17512</v>
      </c>
    </row>
    <row r="20" spans="1:67" x14ac:dyDescent="0.35">
      <c r="A20" s="78">
        <v>2008</v>
      </c>
      <c r="B20" s="79">
        <v>775581</v>
      </c>
      <c r="C20" s="79">
        <v>1207</v>
      </c>
      <c r="D20" s="79">
        <v>1143</v>
      </c>
      <c r="E20" s="79">
        <v>77</v>
      </c>
      <c r="F20" s="79">
        <v>297742</v>
      </c>
      <c r="G20" s="79">
        <v>68124</v>
      </c>
      <c r="H20" s="79">
        <v>67945</v>
      </c>
      <c r="I20" s="79">
        <v>174</v>
      </c>
      <c r="J20" s="79">
        <v>222295</v>
      </c>
      <c r="K20" s="79">
        <v>213802</v>
      </c>
      <c r="L20" s="79">
        <v>8460</v>
      </c>
      <c r="M20" s="79">
        <v>1793</v>
      </c>
      <c r="N20" s="79">
        <v>218</v>
      </c>
      <c r="O20" s="79">
        <v>5211</v>
      </c>
      <c r="P20" s="80" t="s">
        <v>496</v>
      </c>
      <c r="Q20" s="79">
        <v>4189</v>
      </c>
      <c r="R20" s="79">
        <v>73</v>
      </c>
      <c r="S20" s="79">
        <v>276</v>
      </c>
      <c r="T20" s="79">
        <v>3842</v>
      </c>
      <c r="U20" s="79">
        <v>16114</v>
      </c>
      <c r="V20" s="79">
        <v>8006</v>
      </c>
      <c r="W20" s="79">
        <v>4277</v>
      </c>
      <c r="X20" s="79">
        <v>2927</v>
      </c>
      <c r="Y20" s="79">
        <v>676</v>
      </c>
      <c r="Z20" s="79">
        <v>8198</v>
      </c>
      <c r="AA20" s="79">
        <v>96790</v>
      </c>
      <c r="AB20" s="79">
        <v>26885</v>
      </c>
      <c r="AC20" s="79">
        <v>9774</v>
      </c>
      <c r="AD20" s="79">
        <v>59189</v>
      </c>
      <c r="AE20" s="79">
        <v>9955</v>
      </c>
      <c r="AF20" s="79">
        <v>13334</v>
      </c>
      <c r="AG20" s="79">
        <v>22545</v>
      </c>
      <c r="AH20" s="79">
        <v>9355</v>
      </c>
      <c r="AI20" s="79">
        <v>4369</v>
      </c>
      <c r="AJ20" s="79">
        <v>2842</v>
      </c>
      <c r="AK20" s="79">
        <v>1340</v>
      </c>
      <c r="AL20" s="79">
        <v>2449</v>
      </c>
      <c r="AM20" s="79">
        <v>63256</v>
      </c>
      <c r="AN20" s="79">
        <v>146</v>
      </c>
      <c r="AO20" s="79">
        <v>2709</v>
      </c>
      <c r="AP20" s="79">
        <v>2994</v>
      </c>
      <c r="AQ20" s="79">
        <v>57164</v>
      </c>
      <c r="AR20" s="79">
        <v>13593</v>
      </c>
      <c r="AS20" s="79">
        <v>26485</v>
      </c>
      <c r="AT20" s="79">
        <v>17308</v>
      </c>
      <c r="AU20" s="80" t="s">
        <v>496</v>
      </c>
      <c r="AV20" s="79">
        <v>28695</v>
      </c>
      <c r="AW20" s="79">
        <v>164301</v>
      </c>
      <c r="AX20" s="79">
        <v>132448</v>
      </c>
      <c r="AY20" s="79">
        <v>125429</v>
      </c>
      <c r="AZ20" s="79">
        <v>6794</v>
      </c>
      <c r="BA20" s="79">
        <v>31451</v>
      </c>
      <c r="BB20" s="79">
        <v>140969</v>
      </c>
      <c r="BC20" s="79">
        <v>8613</v>
      </c>
      <c r="BD20" s="79">
        <v>5431</v>
      </c>
      <c r="BE20" s="79">
        <v>16215</v>
      </c>
      <c r="BF20" s="79">
        <v>25660</v>
      </c>
      <c r="BG20" s="79">
        <v>10451</v>
      </c>
      <c r="BH20" s="79">
        <v>3408</v>
      </c>
      <c r="BI20" s="79">
        <v>4102</v>
      </c>
      <c r="BJ20" s="79">
        <v>3415</v>
      </c>
      <c r="BK20" s="79">
        <v>4320</v>
      </c>
      <c r="BL20" s="79">
        <v>67471</v>
      </c>
      <c r="BM20" s="79">
        <v>62416</v>
      </c>
      <c r="BN20" s="79">
        <v>19419</v>
      </c>
      <c r="BO20" s="79">
        <v>16578</v>
      </c>
    </row>
    <row r="21" spans="1:67" x14ac:dyDescent="0.35">
      <c r="A21" s="78">
        <v>2009</v>
      </c>
      <c r="B21" s="79">
        <v>756160</v>
      </c>
      <c r="C21" s="79">
        <v>994</v>
      </c>
      <c r="D21" s="79">
        <v>891</v>
      </c>
      <c r="E21" s="79">
        <v>94</v>
      </c>
      <c r="F21" s="79">
        <v>299951</v>
      </c>
      <c r="G21" s="79">
        <v>71091</v>
      </c>
      <c r="H21" s="79">
        <v>70890</v>
      </c>
      <c r="I21" s="79">
        <v>197</v>
      </c>
      <c r="J21" s="79">
        <v>221671</v>
      </c>
      <c r="K21" s="79">
        <v>212324</v>
      </c>
      <c r="L21" s="79">
        <v>9330</v>
      </c>
      <c r="M21" s="79">
        <v>1643</v>
      </c>
      <c r="N21" s="79">
        <v>214</v>
      </c>
      <c r="O21" s="79">
        <v>5340</v>
      </c>
      <c r="P21" s="80" t="s">
        <v>496</v>
      </c>
      <c r="Q21" s="79">
        <v>4066</v>
      </c>
      <c r="R21" s="79">
        <v>90</v>
      </c>
      <c r="S21" s="79">
        <v>260</v>
      </c>
      <c r="T21" s="79">
        <v>3721</v>
      </c>
      <c r="U21" s="79">
        <v>16232</v>
      </c>
      <c r="V21" s="79">
        <v>7561</v>
      </c>
      <c r="W21" s="79">
        <v>3809</v>
      </c>
      <c r="X21" s="79">
        <v>2749</v>
      </c>
      <c r="Y21" s="79">
        <v>897</v>
      </c>
      <c r="Z21" s="79">
        <v>8940</v>
      </c>
      <c r="AA21" s="79">
        <v>87313</v>
      </c>
      <c r="AB21" s="79">
        <v>23772</v>
      </c>
      <c r="AC21" s="79">
        <v>9874</v>
      </c>
      <c r="AD21" s="79">
        <v>52878</v>
      </c>
      <c r="AE21" s="79">
        <v>9664</v>
      </c>
      <c r="AF21" s="79">
        <v>10313</v>
      </c>
      <c r="AG21" s="79">
        <v>21269</v>
      </c>
      <c r="AH21" s="79">
        <v>8232</v>
      </c>
      <c r="AI21" s="79">
        <v>3507</v>
      </c>
      <c r="AJ21" s="79">
        <v>3237</v>
      </c>
      <c r="AK21" s="79">
        <v>1445</v>
      </c>
      <c r="AL21" s="79">
        <v>2795</v>
      </c>
      <c r="AM21" s="79">
        <v>59089</v>
      </c>
      <c r="AN21" s="79">
        <v>260</v>
      </c>
      <c r="AO21" s="79">
        <v>2620</v>
      </c>
      <c r="AP21" s="79">
        <v>3032</v>
      </c>
      <c r="AQ21" s="79">
        <v>52910</v>
      </c>
      <c r="AR21" s="79">
        <v>12979</v>
      </c>
      <c r="AS21" s="79">
        <v>25207</v>
      </c>
      <c r="AT21" s="79">
        <v>14850</v>
      </c>
      <c r="AU21" s="80" t="s">
        <v>496</v>
      </c>
      <c r="AV21" s="79">
        <v>29666</v>
      </c>
      <c r="AW21" s="79">
        <v>151188</v>
      </c>
      <c r="AX21" s="79">
        <v>122234</v>
      </c>
      <c r="AY21" s="79">
        <v>114868</v>
      </c>
      <c r="AZ21" s="79">
        <v>7010</v>
      </c>
      <c r="BA21" s="79">
        <v>28574</v>
      </c>
      <c r="BB21" s="79">
        <v>137471</v>
      </c>
      <c r="BC21" s="79">
        <v>8645</v>
      </c>
      <c r="BD21" s="79">
        <v>5477</v>
      </c>
      <c r="BE21" s="79">
        <v>15650</v>
      </c>
      <c r="BF21" s="79">
        <v>24704</v>
      </c>
      <c r="BG21" s="79">
        <v>13251</v>
      </c>
      <c r="BH21" s="79">
        <v>2565</v>
      </c>
      <c r="BI21" s="79">
        <v>3079</v>
      </c>
      <c r="BJ21" s="79">
        <v>2574</v>
      </c>
      <c r="BK21" s="79">
        <v>3252</v>
      </c>
      <c r="BL21" s="79">
        <v>65740</v>
      </c>
      <c r="BM21" s="79">
        <v>61442</v>
      </c>
      <c r="BN21" s="79">
        <v>18681</v>
      </c>
      <c r="BO21" s="79">
        <v>16249</v>
      </c>
    </row>
    <row r="22" spans="1:67" x14ac:dyDescent="0.35">
      <c r="A22" s="78">
        <v>2010</v>
      </c>
      <c r="B22" s="79">
        <v>780780</v>
      </c>
      <c r="C22" s="79">
        <v>962</v>
      </c>
      <c r="D22" s="79">
        <v>861</v>
      </c>
      <c r="E22" s="79">
        <v>91</v>
      </c>
      <c r="F22" s="79">
        <v>309553</v>
      </c>
      <c r="G22" s="79">
        <v>75715</v>
      </c>
      <c r="H22" s="79">
        <v>75489</v>
      </c>
      <c r="I22" s="79">
        <v>222</v>
      </c>
      <c r="J22" s="79">
        <v>226775</v>
      </c>
      <c r="K22" s="79">
        <v>216362</v>
      </c>
      <c r="L22" s="79">
        <v>10410</v>
      </c>
      <c r="M22" s="79">
        <v>1489</v>
      </c>
      <c r="N22" s="79">
        <v>182</v>
      </c>
      <c r="O22" s="79">
        <v>5490</v>
      </c>
      <c r="P22" s="80" t="s">
        <v>496</v>
      </c>
      <c r="Q22" s="79">
        <v>4870</v>
      </c>
      <c r="R22" s="79">
        <v>58</v>
      </c>
      <c r="S22" s="79">
        <v>314</v>
      </c>
      <c r="T22" s="79">
        <v>4501</v>
      </c>
      <c r="U22" s="79">
        <v>15898</v>
      </c>
      <c r="V22" s="79">
        <v>7677</v>
      </c>
      <c r="W22" s="79">
        <v>3616</v>
      </c>
      <c r="X22" s="79">
        <v>3212</v>
      </c>
      <c r="Y22" s="79">
        <v>805</v>
      </c>
      <c r="Z22" s="79">
        <v>8400</v>
      </c>
      <c r="AA22" s="79">
        <v>91955</v>
      </c>
      <c r="AB22" s="79">
        <v>25059</v>
      </c>
      <c r="AC22" s="79">
        <v>11000</v>
      </c>
      <c r="AD22" s="79">
        <v>55094</v>
      </c>
      <c r="AE22" s="79">
        <v>10591</v>
      </c>
      <c r="AF22" s="79">
        <v>10399</v>
      </c>
      <c r="AG22" s="79">
        <v>22124</v>
      </c>
      <c r="AH22" s="79">
        <v>8603</v>
      </c>
      <c r="AI22" s="79">
        <v>3444</v>
      </c>
      <c r="AJ22" s="79">
        <v>4012</v>
      </c>
      <c r="AK22" s="79">
        <v>1593</v>
      </c>
      <c r="AL22" s="79">
        <v>3478</v>
      </c>
      <c r="AM22" s="79">
        <v>57604</v>
      </c>
      <c r="AN22" s="79">
        <v>232</v>
      </c>
      <c r="AO22" s="79">
        <v>2480</v>
      </c>
      <c r="AP22" s="79">
        <v>2843</v>
      </c>
      <c r="AQ22" s="79">
        <v>51796</v>
      </c>
      <c r="AR22" s="79">
        <v>13245</v>
      </c>
      <c r="AS22" s="79">
        <v>24888</v>
      </c>
      <c r="AT22" s="79">
        <v>13776</v>
      </c>
      <c r="AU22" s="80" t="s">
        <v>496</v>
      </c>
      <c r="AV22" s="79">
        <v>30552</v>
      </c>
      <c r="AW22" s="79">
        <v>152676</v>
      </c>
      <c r="AX22" s="79">
        <v>123101</v>
      </c>
      <c r="AY22" s="79">
        <v>116004</v>
      </c>
      <c r="AZ22" s="79">
        <v>6789</v>
      </c>
      <c r="BA22" s="79">
        <v>29203</v>
      </c>
      <c r="BB22" s="79">
        <v>141315</v>
      </c>
      <c r="BC22" s="79">
        <v>9152</v>
      </c>
      <c r="BD22" s="79">
        <v>5546</v>
      </c>
      <c r="BE22" s="79">
        <v>16471</v>
      </c>
      <c r="BF22" s="79">
        <v>27554</v>
      </c>
      <c r="BG22" s="79">
        <v>14488</v>
      </c>
      <c r="BH22" s="79">
        <v>2912</v>
      </c>
      <c r="BI22" s="79">
        <v>3515</v>
      </c>
      <c r="BJ22" s="79">
        <v>2955</v>
      </c>
      <c r="BK22" s="79">
        <v>3700</v>
      </c>
      <c r="BL22" s="79">
        <v>64420</v>
      </c>
      <c r="BM22" s="79">
        <v>57897</v>
      </c>
      <c r="BN22" s="79">
        <v>18829</v>
      </c>
      <c r="BO22" s="79">
        <v>16577</v>
      </c>
    </row>
    <row r="23" spans="1:67" x14ac:dyDescent="0.35">
      <c r="A23" s="78">
        <v>2011</v>
      </c>
      <c r="B23" s="79">
        <v>785611</v>
      </c>
      <c r="C23" s="79">
        <v>914</v>
      </c>
      <c r="D23" s="79">
        <v>840</v>
      </c>
      <c r="E23" s="79">
        <v>72</v>
      </c>
      <c r="F23" s="79">
        <v>310717</v>
      </c>
      <c r="G23" s="79">
        <v>78089</v>
      </c>
      <c r="H23" s="79">
        <v>77867</v>
      </c>
      <c r="I23" s="79">
        <v>218</v>
      </c>
      <c r="J23" s="79">
        <v>225361</v>
      </c>
      <c r="K23" s="79">
        <v>214992</v>
      </c>
      <c r="L23" s="79">
        <v>10366</v>
      </c>
      <c r="M23" s="79">
        <v>1671</v>
      </c>
      <c r="N23" s="79">
        <v>137</v>
      </c>
      <c r="O23" s="79">
        <v>5550</v>
      </c>
      <c r="P23" s="80" t="s">
        <v>496</v>
      </c>
      <c r="Q23" s="79">
        <v>4681</v>
      </c>
      <c r="R23" s="79">
        <v>85</v>
      </c>
      <c r="S23" s="79">
        <v>298</v>
      </c>
      <c r="T23" s="79">
        <v>4302</v>
      </c>
      <c r="U23" s="79">
        <v>16407</v>
      </c>
      <c r="V23" s="79">
        <v>8932</v>
      </c>
      <c r="W23" s="79">
        <v>4424</v>
      </c>
      <c r="X23" s="79">
        <v>3388</v>
      </c>
      <c r="Y23" s="79">
        <v>1016</v>
      </c>
      <c r="Z23" s="79">
        <v>7404</v>
      </c>
      <c r="AA23" s="79">
        <v>92619</v>
      </c>
      <c r="AB23" s="79">
        <v>24290</v>
      </c>
      <c r="AC23" s="79">
        <v>9896</v>
      </c>
      <c r="AD23" s="79">
        <v>57635</v>
      </c>
      <c r="AE23" s="79">
        <v>11766</v>
      </c>
      <c r="AF23" s="79">
        <v>10004</v>
      </c>
      <c r="AG23" s="79">
        <v>23580</v>
      </c>
      <c r="AH23" s="79">
        <v>8599</v>
      </c>
      <c r="AI23" s="79">
        <v>3715</v>
      </c>
      <c r="AJ23" s="79">
        <v>4668</v>
      </c>
      <c r="AK23" s="79">
        <v>1480</v>
      </c>
      <c r="AL23" s="79">
        <v>4081</v>
      </c>
      <c r="AM23" s="79">
        <v>58965</v>
      </c>
      <c r="AN23" s="79">
        <v>187</v>
      </c>
      <c r="AO23" s="79">
        <v>2479</v>
      </c>
      <c r="AP23" s="79">
        <v>3097</v>
      </c>
      <c r="AQ23" s="79">
        <v>52968</v>
      </c>
      <c r="AR23" s="79">
        <v>13444</v>
      </c>
      <c r="AS23" s="79">
        <v>25662</v>
      </c>
      <c r="AT23" s="79">
        <v>13967</v>
      </c>
      <c r="AU23" s="80" t="s">
        <v>496</v>
      </c>
      <c r="AV23" s="79">
        <v>30750</v>
      </c>
      <c r="AW23" s="79">
        <v>153404</v>
      </c>
      <c r="AX23" s="79">
        <v>121996</v>
      </c>
      <c r="AY23" s="79">
        <v>115126</v>
      </c>
      <c r="AZ23" s="79">
        <v>6590</v>
      </c>
      <c r="BA23" s="79">
        <v>31091</v>
      </c>
      <c r="BB23" s="79">
        <v>137080</v>
      </c>
      <c r="BC23" s="79">
        <v>8626</v>
      </c>
      <c r="BD23" s="79">
        <v>5593</v>
      </c>
      <c r="BE23" s="79">
        <v>15735</v>
      </c>
      <c r="BF23" s="79">
        <v>25760</v>
      </c>
      <c r="BG23" s="79">
        <v>10344</v>
      </c>
      <c r="BH23" s="79">
        <v>3434</v>
      </c>
      <c r="BI23" s="79">
        <v>4153</v>
      </c>
      <c r="BJ23" s="79">
        <v>3502</v>
      </c>
      <c r="BK23" s="79">
        <v>4361</v>
      </c>
      <c r="BL23" s="79">
        <v>64218</v>
      </c>
      <c r="BM23" s="79">
        <v>54421</v>
      </c>
      <c r="BN23" s="79">
        <v>19447</v>
      </c>
      <c r="BO23" s="79">
        <v>15837</v>
      </c>
    </row>
    <row r="24" spans="1:67" x14ac:dyDescent="0.35">
      <c r="A24" s="78">
        <v>2012</v>
      </c>
      <c r="B24" s="79">
        <v>803402</v>
      </c>
      <c r="C24" s="79">
        <v>1032</v>
      </c>
      <c r="D24" s="79">
        <v>935</v>
      </c>
      <c r="E24" s="79">
        <v>90</v>
      </c>
      <c r="F24" s="79">
        <v>318828</v>
      </c>
      <c r="G24" s="79">
        <v>82318</v>
      </c>
      <c r="H24" s="79">
        <v>82083</v>
      </c>
      <c r="I24" s="79">
        <v>232</v>
      </c>
      <c r="J24" s="79">
        <v>229190</v>
      </c>
      <c r="K24" s="79">
        <v>218350</v>
      </c>
      <c r="L24" s="79">
        <v>10839</v>
      </c>
      <c r="M24" s="79">
        <v>1827</v>
      </c>
      <c r="N24" s="79">
        <v>131</v>
      </c>
      <c r="O24" s="79">
        <v>5417</v>
      </c>
      <c r="P24" s="80" t="s">
        <v>496</v>
      </c>
      <c r="Q24" s="79">
        <v>4627</v>
      </c>
      <c r="R24" s="79">
        <v>88</v>
      </c>
      <c r="S24" s="79">
        <v>273</v>
      </c>
      <c r="T24" s="79">
        <v>4274</v>
      </c>
      <c r="U24" s="79">
        <v>16738</v>
      </c>
      <c r="V24" s="79">
        <v>9040</v>
      </c>
      <c r="W24" s="79">
        <v>4630</v>
      </c>
      <c r="X24" s="79">
        <v>3277</v>
      </c>
      <c r="Y24" s="79">
        <v>1004</v>
      </c>
      <c r="Z24" s="79">
        <v>7640</v>
      </c>
      <c r="AA24" s="79">
        <v>93699</v>
      </c>
      <c r="AB24" s="79">
        <v>24742</v>
      </c>
      <c r="AC24" s="79">
        <v>9285</v>
      </c>
      <c r="AD24" s="79">
        <v>58803</v>
      </c>
      <c r="AE24" s="79">
        <v>12449</v>
      </c>
      <c r="AF24" s="79">
        <v>9591</v>
      </c>
      <c r="AG24" s="79">
        <v>23686</v>
      </c>
      <c r="AH24" s="79">
        <v>10179</v>
      </c>
      <c r="AI24" s="79">
        <v>3253</v>
      </c>
      <c r="AJ24" s="79">
        <v>5206</v>
      </c>
      <c r="AK24" s="79">
        <v>1472</v>
      </c>
      <c r="AL24" s="79">
        <v>4571</v>
      </c>
      <c r="AM24" s="79">
        <v>59616</v>
      </c>
      <c r="AN24" s="79">
        <v>147</v>
      </c>
      <c r="AO24" s="79">
        <v>2539</v>
      </c>
      <c r="AP24" s="79">
        <v>3067</v>
      </c>
      <c r="AQ24" s="79">
        <v>53634</v>
      </c>
      <c r="AR24" s="79">
        <v>14320</v>
      </c>
      <c r="AS24" s="79">
        <v>25683</v>
      </c>
      <c r="AT24" s="79">
        <v>13762</v>
      </c>
      <c r="AU24" s="80" t="s">
        <v>496</v>
      </c>
      <c r="AV24" s="79">
        <v>31025</v>
      </c>
      <c r="AW24" s="79">
        <v>155290</v>
      </c>
      <c r="AX24" s="79">
        <v>121663</v>
      </c>
      <c r="AY24" s="79">
        <v>115150</v>
      </c>
      <c r="AZ24" s="79">
        <v>6280</v>
      </c>
      <c r="BA24" s="79">
        <v>33421</v>
      </c>
      <c r="BB24" s="79">
        <v>139935</v>
      </c>
      <c r="BC24" s="79">
        <v>8648</v>
      </c>
      <c r="BD24" s="79">
        <v>5680</v>
      </c>
      <c r="BE24" s="79">
        <v>16110</v>
      </c>
      <c r="BF24" s="79">
        <v>28000</v>
      </c>
      <c r="BG24" s="79">
        <v>11673</v>
      </c>
      <c r="BH24" s="79">
        <v>3630</v>
      </c>
      <c r="BI24" s="79">
        <v>4403</v>
      </c>
      <c r="BJ24" s="79">
        <v>3717</v>
      </c>
      <c r="BK24" s="79">
        <v>4613</v>
      </c>
      <c r="BL24" s="79">
        <v>62007</v>
      </c>
      <c r="BM24" s="79">
        <v>56042</v>
      </c>
      <c r="BN24" s="79">
        <v>17986</v>
      </c>
      <c r="BO24" s="79">
        <v>17262</v>
      </c>
    </row>
    <row r="25" spans="1:67" x14ac:dyDescent="0.35">
      <c r="A25" s="78">
        <v>2013</v>
      </c>
      <c r="B25" s="79">
        <v>824811</v>
      </c>
      <c r="C25" s="79">
        <v>998</v>
      </c>
      <c r="D25" s="79">
        <v>928</v>
      </c>
      <c r="E25" s="79">
        <v>70</v>
      </c>
      <c r="F25" s="79">
        <v>327743</v>
      </c>
      <c r="G25" s="79">
        <v>86600</v>
      </c>
      <c r="H25" s="79">
        <v>86345</v>
      </c>
      <c r="I25" s="79">
        <v>252</v>
      </c>
      <c r="J25" s="79">
        <v>233764</v>
      </c>
      <c r="K25" s="79">
        <v>222440</v>
      </c>
      <c r="L25" s="79">
        <v>11324</v>
      </c>
      <c r="M25" s="79">
        <v>1876</v>
      </c>
      <c r="N25" s="79">
        <v>131</v>
      </c>
      <c r="O25" s="79">
        <v>5389</v>
      </c>
      <c r="P25" s="80" t="s">
        <v>496</v>
      </c>
      <c r="Q25" s="79">
        <v>4765</v>
      </c>
      <c r="R25" s="79">
        <v>44</v>
      </c>
      <c r="S25" s="79">
        <v>290</v>
      </c>
      <c r="T25" s="79">
        <v>4436</v>
      </c>
      <c r="U25" s="79">
        <v>18691</v>
      </c>
      <c r="V25" s="79">
        <v>9632</v>
      </c>
      <c r="W25" s="79">
        <v>4364</v>
      </c>
      <c r="X25" s="79">
        <v>4130</v>
      </c>
      <c r="Y25" s="79">
        <v>1090</v>
      </c>
      <c r="Z25" s="79">
        <v>9074</v>
      </c>
      <c r="AA25" s="79">
        <v>94024</v>
      </c>
      <c r="AB25" s="79">
        <v>23859</v>
      </c>
      <c r="AC25" s="79">
        <v>9729</v>
      </c>
      <c r="AD25" s="79">
        <v>59622</v>
      </c>
      <c r="AE25" s="79">
        <v>13098</v>
      </c>
      <c r="AF25" s="79">
        <v>10101</v>
      </c>
      <c r="AG25" s="79">
        <v>22193</v>
      </c>
      <c r="AH25" s="79">
        <v>11287</v>
      </c>
      <c r="AI25" s="79">
        <v>3608</v>
      </c>
      <c r="AJ25" s="79">
        <v>5490</v>
      </c>
      <c r="AK25" s="79">
        <v>1104</v>
      </c>
      <c r="AL25" s="79">
        <v>4885</v>
      </c>
      <c r="AM25" s="79">
        <v>62511</v>
      </c>
      <c r="AN25" s="79">
        <v>169</v>
      </c>
      <c r="AO25" s="79">
        <v>2730</v>
      </c>
      <c r="AP25" s="79">
        <v>3338</v>
      </c>
      <c r="AQ25" s="79">
        <v>56032</v>
      </c>
      <c r="AR25" s="79">
        <v>13325</v>
      </c>
      <c r="AS25" s="79">
        <v>27631</v>
      </c>
      <c r="AT25" s="79">
        <v>15161</v>
      </c>
      <c r="AU25" s="80" t="s">
        <v>496</v>
      </c>
      <c r="AV25" s="79">
        <v>29917</v>
      </c>
      <c r="AW25" s="79">
        <v>161014</v>
      </c>
      <c r="AX25" s="79">
        <v>124056</v>
      </c>
      <c r="AY25" s="79">
        <v>117527</v>
      </c>
      <c r="AZ25" s="79">
        <v>6306</v>
      </c>
      <c r="BA25" s="79">
        <v>36910</v>
      </c>
      <c r="BB25" s="79">
        <v>141737</v>
      </c>
      <c r="BC25" s="79">
        <v>8751</v>
      </c>
      <c r="BD25" s="79">
        <v>5736</v>
      </c>
      <c r="BE25" s="79">
        <v>18256</v>
      </c>
      <c r="BF25" s="79">
        <v>26213</v>
      </c>
      <c r="BG25" s="79">
        <v>13184</v>
      </c>
      <c r="BH25" s="79">
        <v>2905</v>
      </c>
      <c r="BI25" s="79">
        <v>3501</v>
      </c>
      <c r="BJ25" s="79">
        <v>2957</v>
      </c>
      <c r="BK25" s="79">
        <v>3686</v>
      </c>
      <c r="BL25" s="79">
        <v>63090</v>
      </c>
      <c r="BM25" s="79">
        <v>53938</v>
      </c>
      <c r="BN25" s="79">
        <v>18919</v>
      </c>
      <c r="BO25" s="79">
        <v>17630</v>
      </c>
    </row>
    <row r="26" spans="1:67" x14ac:dyDescent="0.35">
      <c r="A26" s="78">
        <v>2014</v>
      </c>
      <c r="B26" s="79">
        <v>858810</v>
      </c>
      <c r="C26" s="79">
        <v>1029</v>
      </c>
      <c r="D26" s="79">
        <v>937</v>
      </c>
      <c r="E26" s="79">
        <v>86</v>
      </c>
      <c r="F26" s="79">
        <v>336134</v>
      </c>
      <c r="G26" s="79">
        <v>89941</v>
      </c>
      <c r="H26" s="79">
        <v>89679</v>
      </c>
      <c r="I26" s="79">
        <v>259</v>
      </c>
      <c r="J26" s="79">
        <v>238826</v>
      </c>
      <c r="K26" s="79">
        <v>227192</v>
      </c>
      <c r="L26" s="79">
        <v>11635</v>
      </c>
      <c r="M26" s="79">
        <v>1940</v>
      </c>
      <c r="N26" s="79">
        <v>195</v>
      </c>
      <c r="O26" s="79">
        <v>5233</v>
      </c>
      <c r="P26" s="80" t="s">
        <v>496</v>
      </c>
      <c r="Q26" s="79">
        <v>5006</v>
      </c>
      <c r="R26" s="79">
        <v>31</v>
      </c>
      <c r="S26" s="79">
        <v>387</v>
      </c>
      <c r="T26" s="79">
        <v>4582</v>
      </c>
      <c r="U26" s="79">
        <v>18616</v>
      </c>
      <c r="V26" s="79">
        <v>9965</v>
      </c>
      <c r="W26" s="79">
        <v>4821</v>
      </c>
      <c r="X26" s="79">
        <v>4151</v>
      </c>
      <c r="Y26" s="79">
        <v>922</v>
      </c>
      <c r="Z26" s="79">
        <v>8612</v>
      </c>
      <c r="AA26" s="79">
        <v>95798</v>
      </c>
      <c r="AB26" s="79">
        <v>22149</v>
      </c>
      <c r="AC26" s="79">
        <v>10722</v>
      </c>
      <c r="AD26" s="79">
        <v>62131</v>
      </c>
      <c r="AE26" s="79">
        <v>13283</v>
      </c>
      <c r="AF26" s="79">
        <v>9885</v>
      </c>
      <c r="AG26" s="79">
        <v>24477</v>
      </c>
      <c r="AH26" s="79">
        <v>11052</v>
      </c>
      <c r="AI26" s="79">
        <v>3758</v>
      </c>
      <c r="AJ26" s="79">
        <v>6770</v>
      </c>
      <c r="AK26" s="79">
        <v>1139</v>
      </c>
      <c r="AL26" s="79">
        <v>6063</v>
      </c>
      <c r="AM26" s="79">
        <v>65710</v>
      </c>
      <c r="AN26" s="79">
        <v>205</v>
      </c>
      <c r="AO26" s="79">
        <v>2922</v>
      </c>
      <c r="AP26" s="79">
        <v>3221</v>
      </c>
      <c r="AQ26" s="79">
        <v>59087</v>
      </c>
      <c r="AR26" s="79">
        <v>14456</v>
      </c>
      <c r="AS26" s="79">
        <v>27628</v>
      </c>
      <c r="AT26" s="79">
        <v>17166</v>
      </c>
      <c r="AU26" s="80" t="s">
        <v>496</v>
      </c>
      <c r="AV26" s="79">
        <v>30822</v>
      </c>
      <c r="AW26" s="79">
        <v>163909</v>
      </c>
      <c r="AX26" s="79">
        <v>126423</v>
      </c>
      <c r="AY26" s="79">
        <v>119898</v>
      </c>
      <c r="AZ26" s="79">
        <v>6313</v>
      </c>
      <c r="BA26" s="79">
        <v>37422</v>
      </c>
      <c r="BB26" s="79">
        <v>154600</v>
      </c>
      <c r="BC26" s="79">
        <v>9098</v>
      </c>
      <c r="BD26" s="79">
        <v>5772</v>
      </c>
      <c r="BE26" s="79">
        <v>18757</v>
      </c>
      <c r="BF26" s="79">
        <v>31291</v>
      </c>
      <c r="BG26" s="79">
        <v>15313</v>
      </c>
      <c r="BH26" s="79">
        <v>3549</v>
      </c>
      <c r="BI26" s="79">
        <v>4296</v>
      </c>
      <c r="BJ26" s="79">
        <v>3646</v>
      </c>
      <c r="BK26" s="79">
        <v>4506</v>
      </c>
      <c r="BL26" s="79">
        <v>70128</v>
      </c>
      <c r="BM26" s="79">
        <v>54276</v>
      </c>
      <c r="BN26" s="79">
        <v>22076</v>
      </c>
      <c r="BO26" s="79">
        <v>17538</v>
      </c>
    </row>
    <row r="27" spans="1:67" x14ac:dyDescent="0.35">
      <c r="A27" s="78">
        <v>2015</v>
      </c>
      <c r="B27" s="79">
        <v>874166</v>
      </c>
      <c r="C27" s="79">
        <v>880</v>
      </c>
      <c r="D27" s="79">
        <v>787</v>
      </c>
      <c r="E27" s="79">
        <v>85</v>
      </c>
      <c r="F27" s="79">
        <v>342132</v>
      </c>
      <c r="G27" s="79">
        <v>91107</v>
      </c>
      <c r="H27" s="79">
        <v>90833</v>
      </c>
      <c r="I27" s="79">
        <v>272</v>
      </c>
      <c r="J27" s="79">
        <v>243720</v>
      </c>
      <c r="K27" s="79">
        <v>231723</v>
      </c>
      <c r="L27" s="79">
        <v>11998</v>
      </c>
      <c r="M27" s="79">
        <v>1885</v>
      </c>
      <c r="N27" s="79">
        <v>222</v>
      </c>
      <c r="O27" s="79">
        <v>5228</v>
      </c>
      <c r="P27" s="80" t="s">
        <v>496</v>
      </c>
      <c r="Q27" s="79">
        <v>4957</v>
      </c>
      <c r="R27" s="79">
        <v>31</v>
      </c>
      <c r="S27" s="79">
        <v>400</v>
      </c>
      <c r="T27" s="79">
        <v>4519</v>
      </c>
      <c r="U27" s="79">
        <v>19235</v>
      </c>
      <c r="V27" s="79">
        <v>10583</v>
      </c>
      <c r="W27" s="79">
        <v>4310</v>
      </c>
      <c r="X27" s="79">
        <v>5076</v>
      </c>
      <c r="Y27" s="79">
        <v>1211</v>
      </c>
      <c r="Z27" s="79">
        <v>8577</v>
      </c>
      <c r="AA27" s="79">
        <v>98463</v>
      </c>
      <c r="AB27" s="79">
        <v>22586</v>
      </c>
      <c r="AC27" s="79">
        <v>11638</v>
      </c>
      <c r="AD27" s="79">
        <v>63500</v>
      </c>
      <c r="AE27" s="79">
        <v>13631</v>
      </c>
      <c r="AF27" s="79">
        <v>9620</v>
      </c>
      <c r="AG27" s="79">
        <v>25994</v>
      </c>
      <c r="AH27" s="79">
        <v>10908</v>
      </c>
      <c r="AI27" s="79">
        <v>3530</v>
      </c>
      <c r="AJ27" s="79">
        <v>8163</v>
      </c>
      <c r="AK27" s="79">
        <v>1569</v>
      </c>
      <c r="AL27" s="79">
        <v>7267</v>
      </c>
      <c r="AM27" s="79">
        <v>66784</v>
      </c>
      <c r="AN27" s="79">
        <v>245</v>
      </c>
      <c r="AO27" s="79">
        <v>2938</v>
      </c>
      <c r="AP27" s="79">
        <v>3533</v>
      </c>
      <c r="AQ27" s="79">
        <v>59793</v>
      </c>
      <c r="AR27" s="79">
        <v>14621</v>
      </c>
      <c r="AS27" s="79">
        <v>28838</v>
      </c>
      <c r="AT27" s="79">
        <v>16438</v>
      </c>
      <c r="AU27" s="80" t="s">
        <v>496</v>
      </c>
      <c r="AV27" s="79">
        <v>31710</v>
      </c>
      <c r="AW27" s="79">
        <v>167787</v>
      </c>
      <c r="AX27" s="79">
        <v>128288</v>
      </c>
      <c r="AY27" s="79">
        <v>121798</v>
      </c>
      <c r="AZ27" s="79">
        <v>6291</v>
      </c>
      <c r="BA27" s="79">
        <v>39547</v>
      </c>
      <c r="BB27" s="79">
        <v>149849</v>
      </c>
      <c r="BC27" s="79">
        <v>9363</v>
      </c>
      <c r="BD27" s="79">
        <v>5844</v>
      </c>
      <c r="BE27" s="79">
        <v>20381</v>
      </c>
      <c r="BF27" s="79">
        <v>25896</v>
      </c>
      <c r="BG27" s="79">
        <v>10348</v>
      </c>
      <c r="BH27" s="79">
        <v>3439</v>
      </c>
      <c r="BI27" s="79">
        <v>4180</v>
      </c>
      <c r="BJ27" s="79">
        <v>3589</v>
      </c>
      <c r="BK27" s="79">
        <v>4371</v>
      </c>
      <c r="BL27" s="79">
        <v>69783</v>
      </c>
      <c r="BM27" s="79">
        <v>57482</v>
      </c>
      <c r="BN27" s="79">
        <v>20870</v>
      </c>
      <c r="BO27" s="79">
        <v>17239</v>
      </c>
    </row>
    <row r="28" spans="1:67" x14ac:dyDescent="0.35">
      <c r="A28" s="78">
        <v>2016</v>
      </c>
      <c r="B28" s="79">
        <v>904855</v>
      </c>
      <c r="C28" s="79">
        <v>880</v>
      </c>
      <c r="D28" s="79">
        <v>803</v>
      </c>
      <c r="E28" s="79">
        <v>73</v>
      </c>
      <c r="F28" s="79">
        <v>351334</v>
      </c>
      <c r="G28" s="79">
        <v>93396</v>
      </c>
      <c r="H28" s="79">
        <v>93096</v>
      </c>
      <c r="I28" s="79">
        <v>298</v>
      </c>
      <c r="J28" s="79">
        <v>250389</v>
      </c>
      <c r="K28" s="79">
        <v>237806</v>
      </c>
      <c r="L28" s="79">
        <v>12583</v>
      </c>
      <c r="M28" s="79">
        <v>2096</v>
      </c>
      <c r="N28" s="79">
        <v>228</v>
      </c>
      <c r="O28" s="79">
        <v>5247</v>
      </c>
      <c r="P28" s="80" t="s">
        <v>496</v>
      </c>
      <c r="Q28" s="79">
        <v>6007</v>
      </c>
      <c r="R28" s="79">
        <v>27</v>
      </c>
      <c r="S28" s="79">
        <v>576</v>
      </c>
      <c r="T28" s="79">
        <v>5392</v>
      </c>
      <c r="U28" s="79">
        <v>20549</v>
      </c>
      <c r="V28" s="79">
        <v>11558</v>
      </c>
      <c r="W28" s="79">
        <v>4522</v>
      </c>
      <c r="X28" s="79">
        <v>5912</v>
      </c>
      <c r="Y28" s="79">
        <v>1174</v>
      </c>
      <c r="Z28" s="79">
        <v>8885</v>
      </c>
      <c r="AA28" s="79">
        <v>100781</v>
      </c>
      <c r="AB28" s="79">
        <v>21823</v>
      </c>
      <c r="AC28" s="79">
        <v>12111</v>
      </c>
      <c r="AD28" s="79">
        <v>66097</v>
      </c>
      <c r="AE28" s="79">
        <v>14427</v>
      </c>
      <c r="AF28" s="79">
        <v>9492</v>
      </c>
      <c r="AG28" s="79">
        <v>27804</v>
      </c>
      <c r="AH28" s="79">
        <v>10604</v>
      </c>
      <c r="AI28" s="79">
        <v>3801</v>
      </c>
      <c r="AJ28" s="79">
        <v>9422</v>
      </c>
      <c r="AK28" s="79">
        <v>1504</v>
      </c>
      <c r="AL28" s="79">
        <v>8470</v>
      </c>
      <c r="AM28" s="79">
        <v>65249</v>
      </c>
      <c r="AN28" s="79">
        <v>246</v>
      </c>
      <c r="AO28" s="79">
        <v>2993</v>
      </c>
      <c r="AP28" s="79">
        <v>3904</v>
      </c>
      <c r="AQ28" s="79">
        <v>57862</v>
      </c>
      <c r="AR28" s="79">
        <v>14882</v>
      </c>
      <c r="AS28" s="79">
        <v>29392</v>
      </c>
      <c r="AT28" s="79">
        <v>13621</v>
      </c>
      <c r="AU28" s="80" t="s">
        <v>496</v>
      </c>
      <c r="AV28" s="79">
        <v>32782</v>
      </c>
      <c r="AW28" s="79">
        <v>172517</v>
      </c>
      <c r="AX28" s="79">
        <v>131694</v>
      </c>
      <c r="AY28" s="79">
        <v>125060</v>
      </c>
      <c r="AZ28" s="79">
        <v>6433</v>
      </c>
      <c r="BA28" s="79">
        <v>40893</v>
      </c>
      <c r="BB28" s="79">
        <v>159870</v>
      </c>
      <c r="BC28" s="79">
        <v>9827</v>
      </c>
      <c r="BD28" s="79">
        <v>6057</v>
      </c>
      <c r="BE28" s="79">
        <v>19925</v>
      </c>
      <c r="BF28" s="79">
        <v>26113</v>
      </c>
      <c r="BG28" s="79">
        <v>11927</v>
      </c>
      <c r="BH28" s="79">
        <v>2913</v>
      </c>
      <c r="BI28" s="79">
        <v>3258</v>
      </c>
      <c r="BJ28" s="79">
        <v>4364</v>
      </c>
      <c r="BK28" s="79">
        <v>3643</v>
      </c>
      <c r="BL28" s="79">
        <v>80102</v>
      </c>
      <c r="BM28" s="79">
        <v>59797</v>
      </c>
      <c r="BN28" s="79">
        <v>26100</v>
      </c>
      <c r="BO28" s="79">
        <v>17342</v>
      </c>
    </row>
    <row r="29" spans="1:67" x14ac:dyDescent="0.35">
      <c r="A29" s="78">
        <v>2017</v>
      </c>
      <c r="B29" s="79">
        <v>925074</v>
      </c>
      <c r="C29" s="79">
        <v>958</v>
      </c>
      <c r="D29" s="79">
        <v>890</v>
      </c>
      <c r="E29" s="79">
        <v>66</v>
      </c>
      <c r="F29" s="79">
        <v>348915</v>
      </c>
      <c r="G29" s="79">
        <v>92840</v>
      </c>
      <c r="H29" s="79">
        <v>92524</v>
      </c>
      <c r="I29" s="79">
        <v>315</v>
      </c>
      <c r="J29" s="79">
        <v>248636</v>
      </c>
      <c r="K29" s="79">
        <v>235860</v>
      </c>
      <c r="L29" s="79">
        <v>12776</v>
      </c>
      <c r="M29" s="79">
        <v>1985</v>
      </c>
      <c r="N29" s="79">
        <v>225</v>
      </c>
      <c r="O29" s="79">
        <v>5258</v>
      </c>
      <c r="P29" s="80" t="s">
        <v>496</v>
      </c>
      <c r="Q29" s="79">
        <v>5648</v>
      </c>
      <c r="R29" s="79">
        <v>45</v>
      </c>
      <c r="S29" s="79">
        <v>573</v>
      </c>
      <c r="T29" s="79">
        <v>5021</v>
      </c>
      <c r="U29" s="79">
        <v>20140</v>
      </c>
      <c r="V29" s="79">
        <v>11242</v>
      </c>
      <c r="W29" s="79">
        <v>4314</v>
      </c>
      <c r="X29" s="79">
        <v>5877</v>
      </c>
      <c r="Y29" s="79">
        <v>1112</v>
      </c>
      <c r="Z29" s="79">
        <v>8802</v>
      </c>
      <c r="AA29" s="79">
        <v>106462</v>
      </c>
      <c r="AB29" s="79">
        <v>23414</v>
      </c>
      <c r="AC29" s="79">
        <v>13666</v>
      </c>
      <c r="AD29" s="79">
        <v>68678</v>
      </c>
      <c r="AE29" s="79">
        <v>14872</v>
      </c>
      <c r="AF29" s="79">
        <v>9677</v>
      </c>
      <c r="AG29" s="79">
        <v>30018</v>
      </c>
      <c r="AH29" s="79">
        <v>10100</v>
      </c>
      <c r="AI29" s="79">
        <v>3937</v>
      </c>
      <c r="AJ29" s="79">
        <v>11198</v>
      </c>
      <c r="AK29" s="79">
        <v>1605</v>
      </c>
      <c r="AL29" s="79">
        <v>10122</v>
      </c>
      <c r="AM29" s="79">
        <v>66570</v>
      </c>
      <c r="AN29" s="79">
        <v>261</v>
      </c>
      <c r="AO29" s="79">
        <v>3056</v>
      </c>
      <c r="AP29" s="79">
        <v>4460</v>
      </c>
      <c r="AQ29" s="79">
        <v>58595</v>
      </c>
      <c r="AR29" s="79">
        <v>14902</v>
      </c>
      <c r="AS29" s="79">
        <v>29679</v>
      </c>
      <c r="AT29" s="79">
        <v>14042</v>
      </c>
      <c r="AU29" s="80" t="s">
        <v>496</v>
      </c>
      <c r="AV29" s="79">
        <v>33254</v>
      </c>
      <c r="AW29" s="79">
        <v>177760</v>
      </c>
      <c r="AX29" s="79">
        <v>136414</v>
      </c>
      <c r="AY29" s="79">
        <v>129575</v>
      </c>
      <c r="AZ29" s="79">
        <v>6633</v>
      </c>
      <c r="BA29" s="79">
        <v>41361</v>
      </c>
      <c r="BB29" s="79">
        <v>167148</v>
      </c>
      <c r="BC29" s="79">
        <v>10186</v>
      </c>
      <c r="BD29" s="79">
        <v>6188</v>
      </c>
      <c r="BE29" s="79">
        <v>19585</v>
      </c>
      <c r="BF29" s="79">
        <v>26346</v>
      </c>
      <c r="BG29" s="79">
        <v>11608</v>
      </c>
      <c r="BH29" s="79">
        <v>2375</v>
      </c>
      <c r="BI29" s="79">
        <v>3616</v>
      </c>
      <c r="BJ29" s="79">
        <v>4911</v>
      </c>
      <c r="BK29" s="79">
        <v>3828</v>
      </c>
      <c r="BL29" s="79">
        <v>85819</v>
      </c>
      <c r="BM29" s="79">
        <v>62041</v>
      </c>
      <c r="BN29" s="79">
        <v>28657</v>
      </c>
      <c r="BO29" s="79">
        <v>18775</v>
      </c>
    </row>
    <row r="30" spans="1:67" x14ac:dyDescent="0.35">
      <c r="A30" s="78">
        <v>2018</v>
      </c>
      <c r="B30" s="79">
        <v>939650</v>
      </c>
      <c r="C30" s="79">
        <v>935</v>
      </c>
      <c r="D30" s="79">
        <v>892</v>
      </c>
      <c r="E30" s="79">
        <v>45</v>
      </c>
      <c r="F30" s="79">
        <v>353027</v>
      </c>
      <c r="G30" s="79">
        <v>92996</v>
      </c>
      <c r="H30" s="79">
        <v>92659</v>
      </c>
      <c r="I30" s="79">
        <v>337</v>
      </c>
      <c r="J30" s="79">
        <v>252599</v>
      </c>
      <c r="K30" s="79">
        <v>239334</v>
      </c>
      <c r="L30" s="79">
        <v>13264</v>
      </c>
      <c r="M30" s="79">
        <v>1926</v>
      </c>
      <c r="N30" s="79">
        <v>241</v>
      </c>
      <c r="O30" s="79">
        <v>5322</v>
      </c>
      <c r="P30" s="80" t="s">
        <v>496</v>
      </c>
      <c r="Q30" s="79">
        <v>6056</v>
      </c>
      <c r="R30" s="79">
        <v>51</v>
      </c>
      <c r="S30" s="79">
        <v>675</v>
      </c>
      <c r="T30" s="79">
        <v>5319</v>
      </c>
      <c r="U30" s="79">
        <v>19376</v>
      </c>
      <c r="V30" s="79">
        <v>10503</v>
      </c>
      <c r="W30" s="79">
        <v>4233</v>
      </c>
      <c r="X30" s="79">
        <v>5214</v>
      </c>
      <c r="Y30" s="79">
        <v>1095</v>
      </c>
      <c r="Z30" s="79">
        <v>8801</v>
      </c>
      <c r="AA30" s="79">
        <v>109632</v>
      </c>
      <c r="AB30" s="79">
        <v>23811</v>
      </c>
      <c r="AC30" s="79">
        <v>14464</v>
      </c>
      <c r="AD30" s="79">
        <v>70660</v>
      </c>
      <c r="AE30" s="79">
        <v>14904</v>
      </c>
      <c r="AF30" s="79">
        <v>9930</v>
      </c>
      <c r="AG30" s="79">
        <v>30462</v>
      </c>
      <c r="AH30" s="79">
        <v>11312</v>
      </c>
      <c r="AI30" s="79">
        <v>4066</v>
      </c>
      <c r="AJ30" s="79">
        <v>13493</v>
      </c>
      <c r="AK30" s="79">
        <v>1396</v>
      </c>
      <c r="AL30" s="79">
        <v>12387</v>
      </c>
      <c r="AM30" s="79">
        <v>66397</v>
      </c>
      <c r="AN30" s="79">
        <v>245</v>
      </c>
      <c r="AO30" s="79">
        <v>3102</v>
      </c>
      <c r="AP30" s="79">
        <v>4712</v>
      </c>
      <c r="AQ30" s="79">
        <v>58166</v>
      </c>
      <c r="AR30" s="79">
        <v>14149</v>
      </c>
      <c r="AS30" s="79">
        <v>29969</v>
      </c>
      <c r="AT30" s="79">
        <v>14070</v>
      </c>
      <c r="AU30" s="80" t="s">
        <v>496</v>
      </c>
      <c r="AV30" s="79">
        <v>34052</v>
      </c>
      <c r="AW30" s="79">
        <v>178269</v>
      </c>
      <c r="AX30" s="79">
        <v>136928</v>
      </c>
      <c r="AY30" s="79">
        <v>130360</v>
      </c>
      <c r="AZ30" s="79">
        <v>6386</v>
      </c>
      <c r="BA30" s="79">
        <v>41349</v>
      </c>
      <c r="BB30" s="79">
        <v>168235</v>
      </c>
      <c r="BC30" s="79">
        <v>10382</v>
      </c>
      <c r="BD30" s="79">
        <v>6257</v>
      </c>
      <c r="BE30" s="79">
        <v>18979</v>
      </c>
      <c r="BF30" s="79">
        <v>25493</v>
      </c>
      <c r="BG30" s="79">
        <v>9079</v>
      </c>
      <c r="BH30" s="79">
        <v>2670</v>
      </c>
      <c r="BI30" s="79">
        <v>4272</v>
      </c>
      <c r="BJ30" s="79">
        <v>5549</v>
      </c>
      <c r="BK30" s="79">
        <v>3904</v>
      </c>
      <c r="BL30" s="79">
        <v>87771</v>
      </c>
      <c r="BM30" s="79">
        <v>63718</v>
      </c>
      <c r="BN30" s="79">
        <v>29227</v>
      </c>
      <c r="BO30" s="79">
        <v>19307</v>
      </c>
    </row>
    <row r="31" spans="1:67" x14ac:dyDescent="0.35">
      <c r="A31" s="78">
        <v>2019</v>
      </c>
      <c r="B31" s="79">
        <v>951016</v>
      </c>
      <c r="C31" s="79">
        <v>1049</v>
      </c>
      <c r="D31" s="79">
        <v>969</v>
      </c>
      <c r="E31" s="79">
        <v>77</v>
      </c>
      <c r="F31" s="79">
        <v>355878</v>
      </c>
      <c r="G31" s="79">
        <v>93426</v>
      </c>
      <c r="H31" s="79">
        <v>93081</v>
      </c>
      <c r="I31" s="79">
        <v>344</v>
      </c>
      <c r="J31" s="79">
        <v>255127</v>
      </c>
      <c r="K31" s="79">
        <v>241804</v>
      </c>
      <c r="L31" s="79">
        <v>13323</v>
      </c>
      <c r="M31" s="79">
        <v>1892</v>
      </c>
      <c r="N31" s="79">
        <v>225</v>
      </c>
      <c r="O31" s="79">
        <v>5283</v>
      </c>
      <c r="P31" s="80" t="s">
        <v>496</v>
      </c>
      <c r="Q31" s="79">
        <v>6306</v>
      </c>
      <c r="R31" s="79">
        <v>39</v>
      </c>
      <c r="S31" s="79">
        <v>612</v>
      </c>
      <c r="T31" s="79">
        <v>5641</v>
      </c>
      <c r="U31" s="79">
        <v>18858</v>
      </c>
      <c r="V31" s="79">
        <v>9775</v>
      </c>
      <c r="W31" s="79">
        <v>4080</v>
      </c>
      <c r="X31" s="79">
        <v>4586</v>
      </c>
      <c r="Y31" s="79">
        <v>1132</v>
      </c>
      <c r="Z31" s="79">
        <v>9044</v>
      </c>
      <c r="AA31" s="79">
        <v>109820</v>
      </c>
      <c r="AB31" s="79">
        <v>22113</v>
      </c>
      <c r="AC31" s="79">
        <v>16113</v>
      </c>
      <c r="AD31" s="79">
        <v>70959</v>
      </c>
      <c r="AE31" s="79">
        <v>15470</v>
      </c>
      <c r="AF31" s="79">
        <v>9799</v>
      </c>
      <c r="AG31" s="79">
        <v>30618</v>
      </c>
      <c r="AH31" s="79">
        <v>10510</v>
      </c>
      <c r="AI31" s="79">
        <v>4437</v>
      </c>
      <c r="AJ31" s="79">
        <v>15553</v>
      </c>
      <c r="AK31" s="79">
        <v>1307</v>
      </c>
      <c r="AL31" s="79">
        <v>14416</v>
      </c>
      <c r="AM31" s="79">
        <v>68240</v>
      </c>
      <c r="AN31" s="79">
        <v>218</v>
      </c>
      <c r="AO31" s="79">
        <v>3139</v>
      </c>
      <c r="AP31" s="79">
        <v>4863</v>
      </c>
      <c r="AQ31" s="79">
        <v>59851</v>
      </c>
      <c r="AR31" s="79">
        <v>14529</v>
      </c>
      <c r="AS31" s="79">
        <v>31184</v>
      </c>
      <c r="AT31" s="79">
        <v>14151</v>
      </c>
      <c r="AU31" s="80" t="s">
        <v>496</v>
      </c>
      <c r="AV31" s="79">
        <v>33986</v>
      </c>
      <c r="AW31" s="79">
        <v>177421</v>
      </c>
      <c r="AX31" s="79">
        <v>136448</v>
      </c>
      <c r="AY31" s="79">
        <v>129816</v>
      </c>
      <c r="AZ31" s="79">
        <v>6443</v>
      </c>
      <c r="BA31" s="79">
        <v>40967</v>
      </c>
      <c r="BB31" s="79">
        <v>172183</v>
      </c>
      <c r="BC31" s="79">
        <v>10461</v>
      </c>
      <c r="BD31" s="79">
        <v>6459</v>
      </c>
      <c r="BE31" s="79">
        <v>17653</v>
      </c>
      <c r="BF31" s="79">
        <v>26544</v>
      </c>
      <c r="BG31" s="79">
        <v>11946</v>
      </c>
      <c r="BH31" s="79">
        <v>2759</v>
      </c>
      <c r="BI31" s="79">
        <v>4253</v>
      </c>
      <c r="BJ31" s="79">
        <v>4220</v>
      </c>
      <c r="BK31" s="79">
        <v>3359</v>
      </c>
      <c r="BL31" s="79">
        <v>92110</v>
      </c>
      <c r="BM31" s="79">
        <v>64411</v>
      </c>
      <c r="BN31" s="79">
        <v>31624</v>
      </c>
      <c r="BO31" s="79">
        <v>19514</v>
      </c>
    </row>
    <row r="32" spans="1:67" x14ac:dyDescent="0.35">
      <c r="A32" s="78">
        <v>2020</v>
      </c>
      <c r="B32" s="79">
        <v>799626</v>
      </c>
      <c r="C32" s="79">
        <v>771</v>
      </c>
      <c r="D32" s="79">
        <v>728</v>
      </c>
      <c r="E32" s="79">
        <v>43</v>
      </c>
      <c r="F32" s="79">
        <v>359882</v>
      </c>
      <c r="G32" s="79">
        <v>94161</v>
      </c>
      <c r="H32" s="79">
        <v>93811</v>
      </c>
      <c r="I32" s="79">
        <v>350</v>
      </c>
      <c r="J32" s="79">
        <v>257676</v>
      </c>
      <c r="K32" s="79">
        <v>244119</v>
      </c>
      <c r="L32" s="79">
        <v>13557</v>
      </c>
      <c r="M32" s="79">
        <v>1886</v>
      </c>
      <c r="N32" s="79">
        <v>321</v>
      </c>
      <c r="O32" s="79">
        <v>5876</v>
      </c>
      <c r="P32" s="80" t="s">
        <v>496</v>
      </c>
      <c r="Q32" s="79">
        <v>4907</v>
      </c>
      <c r="R32" s="79">
        <v>18</v>
      </c>
      <c r="S32" s="79">
        <v>544</v>
      </c>
      <c r="T32" s="79">
        <v>4333</v>
      </c>
      <c r="U32" s="79">
        <v>13678</v>
      </c>
      <c r="V32" s="79">
        <v>6172</v>
      </c>
      <c r="W32" s="79">
        <v>3059</v>
      </c>
      <c r="X32" s="79">
        <v>2076</v>
      </c>
      <c r="Y32" s="79">
        <v>1025</v>
      </c>
      <c r="Z32" s="79">
        <v>7534</v>
      </c>
      <c r="AA32" s="79">
        <v>52622</v>
      </c>
      <c r="AB32" s="79">
        <v>17195</v>
      </c>
      <c r="AC32" s="79">
        <v>11751</v>
      </c>
      <c r="AD32" s="79">
        <v>23746</v>
      </c>
      <c r="AE32" s="79">
        <v>4562</v>
      </c>
      <c r="AF32" s="79">
        <v>5418</v>
      </c>
      <c r="AG32" s="79">
        <v>8712</v>
      </c>
      <c r="AH32" s="79">
        <v>2409</v>
      </c>
      <c r="AI32" s="79">
        <v>2282</v>
      </c>
      <c r="AJ32" s="79">
        <v>19852</v>
      </c>
      <c r="AK32" s="79">
        <v>1450</v>
      </c>
      <c r="AL32" s="79">
        <v>18519</v>
      </c>
      <c r="AM32" s="79">
        <v>51260</v>
      </c>
      <c r="AN32" s="79">
        <v>170</v>
      </c>
      <c r="AO32" s="79">
        <v>1963</v>
      </c>
      <c r="AP32" s="79">
        <v>4595</v>
      </c>
      <c r="AQ32" s="79">
        <v>44522</v>
      </c>
      <c r="AR32" s="79">
        <v>11022</v>
      </c>
      <c r="AS32" s="79">
        <v>21715</v>
      </c>
      <c r="AT32" s="79">
        <v>11819</v>
      </c>
      <c r="AU32" s="80" t="s">
        <v>496</v>
      </c>
      <c r="AV32" s="79">
        <v>32091</v>
      </c>
      <c r="AW32" s="79">
        <v>106826</v>
      </c>
      <c r="AX32" s="79">
        <v>86771</v>
      </c>
      <c r="AY32" s="79">
        <v>83375</v>
      </c>
      <c r="AZ32" s="79">
        <v>3339</v>
      </c>
      <c r="BA32" s="79">
        <v>19781</v>
      </c>
      <c r="BB32" s="79">
        <v>158922</v>
      </c>
      <c r="BC32" s="79">
        <v>5837</v>
      </c>
      <c r="BD32" s="79">
        <v>4368</v>
      </c>
      <c r="BE32" s="79">
        <v>13621</v>
      </c>
      <c r="BF32" s="79">
        <v>28293</v>
      </c>
      <c r="BG32" s="79">
        <v>13294</v>
      </c>
      <c r="BH32" s="79">
        <v>2167</v>
      </c>
      <c r="BI32" s="79">
        <v>4950</v>
      </c>
      <c r="BJ32" s="79">
        <v>5880</v>
      </c>
      <c r="BK32" s="79">
        <v>1941</v>
      </c>
      <c r="BL32" s="79">
        <v>90493</v>
      </c>
      <c r="BM32" s="79">
        <v>60712</v>
      </c>
      <c r="BN32" s="79">
        <v>31985</v>
      </c>
      <c r="BO32" s="79">
        <v>18838</v>
      </c>
    </row>
    <row r="33" spans="1:67" x14ac:dyDescent="0.35">
      <c r="A33" s="78">
        <v>2021</v>
      </c>
      <c r="B33" s="63">
        <v>875566</v>
      </c>
      <c r="C33" s="63">
        <v>721</v>
      </c>
      <c r="D33" s="63">
        <v>686</v>
      </c>
      <c r="E33" s="63">
        <v>35</v>
      </c>
      <c r="F33" s="63">
        <v>363197</v>
      </c>
      <c r="G33" s="63">
        <v>95051</v>
      </c>
      <c r="H33" s="63">
        <v>94696</v>
      </c>
      <c r="I33" s="63">
        <v>355</v>
      </c>
      <c r="J33" s="63">
        <v>260109</v>
      </c>
      <c r="K33" s="63">
        <v>246527</v>
      </c>
      <c r="L33" s="63">
        <v>13582</v>
      </c>
      <c r="M33" s="63">
        <v>1935</v>
      </c>
      <c r="N33" s="63">
        <v>273</v>
      </c>
      <c r="O33" s="63">
        <v>5868</v>
      </c>
      <c r="P33" s="64" t="s">
        <v>496</v>
      </c>
      <c r="Q33" s="63">
        <v>4523</v>
      </c>
      <c r="R33" s="63">
        <v>42</v>
      </c>
      <c r="S33" s="63">
        <v>593</v>
      </c>
      <c r="T33" s="63">
        <v>3882</v>
      </c>
      <c r="U33" s="63">
        <v>17315</v>
      </c>
      <c r="V33" s="63">
        <v>8079</v>
      </c>
      <c r="W33" s="63">
        <v>4021</v>
      </c>
      <c r="X33" s="63">
        <v>2760</v>
      </c>
      <c r="Y33" s="63">
        <v>1283</v>
      </c>
      <c r="Z33" s="63">
        <v>9256</v>
      </c>
      <c r="AA33" s="63">
        <v>63551</v>
      </c>
      <c r="AB33" s="63">
        <v>21837</v>
      </c>
      <c r="AC33" s="63">
        <v>14784</v>
      </c>
      <c r="AD33" s="63">
        <v>27039</v>
      </c>
      <c r="AE33" s="63">
        <v>5740</v>
      </c>
      <c r="AF33" s="63">
        <v>5996</v>
      </c>
      <c r="AG33" s="63">
        <v>8770</v>
      </c>
      <c r="AH33" s="63">
        <v>3624</v>
      </c>
      <c r="AI33" s="63">
        <v>2463</v>
      </c>
      <c r="AJ33" s="63">
        <v>22313</v>
      </c>
      <c r="AK33" s="63">
        <v>1424</v>
      </c>
      <c r="AL33" s="63">
        <v>20959</v>
      </c>
      <c r="AM33" s="63">
        <v>60387</v>
      </c>
      <c r="AN33" s="63">
        <v>171</v>
      </c>
      <c r="AO33" s="63">
        <v>2568</v>
      </c>
      <c r="AP33" s="63">
        <v>5918</v>
      </c>
      <c r="AQ33" s="63">
        <v>51773</v>
      </c>
      <c r="AR33" s="63">
        <v>12624</v>
      </c>
      <c r="AS33" s="63">
        <v>26925</v>
      </c>
      <c r="AT33" s="63">
        <v>12241</v>
      </c>
      <c r="AU33" s="64" t="s">
        <v>496</v>
      </c>
      <c r="AV33" s="63">
        <v>34677</v>
      </c>
      <c r="AW33" s="63">
        <v>143016</v>
      </c>
      <c r="AX33" s="63">
        <v>113671</v>
      </c>
      <c r="AY33" s="63">
        <v>110625</v>
      </c>
      <c r="AZ33" s="63">
        <v>3069</v>
      </c>
      <c r="BA33" s="63">
        <v>29205</v>
      </c>
      <c r="BB33" s="63">
        <v>167470</v>
      </c>
      <c r="BC33" s="63">
        <v>6470</v>
      </c>
      <c r="BD33" s="63">
        <v>5097</v>
      </c>
      <c r="BE33" s="63">
        <v>16461</v>
      </c>
      <c r="BF33" s="63">
        <v>27219</v>
      </c>
      <c r="BG33" s="63">
        <v>12103</v>
      </c>
      <c r="BH33" s="63">
        <v>2685</v>
      </c>
      <c r="BI33" s="63">
        <v>4705</v>
      </c>
      <c r="BJ33" s="63">
        <v>4253</v>
      </c>
      <c r="BK33" s="63">
        <v>3469</v>
      </c>
      <c r="BL33" s="63">
        <v>94009</v>
      </c>
      <c r="BM33" s="63">
        <v>60447</v>
      </c>
      <c r="BN33" s="63">
        <v>34120</v>
      </c>
      <c r="BO33" s="63">
        <v>19783</v>
      </c>
    </row>
    <row r="34" spans="1:67" x14ac:dyDescent="0.35">
      <c r="A34" s="78">
        <v>2022</v>
      </c>
      <c r="B34" s="63">
        <v>963180</v>
      </c>
      <c r="C34" s="63">
        <v>1034</v>
      </c>
      <c r="D34" s="63">
        <v>974</v>
      </c>
      <c r="E34" s="63">
        <v>59</v>
      </c>
      <c r="F34" s="63">
        <v>367806</v>
      </c>
      <c r="G34" s="63">
        <v>96408</v>
      </c>
      <c r="H34" s="63">
        <v>96023</v>
      </c>
      <c r="I34" s="63">
        <v>385</v>
      </c>
      <c r="J34" s="63">
        <v>263225</v>
      </c>
      <c r="K34" s="63">
        <v>249101</v>
      </c>
      <c r="L34" s="63">
        <v>14124</v>
      </c>
      <c r="M34" s="63">
        <v>2229</v>
      </c>
      <c r="N34" s="63">
        <v>349</v>
      </c>
      <c r="O34" s="63">
        <v>5616</v>
      </c>
      <c r="P34" s="64" t="s">
        <v>496</v>
      </c>
      <c r="Q34" s="63">
        <v>4753</v>
      </c>
      <c r="R34" s="63">
        <v>45</v>
      </c>
      <c r="S34" s="63">
        <v>901</v>
      </c>
      <c r="T34" s="63">
        <v>3800</v>
      </c>
      <c r="U34" s="63">
        <v>18753</v>
      </c>
      <c r="V34" s="63">
        <v>9193</v>
      </c>
      <c r="W34" s="63">
        <v>3943</v>
      </c>
      <c r="X34" s="63">
        <v>4060</v>
      </c>
      <c r="Y34" s="63">
        <v>1191</v>
      </c>
      <c r="Z34" s="63">
        <v>9565</v>
      </c>
      <c r="AA34" s="63">
        <v>92389</v>
      </c>
      <c r="AB34" s="63">
        <v>20244</v>
      </c>
      <c r="AC34" s="63">
        <v>16112</v>
      </c>
      <c r="AD34" s="63">
        <v>56077</v>
      </c>
      <c r="AE34" s="63">
        <v>10361</v>
      </c>
      <c r="AF34" s="63">
        <v>7082</v>
      </c>
      <c r="AG34" s="63">
        <v>25527</v>
      </c>
      <c r="AH34" s="63">
        <v>8445</v>
      </c>
      <c r="AI34" s="63">
        <v>4641</v>
      </c>
      <c r="AJ34" s="63">
        <v>22822</v>
      </c>
      <c r="AK34" s="63">
        <v>1134</v>
      </c>
      <c r="AL34" s="63">
        <v>21698</v>
      </c>
      <c r="AM34" s="63">
        <v>69542</v>
      </c>
      <c r="AN34" s="63">
        <v>145</v>
      </c>
      <c r="AO34" s="63">
        <v>3205</v>
      </c>
      <c r="AP34" s="63">
        <v>6419</v>
      </c>
      <c r="AQ34" s="63">
        <v>59772</v>
      </c>
      <c r="AR34" s="63">
        <v>15858</v>
      </c>
      <c r="AS34" s="63">
        <v>31491</v>
      </c>
      <c r="AT34" s="63">
        <v>12426</v>
      </c>
      <c r="AU34" s="64" t="s">
        <v>496</v>
      </c>
      <c r="AV34" s="63">
        <v>37236</v>
      </c>
      <c r="AW34" s="63">
        <v>178582</v>
      </c>
      <c r="AX34" s="63">
        <v>137664</v>
      </c>
      <c r="AY34" s="63">
        <v>133887</v>
      </c>
      <c r="AZ34" s="63">
        <v>3801</v>
      </c>
      <c r="BA34" s="63">
        <v>40968</v>
      </c>
      <c r="BB34" s="63">
        <v>171428</v>
      </c>
      <c r="BC34" s="63">
        <v>7648</v>
      </c>
      <c r="BD34" s="63">
        <v>6260</v>
      </c>
      <c r="BE34" s="63">
        <v>18463</v>
      </c>
      <c r="BF34" s="63">
        <v>23435</v>
      </c>
      <c r="BG34" s="63">
        <v>11228</v>
      </c>
      <c r="BH34" s="63">
        <v>2131</v>
      </c>
      <c r="BI34" s="63">
        <v>3600</v>
      </c>
      <c r="BJ34" s="63">
        <v>3385</v>
      </c>
      <c r="BK34" s="63">
        <v>3095</v>
      </c>
      <c r="BL34" s="63">
        <v>94675</v>
      </c>
      <c r="BM34" s="63">
        <v>59485</v>
      </c>
      <c r="BN34" s="63">
        <v>34961</v>
      </c>
      <c r="BO34" s="63">
        <v>21202</v>
      </c>
    </row>
    <row r="35" spans="1:67" x14ac:dyDescent="0.35">
      <c r="A35" s="78">
        <v>2023</v>
      </c>
      <c r="B35" s="63">
        <v>977201</v>
      </c>
      <c r="C35" s="63">
        <v>848</v>
      </c>
      <c r="D35" s="63">
        <v>811</v>
      </c>
      <c r="E35" s="63">
        <v>37</v>
      </c>
      <c r="F35" s="63">
        <v>371896</v>
      </c>
      <c r="G35" s="63">
        <v>96938</v>
      </c>
      <c r="H35" s="63">
        <v>96546</v>
      </c>
      <c r="I35" s="63">
        <v>392</v>
      </c>
      <c r="J35" s="63">
        <v>266330</v>
      </c>
      <c r="K35" s="63">
        <v>252084</v>
      </c>
      <c r="L35" s="63">
        <v>14246</v>
      </c>
      <c r="M35" s="63">
        <v>2684</v>
      </c>
      <c r="N35" s="63">
        <v>304</v>
      </c>
      <c r="O35" s="63">
        <v>5640</v>
      </c>
      <c r="P35" s="64" t="s">
        <v>496</v>
      </c>
      <c r="Q35" s="63">
        <v>4863</v>
      </c>
      <c r="R35" s="63">
        <v>65</v>
      </c>
      <c r="S35" s="63">
        <v>788</v>
      </c>
      <c r="T35" s="63">
        <v>4010</v>
      </c>
      <c r="U35" s="63">
        <v>19476</v>
      </c>
      <c r="V35" s="63">
        <v>9868</v>
      </c>
      <c r="W35" s="63">
        <v>4287</v>
      </c>
      <c r="X35" s="63">
        <v>4309</v>
      </c>
      <c r="Y35" s="63">
        <v>1272</v>
      </c>
      <c r="Z35" s="63">
        <v>9608</v>
      </c>
      <c r="AA35" s="63">
        <v>101848</v>
      </c>
      <c r="AB35" s="63">
        <v>23046</v>
      </c>
      <c r="AC35" s="63">
        <v>15382</v>
      </c>
      <c r="AD35" s="63">
        <v>63420</v>
      </c>
      <c r="AE35" s="63">
        <v>12223</v>
      </c>
      <c r="AF35" s="63">
        <v>6851</v>
      </c>
      <c r="AG35" s="63">
        <v>30734</v>
      </c>
      <c r="AH35" s="63">
        <v>8964</v>
      </c>
      <c r="AI35" s="63">
        <v>4648</v>
      </c>
      <c r="AJ35" s="63">
        <v>25023</v>
      </c>
      <c r="AK35" s="63">
        <v>1163</v>
      </c>
      <c r="AL35" s="63">
        <v>23860</v>
      </c>
      <c r="AM35" s="63">
        <v>72369</v>
      </c>
      <c r="AN35" s="63">
        <v>123</v>
      </c>
      <c r="AO35" s="63">
        <v>3270</v>
      </c>
      <c r="AP35" s="63">
        <v>6704</v>
      </c>
      <c r="AQ35" s="63">
        <v>62272</v>
      </c>
      <c r="AR35" s="63">
        <v>16652</v>
      </c>
      <c r="AS35" s="63">
        <v>34314</v>
      </c>
      <c r="AT35" s="63">
        <v>11306</v>
      </c>
      <c r="AU35" s="64" t="s">
        <v>496</v>
      </c>
      <c r="AV35" s="63">
        <v>39455</v>
      </c>
      <c r="AW35" s="63">
        <v>175197</v>
      </c>
      <c r="AX35" s="63">
        <v>136450</v>
      </c>
      <c r="AY35" s="63">
        <v>132220</v>
      </c>
      <c r="AZ35" s="63">
        <v>4230</v>
      </c>
      <c r="BA35" s="63">
        <v>38747</v>
      </c>
      <c r="BB35" s="63">
        <v>166226</v>
      </c>
      <c r="BC35" s="63">
        <v>8624</v>
      </c>
      <c r="BD35" s="63">
        <v>6252</v>
      </c>
      <c r="BE35" s="63">
        <v>18580</v>
      </c>
      <c r="BF35" s="63">
        <v>19482</v>
      </c>
      <c r="BG35" s="63">
        <v>9309</v>
      </c>
      <c r="BH35" s="63">
        <v>2185</v>
      </c>
      <c r="BI35" s="63">
        <v>2941</v>
      </c>
      <c r="BJ35" s="79">
        <v>2887</v>
      </c>
      <c r="BK35" s="79">
        <v>2160</v>
      </c>
      <c r="BL35" s="63">
        <v>91797</v>
      </c>
      <c r="BM35" s="63">
        <v>58452</v>
      </c>
      <c r="BN35" s="63">
        <v>33345</v>
      </c>
      <c r="BO35" s="63">
        <v>21491</v>
      </c>
    </row>
    <row r="36" spans="1:67" x14ac:dyDescent="0.35">
      <c r="A36" s="78">
        <v>2024</v>
      </c>
      <c r="B36" s="63">
        <v>983265</v>
      </c>
      <c r="C36" s="63">
        <v>685</v>
      </c>
      <c r="D36" s="63">
        <v>640</v>
      </c>
      <c r="E36" s="63">
        <v>45</v>
      </c>
      <c r="F36" s="63">
        <v>376330</v>
      </c>
      <c r="G36" s="63">
        <v>97880</v>
      </c>
      <c r="H36" s="63">
        <v>97474</v>
      </c>
      <c r="I36" s="63">
        <v>406</v>
      </c>
      <c r="J36" s="63">
        <v>269690</v>
      </c>
      <c r="K36" s="63">
        <v>255181</v>
      </c>
      <c r="L36" s="63">
        <v>14509</v>
      </c>
      <c r="M36" s="63">
        <v>2800</v>
      </c>
      <c r="N36" s="63">
        <v>319</v>
      </c>
      <c r="O36" s="63">
        <v>5641</v>
      </c>
      <c r="P36" s="64" t="s">
        <v>496</v>
      </c>
      <c r="Q36" s="63">
        <v>5325</v>
      </c>
      <c r="R36" s="63">
        <v>120</v>
      </c>
      <c r="S36" s="63">
        <v>730</v>
      </c>
      <c r="T36" s="63">
        <v>4475</v>
      </c>
      <c r="U36" s="63">
        <v>19625</v>
      </c>
      <c r="V36" s="63">
        <v>9758</v>
      </c>
      <c r="W36" s="63">
        <v>3514</v>
      </c>
      <c r="X36" s="63">
        <v>4857</v>
      </c>
      <c r="Y36" s="63">
        <v>1387</v>
      </c>
      <c r="Z36" s="63">
        <v>9867</v>
      </c>
      <c r="AA36" s="63">
        <v>104049</v>
      </c>
      <c r="AB36" s="63">
        <v>22437</v>
      </c>
      <c r="AC36" s="63">
        <v>15301</v>
      </c>
      <c r="AD36" s="63">
        <v>66311</v>
      </c>
      <c r="AE36" s="63">
        <v>12834</v>
      </c>
      <c r="AF36" s="63">
        <v>7684</v>
      </c>
      <c r="AG36" s="63">
        <v>30705</v>
      </c>
      <c r="AH36" s="63">
        <v>9424</v>
      </c>
      <c r="AI36" s="63">
        <v>5664</v>
      </c>
      <c r="AJ36" s="63">
        <v>24965</v>
      </c>
      <c r="AK36" s="63">
        <v>1158</v>
      </c>
      <c r="AL36" s="63">
        <v>23807</v>
      </c>
      <c r="AM36" s="63">
        <v>72107</v>
      </c>
      <c r="AN36" s="63">
        <v>193</v>
      </c>
      <c r="AO36" s="63">
        <v>3341</v>
      </c>
      <c r="AP36" s="63">
        <v>6572</v>
      </c>
      <c r="AQ36" s="63">
        <v>62001</v>
      </c>
      <c r="AR36" s="63">
        <v>17399</v>
      </c>
      <c r="AS36" s="63">
        <v>34176</v>
      </c>
      <c r="AT36" s="63">
        <v>10426</v>
      </c>
      <c r="AU36" s="64" t="s">
        <v>496</v>
      </c>
      <c r="AV36" s="63">
        <v>40437</v>
      </c>
      <c r="AW36" s="63">
        <v>172827</v>
      </c>
      <c r="AX36" s="63">
        <v>134689</v>
      </c>
      <c r="AY36" s="63">
        <v>130266</v>
      </c>
      <c r="AZ36" s="63">
        <v>4423</v>
      </c>
      <c r="BA36" s="63">
        <v>38138</v>
      </c>
      <c r="BB36" s="63">
        <v>166915</v>
      </c>
      <c r="BC36" s="63">
        <v>9507</v>
      </c>
      <c r="BD36" s="63">
        <v>6297</v>
      </c>
      <c r="BE36" s="63">
        <v>18947</v>
      </c>
      <c r="BF36" s="63">
        <v>18054</v>
      </c>
      <c r="BG36" s="63">
        <v>8799</v>
      </c>
      <c r="BH36" s="63">
        <v>1947</v>
      </c>
      <c r="BI36" s="63">
        <v>2875</v>
      </c>
      <c r="BJ36" s="79">
        <v>2411</v>
      </c>
      <c r="BK36" s="79">
        <v>2022</v>
      </c>
      <c r="BL36" s="63">
        <v>92798</v>
      </c>
      <c r="BM36" s="63">
        <v>57822</v>
      </c>
      <c r="BN36" s="63">
        <v>34976</v>
      </c>
      <c r="BO36" s="63">
        <v>21312</v>
      </c>
    </row>
    <row r="37" spans="1:67" x14ac:dyDescent="0.35">
      <c r="A37" s="78">
        <v>2025</v>
      </c>
      <c r="B37" s="63">
        <v>991211</v>
      </c>
      <c r="C37" s="63">
        <v>836</v>
      </c>
      <c r="D37" s="63">
        <v>762</v>
      </c>
      <c r="E37" s="63">
        <v>74</v>
      </c>
      <c r="F37" s="63">
        <v>381152</v>
      </c>
      <c r="G37" s="63">
        <v>98826</v>
      </c>
      <c r="H37" s="63">
        <v>98395</v>
      </c>
      <c r="I37" s="63">
        <v>431</v>
      </c>
      <c r="J37" s="63">
        <v>273315</v>
      </c>
      <c r="K37" s="63">
        <v>258317</v>
      </c>
      <c r="L37" s="63">
        <v>14998</v>
      </c>
      <c r="M37" s="63">
        <v>3072</v>
      </c>
      <c r="N37" s="63">
        <v>261</v>
      </c>
      <c r="O37" s="63">
        <v>5678</v>
      </c>
      <c r="P37" s="64" t="s">
        <v>496</v>
      </c>
      <c r="Q37" s="63">
        <v>5182</v>
      </c>
      <c r="R37" s="63">
        <v>96</v>
      </c>
      <c r="S37" s="63">
        <v>734</v>
      </c>
      <c r="T37" s="63">
        <v>4352</v>
      </c>
      <c r="U37" s="63">
        <v>20175</v>
      </c>
      <c r="V37" s="63">
        <v>10299</v>
      </c>
      <c r="W37" s="63">
        <v>3591</v>
      </c>
      <c r="X37" s="63">
        <v>5322</v>
      </c>
      <c r="Y37" s="63">
        <v>1386</v>
      </c>
      <c r="Z37" s="63">
        <v>9876</v>
      </c>
      <c r="AA37" s="63">
        <v>104100</v>
      </c>
      <c r="AB37" s="63">
        <v>21307</v>
      </c>
      <c r="AC37" s="63">
        <v>15896</v>
      </c>
      <c r="AD37" s="63">
        <v>66897</v>
      </c>
      <c r="AE37" s="63">
        <v>13071</v>
      </c>
      <c r="AF37" s="63">
        <v>7813</v>
      </c>
      <c r="AG37" s="63">
        <v>30551</v>
      </c>
      <c r="AH37" s="63">
        <v>9195</v>
      </c>
      <c r="AI37" s="63">
        <v>6267</v>
      </c>
      <c r="AJ37" s="63">
        <v>23762</v>
      </c>
      <c r="AK37" s="63">
        <v>1122</v>
      </c>
      <c r="AL37" s="63">
        <v>22640</v>
      </c>
      <c r="AM37" s="63">
        <v>73036</v>
      </c>
      <c r="AN37" s="63">
        <v>189</v>
      </c>
      <c r="AO37" s="63">
        <v>3340</v>
      </c>
      <c r="AP37" s="63">
        <v>6198</v>
      </c>
      <c r="AQ37" s="63">
        <v>63309</v>
      </c>
      <c r="AR37" s="63">
        <v>17626</v>
      </c>
      <c r="AS37" s="63">
        <v>35958</v>
      </c>
      <c r="AT37" s="63">
        <v>9725</v>
      </c>
      <c r="AU37" s="64" t="s">
        <v>496</v>
      </c>
      <c r="AV37" s="63">
        <v>40400</v>
      </c>
      <c r="AW37" s="63">
        <v>175932</v>
      </c>
      <c r="AX37" s="63">
        <v>137724</v>
      </c>
      <c r="AY37" s="63">
        <v>133141</v>
      </c>
      <c r="AZ37" s="63">
        <v>4583</v>
      </c>
      <c r="BA37" s="63">
        <v>38208</v>
      </c>
      <c r="BB37" s="63">
        <v>166636</v>
      </c>
      <c r="BC37" s="63">
        <v>9460</v>
      </c>
      <c r="BD37" s="63">
        <v>6441</v>
      </c>
      <c r="BE37" s="63">
        <v>19761</v>
      </c>
      <c r="BF37" s="63">
        <v>16968</v>
      </c>
      <c r="BG37" s="63">
        <v>8452</v>
      </c>
      <c r="BH37" s="63">
        <v>1845</v>
      </c>
      <c r="BI37" s="63">
        <v>2785</v>
      </c>
      <c r="BJ37" s="79">
        <v>2021</v>
      </c>
      <c r="BK37" s="79">
        <v>1865</v>
      </c>
      <c r="BL37" s="63">
        <v>94295</v>
      </c>
      <c r="BM37" s="63">
        <v>58555</v>
      </c>
      <c r="BN37" s="63">
        <v>35740</v>
      </c>
      <c r="BO37" s="63">
        <v>19711</v>
      </c>
    </row>
    <row r="38" spans="1:67" ht="15.65" customHeight="1" x14ac:dyDescent="0.35">
      <c r="A38" s="81" t="s">
        <v>497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</row>
    <row r="39" spans="1:67" s="87" customFormat="1" ht="79.900000000000006" customHeight="1" x14ac:dyDescent="0.4">
      <c r="A39" s="88" t="s">
        <v>498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</row>
    <row r="40" spans="1:67" ht="93" x14ac:dyDescent="0.35">
      <c r="A40" s="72" t="s">
        <v>304</v>
      </c>
      <c r="B40" s="73" t="s">
        <v>305</v>
      </c>
      <c r="C40" s="73" t="s">
        <v>306</v>
      </c>
      <c r="D40" s="73" t="s">
        <v>307</v>
      </c>
      <c r="E40" s="73" t="s">
        <v>308</v>
      </c>
      <c r="F40" s="73" t="s">
        <v>309</v>
      </c>
      <c r="G40" s="73" t="s">
        <v>310</v>
      </c>
      <c r="H40" s="73" t="s">
        <v>311</v>
      </c>
      <c r="I40" s="73" t="s">
        <v>312</v>
      </c>
      <c r="J40" s="73" t="s">
        <v>313</v>
      </c>
      <c r="K40" s="73" t="s">
        <v>314</v>
      </c>
      <c r="L40" s="73" t="s">
        <v>315</v>
      </c>
      <c r="M40" s="73" t="s">
        <v>316</v>
      </c>
      <c r="N40" s="73" t="s">
        <v>317</v>
      </c>
      <c r="O40" s="73" t="s">
        <v>318</v>
      </c>
      <c r="P40" s="73" t="s">
        <v>319</v>
      </c>
      <c r="Q40" s="73" t="s">
        <v>320</v>
      </c>
      <c r="R40" s="73" t="s">
        <v>321</v>
      </c>
      <c r="S40" s="73" t="s">
        <v>322</v>
      </c>
      <c r="T40" s="73" t="s">
        <v>323</v>
      </c>
      <c r="U40" s="73" t="s">
        <v>324</v>
      </c>
      <c r="V40" s="73" t="s">
        <v>325</v>
      </c>
      <c r="W40" s="73" t="s">
        <v>326</v>
      </c>
      <c r="X40" s="73" t="s">
        <v>327</v>
      </c>
      <c r="Y40" s="73" t="s">
        <v>328</v>
      </c>
      <c r="Z40" s="73" t="s">
        <v>329</v>
      </c>
      <c r="AA40" s="73" t="s">
        <v>330</v>
      </c>
      <c r="AB40" s="73" t="s">
        <v>331</v>
      </c>
      <c r="AC40" s="73" t="s">
        <v>332</v>
      </c>
      <c r="AD40" s="73" t="s">
        <v>333</v>
      </c>
      <c r="AE40" s="73" t="s">
        <v>334</v>
      </c>
      <c r="AF40" s="73" t="s">
        <v>335</v>
      </c>
      <c r="AG40" s="73" t="s">
        <v>336</v>
      </c>
      <c r="AH40" s="73" t="s">
        <v>337</v>
      </c>
      <c r="AI40" s="73" t="s">
        <v>338</v>
      </c>
      <c r="AJ40" s="73" t="s">
        <v>339</v>
      </c>
      <c r="AK40" s="73" t="s">
        <v>340</v>
      </c>
      <c r="AL40" s="73" t="s">
        <v>341</v>
      </c>
      <c r="AM40" s="73" t="s">
        <v>342</v>
      </c>
      <c r="AN40" s="73" t="s">
        <v>343</v>
      </c>
      <c r="AO40" s="73" t="s">
        <v>344</v>
      </c>
      <c r="AP40" s="73" t="s">
        <v>345</v>
      </c>
      <c r="AQ40" s="73" t="s">
        <v>346</v>
      </c>
      <c r="AR40" s="73" t="s">
        <v>347</v>
      </c>
      <c r="AS40" s="73" t="s">
        <v>348</v>
      </c>
      <c r="AT40" s="73" t="s">
        <v>349</v>
      </c>
      <c r="AU40" s="73" t="s">
        <v>350</v>
      </c>
      <c r="AV40" s="73" t="s">
        <v>351</v>
      </c>
      <c r="AW40" s="73" t="s">
        <v>352</v>
      </c>
      <c r="AX40" s="73" t="s">
        <v>353</v>
      </c>
      <c r="AY40" s="74" t="s">
        <v>354</v>
      </c>
      <c r="AZ40" s="73" t="s">
        <v>355</v>
      </c>
      <c r="BA40" s="73" t="s">
        <v>356</v>
      </c>
      <c r="BB40" s="73" t="s">
        <v>357</v>
      </c>
      <c r="BC40" s="73" t="s">
        <v>358</v>
      </c>
      <c r="BD40" s="73" t="s">
        <v>359</v>
      </c>
      <c r="BE40" s="73" t="s">
        <v>360</v>
      </c>
      <c r="BF40" s="73" t="s">
        <v>361</v>
      </c>
      <c r="BG40" s="73" t="s">
        <v>362</v>
      </c>
      <c r="BH40" s="73" t="s">
        <v>363</v>
      </c>
      <c r="BI40" s="73" t="s">
        <v>364</v>
      </c>
      <c r="BJ40" s="73" t="s">
        <v>365</v>
      </c>
      <c r="BK40" s="73" t="s">
        <v>366</v>
      </c>
      <c r="BL40" s="73" t="s">
        <v>367</v>
      </c>
      <c r="BM40" s="73" t="s">
        <v>368</v>
      </c>
      <c r="BN40" s="73" t="s">
        <v>369</v>
      </c>
      <c r="BO40" s="73" t="s">
        <v>370</v>
      </c>
    </row>
    <row r="41" spans="1:67" ht="31" x14ac:dyDescent="0.35">
      <c r="A41" s="72" t="s">
        <v>371</v>
      </c>
      <c r="B41" s="75" t="s">
        <v>372</v>
      </c>
      <c r="C41" s="75" t="s">
        <v>373</v>
      </c>
      <c r="D41" s="76" t="s">
        <v>374</v>
      </c>
      <c r="E41" s="76" t="s">
        <v>375</v>
      </c>
      <c r="F41" s="75" t="s">
        <v>376</v>
      </c>
      <c r="G41" s="77" t="s">
        <v>377</v>
      </c>
      <c r="H41" s="76" t="s">
        <v>378</v>
      </c>
      <c r="I41" s="75" t="s">
        <v>379</v>
      </c>
      <c r="J41" s="77" t="s">
        <v>380</v>
      </c>
      <c r="K41" s="76" t="s">
        <v>381</v>
      </c>
      <c r="L41" s="76" t="s">
        <v>382</v>
      </c>
      <c r="M41" s="76" t="s">
        <v>383</v>
      </c>
      <c r="N41" s="76" t="s">
        <v>384</v>
      </c>
      <c r="O41" s="76" t="s">
        <v>385</v>
      </c>
      <c r="P41" s="76" t="s">
        <v>386</v>
      </c>
      <c r="Q41" s="75" t="s">
        <v>387</v>
      </c>
      <c r="R41" s="76" t="s">
        <v>388</v>
      </c>
      <c r="S41" s="76" t="s">
        <v>389</v>
      </c>
      <c r="T41" s="76" t="s">
        <v>390</v>
      </c>
      <c r="U41" s="75" t="s">
        <v>391</v>
      </c>
      <c r="V41" s="77" t="s">
        <v>392</v>
      </c>
      <c r="W41" s="76" t="s">
        <v>393</v>
      </c>
      <c r="X41" s="76" t="s">
        <v>394</v>
      </c>
      <c r="Y41" s="76" t="s">
        <v>395</v>
      </c>
      <c r="Z41" s="77" t="s">
        <v>396</v>
      </c>
      <c r="AA41" s="75" t="s">
        <v>397</v>
      </c>
      <c r="AB41" s="76" t="s">
        <v>398</v>
      </c>
      <c r="AC41" s="76" t="s">
        <v>399</v>
      </c>
      <c r="AD41" s="77" t="s">
        <v>400</v>
      </c>
      <c r="AE41" s="76" t="s">
        <v>401</v>
      </c>
      <c r="AF41" s="76" t="s">
        <v>402</v>
      </c>
      <c r="AG41" s="76" t="s">
        <v>403</v>
      </c>
      <c r="AH41" s="76" t="s">
        <v>404</v>
      </c>
      <c r="AI41" s="76" t="s">
        <v>405</v>
      </c>
      <c r="AJ41" s="75" t="s">
        <v>406</v>
      </c>
      <c r="AK41" s="77" t="s">
        <v>407</v>
      </c>
      <c r="AL41" s="77" t="s">
        <v>408</v>
      </c>
      <c r="AM41" s="75" t="s">
        <v>409</v>
      </c>
      <c r="AN41" s="76" t="s">
        <v>410</v>
      </c>
      <c r="AO41" s="76" t="s">
        <v>411</v>
      </c>
      <c r="AP41" s="76" t="s">
        <v>412</v>
      </c>
      <c r="AQ41" s="77" t="s">
        <v>413</v>
      </c>
      <c r="AR41" s="76" t="s">
        <v>414</v>
      </c>
      <c r="AS41" s="76" t="s">
        <v>415</v>
      </c>
      <c r="AT41" s="76" t="s">
        <v>416</v>
      </c>
      <c r="AU41" s="74" t="s">
        <v>417</v>
      </c>
      <c r="AV41" s="75">
        <v>10</v>
      </c>
      <c r="AW41" s="75">
        <v>11</v>
      </c>
      <c r="AX41" s="76">
        <v>11.1</v>
      </c>
      <c r="AY41" s="76" t="s">
        <v>418</v>
      </c>
      <c r="AZ41" s="76" t="s">
        <v>419</v>
      </c>
      <c r="BA41" s="76">
        <v>11.2</v>
      </c>
      <c r="BB41" s="75" t="s">
        <v>420</v>
      </c>
      <c r="BC41" s="76" t="s">
        <v>421</v>
      </c>
      <c r="BD41" s="75">
        <v>12.2</v>
      </c>
      <c r="BE41" s="76">
        <v>12.4</v>
      </c>
      <c r="BF41" s="76">
        <v>12.5</v>
      </c>
      <c r="BG41" s="76" t="s">
        <v>422</v>
      </c>
      <c r="BH41" s="76" t="s">
        <v>423</v>
      </c>
      <c r="BI41" s="76" t="s">
        <v>424</v>
      </c>
      <c r="BJ41" s="76" t="s">
        <v>425</v>
      </c>
      <c r="BK41" s="76" t="s">
        <v>426</v>
      </c>
      <c r="BL41" s="76">
        <v>12.6</v>
      </c>
      <c r="BM41" s="76" t="s">
        <v>427</v>
      </c>
      <c r="BN41" s="76" t="s">
        <v>428</v>
      </c>
      <c r="BO41" s="76">
        <v>12.7</v>
      </c>
    </row>
    <row r="42" spans="1:67" x14ac:dyDescent="0.35">
      <c r="A42" s="72" t="s">
        <v>429</v>
      </c>
      <c r="B42" s="75" t="s">
        <v>430</v>
      </c>
      <c r="C42" s="75" t="s">
        <v>431</v>
      </c>
      <c r="D42" s="75" t="s">
        <v>432</v>
      </c>
      <c r="E42" s="75" t="s">
        <v>433</v>
      </c>
      <c r="F42" s="75" t="s">
        <v>434</v>
      </c>
      <c r="G42" s="75" t="s">
        <v>435</v>
      </c>
      <c r="H42" s="75" t="s">
        <v>436</v>
      </c>
      <c r="I42" s="75" t="s">
        <v>437</v>
      </c>
      <c r="J42" s="75" t="s">
        <v>438</v>
      </c>
      <c r="K42" s="75" t="s">
        <v>439</v>
      </c>
      <c r="L42" s="75" t="s">
        <v>440</v>
      </c>
      <c r="M42" s="75" t="s">
        <v>441</v>
      </c>
      <c r="N42" s="75" t="s">
        <v>442</v>
      </c>
      <c r="O42" s="75" t="s">
        <v>443</v>
      </c>
      <c r="P42" s="75" t="s">
        <v>444</v>
      </c>
      <c r="Q42" s="75" t="s">
        <v>445</v>
      </c>
      <c r="R42" s="75" t="s">
        <v>446</v>
      </c>
      <c r="S42" s="75" t="s">
        <v>447</v>
      </c>
      <c r="T42" s="75" t="s">
        <v>448</v>
      </c>
      <c r="U42" s="75" t="s">
        <v>449</v>
      </c>
      <c r="V42" s="75" t="s">
        <v>450</v>
      </c>
      <c r="W42" s="75" t="s">
        <v>451</v>
      </c>
      <c r="X42" s="75" t="s">
        <v>452</v>
      </c>
      <c r="Y42" s="75" t="s">
        <v>453</v>
      </c>
      <c r="Z42" s="75" t="s">
        <v>454</v>
      </c>
      <c r="AA42" s="75" t="s">
        <v>455</v>
      </c>
      <c r="AB42" s="75" t="s">
        <v>456</v>
      </c>
      <c r="AC42" s="75" t="s">
        <v>457</v>
      </c>
      <c r="AD42" s="75" t="s">
        <v>458</v>
      </c>
      <c r="AE42" s="75" t="s">
        <v>459</v>
      </c>
      <c r="AF42" s="75" t="s">
        <v>460</v>
      </c>
      <c r="AG42" s="75" t="s">
        <v>461</v>
      </c>
      <c r="AH42" s="75" t="s">
        <v>462</v>
      </c>
      <c r="AI42" s="75" t="s">
        <v>463</v>
      </c>
      <c r="AJ42" s="75" t="s">
        <v>464</v>
      </c>
      <c r="AK42" s="75" t="s">
        <v>465</v>
      </c>
      <c r="AL42" s="75" t="s">
        <v>466</v>
      </c>
      <c r="AM42" s="75" t="s">
        <v>467</v>
      </c>
      <c r="AN42" s="75" t="s">
        <v>468</v>
      </c>
      <c r="AO42" s="75" t="s">
        <v>469</v>
      </c>
      <c r="AP42" s="75" t="s">
        <v>470</v>
      </c>
      <c r="AQ42" s="75" t="s">
        <v>471</v>
      </c>
      <c r="AR42" s="75" t="s">
        <v>472</v>
      </c>
      <c r="AS42" s="75" t="s">
        <v>473</v>
      </c>
      <c r="AT42" s="75" t="s">
        <v>474</v>
      </c>
      <c r="AU42" s="75" t="s">
        <v>475</v>
      </c>
      <c r="AV42" s="75" t="s">
        <v>476</v>
      </c>
      <c r="AW42" s="75" t="s">
        <v>477</v>
      </c>
      <c r="AX42" s="75" t="s">
        <v>478</v>
      </c>
      <c r="AY42" s="75" t="s">
        <v>479</v>
      </c>
      <c r="AZ42" s="75" t="s">
        <v>480</v>
      </c>
      <c r="BA42" s="75" t="s">
        <v>481</v>
      </c>
      <c r="BB42" s="75" t="s">
        <v>482</v>
      </c>
      <c r="BC42" s="75" t="s">
        <v>483</v>
      </c>
      <c r="BD42" s="75" t="s">
        <v>484</v>
      </c>
      <c r="BE42" s="75" t="s">
        <v>485</v>
      </c>
      <c r="BF42" s="75" t="s">
        <v>486</v>
      </c>
      <c r="BG42" s="75" t="s">
        <v>487</v>
      </c>
      <c r="BH42" s="75" t="s">
        <v>488</v>
      </c>
      <c r="BI42" s="75" t="s">
        <v>489</v>
      </c>
      <c r="BJ42" s="75" t="s">
        <v>490</v>
      </c>
      <c r="BK42" s="75" t="s">
        <v>491</v>
      </c>
      <c r="BL42" s="75" t="s">
        <v>492</v>
      </c>
      <c r="BM42" s="75" t="s">
        <v>493</v>
      </c>
      <c r="BN42" s="75" t="s">
        <v>494</v>
      </c>
      <c r="BO42" s="75" t="s">
        <v>495</v>
      </c>
    </row>
    <row r="43" spans="1:67" x14ac:dyDescent="0.35">
      <c r="A43" s="78" t="s">
        <v>499</v>
      </c>
      <c r="B43" s="79">
        <v>146925</v>
      </c>
      <c r="C43" s="79">
        <v>345</v>
      </c>
      <c r="D43" s="79">
        <v>363</v>
      </c>
      <c r="E43" s="79">
        <v>10</v>
      </c>
      <c r="F43" s="79">
        <v>61811</v>
      </c>
      <c r="G43" s="79">
        <v>11495</v>
      </c>
      <c r="H43" s="79">
        <v>11465</v>
      </c>
      <c r="I43" s="79">
        <v>31</v>
      </c>
      <c r="J43" s="79">
        <v>48478</v>
      </c>
      <c r="K43" s="79">
        <v>46870</v>
      </c>
      <c r="L43" s="79">
        <v>1597</v>
      </c>
      <c r="M43" s="79">
        <v>360</v>
      </c>
      <c r="N43" s="79">
        <v>40</v>
      </c>
      <c r="O43" s="79">
        <v>1382</v>
      </c>
      <c r="P43" s="80" t="s">
        <v>496</v>
      </c>
      <c r="Q43" s="79">
        <v>1588</v>
      </c>
      <c r="R43" s="79">
        <v>12</v>
      </c>
      <c r="S43" s="79">
        <v>223</v>
      </c>
      <c r="T43" s="79">
        <v>1320</v>
      </c>
      <c r="U43" s="79">
        <v>3849</v>
      </c>
      <c r="V43" s="79">
        <v>1879</v>
      </c>
      <c r="W43" s="79">
        <v>995</v>
      </c>
      <c r="X43" s="79">
        <v>732</v>
      </c>
      <c r="Y43" s="79">
        <v>136</v>
      </c>
      <c r="Z43" s="79">
        <v>2019</v>
      </c>
      <c r="AA43" s="79">
        <v>20764</v>
      </c>
      <c r="AB43" s="79">
        <v>6781</v>
      </c>
      <c r="AC43" s="79">
        <v>2051</v>
      </c>
      <c r="AD43" s="79">
        <v>11797</v>
      </c>
      <c r="AE43" s="79">
        <v>1963</v>
      </c>
      <c r="AF43" s="79">
        <v>3321</v>
      </c>
      <c r="AG43" s="79">
        <v>3902</v>
      </c>
      <c r="AH43" s="79">
        <v>2132</v>
      </c>
      <c r="AI43" s="79">
        <v>879</v>
      </c>
      <c r="AJ43" s="79">
        <v>88</v>
      </c>
      <c r="AK43" s="79">
        <v>973</v>
      </c>
      <c r="AL43" s="79">
        <v>65</v>
      </c>
      <c r="AM43" s="79">
        <v>11489</v>
      </c>
      <c r="AN43" s="79">
        <v>111</v>
      </c>
      <c r="AO43" s="79">
        <v>551</v>
      </c>
      <c r="AP43" s="79">
        <v>480</v>
      </c>
      <c r="AQ43" s="79">
        <v>10269</v>
      </c>
      <c r="AR43" s="79">
        <v>2548</v>
      </c>
      <c r="AS43" s="79">
        <v>4441</v>
      </c>
      <c r="AT43" s="79">
        <v>3293</v>
      </c>
      <c r="AU43" s="80" t="s">
        <v>496</v>
      </c>
      <c r="AV43" s="79">
        <v>6716</v>
      </c>
      <c r="AW43" s="79">
        <v>37050</v>
      </c>
      <c r="AX43" s="79">
        <v>29480</v>
      </c>
      <c r="AY43" s="79">
        <v>27170</v>
      </c>
      <c r="AZ43" s="79">
        <v>2141</v>
      </c>
      <c r="BA43" s="79">
        <v>7516</v>
      </c>
      <c r="BB43" s="79">
        <v>24457</v>
      </c>
      <c r="BC43" s="79">
        <v>1921</v>
      </c>
      <c r="BD43" s="79">
        <v>1212</v>
      </c>
      <c r="BE43" s="79">
        <v>4150</v>
      </c>
      <c r="BF43" s="79">
        <v>7982</v>
      </c>
      <c r="BG43" s="79">
        <v>5422</v>
      </c>
      <c r="BH43" s="79">
        <v>550</v>
      </c>
      <c r="BI43" s="79">
        <v>641</v>
      </c>
      <c r="BJ43" s="79">
        <v>562</v>
      </c>
      <c r="BK43" s="79">
        <v>723</v>
      </c>
      <c r="BL43" s="79">
        <v>6843</v>
      </c>
      <c r="BM43" s="79">
        <v>7356</v>
      </c>
      <c r="BN43" s="79">
        <v>1698</v>
      </c>
      <c r="BO43" s="79">
        <v>4768</v>
      </c>
    </row>
    <row r="44" spans="1:67" x14ac:dyDescent="0.35">
      <c r="A44" s="78" t="s">
        <v>500</v>
      </c>
      <c r="B44" s="79">
        <v>149082</v>
      </c>
      <c r="C44" s="79">
        <v>340</v>
      </c>
      <c r="D44" s="79">
        <v>358</v>
      </c>
      <c r="E44" s="79">
        <v>10</v>
      </c>
      <c r="F44" s="79">
        <v>61867</v>
      </c>
      <c r="G44" s="79">
        <v>11484</v>
      </c>
      <c r="H44" s="79">
        <v>11451</v>
      </c>
      <c r="I44" s="79">
        <v>33</v>
      </c>
      <c r="J44" s="79">
        <v>48531</v>
      </c>
      <c r="K44" s="79">
        <v>46922</v>
      </c>
      <c r="L44" s="79">
        <v>1600</v>
      </c>
      <c r="M44" s="79">
        <v>379</v>
      </c>
      <c r="N44" s="79">
        <v>40</v>
      </c>
      <c r="O44" s="79">
        <v>1379</v>
      </c>
      <c r="P44" s="80" t="s">
        <v>496</v>
      </c>
      <c r="Q44" s="79">
        <v>1402</v>
      </c>
      <c r="R44" s="79">
        <v>12</v>
      </c>
      <c r="S44" s="79">
        <v>132</v>
      </c>
      <c r="T44" s="79">
        <v>1254</v>
      </c>
      <c r="U44" s="79">
        <v>3681</v>
      </c>
      <c r="V44" s="79">
        <v>1765</v>
      </c>
      <c r="W44" s="79">
        <v>938</v>
      </c>
      <c r="X44" s="79">
        <v>701</v>
      </c>
      <c r="Y44" s="79">
        <v>114</v>
      </c>
      <c r="Z44" s="79">
        <v>1985</v>
      </c>
      <c r="AA44" s="79">
        <v>20616</v>
      </c>
      <c r="AB44" s="79">
        <v>6969</v>
      </c>
      <c r="AC44" s="79">
        <v>2087</v>
      </c>
      <c r="AD44" s="79">
        <v>11457</v>
      </c>
      <c r="AE44" s="79">
        <v>1975</v>
      </c>
      <c r="AF44" s="79">
        <v>3290</v>
      </c>
      <c r="AG44" s="79">
        <v>4037</v>
      </c>
      <c r="AH44" s="79">
        <v>1419</v>
      </c>
      <c r="AI44" s="79">
        <v>859</v>
      </c>
      <c r="AJ44" s="79">
        <v>94</v>
      </c>
      <c r="AK44" s="79">
        <v>1046</v>
      </c>
      <c r="AL44" s="79">
        <v>69</v>
      </c>
      <c r="AM44" s="79">
        <v>11798</v>
      </c>
      <c r="AN44" s="79">
        <v>90</v>
      </c>
      <c r="AO44" s="79">
        <v>549</v>
      </c>
      <c r="AP44" s="79">
        <v>466</v>
      </c>
      <c r="AQ44" s="79">
        <v>10619</v>
      </c>
      <c r="AR44" s="79">
        <v>2519</v>
      </c>
      <c r="AS44" s="79">
        <v>4620</v>
      </c>
      <c r="AT44" s="79">
        <v>3458</v>
      </c>
      <c r="AU44" s="80" t="s">
        <v>496</v>
      </c>
      <c r="AV44" s="79">
        <v>6786</v>
      </c>
      <c r="AW44" s="79">
        <v>39173</v>
      </c>
      <c r="AX44" s="79">
        <v>31138</v>
      </c>
      <c r="AY44" s="79">
        <v>28446</v>
      </c>
      <c r="AZ44" s="79">
        <v>2491</v>
      </c>
      <c r="BA44" s="79">
        <v>7999</v>
      </c>
      <c r="BB44" s="79">
        <v>24485</v>
      </c>
      <c r="BC44" s="79">
        <v>1869</v>
      </c>
      <c r="BD44" s="79">
        <v>1214</v>
      </c>
      <c r="BE44" s="79">
        <v>4047</v>
      </c>
      <c r="BF44" s="79">
        <v>7537</v>
      </c>
      <c r="BG44" s="79">
        <v>5065</v>
      </c>
      <c r="BH44" s="79">
        <v>515</v>
      </c>
      <c r="BI44" s="79">
        <v>636</v>
      </c>
      <c r="BJ44" s="79">
        <v>566</v>
      </c>
      <c r="BK44" s="79">
        <v>671</v>
      </c>
      <c r="BL44" s="79">
        <v>7021</v>
      </c>
      <c r="BM44" s="79">
        <v>8032</v>
      </c>
      <c r="BN44" s="79">
        <v>1637</v>
      </c>
      <c r="BO44" s="79">
        <v>5014</v>
      </c>
    </row>
    <row r="45" spans="1:67" x14ac:dyDescent="0.35">
      <c r="A45" s="78" t="s">
        <v>501</v>
      </c>
      <c r="B45" s="79">
        <v>149777</v>
      </c>
      <c r="C45" s="79">
        <v>336</v>
      </c>
      <c r="D45" s="79">
        <v>354</v>
      </c>
      <c r="E45" s="79">
        <v>9</v>
      </c>
      <c r="F45" s="79">
        <v>62001</v>
      </c>
      <c r="G45" s="79">
        <v>11505</v>
      </c>
      <c r="H45" s="79">
        <v>11469</v>
      </c>
      <c r="I45" s="79">
        <v>34</v>
      </c>
      <c r="J45" s="79">
        <v>48665</v>
      </c>
      <c r="K45" s="79">
        <v>47041</v>
      </c>
      <c r="L45" s="79">
        <v>1615</v>
      </c>
      <c r="M45" s="79">
        <v>352</v>
      </c>
      <c r="N45" s="79">
        <v>41</v>
      </c>
      <c r="O45" s="79">
        <v>1380</v>
      </c>
      <c r="P45" s="80" t="s">
        <v>496</v>
      </c>
      <c r="Q45" s="79">
        <v>1380</v>
      </c>
      <c r="R45" s="79">
        <v>14</v>
      </c>
      <c r="S45" s="79">
        <v>135</v>
      </c>
      <c r="T45" s="79">
        <v>1226</v>
      </c>
      <c r="U45" s="79">
        <v>3782</v>
      </c>
      <c r="V45" s="79">
        <v>1830</v>
      </c>
      <c r="W45" s="79">
        <v>985</v>
      </c>
      <c r="X45" s="79">
        <v>707</v>
      </c>
      <c r="Y45" s="79">
        <v>119</v>
      </c>
      <c r="Z45" s="79">
        <v>2012</v>
      </c>
      <c r="AA45" s="79">
        <v>20812</v>
      </c>
      <c r="AB45" s="79">
        <v>6954</v>
      </c>
      <c r="AC45" s="79">
        <v>1971</v>
      </c>
      <c r="AD45" s="79">
        <v>11739</v>
      </c>
      <c r="AE45" s="79">
        <v>1986</v>
      </c>
      <c r="AF45" s="79">
        <v>3421</v>
      </c>
      <c r="AG45" s="79">
        <v>4129</v>
      </c>
      <c r="AH45" s="79">
        <v>1498</v>
      </c>
      <c r="AI45" s="79">
        <v>845</v>
      </c>
      <c r="AJ45" s="79">
        <v>100</v>
      </c>
      <c r="AK45" s="79">
        <v>884</v>
      </c>
      <c r="AL45" s="79">
        <v>75</v>
      </c>
      <c r="AM45" s="79">
        <v>11538</v>
      </c>
      <c r="AN45" s="79">
        <v>89</v>
      </c>
      <c r="AO45" s="79">
        <v>545</v>
      </c>
      <c r="AP45" s="79">
        <v>439</v>
      </c>
      <c r="AQ45" s="79">
        <v>10391</v>
      </c>
      <c r="AR45" s="79">
        <v>2469</v>
      </c>
      <c r="AS45" s="79">
        <v>4453</v>
      </c>
      <c r="AT45" s="79">
        <v>3439</v>
      </c>
      <c r="AU45" s="80" t="s">
        <v>496</v>
      </c>
      <c r="AV45" s="79">
        <v>6778</v>
      </c>
      <c r="AW45" s="79">
        <v>38231</v>
      </c>
      <c r="AX45" s="79">
        <v>30219</v>
      </c>
      <c r="AY45" s="79">
        <v>27625</v>
      </c>
      <c r="AZ45" s="79">
        <v>2402</v>
      </c>
      <c r="BA45" s="79">
        <v>8005</v>
      </c>
      <c r="BB45" s="79">
        <v>25231</v>
      </c>
      <c r="BC45" s="79">
        <v>1855</v>
      </c>
      <c r="BD45" s="79">
        <v>1216</v>
      </c>
      <c r="BE45" s="79">
        <v>3969</v>
      </c>
      <c r="BF45" s="79">
        <v>7327</v>
      </c>
      <c r="BG45" s="79">
        <v>5099</v>
      </c>
      <c r="BH45" s="79">
        <v>494</v>
      </c>
      <c r="BI45" s="79">
        <v>601</v>
      </c>
      <c r="BJ45" s="79">
        <v>482</v>
      </c>
      <c r="BK45" s="79">
        <v>609</v>
      </c>
      <c r="BL45" s="79">
        <v>7476</v>
      </c>
      <c r="BM45" s="79">
        <v>8573</v>
      </c>
      <c r="BN45" s="79">
        <v>1747</v>
      </c>
      <c r="BO45" s="79">
        <v>5458</v>
      </c>
    </row>
    <row r="46" spans="1:67" x14ac:dyDescent="0.35">
      <c r="A46" s="78" t="s">
        <v>502</v>
      </c>
      <c r="B46" s="79">
        <v>150986</v>
      </c>
      <c r="C46" s="79">
        <v>332</v>
      </c>
      <c r="D46" s="79">
        <v>338</v>
      </c>
      <c r="E46" s="79">
        <v>12</v>
      </c>
      <c r="F46" s="79">
        <v>62171</v>
      </c>
      <c r="G46" s="79">
        <v>11593</v>
      </c>
      <c r="H46" s="79">
        <v>11558</v>
      </c>
      <c r="I46" s="79">
        <v>34</v>
      </c>
      <c r="J46" s="79">
        <v>48774</v>
      </c>
      <c r="K46" s="79">
        <v>47124</v>
      </c>
      <c r="L46" s="79">
        <v>1641</v>
      </c>
      <c r="M46" s="79">
        <v>322</v>
      </c>
      <c r="N46" s="79">
        <v>39</v>
      </c>
      <c r="O46" s="79">
        <v>1385</v>
      </c>
      <c r="P46" s="80" t="s">
        <v>496</v>
      </c>
      <c r="Q46" s="79">
        <v>1426</v>
      </c>
      <c r="R46" s="79">
        <v>13</v>
      </c>
      <c r="S46" s="79">
        <v>171</v>
      </c>
      <c r="T46" s="79">
        <v>1221</v>
      </c>
      <c r="U46" s="79">
        <v>3988</v>
      </c>
      <c r="V46" s="79">
        <v>1954</v>
      </c>
      <c r="W46" s="79">
        <v>1038</v>
      </c>
      <c r="X46" s="79">
        <v>764</v>
      </c>
      <c r="Y46" s="79">
        <v>134</v>
      </c>
      <c r="Z46" s="79">
        <v>2079</v>
      </c>
      <c r="AA46" s="79">
        <v>20857</v>
      </c>
      <c r="AB46" s="79">
        <v>6942</v>
      </c>
      <c r="AC46" s="79">
        <v>2115</v>
      </c>
      <c r="AD46" s="79">
        <v>11669</v>
      </c>
      <c r="AE46" s="79">
        <v>2005</v>
      </c>
      <c r="AF46" s="79">
        <v>3501</v>
      </c>
      <c r="AG46" s="79">
        <v>3831</v>
      </c>
      <c r="AH46" s="79">
        <v>1787</v>
      </c>
      <c r="AI46" s="79">
        <v>867</v>
      </c>
      <c r="AJ46" s="79">
        <v>105</v>
      </c>
      <c r="AK46" s="79">
        <v>851</v>
      </c>
      <c r="AL46" s="79">
        <v>80</v>
      </c>
      <c r="AM46" s="79">
        <v>11677</v>
      </c>
      <c r="AN46" s="79">
        <v>101</v>
      </c>
      <c r="AO46" s="79">
        <v>551</v>
      </c>
      <c r="AP46" s="79">
        <v>438</v>
      </c>
      <c r="AQ46" s="79">
        <v>10511</v>
      </c>
      <c r="AR46" s="79">
        <v>2492</v>
      </c>
      <c r="AS46" s="79">
        <v>4639</v>
      </c>
      <c r="AT46" s="79">
        <v>3363</v>
      </c>
      <c r="AU46" s="80" t="s">
        <v>496</v>
      </c>
      <c r="AV46" s="79">
        <v>6745</v>
      </c>
      <c r="AW46" s="79">
        <v>38288</v>
      </c>
      <c r="AX46" s="79">
        <v>30263</v>
      </c>
      <c r="AY46" s="79">
        <v>27746</v>
      </c>
      <c r="AZ46" s="79">
        <v>2331</v>
      </c>
      <c r="BA46" s="79">
        <v>8020</v>
      </c>
      <c r="BB46" s="79">
        <v>25575</v>
      </c>
      <c r="BC46" s="79">
        <v>1903</v>
      </c>
      <c r="BD46" s="79">
        <v>1221</v>
      </c>
      <c r="BE46" s="79">
        <v>3934</v>
      </c>
      <c r="BF46" s="79">
        <v>7396</v>
      </c>
      <c r="BG46" s="79">
        <v>5337</v>
      </c>
      <c r="BH46" s="79">
        <v>476</v>
      </c>
      <c r="BI46" s="79">
        <v>561</v>
      </c>
      <c r="BJ46" s="79">
        <v>439</v>
      </c>
      <c r="BK46" s="79">
        <v>577</v>
      </c>
      <c r="BL46" s="79">
        <v>7907</v>
      </c>
      <c r="BM46" s="79">
        <v>8874</v>
      </c>
      <c r="BN46" s="79">
        <v>1897</v>
      </c>
      <c r="BO46" s="79">
        <v>4989</v>
      </c>
    </row>
    <row r="47" spans="1:67" x14ac:dyDescent="0.35">
      <c r="A47" s="78" t="s">
        <v>503</v>
      </c>
      <c r="B47" s="79">
        <v>151806</v>
      </c>
      <c r="C47" s="79">
        <v>326</v>
      </c>
      <c r="D47" s="79">
        <v>324</v>
      </c>
      <c r="E47" s="79">
        <v>14</v>
      </c>
      <c r="F47" s="79">
        <v>62358</v>
      </c>
      <c r="G47" s="79">
        <v>11610</v>
      </c>
      <c r="H47" s="79">
        <v>11573</v>
      </c>
      <c r="I47" s="79">
        <v>36</v>
      </c>
      <c r="J47" s="79">
        <v>48934</v>
      </c>
      <c r="K47" s="79">
        <v>47281</v>
      </c>
      <c r="L47" s="79">
        <v>1645</v>
      </c>
      <c r="M47" s="79">
        <v>318</v>
      </c>
      <c r="N47" s="79">
        <v>38</v>
      </c>
      <c r="O47" s="79">
        <v>1397</v>
      </c>
      <c r="P47" s="80" t="s">
        <v>496</v>
      </c>
      <c r="Q47" s="79">
        <v>1466</v>
      </c>
      <c r="R47" s="79">
        <v>15</v>
      </c>
      <c r="S47" s="79">
        <v>172</v>
      </c>
      <c r="T47" s="79">
        <v>1261</v>
      </c>
      <c r="U47" s="79">
        <v>3892</v>
      </c>
      <c r="V47" s="79">
        <v>1942</v>
      </c>
      <c r="W47" s="79">
        <v>972</v>
      </c>
      <c r="X47" s="79">
        <v>819</v>
      </c>
      <c r="Y47" s="79">
        <v>151</v>
      </c>
      <c r="Z47" s="79">
        <v>1975</v>
      </c>
      <c r="AA47" s="79">
        <v>21811</v>
      </c>
      <c r="AB47" s="79">
        <v>6960</v>
      </c>
      <c r="AC47" s="79">
        <v>2127</v>
      </c>
      <c r="AD47" s="79">
        <v>12523</v>
      </c>
      <c r="AE47" s="79">
        <v>1985</v>
      </c>
      <c r="AF47" s="79">
        <v>3474</v>
      </c>
      <c r="AG47" s="79">
        <v>4269</v>
      </c>
      <c r="AH47" s="79">
        <v>2345</v>
      </c>
      <c r="AI47" s="79">
        <v>896</v>
      </c>
      <c r="AJ47" s="79">
        <v>110</v>
      </c>
      <c r="AK47" s="79">
        <v>736</v>
      </c>
      <c r="AL47" s="79">
        <v>84</v>
      </c>
      <c r="AM47" s="79">
        <v>11860</v>
      </c>
      <c r="AN47" s="79">
        <v>111</v>
      </c>
      <c r="AO47" s="79">
        <v>556</v>
      </c>
      <c r="AP47" s="79">
        <v>447</v>
      </c>
      <c r="AQ47" s="79">
        <v>10666</v>
      </c>
      <c r="AR47" s="79">
        <v>2413</v>
      </c>
      <c r="AS47" s="79">
        <v>4808</v>
      </c>
      <c r="AT47" s="79">
        <v>3409</v>
      </c>
      <c r="AU47" s="80" t="s">
        <v>496</v>
      </c>
      <c r="AV47" s="79">
        <v>6866</v>
      </c>
      <c r="AW47" s="79">
        <v>38270</v>
      </c>
      <c r="AX47" s="79">
        <v>30412</v>
      </c>
      <c r="AY47" s="79">
        <v>27819</v>
      </c>
      <c r="AZ47" s="79">
        <v>2399</v>
      </c>
      <c r="BA47" s="79">
        <v>7827</v>
      </c>
      <c r="BB47" s="79">
        <v>25278</v>
      </c>
      <c r="BC47" s="79">
        <v>1946</v>
      </c>
      <c r="BD47" s="79">
        <v>1214</v>
      </c>
      <c r="BE47" s="79">
        <v>3932</v>
      </c>
      <c r="BF47" s="79">
        <v>7565</v>
      </c>
      <c r="BG47" s="79">
        <v>5344</v>
      </c>
      <c r="BH47" s="79">
        <v>460</v>
      </c>
      <c r="BI47" s="79">
        <v>568</v>
      </c>
      <c r="BJ47" s="79">
        <v>547</v>
      </c>
      <c r="BK47" s="79">
        <v>611</v>
      </c>
      <c r="BL47" s="79">
        <v>7907</v>
      </c>
      <c r="BM47" s="79">
        <v>9055</v>
      </c>
      <c r="BN47" s="79">
        <v>1845</v>
      </c>
      <c r="BO47" s="79">
        <v>4384</v>
      </c>
    </row>
    <row r="48" spans="1:67" x14ac:dyDescent="0.35">
      <c r="A48" s="78" t="s">
        <v>504</v>
      </c>
      <c r="B48" s="79">
        <v>153505</v>
      </c>
      <c r="C48" s="79">
        <v>332</v>
      </c>
      <c r="D48" s="79">
        <v>330</v>
      </c>
      <c r="E48" s="79">
        <v>15</v>
      </c>
      <c r="F48" s="79">
        <v>62567</v>
      </c>
      <c r="G48" s="79">
        <v>11582</v>
      </c>
      <c r="H48" s="79">
        <v>11548</v>
      </c>
      <c r="I48" s="79">
        <v>34</v>
      </c>
      <c r="J48" s="79">
        <v>49200</v>
      </c>
      <c r="K48" s="79">
        <v>47539</v>
      </c>
      <c r="L48" s="79">
        <v>1651</v>
      </c>
      <c r="M48" s="79">
        <v>278</v>
      </c>
      <c r="N48" s="79">
        <v>38</v>
      </c>
      <c r="O48" s="79">
        <v>1390</v>
      </c>
      <c r="P48" s="80" t="s">
        <v>496</v>
      </c>
      <c r="Q48" s="79">
        <v>1390</v>
      </c>
      <c r="R48" s="79">
        <v>12</v>
      </c>
      <c r="S48" s="79">
        <v>131</v>
      </c>
      <c r="T48" s="79">
        <v>1244</v>
      </c>
      <c r="U48" s="79">
        <v>3862</v>
      </c>
      <c r="V48" s="79">
        <v>1909</v>
      </c>
      <c r="W48" s="79">
        <v>941</v>
      </c>
      <c r="X48" s="79">
        <v>825</v>
      </c>
      <c r="Y48" s="79">
        <v>148</v>
      </c>
      <c r="Z48" s="79">
        <v>1986</v>
      </c>
      <c r="AA48" s="79">
        <v>20899</v>
      </c>
      <c r="AB48" s="79">
        <v>6966</v>
      </c>
      <c r="AC48" s="79">
        <v>2133</v>
      </c>
      <c r="AD48" s="79">
        <v>11682</v>
      </c>
      <c r="AE48" s="79">
        <v>1926</v>
      </c>
      <c r="AF48" s="79">
        <v>3534</v>
      </c>
      <c r="AG48" s="79">
        <v>4018</v>
      </c>
      <c r="AH48" s="79">
        <v>1476</v>
      </c>
      <c r="AI48" s="79">
        <v>904</v>
      </c>
      <c r="AJ48" s="79">
        <v>121</v>
      </c>
      <c r="AK48" s="79">
        <v>658</v>
      </c>
      <c r="AL48" s="79">
        <v>94</v>
      </c>
      <c r="AM48" s="79">
        <v>11630</v>
      </c>
      <c r="AN48" s="79">
        <v>114</v>
      </c>
      <c r="AO48" s="79">
        <v>558</v>
      </c>
      <c r="AP48" s="79">
        <v>486</v>
      </c>
      <c r="AQ48" s="79">
        <v>10393</v>
      </c>
      <c r="AR48" s="79">
        <v>2411</v>
      </c>
      <c r="AS48" s="79">
        <v>4703</v>
      </c>
      <c r="AT48" s="79">
        <v>3262</v>
      </c>
      <c r="AU48" s="80" t="s">
        <v>496</v>
      </c>
      <c r="AV48" s="79">
        <v>7007</v>
      </c>
      <c r="AW48" s="79">
        <v>38630</v>
      </c>
      <c r="AX48" s="79">
        <v>30690</v>
      </c>
      <c r="AY48" s="79">
        <v>27904</v>
      </c>
      <c r="AZ48" s="79">
        <v>2576</v>
      </c>
      <c r="BA48" s="79">
        <v>7906</v>
      </c>
      <c r="BB48" s="79">
        <v>26783</v>
      </c>
      <c r="BC48" s="79">
        <v>1984</v>
      </c>
      <c r="BD48" s="79">
        <v>1215</v>
      </c>
      <c r="BE48" s="79">
        <v>3778</v>
      </c>
      <c r="BF48" s="79">
        <v>7822</v>
      </c>
      <c r="BG48" s="79">
        <v>5586</v>
      </c>
      <c r="BH48" s="79">
        <v>475</v>
      </c>
      <c r="BI48" s="79">
        <v>593</v>
      </c>
      <c r="BJ48" s="79">
        <v>533</v>
      </c>
      <c r="BK48" s="79">
        <v>613</v>
      </c>
      <c r="BL48" s="79">
        <v>8297</v>
      </c>
      <c r="BM48" s="79">
        <v>9087</v>
      </c>
      <c r="BN48" s="79">
        <v>2036</v>
      </c>
      <c r="BO48" s="79">
        <v>5568</v>
      </c>
    </row>
    <row r="49" spans="1:67" x14ac:dyDescent="0.35">
      <c r="A49" s="78" t="s">
        <v>505</v>
      </c>
      <c r="B49" s="79">
        <v>153987</v>
      </c>
      <c r="C49" s="79">
        <v>358</v>
      </c>
      <c r="D49" s="79">
        <v>352</v>
      </c>
      <c r="E49" s="79">
        <v>17</v>
      </c>
      <c r="F49" s="79">
        <v>62699</v>
      </c>
      <c r="G49" s="79">
        <v>11511</v>
      </c>
      <c r="H49" s="79">
        <v>11473</v>
      </c>
      <c r="I49" s="79">
        <v>36</v>
      </c>
      <c r="J49" s="79">
        <v>49431</v>
      </c>
      <c r="K49" s="79">
        <v>47758</v>
      </c>
      <c r="L49" s="79">
        <v>1662</v>
      </c>
      <c r="M49" s="79">
        <v>245</v>
      </c>
      <c r="N49" s="79">
        <v>39</v>
      </c>
      <c r="O49" s="79">
        <v>1364</v>
      </c>
      <c r="P49" s="80" t="s">
        <v>496</v>
      </c>
      <c r="Q49" s="79">
        <v>1410</v>
      </c>
      <c r="R49" s="79">
        <v>15</v>
      </c>
      <c r="S49" s="79">
        <v>143</v>
      </c>
      <c r="T49" s="79">
        <v>1242</v>
      </c>
      <c r="U49" s="79">
        <v>3669</v>
      </c>
      <c r="V49" s="79">
        <v>1763</v>
      </c>
      <c r="W49" s="79">
        <v>880</v>
      </c>
      <c r="X49" s="79">
        <v>758</v>
      </c>
      <c r="Y49" s="79">
        <v>129</v>
      </c>
      <c r="Z49" s="79">
        <v>1969</v>
      </c>
      <c r="AA49" s="79">
        <v>20886</v>
      </c>
      <c r="AB49" s="79">
        <v>6895</v>
      </c>
      <c r="AC49" s="79">
        <v>2140</v>
      </c>
      <c r="AD49" s="79">
        <v>11722</v>
      </c>
      <c r="AE49" s="79">
        <v>1921</v>
      </c>
      <c r="AF49" s="79">
        <v>3469</v>
      </c>
      <c r="AG49" s="79">
        <v>4186</v>
      </c>
      <c r="AH49" s="79">
        <v>1322</v>
      </c>
      <c r="AI49" s="79">
        <v>905</v>
      </c>
      <c r="AJ49" s="79">
        <v>128</v>
      </c>
      <c r="AK49" s="79">
        <v>619</v>
      </c>
      <c r="AL49" s="79">
        <v>100</v>
      </c>
      <c r="AM49" s="79">
        <v>11550</v>
      </c>
      <c r="AN49" s="79">
        <v>112</v>
      </c>
      <c r="AO49" s="79">
        <v>564</v>
      </c>
      <c r="AP49" s="79">
        <v>506</v>
      </c>
      <c r="AQ49" s="79">
        <v>10290</v>
      </c>
      <c r="AR49" s="79">
        <v>2458</v>
      </c>
      <c r="AS49" s="79">
        <v>4591</v>
      </c>
      <c r="AT49" s="79">
        <v>3236</v>
      </c>
      <c r="AU49" s="80" t="s">
        <v>496</v>
      </c>
      <c r="AV49" s="79">
        <v>7021</v>
      </c>
      <c r="AW49" s="79">
        <v>38641</v>
      </c>
      <c r="AX49" s="79">
        <v>30862</v>
      </c>
      <c r="AY49" s="79">
        <v>28176</v>
      </c>
      <c r="AZ49" s="79">
        <v>2484</v>
      </c>
      <c r="BA49" s="79">
        <v>7724</v>
      </c>
      <c r="BB49" s="79">
        <v>26928</v>
      </c>
      <c r="BC49" s="79">
        <v>2022</v>
      </c>
      <c r="BD49" s="79">
        <v>1225</v>
      </c>
      <c r="BE49" s="79">
        <v>3702</v>
      </c>
      <c r="BF49" s="79">
        <v>7557</v>
      </c>
      <c r="BG49" s="79">
        <v>5705</v>
      </c>
      <c r="BH49" s="79">
        <v>431</v>
      </c>
      <c r="BI49" s="79">
        <v>519</v>
      </c>
      <c r="BJ49" s="79">
        <v>407</v>
      </c>
      <c r="BK49" s="79">
        <v>532</v>
      </c>
      <c r="BL49" s="79">
        <v>8681</v>
      </c>
      <c r="BM49" s="79">
        <v>9260</v>
      </c>
      <c r="BN49" s="79">
        <v>2191</v>
      </c>
      <c r="BO49" s="79">
        <v>5376</v>
      </c>
    </row>
    <row r="50" spans="1:67" x14ac:dyDescent="0.35">
      <c r="A50" s="78" t="s">
        <v>506</v>
      </c>
      <c r="B50" s="79">
        <v>154860</v>
      </c>
      <c r="C50" s="79">
        <v>380</v>
      </c>
      <c r="D50" s="79">
        <v>377</v>
      </c>
      <c r="E50" s="79">
        <v>17</v>
      </c>
      <c r="F50" s="79">
        <v>62512</v>
      </c>
      <c r="G50" s="79">
        <v>11407</v>
      </c>
      <c r="H50" s="79">
        <v>11370</v>
      </c>
      <c r="I50" s="79">
        <v>36</v>
      </c>
      <c r="J50" s="79">
        <v>49357</v>
      </c>
      <c r="K50" s="79">
        <v>47672</v>
      </c>
      <c r="L50" s="79">
        <v>1676</v>
      </c>
      <c r="M50" s="79">
        <v>262</v>
      </c>
      <c r="N50" s="79">
        <v>36</v>
      </c>
      <c r="O50" s="79">
        <v>1330</v>
      </c>
      <c r="P50" s="80" t="s">
        <v>496</v>
      </c>
      <c r="Q50" s="79">
        <v>1457</v>
      </c>
      <c r="R50" s="79">
        <v>17</v>
      </c>
      <c r="S50" s="79">
        <v>185</v>
      </c>
      <c r="T50" s="79">
        <v>1227</v>
      </c>
      <c r="U50" s="79">
        <v>3520</v>
      </c>
      <c r="V50" s="79">
        <v>1688</v>
      </c>
      <c r="W50" s="79">
        <v>873</v>
      </c>
      <c r="X50" s="79">
        <v>705</v>
      </c>
      <c r="Y50" s="79">
        <v>106</v>
      </c>
      <c r="Z50" s="79">
        <v>1898</v>
      </c>
      <c r="AA50" s="79">
        <v>21871</v>
      </c>
      <c r="AB50" s="79">
        <v>6929</v>
      </c>
      <c r="AC50" s="79">
        <v>2092</v>
      </c>
      <c r="AD50" s="79">
        <v>12640</v>
      </c>
      <c r="AE50" s="79">
        <v>1974</v>
      </c>
      <c r="AF50" s="79">
        <v>3423</v>
      </c>
      <c r="AG50" s="79">
        <v>4523</v>
      </c>
      <c r="AH50" s="79">
        <v>2109</v>
      </c>
      <c r="AI50" s="79">
        <v>911</v>
      </c>
      <c r="AJ50" s="79">
        <v>136</v>
      </c>
      <c r="AK50" s="79">
        <v>598</v>
      </c>
      <c r="AL50" s="79">
        <v>107</v>
      </c>
      <c r="AM50" s="79">
        <v>11828</v>
      </c>
      <c r="AN50" s="79">
        <v>104</v>
      </c>
      <c r="AO50" s="79">
        <v>568</v>
      </c>
      <c r="AP50" s="79">
        <v>541</v>
      </c>
      <c r="AQ50" s="79">
        <v>10538</v>
      </c>
      <c r="AR50" s="79">
        <v>2532</v>
      </c>
      <c r="AS50" s="79">
        <v>4830</v>
      </c>
      <c r="AT50" s="79">
        <v>3187</v>
      </c>
      <c r="AU50" s="80" t="s">
        <v>496</v>
      </c>
      <c r="AV50" s="79">
        <v>6875</v>
      </c>
      <c r="AW50" s="79">
        <v>38522</v>
      </c>
      <c r="AX50" s="79">
        <v>30935</v>
      </c>
      <c r="AY50" s="79">
        <v>28329</v>
      </c>
      <c r="AZ50" s="79">
        <v>2414</v>
      </c>
      <c r="BA50" s="79">
        <v>7512</v>
      </c>
      <c r="BB50" s="79">
        <v>26804</v>
      </c>
      <c r="BC50" s="79">
        <v>2066</v>
      </c>
      <c r="BD50" s="79">
        <v>1235</v>
      </c>
      <c r="BE50" s="79">
        <v>3679</v>
      </c>
      <c r="BF50" s="79">
        <v>7416</v>
      </c>
      <c r="BG50" s="79">
        <v>6021</v>
      </c>
      <c r="BH50" s="79">
        <v>371</v>
      </c>
      <c r="BI50" s="79">
        <v>412</v>
      </c>
      <c r="BJ50" s="79">
        <v>286</v>
      </c>
      <c r="BK50" s="79">
        <v>446</v>
      </c>
      <c r="BL50" s="79">
        <v>8545</v>
      </c>
      <c r="BM50" s="79">
        <v>9477</v>
      </c>
      <c r="BN50" s="79">
        <v>2067</v>
      </c>
      <c r="BO50" s="79">
        <v>5605</v>
      </c>
    </row>
    <row r="51" spans="1:67" x14ac:dyDescent="0.35">
      <c r="A51" s="78" t="s">
        <v>507</v>
      </c>
      <c r="B51" s="79">
        <v>155748</v>
      </c>
      <c r="C51" s="79">
        <v>380</v>
      </c>
      <c r="D51" s="79">
        <v>385</v>
      </c>
      <c r="E51" s="79">
        <v>15</v>
      </c>
      <c r="F51" s="79">
        <v>63113</v>
      </c>
      <c r="G51" s="79">
        <v>11364</v>
      </c>
      <c r="H51" s="79">
        <v>11326</v>
      </c>
      <c r="I51" s="79">
        <v>37</v>
      </c>
      <c r="J51" s="79">
        <v>50011</v>
      </c>
      <c r="K51" s="79">
        <v>48275</v>
      </c>
      <c r="L51" s="79">
        <v>1726</v>
      </c>
      <c r="M51" s="79">
        <v>293</v>
      </c>
      <c r="N51" s="79">
        <v>35</v>
      </c>
      <c r="O51" s="79">
        <v>1267</v>
      </c>
      <c r="P51" s="80" t="s">
        <v>496</v>
      </c>
      <c r="Q51" s="79">
        <v>1368</v>
      </c>
      <c r="R51" s="79">
        <v>17</v>
      </c>
      <c r="S51" s="79">
        <v>151</v>
      </c>
      <c r="T51" s="79">
        <v>1183</v>
      </c>
      <c r="U51" s="79">
        <v>3391</v>
      </c>
      <c r="V51" s="79">
        <v>1638</v>
      </c>
      <c r="W51" s="79">
        <v>867</v>
      </c>
      <c r="X51" s="79">
        <v>663</v>
      </c>
      <c r="Y51" s="79">
        <v>97</v>
      </c>
      <c r="Z51" s="79">
        <v>1807</v>
      </c>
      <c r="AA51" s="79">
        <v>21264</v>
      </c>
      <c r="AB51" s="79">
        <v>6914</v>
      </c>
      <c r="AC51" s="79">
        <v>2119</v>
      </c>
      <c r="AD51" s="79">
        <v>12071</v>
      </c>
      <c r="AE51" s="79">
        <v>1984</v>
      </c>
      <c r="AF51" s="79">
        <v>3380</v>
      </c>
      <c r="AG51" s="79">
        <v>4769</v>
      </c>
      <c r="AH51" s="79">
        <v>719</v>
      </c>
      <c r="AI51" s="79">
        <v>930</v>
      </c>
      <c r="AJ51" s="79">
        <v>138</v>
      </c>
      <c r="AK51" s="79">
        <v>665</v>
      </c>
      <c r="AL51" s="79">
        <v>108</v>
      </c>
      <c r="AM51" s="79">
        <v>11767</v>
      </c>
      <c r="AN51" s="79">
        <v>88</v>
      </c>
      <c r="AO51" s="79">
        <v>574</v>
      </c>
      <c r="AP51" s="79">
        <v>547</v>
      </c>
      <c r="AQ51" s="79">
        <v>10481</v>
      </c>
      <c r="AR51" s="79">
        <v>2486</v>
      </c>
      <c r="AS51" s="79">
        <v>4870</v>
      </c>
      <c r="AT51" s="79">
        <v>3135</v>
      </c>
      <c r="AU51" s="80" t="s">
        <v>496</v>
      </c>
      <c r="AV51" s="79">
        <v>7198</v>
      </c>
      <c r="AW51" s="79">
        <v>38402</v>
      </c>
      <c r="AX51" s="79">
        <v>30899</v>
      </c>
      <c r="AY51" s="79">
        <v>28277</v>
      </c>
      <c r="AZ51" s="79">
        <v>2428</v>
      </c>
      <c r="BA51" s="79">
        <v>7422</v>
      </c>
      <c r="BB51" s="79">
        <v>27662</v>
      </c>
      <c r="BC51" s="79">
        <v>2084</v>
      </c>
      <c r="BD51" s="79">
        <v>1241</v>
      </c>
      <c r="BE51" s="79">
        <v>3608</v>
      </c>
      <c r="BF51" s="79">
        <v>7678</v>
      </c>
      <c r="BG51" s="79">
        <v>5549</v>
      </c>
      <c r="BH51" s="79">
        <v>447</v>
      </c>
      <c r="BI51" s="79">
        <v>552</v>
      </c>
      <c r="BJ51" s="79">
        <v>519</v>
      </c>
      <c r="BK51" s="79">
        <v>596</v>
      </c>
      <c r="BL51" s="79">
        <v>9053</v>
      </c>
      <c r="BM51" s="79">
        <v>9622</v>
      </c>
      <c r="BN51" s="79">
        <v>2294</v>
      </c>
      <c r="BO51" s="79">
        <v>5543</v>
      </c>
    </row>
    <row r="52" spans="1:67" x14ac:dyDescent="0.35">
      <c r="A52" s="78" t="s">
        <v>508</v>
      </c>
      <c r="B52" s="79">
        <v>157914</v>
      </c>
      <c r="C52" s="79">
        <v>394</v>
      </c>
      <c r="D52" s="79">
        <v>399</v>
      </c>
      <c r="E52" s="79">
        <v>15</v>
      </c>
      <c r="F52" s="79">
        <v>63893</v>
      </c>
      <c r="G52" s="79">
        <v>11315</v>
      </c>
      <c r="H52" s="79">
        <v>11276</v>
      </c>
      <c r="I52" s="79">
        <v>38</v>
      </c>
      <c r="J52" s="79">
        <v>50867</v>
      </c>
      <c r="K52" s="79">
        <v>49100</v>
      </c>
      <c r="L52" s="79">
        <v>1757</v>
      </c>
      <c r="M52" s="79">
        <v>271</v>
      </c>
      <c r="N52" s="79">
        <v>33</v>
      </c>
      <c r="O52" s="79">
        <v>1233</v>
      </c>
      <c r="P52" s="80" t="s">
        <v>496</v>
      </c>
      <c r="Q52" s="79">
        <v>1448</v>
      </c>
      <c r="R52" s="79">
        <v>17</v>
      </c>
      <c r="S52" s="79">
        <v>171</v>
      </c>
      <c r="T52" s="79">
        <v>1240</v>
      </c>
      <c r="U52" s="79">
        <v>3535</v>
      </c>
      <c r="V52" s="79">
        <v>1725</v>
      </c>
      <c r="W52" s="79">
        <v>945</v>
      </c>
      <c r="X52" s="79">
        <v>659</v>
      </c>
      <c r="Y52" s="79">
        <v>99</v>
      </c>
      <c r="Z52" s="79">
        <v>1857</v>
      </c>
      <c r="AA52" s="79">
        <v>22914</v>
      </c>
      <c r="AB52" s="79">
        <v>6906</v>
      </c>
      <c r="AC52" s="79">
        <v>2201</v>
      </c>
      <c r="AD52" s="79">
        <v>13525</v>
      </c>
      <c r="AE52" s="79">
        <v>1984</v>
      </c>
      <c r="AF52" s="79">
        <v>3367</v>
      </c>
      <c r="AG52" s="79">
        <v>4942</v>
      </c>
      <c r="AH52" s="79">
        <v>2749</v>
      </c>
      <c r="AI52" s="79">
        <v>944</v>
      </c>
      <c r="AJ52" s="79">
        <v>145</v>
      </c>
      <c r="AK52" s="79">
        <v>659</v>
      </c>
      <c r="AL52" s="79">
        <v>114</v>
      </c>
      <c r="AM52" s="79">
        <v>11586</v>
      </c>
      <c r="AN52" s="79">
        <v>83</v>
      </c>
      <c r="AO52" s="79">
        <v>573</v>
      </c>
      <c r="AP52" s="79">
        <v>564</v>
      </c>
      <c r="AQ52" s="79">
        <v>10295</v>
      </c>
      <c r="AR52" s="79">
        <v>2463</v>
      </c>
      <c r="AS52" s="79">
        <v>4775</v>
      </c>
      <c r="AT52" s="79">
        <v>3074</v>
      </c>
      <c r="AU52" s="80" t="s">
        <v>496</v>
      </c>
      <c r="AV52" s="79">
        <v>6987</v>
      </c>
      <c r="AW52" s="79">
        <v>38284</v>
      </c>
      <c r="AX52" s="79">
        <v>30986</v>
      </c>
      <c r="AY52" s="79">
        <v>28271</v>
      </c>
      <c r="AZ52" s="79">
        <v>2511</v>
      </c>
      <c r="BA52" s="79">
        <v>7198</v>
      </c>
      <c r="BB52" s="79">
        <v>27692</v>
      </c>
      <c r="BC52" s="79">
        <v>2070</v>
      </c>
      <c r="BD52" s="79">
        <v>1253</v>
      </c>
      <c r="BE52" s="79">
        <v>3613</v>
      </c>
      <c r="BF52" s="79">
        <v>7523</v>
      </c>
      <c r="BG52" s="79">
        <v>5695</v>
      </c>
      <c r="BH52" s="79">
        <v>449</v>
      </c>
      <c r="BI52" s="79">
        <v>488</v>
      </c>
      <c r="BJ52" s="79">
        <v>364</v>
      </c>
      <c r="BK52" s="79">
        <v>570</v>
      </c>
      <c r="BL52" s="79">
        <v>9193</v>
      </c>
      <c r="BM52" s="79">
        <v>9791</v>
      </c>
      <c r="BN52" s="79">
        <v>2324</v>
      </c>
      <c r="BO52" s="79">
        <v>5499</v>
      </c>
    </row>
    <row r="53" spans="1:67" x14ac:dyDescent="0.35">
      <c r="A53" s="78" t="s">
        <v>509</v>
      </c>
      <c r="B53" s="79">
        <v>158857</v>
      </c>
      <c r="C53" s="79">
        <v>397</v>
      </c>
      <c r="D53" s="79">
        <v>409</v>
      </c>
      <c r="E53" s="79">
        <v>13</v>
      </c>
      <c r="F53" s="79">
        <v>64421</v>
      </c>
      <c r="G53" s="79">
        <v>11364</v>
      </c>
      <c r="H53" s="79">
        <v>11325</v>
      </c>
      <c r="I53" s="79">
        <v>38</v>
      </c>
      <c r="J53" s="79">
        <v>51300</v>
      </c>
      <c r="K53" s="79">
        <v>49494</v>
      </c>
      <c r="L53" s="79">
        <v>1797</v>
      </c>
      <c r="M53" s="79">
        <v>313</v>
      </c>
      <c r="N53" s="79">
        <v>29</v>
      </c>
      <c r="O53" s="79">
        <v>1237</v>
      </c>
      <c r="P53" s="80" t="s">
        <v>496</v>
      </c>
      <c r="Q53" s="79">
        <v>1500</v>
      </c>
      <c r="R53" s="79">
        <v>17</v>
      </c>
      <c r="S53" s="79">
        <v>191</v>
      </c>
      <c r="T53" s="79">
        <v>1267</v>
      </c>
      <c r="U53" s="79">
        <v>3333</v>
      </c>
      <c r="V53" s="79">
        <v>1591</v>
      </c>
      <c r="W53" s="79">
        <v>813</v>
      </c>
      <c r="X53" s="79">
        <v>677</v>
      </c>
      <c r="Y53" s="79">
        <v>103</v>
      </c>
      <c r="Z53" s="79">
        <v>1807</v>
      </c>
      <c r="AA53" s="79">
        <v>23096</v>
      </c>
      <c r="AB53" s="79">
        <v>6982</v>
      </c>
      <c r="AC53" s="79">
        <v>2137</v>
      </c>
      <c r="AD53" s="79">
        <v>13683</v>
      </c>
      <c r="AE53" s="79">
        <v>2024</v>
      </c>
      <c r="AF53" s="79">
        <v>3342</v>
      </c>
      <c r="AG53" s="79">
        <v>5004</v>
      </c>
      <c r="AH53" s="79">
        <v>2846</v>
      </c>
      <c r="AI53" s="79">
        <v>966</v>
      </c>
      <c r="AJ53" s="79">
        <v>158</v>
      </c>
      <c r="AK53" s="79">
        <v>598</v>
      </c>
      <c r="AL53" s="79">
        <v>125</v>
      </c>
      <c r="AM53" s="79">
        <v>12182</v>
      </c>
      <c r="AN53" s="79">
        <v>87</v>
      </c>
      <c r="AO53" s="79">
        <v>586</v>
      </c>
      <c r="AP53" s="79">
        <v>552</v>
      </c>
      <c r="AQ53" s="79">
        <v>10882</v>
      </c>
      <c r="AR53" s="79">
        <v>2538</v>
      </c>
      <c r="AS53" s="79">
        <v>5225</v>
      </c>
      <c r="AT53" s="79">
        <v>3139</v>
      </c>
      <c r="AU53" s="80" t="s">
        <v>496</v>
      </c>
      <c r="AV53" s="79">
        <v>6803</v>
      </c>
      <c r="AW53" s="79">
        <v>38772</v>
      </c>
      <c r="AX53" s="79">
        <v>31219</v>
      </c>
      <c r="AY53" s="79">
        <v>28528</v>
      </c>
      <c r="AZ53" s="79">
        <v>2490</v>
      </c>
      <c r="BA53" s="79">
        <v>7472</v>
      </c>
      <c r="BB53" s="79">
        <v>26760</v>
      </c>
      <c r="BC53" s="79">
        <v>2079</v>
      </c>
      <c r="BD53" s="79">
        <v>1263</v>
      </c>
      <c r="BE53" s="79">
        <v>3726</v>
      </c>
      <c r="BF53" s="79">
        <v>7637</v>
      </c>
      <c r="BG53" s="79">
        <v>5789</v>
      </c>
      <c r="BH53" s="79">
        <v>438</v>
      </c>
      <c r="BI53" s="79">
        <v>519</v>
      </c>
      <c r="BJ53" s="79">
        <v>399</v>
      </c>
      <c r="BK53" s="79">
        <v>537</v>
      </c>
      <c r="BL53" s="79">
        <v>8743</v>
      </c>
      <c r="BM53" s="79">
        <v>9857</v>
      </c>
      <c r="BN53" s="79">
        <v>2076</v>
      </c>
      <c r="BO53" s="79">
        <v>4797</v>
      </c>
    </row>
    <row r="54" spans="1:67" x14ac:dyDescent="0.35">
      <c r="A54" s="78" t="s">
        <v>510</v>
      </c>
      <c r="B54" s="79">
        <v>160952</v>
      </c>
      <c r="C54" s="79">
        <v>401</v>
      </c>
      <c r="D54" s="79">
        <v>420</v>
      </c>
      <c r="E54" s="79">
        <v>11</v>
      </c>
      <c r="F54" s="79">
        <v>64395</v>
      </c>
      <c r="G54" s="79">
        <v>11367</v>
      </c>
      <c r="H54" s="79">
        <v>11327</v>
      </c>
      <c r="I54" s="79">
        <v>39</v>
      </c>
      <c r="J54" s="79">
        <v>51254</v>
      </c>
      <c r="K54" s="79">
        <v>49439</v>
      </c>
      <c r="L54" s="79">
        <v>1807</v>
      </c>
      <c r="M54" s="79">
        <v>305</v>
      </c>
      <c r="N54" s="79">
        <v>30</v>
      </c>
      <c r="O54" s="79">
        <v>1269</v>
      </c>
      <c r="P54" s="80" t="s">
        <v>496</v>
      </c>
      <c r="Q54" s="79">
        <v>1503</v>
      </c>
      <c r="R54" s="79">
        <v>18</v>
      </c>
      <c r="S54" s="79">
        <v>150</v>
      </c>
      <c r="T54" s="79">
        <v>1324</v>
      </c>
      <c r="U54" s="79">
        <v>3279</v>
      </c>
      <c r="V54" s="79">
        <v>1529</v>
      </c>
      <c r="W54" s="79">
        <v>765</v>
      </c>
      <c r="X54" s="79">
        <v>670</v>
      </c>
      <c r="Y54" s="79">
        <v>98</v>
      </c>
      <c r="Z54" s="79">
        <v>1836</v>
      </c>
      <c r="AA54" s="79">
        <v>21782</v>
      </c>
      <c r="AB54" s="79">
        <v>6909</v>
      </c>
      <c r="AC54" s="79">
        <v>2123</v>
      </c>
      <c r="AD54" s="79">
        <v>12546</v>
      </c>
      <c r="AE54" s="79">
        <v>2061</v>
      </c>
      <c r="AF54" s="79">
        <v>3444</v>
      </c>
      <c r="AG54" s="79">
        <v>5056</v>
      </c>
      <c r="AH54" s="79">
        <v>671</v>
      </c>
      <c r="AI54" s="79">
        <v>994</v>
      </c>
      <c r="AJ54" s="79">
        <v>171</v>
      </c>
      <c r="AK54" s="79">
        <v>568</v>
      </c>
      <c r="AL54" s="79">
        <v>136</v>
      </c>
      <c r="AM54" s="79">
        <v>12608</v>
      </c>
      <c r="AN54" s="79">
        <v>106</v>
      </c>
      <c r="AO54" s="79">
        <v>583</v>
      </c>
      <c r="AP54" s="79">
        <v>544</v>
      </c>
      <c r="AQ54" s="79">
        <v>11296</v>
      </c>
      <c r="AR54" s="79">
        <v>2628</v>
      </c>
      <c r="AS54" s="79">
        <v>5522</v>
      </c>
      <c r="AT54" s="79">
        <v>3178</v>
      </c>
      <c r="AU54" s="80" t="s">
        <v>496</v>
      </c>
      <c r="AV54" s="79">
        <v>6592</v>
      </c>
      <c r="AW54" s="79">
        <v>39301</v>
      </c>
      <c r="AX54" s="79">
        <v>31883</v>
      </c>
      <c r="AY54" s="79">
        <v>29143</v>
      </c>
      <c r="AZ54" s="79">
        <v>2535</v>
      </c>
      <c r="BA54" s="79">
        <v>7308</v>
      </c>
      <c r="BB54" s="79">
        <v>28660</v>
      </c>
      <c r="BC54" s="79">
        <v>2082</v>
      </c>
      <c r="BD54" s="79">
        <v>1265</v>
      </c>
      <c r="BE54" s="79">
        <v>3830</v>
      </c>
      <c r="BF54" s="79">
        <v>7375</v>
      </c>
      <c r="BG54" s="79">
        <v>5222</v>
      </c>
      <c r="BH54" s="79">
        <v>440</v>
      </c>
      <c r="BI54" s="79">
        <v>581</v>
      </c>
      <c r="BJ54" s="79">
        <v>550</v>
      </c>
      <c r="BK54" s="79">
        <v>549</v>
      </c>
      <c r="BL54" s="79">
        <v>10019</v>
      </c>
      <c r="BM54" s="79">
        <v>10064</v>
      </c>
      <c r="BN54" s="79">
        <v>2684</v>
      </c>
      <c r="BO54" s="79">
        <v>5245</v>
      </c>
    </row>
    <row r="55" spans="1:67" x14ac:dyDescent="0.35">
      <c r="A55" s="78" t="s">
        <v>511</v>
      </c>
      <c r="B55" s="79">
        <v>162564</v>
      </c>
      <c r="C55" s="79">
        <v>392</v>
      </c>
      <c r="D55" s="79">
        <v>415</v>
      </c>
      <c r="E55" s="79">
        <v>10</v>
      </c>
      <c r="F55" s="79">
        <v>64551</v>
      </c>
      <c r="G55" s="79">
        <v>11447</v>
      </c>
      <c r="H55" s="79">
        <v>11406</v>
      </c>
      <c r="I55" s="79">
        <v>39</v>
      </c>
      <c r="J55" s="79">
        <v>51263</v>
      </c>
      <c r="K55" s="79">
        <v>49451</v>
      </c>
      <c r="L55" s="79">
        <v>1802</v>
      </c>
      <c r="M55" s="79">
        <v>294</v>
      </c>
      <c r="N55" s="79">
        <v>28</v>
      </c>
      <c r="O55" s="79">
        <v>1372</v>
      </c>
      <c r="P55" s="80" t="s">
        <v>496</v>
      </c>
      <c r="Q55" s="79">
        <v>1459</v>
      </c>
      <c r="R55" s="79">
        <v>19</v>
      </c>
      <c r="S55" s="79">
        <v>154</v>
      </c>
      <c r="T55" s="79">
        <v>1274</v>
      </c>
      <c r="U55" s="79">
        <v>3150</v>
      </c>
      <c r="V55" s="79">
        <v>1441</v>
      </c>
      <c r="W55" s="79">
        <v>683</v>
      </c>
      <c r="X55" s="79">
        <v>680</v>
      </c>
      <c r="Y55" s="79">
        <v>96</v>
      </c>
      <c r="Z55" s="79">
        <v>1810</v>
      </c>
      <c r="AA55" s="79">
        <v>21988</v>
      </c>
      <c r="AB55" s="79">
        <v>6968</v>
      </c>
      <c r="AC55" s="79">
        <v>2212</v>
      </c>
      <c r="AD55" s="79">
        <v>12603</v>
      </c>
      <c r="AE55" s="79">
        <v>2137</v>
      </c>
      <c r="AF55" s="79">
        <v>3519</v>
      </c>
      <c r="AG55" s="79">
        <v>5068</v>
      </c>
      <c r="AH55" s="79">
        <v>545</v>
      </c>
      <c r="AI55" s="79">
        <v>1009</v>
      </c>
      <c r="AJ55" s="79">
        <v>191</v>
      </c>
      <c r="AK55" s="79">
        <v>543</v>
      </c>
      <c r="AL55" s="79">
        <v>153</v>
      </c>
      <c r="AM55" s="79">
        <v>12665</v>
      </c>
      <c r="AN55" s="79">
        <v>101</v>
      </c>
      <c r="AO55" s="79">
        <v>581</v>
      </c>
      <c r="AP55" s="79">
        <v>548</v>
      </c>
      <c r="AQ55" s="79">
        <v>11356</v>
      </c>
      <c r="AR55" s="79">
        <v>2686</v>
      </c>
      <c r="AS55" s="79">
        <v>5515</v>
      </c>
      <c r="AT55" s="79">
        <v>3196</v>
      </c>
      <c r="AU55" s="80" t="s">
        <v>496</v>
      </c>
      <c r="AV55" s="79">
        <v>5801</v>
      </c>
      <c r="AW55" s="79">
        <v>39462</v>
      </c>
      <c r="AX55" s="79">
        <v>31887</v>
      </c>
      <c r="AY55" s="79">
        <v>29048</v>
      </c>
      <c r="AZ55" s="79">
        <v>2625</v>
      </c>
      <c r="BA55" s="79">
        <v>7477</v>
      </c>
      <c r="BB55" s="79">
        <v>29562</v>
      </c>
      <c r="BC55" s="79">
        <v>2116</v>
      </c>
      <c r="BD55" s="79">
        <v>1257</v>
      </c>
      <c r="BE55" s="79">
        <v>3877</v>
      </c>
      <c r="BF55" s="79">
        <v>8130</v>
      </c>
      <c r="BG55" s="79">
        <v>6167</v>
      </c>
      <c r="BH55" s="79">
        <v>393</v>
      </c>
      <c r="BI55" s="79">
        <v>501</v>
      </c>
      <c r="BJ55" s="79">
        <v>506</v>
      </c>
      <c r="BK55" s="79">
        <v>609</v>
      </c>
      <c r="BL55" s="79">
        <v>10137</v>
      </c>
      <c r="BM55" s="79">
        <v>10229</v>
      </c>
      <c r="BN55" s="79">
        <v>2700</v>
      </c>
      <c r="BO55" s="79">
        <v>5338</v>
      </c>
    </row>
    <row r="56" spans="1:67" x14ac:dyDescent="0.35">
      <c r="A56" s="78" t="s">
        <v>512</v>
      </c>
      <c r="B56" s="79">
        <v>164235</v>
      </c>
      <c r="C56" s="79">
        <v>402</v>
      </c>
      <c r="D56" s="79">
        <v>427</v>
      </c>
      <c r="E56" s="79">
        <v>9</v>
      </c>
      <c r="F56" s="79">
        <v>64635</v>
      </c>
      <c r="G56" s="79">
        <v>11513</v>
      </c>
      <c r="H56" s="79">
        <v>11475</v>
      </c>
      <c r="I56" s="79">
        <v>38</v>
      </c>
      <c r="J56" s="79">
        <v>51226</v>
      </c>
      <c r="K56" s="79">
        <v>49425</v>
      </c>
      <c r="L56" s="79">
        <v>1793</v>
      </c>
      <c r="M56" s="79">
        <v>320</v>
      </c>
      <c r="N56" s="79">
        <v>35</v>
      </c>
      <c r="O56" s="79">
        <v>1408</v>
      </c>
      <c r="P56" s="80" t="s">
        <v>496</v>
      </c>
      <c r="Q56" s="79">
        <v>1605</v>
      </c>
      <c r="R56" s="79">
        <v>19</v>
      </c>
      <c r="S56" s="79">
        <v>175</v>
      </c>
      <c r="T56" s="79">
        <v>1393</v>
      </c>
      <c r="U56" s="79">
        <v>3119</v>
      </c>
      <c r="V56" s="79">
        <v>1410</v>
      </c>
      <c r="W56" s="79">
        <v>659</v>
      </c>
      <c r="X56" s="79">
        <v>681</v>
      </c>
      <c r="Y56" s="79">
        <v>93</v>
      </c>
      <c r="Z56" s="79">
        <v>1817</v>
      </c>
      <c r="AA56" s="79">
        <v>23344</v>
      </c>
      <c r="AB56" s="79">
        <v>6936</v>
      </c>
      <c r="AC56" s="79">
        <v>2178</v>
      </c>
      <c r="AD56" s="79">
        <v>13938</v>
      </c>
      <c r="AE56" s="79">
        <v>2116</v>
      </c>
      <c r="AF56" s="79">
        <v>3627</v>
      </c>
      <c r="AG56" s="79">
        <v>5153</v>
      </c>
      <c r="AH56" s="79">
        <v>2243</v>
      </c>
      <c r="AI56" s="79">
        <v>1036</v>
      </c>
      <c r="AJ56" s="79">
        <v>207</v>
      </c>
      <c r="AK56" s="79">
        <v>548</v>
      </c>
      <c r="AL56" s="79">
        <v>167</v>
      </c>
      <c r="AM56" s="79">
        <v>12925</v>
      </c>
      <c r="AN56" s="79">
        <v>96</v>
      </c>
      <c r="AO56" s="79">
        <v>582</v>
      </c>
      <c r="AP56" s="79">
        <v>563</v>
      </c>
      <c r="AQ56" s="79">
        <v>11607</v>
      </c>
      <c r="AR56" s="79">
        <v>2721</v>
      </c>
      <c r="AS56" s="79">
        <v>5744</v>
      </c>
      <c r="AT56" s="79">
        <v>3187</v>
      </c>
      <c r="AU56" s="80" t="s">
        <v>496</v>
      </c>
      <c r="AV56" s="79">
        <v>6792</v>
      </c>
      <c r="AW56" s="79">
        <v>39571</v>
      </c>
      <c r="AX56" s="79">
        <v>31823</v>
      </c>
      <c r="AY56" s="79">
        <v>29096</v>
      </c>
      <c r="AZ56" s="79">
        <v>2523</v>
      </c>
      <c r="BA56" s="79">
        <v>7663</v>
      </c>
      <c r="BB56" s="79">
        <v>28785</v>
      </c>
      <c r="BC56" s="79">
        <v>2125</v>
      </c>
      <c r="BD56" s="79">
        <v>1265</v>
      </c>
      <c r="BE56" s="79">
        <v>3879</v>
      </c>
      <c r="BF56" s="79">
        <v>7875</v>
      </c>
      <c r="BG56" s="79">
        <v>6220</v>
      </c>
      <c r="BH56" s="79">
        <v>361</v>
      </c>
      <c r="BI56" s="79">
        <v>442</v>
      </c>
      <c r="BJ56" s="79">
        <v>387</v>
      </c>
      <c r="BK56" s="79">
        <v>562</v>
      </c>
      <c r="BL56" s="79">
        <v>10304</v>
      </c>
      <c r="BM56" s="79">
        <v>10497</v>
      </c>
      <c r="BN56" s="79">
        <v>2719</v>
      </c>
      <c r="BO56" s="79">
        <v>4306</v>
      </c>
    </row>
    <row r="57" spans="1:67" x14ac:dyDescent="0.35">
      <c r="A57" s="78" t="s">
        <v>513</v>
      </c>
      <c r="B57" s="79">
        <v>166411</v>
      </c>
      <c r="C57" s="79">
        <v>421</v>
      </c>
      <c r="D57" s="79">
        <v>444</v>
      </c>
      <c r="E57" s="79">
        <v>10</v>
      </c>
      <c r="F57" s="79">
        <v>64645</v>
      </c>
      <c r="G57" s="79">
        <v>11571</v>
      </c>
      <c r="H57" s="79">
        <v>11532</v>
      </c>
      <c r="I57" s="79">
        <v>38</v>
      </c>
      <c r="J57" s="79">
        <v>51199</v>
      </c>
      <c r="K57" s="79">
        <v>49408</v>
      </c>
      <c r="L57" s="79">
        <v>1781</v>
      </c>
      <c r="M57" s="79">
        <v>277</v>
      </c>
      <c r="N57" s="79">
        <v>41</v>
      </c>
      <c r="O57" s="79">
        <v>1431</v>
      </c>
      <c r="P57" s="80" t="s">
        <v>496</v>
      </c>
      <c r="Q57" s="79">
        <v>1596</v>
      </c>
      <c r="R57" s="79">
        <v>22</v>
      </c>
      <c r="S57" s="79">
        <v>171</v>
      </c>
      <c r="T57" s="79">
        <v>1388</v>
      </c>
      <c r="U57" s="79">
        <v>3477</v>
      </c>
      <c r="V57" s="79">
        <v>1633</v>
      </c>
      <c r="W57" s="79">
        <v>804</v>
      </c>
      <c r="X57" s="79">
        <v>727</v>
      </c>
      <c r="Y57" s="79">
        <v>113</v>
      </c>
      <c r="Z57" s="79">
        <v>1929</v>
      </c>
      <c r="AA57" s="79">
        <v>23919</v>
      </c>
      <c r="AB57" s="79">
        <v>6985</v>
      </c>
      <c r="AC57" s="79">
        <v>2182</v>
      </c>
      <c r="AD57" s="79">
        <v>14430</v>
      </c>
      <c r="AE57" s="79">
        <v>2242</v>
      </c>
      <c r="AF57" s="79">
        <v>3703</v>
      </c>
      <c r="AG57" s="79">
        <v>5328</v>
      </c>
      <c r="AH57" s="79">
        <v>2361</v>
      </c>
      <c r="AI57" s="79">
        <v>1051</v>
      </c>
      <c r="AJ57" s="79">
        <v>226</v>
      </c>
      <c r="AK57" s="79">
        <v>583</v>
      </c>
      <c r="AL57" s="79">
        <v>182</v>
      </c>
      <c r="AM57" s="79">
        <v>13243</v>
      </c>
      <c r="AN57" s="79">
        <v>88</v>
      </c>
      <c r="AO57" s="79">
        <v>589</v>
      </c>
      <c r="AP57" s="79">
        <v>580</v>
      </c>
      <c r="AQ57" s="79">
        <v>11910</v>
      </c>
      <c r="AR57" s="79">
        <v>2790</v>
      </c>
      <c r="AS57" s="79">
        <v>5801</v>
      </c>
      <c r="AT57" s="79">
        <v>3353</v>
      </c>
      <c r="AU57" s="80" t="s">
        <v>496</v>
      </c>
      <c r="AV57" s="79">
        <v>7285</v>
      </c>
      <c r="AW57" s="79">
        <v>39676</v>
      </c>
      <c r="AX57" s="79">
        <v>32082</v>
      </c>
      <c r="AY57" s="79">
        <v>29371</v>
      </c>
      <c r="AZ57" s="79">
        <v>2510</v>
      </c>
      <c r="BA57" s="79">
        <v>7496</v>
      </c>
      <c r="BB57" s="79">
        <v>29084</v>
      </c>
      <c r="BC57" s="79">
        <v>2150</v>
      </c>
      <c r="BD57" s="79">
        <v>1266</v>
      </c>
      <c r="BE57" s="79">
        <v>3914</v>
      </c>
      <c r="BF57" s="79">
        <v>7793</v>
      </c>
      <c r="BG57" s="79">
        <v>6025</v>
      </c>
      <c r="BH57" s="79">
        <v>436</v>
      </c>
      <c r="BI57" s="79">
        <v>526</v>
      </c>
      <c r="BJ57" s="79">
        <v>422</v>
      </c>
      <c r="BK57" s="79">
        <v>447</v>
      </c>
      <c r="BL57" s="79">
        <v>10389</v>
      </c>
      <c r="BM57" s="79">
        <v>10605</v>
      </c>
      <c r="BN57" s="79">
        <v>2737</v>
      </c>
      <c r="BO57" s="79">
        <v>4587</v>
      </c>
    </row>
    <row r="58" spans="1:67" x14ac:dyDescent="0.35">
      <c r="A58" s="78" t="s">
        <v>514</v>
      </c>
      <c r="B58" s="79">
        <v>166535</v>
      </c>
      <c r="C58" s="79">
        <v>414</v>
      </c>
      <c r="D58" s="79">
        <v>441</v>
      </c>
      <c r="E58" s="79">
        <v>9</v>
      </c>
      <c r="F58" s="79">
        <v>64674</v>
      </c>
      <c r="G58" s="79">
        <v>11560</v>
      </c>
      <c r="H58" s="79">
        <v>11523</v>
      </c>
      <c r="I58" s="79">
        <v>36</v>
      </c>
      <c r="J58" s="79">
        <v>51170</v>
      </c>
      <c r="K58" s="79">
        <v>49385</v>
      </c>
      <c r="L58" s="79">
        <v>1776</v>
      </c>
      <c r="M58" s="79">
        <v>339</v>
      </c>
      <c r="N58" s="79">
        <v>56</v>
      </c>
      <c r="O58" s="79">
        <v>1433</v>
      </c>
      <c r="P58" s="80" t="s">
        <v>496</v>
      </c>
      <c r="Q58" s="79">
        <v>1568</v>
      </c>
      <c r="R58" s="79">
        <v>23</v>
      </c>
      <c r="S58" s="79">
        <v>145</v>
      </c>
      <c r="T58" s="79">
        <v>1392</v>
      </c>
      <c r="U58" s="79">
        <v>3340</v>
      </c>
      <c r="V58" s="79">
        <v>1581</v>
      </c>
      <c r="W58" s="79">
        <v>741</v>
      </c>
      <c r="X58" s="79">
        <v>723</v>
      </c>
      <c r="Y58" s="79">
        <v>132</v>
      </c>
      <c r="Z58" s="79">
        <v>1832</v>
      </c>
      <c r="AA58" s="79">
        <v>22917</v>
      </c>
      <c r="AB58" s="79">
        <v>6995</v>
      </c>
      <c r="AC58" s="79">
        <v>2208</v>
      </c>
      <c r="AD58" s="79">
        <v>13454</v>
      </c>
      <c r="AE58" s="79">
        <v>2047</v>
      </c>
      <c r="AF58" s="79">
        <v>3694</v>
      </c>
      <c r="AG58" s="79">
        <v>5371</v>
      </c>
      <c r="AH58" s="79">
        <v>1202</v>
      </c>
      <c r="AI58" s="79">
        <v>1039</v>
      </c>
      <c r="AJ58" s="79">
        <v>235</v>
      </c>
      <c r="AK58" s="79">
        <v>580</v>
      </c>
      <c r="AL58" s="79">
        <v>190</v>
      </c>
      <c r="AM58" s="79">
        <v>13194</v>
      </c>
      <c r="AN58" s="79">
        <v>97</v>
      </c>
      <c r="AO58" s="79">
        <v>600</v>
      </c>
      <c r="AP58" s="79">
        <v>556</v>
      </c>
      <c r="AQ58" s="79">
        <v>11862</v>
      </c>
      <c r="AR58" s="79">
        <v>2849</v>
      </c>
      <c r="AS58" s="79">
        <v>5786</v>
      </c>
      <c r="AT58" s="79">
        <v>3279</v>
      </c>
      <c r="AU58" s="80" t="s">
        <v>496</v>
      </c>
      <c r="AV58" s="79">
        <v>7201</v>
      </c>
      <c r="AW58" s="79">
        <v>40172</v>
      </c>
      <c r="AX58" s="79">
        <v>32340</v>
      </c>
      <c r="AY58" s="79">
        <v>29615</v>
      </c>
      <c r="AZ58" s="79">
        <v>2524</v>
      </c>
      <c r="BA58" s="79">
        <v>7745</v>
      </c>
      <c r="BB58" s="79">
        <v>29413</v>
      </c>
      <c r="BC58" s="79">
        <v>2188</v>
      </c>
      <c r="BD58" s="79">
        <v>1273</v>
      </c>
      <c r="BE58" s="79">
        <v>3972</v>
      </c>
      <c r="BF58" s="79">
        <v>6232</v>
      </c>
      <c r="BG58" s="79">
        <v>5417</v>
      </c>
      <c r="BH58" s="79">
        <v>256</v>
      </c>
      <c r="BI58" s="79">
        <v>286</v>
      </c>
      <c r="BJ58" s="79">
        <v>218</v>
      </c>
      <c r="BK58" s="79">
        <v>227</v>
      </c>
      <c r="BL58" s="79">
        <v>10697</v>
      </c>
      <c r="BM58" s="79">
        <v>10741</v>
      </c>
      <c r="BN58" s="79">
        <v>2863</v>
      </c>
      <c r="BO58" s="79">
        <v>6209</v>
      </c>
    </row>
    <row r="59" spans="1:67" x14ac:dyDescent="0.35">
      <c r="A59" s="78" t="s">
        <v>515</v>
      </c>
      <c r="B59" s="79">
        <v>165724</v>
      </c>
      <c r="C59" s="79">
        <v>393</v>
      </c>
      <c r="D59" s="79">
        <v>411</v>
      </c>
      <c r="E59" s="79">
        <v>11</v>
      </c>
      <c r="F59" s="79">
        <v>65275</v>
      </c>
      <c r="G59" s="79">
        <v>11499</v>
      </c>
      <c r="H59" s="79">
        <v>11461</v>
      </c>
      <c r="I59" s="79">
        <v>37</v>
      </c>
      <c r="J59" s="79">
        <v>51835</v>
      </c>
      <c r="K59" s="79">
        <v>50046</v>
      </c>
      <c r="L59" s="79">
        <v>1779</v>
      </c>
      <c r="M59" s="79">
        <v>327</v>
      </c>
      <c r="N59" s="79">
        <v>66</v>
      </c>
      <c r="O59" s="79">
        <v>1411</v>
      </c>
      <c r="P59" s="80" t="s">
        <v>496</v>
      </c>
      <c r="Q59" s="79">
        <v>1592</v>
      </c>
      <c r="R59" s="79">
        <v>26</v>
      </c>
      <c r="S59" s="79">
        <v>154</v>
      </c>
      <c r="T59" s="79">
        <v>1401</v>
      </c>
      <c r="U59" s="79">
        <v>3989</v>
      </c>
      <c r="V59" s="79">
        <v>1924</v>
      </c>
      <c r="W59" s="79">
        <v>1070</v>
      </c>
      <c r="X59" s="79">
        <v>681</v>
      </c>
      <c r="Y59" s="79">
        <v>136</v>
      </c>
      <c r="Z59" s="79">
        <v>2131</v>
      </c>
      <c r="AA59" s="79">
        <v>21533</v>
      </c>
      <c r="AB59" s="79">
        <v>6735</v>
      </c>
      <c r="AC59" s="79">
        <v>2154</v>
      </c>
      <c r="AD59" s="79">
        <v>12425</v>
      </c>
      <c r="AE59" s="79">
        <v>2025</v>
      </c>
      <c r="AF59" s="79">
        <v>3626</v>
      </c>
      <c r="AG59" s="79">
        <v>4263</v>
      </c>
      <c r="AH59" s="79">
        <v>1674</v>
      </c>
      <c r="AI59" s="79">
        <v>993</v>
      </c>
      <c r="AJ59" s="79">
        <v>242</v>
      </c>
      <c r="AK59" s="79">
        <v>712</v>
      </c>
      <c r="AL59" s="79">
        <v>194</v>
      </c>
      <c r="AM59" s="79">
        <v>12907</v>
      </c>
      <c r="AN59" s="79">
        <v>94</v>
      </c>
      <c r="AO59" s="79">
        <v>595</v>
      </c>
      <c r="AP59" s="79">
        <v>521</v>
      </c>
      <c r="AQ59" s="79">
        <v>11616</v>
      </c>
      <c r="AR59" s="79">
        <v>2977</v>
      </c>
      <c r="AS59" s="79">
        <v>5256</v>
      </c>
      <c r="AT59" s="79">
        <v>3434</v>
      </c>
      <c r="AU59" s="80" t="s">
        <v>496</v>
      </c>
      <c r="AV59" s="79">
        <v>7007</v>
      </c>
      <c r="AW59" s="79">
        <v>39864</v>
      </c>
      <c r="AX59" s="79">
        <v>31892</v>
      </c>
      <c r="AY59" s="79">
        <v>29453</v>
      </c>
      <c r="AZ59" s="79">
        <v>2273</v>
      </c>
      <c r="BA59" s="79">
        <v>7897</v>
      </c>
      <c r="BB59" s="79">
        <v>28949</v>
      </c>
      <c r="BC59" s="79">
        <v>2260</v>
      </c>
      <c r="BD59" s="79">
        <v>1260</v>
      </c>
      <c r="BE59" s="79">
        <v>3832</v>
      </c>
      <c r="BF59" s="79">
        <v>6762</v>
      </c>
      <c r="BG59" s="79">
        <v>4666</v>
      </c>
      <c r="BH59" s="79">
        <v>533</v>
      </c>
      <c r="BI59" s="79">
        <v>608</v>
      </c>
      <c r="BJ59" s="79">
        <v>506</v>
      </c>
      <c r="BK59" s="79">
        <v>386</v>
      </c>
      <c r="BL59" s="79">
        <v>10816</v>
      </c>
      <c r="BM59" s="79">
        <v>11005</v>
      </c>
      <c r="BN59" s="79">
        <v>2856</v>
      </c>
      <c r="BO59" s="79">
        <v>4815</v>
      </c>
    </row>
    <row r="60" spans="1:67" x14ac:dyDescent="0.35">
      <c r="A60" s="78" t="s">
        <v>516</v>
      </c>
      <c r="B60" s="79">
        <v>166056</v>
      </c>
      <c r="C60" s="79">
        <v>339</v>
      </c>
      <c r="D60" s="79">
        <v>346</v>
      </c>
      <c r="E60" s="79">
        <v>12</v>
      </c>
      <c r="F60" s="79">
        <v>65703</v>
      </c>
      <c r="G60" s="79">
        <v>11498</v>
      </c>
      <c r="H60" s="79">
        <v>11461</v>
      </c>
      <c r="I60" s="79">
        <v>37</v>
      </c>
      <c r="J60" s="79">
        <v>52244</v>
      </c>
      <c r="K60" s="79">
        <v>50445</v>
      </c>
      <c r="L60" s="79">
        <v>1789</v>
      </c>
      <c r="M60" s="79">
        <v>341</v>
      </c>
      <c r="N60" s="79">
        <v>75</v>
      </c>
      <c r="O60" s="79">
        <v>1400</v>
      </c>
      <c r="P60" s="80" t="s">
        <v>496</v>
      </c>
      <c r="Q60" s="79">
        <v>1519</v>
      </c>
      <c r="R60" s="79">
        <v>27</v>
      </c>
      <c r="S60" s="79">
        <v>155</v>
      </c>
      <c r="T60" s="79">
        <v>1322</v>
      </c>
      <c r="U60" s="79">
        <v>3803</v>
      </c>
      <c r="V60" s="79">
        <v>1877</v>
      </c>
      <c r="W60" s="79">
        <v>1058</v>
      </c>
      <c r="X60" s="79">
        <v>635</v>
      </c>
      <c r="Y60" s="79">
        <v>140</v>
      </c>
      <c r="Z60" s="79">
        <v>1963</v>
      </c>
      <c r="AA60" s="79">
        <v>21979</v>
      </c>
      <c r="AB60" s="79">
        <v>6597</v>
      </c>
      <c r="AC60" s="79">
        <v>2120</v>
      </c>
      <c r="AD60" s="79">
        <v>12999</v>
      </c>
      <c r="AE60" s="79">
        <v>2042</v>
      </c>
      <c r="AF60" s="79">
        <v>3532</v>
      </c>
      <c r="AG60" s="79">
        <v>4581</v>
      </c>
      <c r="AH60" s="79">
        <v>2074</v>
      </c>
      <c r="AI60" s="79">
        <v>1004</v>
      </c>
      <c r="AJ60" s="79">
        <v>243</v>
      </c>
      <c r="AK60" s="79">
        <v>677</v>
      </c>
      <c r="AL60" s="79">
        <v>195</v>
      </c>
      <c r="AM60" s="79">
        <v>13429</v>
      </c>
      <c r="AN60" s="79">
        <v>90</v>
      </c>
      <c r="AO60" s="79">
        <v>593</v>
      </c>
      <c r="AP60" s="79">
        <v>483</v>
      </c>
      <c r="AQ60" s="79">
        <v>12183</v>
      </c>
      <c r="AR60" s="79">
        <v>3040</v>
      </c>
      <c r="AS60" s="79">
        <v>5695</v>
      </c>
      <c r="AT60" s="79">
        <v>3500</v>
      </c>
      <c r="AU60" s="80" t="s">
        <v>496</v>
      </c>
      <c r="AV60" s="79">
        <v>7257</v>
      </c>
      <c r="AW60" s="79">
        <v>38998</v>
      </c>
      <c r="AX60" s="79">
        <v>31582</v>
      </c>
      <c r="AY60" s="79">
        <v>29342</v>
      </c>
      <c r="AZ60" s="79">
        <v>2099</v>
      </c>
      <c r="BA60" s="79">
        <v>7319</v>
      </c>
      <c r="BB60" s="79">
        <v>28888</v>
      </c>
      <c r="BC60" s="79">
        <v>2297</v>
      </c>
      <c r="BD60" s="79">
        <v>1270</v>
      </c>
      <c r="BE60" s="79">
        <v>3869</v>
      </c>
      <c r="BF60" s="79">
        <v>6833</v>
      </c>
      <c r="BG60" s="79">
        <v>4156</v>
      </c>
      <c r="BH60" s="79">
        <v>544</v>
      </c>
      <c r="BI60" s="79">
        <v>666</v>
      </c>
      <c r="BJ60" s="79">
        <v>584</v>
      </c>
      <c r="BK60" s="79">
        <v>708</v>
      </c>
      <c r="BL60" s="79">
        <v>10860</v>
      </c>
      <c r="BM60" s="79">
        <v>11130</v>
      </c>
      <c r="BN60" s="79">
        <v>2848</v>
      </c>
      <c r="BO60" s="79">
        <v>4474</v>
      </c>
    </row>
    <row r="61" spans="1:67" x14ac:dyDescent="0.35">
      <c r="A61" s="78" t="s">
        <v>517</v>
      </c>
      <c r="B61" s="79">
        <v>168229</v>
      </c>
      <c r="C61" s="79">
        <v>303</v>
      </c>
      <c r="D61" s="79">
        <v>301</v>
      </c>
      <c r="E61" s="79">
        <v>14</v>
      </c>
      <c r="F61" s="79">
        <v>66002</v>
      </c>
      <c r="G61" s="79">
        <v>11603</v>
      </c>
      <c r="H61" s="79">
        <v>11567</v>
      </c>
      <c r="I61" s="79">
        <v>35</v>
      </c>
      <c r="J61" s="79">
        <v>52428</v>
      </c>
      <c r="K61" s="79">
        <v>50593</v>
      </c>
      <c r="L61" s="79">
        <v>1826</v>
      </c>
      <c r="M61" s="79">
        <v>354</v>
      </c>
      <c r="N61" s="79">
        <v>64</v>
      </c>
      <c r="O61" s="79">
        <v>1410</v>
      </c>
      <c r="P61" s="80" t="s">
        <v>496</v>
      </c>
      <c r="Q61" s="79">
        <v>1506</v>
      </c>
      <c r="R61" s="79">
        <v>26</v>
      </c>
      <c r="S61" s="79">
        <v>153</v>
      </c>
      <c r="T61" s="79">
        <v>1315</v>
      </c>
      <c r="U61" s="79">
        <v>3678</v>
      </c>
      <c r="V61" s="79">
        <v>1837</v>
      </c>
      <c r="W61" s="79">
        <v>1052</v>
      </c>
      <c r="X61" s="79">
        <v>612</v>
      </c>
      <c r="Y61" s="79">
        <v>128</v>
      </c>
      <c r="Z61" s="79">
        <v>1865</v>
      </c>
      <c r="AA61" s="79">
        <v>21666</v>
      </c>
      <c r="AB61" s="79">
        <v>6631</v>
      </c>
      <c r="AC61" s="79">
        <v>2206</v>
      </c>
      <c r="AD61" s="79">
        <v>12596</v>
      </c>
      <c r="AE61" s="79">
        <v>2034</v>
      </c>
      <c r="AF61" s="79">
        <v>3481</v>
      </c>
      <c r="AG61" s="79">
        <v>4576</v>
      </c>
      <c r="AH61" s="79">
        <v>1576</v>
      </c>
      <c r="AI61" s="79">
        <v>1029</v>
      </c>
      <c r="AJ61" s="79">
        <v>254</v>
      </c>
      <c r="AK61" s="79">
        <v>698</v>
      </c>
      <c r="AL61" s="79">
        <v>204</v>
      </c>
      <c r="AM61" s="79">
        <v>13709</v>
      </c>
      <c r="AN61" s="79">
        <v>91</v>
      </c>
      <c r="AO61" s="79">
        <v>607</v>
      </c>
      <c r="AP61" s="79">
        <v>499</v>
      </c>
      <c r="AQ61" s="79">
        <v>12429</v>
      </c>
      <c r="AR61" s="79">
        <v>2962</v>
      </c>
      <c r="AS61" s="79">
        <v>5924</v>
      </c>
      <c r="AT61" s="79">
        <v>3578</v>
      </c>
      <c r="AU61" s="80" t="s">
        <v>496</v>
      </c>
      <c r="AV61" s="79">
        <v>7385</v>
      </c>
      <c r="AW61" s="79">
        <v>39842</v>
      </c>
      <c r="AX61" s="79">
        <v>32071</v>
      </c>
      <c r="AY61" s="79">
        <v>29813</v>
      </c>
      <c r="AZ61" s="79">
        <v>2118</v>
      </c>
      <c r="BA61" s="79">
        <v>7681</v>
      </c>
      <c r="BB61" s="79">
        <v>29943</v>
      </c>
      <c r="BC61" s="79">
        <v>2326</v>
      </c>
      <c r="BD61" s="79">
        <v>1289</v>
      </c>
      <c r="BE61" s="79">
        <v>4015</v>
      </c>
      <c r="BF61" s="79">
        <v>7108</v>
      </c>
      <c r="BG61" s="79">
        <v>4107</v>
      </c>
      <c r="BH61" s="79">
        <v>551</v>
      </c>
      <c r="BI61" s="79">
        <v>698</v>
      </c>
      <c r="BJ61" s="79">
        <v>586</v>
      </c>
      <c r="BK61" s="79">
        <v>947</v>
      </c>
      <c r="BL61" s="79">
        <v>11304</v>
      </c>
      <c r="BM61" s="79">
        <v>11388</v>
      </c>
      <c r="BN61" s="79">
        <v>3020</v>
      </c>
      <c r="BO61" s="79">
        <v>4626</v>
      </c>
    </row>
    <row r="62" spans="1:67" x14ac:dyDescent="0.35">
      <c r="A62" s="78" t="s">
        <v>518</v>
      </c>
      <c r="B62" s="79">
        <v>168631</v>
      </c>
      <c r="C62" s="79">
        <v>288</v>
      </c>
      <c r="D62" s="79">
        <v>285</v>
      </c>
      <c r="E62" s="79">
        <v>14</v>
      </c>
      <c r="F62" s="79">
        <v>65894</v>
      </c>
      <c r="G62" s="79">
        <v>11639</v>
      </c>
      <c r="H62" s="79">
        <v>11601</v>
      </c>
      <c r="I62" s="79">
        <v>37</v>
      </c>
      <c r="J62" s="79">
        <v>52290</v>
      </c>
      <c r="K62" s="79">
        <v>50436</v>
      </c>
      <c r="L62" s="79">
        <v>1845</v>
      </c>
      <c r="M62" s="79">
        <v>355</v>
      </c>
      <c r="N62" s="79">
        <v>50</v>
      </c>
      <c r="O62" s="79">
        <v>1421</v>
      </c>
      <c r="P62" s="80" t="s">
        <v>496</v>
      </c>
      <c r="Q62" s="79">
        <v>1429</v>
      </c>
      <c r="R62" s="79">
        <v>9</v>
      </c>
      <c r="S62" s="79">
        <v>159</v>
      </c>
      <c r="T62" s="79">
        <v>1247</v>
      </c>
      <c r="U62" s="79">
        <v>3679</v>
      </c>
      <c r="V62" s="79">
        <v>1854</v>
      </c>
      <c r="W62" s="79">
        <v>1041</v>
      </c>
      <c r="X62" s="79">
        <v>627</v>
      </c>
      <c r="Y62" s="79">
        <v>146</v>
      </c>
      <c r="Z62" s="79">
        <v>1837</v>
      </c>
      <c r="AA62" s="79">
        <v>21134</v>
      </c>
      <c r="AB62" s="79">
        <v>6752</v>
      </c>
      <c r="AC62" s="79">
        <v>2233</v>
      </c>
      <c r="AD62" s="79">
        <v>11967</v>
      </c>
      <c r="AE62" s="79">
        <v>1988</v>
      </c>
      <c r="AF62" s="79">
        <v>3409</v>
      </c>
      <c r="AG62" s="79">
        <v>4292</v>
      </c>
      <c r="AH62" s="79">
        <v>1336</v>
      </c>
      <c r="AI62" s="79">
        <v>999</v>
      </c>
      <c r="AJ62" s="79">
        <v>265</v>
      </c>
      <c r="AK62" s="79">
        <v>633</v>
      </c>
      <c r="AL62" s="79">
        <v>214</v>
      </c>
      <c r="AM62" s="79">
        <v>13162</v>
      </c>
      <c r="AN62" s="79">
        <v>93</v>
      </c>
      <c r="AO62" s="79">
        <v>615</v>
      </c>
      <c r="AP62" s="79">
        <v>491</v>
      </c>
      <c r="AQ62" s="79">
        <v>11878</v>
      </c>
      <c r="AR62" s="79">
        <v>3005</v>
      </c>
      <c r="AS62" s="79">
        <v>5302</v>
      </c>
      <c r="AT62" s="79">
        <v>3608</v>
      </c>
      <c r="AU62" s="80" t="s">
        <v>496</v>
      </c>
      <c r="AV62" s="79">
        <v>7212</v>
      </c>
      <c r="AW62" s="79">
        <v>39282</v>
      </c>
      <c r="AX62" s="79">
        <v>32150</v>
      </c>
      <c r="AY62" s="79">
        <v>29939</v>
      </c>
      <c r="AZ62" s="79">
        <v>2079</v>
      </c>
      <c r="BA62" s="79">
        <v>7013</v>
      </c>
      <c r="BB62" s="79">
        <v>31620</v>
      </c>
      <c r="BC62" s="79">
        <v>2259</v>
      </c>
      <c r="BD62" s="79">
        <v>1288</v>
      </c>
      <c r="BE62" s="79">
        <v>3793</v>
      </c>
      <c r="BF62" s="79">
        <v>7194</v>
      </c>
      <c r="BG62" s="79">
        <v>4454</v>
      </c>
      <c r="BH62" s="79">
        <v>581</v>
      </c>
      <c r="BI62" s="79">
        <v>691</v>
      </c>
      <c r="BJ62" s="79">
        <v>574</v>
      </c>
      <c r="BK62" s="79">
        <v>729</v>
      </c>
      <c r="BL62" s="79">
        <v>13005</v>
      </c>
      <c r="BM62" s="79">
        <v>11523</v>
      </c>
      <c r="BN62" s="79">
        <v>3922</v>
      </c>
      <c r="BO62" s="79">
        <v>4171</v>
      </c>
    </row>
    <row r="63" spans="1:67" x14ac:dyDescent="0.35">
      <c r="A63" s="78" t="s">
        <v>519</v>
      </c>
      <c r="B63" s="79">
        <v>169237</v>
      </c>
      <c r="C63" s="79">
        <v>299</v>
      </c>
      <c r="D63" s="79">
        <v>296</v>
      </c>
      <c r="E63" s="79">
        <v>14</v>
      </c>
      <c r="F63" s="79">
        <v>66115</v>
      </c>
      <c r="G63" s="79">
        <v>11789</v>
      </c>
      <c r="H63" s="79">
        <v>11750</v>
      </c>
      <c r="I63" s="79">
        <v>38</v>
      </c>
      <c r="J63" s="79">
        <v>52293</v>
      </c>
      <c r="K63" s="79">
        <v>50428</v>
      </c>
      <c r="L63" s="79">
        <v>1855</v>
      </c>
      <c r="M63" s="79">
        <v>378</v>
      </c>
      <c r="N63" s="79">
        <v>98</v>
      </c>
      <c r="O63" s="79">
        <v>1446</v>
      </c>
      <c r="P63" s="80" t="s">
        <v>496</v>
      </c>
      <c r="Q63" s="79">
        <v>1531</v>
      </c>
      <c r="R63" s="79">
        <v>13</v>
      </c>
      <c r="S63" s="79">
        <v>151</v>
      </c>
      <c r="T63" s="79">
        <v>1357</v>
      </c>
      <c r="U63" s="79">
        <v>3953</v>
      </c>
      <c r="V63" s="79">
        <v>1971</v>
      </c>
      <c r="W63" s="79">
        <v>1097</v>
      </c>
      <c r="X63" s="79">
        <v>654</v>
      </c>
      <c r="Y63" s="79">
        <v>173</v>
      </c>
      <c r="Z63" s="79">
        <v>2009</v>
      </c>
      <c r="AA63" s="79">
        <v>21856</v>
      </c>
      <c r="AB63" s="79">
        <v>7021</v>
      </c>
      <c r="AC63" s="79">
        <v>2249</v>
      </c>
      <c r="AD63" s="79">
        <v>12399</v>
      </c>
      <c r="AE63" s="79">
        <v>1938</v>
      </c>
      <c r="AF63" s="79">
        <v>3437</v>
      </c>
      <c r="AG63" s="79">
        <v>4505</v>
      </c>
      <c r="AH63" s="79">
        <v>1595</v>
      </c>
      <c r="AI63" s="79">
        <v>1015</v>
      </c>
      <c r="AJ63" s="79">
        <v>271</v>
      </c>
      <c r="AK63" s="79">
        <v>518</v>
      </c>
      <c r="AL63" s="79">
        <v>222</v>
      </c>
      <c r="AM63" s="79">
        <v>14251</v>
      </c>
      <c r="AN63" s="79">
        <v>89</v>
      </c>
      <c r="AO63" s="79">
        <v>617</v>
      </c>
      <c r="AP63" s="79">
        <v>512</v>
      </c>
      <c r="AQ63" s="79">
        <v>12949</v>
      </c>
      <c r="AR63" s="79">
        <v>3183</v>
      </c>
      <c r="AS63" s="79">
        <v>6070</v>
      </c>
      <c r="AT63" s="79">
        <v>3740</v>
      </c>
      <c r="AU63" s="80" t="s">
        <v>496</v>
      </c>
      <c r="AV63" s="79">
        <v>7239</v>
      </c>
      <c r="AW63" s="79">
        <v>39453</v>
      </c>
      <c r="AX63" s="79">
        <v>32104</v>
      </c>
      <c r="AY63" s="79">
        <v>29959</v>
      </c>
      <c r="AZ63" s="79">
        <v>2020</v>
      </c>
      <c r="BA63" s="79">
        <v>7240</v>
      </c>
      <c r="BB63" s="79">
        <v>29906</v>
      </c>
      <c r="BC63" s="79">
        <v>2239</v>
      </c>
      <c r="BD63" s="79">
        <v>1277</v>
      </c>
      <c r="BE63" s="79">
        <v>3702</v>
      </c>
      <c r="BF63" s="79">
        <v>5761</v>
      </c>
      <c r="BG63" s="79">
        <v>3270</v>
      </c>
      <c r="BH63" s="79">
        <v>577</v>
      </c>
      <c r="BI63" s="79">
        <v>605</v>
      </c>
      <c r="BJ63" s="79">
        <v>410</v>
      </c>
      <c r="BK63" s="79">
        <v>704</v>
      </c>
      <c r="BL63" s="79">
        <v>13028</v>
      </c>
      <c r="BM63" s="79">
        <v>11754</v>
      </c>
      <c r="BN63" s="79">
        <v>3851</v>
      </c>
      <c r="BO63" s="79">
        <v>4174</v>
      </c>
    </row>
    <row r="64" spans="1:67" x14ac:dyDescent="0.35">
      <c r="A64" s="78" t="s">
        <v>520</v>
      </c>
      <c r="B64" s="79">
        <v>169682</v>
      </c>
      <c r="C64" s="79">
        <v>304</v>
      </c>
      <c r="D64" s="79">
        <v>304</v>
      </c>
      <c r="E64" s="79">
        <v>14</v>
      </c>
      <c r="F64" s="79">
        <v>66342</v>
      </c>
      <c r="G64" s="79">
        <v>12002</v>
      </c>
      <c r="H64" s="79">
        <v>11962</v>
      </c>
      <c r="I64" s="79">
        <v>39</v>
      </c>
      <c r="J64" s="79">
        <v>52327</v>
      </c>
      <c r="K64" s="79">
        <v>50438</v>
      </c>
      <c r="L64" s="79">
        <v>1880</v>
      </c>
      <c r="M64" s="79">
        <v>354</v>
      </c>
      <c r="N64" s="79">
        <v>102</v>
      </c>
      <c r="O64" s="79">
        <v>1462</v>
      </c>
      <c r="P64" s="80" t="s">
        <v>496</v>
      </c>
      <c r="Q64" s="79">
        <v>1285</v>
      </c>
      <c r="R64" s="79">
        <v>3</v>
      </c>
      <c r="S64" s="79">
        <v>135</v>
      </c>
      <c r="T64" s="79">
        <v>1138</v>
      </c>
      <c r="U64" s="79">
        <v>3851</v>
      </c>
      <c r="V64" s="79">
        <v>1958</v>
      </c>
      <c r="W64" s="79">
        <v>1042</v>
      </c>
      <c r="X64" s="79">
        <v>681</v>
      </c>
      <c r="Y64" s="79">
        <v>198</v>
      </c>
      <c r="Z64" s="79">
        <v>1896</v>
      </c>
      <c r="AA64" s="79">
        <v>21786</v>
      </c>
      <c r="AB64" s="79">
        <v>7206</v>
      </c>
      <c r="AC64" s="79">
        <v>2261</v>
      </c>
      <c r="AD64" s="79">
        <v>12169</v>
      </c>
      <c r="AE64" s="79">
        <v>1916</v>
      </c>
      <c r="AF64" s="79">
        <v>3332</v>
      </c>
      <c r="AG64" s="79">
        <v>4282</v>
      </c>
      <c r="AH64" s="79">
        <v>1843</v>
      </c>
      <c r="AI64" s="79">
        <v>1014</v>
      </c>
      <c r="AJ64" s="79">
        <v>279</v>
      </c>
      <c r="AK64" s="79">
        <v>453</v>
      </c>
      <c r="AL64" s="79">
        <v>230</v>
      </c>
      <c r="AM64" s="79">
        <v>14167</v>
      </c>
      <c r="AN64" s="79">
        <v>74</v>
      </c>
      <c r="AO64" s="79">
        <v>624</v>
      </c>
      <c r="AP64" s="79">
        <v>490</v>
      </c>
      <c r="AQ64" s="79">
        <v>12899</v>
      </c>
      <c r="AR64" s="79">
        <v>3131</v>
      </c>
      <c r="AS64" s="79">
        <v>6085</v>
      </c>
      <c r="AT64" s="79">
        <v>3726</v>
      </c>
      <c r="AU64" s="80" t="s">
        <v>496</v>
      </c>
      <c r="AV64" s="79">
        <v>7274</v>
      </c>
      <c r="AW64" s="79">
        <v>39469</v>
      </c>
      <c r="AX64" s="79">
        <v>31796</v>
      </c>
      <c r="AY64" s="79">
        <v>29872</v>
      </c>
      <c r="AZ64" s="79">
        <v>1830</v>
      </c>
      <c r="BA64" s="79">
        <v>7585</v>
      </c>
      <c r="BB64" s="79">
        <v>30348</v>
      </c>
      <c r="BC64" s="79">
        <v>2258</v>
      </c>
      <c r="BD64" s="79">
        <v>1283</v>
      </c>
      <c r="BE64" s="79">
        <v>3909</v>
      </c>
      <c r="BF64" s="79">
        <v>5568</v>
      </c>
      <c r="BG64" s="79">
        <v>2820</v>
      </c>
      <c r="BH64" s="79">
        <v>571</v>
      </c>
      <c r="BI64" s="79">
        <v>658</v>
      </c>
      <c r="BJ64" s="79">
        <v>507</v>
      </c>
      <c r="BK64" s="79">
        <v>744</v>
      </c>
      <c r="BL64" s="79">
        <v>13280</v>
      </c>
      <c r="BM64" s="79">
        <v>11942</v>
      </c>
      <c r="BN64" s="79">
        <v>3923</v>
      </c>
      <c r="BO64" s="79">
        <v>4480</v>
      </c>
    </row>
    <row r="65" spans="1:67" x14ac:dyDescent="0.35">
      <c r="A65" s="78" t="s">
        <v>521</v>
      </c>
      <c r="B65" s="79">
        <v>170970</v>
      </c>
      <c r="C65" s="79">
        <v>297</v>
      </c>
      <c r="D65" s="79">
        <v>294</v>
      </c>
      <c r="E65" s="79">
        <v>14</v>
      </c>
      <c r="F65" s="79">
        <v>66771</v>
      </c>
      <c r="G65" s="79">
        <v>12323</v>
      </c>
      <c r="H65" s="79">
        <v>12282</v>
      </c>
      <c r="I65" s="79">
        <v>41</v>
      </c>
      <c r="J65" s="79">
        <v>52442</v>
      </c>
      <c r="K65" s="79">
        <v>50521</v>
      </c>
      <c r="L65" s="79">
        <v>1913</v>
      </c>
      <c r="M65" s="79">
        <v>356</v>
      </c>
      <c r="N65" s="79">
        <v>96</v>
      </c>
      <c r="O65" s="79">
        <v>1469</v>
      </c>
      <c r="P65" s="80" t="s">
        <v>496</v>
      </c>
      <c r="Q65" s="79">
        <v>1227</v>
      </c>
      <c r="R65" s="79">
        <v>4</v>
      </c>
      <c r="S65" s="79">
        <v>119</v>
      </c>
      <c r="T65" s="79">
        <v>1100</v>
      </c>
      <c r="U65" s="79">
        <v>3721</v>
      </c>
      <c r="V65" s="79">
        <v>1891</v>
      </c>
      <c r="W65" s="79">
        <v>999</v>
      </c>
      <c r="X65" s="79">
        <v>689</v>
      </c>
      <c r="Y65" s="79">
        <v>175</v>
      </c>
      <c r="Z65" s="79">
        <v>1834</v>
      </c>
      <c r="AA65" s="79">
        <v>22094</v>
      </c>
      <c r="AB65" s="79">
        <v>7304</v>
      </c>
      <c r="AC65" s="79">
        <v>2270</v>
      </c>
      <c r="AD65" s="79">
        <v>12367</v>
      </c>
      <c r="AE65" s="79">
        <v>1889</v>
      </c>
      <c r="AF65" s="79">
        <v>3321</v>
      </c>
      <c r="AG65" s="79">
        <v>4458</v>
      </c>
      <c r="AH65" s="79">
        <v>1894</v>
      </c>
      <c r="AI65" s="79">
        <v>987</v>
      </c>
      <c r="AJ65" s="79">
        <v>293</v>
      </c>
      <c r="AK65" s="79">
        <v>422</v>
      </c>
      <c r="AL65" s="79">
        <v>242</v>
      </c>
      <c r="AM65" s="79">
        <v>14585</v>
      </c>
      <c r="AN65" s="79">
        <v>63</v>
      </c>
      <c r="AO65" s="79">
        <v>631</v>
      </c>
      <c r="AP65" s="79">
        <v>509</v>
      </c>
      <c r="AQ65" s="79">
        <v>13306</v>
      </c>
      <c r="AR65" s="79">
        <v>3529</v>
      </c>
      <c r="AS65" s="79">
        <v>6046</v>
      </c>
      <c r="AT65" s="79">
        <v>3803</v>
      </c>
      <c r="AU65" s="80" t="s">
        <v>496</v>
      </c>
      <c r="AV65" s="79">
        <v>7263</v>
      </c>
      <c r="AW65" s="79">
        <v>40012</v>
      </c>
      <c r="AX65" s="79">
        <v>32093</v>
      </c>
      <c r="AY65" s="79">
        <v>30105</v>
      </c>
      <c r="AZ65" s="79">
        <v>1886</v>
      </c>
      <c r="BA65" s="79">
        <v>7839</v>
      </c>
      <c r="BB65" s="79">
        <v>30031</v>
      </c>
      <c r="BC65" s="79">
        <v>2273</v>
      </c>
      <c r="BD65" s="79">
        <v>1288</v>
      </c>
      <c r="BE65" s="79">
        <v>3298</v>
      </c>
      <c r="BF65" s="79">
        <v>5771</v>
      </c>
      <c r="BG65" s="79">
        <v>2588</v>
      </c>
      <c r="BH65" s="79">
        <v>606</v>
      </c>
      <c r="BI65" s="79">
        <v>777</v>
      </c>
      <c r="BJ65" s="79">
        <v>684</v>
      </c>
      <c r="BK65" s="79">
        <v>765</v>
      </c>
      <c r="BL65" s="79">
        <v>13402</v>
      </c>
      <c r="BM65" s="79">
        <v>12182</v>
      </c>
      <c r="BN65" s="79">
        <v>3920</v>
      </c>
      <c r="BO65" s="79">
        <v>4239</v>
      </c>
    </row>
    <row r="66" spans="1:67" x14ac:dyDescent="0.35">
      <c r="A66" s="78" t="s">
        <v>522</v>
      </c>
      <c r="B66" s="79">
        <v>172053</v>
      </c>
      <c r="C66" s="79">
        <v>278</v>
      </c>
      <c r="D66" s="79">
        <v>277</v>
      </c>
      <c r="E66" s="79">
        <v>13</v>
      </c>
      <c r="F66" s="79">
        <v>67253</v>
      </c>
      <c r="G66" s="79">
        <v>12666</v>
      </c>
      <c r="H66" s="79">
        <v>12624</v>
      </c>
      <c r="I66" s="79">
        <v>41</v>
      </c>
      <c r="J66" s="79">
        <v>52629</v>
      </c>
      <c r="K66" s="79">
        <v>50674</v>
      </c>
      <c r="L66" s="79">
        <v>1948</v>
      </c>
      <c r="M66" s="79">
        <v>336</v>
      </c>
      <c r="N66" s="79">
        <v>82</v>
      </c>
      <c r="O66" s="79">
        <v>1461</v>
      </c>
      <c r="P66" s="80" t="s">
        <v>496</v>
      </c>
      <c r="Q66" s="79">
        <v>1305</v>
      </c>
      <c r="R66" s="79">
        <v>4</v>
      </c>
      <c r="S66" s="79">
        <v>117</v>
      </c>
      <c r="T66" s="79">
        <v>1183</v>
      </c>
      <c r="U66" s="79">
        <v>3613</v>
      </c>
      <c r="V66" s="79">
        <v>1808</v>
      </c>
      <c r="W66" s="79">
        <v>969</v>
      </c>
      <c r="X66" s="79">
        <v>663</v>
      </c>
      <c r="Y66" s="79">
        <v>149</v>
      </c>
      <c r="Z66" s="79">
        <v>1825</v>
      </c>
      <c r="AA66" s="79">
        <v>22126</v>
      </c>
      <c r="AB66" s="79">
        <v>7305</v>
      </c>
      <c r="AC66" s="79">
        <v>2196</v>
      </c>
      <c r="AD66" s="79">
        <v>12458</v>
      </c>
      <c r="AE66" s="79">
        <v>1842</v>
      </c>
      <c r="AF66" s="79">
        <v>3246</v>
      </c>
      <c r="AG66" s="79">
        <v>4623</v>
      </c>
      <c r="AH66" s="79">
        <v>1916</v>
      </c>
      <c r="AI66" s="79">
        <v>969</v>
      </c>
      <c r="AJ66" s="79">
        <v>312</v>
      </c>
      <c r="AK66" s="79">
        <v>427</v>
      </c>
      <c r="AL66" s="79">
        <v>258</v>
      </c>
      <c r="AM66" s="79">
        <v>13896</v>
      </c>
      <c r="AN66" s="79">
        <v>65</v>
      </c>
      <c r="AO66" s="79">
        <v>630</v>
      </c>
      <c r="AP66" s="79">
        <v>504</v>
      </c>
      <c r="AQ66" s="79">
        <v>12617</v>
      </c>
      <c r="AR66" s="79">
        <v>3297</v>
      </c>
      <c r="AS66" s="79">
        <v>5562</v>
      </c>
      <c r="AT66" s="79">
        <v>3814</v>
      </c>
      <c r="AU66" s="80" t="s">
        <v>496</v>
      </c>
      <c r="AV66" s="79">
        <v>6791</v>
      </c>
      <c r="AW66" s="79">
        <v>40335</v>
      </c>
      <c r="AX66" s="79">
        <v>32267</v>
      </c>
      <c r="AY66" s="79">
        <v>30242</v>
      </c>
      <c r="AZ66" s="79">
        <v>1919</v>
      </c>
      <c r="BA66" s="79">
        <v>7991</v>
      </c>
      <c r="BB66" s="79">
        <v>30743</v>
      </c>
      <c r="BC66" s="79">
        <v>2269</v>
      </c>
      <c r="BD66" s="79">
        <v>1283</v>
      </c>
      <c r="BE66" s="79">
        <v>3449</v>
      </c>
      <c r="BF66" s="79">
        <v>5990</v>
      </c>
      <c r="BG66" s="79">
        <v>2474</v>
      </c>
      <c r="BH66" s="79">
        <v>643</v>
      </c>
      <c r="BI66" s="79">
        <v>830</v>
      </c>
      <c r="BJ66" s="79">
        <v>803</v>
      </c>
      <c r="BK66" s="79">
        <v>824</v>
      </c>
      <c r="BL66" s="79">
        <v>13363</v>
      </c>
      <c r="BM66" s="79">
        <v>12457</v>
      </c>
      <c r="BN66" s="79">
        <v>3825</v>
      </c>
      <c r="BO66" s="79">
        <v>4736</v>
      </c>
    </row>
    <row r="67" spans="1:67" x14ac:dyDescent="0.35">
      <c r="A67" s="78" t="s">
        <v>523</v>
      </c>
      <c r="B67" s="79">
        <v>172874</v>
      </c>
      <c r="C67" s="79">
        <v>271</v>
      </c>
      <c r="D67" s="79">
        <v>267</v>
      </c>
      <c r="E67" s="79">
        <v>14</v>
      </c>
      <c r="F67" s="79">
        <v>67813</v>
      </c>
      <c r="G67" s="79">
        <v>12958</v>
      </c>
      <c r="H67" s="79">
        <v>12915</v>
      </c>
      <c r="I67" s="79">
        <v>42</v>
      </c>
      <c r="J67" s="79">
        <v>52916</v>
      </c>
      <c r="K67" s="79">
        <v>50923</v>
      </c>
      <c r="L67" s="79">
        <v>1984</v>
      </c>
      <c r="M67" s="79">
        <v>323</v>
      </c>
      <c r="N67" s="79">
        <v>109</v>
      </c>
      <c r="O67" s="79">
        <v>1430</v>
      </c>
      <c r="P67" s="80" t="s">
        <v>496</v>
      </c>
      <c r="Q67" s="79">
        <v>1237</v>
      </c>
      <c r="R67" s="79">
        <v>14</v>
      </c>
      <c r="S67" s="79">
        <v>110</v>
      </c>
      <c r="T67" s="79">
        <v>1110</v>
      </c>
      <c r="U67" s="79">
        <v>3797</v>
      </c>
      <c r="V67" s="79">
        <v>1830</v>
      </c>
      <c r="W67" s="79">
        <v>1030</v>
      </c>
      <c r="X67" s="79">
        <v>618</v>
      </c>
      <c r="Y67" s="79">
        <v>140</v>
      </c>
      <c r="Z67" s="79">
        <v>2028</v>
      </c>
      <c r="AA67" s="79">
        <v>21690</v>
      </c>
      <c r="AB67" s="79">
        <v>7064</v>
      </c>
      <c r="AC67" s="79">
        <v>2179</v>
      </c>
      <c r="AD67" s="79">
        <v>12273</v>
      </c>
      <c r="AE67" s="79">
        <v>1802</v>
      </c>
      <c r="AF67" s="79">
        <v>3213</v>
      </c>
      <c r="AG67" s="79">
        <v>4693</v>
      </c>
      <c r="AH67" s="79">
        <v>1671</v>
      </c>
      <c r="AI67" s="79">
        <v>931</v>
      </c>
      <c r="AJ67" s="79">
        <v>324</v>
      </c>
      <c r="AK67" s="79">
        <v>499</v>
      </c>
      <c r="AL67" s="79">
        <v>267</v>
      </c>
      <c r="AM67" s="79">
        <v>14585</v>
      </c>
      <c r="AN67" s="79">
        <v>70</v>
      </c>
      <c r="AO67" s="79">
        <v>637</v>
      </c>
      <c r="AP67" s="79">
        <v>545</v>
      </c>
      <c r="AQ67" s="79">
        <v>13254</v>
      </c>
      <c r="AR67" s="79">
        <v>3573</v>
      </c>
      <c r="AS67" s="79">
        <v>6057</v>
      </c>
      <c r="AT67" s="79">
        <v>3697</v>
      </c>
      <c r="AU67" s="80" t="s">
        <v>496</v>
      </c>
      <c r="AV67" s="79">
        <v>6845</v>
      </c>
      <c r="AW67" s="79">
        <v>40120</v>
      </c>
      <c r="AX67" s="79">
        <v>32444</v>
      </c>
      <c r="AY67" s="79">
        <v>30508</v>
      </c>
      <c r="AZ67" s="79">
        <v>1846</v>
      </c>
      <c r="BA67" s="79">
        <v>7585</v>
      </c>
      <c r="BB67" s="79">
        <v>30596</v>
      </c>
      <c r="BC67" s="79">
        <v>2238</v>
      </c>
      <c r="BD67" s="79">
        <v>1282</v>
      </c>
      <c r="BE67" s="79">
        <v>3317</v>
      </c>
      <c r="BF67" s="79">
        <v>5906</v>
      </c>
      <c r="BG67" s="79">
        <v>2902</v>
      </c>
      <c r="BH67" s="79">
        <v>645</v>
      </c>
      <c r="BI67" s="79">
        <v>728</v>
      </c>
      <c r="BJ67" s="79">
        <v>543</v>
      </c>
      <c r="BK67" s="79">
        <v>789</v>
      </c>
      <c r="BL67" s="79">
        <v>13586</v>
      </c>
      <c r="BM67" s="79">
        <v>12463</v>
      </c>
      <c r="BN67" s="79">
        <v>3945</v>
      </c>
      <c r="BO67" s="79">
        <v>4526</v>
      </c>
    </row>
    <row r="68" spans="1:67" x14ac:dyDescent="0.35">
      <c r="A68" s="78" t="s">
        <v>524</v>
      </c>
      <c r="B68" s="79">
        <v>174685</v>
      </c>
      <c r="C68" s="79">
        <v>283</v>
      </c>
      <c r="D68" s="79">
        <v>271</v>
      </c>
      <c r="E68" s="79">
        <v>17</v>
      </c>
      <c r="F68" s="79">
        <v>68641</v>
      </c>
      <c r="G68" s="79">
        <v>13061</v>
      </c>
      <c r="H68" s="79">
        <v>13018</v>
      </c>
      <c r="I68" s="79">
        <v>42</v>
      </c>
      <c r="J68" s="79">
        <v>53623</v>
      </c>
      <c r="K68" s="79">
        <v>51607</v>
      </c>
      <c r="L68" s="79">
        <v>2008</v>
      </c>
      <c r="M68" s="79">
        <v>337</v>
      </c>
      <c r="N68" s="79">
        <v>105</v>
      </c>
      <c r="O68" s="79">
        <v>1423</v>
      </c>
      <c r="P68" s="80" t="s">
        <v>496</v>
      </c>
      <c r="Q68" s="79">
        <v>1213</v>
      </c>
      <c r="R68" s="79">
        <v>19</v>
      </c>
      <c r="S68" s="79">
        <v>129</v>
      </c>
      <c r="T68" s="79">
        <v>1055</v>
      </c>
      <c r="U68" s="79">
        <v>3739</v>
      </c>
      <c r="V68" s="79">
        <v>1824</v>
      </c>
      <c r="W68" s="79">
        <v>1042</v>
      </c>
      <c r="X68" s="79">
        <v>571</v>
      </c>
      <c r="Y68" s="79">
        <v>157</v>
      </c>
      <c r="Z68" s="79">
        <v>1960</v>
      </c>
      <c r="AA68" s="79">
        <v>21603</v>
      </c>
      <c r="AB68" s="79">
        <v>6997</v>
      </c>
      <c r="AC68" s="79">
        <v>2173</v>
      </c>
      <c r="AD68" s="79">
        <v>12256</v>
      </c>
      <c r="AE68" s="79">
        <v>1801</v>
      </c>
      <c r="AF68" s="79">
        <v>3039</v>
      </c>
      <c r="AG68" s="79">
        <v>4757</v>
      </c>
      <c r="AH68" s="79">
        <v>1779</v>
      </c>
      <c r="AI68" s="79">
        <v>917</v>
      </c>
      <c r="AJ68" s="79">
        <v>340</v>
      </c>
      <c r="AK68" s="79">
        <v>594</v>
      </c>
      <c r="AL68" s="79">
        <v>279</v>
      </c>
      <c r="AM68" s="79">
        <v>14696</v>
      </c>
      <c r="AN68" s="79">
        <v>65</v>
      </c>
      <c r="AO68" s="79">
        <v>637</v>
      </c>
      <c r="AP68" s="79">
        <v>516</v>
      </c>
      <c r="AQ68" s="79">
        <v>13401</v>
      </c>
      <c r="AR68" s="79">
        <v>3540</v>
      </c>
      <c r="AS68" s="79">
        <v>6166</v>
      </c>
      <c r="AT68" s="79">
        <v>3764</v>
      </c>
      <c r="AU68" s="80" t="s">
        <v>496</v>
      </c>
      <c r="AV68" s="79">
        <v>6920</v>
      </c>
      <c r="AW68" s="79">
        <v>40336</v>
      </c>
      <c r="AX68" s="79">
        <v>32749</v>
      </c>
      <c r="AY68" s="79">
        <v>30864</v>
      </c>
      <c r="AZ68" s="79">
        <v>1803</v>
      </c>
      <c r="BA68" s="79">
        <v>7489</v>
      </c>
      <c r="BB68" s="79">
        <v>31091</v>
      </c>
      <c r="BC68" s="79">
        <v>2192</v>
      </c>
      <c r="BD68" s="79">
        <v>1289</v>
      </c>
      <c r="BE68" s="79">
        <v>3190</v>
      </c>
      <c r="BF68" s="79">
        <v>6253</v>
      </c>
      <c r="BG68" s="79">
        <v>3002</v>
      </c>
      <c r="BH68" s="79">
        <v>648</v>
      </c>
      <c r="BI68" s="79">
        <v>781</v>
      </c>
      <c r="BJ68" s="79">
        <v>631</v>
      </c>
      <c r="BK68" s="79">
        <v>856</v>
      </c>
      <c r="BL68" s="79">
        <v>13872</v>
      </c>
      <c r="BM68" s="79">
        <v>12553</v>
      </c>
      <c r="BN68" s="79">
        <v>4078</v>
      </c>
      <c r="BO68" s="79">
        <v>4453</v>
      </c>
    </row>
    <row r="69" spans="1:67" x14ac:dyDescent="0.35">
      <c r="A69" s="78" t="s">
        <v>525</v>
      </c>
      <c r="B69" s="79">
        <v>176349</v>
      </c>
      <c r="C69" s="79">
        <v>293</v>
      </c>
      <c r="D69" s="79">
        <v>272</v>
      </c>
      <c r="E69" s="79">
        <v>21</v>
      </c>
      <c r="F69" s="79">
        <v>69078</v>
      </c>
      <c r="G69" s="79">
        <v>13074</v>
      </c>
      <c r="H69" s="79">
        <v>13031</v>
      </c>
      <c r="I69" s="79">
        <v>43</v>
      </c>
      <c r="J69" s="79">
        <v>54035</v>
      </c>
      <c r="K69" s="79">
        <v>51993</v>
      </c>
      <c r="L69" s="79">
        <v>2034</v>
      </c>
      <c r="M69" s="79">
        <v>345</v>
      </c>
      <c r="N69" s="79">
        <v>93</v>
      </c>
      <c r="O69" s="79">
        <v>1428</v>
      </c>
      <c r="P69" s="80" t="s">
        <v>496</v>
      </c>
      <c r="Q69" s="79">
        <v>1207</v>
      </c>
      <c r="R69" s="79">
        <v>23</v>
      </c>
      <c r="S69" s="79">
        <v>122</v>
      </c>
      <c r="T69" s="79">
        <v>1052</v>
      </c>
      <c r="U69" s="79">
        <v>3724</v>
      </c>
      <c r="V69" s="79">
        <v>1838</v>
      </c>
      <c r="W69" s="79">
        <v>1066</v>
      </c>
      <c r="X69" s="79">
        <v>548</v>
      </c>
      <c r="Y69" s="79">
        <v>164</v>
      </c>
      <c r="Z69" s="79">
        <v>1918</v>
      </c>
      <c r="AA69" s="79">
        <v>21602</v>
      </c>
      <c r="AB69" s="79">
        <v>6930</v>
      </c>
      <c r="AC69" s="79">
        <v>2218</v>
      </c>
      <c r="AD69" s="79">
        <v>12274</v>
      </c>
      <c r="AE69" s="79">
        <v>1884</v>
      </c>
      <c r="AF69" s="79">
        <v>3041</v>
      </c>
      <c r="AG69" s="79">
        <v>4711</v>
      </c>
      <c r="AH69" s="79">
        <v>1731</v>
      </c>
      <c r="AI69" s="79">
        <v>958</v>
      </c>
      <c r="AJ69" s="79">
        <v>358</v>
      </c>
      <c r="AK69" s="79">
        <v>622</v>
      </c>
      <c r="AL69" s="79">
        <v>294</v>
      </c>
      <c r="AM69" s="79">
        <v>15170</v>
      </c>
      <c r="AN69" s="79">
        <v>67</v>
      </c>
      <c r="AO69" s="79">
        <v>653</v>
      </c>
      <c r="AP69" s="79">
        <v>485</v>
      </c>
      <c r="AQ69" s="79">
        <v>13882</v>
      </c>
      <c r="AR69" s="79">
        <v>3600</v>
      </c>
      <c r="AS69" s="79">
        <v>6379</v>
      </c>
      <c r="AT69" s="79">
        <v>3967</v>
      </c>
      <c r="AU69" s="80" t="s">
        <v>496</v>
      </c>
      <c r="AV69" s="79">
        <v>6996</v>
      </c>
      <c r="AW69" s="79">
        <v>41435</v>
      </c>
      <c r="AX69" s="79">
        <v>33447</v>
      </c>
      <c r="AY69" s="79">
        <v>31483</v>
      </c>
      <c r="AZ69" s="79">
        <v>1874</v>
      </c>
      <c r="BA69" s="79">
        <v>7891</v>
      </c>
      <c r="BB69" s="79">
        <v>30626</v>
      </c>
      <c r="BC69" s="79">
        <v>2118</v>
      </c>
      <c r="BD69" s="79">
        <v>1301</v>
      </c>
      <c r="BE69" s="79">
        <v>3030</v>
      </c>
      <c r="BF69" s="79">
        <v>5913</v>
      </c>
      <c r="BG69" s="79">
        <v>2630</v>
      </c>
      <c r="BH69" s="79">
        <v>614</v>
      </c>
      <c r="BI69" s="79">
        <v>796</v>
      </c>
      <c r="BJ69" s="79">
        <v>717</v>
      </c>
      <c r="BK69" s="79">
        <v>784</v>
      </c>
      <c r="BL69" s="79">
        <v>14168</v>
      </c>
      <c r="BM69" s="79">
        <v>12659</v>
      </c>
      <c r="BN69" s="79">
        <v>4215</v>
      </c>
      <c r="BO69" s="79">
        <v>4199</v>
      </c>
    </row>
    <row r="70" spans="1:67" x14ac:dyDescent="0.35">
      <c r="A70" s="78" t="s">
        <v>526</v>
      </c>
      <c r="B70" s="79">
        <v>177744</v>
      </c>
      <c r="C70" s="79">
        <v>302</v>
      </c>
      <c r="D70" s="79">
        <v>276</v>
      </c>
      <c r="E70" s="79">
        <v>24</v>
      </c>
      <c r="F70" s="79">
        <v>69036</v>
      </c>
      <c r="G70" s="79">
        <v>12995</v>
      </c>
      <c r="H70" s="79">
        <v>12952</v>
      </c>
      <c r="I70" s="79">
        <v>42</v>
      </c>
      <c r="J70" s="79">
        <v>54069</v>
      </c>
      <c r="K70" s="79">
        <v>52013</v>
      </c>
      <c r="L70" s="79">
        <v>2049</v>
      </c>
      <c r="M70" s="79">
        <v>366</v>
      </c>
      <c r="N70" s="79">
        <v>58</v>
      </c>
      <c r="O70" s="79">
        <v>1436</v>
      </c>
      <c r="P70" s="80" t="s">
        <v>496</v>
      </c>
      <c r="Q70" s="79">
        <v>1163</v>
      </c>
      <c r="R70" s="79">
        <v>32</v>
      </c>
      <c r="S70" s="79">
        <v>143</v>
      </c>
      <c r="T70" s="79">
        <v>968</v>
      </c>
      <c r="U70" s="79">
        <v>3751</v>
      </c>
      <c r="V70" s="79">
        <v>1877</v>
      </c>
      <c r="W70" s="79">
        <v>1099</v>
      </c>
      <c r="X70" s="79">
        <v>561</v>
      </c>
      <c r="Y70" s="79">
        <v>155</v>
      </c>
      <c r="Z70" s="79">
        <v>1895</v>
      </c>
      <c r="AA70" s="79">
        <v>21628</v>
      </c>
      <c r="AB70" s="79">
        <v>6834</v>
      </c>
      <c r="AC70" s="79">
        <v>2140</v>
      </c>
      <c r="AD70" s="79">
        <v>12456</v>
      </c>
      <c r="AE70" s="79">
        <v>1965</v>
      </c>
      <c r="AF70" s="79">
        <v>2972</v>
      </c>
      <c r="AG70" s="79">
        <v>4826</v>
      </c>
      <c r="AH70" s="79">
        <v>1772</v>
      </c>
      <c r="AI70" s="79">
        <v>960</v>
      </c>
      <c r="AJ70" s="79">
        <v>377</v>
      </c>
      <c r="AK70" s="79">
        <v>647</v>
      </c>
      <c r="AL70" s="79">
        <v>310</v>
      </c>
      <c r="AM70" s="79">
        <v>15603</v>
      </c>
      <c r="AN70" s="79">
        <v>72</v>
      </c>
      <c r="AO70" s="79">
        <v>648</v>
      </c>
      <c r="AP70" s="79">
        <v>412</v>
      </c>
      <c r="AQ70" s="79">
        <v>14383</v>
      </c>
      <c r="AR70" s="79">
        <v>3543</v>
      </c>
      <c r="AS70" s="79">
        <v>6490</v>
      </c>
      <c r="AT70" s="79">
        <v>4406</v>
      </c>
      <c r="AU70" s="80" t="s">
        <v>496</v>
      </c>
      <c r="AV70" s="79">
        <v>6888</v>
      </c>
      <c r="AW70" s="79">
        <v>41386</v>
      </c>
      <c r="AX70" s="79">
        <v>33304</v>
      </c>
      <c r="AY70" s="79">
        <v>31323</v>
      </c>
      <c r="AZ70" s="79">
        <v>1887</v>
      </c>
      <c r="BA70" s="79">
        <v>7989</v>
      </c>
      <c r="BB70" s="79">
        <v>31457</v>
      </c>
      <c r="BC70" s="79">
        <v>2114</v>
      </c>
      <c r="BD70" s="79">
        <v>1306</v>
      </c>
      <c r="BE70" s="79">
        <v>3086</v>
      </c>
      <c r="BF70" s="79">
        <v>5679</v>
      </c>
      <c r="BG70" s="79">
        <v>2602</v>
      </c>
      <c r="BH70" s="79">
        <v>618</v>
      </c>
      <c r="BI70" s="79">
        <v>719</v>
      </c>
      <c r="BJ70" s="79">
        <v>633</v>
      </c>
      <c r="BK70" s="79">
        <v>770</v>
      </c>
      <c r="BL70" s="79">
        <v>14942</v>
      </c>
      <c r="BM70" s="79">
        <v>12861</v>
      </c>
      <c r="BN70" s="79">
        <v>4591</v>
      </c>
      <c r="BO70" s="79">
        <v>4461</v>
      </c>
    </row>
    <row r="71" spans="1:67" x14ac:dyDescent="0.35">
      <c r="A71" s="78" t="s">
        <v>527</v>
      </c>
      <c r="B71" s="79">
        <v>177517</v>
      </c>
      <c r="C71" s="79">
        <v>277</v>
      </c>
      <c r="D71" s="79">
        <v>256</v>
      </c>
      <c r="E71" s="79">
        <v>21</v>
      </c>
      <c r="F71" s="79">
        <v>69352</v>
      </c>
      <c r="G71" s="79">
        <v>13020</v>
      </c>
      <c r="H71" s="79">
        <v>12975</v>
      </c>
      <c r="I71" s="79">
        <v>43</v>
      </c>
      <c r="J71" s="79">
        <v>54313</v>
      </c>
      <c r="K71" s="79">
        <v>52269</v>
      </c>
      <c r="L71" s="79">
        <v>2035</v>
      </c>
      <c r="M71" s="79">
        <v>388</v>
      </c>
      <c r="N71" s="79">
        <v>54</v>
      </c>
      <c r="O71" s="79">
        <v>1466</v>
      </c>
      <c r="P71" s="80" t="s">
        <v>496</v>
      </c>
      <c r="Q71" s="79">
        <v>1170</v>
      </c>
      <c r="R71" s="79">
        <v>22</v>
      </c>
      <c r="S71" s="79">
        <v>128</v>
      </c>
      <c r="T71" s="79">
        <v>1008</v>
      </c>
      <c r="U71" s="79">
        <v>3971</v>
      </c>
      <c r="V71" s="79">
        <v>2004</v>
      </c>
      <c r="W71" s="79">
        <v>1188</v>
      </c>
      <c r="X71" s="79">
        <v>604</v>
      </c>
      <c r="Y71" s="79">
        <v>145</v>
      </c>
      <c r="Z71" s="79">
        <v>1981</v>
      </c>
      <c r="AA71" s="79">
        <v>21531</v>
      </c>
      <c r="AB71" s="79">
        <v>6752</v>
      </c>
      <c r="AC71" s="79">
        <v>1913</v>
      </c>
      <c r="AD71" s="79">
        <v>12654</v>
      </c>
      <c r="AE71" s="79">
        <v>2195</v>
      </c>
      <c r="AF71" s="79">
        <v>2906</v>
      </c>
      <c r="AG71" s="79">
        <v>4841</v>
      </c>
      <c r="AH71" s="79">
        <v>1742</v>
      </c>
      <c r="AI71" s="79">
        <v>1018</v>
      </c>
      <c r="AJ71" s="79">
        <v>393</v>
      </c>
      <c r="AK71" s="79">
        <v>586</v>
      </c>
      <c r="AL71" s="79">
        <v>325</v>
      </c>
      <c r="AM71" s="79">
        <v>15259</v>
      </c>
      <c r="AN71" s="79">
        <v>86</v>
      </c>
      <c r="AO71" s="79">
        <v>652</v>
      </c>
      <c r="AP71" s="79">
        <v>435</v>
      </c>
      <c r="AQ71" s="79">
        <v>13997</v>
      </c>
      <c r="AR71" s="79">
        <v>3516</v>
      </c>
      <c r="AS71" s="79">
        <v>6461</v>
      </c>
      <c r="AT71" s="79">
        <v>4073</v>
      </c>
      <c r="AU71" s="80" t="s">
        <v>496</v>
      </c>
      <c r="AV71" s="79">
        <v>7049</v>
      </c>
      <c r="AW71" s="79">
        <v>41667</v>
      </c>
      <c r="AX71" s="79">
        <v>33478</v>
      </c>
      <c r="AY71" s="79">
        <v>31524</v>
      </c>
      <c r="AZ71" s="79">
        <v>1867</v>
      </c>
      <c r="BA71" s="79">
        <v>8094</v>
      </c>
      <c r="BB71" s="79">
        <v>30515</v>
      </c>
      <c r="BC71" s="79">
        <v>2149</v>
      </c>
      <c r="BD71" s="79">
        <v>1298</v>
      </c>
      <c r="BE71" s="79">
        <v>3219</v>
      </c>
      <c r="BF71" s="79">
        <v>5485</v>
      </c>
      <c r="BG71" s="79">
        <v>2697</v>
      </c>
      <c r="BH71" s="79">
        <v>577</v>
      </c>
      <c r="BI71" s="79">
        <v>683</v>
      </c>
      <c r="BJ71" s="79">
        <v>546</v>
      </c>
      <c r="BK71" s="79">
        <v>701</v>
      </c>
      <c r="BL71" s="79">
        <v>14231</v>
      </c>
      <c r="BM71" s="79">
        <v>13142</v>
      </c>
      <c r="BN71" s="79">
        <v>4093</v>
      </c>
      <c r="BO71" s="79">
        <v>4342</v>
      </c>
    </row>
    <row r="72" spans="1:67" x14ac:dyDescent="0.35">
      <c r="A72" s="78" t="s">
        <v>528</v>
      </c>
      <c r="B72" s="79">
        <v>179652</v>
      </c>
      <c r="C72" s="79">
        <v>261</v>
      </c>
      <c r="D72" s="79">
        <v>242</v>
      </c>
      <c r="E72" s="79">
        <v>19</v>
      </c>
      <c r="F72" s="79">
        <v>69676</v>
      </c>
      <c r="G72" s="79">
        <v>13096</v>
      </c>
      <c r="H72" s="79">
        <v>13053</v>
      </c>
      <c r="I72" s="79">
        <v>42</v>
      </c>
      <c r="J72" s="79">
        <v>54519</v>
      </c>
      <c r="K72" s="79">
        <v>52480</v>
      </c>
      <c r="L72" s="79">
        <v>2031</v>
      </c>
      <c r="M72" s="79">
        <v>426</v>
      </c>
      <c r="N72" s="79">
        <v>70</v>
      </c>
      <c r="O72" s="79">
        <v>1453</v>
      </c>
      <c r="P72" s="80" t="s">
        <v>496</v>
      </c>
      <c r="Q72" s="79">
        <v>1202</v>
      </c>
      <c r="R72" s="79">
        <v>15</v>
      </c>
      <c r="S72" s="79">
        <v>129</v>
      </c>
      <c r="T72" s="79">
        <v>1047</v>
      </c>
      <c r="U72" s="79">
        <v>4166</v>
      </c>
      <c r="V72" s="79">
        <v>2186</v>
      </c>
      <c r="W72" s="79">
        <v>1307</v>
      </c>
      <c r="X72" s="79">
        <v>661</v>
      </c>
      <c r="Y72" s="79">
        <v>145</v>
      </c>
      <c r="Z72" s="79">
        <v>1951</v>
      </c>
      <c r="AA72" s="79">
        <v>21956</v>
      </c>
      <c r="AB72" s="79">
        <v>6778</v>
      </c>
      <c r="AC72" s="79">
        <v>2197</v>
      </c>
      <c r="AD72" s="79">
        <v>12774</v>
      </c>
      <c r="AE72" s="79">
        <v>2249</v>
      </c>
      <c r="AF72" s="79">
        <v>2842</v>
      </c>
      <c r="AG72" s="79">
        <v>4911</v>
      </c>
      <c r="AH72" s="79">
        <v>1783</v>
      </c>
      <c r="AI72" s="79">
        <v>1043</v>
      </c>
      <c r="AJ72" s="79">
        <v>404</v>
      </c>
      <c r="AK72" s="79">
        <v>530</v>
      </c>
      <c r="AL72" s="79">
        <v>336</v>
      </c>
      <c r="AM72" s="79">
        <v>15527</v>
      </c>
      <c r="AN72" s="79">
        <v>83</v>
      </c>
      <c r="AO72" s="79">
        <v>658</v>
      </c>
      <c r="AP72" s="79">
        <v>466</v>
      </c>
      <c r="AQ72" s="79">
        <v>14231</v>
      </c>
      <c r="AR72" s="79">
        <v>3571</v>
      </c>
      <c r="AS72" s="79">
        <v>6272</v>
      </c>
      <c r="AT72" s="79">
        <v>4466</v>
      </c>
      <c r="AU72" s="80" t="s">
        <v>496</v>
      </c>
      <c r="AV72" s="79">
        <v>7177</v>
      </c>
      <c r="AW72" s="79">
        <v>41715</v>
      </c>
      <c r="AX72" s="79">
        <v>33342</v>
      </c>
      <c r="AY72" s="79">
        <v>31372</v>
      </c>
      <c r="AZ72" s="79">
        <v>1879</v>
      </c>
      <c r="BA72" s="79">
        <v>8278</v>
      </c>
      <c r="BB72" s="79">
        <v>31346</v>
      </c>
      <c r="BC72" s="79">
        <v>2225</v>
      </c>
      <c r="BD72" s="79">
        <v>1297</v>
      </c>
      <c r="BE72" s="79">
        <v>3184</v>
      </c>
      <c r="BF72" s="79">
        <v>5583</v>
      </c>
      <c r="BG72" s="79">
        <v>2774</v>
      </c>
      <c r="BH72" s="79">
        <v>577</v>
      </c>
      <c r="BI72" s="79">
        <v>675</v>
      </c>
      <c r="BJ72" s="79">
        <v>507</v>
      </c>
      <c r="BK72" s="79">
        <v>774</v>
      </c>
      <c r="BL72" s="79">
        <v>14998</v>
      </c>
      <c r="BM72" s="79">
        <v>13308</v>
      </c>
      <c r="BN72" s="79">
        <v>4491</v>
      </c>
      <c r="BO72" s="79">
        <v>4230</v>
      </c>
    </row>
    <row r="73" spans="1:67" x14ac:dyDescent="0.35">
      <c r="A73" s="78" t="s">
        <v>529</v>
      </c>
      <c r="B73" s="79">
        <v>181328</v>
      </c>
      <c r="C73" s="79">
        <v>254</v>
      </c>
      <c r="D73" s="79">
        <v>238</v>
      </c>
      <c r="E73" s="79">
        <v>18</v>
      </c>
      <c r="F73" s="79">
        <v>70022</v>
      </c>
      <c r="G73" s="79">
        <v>13241</v>
      </c>
      <c r="H73" s="79">
        <v>13199</v>
      </c>
      <c r="I73" s="79">
        <v>42</v>
      </c>
      <c r="J73" s="79">
        <v>54709</v>
      </c>
      <c r="K73" s="79">
        <v>52662</v>
      </c>
      <c r="L73" s="79">
        <v>2038</v>
      </c>
      <c r="M73" s="79">
        <v>434</v>
      </c>
      <c r="N73" s="79">
        <v>84</v>
      </c>
      <c r="O73" s="79">
        <v>1443</v>
      </c>
      <c r="P73" s="80" t="s">
        <v>496</v>
      </c>
      <c r="Q73" s="79">
        <v>1194</v>
      </c>
      <c r="R73" s="79">
        <v>7</v>
      </c>
      <c r="S73" s="79">
        <v>125</v>
      </c>
      <c r="T73" s="79">
        <v>1052</v>
      </c>
      <c r="U73" s="79">
        <v>3766</v>
      </c>
      <c r="V73" s="79">
        <v>1933</v>
      </c>
      <c r="W73" s="79">
        <v>1075</v>
      </c>
      <c r="X73" s="79">
        <v>667</v>
      </c>
      <c r="Y73" s="79">
        <v>151</v>
      </c>
      <c r="Z73" s="79">
        <v>1831</v>
      </c>
      <c r="AA73" s="79">
        <v>22510</v>
      </c>
      <c r="AB73" s="79">
        <v>6895</v>
      </c>
      <c r="AC73" s="79">
        <v>2197</v>
      </c>
      <c r="AD73" s="79">
        <v>13200</v>
      </c>
      <c r="AE73" s="79">
        <v>2371</v>
      </c>
      <c r="AF73" s="79">
        <v>2842</v>
      </c>
      <c r="AG73" s="79">
        <v>5122</v>
      </c>
      <c r="AH73" s="79">
        <v>1866</v>
      </c>
      <c r="AI73" s="79">
        <v>1035</v>
      </c>
      <c r="AJ73" s="79">
        <v>419</v>
      </c>
      <c r="AK73" s="79">
        <v>559</v>
      </c>
      <c r="AL73" s="79">
        <v>348</v>
      </c>
      <c r="AM73" s="79">
        <v>15068</v>
      </c>
      <c r="AN73" s="79">
        <v>71</v>
      </c>
      <c r="AO73" s="79">
        <v>664</v>
      </c>
      <c r="AP73" s="79">
        <v>530</v>
      </c>
      <c r="AQ73" s="79">
        <v>13717</v>
      </c>
      <c r="AR73" s="79">
        <v>3520</v>
      </c>
      <c r="AS73" s="79">
        <v>6093</v>
      </c>
      <c r="AT73" s="79">
        <v>4182</v>
      </c>
      <c r="AU73" s="80" t="s">
        <v>496</v>
      </c>
      <c r="AV73" s="79">
        <v>7258</v>
      </c>
      <c r="AW73" s="79">
        <v>41916</v>
      </c>
      <c r="AX73" s="79">
        <v>33434</v>
      </c>
      <c r="AY73" s="79">
        <v>31375</v>
      </c>
      <c r="AZ73" s="79">
        <v>1955</v>
      </c>
      <c r="BA73" s="79">
        <v>8387</v>
      </c>
      <c r="BB73" s="79">
        <v>32532</v>
      </c>
      <c r="BC73" s="79">
        <v>2300</v>
      </c>
      <c r="BD73" s="79">
        <v>1306</v>
      </c>
      <c r="BE73" s="79">
        <v>3211</v>
      </c>
      <c r="BF73" s="79">
        <v>6145</v>
      </c>
      <c r="BG73" s="79">
        <v>2709</v>
      </c>
      <c r="BH73" s="79">
        <v>605</v>
      </c>
      <c r="BI73" s="79">
        <v>836</v>
      </c>
      <c r="BJ73" s="79">
        <v>818</v>
      </c>
      <c r="BK73" s="79">
        <v>783</v>
      </c>
      <c r="BL73" s="79">
        <v>15280</v>
      </c>
      <c r="BM73" s="79">
        <v>13552</v>
      </c>
      <c r="BN73" s="79">
        <v>4580</v>
      </c>
      <c r="BO73" s="79">
        <v>4421</v>
      </c>
    </row>
    <row r="74" spans="1:67" x14ac:dyDescent="0.35">
      <c r="A74" s="78" t="s">
        <v>530</v>
      </c>
      <c r="B74" s="79">
        <v>182293</v>
      </c>
      <c r="C74" s="79">
        <v>276</v>
      </c>
      <c r="D74" s="79">
        <v>258</v>
      </c>
      <c r="E74" s="79">
        <v>19</v>
      </c>
      <c r="F74" s="79">
        <v>70349</v>
      </c>
      <c r="G74" s="79">
        <v>13458</v>
      </c>
      <c r="H74" s="79">
        <v>13417</v>
      </c>
      <c r="I74" s="79">
        <v>41</v>
      </c>
      <c r="J74" s="79">
        <v>54784</v>
      </c>
      <c r="K74" s="79">
        <v>52726</v>
      </c>
      <c r="L74" s="79">
        <v>2051</v>
      </c>
      <c r="M74" s="79">
        <v>472</v>
      </c>
      <c r="N74" s="79">
        <v>86</v>
      </c>
      <c r="O74" s="79">
        <v>1446</v>
      </c>
      <c r="P74" s="80" t="s">
        <v>496</v>
      </c>
      <c r="Q74" s="79">
        <v>1149</v>
      </c>
      <c r="R74" s="79">
        <v>4</v>
      </c>
      <c r="S74" s="79">
        <v>128</v>
      </c>
      <c r="T74" s="79">
        <v>1006</v>
      </c>
      <c r="U74" s="79">
        <v>3914</v>
      </c>
      <c r="V74" s="79">
        <v>1996</v>
      </c>
      <c r="W74" s="79">
        <v>1154</v>
      </c>
      <c r="X74" s="79">
        <v>634</v>
      </c>
      <c r="Y74" s="79">
        <v>150</v>
      </c>
      <c r="Z74" s="79">
        <v>1922</v>
      </c>
      <c r="AA74" s="79">
        <v>23192</v>
      </c>
      <c r="AB74" s="79">
        <v>7113</v>
      </c>
      <c r="AC74" s="79">
        <v>2381</v>
      </c>
      <c r="AD74" s="79">
        <v>13482</v>
      </c>
      <c r="AE74" s="79">
        <v>2443</v>
      </c>
      <c r="AF74" s="79">
        <v>2912</v>
      </c>
      <c r="AG74" s="79">
        <v>5246</v>
      </c>
      <c r="AH74" s="79">
        <v>1863</v>
      </c>
      <c r="AI74" s="79">
        <v>1036</v>
      </c>
      <c r="AJ74" s="79">
        <v>433</v>
      </c>
      <c r="AK74" s="79">
        <v>487</v>
      </c>
      <c r="AL74" s="79">
        <v>362</v>
      </c>
      <c r="AM74" s="79">
        <v>15395</v>
      </c>
      <c r="AN74" s="79">
        <v>68</v>
      </c>
      <c r="AO74" s="79">
        <v>667</v>
      </c>
      <c r="AP74" s="79">
        <v>539</v>
      </c>
      <c r="AQ74" s="79">
        <v>14039</v>
      </c>
      <c r="AR74" s="79">
        <v>3527</v>
      </c>
      <c r="AS74" s="79">
        <v>6525</v>
      </c>
      <c r="AT74" s="79">
        <v>4040</v>
      </c>
      <c r="AU74" s="80" t="s">
        <v>496</v>
      </c>
      <c r="AV74" s="79">
        <v>7077</v>
      </c>
      <c r="AW74" s="79">
        <v>42805</v>
      </c>
      <c r="AX74" s="79">
        <v>34178</v>
      </c>
      <c r="AY74" s="79">
        <v>32202</v>
      </c>
      <c r="AZ74" s="79">
        <v>1888</v>
      </c>
      <c r="BA74" s="79">
        <v>8531</v>
      </c>
      <c r="BB74" s="79">
        <v>31320</v>
      </c>
      <c r="BC74" s="79">
        <v>2357</v>
      </c>
      <c r="BD74" s="79">
        <v>1314</v>
      </c>
      <c r="BE74" s="79">
        <v>3271</v>
      </c>
      <c r="BF74" s="79">
        <v>5084</v>
      </c>
      <c r="BG74" s="79">
        <v>2662</v>
      </c>
      <c r="BH74" s="79">
        <v>532</v>
      </c>
      <c r="BI74" s="79">
        <v>563</v>
      </c>
      <c r="BJ74" s="79">
        <v>454</v>
      </c>
      <c r="BK74" s="79">
        <v>649</v>
      </c>
      <c r="BL74" s="79">
        <v>15103</v>
      </c>
      <c r="BM74" s="79">
        <v>13757</v>
      </c>
      <c r="BN74" s="79">
        <v>4409</v>
      </c>
      <c r="BO74" s="79">
        <v>4496</v>
      </c>
    </row>
    <row r="75" spans="1:67" x14ac:dyDescent="0.35">
      <c r="A75" s="78" t="s">
        <v>531</v>
      </c>
      <c r="B75" s="79">
        <v>185317</v>
      </c>
      <c r="C75" s="79">
        <v>282</v>
      </c>
      <c r="D75" s="79">
        <v>266</v>
      </c>
      <c r="E75" s="79">
        <v>18</v>
      </c>
      <c r="F75" s="79">
        <v>70515</v>
      </c>
      <c r="G75" s="79">
        <v>13630</v>
      </c>
      <c r="H75" s="79">
        <v>13588</v>
      </c>
      <c r="I75" s="79">
        <v>41</v>
      </c>
      <c r="J75" s="79">
        <v>54751</v>
      </c>
      <c r="K75" s="79">
        <v>52675</v>
      </c>
      <c r="L75" s="79">
        <v>2068</v>
      </c>
      <c r="M75" s="79">
        <v>512</v>
      </c>
      <c r="N75" s="79">
        <v>74</v>
      </c>
      <c r="O75" s="79">
        <v>1442</v>
      </c>
      <c r="P75" s="80" t="s">
        <v>496</v>
      </c>
      <c r="Q75" s="79">
        <v>1192</v>
      </c>
      <c r="R75" s="79">
        <v>6</v>
      </c>
      <c r="S75" s="79">
        <v>131</v>
      </c>
      <c r="T75" s="79">
        <v>1042</v>
      </c>
      <c r="U75" s="79">
        <v>4075</v>
      </c>
      <c r="V75" s="79">
        <v>2093</v>
      </c>
      <c r="W75" s="79">
        <v>1248</v>
      </c>
      <c r="X75" s="79">
        <v>606</v>
      </c>
      <c r="Y75" s="79">
        <v>167</v>
      </c>
      <c r="Z75" s="79">
        <v>1979</v>
      </c>
      <c r="AA75" s="79">
        <v>23427</v>
      </c>
      <c r="AB75" s="79">
        <v>7459</v>
      </c>
      <c r="AC75" s="79">
        <v>2218</v>
      </c>
      <c r="AD75" s="79">
        <v>13529</v>
      </c>
      <c r="AE75" s="79">
        <v>2387</v>
      </c>
      <c r="AF75" s="79">
        <v>3008</v>
      </c>
      <c r="AG75" s="79">
        <v>5305</v>
      </c>
      <c r="AH75" s="79">
        <v>1814</v>
      </c>
      <c r="AI75" s="79">
        <v>998</v>
      </c>
      <c r="AJ75" s="79">
        <v>440</v>
      </c>
      <c r="AK75" s="79">
        <v>526</v>
      </c>
      <c r="AL75" s="79">
        <v>367</v>
      </c>
      <c r="AM75" s="79">
        <v>15210</v>
      </c>
      <c r="AN75" s="79">
        <v>72</v>
      </c>
      <c r="AO75" s="79">
        <v>669</v>
      </c>
      <c r="AP75" s="79">
        <v>510</v>
      </c>
      <c r="AQ75" s="79">
        <v>13873</v>
      </c>
      <c r="AR75" s="79">
        <v>3507</v>
      </c>
      <c r="AS75" s="79">
        <v>6456</v>
      </c>
      <c r="AT75" s="79">
        <v>3959</v>
      </c>
      <c r="AU75" s="80" t="s">
        <v>496</v>
      </c>
      <c r="AV75" s="79">
        <v>7127</v>
      </c>
      <c r="AW75" s="79">
        <v>42815</v>
      </c>
      <c r="AX75" s="79">
        <v>34400</v>
      </c>
      <c r="AY75" s="79">
        <v>32466</v>
      </c>
      <c r="AZ75" s="79">
        <v>1855</v>
      </c>
      <c r="BA75" s="79">
        <v>8317</v>
      </c>
      <c r="BB75" s="79">
        <v>33829</v>
      </c>
      <c r="BC75" s="79">
        <v>2331</v>
      </c>
      <c r="BD75" s="79">
        <v>1311</v>
      </c>
      <c r="BE75" s="79">
        <v>3298</v>
      </c>
      <c r="BF75" s="79">
        <v>6157</v>
      </c>
      <c r="BG75" s="79">
        <v>3001</v>
      </c>
      <c r="BH75" s="79">
        <v>587</v>
      </c>
      <c r="BI75" s="79">
        <v>777</v>
      </c>
      <c r="BJ75" s="79">
        <v>731</v>
      </c>
      <c r="BK75" s="79">
        <v>733</v>
      </c>
      <c r="BL75" s="79">
        <v>16448</v>
      </c>
      <c r="BM75" s="79">
        <v>14001</v>
      </c>
      <c r="BN75" s="79">
        <v>5138</v>
      </c>
      <c r="BO75" s="79">
        <v>4348</v>
      </c>
    </row>
    <row r="76" spans="1:67" x14ac:dyDescent="0.35">
      <c r="A76" s="78" t="s">
        <v>532</v>
      </c>
      <c r="B76" s="79">
        <v>186730</v>
      </c>
      <c r="C76" s="79">
        <v>274</v>
      </c>
      <c r="D76" s="79">
        <v>264</v>
      </c>
      <c r="E76" s="79">
        <v>16</v>
      </c>
      <c r="F76" s="79">
        <v>71197</v>
      </c>
      <c r="G76" s="79">
        <v>13872</v>
      </c>
      <c r="H76" s="79">
        <v>13831</v>
      </c>
      <c r="I76" s="79">
        <v>40</v>
      </c>
      <c r="J76" s="79">
        <v>55169</v>
      </c>
      <c r="K76" s="79">
        <v>53082</v>
      </c>
      <c r="L76" s="79">
        <v>2079</v>
      </c>
      <c r="M76" s="79">
        <v>539</v>
      </c>
      <c r="N76" s="79">
        <v>65</v>
      </c>
      <c r="O76" s="79">
        <v>1445</v>
      </c>
      <c r="P76" s="80" t="s">
        <v>496</v>
      </c>
      <c r="Q76" s="79">
        <v>1417</v>
      </c>
      <c r="R76" s="79">
        <v>21</v>
      </c>
      <c r="S76" s="79">
        <v>107</v>
      </c>
      <c r="T76" s="79">
        <v>1289</v>
      </c>
      <c r="U76" s="79">
        <v>4038</v>
      </c>
      <c r="V76" s="79">
        <v>2064</v>
      </c>
      <c r="W76" s="79">
        <v>1211</v>
      </c>
      <c r="X76" s="79">
        <v>607</v>
      </c>
      <c r="Y76" s="79">
        <v>178</v>
      </c>
      <c r="Z76" s="79">
        <v>1974</v>
      </c>
      <c r="AA76" s="79">
        <v>23387</v>
      </c>
      <c r="AB76" s="79">
        <v>7127</v>
      </c>
      <c r="AC76" s="79">
        <v>2295</v>
      </c>
      <c r="AD76" s="79">
        <v>13738</v>
      </c>
      <c r="AE76" s="79">
        <v>2376</v>
      </c>
      <c r="AF76" s="79">
        <v>3134</v>
      </c>
      <c r="AG76" s="79">
        <v>5371</v>
      </c>
      <c r="AH76" s="79">
        <v>1888</v>
      </c>
      <c r="AI76" s="79">
        <v>950</v>
      </c>
      <c r="AJ76" s="79">
        <v>451</v>
      </c>
      <c r="AK76" s="79">
        <v>526</v>
      </c>
      <c r="AL76" s="79">
        <v>377</v>
      </c>
      <c r="AM76" s="79">
        <v>15281</v>
      </c>
      <c r="AN76" s="79">
        <v>79</v>
      </c>
      <c r="AO76" s="79">
        <v>675</v>
      </c>
      <c r="AP76" s="79">
        <v>522</v>
      </c>
      <c r="AQ76" s="79">
        <v>13915</v>
      </c>
      <c r="AR76" s="79">
        <v>3637</v>
      </c>
      <c r="AS76" s="79">
        <v>6374</v>
      </c>
      <c r="AT76" s="79">
        <v>3965</v>
      </c>
      <c r="AU76" s="80" t="s">
        <v>496</v>
      </c>
      <c r="AV76" s="79">
        <v>7193</v>
      </c>
      <c r="AW76" s="79">
        <v>41995</v>
      </c>
      <c r="AX76" s="79">
        <v>33821</v>
      </c>
      <c r="AY76" s="79">
        <v>31901</v>
      </c>
      <c r="AZ76" s="79">
        <v>1841</v>
      </c>
      <c r="BA76" s="79">
        <v>8078</v>
      </c>
      <c r="BB76" s="79">
        <v>34779</v>
      </c>
      <c r="BC76" s="79">
        <v>2249</v>
      </c>
      <c r="BD76" s="79">
        <v>1310</v>
      </c>
      <c r="BE76" s="79">
        <v>3431</v>
      </c>
      <c r="BF76" s="79">
        <v>7350</v>
      </c>
      <c r="BG76" s="79">
        <v>3668</v>
      </c>
      <c r="BH76" s="79">
        <v>669</v>
      </c>
      <c r="BI76" s="79">
        <v>896</v>
      </c>
      <c r="BJ76" s="79">
        <v>823</v>
      </c>
      <c r="BK76" s="79">
        <v>925</v>
      </c>
      <c r="BL76" s="79">
        <v>15808</v>
      </c>
      <c r="BM76" s="79">
        <v>14238</v>
      </c>
      <c r="BN76" s="79">
        <v>4665</v>
      </c>
      <c r="BO76" s="79">
        <v>4518</v>
      </c>
    </row>
    <row r="77" spans="1:67" x14ac:dyDescent="0.35">
      <c r="A77" s="78" t="s">
        <v>533</v>
      </c>
      <c r="B77" s="79">
        <v>188587</v>
      </c>
      <c r="C77" s="79">
        <v>261</v>
      </c>
      <c r="D77" s="79">
        <v>246</v>
      </c>
      <c r="E77" s="79">
        <v>17</v>
      </c>
      <c r="F77" s="79">
        <v>71587</v>
      </c>
      <c r="G77" s="79">
        <v>14231</v>
      </c>
      <c r="H77" s="79">
        <v>14189</v>
      </c>
      <c r="I77" s="79">
        <v>40</v>
      </c>
      <c r="J77" s="79">
        <v>55204</v>
      </c>
      <c r="K77" s="79">
        <v>53103</v>
      </c>
      <c r="L77" s="79">
        <v>2093</v>
      </c>
      <c r="M77" s="79">
        <v>540</v>
      </c>
      <c r="N77" s="79">
        <v>54</v>
      </c>
      <c r="O77" s="79">
        <v>1462</v>
      </c>
      <c r="P77" s="80" t="s">
        <v>496</v>
      </c>
      <c r="Q77" s="79">
        <v>1151</v>
      </c>
      <c r="R77" s="79">
        <v>31</v>
      </c>
      <c r="S77" s="79">
        <v>106</v>
      </c>
      <c r="T77" s="79">
        <v>1009</v>
      </c>
      <c r="U77" s="79">
        <v>4440</v>
      </c>
      <c r="V77" s="79">
        <v>2293</v>
      </c>
      <c r="W77" s="79">
        <v>1343</v>
      </c>
      <c r="X77" s="79">
        <v>645</v>
      </c>
      <c r="Y77" s="79">
        <v>225</v>
      </c>
      <c r="Z77" s="79">
        <v>2138</v>
      </c>
      <c r="AA77" s="79">
        <v>23595</v>
      </c>
      <c r="AB77" s="79">
        <v>7180</v>
      </c>
      <c r="AC77" s="79">
        <v>2287</v>
      </c>
      <c r="AD77" s="79">
        <v>13899</v>
      </c>
      <c r="AE77" s="79">
        <v>2253</v>
      </c>
      <c r="AF77" s="79">
        <v>3165</v>
      </c>
      <c r="AG77" s="79">
        <v>5509</v>
      </c>
      <c r="AH77" s="79">
        <v>2016</v>
      </c>
      <c r="AI77" s="79">
        <v>952</v>
      </c>
      <c r="AJ77" s="79">
        <v>465</v>
      </c>
      <c r="AK77" s="79">
        <v>504</v>
      </c>
      <c r="AL77" s="79">
        <v>389</v>
      </c>
      <c r="AM77" s="79">
        <v>15418</v>
      </c>
      <c r="AN77" s="79">
        <v>77</v>
      </c>
      <c r="AO77" s="79">
        <v>684</v>
      </c>
      <c r="AP77" s="79">
        <v>540</v>
      </c>
      <c r="AQ77" s="79">
        <v>14030</v>
      </c>
      <c r="AR77" s="79">
        <v>3767</v>
      </c>
      <c r="AS77" s="79">
        <v>6115</v>
      </c>
      <c r="AT77" s="79">
        <v>4242</v>
      </c>
      <c r="AU77" s="80" t="s">
        <v>496</v>
      </c>
      <c r="AV77" s="79">
        <v>7300</v>
      </c>
      <c r="AW77" s="79">
        <v>42188</v>
      </c>
      <c r="AX77" s="79">
        <v>34150</v>
      </c>
      <c r="AY77" s="79">
        <v>32239</v>
      </c>
      <c r="AZ77" s="79">
        <v>1837</v>
      </c>
      <c r="BA77" s="79">
        <v>7938</v>
      </c>
      <c r="BB77" s="79">
        <v>35492</v>
      </c>
      <c r="BC77" s="79">
        <v>2192</v>
      </c>
      <c r="BD77" s="79">
        <v>1323</v>
      </c>
      <c r="BE77" s="79">
        <v>3513</v>
      </c>
      <c r="BF77" s="79">
        <v>7673</v>
      </c>
      <c r="BG77" s="79">
        <v>4592</v>
      </c>
      <c r="BH77" s="79">
        <v>690</v>
      </c>
      <c r="BI77" s="79">
        <v>780</v>
      </c>
      <c r="BJ77" s="79">
        <v>540</v>
      </c>
      <c r="BK77" s="79">
        <v>863</v>
      </c>
      <c r="BL77" s="79">
        <v>15960</v>
      </c>
      <c r="BM77" s="79">
        <v>14501</v>
      </c>
      <c r="BN77" s="79">
        <v>4666</v>
      </c>
      <c r="BO77" s="79">
        <v>4680</v>
      </c>
    </row>
    <row r="78" spans="1:67" x14ac:dyDescent="0.35">
      <c r="A78" s="78" t="s">
        <v>534</v>
      </c>
      <c r="B78" s="79">
        <v>187443</v>
      </c>
      <c r="C78" s="79">
        <v>265</v>
      </c>
      <c r="D78" s="79">
        <v>246</v>
      </c>
      <c r="E78" s="79">
        <v>20</v>
      </c>
      <c r="F78" s="79">
        <v>71699</v>
      </c>
      <c r="G78" s="79">
        <v>14464</v>
      </c>
      <c r="H78" s="79">
        <v>14421</v>
      </c>
      <c r="I78" s="79">
        <v>42</v>
      </c>
      <c r="J78" s="79">
        <v>55101</v>
      </c>
      <c r="K78" s="79">
        <v>53001</v>
      </c>
      <c r="L78" s="79">
        <v>2091</v>
      </c>
      <c r="M78" s="79">
        <v>536</v>
      </c>
      <c r="N78" s="79">
        <v>43</v>
      </c>
      <c r="O78" s="79">
        <v>1471</v>
      </c>
      <c r="P78" s="80" t="s">
        <v>496</v>
      </c>
      <c r="Q78" s="79">
        <v>1529</v>
      </c>
      <c r="R78" s="79">
        <v>42</v>
      </c>
      <c r="S78" s="79">
        <v>106</v>
      </c>
      <c r="T78" s="79">
        <v>1384</v>
      </c>
      <c r="U78" s="79">
        <v>4548</v>
      </c>
      <c r="V78" s="79">
        <v>2351</v>
      </c>
      <c r="W78" s="79">
        <v>1360</v>
      </c>
      <c r="X78" s="79">
        <v>652</v>
      </c>
      <c r="Y78" s="79">
        <v>257</v>
      </c>
      <c r="Z78" s="79">
        <v>2185</v>
      </c>
      <c r="AA78" s="79">
        <v>23371</v>
      </c>
      <c r="AB78" s="79">
        <v>6766</v>
      </c>
      <c r="AC78" s="79">
        <v>2394</v>
      </c>
      <c r="AD78" s="79">
        <v>13981</v>
      </c>
      <c r="AE78" s="79">
        <v>2247</v>
      </c>
      <c r="AF78" s="79">
        <v>3262</v>
      </c>
      <c r="AG78" s="79">
        <v>5371</v>
      </c>
      <c r="AH78" s="79">
        <v>2234</v>
      </c>
      <c r="AI78" s="79">
        <v>938</v>
      </c>
      <c r="AJ78" s="79">
        <v>474</v>
      </c>
      <c r="AK78" s="79">
        <v>481</v>
      </c>
      <c r="AL78" s="79">
        <v>398</v>
      </c>
      <c r="AM78" s="79">
        <v>15991</v>
      </c>
      <c r="AN78" s="79">
        <v>66</v>
      </c>
      <c r="AO78" s="79">
        <v>690</v>
      </c>
      <c r="AP78" s="79">
        <v>611</v>
      </c>
      <c r="AQ78" s="79">
        <v>14546</v>
      </c>
      <c r="AR78" s="79">
        <v>3730</v>
      </c>
      <c r="AS78" s="79">
        <v>6515</v>
      </c>
      <c r="AT78" s="79">
        <v>4378</v>
      </c>
      <c r="AU78" s="80" t="s">
        <v>496</v>
      </c>
      <c r="AV78" s="79">
        <v>7119</v>
      </c>
      <c r="AW78" s="79">
        <v>42237</v>
      </c>
      <c r="AX78" s="79">
        <v>33874</v>
      </c>
      <c r="AY78" s="79">
        <v>31963</v>
      </c>
      <c r="AZ78" s="79">
        <v>1835</v>
      </c>
      <c r="BA78" s="79">
        <v>8266</v>
      </c>
      <c r="BB78" s="79">
        <v>33450</v>
      </c>
      <c r="BC78" s="79">
        <v>2191</v>
      </c>
      <c r="BD78" s="79">
        <v>1326</v>
      </c>
      <c r="BE78" s="79">
        <v>3454</v>
      </c>
      <c r="BF78" s="79">
        <v>6252</v>
      </c>
      <c r="BG78" s="79">
        <v>3289</v>
      </c>
      <c r="BH78" s="79">
        <v>668</v>
      </c>
      <c r="BI78" s="79">
        <v>688</v>
      </c>
      <c r="BJ78" s="79">
        <v>539</v>
      </c>
      <c r="BK78" s="79">
        <v>797</v>
      </c>
      <c r="BL78" s="79">
        <v>16084</v>
      </c>
      <c r="BM78" s="79">
        <v>14536</v>
      </c>
      <c r="BN78" s="79">
        <v>4731</v>
      </c>
      <c r="BO78" s="79">
        <v>4216</v>
      </c>
    </row>
    <row r="79" spans="1:67" x14ac:dyDescent="0.35">
      <c r="A79" s="78" t="s">
        <v>535</v>
      </c>
      <c r="B79" s="79">
        <v>186227</v>
      </c>
      <c r="C79" s="79">
        <v>275</v>
      </c>
      <c r="D79" s="79">
        <v>252</v>
      </c>
      <c r="E79" s="79">
        <v>21</v>
      </c>
      <c r="F79" s="79">
        <v>71763</v>
      </c>
      <c r="G79" s="79">
        <v>14788</v>
      </c>
      <c r="H79" s="79">
        <v>14746</v>
      </c>
      <c r="I79" s="79">
        <v>41</v>
      </c>
      <c r="J79" s="79">
        <v>54925</v>
      </c>
      <c r="K79" s="79">
        <v>52884</v>
      </c>
      <c r="L79" s="79">
        <v>2032</v>
      </c>
      <c r="M79" s="79">
        <v>480</v>
      </c>
      <c r="N79" s="79">
        <v>45</v>
      </c>
      <c r="O79" s="79">
        <v>1457</v>
      </c>
      <c r="P79" s="80" t="s">
        <v>496</v>
      </c>
      <c r="Q79" s="79">
        <v>1324</v>
      </c>
      <c r="R79" s="79">
        <v>38</v>
      </c>
      <c r="S79" s="79">
        <v>96</v>
      </c>
      <c r="T79" s="79">
        <v>1190</v>
      </c>
      <c r="U79" s="79">
        <v>3231</v>
      </c>
      <c r="V79" s="79">
        <v>1427</v>
      </c>
      <c r="W79" s="79">
        <v>519</v>
      </c>
      <c r="X79" s="79">
        <v>614</v>
      </c>
      <c r="Y79" s="79">
        <v>305</v>
      </c>
      <c r="Z79" s="79">
        <v>1900</v>
      </c>
      <c r="AA79" s="79">
        <v>23177</v>
      </c>
      <c r="AB79" s="79">
        <v>6286</v>
      </c>
      <c r="AC79" s="79">
        <v>2387</v>
      </c>
      <c r="AD79" s="79">
        <v>14286</v>
      </c>
      <c r="AE79" s="79">
        <v>2202</v>
      </c>
      <c r="AF79" s="79">
        <v>3260</v>
      </c>
      <c r="AG79" s="79">
        <v>5696</v>
      </c>
      <c r="AH79" s="79">
        <v>2200</v>
      </c>
      <c r="AI79" s="79">
        <v>958</v>
      </c>
      <c r="AJ79" s="79">
        <v>496</v>
      </c>
      <c r="AK79" s="79">
        <v>453</v>
      </c>
      <c r="AL79" s="79">
        <v>418</v>
      </c>
      <c r="AM79" s="79">
        <v>15597</v>
      </c>
      <c r="AN79" s="79">
        <v>50</v>
      </c>
      <c r="AO79" s="79">
        <v>713</v>
      </c>
      <c r="AP79" s="79">
        <v>646</v>
      </c>
      <c r="AQ79" s="79">
        <v>14113</v>
      </c>
      <c r="AR79" s="79">
        <v>3664</v>
      </c>
      <c r="AS79" s="79">
        <v>6457</v>
      </c>
      <c r="AT79" s="79">
        <v>4054</v>
      </c>
      <c r="AU79" s="80" t="s">
        <v>496</v>
      </c>
      <c r="AV79" s="79">
        <v>7293</v>
      </c>
      <c r="AW79" s="79">
        <v>42156</v>
      </c>
      <c r="AX79" s="79">
        <v>33849</v>
      </c>
      <c r="AY79" s="79">
        <v>31939</v>
      </c>
      <c r="AZ79" s="79">
        <v>1833</v>
      </c>
      <c r="BA79" s="79">
        <v>8210</v>
      </c>
      <c r="BB79" s="79">
        <v>33516</v>
      </c>
      <c r="BC79" s="79">
        <v>2270</v>
      </c>
      <c r="BD79" s="79">
        <v>1327</v>
      </c>
      <c r="BE79" s="79">
        <v>3536</v>
      </c>
      <c r="BF79" s="79">
        <v>5400</v>
      </c>
      <c r="BG79" s="79">
        <v>3274</v>
      </c>
      <c r="BH79" s="79">
        <v>393</v>
      </c>
      <c r="BI79" s="79">
        <v>556</v>
      </c>
      <c r="BJ79" s="79">
        <v>552</v>
      </c>
      <c r="BK79" s="79">
        <v>485</v>
      </c>
      <c r="BL79" s="79">
        <v>16820</v>
      </c>
      <c r="BM79" s="79">
        <v>14548</v>
      </c>
      <c r="BN79" s="79">
        <v>5155</v>
      </c>
      <c r="BO79" s="79">
        <v>4410</v>
      </c>
    </row>
    <row r="80" spans="1:67" x14ac:dyDescent="0.35">
      <c r="A80" s="78" t="s">
        <v>536</v>
      </c>
      <c r="B80" s="79">
        <v>186602</v>
      </c>
      <c r="C80" s="79">
        <v>281</v>
      </c>
      <c r="D80" s="79">
        <v>262</v>
      </c>
      <c r="E80" s="79">
        <v>21</v>
      </c>
      <c r="F80" s="79">
        <v>72110</v>
      </c>
      <c r="G80" s="79">
        <v>14974</v>
      </c>
      <c r="H80" s="79">
        <v>14932</v>
      </c>
      <c r="I80" s="79">
        <v>41</v>
      </c>
      <c r="J80" s="79">
        <v>55057</v>
      </c>
      <c r="K80" s="79">
        <v>53037</v>
      </c>
      <c r="L80" s="79">
        <v>2010</v>
      </c>
      <c r="M80" s="79">
        <v>510</v>
      </c>
      <c r="N80" s="79">
        <v>62</v>
      </c>
      <c r="O80" s="79">
        <v>1438</v>
      </c>
      <c r="P80" s="80" t="s">
        <v>496</v>
      </c>
      <c r="Q80" s="79">
        <v>1306</v>
      </c>
      <c r="R80" s="79">
        <v>23</v>
      </c>
      <c r="S80" s="79">
        <v>105</v>
      </c>
      <c r="T80" s="79">
        <v>1176</v>
      </c>
      <c r="U80" s="79">
        <v>3280</v>
      </c>
      <c r="V80" s="79">
        <v>1484</v>
      </c>
      <c r="W80" s="79">
        <v>596</v>
      </c>
      <c r="X80" s="79">
        <v>627</v>
      </c>
      <c r="Y80" s="79">
        <v>265</v>
      </c>
      <c r="Z80" s="79">
        <v>1879</v>
      </c>
      <c r="AA80" s="79">
        <v>23719</v>
      </c>
      <c r="AB80" s="79">
        <v>6628</v>
      </c>
      <c r="AC80" s="79">
        <v>2348</v>
      </c>
      <c r="AD80" s="79">
        <v>14518</v>
      </c>
      <c r="AE80" s="79">
        <v>2141</v>
      </c>
      <c r="AF80" s="79">
        <v>3508</v>
      </c>
      <c r="AG80" s="79">
        <v>5544</v>
      </c>
      <c r="AH80" s="79">
        <v>2405</v>
      </c>
      <c r="AI80" s="79">
        <v>1056</v>
      </c>
      <c r="AJ80" s="79">
        <v>506</v>
      </c>
      <c r="AK80" s="79">
        <v>427</v>
      </c>
      <c r="AL80" s="79">
        <v>428</v>
      </c>
      <c r="AM80" s="79">
        <v>15874</v>
      </c>
      <c r="AN80" s="79">
        <v>43</v>
      </c>
      <c r="AO80" s="79">
        <v>702</v>
      </c>
      <c r="AP80" s="79">
        <v>671</v>
      </c>
      <c r="AQ80" s="79">
        <v>14388</v>
      </c>
      <c r="AR80" s="79">
        <v>3733</v>
      </c>
      <c r="AS80" s="79">
        <v>6598</v>
      </c>
      <c r="AT80" s="79">
        <v>4120</v>
      </c>
      <c r="AU80" s="80" t="s">
        <v>496</v>
      </c>
      <c r="AV80" s="79">
        <v>7452</v>
      </c>
      <c r="AW80" s="79">
        <v>41901</v>
      </c>
      <c r="AX80" s="79">
        <v>33493</v>
      </c>
      <c r="AY80" s="79">
        <v>31577</v>
      </c>
      <c r="AZ80" s="79">
        <v>1834</v>
      </c>
      <c r="BA80" s="79">
        <v>8312</v>
      </c>
      <c r="BB80" s="79">
        <v>32812</v>
      </c>
      <c r="BC80" s="79">
        <v>2286</v>
      </c>
      <c r="BD80" s="79">
        <v>1324</v>
      </c>
      <c r="BE80" s="79">
        <v>3585</v>
      </c>
      <c r="BF80" s="79">
        <v>4918</v>
      </c>
      <c r="BG80" s="79">
        <v>3325</v>
      </c>
      <c r="BH80" s="79">
        <v>319</v>
      </c>
      <c r="BI80" s="79">
        <v>422</v>
      </c>
      <c r="BJ80" s="79">
        <v>340</v>
      </c>
      <c r="BK80" s="79">
        <v>469</v>
      </c>
      <c r="BL80" s="79">
        <v>16807</v>
      </c>
      <c r="BM80" s="79">
        <v>14667</v>
      </c>
      <c r="BN80" s="79">
        <v>5113</v>
      </c>
      <c r="BO80" s="79">
        <v>4224</v>
      </c>
    </row>
    <row r="81" spans="1:67" x14ac:dyDescent="0.35">
      <c r="A81" s="78" t="s">
        <v>537</v>
      </c>
      <c r="B81" s="79">
        <v>188238</v>
      </c>
      <c r="C81" s="79">
        <v>278</v>
      </c>
      <c r="D81" s="79">
        <v>258</v>
      </c>
      <c r="E81" s="79">
        <v>21</v>
      </c>
      <c r="F81" s="79">
        <v>72695</v>
      </c>
      <c r="G81" s="79">
        <v>15291</v>
      </c>
      <c r="H81" s="79">
        <v>15248</v>
      </c>
      <c r="I81" s="79">
        <v>42</v>
      </c>
      <c r="J81" s="79">
        <v>55240</v>
      </c>
      <c r="K81" s="79">
        <v>53195</v>
      </c>
      <c r="L81" s="79">
        <v>2036</v>
      </c>
      <c r="M81" s="79">
        <v>581</v>
      </c>
      <c r="N81" s="79">
        <v>87</v>
      </c>
      <c r="O81" s="79">
        <v>1428</v>
      </c>
      <c r="P81" s="80" t="s">
        <v>496</v>
      </c>
      <c r="Q81" s="79">
        <v>1211</v>
      </c>
      <c r="R81" s="79">
        <v>19</v>
      </c>
      <c r="S81" s="79">
        <v>96</v>
      </c>
      <c r="T81" s="79">
        <v>1094</v>
      </c>
      <c r="U81" s="79">
        <v>3629</v>
      </c>
      <c r="V81" s="79">
        <v>1729</v>
      </c>
      <c r="W81" s="79">
        <v>829</v>
      </c>
      <c r="X81" s="79">
        <v>654</v>
      </c>
      <c r="Y81" s="79">
        <v>229</v>
      </c>
      <c r="Z81" s="79">
        <v>1952</v>
      </c>
      <c r="AA81" s="79">
        <v>23567</v>
      </c>
      <c r="AB81" s="79">
        <v>6372</v>
      </c>
      <c r="AC81" s="79">
        <v>2433</v>
      </c>
      <c r="AD81" s="79">
        <v>14547</v>
      </c>
      <c r="AE81" s="79">
        <v>2123</v>
      </c>
      <c r="AF81" s="79">
        <v>3541</v>
      </c>
      <c r="AG81" s="79">
        <v>5547</v>
      </c>
      <c r="AH81" s="79">
        <v>2402</v>
      </c>
      <c r="AI81" s="79">
        <v>1079</v>
      </c>
      <c r="AJ81" s="79">
        <v>525</v>
      </c>
      <c r="AK81" s="79">
        <v>447</v>
      </c>
      <c r="AL81" s="79">
        <v>444</v>
      </c>
      <c r="AM81" s="79">
        <v>15757</v>
      </c>
      <c r="AN81" s="79">
        <v>50</v>
      </c>
      <c r="AO81" s="79">
        <v>702</v>
      </c>
      <c r="AP81" s="79">
        <v>704</v>
      </c>
      <c r="AQ81" s="79">
        <v>14231</v>
      </c>
      <c r="AR81" s="79">
        <v>3654</v>
      </c>
      <c r="AS81" s="79">
        <v>6564</v>
      </c>
      <c r="AT81" s="79">
        <v>4072</v>
      </c>
      <c r="AU81" s="80" t="s">
        <v>496</v>
      </c>
      <c r="AV81" s="79">
        <v>7629</v>
      </c>
      <c r="AW81" s="79">
        <v>42264</v>
      </c>
      <c r="AX81" s="79">
        <v>33544</v>
      </c>
      <c r="AY81" s="79">
        <v>31676</v>
      </c>
      <c r="AZ81" s="79">
        <v>1797</v>
      </c>
      <c r="BA81" s="79">
        <v>8626</v>
      </c>
      <c r="BB81" s="79">
        <v>33249</v>
      </c>
      <c r="BC81" s="79">
        <v>2277</v>
      </c>
      <c r="BD81" s="79">
        <v>1335</v>
      </c>
      <c r="BE81" s="79">
        <v>3709</v>
      </c>
      <c r="BF81" s="79">
        <v>4834</v>
      </c>
      <c r="BG81" s="79">
        <v>3629</v>
      </c>
      <c r="BH81" s="79">
        <v>305</v>
      </c>
      <c r="BI81" s="79">
        <v>336</v>
      </c>
      <c r="BJ81" s="79">
        <v>234</v>
      </c>
      <c r="BK81" s="79">
        <v>371</v>
      </c>
      <c r="BL81" s="79">
        <v>17039</v>
      </c>
      <c r="BM81" s="79">
        <v>14688</v>
      </c>
      <c r="BN81" s="79">
        <v>5241</v>
      </c>
      <c r="BO81" s="79">
        <v>4449</v>
      </c>
    </row>
    <row r="82" spans="1:67" x14ac:dyDescent="0.35">
      <c r="A82" s="78" t="s">
        <v>538</v>
      </c>
      <c r="B82" s="79">
        <v>187650</v>
      </c>
      <c r="C82" s="79">
        <v>288</v>
      </c>
      <c r="D82" s="79">
        <v>266</v>
      </c>
      <c r="E82" s="79">
        <v>22</v>
      </c>
      <c r="F82" s="79">
        <v>73050</v>
      </c>
      <c r="G82" s="79">
        <v>15553</v>
      </c>
      <c r="H82" s="79">
        <v>15508</v>
      </c>
      <c r="I82" s="79">
        <v>44</v>
      </c>
      <c r="J82" s="79">
        <v>55319</v>
      </c>
      <c r="K82" s="79">
        <v>53238</v>
      </c>
      <c r="L82" s="79">
        <v>2072</v>
      </c>
      <c r="M82" s="79">
        <v>601</v>
      </c>
      <c r="N82" s="79">
        <v>99</v>
      </c>
      <c r="O82" s="79">
        <v>1412</v>
      </c>
      <c r="P82" s="80" t="s">
        <v>496</v>
      </c>
      <c r="Q82" s="79">
        <v>1281</v>
      </c>
      <c r="R82" s="79">
        <v>12</v>
      </c>
      <c r="S82" s="79">
        <v>109</v>
      </c>
      <c r="T82" s="79">
        <v>1157</v>
      </c>
      <c r="U82" s="79">
        <v>3650</v>
      </c>
      <c r="V82" s="79">
        <v>1843</v>
      </c>
      <c r="W82" s="79">
        <v>864</v>
      </c>
      <c r="X82" s="79">
        <v>783</v>
      </c>
      <c r="Y82" s="79">
        <v>191</v>
      </c>
      <c r="Z82" s="79">
        <v>1817</v>
      </c>
      <c r="AA82" s="79">
        <v>23262</v>
      </c>
      <c r="AB82" s="79">
        <v>5958</v>
      </c>
      <c r="AC82" s="79">
        <v>2414</v>
      </c>
      <c r="AD82" s="79">
        <v>14681</v>
      </c>
      <c r="AE82" s="79">
        <v>2209</v>
      </c>
      <c r="AF82" s="79">
        <v>3497</v>
      </c>
      <c r="AG82" s="79">
        <v>5801</v>
      </c>
      <c r="AH82" s="79">
        <v>2005</v>
      </c>
      <c r="AI82" s="79">
        <v>1190</v>
      </c>
      <c r="AJ82" s="79">
        <v>545</v>
      </c>
      <c r="AK82" s="79">
        <v>438</v>
      </c>
      <c r="AL82" s="79">
        <v>461</v>
      </c>
      <c r="AM82" s="79">
        <v>15983</v>
      </c>
      <c r="AN82" s="79">
        <v>55</v>
      </c>
      <c r="AO82" s="79">
        <v>701</v>
      </c>
      <c r="AP82" s="79">
        <v>709</v>
      </c>
      <c r="AQ82" s="79">
        <v>14447</v>
      </c>
      <c r="AR82" s="79">
        <v>3660</v>
      </c>
      <c r="AS82" s="79">
        <v>6557</v>
      </c>
      <c r="AT82" s="79">
        <v>4298</v>
      </c>
      <c r="AU82" s="80" t="s">
        <v>496</v>
      </c>
      <c r="AV82" s="79">
        <v>7082</v>
      </c>
      <c r="AW82" s="79">
        <v>41934</v>
      </c>
      <c r="AX82" s="79">
        <v>33515</v>
      </c>
      <c r="AY82" s="79">
        <v>31647</v>
      </c>
      <c r="AZ82" s="79">
        <v>1796</v>
      </c>
      <c r="BA82" s="79">
        <v>8322</v>
      </c>
      <c r="BB82" s="79">
        <v>32544</v>
      </c>
      <c r="BC82" s="79">
        <v>2230</v>
      </c>
      <c r="BD82" s="79">
        <v>1337</v>
      </c>
      <c r="BE82" s="79">
        <v>3543</v>
      </c>
      <c r="BF82" s="79">
        <v>4269</v>
      </c>
      <c r="BG82" s="79">
        <v>2896</v>
      </c>
      <c r="BH82" s="79">
        <v>327</v>
      </c>
      <c r="BI82" s="79">
        <v>323</v>
      </c>
      <c r="BJ82" s="79">
        <v>304</v>
      </c>
      <c r="BK82" s="79">
        <v>381</v>
      </c>
      <c r="BL82" s="79">
        <v>17398</v>
      </c>
      <c r="BM82" s="79">
        <v>14824</v>
      </c>
      <c r="BN82" s="79">
        <v>5405</v>
      </c>
      <c r="BO82" s="79">
        <v>4211</v>
      </c>
    </row>
    <row r="83" spans="1:67" x14ac:dyDescent="0.35">
      <c r="A83" s="78" t="s">
        <v>539</v>
      </c>
      <c r="B83" s="79">
        <v>190737</v>
      </c>
      <c r="C83" s="79">
        <v>290</v>
      </c>
      <c r="D83" s="79">
        <v>271</v>
      </c>
      <c r="E83" s="79">
        <v>20</v>
      </c>
      <c r="F83" s="79">
        <v>73335</v>
      </c>
      <c r="G83" s="79">
        <v>15616</v>
      </c>
      <c r="H83" s="79">
        <v>15568</v>
      </c>
      <c r="I83" s="79">
        <v>47</v>
      </c>
      <c r="J83" s="79">
        <v>55522</v>
      </c>
      <c r="K83" s="79">
        <v>53411</v>
      </c>
      <c r="L83" s="79">
        <v>2103</v>
      </c>
      <c r="M83" s="79">
        <v>633</v>
      </c>
      <c r="N83" s="79">
        <v>91</v>
      </c>
      <c r="O83" s="79">
        <v>1398</v>
      </c>
      <c r="P83" s="80" t="s">
        <v>496</v>
      </c>
      <c r="Q83" s="79">
        <v>1110</v>
      </c>
      <c r="R83" s="79">
        <v>13</v>
      </c>
      <c r="S83" s="79">
        <v>115</v>
      </c>
      <c r="T83" s="79">
        <v>974</v>
      </c>
      <c r="U83" s="79">
        <v>4202</v>
      </c>
      <c r="V83" s="79">
        <v>2204</v>
      </c>
      <c r="W83" s="79">
        <v>1134</v>
      </c>
      <c r="X83" s="79">
        <v>864</v>
      </c>
      <c r="Y83" s="79">
        <v>181</v>
      </c>
      <c r="Z83" s="79">
        <v>1977</v>
      </c>
      <c r="AA83" s="79">
        <v>23809</v>
      </c>
      <c r="AB83" s="79">
        <v>6321</v>
      </c>
      <c r="AC83" s="79">
        <v>2384</v>
      </c>
      <c r="AD83" s="79">
        <v>14886</v>
      </c>
      <c r="AE83" s="79">
        <v>2245</v>
      </c>
      <c r="AF83" s="79">
        <v>3285</v>
      </c>
      <c r="AG83" s="79">
        <v>5867</v>
      </c>
      <c r="AH83" s="79">
        <v>2364</v>
      </c>
      <c r="AI83" s="79">
        <v>1266</v>
      </c>
      <c r="AJ83" s="79">
        <v>535</v>
      </c>
      <c r="AK83" s="79">
        <v>485</v>
      </c>
      <c r="AL83" s="79">
        <v>451</v>
      </c>
      <c r="AM83" s="79">
        <v>15905</v>
      </c>
      <c r="AN83" s="79">
        <v>56</v>
      </c>
      <c r="AO83" s="79">
        <v>695</v>
      </c>
      <c r="AP83" s="79">
        <v>718</v>
      </c>
      <c r="AQ83" s="79">
        <v>14364</v>
      </c>
      <c r="AR83" s="79">
        <v>3646</v>
      </c>
      <c r="AS83" s="79">
        <v>6622</v>
      </c>
      <c r="AT83" s="79">
        <v>4155</v>
      </c>
      <c r="AU83" s="80" t="s">
        <v>496</v>
      </c>
      <c r="AV83" s="79">
        <v>7381</v>
      </c>
      <c r="AW83" s="79">
        <v>41558</v>
      </c>
      <c r="AX83" s="79">
        <v>33231</v>
      </c>
      <c r="AY83" s="79">
        <v>31432</v>
      </c>
      <c r="AZ83" s="79">
        <v>1737</v>
      </c>
      <c r="BA83" s="79">
        <v>8231</v>
      </c>
      <c r="BB83" s="79">
        <v>34876</v>
      </c>
      <c r="BC83" s="79">
        <v>2184</v>
      </c>
      <c r="BD83" s="79">
        <v>1326</v>
      </c>
      <c r="BE83" s="79">
        <v>3494</v>
      </c>
      <c r="BF83" s="79">
        <v>6165</v>
      </c>
      <c r="BG83" s="79">
        <v>3702</v>
      </c>
      <c r="BH83" s="79">
        <v>637</v>
      </c>
      <c r="BI83" s="79">
        <v>662</v>
      </c>
      <c r="BJ83" s="79">
        <v>397</v>
      </c>
      <c r="BK83" s="79">
        <v>750</v>
      </c>
      <c r="BL83" s="79">
        <v>17327</v>
      </c>
      <c r="BM83" s="79">
        <v>14896</v>
      </c>
      <c r="BN83" s="79">
        <v>5339</v>
      </c>
      <c r="BO83" s="79">
        <v>4226</v>
      </c>
    </row>
    <row r="84" spans="1:67" x14ac:dyDescent="0.35">
      <c r="A84" s="78" t="s">
        <v>540</v>
      </c>
      <c r="B84" s="79">
        <v>193789</v>
      </c>
      <c r="C84" s="79">
        <v>285</v>
      </c>
      <c r="D84" s="79">
        <v>269</v>
      </c>
      <c r="E84" s="79">
        <v>19</v>
      </c>
      <c r="F84" s="79">
        <v>73611</v>
      </c>
      <c r="G84" s="79">
        <v>15942</v>
      </c>
      <c r="H84" s="79">
        <v>15895</v>
      </c>
      <c r="I84" s="79">
        <v>46</v>
      </c>
      <c r="J84" s="79">
        <v>55544</v>
      </c>
      <c r="K84" s="79">
        <v>53405</v>
      </c>
      <c r="L84" s="79">
        <v>2131</v>
      </c>
      <c r="M84" s="79">
        <v>599</v>
      </c>
      <c r="N84" s="79">
        <v>61</v>
      </c>
      <c r="O84" s="79">
        <v>1402</v>
      </c>
      <c r="P84" s="80" t="s">
        <v>496</v>
      </c>
      <c r="Q84" s="79">
        <v>1055</v>
      </c>
      <c r="R84" s="79">
        <v>15</v>
      </c>
      <c r="S84" s="79">
        <v>101</v>
      </c>
      <c r="T84" s="79">
        <v>934</v>
      </c>
      <c r="U84" s="79">
        <v>4148</v>
      </c>
      <c r="V84" s="79">
        <v>2233</v>
      </c>
      <c r="W84" s="79">
        <v>1108</v>
      </c>
      <c r="X84" s="79">
        <v>938</v>
      </c>
      <c r="Y84" s="79">
        <v>174</v>
      </c>
      <c r="Z84" s="79">
        <v>1872</v>
      </c>
      <c r="AA84" s="79">
        <v>23994</v>
      </c>
      <c r="AB84" s="79">
        <v>6599</v>
      </c>
      <c r="AC84" s="79">
        <v>2325</v>
      </c>
      <c r="AD84" s="79">
        <v>14842</v>
      </c>
      <c r="AE84" s="79">
        <v>2213</v>
      </c>
      <c r="AF84" s="79">
        <v>3490</v>
      </c>
      <c r="AG84" s="79">
        <v>5899</v>
      </c>
      <c r="AH84" s="79">
        <v>2161</v>
      </c>
      <c r="AI84" s="79">
        <v>1107</v>
      </c>
      <c r="AJ84" s="79">
        <v>554</v>
      </c>
      <c r="AK84" s="79">
        <v>516</v>
      </c>
      <c r="AL84" s="79">
        <v>466</v>
      </c>
      <c r="AM84" s="79">
        <v>15514</v>
      </c>
      <c r="AN84" s="79">
        <v>49</v>
      </c>
      <c r="AO84" s="79">
        <v>692</v>
      </c>
      <c r="AP84" s="79">
        <v>688</v>
      </c>
      <c r="AQ84" s="79">
        <v>14016</v>
      </c>
      <c r="AR84" s="79">
        <v>3386</v>
      </c>
      <c r="AS84" s="79">
        <v>6611</v>
      </c>
      <c r="AT84" s="79">
        <v>4061</v>
      </c>
      <c r="AU84" s="80" t="s">
        <v>496</v>
      </c>
      <c r="AV84" s="79">
        <v>7688</v>
      </c>
      <c r="AW84" s="79">
        <v>42401</v>
      </c>
      <c r="AX84" s="79">
        <v>33961</v>
      </c>
      <c r="AY84" s="79">
        <v>32150</v>
      </c>
      <c r="AZ84" s="79">
        <v>1751</v>
      </c>
      <c r="BA84" s="79">
        <v>8342</v>
      </c>
      <c r="BB84" s="79">
        <v>36803</v>
      </c>
      <c r="BC84" s="79">
        <v>2182</v>
      </c>
      <c r="BD84" s="79">
        <v>1340</v>
      </c>
      <c r="BE84" s="79">
        <v>3402</v>
      </c>
      <c r="BF84" s="79">
        <v>7127</v>
      </c>
      <c r="BG84" s="79">
        <v>3693</v>
      </c>
      <c r="BH84" s="79">
        <v>719</v>
      </c>
      <c r="BI84" s="79">
        <v>945</v>
      </c>
      <c r="BJ84" s="79">
        <v>807</v>
      </c>
      <c r="BK84" s="79">
        <v>987</v>
      </c>
      <c r="BL84" s="79">
        <v>17661</v>
      </c>
      <c r="BM84" s="79">
        <v>15000</v>
      </c>
      <c r="BN84" s="79">
        <v>5499</v>
      </c>
      <c r="BO84" s="79">
        <v>4668</v>
      </c>
    </row>
    <row r="85" spans="1:67" x14ac:dyDescent="0.35">
      <c r="A85" s="78" t="s">
        <v>541</v>
      </c>
      <c r="B85" s="79">
        <v>196028</v>
      </c>
      <c r="C85" s="79">
        <v>281</v>
      </c>
      <c r="D85" s="79">
        <v>262</v>
      </c>
      <c r="E85" s="79">
        <v>20</v>
      </c>
      <c r="F85" s="79">
        <v>73690</v>
      </c>
      <c r="G85" s="79">
        <v>16290</v>
      </c>
      <c r="H85" s="79">
        <v>16245</v>
      </c>
      <c r="I85" s="79">
        <v>44</v>
      </c>
      <c r="J85" s="79">
        <v>55315</v>
      </c>
      <c r="K85" s="79">
        <v>53188</v>
      </c>
      <c r="L85" s="79">
        <v>2119</v>
      </c>
      <c r="M85" s="79">
        <v>579</v>
      </c>
      <c r="N85" s="79">
        <v>47</v>
      </c>
      <c r="O85" s="79">
        <v>1410</v>
      </c>
      <c r="P85" s="80" t="s">
        <v>496</v>
      </c>
      <c r="Q85" s="79">
        <v>1091</v>
      </c>
      <c r="R85" s="79">
        <v>20</v>
      </c>
      <c r="S85" s="79">
        <v>88</v>
      </c>
      <c r="T85" s="79">
        <v>981</v>
      </c>
      <c r="U85" s="79">
        <v>4077</v>
      </c>
      <c r="V85" s="79">
        <v>2177</v>
      </c>
      <c r="W85" s="79">
        <v>1087</v>
      </c>
      <c r="X85" s="79">
        <v>904</v>
      </c>
      <c r="Y85" s="79">
        <v>171</v>
      </c>
      <c r="Z85" s="79">
        <v>1867</v>
      </c>
      <c r="AA85" s="79">
        <v>24899</v>
      </c>
      <c r="AB85" s="79">
        <v>6866</v>
      </c>
      <c r="AC85" s="79">
        <v>2462</v>
      </c>
      <c r="AD85" s="79">
        <v>15333</v>
      </c>
      <c r="AE85" s="79">
        <v>2359</v>
      </c>
      <c r="AF85" s="79">
        <v>3558</v>
      </c>
      <c r="AG85" s="79">
        <v>6007</v>
      </c>
      <c r="AH85" s="79">
        <v>2230</v>
      </c>
      <c r="AI85" s="79">
        <v>1251</v>
      </c>
      <c r="AJ85" s="79">
        <v>579</v>
      </c>
      <c r="AK85" s="79">
        <v>456</v>
      </c>
      <c r="AL85" s="79">
        <v>491</v>
      </c>
      <c r="AM85" s="79">
        <v>15541</v>
      </c>
      <c r="AN85" s="79">
        <v>43</v>
      </c>
      <c r="AO85" s="79">
        <v>692</v>
      </c>
      <c r="AP85" s="79">
        <v>729</v>
      </c>
      <c r="AQ85" s="79">
        <v>14013</v>
      </c>
      <c r="AR85" s="79">
        <v>3231</v>
      </c>
      <c r="AS85" s="79">
        <v>6696</v>
      </c>
      <c r="AT85" s="79">
        <v>4120</v>
      </c>
      <c r="AU85" s="80" t="s">
        <v>496</v>
      </c>
      <c r="AV85" s="79">
        <v>7818</v>
      </c>
      <c r="AW85" s="79">
        <v>43005</v>
      </c>
      <c r="AX85" s="79">
        <v>34659</v>
      </c>
      <c r="AY85" s="79">
        <v>32892</v>
      </c>
      <c r="AZ85" s="79">
        <v>1719</v>
      </c>
      <c r="BA85" s="79">
        <v>8241</v>
      </c>
      <c r="BB85" s="79">
        <v>37351</v>
      </c>
      <c r="BC85" s="79">
        <v>2213</v>
      </c>
      <c r="BD85" s="79">
        <v>1357</v>
      </c>
      <c r="BE85" s="79">
        <v>3255</v>
      </c>
      <c r="BF85" s="79">
        <v>7518</v>
      </c>
      <c r="BG85" s="79">
        <v>4029</v>
      </c>
      <c r="BH85" s="79">
        <v>740</v>
      </c>
      <c r="BI85" s="79">
        <v>954</v>
      </c>
      <c r="BJ85" s="79">
        <v>856</v>
      </c>
      <c r="BK85" s="79">
        <v>950</v>
      </c>
      <c r="BL85" s="79">
        <v>17941</v>
      </c>
      <c r="BM85" s="79">
        <v>15093</v>
      </c>
      <c r="BN85" s="79">
        <v>5633</v>
      </c>
      <c r="BO85" s="79">
        <v>4509</v>
      </c>
    </row>
    <row r="86" spans="1:67" x14ac:dyDescent="0.35">
      <c r="A86" s="78" t="s">
        <v>542</v>
      </c>
      <c r="B86" s="79">
        <v>196760</v>
      </c>
      <c r="C86" s="79">
        <v>277</v>
      </c>
      <c r="D86" s="79">
        <v>263</v>
      </c>
      <c r="E86" s="79">
        <v>18</v>
      </c>
      <c r="F86" s="79">
        <v>73496</v>
      </c>
      <c r="G86" s="79">
        <v>16448</v>
      </c>
      <c r="H86" s="79">
        <v>16404</v>
      </c>
      <c r="I86" s="79">
        <v>43</v>
      </c>
      <c r="J86" s="79">
        <v>55239</v>
      </c>
      <c r="K86" s="79">
        <v>53167</v>
      </c>
      <c r="L86" s="79">
        <v>2064</v>
      </c>
      <c r="M86" s="79">
        <v>364</v>
      </c>
      <c r="N86" s="79">
        <v>38</v>
      </c>
      <c r="O86" s="79">
        <v>1389</v>
      </c>
      <c r="P86" s="80" t="s">
        <v>496</v>
      </c>
      <c r="Q86" s="79">
        <v>1012</v>
      </c>
      <c r="R86" s="79">
        <v>14</v>
      </c>
      <c r="S86" s="79">
        <v>81</v>
      </c>
      <c r="T86" s="79">
        <v>915</v>
      </c>
      <c r="U86" s="79">
        <v>3974</v>
      </c>
      <c r="V86" s="79">
        <v>2063</v>
      </c>
      <c r="W86" s="79">
        <v>1081</v>
      </c>
      <c r="X86" s="79">
        <v>797</v>
      </c>
      <c r="Y86" s="79">
        <v>159</v>
      </c>
      <c r="Z86" s="79">
        <v>1901</v>
      </c>
      <c r="AA86" s="79">
        <v>25890</v>
      </c>
      <c r="AB86" s="79">
        <v>7051</v>
      </c>
      <c r="AC86" s="79">
        <v>2430</v>
      </c>
      <c r="AD86" s="79">
        <v>16161</v>
      </c>
      <c r="AE86" s="79">
        <v>2402</v>
      </c>
      <c r="AF86" s="79">
        <v>3592</v>
      </c>
      <c r="AG86" s="79">
        <v>6490</v>
      </c>
      <c r="AH86" s="79">
        <v>2517</v>
      </c>
      <c r="AI86" s="79">
        <v>1266</v>
      </c>
      <c r="AJ86" s="79">
        <v>631</v>
      </c>
      <c r="AK86" s="79">
        <v>449</v>
      </c>
      <c r="AL86" s="79">
        <v>537</v>
      </c>
      <c r="AM86" s="79">
        <v>15903</v>
      </c>
      <c r="AN86" s="79">
        <v>46</v>
      </c>
      <c r="AO86" s="79">
        <v>682</v>
      </c>
      <c r="AP86" s="79">
        <v>654</v>
      </c>
      <c r="AQ86" s="79">
        <v>14451</v>
      </c>
      <c r="AR86" s="79">
        <v>3429</v>
      </c>
      <c r="AS86" s="79">
        <v>6729</v>
      </c>
      <c r="AT86" s="79">
        <v>4344</v>
      </c>
      <c r="AU86" s="80" t="s">
        <v>496</v>
      </c>
      <c r="AV86" s="79">
        <v>7112</v>
      </c>
      <c r="AW86" s="79">
        <v>41724</v>
      </c>
      <c r="AX86" s="79">
        <v>33606</v>
      </c>
      <c r="AY86" s="79">
        <v>31786</v>
      </c>
      <c r="AZ86" s="79">
        <v>1756</v>
      </c>
      <c r="BA86" s="79">
        <v>8016</v>
      </c>
      <c r="BB86" s="79">
        <v>38017</v>
      </c>
      <c r="BC86" s="79">
        <v>2174</v>
      </c>
      <c r="BD86" s="79">
        <v>1357</v>
      </c>
      <c r="BE86" s="79">
        <v>3471</v>
      </c>
      <c r="BF86" s="79">
        <v>8190</v>
      </c>
      <c r="BG86" s="79">
        <v>4103</v>
      </c>
      <c r="BH86" s="79">
        <v>927</v>
      </c>
      <c r="BI86" s="79">
        <v>1078</v>
      </c>
      <c r="BJ86" s="79">
        <v>966</v>
      </c>
      <c r="BK86" s="79">
        <v>1146</v>
      </c>
      <c r="BL86" s="79">
        <v>18011</v>
      </c>
      <c r="BM86" s="79">
        <v>15207</v>
      </c>
      <c r="BN86" s="79">
        <v>5640</v>
      </c>
      <c r="BO86" s="79">
        <v>4109</v>
      </c>
    </row>
    <row r="87" spans="1:67" x14ac:dyDescent="0.35">
      <c r="A87" s="78" t="s">
        <v>543</v>
      </c>
      <c r="B87" s="79">
        <v>197920</v>
      </c>
      <c r="C87" s="79">
        <v>297</v>
      </c>
      <c r="D87" s="79">
        <v>282</v>
      </c>
      <c r="E87" s="79">
        <v>18</v>
      </c>
      <c r="F87" s="79">
        <v>74030</v>
      </c>
      <c r="G87" s="79">
        <v>16799</v>
      </c>
      <c r="H87" s="79">
        <v>16756</v>
      </c>
      <c r="I87" s="79">
        <v>42</v>
      </c>
      <c r="J87" s="79">
        <v>55379</v>
      </c>
      <c r="K87" s="79">
        <v>53312</v>
      </c>
      <c r="L87" s="79">
        <v>2058</v>
      </c>
      <c r="M87" s="79">
        <v>443</v>
      </c>
      <c r="N87" s="79">
        <v>52</v>
      </c>
      <c r="O87" s="79">
        <v>1329</v>
      </c>
      <c r="P87" s="80" t="s">
        <v>496</v>
      </c>
      <c r="Q87" s="79">
        <v>978</v>
      </c>
      <c r="R87" s="79">
        <v>8</v>
      </c>
      <c r="S87" s="79">
        <v>75</v>
      </c>
      <c r="T87" s="79">
        <v>893</v>
      </c>
      <c r="U87" s="79">
        <v>3932</v>
      </c>
      <c r="V87" s="79">
        <v>1984</v>
      </c>
      <c r="W87" s="79">
        <v>1074</v>
      </c>
      <c r="X87" s="79">
        <v>720</v>
      </c>
      <c r="Y87" s="79">
        <v>156</v>
      </c>
      <c r="Z87" s="79">
        <v>1959</v>
      </c>
      <c r="AA87" s="79">
        <v>25614</v>
      </c>
      <c r="AB87" s="79">
        <v>6971</v>
      </c>
      <c r="AC87" s="79">
        <v>2407</v>
      </c>
      <c r="AD87" s="79">
        <v>15990</v>
      </c>
      <c r="AE87" s="79">
        <v>2476</v>
      </c>
      <c r="AF87" s="79">
        <v>3586</v>
      </c>
      <c r="AG87" s="79">
        <v>6240</v>
      </c>
      <c r="AH87" s="79">
        <v>2591</v>
      </c>
      <c r="AI87" s="79">
        <v>1235</v>
      </c>
      <c r="AJ87" s="79">
        <v>662</v>
      </c>
      <c r="AK87" s="79">
        <v>411</v>
      </c>
      <c r="AL87" s="79">
        <v>566</v>
      </c>
      <c r="AM87" s="79">
        <v>16140</v>
      </c>
      <c r="AN87" s="79">
        <v>42</v>
      </c>
      <c r="AO87" s="79">
        <v>680</v>
      </c>
      <c r="AP87" s="79">
        <v>711</v>
      </c>
      <c r="AQ87" s="79">
        <v>14641</v>
      </c>
      <c r="AR87" s="79">
        <v>3367</v>
      </c>
      <c r="AS87" s="79">
        <v>6706</v>
      </c>
      <c r="AT87" s="79">
        <v>4632</v>
      </c>
      <c r="AU87" s="80" t="s">
        <v>496</v>
      </c>
      <c r="AV87" s="79">
        <v>7171</v>
      </c>
      <c r="AW87" s="79">
        <v>42371</v>
      </c>
      <c r="AX87" s="79">
        <v>34179</v>
      </c>
      <c r="AY87" s="79">
        <v>32464</v>
      </c>
      <c r="AZ87" s="79">
        <v>1673</v>
      </c>
      <c r="BA87" s="79">
        <v>8088</v>
      </c>
      <c r="BB87" s="79">
        <v>37866</v>
      </c>
      <c r="BC87" s="79">
        <v>2241</v>
      </c>
      <c r="BD87" s="79">
        <v>1365</v>
      </c>
      <c r="BE87" s="79">
        <v>4357</v>
      </c>
      <c r="BF87" s="79">
        <v>7831</v>
      </c>
      <c r="BG87" s="79">
        <v>2823</v>
      </c>
      <c r="BH87" s="79">
        <v>1065</v>
      </c>
      <c r="BI87" s="79">
        <v>1367</v>
      </c>
      <c r="BJ87" s="79">
        <v>1242</v>
      </c>
      <c r="BK87" s="79">
        <v>1344</v>
      </c>
      <c r="BL87" s="79">
        <v>17470</v>
      </c>
      <c r="BM87" s="79">
        <v>15438</v>
      </c>
      <c r="BN87" s="79">
        <v>5258</v>
      </c>
      <c r="BO87" s="79">
        <v>4203</v>
      </c>
    </row>
    <row r="88" spans="1:67" x14ac:dyDescent="0.35">
      <c r="A88" s="78" t="s">
        <v>544</v>
      </c>
      <c r="B88" s="79">
        <v>194319</v>
      </c>
      <c r="C88" s="79">
        <v>305</v>
      </c>
      <c r="D88" s="79">
        <v>295</v>
      </c>
      <c r="E88" s="79">
        <v>17</v>
      </c>
      <c r="F88" s="79">
        <v>74246</v>
      </c>
      <c r="G88" s="79">
        <v>17025</v>
      </c>
      <c r="H88" s="79">
        <v>16982</v>
      </c>
      <c r="I88" s="79">
        <v>42</v>
      </c>
      <c r="J88" s="79">
        <v>55399</v>
      </c>
      <c r="K88" s="79">
        <v>53303</v>
      </c>
      <c r="L88" s="79">
        <v>2088</v>
      </c>
      <c r="M88" s="79">
        <v>438</v>
      </c>
      <c r="N88" s="79">
        <v>58</v>
      </c>
      <c r="O88" s="79">
        <v>1305</v>
      </c>
      <c r="P88" s="80" t="s">
        <v>496</v>
      </c>
      <c r="Q88" s="79">
        <v>997</v>
      </c>
      <c r="R88" s="79">
        <v>10</v>
      </c>
      <c r="S88" s="79">
        <v>67</v>
      </c>
      <c r="T88" s="79">
        <v>920</v>
      </c>
      <c r="U88" s="79">
        <v>3975</v>
      </c>
      <c r="V88" s="79">
        <v>1987</v>
      </c>
      <c r="W88" s="79">
        <v>1070</v>
      </c>
      <c r="X88" s="79">
        <v>727</v>
      </c>
      <c r="Y88" s="79">
        <v>158</v>
      </c>
      <c r="Z88" s="79">
        <v>2006</v>
      </c>
      <c r="AA88" s="79">
        <v>25217</v>
      </c>
      <c r="AB88" s="79">
        <v>6879</v>
      </c>
      <c r="AC88" s="79">
        <v>2485</v>
      </c>
      <c r="AD88" s="79">
        <v>15612</v>
      </c>
      <c r="AE88" s="79">
        <v>2552</v>
      </c>
      <c r="AF88" s="79">
        <v>3461</v>
      </c>
      <c r="AG88" s="79">
        <v>6018</v>
      </c>
      <c r="AH88" s="79">
        <v>2577</v>
      </c>
      <c r="AI88" s="79">
        <v>1126</v>
      </c>
      <c r="AJ88" s="79">
        <v>711</v>
      </c>
      <c r="AK88" s="79">
        <v>331</v>
      </c>
      <c r="AL88" s="79">
        <v>613</v>
      </c>
      <c r="AM88" s="79">
        <v>16034</v>
      </c>
      <c r="AN88" s="79">
        <v>34</v>
      </c>
      <c r="AO88" s="79">
        <v>679</v>
      </c>
      <c r="AP88" s="79">
        <v>667</v>
      </c>
      <c r="AQ88" s="79">
        <v>14588</v>
      </c>
      <c r="AR88" s="79">
        <v>3385</v>
      </c>
      <c r="AS88" s="79">
        <v>6678</v>
      </c>
      <c r="AT88" s="79">
        <v>4591</v>
      </c>
      <c r="AU88" s="80" t="s">
        <v>496</v>
      </c>
      <c r="AV88" s="79">
        <v>7257</v>
      </c>
      <c r="AW88" s="79">
        <v>42072</v>
      </c>
      <c r="AX88" s="79">
        <v>33961</v>
      </c>
      <c r="AY88" s="79">
        <v>32237</v>
      </c>
      <c r="AZ88" s="79">
        <v>1680</v>
      </c>
      <c r="BA88" s="79">
        <v>8008</v>
      </c>
      <c r="BB88" s="79">
        <v>34017</v>
      </c>
      <c r="BC88" s="79">
        <v>2180</v>
      </c>
      <c r="BD88" s="79">
        <v>1365</v>
      </c>
      <c r="BE88" s="79">
        <v>3928</v>
      </c>
      <c r="BF88" s="79">
        <v>5112</v>
      </c>
      <c r="BG88" s="79">
        <v>2410</v>
      </c>
      <c r="BH88" s="79">
        <v>621</v>
      </c>
      <c r="BI88" s="79">
        <v>734</v>
      </c>
      <c r="BJ88" s="79">
        <v>511</v>
      </c>
      <c r="BK88" s="79">
        <v>848</v>
      </c>
      <c r="BL88" s="79">
        <v>16985</v>
      </c>
      <c r="BM88" s="79">
        <v>15658</v>
      </c>
      <c r="BN88" s="79">
        <v>4909</v>
      </c>
      <c r="BO88" s="79">
        <v>4273</v>
      </c>
    </row>
    <row r="89" spans="1:67" x14ac:dyDescent="0.35">
      <c r="A89" s="78" t="s">
        <v>545</v>
      </c>
      <c r="B89" s="79">
        <v>193313</v>
      </c>
      <c r="C89" s="79">
        <v>313</v>
      </c>
      <c r="D89" s="79">
        <v>298</v>
      </c>
      <c r="E89" s="79">
        <v>19</v>
      </c>
      <c r="F89" s="79">
        <v>74552</v>
      </c>
      <c r="G89" s="79">
        <v>17186</v>
      </c>
      <c r="H89" s="79">
        <v>17141</v>
      </c>
      <c r="I89" s="79">
        <v>44</v>
      </c>
      <c r="J89" s="79">
        <v>55620</v>
      </c>
      <c r="K89" s="79">
        <v>53478</v>
      </c>
      <c r="L89" s="79">
        <v>2134</v>
      </c>
      <c r="M89" s="79">
        <v>383</v>
      </c>
      <c r="N89" s="79">
        <v>58</v>
      </c>
      <c r="O89" s="79">
        <v>1293</v>
      </c>
      <c r="P89" s="80" t="s">
        <v>496</v>
      </c>
      <c r="Q89" s="79">
        <v>1110</v>
      </c>
      <c r="R89" s="79">
        <v>26</v>
      </c>
      <c r="S89" s="79">
        <v>64</v>
      </c>
      <c r="T89" s="79">
        <v>1023</v>
      </c>
      <c r="U89" s="79">
        <v>4059</v>
      </c>
      <c r="V89" s="79">
        <v>2017</v>
      </c>
      <c r="W89" s="79">
        <v>1073</v>
      </c>
      <c r="X89" s="79">
        <v>739</v>
      </c>
      <c r="Y89" s="79">
        <v>174</v>
      </c>
      <c r="Z89" s="79">
        <v>2065</v>
      </c>
      <c r="AA89" s="79">
        <v>24023</v>
      </c>
      <c r="AB89" s="79">
        <v>6688</v>
      </c>
      <c r="AC89" s="79">
        <v>2460</v>
      </c>
      <c r="AD89" s="79">
        <v>14642</v>
      </c>
      <c r="AE89" s="79">
        <v>2510</v>
      </c>
      <c r="AF89" s="79">
        <v>3302</v>
      </c>
      <c r="AG89" s="79">
        <v>5507</v>
      </c>
      <c r="AH89" s="79">
        <v>2374</v>
      </c>
      <c r="AI89" s="79">
        <v>1046</v>
      </c>
      <c r="AJ89" s="79">
        <v>716</v>
      </c>
      <c r="AK89" s="79">
        <v>286</v>
      </c>
      <c r="AL89" s="79">
        <v>619</v>
      </c>
      <c r="AM89" s="79">
        <v>15910</v>
      </c>
      <c r="AN89" s="79">
        <v>34</v>
      </c>
      <c r="AO89" s="79">
        <v>680</v>
      </c>
      <c r="AP89" s="79">
        <v>797</v>
      </c>
      <c r="AQ89" s="79">
        <v>14342</v>
      </c>
      <c r="AR89" s="79">
        <v>3528</v>
      </c>
      <c r="AS89" s="79">
        <v>6747</v>
      </c>
      <c r="AT89" s="79">
        <v>4112</v>
      </c>
      <c r="AU89" s="80" t="s">
        <v>496</v>
      </c>
      <c r="AV89" s="79">
        <v>7339</v>
      </c>
      <c r="AW89" s="79">
        <v>41388</v>
      </c>
      <c r="AX89" s="79">
        <v>33495</v>
      </c>
      <c r="AY89" s="79">
        <v>31701</v>
      </c>
      <c r="AZ89" s="79">
        <v>1734</v>
      </c>
      <c r="BA89" s="79">
        <v>7788</v>
      </c>
      <c r="BB89" s="79">
        <v>34115</v>
      </c>
      <c r="BC89" s="79">
        <v>2147</v>
      </c>
      <c r="BD89" s="79">
        <v>1359</v>
      </c>
      <c r="BE89" s="79">
        <v>3972</v>
      </c>
      <c r="BF89" s="79">
        <v>5736</v>
      </c>
      <c r="BG89" s="79">
        <v>2381</v>
      </c>
      <c r="BH89" s="79">
        <v>723</v>
      </c>
      <c r="BI89" s="79">
        <v>912</v>
      </c>
      <c r="BJ89" s="79">
        <v>803</v>
      </c>
      <c r="BK89" s="79">
        <v>921</v>
      </c>
      <c r="BL89" s="79">
        <v>16628</v>
      </c>
      <c r="BM89" s="79">
        <v>15689</v>
      </c>
      <c r="BN89" s="79">
        <v>4689</v>
      </c>
      <c r="BO89" s="79">
        <v>4097</v>
      </c>
    </row>
    <row r="90" spans="1:67" x14ac:dyDescent="0.35">
      <c r="A90" s="78" t="s">
        <v>546</v>
      </c>
      <c r="B90" s="79">
        <v>190029</v>
      </c>
      <c r="C90" s="79">
        <v>292</v>
      </c>
      <c r="D90" s="79">
        <v>268</v>
      </c>
      <c r="E90" s="79">
        <v>23</v>
      </c>
      <c r="F90" s="79">
        <v>74914</v>
      </c>
      <c r="G90" s="79">
        <v>17114</v>
      </c>
      <c r="H90" s="79">
        <v>17066</v>
      </c>
      <c r="I90" s="79">
        <v>46</v>
      </c>
      <c r="J90" s="79">
        <v>55897</v>
      </c>
      <c r="K90" s="79">
        <v>53709</v>
      </c>
      <c r="L90" s="79">
        <v>2180</v>
      </c>
      <c r="M90" s="79">
        <v>529</v>
      </c>
      <c r="N90" s="79">
        <v>50</v>
      </c>
      <c r="O90" s="79">
        <v>1284</v>
      </c>
      <c r="P90" s="80" t="s">
        <v>496</v>
      </c>
      <c r="Q90" s="79">
        <v>1104</v>
      </c>
      <c r="R90" s="79">
        <v>29</v>
      </c>
      <c r="S90" s="79">
        <v>70</v>
      </c>
      <c r="T90" s="79">
        <v>1006</v>
      </c>
      <c r="U90" s="79">
        <v>4148</v>
      </c>
      <c r="V90" s="79">
        <v>2018</v>
      </c>
      <c r="W90" s="79">
        <v>1060</v>
      </c>
      <c r="X90" s="79">
        <v>741</v>
      </c>
      <c r="Y90" s="79">
        <v>188</v>
      </c>
      <c r="Z90" s="79">
        <v>2168</v>
      </c>
      <c r="AA90" s="79">
        <v>21936</v>
      </c>
      <c r="AB90" s="79">
        <v>6347</v>
      </c>
      <c r="AC90" s="79">
        <v>2422</v>
      </c>
      <c r="AD90" s="79">
        <v>12945</v>
      </c>
      <c r="AE90" s="79">
        <v>2417</v>
      </c>
      <c r="AF90" s="79">
        <v>2985</v>
      </c>
      <c r="AG90" s="79">
        <v>4780</v>
      </c>
      <c r="AH90" s="79">
        <v>1813</v>
      </c>
      <c r="AI90" s="79">
        <v>962</v>
      </c>
      <c r="AJ90" s="79">
        <v>753</v>
      </c>
      <c r="AK90" s="79">
        <v>312</v>
      </c>
      <c r="AL90" s="79">
        <v>651</v>
      </c>
      <c r="AM90" s="79">
        <v>15172</v>
      </c>
      <c r="AN90" s="79">
        <v>36</v>
      </c>
      <c r="AO90" s="79">
        <v>670</v>
      </c>
      <c r="AP90" s="79">
        <v>819</v>
      </c>
      <c r="AQ90" s="79">
        <v>13593</v>
      </c>
      <c r="AR90" s="79">
        <v>3313</v>
      </c>
      <c r="AS90" s="79">
        <v>6354</v>
      </c>
      <c r="AT90" s="79">
        <v>3973</v>
      </c>
      <c r="AU90" s="80" t="s">
        <v>496</v>
      </c>
      <c r="AV90" s="79">
        <v>6928</v>
      </c>
      <c r="AW90" s="79">
        <v>38470</v>
      </c>
      <c r="AX90" s="79">
        <v>30813</v>
      </c>
      <c r="AY90" s="79">
        <v>29027</v>
      </c>
      <c r="AZ90" s="79">
        <v>1707</v>
      </c>
      <c r="BA90" s="79">
        <v>7567</v>
      </c>
      <c r="BB90" s="79">
        <v>34971</v>
      </c>
      <c r="BC90" s="79">
        <v>2045</v>
      </c>
      <c r="BD90" s="79">
        <v>1342</v>
      </c>
      <c r="BE90" s="79">
        <v>3958</v>
      </c>
      <c r="BF90" s="79">
        <v>6981</v>
      </c>
      <c r="BG90" s="79">
        <v>2837</v>
      </c>
      <c r="BH90" s="79">
        <v>999</v>
      </c>
      <c r="BI90" s="79">
        <v>1089</v>
      </c>
      <c r="BJ90" s="79">
        <v>859</v>
      </c>
      <c r="BK90" s="79">
        <v>1207</v>
      </c>
      <c r="BL90" s="79">
        <v>16388</v>
      </c>
      <c r="BM90" s="79">
        <v>15631</v>
      </c>
      <c r="BN90" s="79">
        <v>4563</v>
      </c>
      <c r="BO90" s="79">
        <v>4005</v>
      </c>
    </row>
    <row r="91" spans="1:67" x14ac:dyDescent="0.35">
      <c r="A91" s="78" t="s">
        <v>547</v>
      </c>
      <c r="B91" s="79">
        <v>189310</v>
      </c>
      <c r="C91" s="79">
        <v>261</v>
      </c>
      <c r="D91" s="79">
        <v>239</v>
      </c>
      <c r="E91" s="79">
        <v>22</v>
      </c>
      <c r="F91" s="79">
        <v>74943</v>
      </c>
      <c r="G91" s="79">
        <v>17387</v>
      </c>
      <c r="H91" s="79">
        <v>17340</v>
      </c>
      <c r="I91" s="79">
        <v>46</v>
      </c>
      <c r="J91" s="79">
        <v>55734</v>
      </c>
      <c r="K91" s="79">
        <v>53508</v>
      </c>
      <c r="L91" s="79">
        <v>2219</v>
      </c>
      <c r="M91" s="79">
        <v>428</v>
      </c>
      <c r="N91" s="79">
        <v>61</v>
      </c>
      <c r="O91" s="79">
        <v>1320</v>
      </c>
      <c r="P91" s="80" t="s">
        <v>496</v>
      </c>
      <c r="Q91" s="79">
        <v>1022</v>
      </c>
      <c r="R91" s="79">
        <v>19</v>
      </c>
      <c r="S91" s="79">
        <v>58</v>
      </c>
      <c r="T91" s="79">
        <v>947</v>
      </c>
      <c r="U91" s="79">
        <v>4005</v>
      </c>
      <c r="V91" s="79">
        <v>1880</v>
      </c>
      <c r="W91" s="79">
        <v>959</v>
      </c>
      <c r="X91" s="79">
        <v>677</v>
      </c>
      <c r="Y91" s="79">
        <v>217</v>
      </c>
      <c r="Z91" s="79">
        <v>2186</v>
      </c>
      <c r="AA91" s="79">
        <v>21916</v>
      </c>
      <c r="AB91" s="79">
        <v>6123</v>
      </c>
      <c r="AC91" s="79">
        <v>2403</v>
      </c>
      <c r="AD91" s="79">
        <v>13180</v>
      </c>
      <c r="AE91" s="79">
        <v>2409</v>
      </c>
      <c r="AF91" s="79">
        <v>2789</v>
      </c>
      <c r="AG91" s="79">
        <v>5223</v>
      </c>
      <c r="AH91" s="79">
        <v>1809</v>
      </c>
      <c r="AI91" s="79">
        <v>926</v>
      </c>
      <c r="AJ91" s="79">
        <v>773</v>
      </c>
      <c r="AK91" s="79">
        <v>365</v>
      </c>
      <c r="AL91" s="79">
        <v>666</v>
      </c>
      <c r="AM91" s="79">
        <v>15228</v>
      </c>
      <c r="AN91" s="79">
        <v>44</v>
      </c>
      <c r="AO91" s="79">
        <v>671</v>
      </c>
      <c r="AP91" s="79">
        <v>779</v>
      </c>
      <c r="AQ91" s="79">
        <v>13674</v>
      </c>
      <c r="AR91" s="79">
        <v>3263</v>
      </c>
      <c r="AS91" s="79">
        <v>6519</v>
      </c>
      <c r="AT91" s="79">
        <v>3927</v>
      </c>
      <c r="AU91" s="80" t="s">
        <v>496</v>
      </c>
      <c r="AV91" s="79">
        <v>7214</v>
      </c>
      <c r="AW91" s="79">
        <v>38484</v>
      </c>
      <c r="AX91" s="79">
        <v>30998</v>
      </c>
      <c r="AY91" s="79">
        <v>29233</v>
      </c>
      <c r="AZ91" s="79">
        <v>1691</v>
      </c>
      <c r="BA91" s="79">
        <v>7393</v>
      </c>
      <c r="BB91" s="79">
        <v>34111</v>
      </c>
      <c r="BC91" s="79">
        <v>2159</v>
      </c>
      <c r="BD91" s="79">
        <v>1355</v>
      </c>
      <c r="BE91" s="79">
        <v>3852</v>
      </c>
      <c r="BF91" s="79">
        <v>5824</v>
      </c>
      <c r="BG91" s="79">
        <v>3049</v>
      </c>
      <c r="BH91" s="79">
        <v>626</v>
      </c>
      <c r="BI91" s="79">
        <v>753</v>
      </c>
      <c r="BJ91" s="79">
        <v>630</v>
      </c>
      <c r="BK91" s="79">
        <v>770</v>
      </c>
      <c r="BL91" s="79">
        <v>16611</v>
      </c>
      <c r="BM91" s="79">
        <v>15629</v>
      </c>
      <c r="BN91" s="79">
        <v>4694</v>
      </c>
      <c r="BO91" s="79">
        <v>3978</v>
      </c>
    </row>
    <row r="92" spans="1:67" x14ac:dyDescent="0.35">
      <c r="A92" s="78" t="s">
        <v>548</v>
      </c>
      <c r="B92" s="79">
        <v>188601</v>
      </c>
      <c r="C92" s="79">
        <v>250</v>
      </c>
      <c r="D92" s="79">
        <v>226</v>
      </c>
      <c r="E92" s="79">
        <v>23</v>
      </c>
      <c r="F92" s="79">
        <v>74527</v>
      </c>
      <c r="G92" s="79">
        <v>17626</v>
      </c>
      <c r="H92" s="79">
        <v>17575</v>
      </c>
      <c r="I92" s="79">
        <v>50</v>
      </c>
      <c r="J92" s="79">
        <v>55172</v>
      </c>
      <c r="K92" s="79">
        <v>52880</v>
      </c>
      <c r="L92" s="79">
        <v>2287</v>
      </c>
      <c r="M92" s="79">
        <v>354</v>
      </c>
      <c r="N92" s="79">
        <v>46</v>
      </c>
      <c r="O92" s="79">
        <v>1341</v>
      </c>
      <c r="P92" s="80" t="s">
        <v>496</v>
      </c>
      <c r="Q92" s="79">
        <v>1025</v>
      </c>
      <c r="R92" s="79">
        <v>20</v>
      </c>
      <c r="S92" s="79">
        <v>65</v>
      </c>
      <c r="T92" s="79">
        <v>941</v>
      </c>
      <c r="U92" s="79">
        <v>4041</v>
      </c>
      <c r="V92" s="79">
        <v>1878</v>
      </c>
      <c r="W92" s="79">
        <v>971</v>
      </c>
      <c r="X92" s="79">
        <v>646</v>
      </c>
      <c r="Y92" s="79">
        <v>228</v>
      </c>
      <c r="Z92" s="79">
        <v>2233</v>
      </c>
      <c r="AA92" s="79">
        <v>21738</v>
      </c>
      <c r="AB92" s="79">
        <v>5913</v>
      </c>
      <c r="AC92" s="79">
        <v>2432</v>
      </c>
      <c r="AD92" s="79">
        <v>13195</v>
      </c>
      <c r="AE92" s="79">
        <v>2404</v>
      </c>
      <c r="AF92" s="79">
        <v>2576</v>
      </c>
      <c r="AG92" s="79">
        <v>5291</v>
      </c>
      <c r="AH92" s="79">
        <v>2072</v>
      </c>
      <c r="AI92" s="79">
        <v>891</v>
      </c>
      <c r="AJ92" s="79">
        <v>801</v>
      </c>
      <c r="AK92" s="79">
        <v>358</v>
      </c>
      <c r="AL92" s="79">
        <v>692</v>
      </c>
      <c r="AM92" s="79">
        <v>14852</v>
      </c>
      <c r="AN92" s="79">
        <v>58</v>
      </c>
      <c r="AO92" s="79">
        <v>658</v>
      </c>
      <c r="AP92" s="79">
        <v>740</v>
      </c>
      <c r="AQ92" s="79">
        <v>13329</v>
      </c>
      <c r="AR92" s="79">
        <v>3243</v>
      </c>
      <c r="AS92" s="79">
        <v>6374</v>
      </c>
      <c r="AT92" s="79">
        <v>3744</v>
      </c>
      <c r="AU92" s="80" t="s">
        <v>496</v>
      </c>
      <c r="AV92" s="79">
        <v>7445</v>
      </c>
      <c r="AW92" s="79">
        <v>37856</v>
      </c>
      <c r="AX92" s="79">
        <v>30662</v>
      </c>
      <c r="AY92" s="79">
        <v>28823</v>
      </c>
      <c r="AZ92" s="79">
        <v>1750</v>
      </c>
      <c r="BA92" s="79">
        <v>7097</v>
      </c>
      <c r="BB92" s="79">
        <v>34407</v>
      </c>
      <c r="BC92" s="79">
        <v>2216</v>
      </c>
      <c r="BD92" s="79">
        <v>1368</v>
      </c>
      <c r="BE92" s="79">
        <v>3870</v>
      </c>
      <c r="BF92" s="79">
        <v>6286</v>
      </c>
      <c r="BG92" s="79">
        <v>3320</v>
      </c>
      <c r="BH92" s="79">
        <v>635</v>
      </c>
      <c r="BI92" s="79">
        <v>803</v>
      </c>
      <c r="BJ92" s="79">
        <v>660</v>
      </c>
      <c r="BK92" s="79">
        <v>873</v>
      </c>
      <c r="BL92" s="79">
        <v>16346</v>
      </c>
      <c r="BM92" s="79">
        <v>15425</v>
      </c>
      <c r="BN92" s="79">
        <v>4593</v>
      </c>
      <c r="BO92" s="79">
        <v>4092</v>
      </c>
    </row>
    <row r="93" spans="1:67" x14ac:dyDescent="0.35">
      <c r="A93" s="78" t="s">
        <v>549</v>
      </c>
      <c r="B93" s="79">
        <v>188485</v>
      </c>
      <c r="C93" s="79">
        <v>244</v>
      </c>
      <c r="D93" s="79">
        <v>218</v>
      </c>
      <c r="E93" s="79">
        <v>23</v>
      </c>
      <c r="F93" s="79">
        <v>74795</v>
      </c>
      <c r="G93" s="79">
        <v>17920</v>
      </c>
      <c r="H93" s="79">
        <v>17870</v>
      </c>
      <c r="I93" s="79">
        <v>49</v>
      </c>
      <c r="J93" s="79">
        <v>55079</v>
      </c>
      <c r="K93" s="79">
        <v>52709</v>
      </c>
      <c r="L93" s="79">
        <v>2367</v>
      </c>
      <c r="M93" s="79">
        <v>412</v>
      </c>
      <c r="N93" s="79">
        <v>50</v>
      </c>
      <c r="O93" s="79">
        <v>1342</v>
      </c>
      <c r="P93" s="80" t="s">
        <v>496</v>
      </c>
      <c r="Q93" s="79">
        <v>987</v>
      </c>
      <c r="R93" s="79">
        <v>25</v>
      </c>
      <c r="S93" s="79">
        <v>71</v>
      </c>
      <c r="T93" s="79">
        <v>892</v>
      </c>
      <c r="U93" s="79">
        <v>4073</v>
      </c>
      <c r="V93" s="79">
        <v>1888</v>
      </c>
      <c r="W93" s="79">
        <v>952</v>
      </c>
      <c r="X93" s="79">
        <v>676</v>
      </c>
      <c r="Y93" s="79">
        <v>232</v>
      </c>
      <c r="Z93" s="79">
        <v>2256</v>
      </c>
      <c r="AA93" s="79">
        <v>21754</v>
      </c>
      <c r="AB93" s="79">
        <v>5837</v>
      </c>
      <c r="AC93" s="79">
        <v>2465</v>
      </c>
      <c r="AD93" s="79">
        <v>13261</v>
      </c>
      <c r="AE93" s="79">
        <v>2406</v>
      </c>
      <c r="AF93" s="79">
        <v>2486</v>
      </c>
      <c r="AG93" s="79">
        <v>5393</v>
      </c>
      <c r="AH93" s="79">
        <v>2179</v>
      </c>
      <c r="AI93" s="79">
        <v>843</v>
      </c>
      <c r="AJ93" s="79">
        <v>808</v>
      </c>
      <c r="AK93" s="79">
        <v>372</v>
      </c>
      <c r="AL93" s="79">
        <v>697</v>
      </c>
      <c r="AM93" s="79">
        <v>14665</v>
      </c>
      <c r="AN93" s="79">
        <v>74</v>
      </c>
      <c r="AO93" s="79">
        <v>650</v>
      </c>
      <c r="AP93" s="79">
        <v>734</v>
      </c>
      <c r="AQ93" s="79">
        <v>13137</v>
      </c>
      <c r="AR93" s="79">
        <v>3194</v>
      </c>
      <c r="AS93" s="79">
        <v>6295</v>
      </c>
      <c r="AT93" s="79">
        <v>3675</v>
      </c>
      <c r="AU93" s="80" t="s">
        <v>496</v>
      </c>
      <c r="AV93" s="79">
        <v>7591</v>
      </c>
      <c r="AW93" s="79">
        <v>37741</v>
      </c>
      <c r="AX93" s="79">
        <v>30640</v>
      </c>
      <c r="AY93" s="79">
        <v>28766</v>
      </c>
      <c r="AZ93" s="79">
        <v>1781</v>
      </c>
      <c r="BA93" s="79">
        <v>7003</v>
      </c>
      <c r="BB93" s="79">
        <v>34150</v>
      </c>
      <c r="BC93" s="79">
        <v>2160</v>
      </c>
      <c r="BD93" s="79">
        <v>1377</v>
      </c>
      <c r="BE93" s="79">
        <v>3928</v>
      </c>
      <c r="BF93" s="79">
        <v>6139</v>
      </c>
      <c r="BG93" s="79">
        <v>3273</v>
      </c>
      <c r="BH93" s="79">
        <v>620</v>
      </c>
      <c r="BI93" s="79">
        <v>777</v>
      </c>
      <c r="BJ93" s="79">
        <v>681</v>
      </c>
      <c r="BK93" s="79">
        <v>791</v>
      </c>
      <c r="BL93" s="79">
        <v>16249</v>
      </c>
      <c r="BM93" s="79">
        <v>15176</v>
      </c>
      <c r="BN93" s="79">
        <v>4618</v>
      </c>
      <c r="BO93" s="79">
        <v>4077</v>
      </c>
    </row>
    <row r="94" spans="1:67" x14ac:dyDescent="0.35">
      <c r="A94" s="78" t="s">
        <v>550</v>
      </c>
      <c r="B94" s="79">
        <v>189764</v>
      </c>
      <c r="C94" s="79">
        <v>239</v>
      </c>
      <c r="D94" s="79">
        <v>208</v>
      </c>
      <c r="E94" s="79">
        <v>26</v>
      </c>
      <c r="F94" s="79">
        <v>75686</v>
      </c>
      <c r="G94" s="79">
        <v>18158</v>
      </c>
      <c r="H94" s="79">
        <v>18105</v>
      </c>
      <c r="I94" s="79">
        <v>52</v>
      </c>
      <c r="J94" s="79">
        <v>55686</v>
      </c>
      <c r="K94" s="79">
        <v>53227</v>
      </c>
      <c r="L94" s="79">
        <v>2457</v>
      </c>
      <c r="M94" s="79">
        <v>449</v>
      </c>
      <c r="N94" s="79">
        <v>57</v>
      </c>
      <c r="O94" s="79">
        <v>1337</v>
      </c>
      <c r="P94" s="80" t="s">
        <v>496</v>
      </c>
      <c r="Q94" s="79">
        <v>1032</v>
      </c>
      <c r="R94" s="79">
        <v>26</v>
      </c>
      <c r="S94" s="79">
        <v>66</v>
      </c>
      <c r="T94" s="79">
        <v>941</v>
      </c>
      <c r="U94" s="79">
        <v>4113</v>
      </c>
      <c r="V94" s="79">
        <v>1915</v>
      </c>
      <c r="W94" s="79">
        <v>927</v>
      </c>
      <c r="X94" s="79">
        <v>750</v>
      </c>
      <c r="Y94" s="79">
        <v>220</v>
      </c>
      <c r="Z94" s="79">
        <v>2265</v>
      </c>
      <c r="AA94" s="79">
        <v>21905</v>
      </c>
      <c r="AB94" s="79">
        <v>5899</v>
      </c>
      <c r="AC94" s="79">
        <v>2574</v>
      </c>
      <c r="AD94" s="79">
        <v>13242</v>
      </c>
      <c r="AE94" s="79">
        <v>2445</v>
      </c>
      <c r="AF94" s="79">
        <v>2462</v>
      </c>
      <c r="AG94" s="79">
        <v>5362</v>
      </c>
      <c r="AH94" s="79">
        <v>2172</v>
      </c>
      <c r="AI94" s="79">
        <v>847</v>
      </c>
      <c r="AJ94" s="79">
        <v>855</v>
      </c>
      <c r="AK94" s="79">
        <v>350</v>
      </c>
      <c r="AL94" s="79">
        <v>740</v>
      </c>
      <c r="AM94" s="79">
        <v>14344</v>
      </c>
      <c r="AN94" s="79">
        <v>84</v>
      </c>
      <c r="AO94" s="79">
        <v>641</v>
      </c>
      <c r="AP94" s="79">
        <v>779</v>
      </c>
      <c r="AQ94" s="79">
        <v>12770</v>
      </c>
      <c r="AR94" s="79">
        <v>3279</v>
      </c>
      <c r="AS94" s="79">
        <v>6019</v>
      </c>
      <c r="AT94" s="79">
        <v>3504</v>
      </c>
      <c r="AU94" s="80" t="s">
        <v>496</v>
      </c>
      <c r="AV94" s="79">
        <v>7416</v>
      </c>
      <c r="AW94" s="79">
        <v>37107</v>
      </c>
      <c r="AX94" s="79">
        <v>29934</v>
      </c>
      <c r="AY94" s="79">
        <v>28046</v>
      </c>
      <c r="AZ94" s="79">
        <v>1788</v>
      </c>
      <c r="BA94" s="79">
        <v>7081</v>
      </c>
      <c r="BB94" s="79">
        <v>34803</v>
      </c>
      <c r="BC94" s="79">
        <v>2110</v>
      </c>
      <c r="BD94" s="79">
        <v>1377</v>
      </c>
      <c r="BE94" s="79">
        <v>4000</v>
      </c>
      <c r="BF94" s="79">
        <v>6455</v>
      </c>
      <c r="BG94" s="79">
        <v>3609</v>
      </c>
      <c r="BH94" s="79">
        <v>684</v>
      </c>
      <c r="BI94" s="79">
        <v>746</v>
      </c>
      <c r="BJ94" s="79">
        <v>603</v>
      </c>
      <c r="BK94" s="79">
        <v>818</v>
      </c>
      <c r="BL94" s="79">
        <v>16534</v>
      </c>
      <c r="BM94" s="79">
        <v>15212</v>
      </c>
      <c r="BN94" s="79">
        <v>4776</v>
      </c>
      <c r="BO94" s="79">
        <v>4102</v>
      </c>
    </row>
    <row r="95" spans="1:67" x14ac:dyDescent="0.35">
      <c r="A95" s="78" t="s">
        <v>551</v>
      </c>
      <c r="B95" s="79">
        <v>190176</v>
      </c>
      <c r="C95" s="79">
        <v>235</v>
      </c>
      <c r="D95" s="79">
        <v>202</v>
      </c>
      <c r="E95" s="79">
        <v>27</v>
      </c>
      <c r="F95" s="79">
        <v>76382</v>
      </c>
      <c r="G95" s="79">
        <v>18290</v>
      </c>
      <c r="H95" s="79">
        <v>18235</v>
      </c>
      <c r="I95" s="79">
        <v>54</v>
      </c>
      <c r="J95" s="79">
        <v>56295</v>
      </c>
      <c r="K95" s="79">
        <v>53766</v>
      </c>
      <c r="L95" s="79">
        <v>2527</v>
      </c>
      <c r="M95" s="79">
        <v>433</v>
      </c>
      <c r="N95" s="79">
        <v>48</v>
      </c>
      <c r="O95" s="79">
        <v>1318</v>
      </c>
      <c r="P95" s="80" t="s">
        <v>496</v>
      </c>
      <c r="Q95" s="79">
        <v>1226</v>
      </c>
      <c r="R95" s="79">
        <v>12</v>
      </c>
      <c r="S95" s="79">
        <v>82</v>
      </c>
      <c r="T95" s="79">
        <v>1132</v>
      </c>
      <c r="U95" s="79">
        <v>4037</v>
      </c>
      <c r="V95" s="79">
        <v>1899</v>
      </c>
      <c r="W95" s="79">
        <v>865</v>
      </c>
      <c r="X95" s="79">
        <v>808</v>
      </c>
      <c r="Y95" s="79">
        <v>219</v>
      </c>
      <c r="Z95" s="79">
        <v>2198</v>
      </c>
      <c r="AA95" s="79">
        <v>21830</v>
      </c>
      <c r="AB95" s="79">
        <v>5987</v>
      </c>
      <c r="AC95" s="79">
        <v>2696</v>
      </c>
      <c r="AD95" s="79">
        <v>12959</v>
      </c>
      <c r="AE95" s="79">
        <v>2515</v>
      </c>
      <c r="AF95" s="79">
        <v>2478</v>
      </c>
      <c r="AG95" s="79">
        <v>5197</v>
      </c>
      <c r="AH95" s="79">
        <v>1927</v>
      </c>
      <c r="AI95" s="79">
        <v>843</v>
      </c>
      <c r="AJ95" s="79">
        <v>901</v>
      </c>
      <c r="AK95" s="79">
        <v>329</v>
      </c>
      <c r="AL95" s="79">
        <v>783</v>
      </c>
      <c r="AM95" s="79">
        <v>13883</v>
      </c>
      <c r="AN95" s="79">
        <v>73</v>
      </c>
      <c r="AO95" s="79">
        <v>616</v>
      </c>
      <c r="AP95" s="79">
        <v>690</v>
      </c>
      <c r="AQ95" s="79">
        <v>12435</v>
      </c>
      <c r="AR95" s="79">
        <v>3306</v>
      </c>
      <c r="AS95" s="79">
        <v>5795</v>
      </c>
      <c r="AT95" s="79">
        <v>3371</v>
      </c>
      <c r="AU95" s="80" t="s">
        <v>496</v>
      </c>
      <c r="AV95" s="79">
        <v>7508</v>
      </c>
      <c r="AW95" s="79">
        <v>36050</v>
      </c>
      <c r="AX95" s="79">
        <v>29326</v>
      </c>
      <c r="AY95" s="79">
        <v>27588</v>
      </c>
      <c r="AZ95" s="79">
        <v>1658</v>
      </c>
      <c r="BA95" s="79">
        <v>6626</v>
      </c>
      <c r="BB95" s="79">
        <v>35406</v>
      </c>
      <c r="BC95" s="79">
        <v>2177</v>
      </c>
      <c r="BD95" s="79">
        <v>1368</v>
      </c>
      <c r="BE95" s="79">
        <v>4213</v>
      </c>
      <c r="BF95" s="79">
        <v>6986</v>
      </c>
      <c r="BG95" s="79">
        <v>3760</v>
      </c>
      <c r="BH95" s="79">
        <v>712</v>
      </c>
      <c r="BI95" s="79">
        <v>872</v>
      </c>
      <c r="BJ95" s="79">
        <v>753</v>
      </c>
      <c r="BK95" s="79">
        <v>893</v>
      </c>
      <c r="BL95" s="79">
        <v>16264</v>
      </c>
      <c r="BM95" s="79">
        <v>14713</v>
      </c>
      <c r="BN95" s="79">
        <v>4739</v>
      </c>
      <c r="BO95" s="79">
        <v>4041</v>
      </c>
    </row>
    <row r="96" spans="1:67" x14ac:dyDescent="0.35">
      <c r="A96" s="78" t="s">
        <v>552</v>
      </c>
      <c r="B96" s="79">
        <v>196411</v>
      </c>
      <c r="C96" s="79">
        <v>242</v>
      </c>
      <c r="D96" s="79">
        <v>213</v>
      </c>
      <c r="E96" s="79">
        <v>25</v>
      </c>
      <c r="F96" s="79">
        <v>77522</v>
      </c>
      <c r="G96" s="79">
        <v>18843</v>
      </c>
      <c r="H96" s="79">
        <v>18785</v>
      </c>
      <c r="I96" s="79">
        <v>56</v>
      </c>
      <c r="J96" s="79">
        <v>56846</v>
      </c>
      <c r="K96" s="79">
        <v>54241</v>
      </c>
      <c r="L96" s="79">
        <v>2606</v>
      </c>
      <c r="M96" s="79">
        <v>412</v>
      </c>
      <c r="N96" s="79">
        <v>47</v>
      </c>
      <c r="O96" s="79">
        <v>1389</v>
      </c>
      <c r="P96" s="80" t="s">
        <v>496</v>
      </c>
      <c r="Q96" s="79">
        <v>1244</v>
      </c>
      <c r="R96" s="79">
        <v>9</v>
      </c>
      <c r="S96" s="79">
        <v>77</v>
      </c>
      <c r="T96" s="79">
        <v>1159</v>
      </c>
      <c r="U96" s="79">
        <v>3978</v>
      </c>
      <c r="V96" s="79">
        <v>1874</v>
      </c>
      <c r="W96" s="79">
        <v>889</v>
      </c>
      <c r="X96" s="79">
        <v>760</v>
      </c>
      <c r="Y96" s="79">
        <v>211</v>
      </c>
      <c r="Z96" s="79">
        <v>2162</v>
      </c>
      <c r="AA96" s="79">
        <v>22872</v>
      </c>
      <c r="AB96" s="79">
        <v>6197</v>
      </c>
      <c r="AC96" s="79">
        <v>2868</v>
      </c>
      <c r="AD96" s="79">
        <v>13618</v>
      </c>
      <c r="AE96" s="79">
        <v>2628</v>
      </c>
      <c r="AF96" s="79">
        <v>2585</v>
      </c>
      <c r="AG96" s="79">
        <v>5423</v>
      </c>
      <c r="AH96" s="79">
        <v>2170</v>
      </c>
      <c r="AI96" s="79">
        <v>832</v>
      </c>
      <c r="AJ96" s="79">
        <v>985</v>
      </c>
      <c r="AK96" s="79">
        <v>381</v>
      </c>
      <c r="AL96" s="79">
        <v>855</v>
      </c>
      <c r="AM96" s="79">
        <v>14709</v>
      </c>
      <c r="AN96" s="79">
        <v>60</v>
      </c>
      <c r="AO96" s="79">
        <v>620</v>
      </c>
      <c r="AP96" s="79">
        <v>712</v>
      </c>
      <c r="AQ96" s="79">
        <v>13253</v>
      </c>
      <c r="AR96" s="79">
        <v>3383</v>
      </c>
      <c r="AS96" s="79">
        <v>6435</v>
      </c>
      <c r="AT96" s="79">
        <v>3459</v>
      </c>
      <c r="AU96" s="80" t="s">
        <v>496</v>
      </c>
      <c r="AV96" s="79">
        <v>7705</v>
      </c>
      <c r="AW96" s="79">
        <v>38700</v>
      </c>
      <c r="AX96" s="79">
        <v>31149</v>
      </c>
      <c r="AY96" s="79">
        <v>29321</v>
      </c>
      <c r="AZ96" s="79">
        <v>1744</v>
      </c>
      <c r="BA96" s="79">
        <v>7459</v>
      </c>
      <c r="BB96" s="79">
        <v>35910</v>
      </c>
      <c r="BC96" s="79">
        <v>2310</v>
      </c>
      <c r="BD96" s="79">
        <v>1382</v>
      </c>
      <c r="BE96" s="79">
        <v>4275</v>
      </c>
      <c r="BF96" s="79">
        <v>7209</v>
      </c>
      <c r="BG96" s="79">
        <v>3869</v>
      </c>
      <c r="BH96" s="79">
        <v>721</v>
      </c>
      <c r="BI96" s="79">
        <v>898</v>
      </c>
      <c r="BJ96" s="79">
        <v>747</v>
      </c>
      <c r="BK96" s="79">
        <v>980</v>
      </c>
      <c r="BL96" s="79">
        <v>16027</v>
      </c>
      <c r="BM96" s="79">
        <v>14541</v>
      </c>
      <c r="BN96" s="79">
        <v>4654</v>
      </c>
      <c r="BO96" s="79">
        <v>4252</v>
      </c>
    </row>
    <row r="97" spans="1:67" x14ac:dyDescent="0.35">
      <c r="A97" s="78" t="s">
        <v>553</v>
      </c>
      <c r="B97" s="79">
        <v>197394</v>
      </c>
      <c r="C97" s="79">
        <v>247</v>
      </c>
      <c r="D97" s="79">
        <v>226</v>
      </c>
      <c r="E97" s="79">
        <v>21</v>
      </c>
      <c r="F97" s="79">
        <v>77966</v>
      </c>
      <c r="G97" s="79">
        <v>19225</v>
      </c>
      <c r="H97" s="79">
        <v>19168</v>
      </c>
      <c r="I97" s="79">
        <v>56</v>
      </c>
      <c r="J97" s="79">
        <v>56991</v>
      </c>
      <c r="K97" s="79">
        <v>54346</v>
      </c>
      <c r="L97" s="79">
        <v>2644</v>
      </c>
      <c r="M97" s="79">
        <v>350</v>
      </c>
      <c r="N97" s="79">
        <v>43</v>
      </c>
      <c r="O97" s="79">
        <v>1390</v>
      </c>
      <c r="P97" s="80" t="s">
        <v>496</v>
      </c>
      <c r="Q97" s="79">
        <v>1271</v>
      </c>
      <c r="R97" s="79">
        <v>13</v>
      </c>
      <c r="S97" s="79">
        <v>86</v>
      </c>
      <c r="T97" s="79">
        <v>1171</v>
      </c>
      <c r="U97" s="79">
        <v>3964</v>
      </c>
      <c r="V97" s="79">
        <v>1936</v>
      </c>
      <c r="W97" s="79">
        <v>924</v>
      </c>
      <c r="X97" s="79">
        <v>801</v>
      </c>
      <c r="Y97" s="79">
        <v>198</v>
      </c>
      <c r="Z97" s="79">
        <v>2066</v>
      </c>
      <c r="AA97" s="79">
        <v>23676</v>
      </c>
      <c r="AB97" s="79">
        <v>6396</v>
      </c>
      <c r="AC97" s="79">
        <v>2714</v>
      </c>
      <c r="AD97" s="79">
        <v>14356</v>
      </c>
      <c r="AE97" s="79">
        <v>2708</v>
      </c>
      <c r="AF97" s="79">
        <v>2666</v>
      </c>
      <c r="AG97" s="79">
        <v>5878</v>
      </c>
      <c r="AH97" s="79">
        <v>2251</v>
      </c>
      <c r="AI97" s="79">
        <v>864</v>
      </c>
      <c r="AJ97" s="79">
        <v>1029</v>
      </c>
      <c r="AK97" s="79">
        <v>462</v>
      </c>
      <c r="AL97" s="79">
        <v>888</v>
      </c>
      <c r="AM97" s="79">
        <v>14358</v>
      </c>
      <c r="AN97" s="79">
        <v>50</v>
      </c>
      <c r="AO97" s="79">
        <v>623</v>
      </c>
      <c r="AP97" s="79">
        <v>712</v>
      </c>
      <c r="AQ97" s="79">
        <v>12914</v>
      </c>
      <c r="AR97" s="79">
        <v>3339</v>
      </c>
      <c r="AS97" s="79">
        <v>6205</v>
      </c>
      <c r="AT97" s="79">
        <v>3398</v>
      </c>
      <c r="AU97" s="80" t="s">
        <v>496</v>
      </c>
      <c r="AV97" s="79">
        <v>7785</v>
      </c>
      <c r="AW97" s="79">
        <v>38891</v>
      </c>
      <c r="AX97" s="79">
        <v>31197</v>
      </c>
      <c r="AY97" s="79">
        <v>29426</v>
      </c>
      <c r="AZ97" s="79">
        <v>1697</v>
      </c>
      <c r="BA97" s="79">
        <v>7606</v>
      </c>
      <c r="BB97" s="79">
        <v>35427</v>
      </c>
      <c r="BC97" s="79">
        <v>2356</v>
      </c>
      <c r="BD97" s="79">
        <v>1396</v>
      </c>
      <c r="BE97" s="79">
        <v>4064</v>
      </c>
      <c r="BF97" s="79">
        <v>7012</v>
      </c>
      <c r="BG97" s="79">
        <v>3677</v>
      </c>
      <c r="BH97" s="79">
        <v>737</v>
      </c>
      <c r="BI97" s="79">
        <v>904</v>
      </c>
      <c r="BJ97" s="79">
        <v>763</v>
      </c>
      <c r="BK97" s="79">
        <v>934</v>
      </c>
      <c r="BL97" s="79">
        <v>16130</v>
      </c>
      <c r="BM97" s="79">
        <v>14441</v>
      </c>
      <c r="BN97" s="79">
        <v>4724</v>
      </c>
      <c r="BO97" s="79">
        <v>4046</v>
      </c>
    </row>
    <row r="98" spans="1:67" x14ac:dyDescent="0.35">
      <c r="A98" s="78" t="s">
        <v>554</v>
      </c>
      <c r="B98" s="79">
        <v>196799</v>
      </c>
      <c r="C98" s="79">
        <v>238</v>
      </c>
      <c r="D98" s="79">
        <v>220</v>
      </c>
      <c r="E98" s="79">
        <v>18</v>
      </c>
      <c r="F98" s="79">
        <v>77683</v>
      </c>
      <c r="G98" s="79">
        <v>19357</v>
      </c>
      <c r="H98" s="79">
        <v>19301</v>
      </c>
      <c r="I98" s="79">
        <v>56</v>
      </c>
      <c r="J98" s="79">
        <v>56643</v>
      </c>
      <c r="K98" s="79">
        <v>54009</v>
      </c>
      <c r="L98" s="79">
        <v>2633</v>
      </c>
      <c r="M98" s="79">
        <v>294</v>
      </c>
      <c r="N98" s="79">
        <v>44</v>
      </c>
      <c r="O98" s="79">
        <v>1393</v>
      </c>
      <c r="P98" s="80" t="s">
        <v>496</v>
      </c>
      <c r="Q98" s="79">
        <v>1129</v>
      </c>
      <c r="R98" s="79">
        <v>24</v>
      </c>
      <c r="S98" s="79">
        <v>69</v>
      </c>
      <c r="T98" s="79">
        <v>1039</v>
      </c>
      <c r="U98" s="79">
        <v>3919</v>
      </c>
      <c r="V98" s="79">
        <v>1968</v>
      </c>
      <c r="W98" s="79">
        <v>938</v>
      </c>
      <c r="X98" s="79">
        <v>843</v>
      </c>
      <c r="Y98" s="79">
        <v>177</v>
      </c>
      <c r="Z98" s="79">
        <v>1974</v>
      </c>
      <c r="AA98" s="79">
        <v>23577</v>
      </c>
      <c r="AB98" s="79">
        <v>6479</v>
      </c>
      <c r="AC98" s="79">
        <v>2722</v>
      </c>
      <c r="AD98" s="79">
        <v>14161</v>
      </c>
      <c r="AE98" s="79">
        <v>2740</v>
      </c>
      <c r="AF98" s="79">
        <v>2670</v>
      </c>
      <c r="AG98" s="79">
        <v>5626</v>
      </c>
      <c r="AH98" s="79">
        <v>2255</v>
      </c>
      <c r="AI98" s="79">
        <v>905</v>
      </c>
      <c r="AJ98" s="79">
        <v>1097</v>
      </c>
      <c r="AK98" s="79">
        <v>421</v>
      </c>
      <c r="AL98" s="79">
        <v>952</v>
      </c>
      <c r="AM98" s="79">
        <v>14654</v>
      </c>
      <c r="AN98" s="79">
        <v>49</v>
      </c>
      <c r="AO98" s="79">
        <v>621</v>
      </c>
      <c r="AP98" s="79">
        <v>729</v>
      </c>
      <c r="AQ98" s="79">
        <v>13194</v>
      </c>
      <c r="AR98" s="79">
        <v>3217</v>
      </c>
      <c r="AS98" s="79">
        <v>6453</v>
      </c>
      <c r="AT98" s="79">
        <v>3548</v>
      </c>
      <c r="AU98" s="80" t="s">
        <v>496</v>
      </c>
      <c r="AV98" s="79">
        <v>7554</v>
      </c>
      <c r="AW98" s="79">
        <v>39035</v>
      </c>
      <c r="AX98" s="79">
        <v>31429</v>
      </c>
      <c r="AY98" s="79">
        <v>29669</v>
      </c>
      <c r="AZ98" s="79">
        <v>1690</v>
      </c>
      <c r="BA98" s="79">
        <v>7512</v>
      </c>
      <c r="BB98" s="79">
        <v>34572</v>
      </c>
      <c r="BC98" s="79">
        <v>2309</v>
      </c>
      <c r="BD98" s="79">
        <v>1400</v>
      </c>
      <c r="BE98" s="79">
        <v>3919</v>
      </c>
      <c r="BF98" s="79">
        <v>6347</v>
      </c>
      <c r="BG98" s="79">
        <v>3182</v>
      </c>
      <c r="BH98" s="79">
        <v>742</v>
      </c>
      <c r="BI98" s="79">
        <v>841</v>
      </c>
      <c r="BJ98" s="79">
        <v>692</v>
      </c>
      <c r="BK98" s="79">
        <v>893</v>
      </c>
      <c r="BL98" s="79">
        <v>15999</v>
      </c>
      <c r="BM98" s="79">
        <v>14202</v>
      </c>
      <c r="BN98" s="79">
        <v>4712</v>
      </c>
      <c r="BO98" s="79">
        <v>4238</v>
      </c>
    </row>
    <row r="99" spans="1:67" x14ac:dyDescent="0.35">
      <c r="A99" s="78" t="s">
        <v>555</v>
      </c>
      <c r="B99" s="79">
        <v>196758</v>
      </c>
      <c r="C99" s="79">
        <v>227</v>
      </c>
      <c r="D99" s="79">
        <v>208</v>
      </c>
      <c r="E99" s="79">
        <v>18</v>
      </c>
      <c r="F99" s="79">
        <v>77597</v>
      </c>
      <c r="G99" s="79">
        <v>19374</v>
      </c>
      <c r="H99" s="79">
        <v>19319</v>
      </c>
      <c r="I99" s="79">
        <v>55</v>
      </c>
      <c r="J99" s="79">
        <v>56467</v>
      </c>
      <c r="K99" s="79">
        <v>53876</v>
      </c>
      <c r="L99" s="79">
        <v>2590</v>
      </c>
      <c r="M99" s="79">
        <v>352</v>
      </c>
      <c r="N99" s="79">
        <v>39</v>
      </c>
      <c r="O99" s="79">
        <v>1402</v>
      </c>
      <c r="P99" s="80" t="s">
        <v>496</v>
      </c>
      <c r="Q99" s="79">
        <v>1205</v>
      </c>
      <c r="R99" s="79">
        <v>24</v>
      </c>
      <c r="S99" s="79">
        <v>65</v>
      </c>
      <c r="T99" s="79">
        <v>1120</v>
      </c>
      <c r="U99" s="79">
        <v>4472</v>
      </c>
      <c r="V99" s="79">
        <v>2435</v>
      </c>
      <c r="W99" s="79">
        <v>1295</v>
      </c>
      <c r="X99" s="79">
        <v>951</v>
      </c>
      <c r="Y99" s="79">
        <v>159</v>
      </c>
      <c r="Z99" s="79">
        <v>2015</v>
      </c>
      <c r="AA99" s="79">
        <v>23659</v>
      </c>
      <c r="AB99" s="79">
        <v>6170</v>
      </c>
      <c r="AC99" s="79">
        <v>2663</v>
      </c>
      <c r="AD99" s="79">
        <v>14631</v>
      </c>
      <c r="AE99" s="79">
        <v>2845</v>
      </c>
      <c r="AF99" s="79">
        <v>2682</v>
      </c>
      <c r="AG99" s="79">
        <v>5726</v>
      </c>
      <c r="AH99" s="79">
        <v>2530</v>
      </c>
      <c r="AI99" s="79">
        <v>925</v>
      </c>
      <c r="AJ99" s="79">
        <v>1111</v>
      </c>
      <c r="AK99" s="79">
        <v>363</v>
      </c>
      <c r="AL99" s="79">
        <v>970</v>
      </c>
      <c r="AM99" s="79">
        <v>14849</v>
      </c>
      <c r="AN99" s="79">
        <v>47</v>
      </c>
      <c r="AO99" s="79">
        <v>614</v>
      </c>
      <c r="AP99" s="79">
        <v>750</v>
      </c>
      <c r="AQ99" s="79">
        <v>13379</v>
      </c>
      <c r="AR99" s="79">
        <v>3215</v>
      </c>
      <c r="AS99" s="79">
        <v>6518</v>
      </c>
      <c r="AT99" s="79">
        <v>3669</v>
      </c>
      <c r="AU99" s="80" t="s">
        <v>496</v>
      </c>
      <c r="AV99" s="79">
        <v>7627</v>
      </c>
      <c r="AW99" s="79">
        <v>38426</v>
      </c>
      <c r="AX99" s="79">
        <v>30679</v>
      </c>
      <c r="AY99" s="79">
        <v>28945</v>
      </c>
      <c r="AZ99" s="79">
        <v>1662</v>
      </c>
      <c r="BA99" s="79">
        <v>7664</v>
      </c>
      <c r="BB99" s="79">
        <v>34112</v>
      </c>
      <c r="BC99" s="79">
        <v>2197</v>
      </c>
      <c r="BD99" s="79">
        <v>1394</v>
      </c>
      <c r="BE99" s="79">
        <v>4130</v>
      </c>
      <c r="BF99" s="79">
        <v>6162</v>
      </c>
      <c r="BG99" s="79">
        <v>2825</v>
      </c>
      <c r="BH99" s="79">
        <v>821</v>
      </c>
      <c r="BI99" s="79">
        <v>891</v>
      </c>
      <c r="BJ99" s="79">
        <v>629</v>
      </c>
      <c r="BK99" s="79">
        <v>1009</v>
      </c>
      <c r="BL99" s="79">
        <v>16065</v>
      </c>
      <c r="BM99" s="79">
        <v>13957</v>
      </c>
      <c r="BN99" s="79">
        <v>4794</v>
      </c>
      <c r="BO99" s="79">
        <v>3873</v>
      </c>
    </row>
    <row r="100" spans="1:67" x14ac:dyDescent="0.35">
      <c r="A100" s="78" t="s">
        <v>556</v>
      </c>
      <c r="B100" s="79">
        <v>196293</v>
      </c>
      <c r="C100" s="79">
        <v>209</v>
      </c>
      <c r="D100" s="79">
        <v>193</v>
      </c>
      <c r="E100" s="79">
        <v>16</v>
      </c>
      <c r="F100" s="79">
        <v>77552</v>
      </c>
      <c r="G100" s="79">
        <v>19407</v>
      </c>
      <c r="H100" s="79">
        <v>19352</v>
      </c>
      <c r="I100" s="79">
        <v>53</v>
      </c>
      <c r="J100" s="79">
        <v>56340</v>
      </c>
      <c r="K100" s="79">
        <v>53761</v>
      </c>
      <c r="L100" s="79">
        <v>2579</v>
      </c>
      <c r="M100" s="79">
        <v>411</v>
      </c>
      <c r="N100" s="79">
        <v>38</v>
      </c>
      <c r="O100" s="79">
        <v>1380</v>
      </c>
      <c r="P100" s="80" t="s">
        <v>496</v>
      </c>
      <c r="Q100" s="79">
        <v>1166</v>
      </c>
      <c r="R100" s="79">
        <v>22</v>
      </c>
      <c r="S100" s="79">
        <v>88</v>
      </c>
      <c r="T100" s="79">
        <v>1054</v>
      </c>
      <c r="U100" s="79">
        <v>4019</v>
      </c>
      <c r="V100" s="79">
        <v>2177</v>
      </c>
      <c r="W100" s="79">
        <v>1059</v>
      </c>
      <c r="X100" s="79">
        <v>870</v>
      </c>
      <c r="Y100" s="79">
        <v>230</v>
      </c>
      <c r="Z100" s="79">
        <v>1828</v>
      </c>
      <c r="AA100" s="79">
        <v>23056</v>
      </c>
      <c r="AB100" s="79">
        <v>6079</v>
      </c>
      <c r="AC100" s="79">
        <v>2481</v>
      </c>
      <c r="AD100" s="79">
        <v>14297</v>
      </c>
      <c r="AE100" s="79">
        <v>2893</v>
      </c>
      <c r="AF100" s="79">
        <v>2485</v>
      </c>
      <c r="AG100" s="79">
        <v>5921</v>
      </c>
      <c r="AH100" s="79">
        <v>2030</v>
      </c>
      <c r="AI100" s="79">
        <v>956</v>
      </c>
      <c r="AJ100" s="79">
        <v>1135</v>
      </c>
      <c r="AK100" s="79">
        <v>366</v>
      </c>
      <c r="AL100" s="79">
        <v>992</v>
      </c>
      <c r="AM100" s="79">
        <v>15249</v>
      </c>
      <c r="AN100" s="79">
        <v>45</v>
      </c>
      <c r="AO100" s="79">
        <v>618</v>
      </c>
      <c r="AP100" s="79">
        <v>728</v>
      </c>
      <c r="AQ100" s="79">
        <v>13799</v>
      </c>
      <c r="AR100" s="79">
        <v>3555</v>
      </c>
      <c r="AS100" s="79">
        <v>6838</v>
      </c>
      <c r="AT100" s="79">
        <v>3428</v>
      </c>
      <c r="AU100" s="80" t="s">
        <v>496</v>
      </c>
      <c r="AV100" s="79">
        <v>7727</v>
      </c>
      <c r="AW100" s="79">
        <v>38375</v>
      </c>
      <c r="AX100" s="79">
        <v>30576</v>
      </c>
      <c r="AY100" s="79">
        <v>28855</v>
      </c>
      <c r="AZ100" s="79">
        <v>1651</v>
      </c>
      <c r="BA100" s="79">
        <v>7717</v>
      </c>
      <c r="BB100" s="79">
        <v>34159</v>
      </c>
      <c r="BC100" s="79">
        <v>2141</v>
      </c>
      <c r="BD100" s="79">
        <v>1396</v>
      </c>
      <c r="BE100" s="79">
        <v>3736</v>
      </c>
      <c r="BF100" s="79">
        <v>6646</v>
      </c>
      <c r="BG100" s="79">
        <v>2565</v>
      </c>
      <c r="BH100" s="79">
        <v>862</v>
      </c>
      <c r="BI100" s="79">
        <v>1097</v>
      </c>
      <c r="BJ100" s="79">
        <v>968</v>
      </c>
      <c r="BK100" s="79">
        <v>1162</v>
      </c>
      <c r="BL100" s="79">
        <v>16366</v>
      </c>
      <c r="BM100" s="79">
        <v>13736</v>
      </c>
      <c r="BN100" s="79">
        <v>4984</v>
      </c>
      <c r="BO100" s="79">
        <v>3642</v>
      </c>
    </row>
    <row r="101" spans="1:67" x14ac:dyDescent="0.35">
      <c r="A101" s="78" t="s">
        <v>557</v>
      </c>
      <c r="B101" s="79">
        <v>195775</v>
      </c>
      <c r="C101" s="79">
        <v>232</v>
      </c>
      <c r="D101" s="79">
        <v>213</v>
      </c>
      <c r="E101" s="79">
        <v>19</v>
      </c>
      <c r="F101" s="79">
        <v>77640</v>
      </c>
      <c r="G101" s="79">
        <v>19560</v>
      </c>
      <c r="H101" s="79">
        <v>19504</v>
      </c>
      <c r="I101" s="79">
        <v>55</v>
      </c>
      <c r="J101" s="79">
        <v>56288</v>
      </c>
      <c r="K101" s="79">
        <v>53700</v>
      </c>
      <c r="L101" s="79">
        <v>2586</v>
      </c>
      <c r="M101" s="79">
        <v>402</v>
      </c>
      <c r="N101" s="79">
        <v>31</v>
      </c>
      <c r="O101" s="79">
        <v>1385</v>
      </c>
      <c r="P101" s="80" t="s">
        <v>496</v>
      </c>
      <c r="Q101" s="79">
        <v>1143</v>
      </c>
      <c r="R101" s="79">
        <v>15</v>
      </c>
      <c r="S101" s="79">
        <v>71</v>
      </c>
      <c r="T101" s="79">
        <v>1058</v>
      </c>
      <c r="U101" s="79">
        <v>3982</v>
      </c>
      <c r="V101" s="79">
        <v>2168</v>
      </c>
      <c r="W101" s="79">
        <v>1021</v>
      </c>
      <c r="X101" s="79">
        <v>841</v>
      </c>
      <c r="Y101" s="79">
        <v>285</v>
      </c>
      <c r="Z101" s="79">
        <v>1797</v>
      </c>
      <c r="AA101" s="79">
        <v>22847</v>
      </c>
      <c r="AB101" s="79">
        <v>6015</v>
      </c>
      <c r="AC101" s="79">
        <v>2377</v>
      </c>
      <c r="AD101" s="79">
        <v>14254</v>
      </c>
      <c r="AE101" s="79">
        <v>2987</v>
      </c>
      <c r="AF101" s="79">
        <v>2410</v>
      </c>
      <c r="AG101" s="79">
        <v>5892</v>
      </c>
      <c r="AH101" s="79">
        <v>2003</v>
      </c>
      <c r="AI101" s="79">
        <v>945</v>
      </c>
      <c r="AJ101" s="79">
        <v>1173</v>
      </c>
      <c r="AK101" s="79">
        <v>356</v>
      </c>
      <c r="AL101" s="79">
        <v>1027</v>
      </c>
      <c r="AM101" s="79">
        <v>14502</v>
      </c>
      <c r="AN101" s="79">
        <v>50</v>
      </c>
      <c r="AO101" s="79">
        <v>624</v>
      </c>
      <c r="AP101" s="79">
        <v>802</v>
      </c>
      <c r="AQ101" s="79">
        <v>12967</v>
      </c>
      <c r="AR101" s="79">
        <v>3431</v>
      </c>
      <c r="AS101" s="79">
        <v>6064</v>
      </c>
      <c r="AT101" s="79">
        <v>3508</v>
      </c>
      <c r="AU101" s="80" t="s">
        <v>496</v>
      </c>
      <c r="AV101" s="79">
        <v>7783</v>
      </c>
      <c r="AW101" s="79">
        <v>38399</v>
      </c>
      <c r="AX101" s="79">
        <v>30626</v>
      </c>
      <c r="AY101" s="79">
        <v>28928</v>
      </c>
      <c r="AZ101" s="79">
        <v>1632</v>
      </c>
      <c r="BA101" s="79">
        <v>7690</v>
      </c>
      <c r="BB101" s="79">
        <v>34151</v>
      </c>
      <c r="BC101" s="79">
        <v>2154</v>
      </c>
      <c r="BD101" s="79">
        <v>1398</v>
      </c>
      <c r="BE101" s="79">
        <v>3871</v>
      </c>
      <c r="BF101" s="79">
        <v>6494</v>
      </c>
      <c r="BG101" s="79">
        <v>2570</v>
      </c>
      <c r="BH101" s="79">
        <v>863</v>
      </c>
      <c r="BI101" s="79">
        <v>1061</v>
      </c>
      <c r="BJ101" s="79">
        <v>910</v>
      </c>
      <c r="BK101" s="79">
        <v>1098</v>
      </c>
      <c r="BL101" s="79">
        <v>16105</v>
      </c>
      <c r="BM101" s="79">
        <v>13475</v>
      </c>
      <c r="BN101" s="79">
        <v>4912</v>
      </c>
      <c r="BO101" s="79">
        <v>3827</v>
      </c>
    </row>
    <row r="102" spans="1:67" x14ac:dyDescent="0.35">
      <c r="A102" s="78" t="s">
        <v>558</v>
      </c>
      <c r="B102" s="79">
        <v>196785</v>
      </c>
      <c r="C102" s="79">
        <v>246</v>
      </c>
      <c r="D102" s="79">
        <v>226</v>
      </c>
      <c r="E102" s="79">
        <v>19</v>
      </c>
      <c r="F102" s="79">
        <v>77928</v>
      </c>
      <c r="G102" s="79">
        <v>19748</v>
      </c>
      <c r="H102" s="79">
        <v>19692</v>
      </c>
      <c r="I102" s="79">
        <v>55</v>
      </c>
      <c r="J102" s="79">
        <v>56266</v>
      </c>
      <c r="K102" s="79">
        <v>53655</v>
      </c>
      <c r="L102" s="79">
        <v>2611</v>
      </c>
      <c r="M102" s="79">
        <v>506</v>
      </c>
      <c r="N102" s="79">
        <v>29</v>
      </c>
      <c r="O102" s="79">
        <v>1383</v>
      </c>
      <c r="P102" s="80" t="s">
        <v>496</v>
      </c>
      <c r="Q102" s="79">
        <v>1167</v>
      </c>
      <c r="R102" s="79">
        <v>24</v>
      </c>
      <c r="S102" s="79">
        <v>74</v>
      </c>
      <c r="T102" s="79">
        <v>1070</v>
      </c>
      <c r="U102" s="79">
        <v>3934</v>
      </c>
      <c r="V102" s="79">
        <v>2152</v>
      </c>
      <c r="W102" s="79">
        <v>1049</v>
      </c>
      <c r="X102" s="79">
        <v>726</v>
      </c>
      <c r="Y102" s="79">
        <v>342</v>
      </c>
      <c r="Z102" s="79">
        <v>1764</v>
      </c>
      <c r="AA102" s="79">
        <v>23057</v>
      </c>
      <c r="AB102" s="79">
        <v>6026</v>
      </c>
      <c r="AC102" s="79">
        <v>2375</v>
      </c>
      <c r="AD102" s="79">
        <v>14453</v>
      </c>
      <c r="AE102" s="79">
        <v>3041</v>
      </c>
      <c r="AF102" s="79">
        <v>2427</v>
      </c>
      <c r="AG102" s="79">
        <v>6041</v>
      </c>
      <c r="AH102" s="79">
        <v>2036</v>
      </c>
      <c r="AI102" s="79">
        <v>889</v>
      </c>
      <c r="AJ102" s="79">
        <v>1249</v>
      </c>
      <c r="AK102" s="79">
        <v>395</v>
      </c>
      <c r="AL102" s="79">
        <v>1092</v>
      </c>
      <c r="AM102" s="79">
        <v>14365</v>
      </c>
      <c r="AN102" s="79">
        <v>45</v>
      </c>
      <c r="AO102" s="79">
        <v>623</v>
      </c>
      <c r="AP102" s="79">
        <v>817</v>
      </c>
      <c r="AQ102" s="79">
        <v>12823</v>
      </c>
      <c r="AR102" s="79">
        <v>3243</v>
      </c>
      <c r="AS102" s="79">
        <v>6242</v>
      </c>
      <c r="AT102" s="79">
        <v>3362</v>
      </c>
      <c r="AU102" s="80" t="s">
        <v>496</v>
      </c>
      <c r="AV102" s="79">
        <v>7613</v>
      </c>
      <c r="AW102" s="79">
        <v>38204</v>
      </c>
      <c r="AX102" s="79">
        <v>30115</v>
      </c>
      <c r="AY102" s="79">
        <v>28398</v>
      </c>
      <c r="AZ102" s="79">
        <v>1645</v>
      </c>
      <c r="BA102" s="79">
        <v>8020</v>
      </c>
      <c r="BB102" s="79">
        <v>34658</v>
      </c>
      <c r="BC102" s="79">
        <v>2134</v>
      </c>
      <c r="BD102" s="79">
        <v>1405</v>
      </c>
      <c r="BE102" s="79">
        <v>3998</v>
      </c>
      <c r="BF102" s="79">
        <v>6458</v>
      </c>
      <c r="BG102" s="79">
        <v>2384</v>
      </c>
      <c r="BH102" s="79">
        <v>888</v>
      </c>
      <c r="BI102" s="79">
        <v>1104</v>
      </c>
      <c r="BJ102" s="79">
        <v>995</v>
      </c>
      <c r="BK102" s="79">
        <v>1092</v>
      </c>
      <c r="BL102" s="79">
        <v>15682</v>
      </c>
      <c r="BM102" s="79">
        <v>13253</v>
      </c>
      <c r="BN102" s="79">
        <v>4757</v>
      </c>
      <c r="BO102" s="79">
        <v>4495</v>
      </c>
    </row>
    <row r="103" spans="1:67" x14ac:dyDescent="0.35">
      <c r="A103" s="78" t="s">
        <v>559</v>
      </c>
      <c r="B103" s="79">
        <v>197326</v>
      </c>
      <c r="C103" s="79">
        <v>285</v>
      </c>
      <c r="D103" s="79">
        <v>260</v>
      </c>
      <c r="E103" s="79">
        <v>23</v>
      </c>
      <c r="F103" s="79">
        <v>78679</v>
      </c>
      <c r="G103" s="79">
        <v>19989</v>
      </c>
      <c r="H103" s="79">
        <v>19930</v>
      </c>
      <c r="I103" s="79">
        <v>57</v>
      </c>
      <c r="J103" s="79">
        <v>56885</v>
      </c>
      <c r="K103" s="79">
        <v>54257</v>
      </c>
      <c r="L103" s="79">
        <v>2627</v>
      </c>
      <c r="M103" s="79">
        <v>434</v>
      </c>
      <c r="N103" s="79">
        <v>31</v>
      </c>
      <c r="O103" s="79">
        <v>1360</v>
      </c>
      <c r="P103" s="80" t="s">
        <v>496</v>
      </c>
      <c r="Q103" s="79">
        <v>1086</v>
      </c>
      <c r="R103" s="79">
        <v>33</v>
      </c>
      <c r="S103" s="79">
        <v>69</v>
      </c>
      <c r="T103" s="79">
        <v>985</v>
      </c>
      <c r="U103" s="79">
        <v>4049</v>
      </c>
      <c r="V103" s="79">
        <v>2221</v>
      </c>
      <c r="W103" s="79">
        <v>1144</v>
      </c>
      <c r="X103" s="79">
        <v>758</v>
      </c>
      <c r="Y103" s="79">
        <v>282</v>
      </c>
      <c r="Z103" s="79">
        <v>1806</v>
      </c>
      <c r="AA103" s="79">
        <v>23800</v>
      </c>
      <c r="AB103" s="79">
        <v>6244</v>
      </c>
      <c r="AC103" s="79">
        <v>2368</v>
      </c>
      <c r="AD103" s="79">
        <v>14971</v>
      </c>
      <c r="AE103" s="79">
        <v>3048</v>
      </c>
      <c r="AF103" s="79">
        <v>2385</v>
      </c>
      <c r="AG103" s="79">
        <v>6046</v>
      </c>
      <c r="AH103" s="79">
        <v>2801</v>
      </c>
      <c r="AI103" s="79">
        <v>828</v>
      </c>
      <c r="AJ103" s="79">
        <v>1268</v>
      </c>
      <c r="AK103" s="79">
        <v>413</v>
      </c>
      <c r="AL103" s="79">
        <v>1107</v>
      </c>
      <c r="AM103" s="79">
        <v>14147</v>
      </c>
      <c r="AN103" s="79">
        <v>37</v>
      </c>
      <c r="AO103" s="79">
        <v>618</v>
      </c>
      <c r="AP103" s="79">
        <v>773</v>
      </c>
      <c r="AQ103" s="79">
        <v>12665</v>
      </c>
      <c r="AR103" s="79">
        <v>3233</v>
      </c>
      <c r="AS103" s="79">
        <v>6161</v>
      </c>
      <c r="AT103" s="79">
        <v>3296</v>
      </c>
      <c r="AU103" s="80" t="s">
        <v>496</v>
      </c>
      <c r="AV103" s="79">
        <v>7615</v>
      </c>
      <c r="AW103" s="79">
        <v>37795</v>
      </c>
      <c r="AX103" s="79">
        <v>29613</v>
      </c>
      <c r="AY103" s="79">
        <v>27949</v>
      </c>
      <c r="AZ103" s="79">
        <v>1597</v>
      </c>
      <c r="BA103" s="79">
        <v>8130</v>
      </c>
      <c r="BB103" s="79">
        <v>34103</v>
      </c>
      <c r="BC103" s="79">
        <v>2116</v>
      </c>
      <c r="BD103" s="79">
        <v>1401</v>
      </c>
      <c r="BE103" s="79">
        <v>3913</v>
      </c>
      <c r="BF103" s="79">
        <v>6749</v>
      </c>
      <c r="BG103" s="79">
        <v>2649</v>
      </c>
      <c r="BH103" s="79">
        <v>918</v>
      </c>
      <c r="BI103" s="79">
        <v>1108</v>
      </c>
      <c r="BJ103" s="79">
        <v>928</v>
      </c>
      <c r="BK103" s="79">
        <v>1155</v>
      </c>
      <c r="BL103" s="79">
        <v>15527</v>
      </c>
      <c r="BM103" s="79">
        <v>13820</v>
      </c>
      <c r="BN103" s="79">
        <v>4552</v>
      </c>
      <c r="BO103" s="79">
        <v>3965</v>
      </c>
    </row>
    <row r="104" spans="1:67" x14ac:dyDescent="0.35">
      <c r="A104" s="78" t="s">
        <v>560</v>
      </c>
      <c r="B104" s="79">
        <v>199179</v>
      </c>
      <c r="C104" s="79">
        <v>259</v>
      </c>
      <c r="D104" s="79">
        <v>236</v>
      </c>
      <c r="E104" s="79">
        <v>23</v>
      </c>
      <c r="F104" s="79">
        <v>79561</v>
      </c>
      <c r="G104" s="79">
        <v>20406</v>
      </c>
      <c r="H104" s="79">
        <v>20349</v>
      </c>
      <c r="I104" s="79">
        <v>57</v>
      </c>
      <c r="J104" s="79">
        <v>57316</v>
      </c>
      <c r="K104" s="79">
        <v>54631</v>
      </c>
      <c r="L104" s="79">
        <v>2684</v>
      </c>
      <c r="M104" s="79">
        <v>474</v>
      </c>
      <c r="N104" s="79">
        <v>31</v>
      </c>
      <c r="O104" s="79">
        <v>1345</v>
      </c>
      <c r="P104" s="80" t="s">
        <v>496</v>
      </c>
      <c r="Q104" s="79">
        <v>1128</v>
      </c>
      <c r="R104" s="79">
        <v>21</v>
      </c>
      <c r="S104" s="79">
        <v>47</v>
      </c>
      <c r="T104" s="79">
        <v>1065</v>
      </c>
      <c r="U104" s="79">
        <v>3953</v>
      </c>
      <c r="V104" s="79">
        <v>2134</v>
      </c>
      <c r="W104" s="79">
        <v>1088</v>
      </c>
      <c r="X104" s="79">
        <v>757</v>
      </c>
      <c r="Y104" s="79">
        <v>255</v>
      </c>
      <c r="Z104" s="79">
        <v>1807</v>
      </c>
      <c r="AA104" s="79">
        <v>23000</v>
      </c>
      <c r="AB104" s="79">
        <v>6189</v>
      </c>
      <c r="AC104" s="79">
        <v>2292</v>
      </c>
      <c r="AD104" s="79">
        <v>14302</v>
      </c>
      <c r="AE104" s="79">
        <v>3028</v>
      </c>
      <c r="AF104" s="79">
        <v>2357</v>
      </c>
      <c r="AG104" s="79">
        <v>5834</v>
      </c>
      <c r="AH104" s="79">
        <v>2325</v>
      </c>
      <c r="AI104" s="79">
        <v>810</v>
      </c>
      <c r="AJ104" s="79">
        <v>1283</v>
      </c>
      <c r="AK104" s="79">
        <v>393</v>
      </c>
      <c r="AL104" s="79">
        <v>1123</v>
      </c>
      <c r="AM104" s="79">
        <v>14265</v>
      </c>
      <c r="AN104" s="79">
        <v>30</v>
      </c>
      <c r="AO104" s="79">
        <v>626</v>
      </c>
      <c r="AP104" s="79">
        <v>754</v>
      </c>
      <c r="AQ104" s="79">
        <v>12802</v>
      </c>
      <c r="AR104" s="79">
        <v>3195</v>
      </c>
      <c r="AS104" s="79">
        <v>6244</v>
      </c>
      <c r="AT104" s="79">
        <v>3385</v>
      </c>
      <c r="AU104" s="80" t="s">
        <v>496</v>
      </c>
      <c r="AV104" s="79">
        <v>7846</v>
      </c>
      <c r="AW104" s="79">
        <v>38230</v>
      </c>
      <c r="AX104" s="79">
        <v>29925</v>
      </c>
      <c r="AY104" s="79">
        <v>28272</v>
      </c>
      <c r="AZ104" s="79">
        <v>1589</v>
      </c>
      <c r="BA104" s="79">
        <v>8255</v>
      </c>
      <c r="BB104" s="79">
        <v>35302</v>
      </c>
      <c r="BC104" s="79">
        <v>2161</v>
      </c>
      <c r="BD104" s="79">
        <v>1413</v>
      </c>
      <c r="BE104" s="79">
        <v>4036</v>
      </c>
      <c r="BF104" s="79">
        <v>7274</v>
      </c>
      <c r="BG104" s="79">
        <v>2922</v>
      </c>
      <c r="BH104" s="79">
        <v>927</v>
      </c>
      <c r="BI104" s="79">
        <v>1167</v>
      </c>
      <c r="BJ104" s="79">
        <v>1022</v>
      </c>
      <c r="BK104" s="79">
        <v>1244</v>
      </c>
      <c r="BL104" s="79">
        <v>15669</v>
      </c>
      <c r="BM104" s="79">
        <v>14443</v>
      </c>
      <c r="BN104" s="79">
        <v>4482</v>
      </c>
      <c r="BO104" s="79">
        <v>4200</v>
      </c>
    </row>
    <row r="105" spans="1:67" x14ac:dyDescent="0.35">
      <c r="A105" s="78" t="s">
        <v>561</v>
      </c>
      <c r="B105" s="79">
        <v>202916</v>
      </c>
      <c r="C105" s="79">
        <v>259</v>
      </c>
      <c r="D105" s="79">
        <v>235</v>
      </c>
      <c r="E105" s="79">
        <v>22</v>
      </c>
      <c r="F105" s="79">
        <v>80110</v>
      </c>
      <c r="G105" s="79">
        <v>20773</v>
      </c>
      <c r="H105" s="79">
        <v>20715</v>
      </c>
      <c r="I105" s="79">
        <v>58</v>
      </c>
      <c r="J105" s="79">
        <v>57522</v>
      </c>
      <c r="K105" s="79">
        <v>54788</v>
      </c>
      <c r="L105" s="79">
        <v>2734</v>
      </c>
      <c r="M105" s="79">
        <v>448</v>
      </c>
      <c r="N105" s="79">
        <v>32</v>
      </c>
      <c r="O105" s="79">
        <v>1350</v>
      </c>
      <c r="P105" s="80" t="s">
        <v>496</v>
      </c>
      <c r="Q105" s="79">
        <v>1210</v>
      </c>
      <c r="R105" s="79">
        <v>20</v>
      </c>
      <c r="S105" s="79">
        <v>70</v>
      </c>
      <c r="T105" s="79">
        <v>1123</v>
      </c>
      <c r="U105" s="79">
        <v>4211</v>
      </c>
      <c r="V105" s="79">
        <v>2265</v>
      </c>
      <c r="W105" s="79">
        <v>1163</v>
      </c>
      <c r="X105" s="79">
        <v>853</v>
      </c>
      <c r="Y105" s="79">
        <v>220</v>
      </c>
      <c r="Z105" s="79">
        <v>1933</v>
      </c>
      <c r="AA105" s="79">
        <v>23297</v>
      </c>
      <c r="AB105" s="79">
        <v>6172</v>
      </c>
      <c r="AC105" s="79">
        <v>2286</v>
      </c>
      <c r="AD105" s="79">
        <v>14620</v>
      </c>
      <c r="AE105" s="79">
        <v>3158</v>
      </c>
      <c r="AF105" s="79">
        <v>2396</v>
      </c>
      <c r="AG105" s="79">
        <v>5895</v>
      </c>
      <c r="AH105" s="79">
        <v>2419</v>
      </c>
      <c r="AI105" s="79">
        <v>815</v>
      </c>
      <c r="AJ105" s="79">
        <v>1297</v>
      </c>
      <c r="AK105" s="79">
        <v>312</v>
      </c>
      <c r="AL105" s="79">
        <v>1145</v>
      </c>
      <c r="AM105" s="79">
        <v>16043</v>
      </c>
      <c r="AN105" s="79">
        <v>38</v>
      </c>
      <c r="AO105" s="79">
        <v>639</v>
      </c>
      <c r="AP105" s="79">
        <v>750</v>
      </c>
      <c r="AQ105" s="79">
        <v>14554</v>
      </c>
      <c r="AR105" s="79">
        <v>4565</v>
      </c>
      <c r="AS105" s="79">
        <v>6491</v>
      </c>
      <c r="AT105" s="79">
        <v>3562</v>
      </c>
      <c r="AU105" s="80" t="s">
        <v>496</v>
      </c>
      <c r="AV105" s="79">
        <v>8102</v>
      </c>
      <c r="AW105" s="79">
        <v>38833</v>
      </c>
      <c r="AX105" s="79">
        <v>30450</v>
      </c>
      <c r="AY105" s="79">
        <v>28848</v>
      </c>
      <c r="AZ105" s="79">
        <v>1547</v>
      </c>
      <c r="BA105" s="79">
        <v>8331</v>
      </c>
      <c r="BB105" s="79">
        <v>35459</v>
      </c>
      <c r="BC105" s="79">
        <v>2190</v>
      </c>
      <c r="BD105" s="79">
        <v>1421</v>
      </c>
      <c r="BE105" s="79">
        <v>3995</v>
      </c>
      <c r="BF105" s="79">
        <v>7273</v>
      </c>
      <c r="BG105" s="79">
        <v>3108</v>
      </c>
      <c r="BH105" s="79">
        <v>916</v>
      </c>
      <c r="BI105" s="79">
        <v>1129</v>
      </c>
      <c r="BJ105" s="79">
        <v>966</v>
      </c>
      <c r="BK105" s="79">
        <v>1163</v>
      </c>
      <c r="BL105" s="79">
        <v>15456</v>
      </c>
      <c r="BM105" s="79">
        <v>13987</v>
      </c>
      <c r="BN105" s="79">
        <v>4479</v>
      </c>
      <c r="BO105" s="79">
        <v>4486</v>
      </c>
    </row>
    <row r="106" spans="1:67" x14ac:dyDescent="0.35">
      <c r="A106" s="78" t="s">
        <v>562</v>
      </c>
      <c r="B106" s="79">
        <v>203981</v>
      </c>
      <c r="C106" s="79">
        <v>229</v>
      </c>
      <c r="D106" s="79">
        <v>204</v>
      </c>
      <c r="E106" s="79">
        <v>22</v>
      </c>
      <c r="F106" s="79">
        <v>80478</v>
      </c>
      <c r="G106" s="79">
        <v>21150</v>
      </c>
      <c r="H106" s="79">
        <v>21089</v>
      </c>
      <c r="I106" s="79">
        <v>60</v>
      </c>
      <c r="J106" s="79">
        <v>57467</v>
      </c>
      <c r="K106" s="79">
        <v>54674</v>
      </c>
      <c r="L106" s="79">
        <v>2794</v>
      </c>
      <c r="M106" s="79">
        <v>471</v>
      </c>
      <c r="N106" s="79">
        <v>37</v>
      </c>
      <c r="O106" s="79">
        <v>1362</v>
      </c>
      <c r="P106" s="80" t="s">
        <v>496</v>
      </c>
      <c r="Q106" s="79">
        <v>1203</v>
      </c>
      <c r="R106" s="79">
        <v>14</v>
      </c>
      <c r="S106" s="79">
        <v>87</v>
      </c>
      <c r="T106" s="79">
        <v>1101</v>
      </c>
      <c r="U106" s="79">
        <v>4525</v>
      </c>
      <c r="V106" s="79">
        <v>2420</v>
      </c>
      <c r="W106" s="79">
        <v>1235</v>
      </c>
      <c r="X106" s="79">
        <v>909</v>
      </c>
      <c r="Y106" s="79">
        <v>247</v>
      </c>
      <c r="Z106" s="79">
        <v>2094</v>
      </c>
      <c r="AA106" s="79">
        <v>23602</v>
      </c>
      <c r="AB106" s="79">
        <v>6137</v>
      </c>
      <c r="AC106" s="79">
        <v>2339</v>
      </c>
      <c r="AD106" s="79">
        <v>14910</v>
      </c>
      <c r="AE106" s="79">
        <v>3215</v>
      </c>
      <c r="AF106" s="79">
        <v>2453</v>
      </c>
      <c r="AG106" s="79">
        <v>5911</v>
      </c>
      <c r="AH106" s="79">
        <v>2634</v>
      </c>
      <c r="AI106" s="79">
        <v>800</v>
      </c>
      <c r="AJ106" s="79">
        <v>1358</v>
      </c>
      <c r="AK106" s="79">
        <v>354</v>
      </c>
      <c r="AL106" s="79">
        <v>1196</v>
      </c>
      <c r="AM106" s="79">
        <v>15161</v>
      </c>
      <c r="AN106" s="79">
        <v>42</v>
      </c>
      <c r="AO106" s="79">
        <v>656</v>
      </c>
      <c r="AP106" s="79">
        <v>790</v>
      </c>
      <c r="AQ106" s="79">
        <v>13613</v>
      </c>
      <c r="AR106" s="79">
        <v>3327</v>
      </c>
      <c r="AS106" s="79">
        <v>6787</v>
      </c>
      <c r="AT106" s="79">
        <v>3519</v>
      </c>
      <c r="AU106" s="80" t="s">
        <v>496</v>
      </c>
      <c r="AV106" s="79">
        <v>7462</v>
      </c>
      <c r="AW106" s="79">
        <v>40432</v>
      </c>
      <c r="AX106" s="79">
        <v>31675</v>
      </c>
      <c r="AY106" s="79">
        <v>30081</v>
      </c>
      <c r="AZ106" s="79">
        <v>1547</v>
      </c>
      <c r="BA106" s="79">
        <v>8705</v>
      </c>
      <c r="BB106" s="79">
        <v>35071</v>
      </c>
      <c r="BC106" s="79">
        <v>2181</v>
      </c>
      <c r="BD106" s="79">
        <v>1445</v>
      </c>
      <c r="BE106" s="79">
        <v>4166</v>
      </c>
      <c r="BF106" s="79">
        <v>6704</v>
      </c>
      <c r="BG106" s="79">
        <v>2994</v>
      </c>
      <c r="BH106" s="79">
        <v>869</v>
      </c>
      <c r="BI106" s="79">
        <v>999</v>
      </c>
      <c r="BJ106" s="79">
        <v>801</v>
      </c>
      <c r="BK106" s="79">
        <v>1051</v>
      </c>
      <c r="BL106" s="79">
        <v>15355</v>
      </c>
      <c r="BM106" s="79">
        <v>13792</v>
      </c>
      <c r="BN106" s="79">
        <v>4473</v>
      </c>
      <c r="BO106" s="79">
        <v>4611</v>
      </c>
    </row>
    <row r="107" spans="1:67" x14ac:dyDescent="0.35">
      <c r="A107" s="78" t="s">
        <v>563</v>
      </c>
      <c r="B107" s="79">
        <v>203042</v>
      </c>
      <c r="C107" s="79">
        <v>235</v>
      </c>
      <c r="D107" s="79">
        <v>215</v>
      </c>
      <c r="E107" s="79">
        <v>20</v>
      </c>
      <c r="F107" s="79">
        <v>81232</v>
      </c>
      <c r="G107" s="79">
        <v>21333</v>
      </c>
      <c r="H107" s="79">
        <v>21269</v>
      </c>
      <c r="I107" s="79">
        <v>62</v>
      </c>
      <c r="J107" s="79">
        <v>58027</v>
      </c>
      <c r="K107" s="79">
        <v>55218</v>
      </c>
      <c r="L107" s="79">
        <v>2810</v>
      </c>
      <c r="M107" s="79">
        <v>484</v>
      </c>
      <c r="N107" s="79">
        <v>40</v>
      </c>
      <c r="O107" s="79">
        <v>1352</v>
      </c>
      <c r="P107" s="80" t="s">
        <v>496</v>
      </c>
      <c r="Q107" s="79">
        <v>1166</v>
      </c>
      <c r="R107" s="79">
        <v>12</v>
      </c>
      <c r="S107" s="79">
        <v>71</v>
      </c>
      <c r="T107" s="79">
        <v>1083</v>
      </c>
      <c r="U107" s="79">
        <v>4452</v>
      </c>
      <c r="V107" s="79">
        <v>2277</v>
      </c>
      <c r="W107" s="79">
        <v>1018</v>
      </c>
      <c r="X107" s="79">
        <v>977</v>
      </c>
      <c r="Y107" s="79">
        <v>271</v>
      </c>
      <c r="Z107" s="79">
        <v>2182</v>
      </c>
      <c r="AA107" s="79">
        <v>23237</v>
      </c>
      <c r="AB107" s="79">
        <v>6057</v>
      </c>
      <c r="AC107" s="79">
        <v>2338</v>
      </c>
      <c r="AD107" s="79">
        <v>14631</v>
      </c>
      <c r="AE107" s="79">
        <v>3220</v>
      </c>
      <c r="AF107" s="79">
        <v>2455</v>
      </c>
      <c r="AG107" s="79">
        <v>5782</v>
      </c>
      <c r="AH107" s="79">
        <v>2388</v>
      </c>
      <c r="AI107" s="79">
        <v>842</v>
      </c>
      <c r="AJ107" s="79">
        <v>1343</v>
      </c>
      <c r="AK107" s="79">
        <v>305</v>
      </c>
      <c r="AL107" s="79">
        <v>1189</v>
      </c>
      <c r="AM107" s="79">
        <v>15393</v>
      </c>
      <c r="AN107" s="79">
        <v>33</v>
      </c>
      <c r="AO107" s="79">
        <v>662</v>
      </c>
      <c r="AP107" s="79">
        <v>868</v>
      </c>
      <c r="AQ107" s="79">
        <v>13776</v>
      </c>
      <c r="AR107" s="79">
        <v>3294</v>
      </c>
      <c r="AS107" s="79">
        <v>6904</v>
      </c>
      <c r="AT107" s="79">
        <v>3595</v>
      </c>
      <c r="AU107" s="80" t="s">
        <v>496</v>
      </c>
      <c r="AV107" s="79">
        <v>7364</v>
      </c>
      <c r="AW107" s="79">
        <v>39594</v>
      </c>
      <c r="AX107" s="79">
        <v>30778</v>
      </c>
      <c r="AY107" s="79">
        <v>29127</v>
      </c>
      <c r="AZ107" s="79">
        <v>1593</v>
      </c>
      <c r="BA107" s="79">
        <v>8783</v>
      </c>
      <c r="BB107" s="79">
        <v>34399</v>
      </c>
      <c r="BC107" s="79">
        <v>2147</v>
      </c>
      <c r="BD107" s="79">
        <v>1435</v>
      </c>
      <c r="BE107" s="79">
        <v>4440</v>
      </c>
      <c r="BF107" s="79">
        <v>6046</v>
      </c>
      <c r="BG107" s="79">
        <v>2694</v>
      </c>
      <c r="BH107" s="79">
        <v>716</v>
      </c>
      <c r="BI107" s="79">
        <v>909</v>
      </c>
      <c r="BJ107" s="79">
        <v>818</v>
      </c>
      <c r="BK107" s="79">
        <v>914</v>
      </c>
      <c r="BL107" s="79">
        <v>15300</v>
      </c>
      <c r="BM107" s="79">
        <v>13596</v>
      </c>
      <c r="BN107" s="79">
        <v>4485</v>
      </c>
      <c r="BO107" s="79">
        <v>4513</v>
      </c>
    </row>
    <row r="108" spans="1:67" x14ac:dyDescent="0.35">
      <c r="A108" s="78" t="s">
        <v>564</v>
      </c>
      <c r="B108" s="79">
        <v>205328</v>
      </c>
      <c r="C108" s="79">
        <v>235</v>
      </c>
      <c r="D108" s="79">
        <v>217</v>
      </c>
      <c r="E108" s="79">
        <v>17</v>
      </c>
      <c r="F108" s="79">
        <v>81749</v>
      </c>
      <c r="G108" s="79">
        <v>21541</v>
      </c>
      <c r="H108" s="79">
        <v>21478</v>
      </c>
      <c r="I108" s="79">
        <v>62</v>
      </c>
      <c r="J108" s="79">
        <v>58400</v>
      </c>
      <c r="K108" s="79">
        <v>55578</v>
      </c>
      <c r="L108" s="79">
        <v>2822</v>
      </c>
      <c r="M108" s="79">
        <v>438</v>
      </c>
      <c r="N108" s="79">
        <v>35</v>
      </c>
      <c r="O108" s="79">
        <v>1346</v>
      </c>
      <c r="P108" s="80" t="s">
        <v>496</v>
      </c>
      <c r="Q108" s="79">
        <v>1227</v>
      </c>
      <c r="R108" s="79">
        <v>14</v>
      </c>
      <c r="S108" s="79">
        <v>76</v>
      </c>
      <c r="T108" s="79">
        <v>1138</v>
      </c>
      <c r="U108" s="79">
        <v>4682</v>
      </c>
      <c r="V108" s="79">
        <v>2422</v>
      </c>
      <c r="W108" s="79">
        <v>1095</v>
      </c>
      <c r="X108" s="79">
        <v>1044</v>
      </c>
      <c r="Y108" s="79">
        <v>272</v>
      </c>
      <c r="Z108" s="79">
        <v>2262</v>
      </c>
      <c r="AA108" s="79">
        <v>23901</v>
      </c>
      <c r="AB108" s="79">
        <v>5998</v>
      </c>
      <c r="AC108" s="79">
        <v>2391</v>
      </c>
      <c r="AD108" s="79">
        <v>15295</v>
      </c>
      <c r="AE108" s="79">
        <v>3293</v>
      </c>
      <c r="AF108" s="79">
        <v>2579</v>
      </c>
      <c r="AG108" s="79">
        <v>5808</v>
      </c>
      <c r="AH108" s="79">
        <v>2873</v>
      </c>
      <c r="AI108" s="79">
        <v>894</v>
      </c>
      <c r="AJ108" s="79">
        <v>1339</v>
      </c>
      <c r="AK108" s="79">
        <v>289</v>
      </c>
      <c r="AL108" s="79">
        <v>1189</v>
      </c>
      <c r="AM108" s="79">
        <v>15518</v>
      </c>
      <c r="AN108" s="79">
        <v>38</v>
      </c>
      <c r="AO108" s="79">
        <v>674</v>
      </c>
      <c r="AP108" s="79">
        <v>829</v>
      </c>
      <c r="AQ108" s="79">
        <v>13918</v>
      </c>
      <c r="AR108" s="79">
        <v>3329</v>
      </c>
      <c r="AS108" s="79">
        <v>6895</v>
      </c>
      <c r="AT108" s="79">
        <v>3714</v>
      </c>
      <c r="AU108" s="80" t="s">
        <v>496</v>
      </c>
      <c r="AV108" s="79">
        <v>7467</v>
      </c>
      <c r="AW108" s="79">
        <v>40077</v>
      </c>
      <c r="AX108" s="79">
        <v>30771</v>
      </c>
      <c r="AY108" s="79">
        <v>29161</v>
      </c>
      <c r="AZ108" s="79">
        <v>1555</v>
      </c>
      <c r="BA108" s="79">
        <v>9302</v>
      </c>
      <c r="BB108" s="79">
        <v>34679</v>
      </c>
      <c r="BC108" s="79">
        <v>2166</v>
      </c>
      <c r="BD108" s="79">
        <v>1430</v>
      </c>
      <c r="BE108" s="79">
        <v>4536</v>
      </c>
      <c r="BF108" s="79">
        <v>6151</v>
      </c>
      <c r="BG108" s="79">
        <v>3114</v>
      </c>
      <c r="BH108" s="79">
        <v>680</v>
      </c>
      <c r="BI108" s="79">
        <v>806</v>
      </c>
      <c r="BJ108" s="79">
        <v>648</v>
      </c>
      <c r="BK108" s="79">
        <v>910</v>
      </c>
      <c r="BL108" s="79">
        <v>15491</v>
      </c>
      <c r="BM108" s="79">
        <v>13475</v>
      </c>
      <c r="BN108" s="79">
        <v>4599</v>
      </c>
      <c r="BO108" s="79">
        <v>4412</v>
      </c>
    </row>
    <row r="109" spans="1:67" x14ac:dyDescent="0.35">
      <c r="A109" s="78" t="s">
        <v>565</v>
      </c>
      <c r="B109" s="79">
        <v>207956</v>
      </c>
      <c r="C109" s="79">
        <v>261</v>
      </c>
      <c r="D109" s="79">
        <v>246</v>
      </c>
      <c r="E109" s="79">
        <v>15</v>
      </c>
      <c r="F109" s="79">
        <v>82295</v>
      </c>
      <c r="G109" s="79">
        <v>21764</v>
      </c>
      <c r="H109" s="79">
        <v>21700</v>
      </c>
      <c r="I109" s="79">
        <v>64</v>
      </c>
      <c r="J109" s="79">
        <v>58640</v>
      </c>
      <c r="K109" s="79">
        <v>55802</v>
      </c>
      <c r="L109" s="79">
        <v>2837</v>
      </c>
      <c r="M109" s="79">
        <v>512</v>
      </c>
      <c r="N109" s="79">
        <v>30</v>
      </c>
      <c r="O109" s="79">
        <v>1345</v>
      </c>
      <c r="P109" s="80" t="s">
        <v>496</v>
      </c>
      <c r="Q109" s="79">
        <v>1187</v>
      </c>
      <c r="R109" s="79">
        <v>11</v>
      </c>
      <c r="S109" s="79">
        <v>59</v>
      </c>
      <c r="T109" s="79">
        <v>1121</v>
      </c>
      <c r="U109" s="79">
        <v>4766</v>
      </c>
      <c r="V109" s="79">
        <v>2459</v>
      </c>
      <c r="W109" s="79">
        <v>1099</v>
      </c>
      <c r="X109" s="79">
        <v>1066</v>
      </c>
      <c r="Y109" s="79">
        <v>284</v>
      </c>
      <c r="Z109" s="79">
        <v>2310</v>
      </c>
      <c r="AA109" s="79">
        <v>23897</v>
      </c>
      <c r="AB109" s="79">
        <v>5938</v>
      </c>
      <c r="AC109" s="79">
        <v>2475</v>
      </c>
      <c r="AD109" s="79">
        <v>15279</v>
      </c>
      <c r="AE109" s="79">
        <v>3291</v>
      </c>
      <c r="AF109" s="79">
        <v>2547</v>
      </c>
      <c r="AG109" s="79">
        <v>5726</v>
      </c>
      <c r="AH109" s="79">
        <v>2976</v>
      </c>
      <c r="AI109" s="79">
        <v>926</v>
      </c>
      <c r="AJ109" s="79">
        <v>1373</v>
      </c>
      <c r="AK109" s="79">
        <v>266</v>
      </c>
      <c r="AL109" s="79">
        <v>1223</v>
      </c>
      <c r="AM109" s="79">
        <v>15743</v>
      </c>
      <c r="AN109" s="79">
        <v>43</v>
      </c>
      <c r="AO109" s="79">
        <v>689</v>
      </c>
      <c r="AP109" s="79">
        <v>816</v>
      </c>
      <c r="AQ109" s="79">
        <v>14132</v>
      </c>
      <c r="AR109" s="79">
        <v>3310</v>
      </c>
      <c r="AS109" s="79">
        <v>7045</v>
      </c>
      <c r="AT109" s="79">
        <v>3797</v>
      </c>
      <c r="AU109" s="80" t="s">
        <v>496</v>
      </c>
      <c r="AV109" s="79">
        <v>7810</v>
      </c>
      <c r="AW109" s="79">
        <v>40533</v>
      </c>
      <c r="AX109" s="79">
        <v>31033</v>
      </c>
      <c r="AY109" s="79">
        <v>29360</v>
      </c>
      <c r="AZ109" s="79">
        <v>1612</v>
      </c>
      <c r="BA109" s="79">
        <v>9504</v>
      </c>
      <c r="BB109" s="79">
        <v>35800</v>
      </c>
      <c r="BC109" s="79">
        <v>2210</v>
      </c>
      <c r="BD109" s="79">
        <v>1432</v>
      </c>
      <c r="BE109" s="79">
        <v>4549</v>
      </c>
      <c r="BF109" s="79">
        <v>6745</v>
      </c>
      <c r="BG109" s="79">
        <v>3466</v>
      </c>
      <c r="BH109" s="79">
        <v>728</v>
      </c>
      <c r="BI109" s="79">
        <v>888</v>
      </c>
      <c r="BJ109" s="79">
        <v>750</v>
      </c>
      <c r="BK109" s="79">
        <v>916</v>
      </c>
      <c r="BL109" s="79">
        <v>15864</v>
      </c>
      <c r="BM109" s="79">
        <v>13434</v>
      </c>
      <c r="BN109" s="79">
        <v>4783</v>
      </c>
      <c r="BO109" s="79">
        <v>4456</v>
      </c>
    </row>
    <row r="110" spans="1:67" x14ac:dyDescent="0.35">
      <c r="A110" s="78" t="s">
        <v>566</v>
      </c>
      <c r="B110" s="79">
        <v>208485</v>
      </c>
      <c r="C110" s="79">
        <v>267</v>
      </c>
      <c r="D110" s="79">
        <v>250</v>
      </c>
      <c r="E110" s="79">
        <v>18</v>
      </c>
      <c r="F110" s="79">
        <v>82467</v>
      </c>
      <c r="G110" s="79">
        <v>21962</v>
      </c>
      <c r="H110" s="79">
        <v>21898</v>
      </c>
      <c r="I110" s="79">
        <v>64</v>
      </c>
      <c r="J110" s="79">
        <v>58697</v>
      </c>
      <c r="K110" s="79">
        <v>55842</v>
      </c>
      <c r="L110" s="79">
        <v>2855</v>
      </c>
      <c r="M110" s="79">
        <v>442</v>
      </c>
      <c r="N110" s="79">
        <v>26</v>
      </c>
      <c r="O110" s="79">
        <v>1346</v>
      </c>
      <c r="P110" s="80" t="s">
        <v>496</v>
      </c>
      <c r="Q110" s="79">
        <v>1185</v>
      </c>
      <c r="R110" s="79">
        <v>7</v>
      </c>
      <c r="S110" s="79">
        <v>84</v>
      </c>
      <c r="T110" s="79">
        <v>1094</v>
      </c>
      <c r="U110" s="79">
        <v>4791</v>
      </c>
      <c r="V110" s="79">
        <v>2474</v>
      </c>
      <c r="W110" s="79">
        <v>1152</v>
      </c>
      <c r="X110" s="79">
        <v>1043</v>
      </c>
      <c r="Y110" s="79">
        <v>263</v>
      </c>
      <c r="Z110" s="79">
        <v>2320</v>
      </c>
      <c r="AA110" s="79">
        <v>22989</v>
      </c>
      <c r="AB110" s="79">
        <v>5866</v>
      </c>
      <c r="AC110" s="79">
        <v>2525</v>
      </c>
      <c r="AD110" s="79">
        <v>14417</v>
      </c>
      <c r="AE110" s="79">
        <v>3294</v>
      </c>
      <c r="AF110" s="79">
        <v>2520</v>
      </c>
      <c r="AG110" s="79">
        <v>4877</v>
      </c>
      <c r="AH110" s="79">
        <v>3050</v>
      </c>
      <c r="AI110" s="79">
        <v>946</v>
      </c>
      <c r="AJ110" s="79">
        <v>1435</v>
      </c>
      <c r="AK110" s="79">
        <v>244</v>
      </c>
      <c r="AL110" s="79">
        <v>1284</v>
      </c>
      <c r="AM110" s="79">
        <v>15857</v>
      </c>
      <c r="AN110" s="79">
        <v>55</v>
      </c>
      <c r="AO110" s="79">
        <v>705</v>
      </c>
      <c r="AP110" s="79">
        <v>825</v>
      </c>
      <c r="AQ110" s="79">
        <v>14206</v>
      </c>
      <c r="AR110" s="79">
        <v>3392</v>
      </c>
      <c r="AS110" s="79">
        <v>6787</v>
      </c>
      <c r="AT110" s="79">
        <v>4055</v>
      </c>
      <c r="AU110" s="80" t="s">
        <v>496</v>
      </c>
      <c r="AV110" s="79">
        <v>7276</v>
      </c>
      <c r="AW110" s="79">
        <v>40810</v>
      </c>
      <c r="AX110" s="79">
        <v>31474</v>
      </c>
      <c r="AY110" s="79">
        <v>29879</v>
      </c>
      <c r="AZ110" s="79">
        <v>1546</v>
      </c>
      <c r="BA110" s="79">
        <v>9321</v>
      </c>
      <c r="BB110" s="79">
        <v>36859</v>
      </c>
      <c r="BC110" s="79">
        <v>2228</v>
      </c>
      <c r="BD110" s="79">
        <v>1439</v>
      </c>
      <c r="BE110" s="79">
        <v>4731</v>
      </c>
      <c r="BF110" s="79">
        <v>7271</v>
      </c>
      <c r="BG110" s="79">
        <v>3910</v>
      </c>
      <c r="BH110" s="79">
        <v>781</v>
      </c>
      <c r="BI110" s="79">
        <v>898</v>
      </c>
      <c r="BJ110" s="79">
        <v>741</v>
      </c>
      <c r="BK110" s="79">
        <v>946</v>
      </c>
      <c r="BL110" s="79">
        <v>16435</v>
      </c>
      <c r="BM110" s="79">
        <v>13433</v>
      </c>
      <c r="BN110" s="79">
        <v>5052</v>
      </c>
      <c r="BO110" s="79">
        <v>4249</v>
      </c>
    </row>
    <row r="111" spans="1:67" x14ac:dyDescent="0.35">
      <c r="A111" s="78" t="s">
        <v>567</v>
      </c>
      <c r="B111" s="79">
        <v>211179</v>
      </c>
      <c r="C111" s="79">
        <v>273</v>
      </c>
      <c r="D111" s="79">
        <v>250</v>
      </c>
      <c r="E111" s="79">
        <v>22</v>
      </c>
      <c r="F111" s="79">
        <v>83336</v>
      </c>
      <c r="G111" s="79">
        <v>22229</v>
      </c>
      <c r="H111" s="79">
        <v>22163</v>
      </c>
      <c r="I111" s="79">
        <v>65</v>
      </c>
      <c r="J111" s="79">
        <v>59271</v>
      </c>
      <c r="K111" s="79">
        <v>56407</v>
      </c>
      <c r="L111" s="79">
        <v>2864</v>
      </c>
      <c r="M111" s="79">
        <v>457</v>
      </c>
      <c r="N111" s="79">
        <v>39</v>
      </c>
      <c r="O111" s="79">
        <v>1344</v>
      </c>
      <c r="P111" s="80" t="s">
        <v>496</v>
      </c>
      <c r="Q111" s="79">
        <v>1274</v>
      </c>
      <c r="R111" s="79">
        <v>7</v>
      </c>
      <c r="S111" s="79">
        <v>94</v>
      </c>
      <c r="T111" s="79">
        <v>1172</v>
      </c>
      <c r="U111" s="79">
        <v>4758</v>
      </c>
      <c r="V111" s="79">
        <v>2517</v>
      </c>
      <c r="W111" s="79">
        <v>1164</v>
      </c>
      <c r="X111" s="79">
        <v>1104</v>
      </c>
      <c r="Y111" s="79">
        <v>238</v>
      </c>
      <c r="Z111" s="79">
        <v>2236</v>
      </c>
      <c r="AA111" s="79">
        <v>23487</v>
      </c>
      <c r="AB111" s="79">
        <v>5592</v>
      </c>
      <c r="AC111" s="79">
        <v>2558</v>
      </c>
      <c r="AD111" s="79">
        <v>15138</v>
      </c>
      <c r="AE111" s="79">
        <v>3255</v>
      </c>
      <c r="AF111" s="79">
        <v>2570</v>
      </c>
      <c r="AG111" s="79">
        <v>5964</v>
      </c>
      <c r="AH111" s="79">
        <v>2359</v>
      </c>
      <c r="AI111" s="79">
        <v>964</v>
      </c>
      <c r="AJ111" s="79">
        <v>1492</v>
      </c>
      <c r="AK111" s="79">
        <v>258</v>
      </c>
      <c r="AL111" s="79">
        <v>1335</v>
      </c>
      <c r="AM111" s="79">
        <v>15869</v>
      </c>
      <c r="AN111" s="79">
        <v>53</v>
      </c>
      <c r="AO111" s="79">
        <v>715</v>
      </c>
      <c r="AP111" s="79">
        <v>813</v>
      </c>
      <c r="AQ111" s="79">
        <v>14221</v>
      </c>
      <c r="AR111" s="79">
        <v>3336</v>
      </c>
      <c r="AS111" s="79">
        <v>6660</v>
      </c>
      <c r="AT111" s="79">
        <v>4262</v>
      </c>
      <c r="AU111" s="80" t="s">
        <v>496</v>
      </c>
      <c r="AV111" s="79">
        <v>7521</v>
      </c>
      <c r="AW111" s="79">
        <v>40762</v>
      </c>
      <c r="AX111" s="79">
        <v>31336</v>
      </c>
      <c r="AY111" s="79">
        <v>29653</v>
      </c>
      <c r="AZ111" s="79">
        <v>1622</v>
      </c>
      <c r="BA111" s="79">
        <v>9422</v>
      </c>
      <c r="BB111" s="79">
        <v>37829</v>
      </c>
      <c r="BC111" s="79">
        <v>2219</v>
      </c>
      <c r="BD111" s="79">
        <v>1436</v>
      </c>
      <c r="BE111" s="79">
        <v>4378</v>
      </c>
      <c r="BF111" s="79">
        <v>7888</v>
      </c>
      <c r="BG111" s="79">
        <v>3907</v>
      </c>
      <c r="BH111" s="79">
        <v>894</v>
      </c>
      <c r="BI111" s="79">
        <v>1072</v>
      </c>
      <c r="BJ111" s="79">
        <v>894</v>
      </c>
      <c r="BK111" s="79">
        <v>1124</v>
      </c>
      <c r="BL111" s="79">
        <v>17180</v>
      </c>
      <c r="BM111" s="79">
        <v>13447</v>
      </c>
      <c r="BN111" s="79">
        <v>5386</v>
      </c>
      <c r="BO111" s="79">
        <v>4222</v>
      </c>
    </row>
    <row r="112" spans="1:67" x14ac:dyDescent="0.35">
      <c r="A112" s="78" t="s">
        <v>568</v>
      </c>
      <c r="B112" s="79">
        <v>213491</v>
      </c>
      <c r="C112" s="79">
        <v>264</v>
      </c>
      <c r="D112" s="79">
        <v>241</v>
      </c>
      <c r="E112" s="79">
        <v>22</v>
      </c>
      <c r="F112" s="79">
        <v>83883</v>
      </c>
      <c r="G112" s="79">
        <v>22410</v>
      </c>
      <c r="H112" s="79">
        <v>22345</v>
      </c>
      <c r="I112" s="79">
        <v>64</v>
      </c>
      <c r="J112" s="79">
        <v>59674</v>
      </c>
      <c r="K112" s="79">
        <v>56785</v>
      </c>
      <c r="L112" s="79">
        <v>2889</v>
      </c>
      <c r="M112" s="79">
        <v>474</v>
      </c>
      <c r="N112" s="79">
        <v>44</v>
      </c>
      <c r="O112" s="79">
        <v>1285</v>
      </c>
      <c r="P112" s="80" t="s">
        <v>496</v>
      </c>
      <c r="Q112" s="79">
        <v>1180</v>
      </c>
      <c r="R112" s="79">
        <v>5</v>
      </c>
      <c r="S112" s="79">
        <v>97</v>
      </c>
      <c r="T112" s="79">
        <v>1075</v>
      </c>
      <c r="U112" s="79">
        <v>4685</v>
      </c>
      <c r="V112" s="79">
        <v>2533</v>
      </c>
      <c r="W112" s="79">
        <v>1266</v>
      </c>
      <c r="X112" s="79">
        <v>1027</v>
      </c>
      <c r="Y112" s="79">
        <v>218</v>
      </c>
      <c r="Z112" s="79">
        <v>2138</v>
      </c>
      <c r="AA112" s="79">
        <v>23690</v>
      </c>
      <c r="AB112" s="79">
        <v>5499</v>
      </c>
      <c r="AC112" s="79">
        <v>2603</v>
      </c>
      <c r="AD112" s="79">
        <v>15384</v>
      </c>
      <c r="AE112" s="79">
        <v>3274</v>
      </c>
      <c r="AF112" s="79">
        <v>2422</v>
      </c>
      <c r="AG112" s="79">
        <v>6073</v>
      </c>
      <c r="AH112" s="79">
        <v>2755</v>
      </c>
      <c r="AI112" s="79">
        <v>943</v>
      </c>
      <c r="AJ112" s="79">
        <v>1638</v>
      </c>
      <c r="AK112" s="79">
        <v>255</v>
      </c>
      <c r="AL112" s="79">
        <v>1471</v>
      </c>
      <c r="AM112" s="79">
        <v>16046</v>
      </c>
      <c r="AN112" s="79">
        <v>49</v>
      </c>
      <c r="AO112" s="79">
        <v>726</v>
      </c>
      <c r="AP112" s="79">
        <v>822</v>
      </c>
      <c r="AQ112" s="79">
        <v>14383</v>
      </c>
      <c r="AR112" s="79">
        <v>3381</v>
      </c>
      <c r="AS112" s="79">
        <v>6686</v>
      </c>
      <c r="AT112" s="79">
        <v>4358</v>
      </c>
      <c r="AU112" s="80" t="s">
        <v>496</v>
      </c>
      <c r="AV112" s="79">
        <v>7759</v>
      </c>
      <c r="AW112" s="79">
        <v>40849</v>
      </c>
      <c r="AX112" s="79">
        <v>31525</v>
      </c>
      <c r="AY112" s="79">
        <v>29856</v>
      </c>
      <c r="AZ112" s="79">
        <v>1612</v>
      </c>
      <c r="BA112" s="79">
        <v>9306</v>
      </c>
      <c r="BB112" s="79">
        <v>38534</v>
      </c>
      <c r="BC112" s="79">
        <v>2239</v>
      </c>
      <c r="BD112" s="79">
        <v>1438</v>
      </c>
      <c r="BE112" s="79">
        <v>4475</v>
      </c>
      <c r="BF112" s="79">
        <v>7968</v>
      </c>
      <c r="BG112" s="79">
        <v>4006</v>
      </c>
      <c r="BH112" s="79">
        <v>879</v>
      </c>
      <c r="BI112" s="79">
        <v>1059</v>
      </c>
      <c r="BJ112" s="79">
        <v>866</v>
      </c>
      <c r="BK112" s="79">
        <v>1165</v>
      </c>
      <c r="BL112" s="79">
        <v>17602</v>
      </c>
      <c r="BM112" s="79">
        <v>13420</v>
      </c>
      <c r="BN112" s="79">
        <v>5582</v>
      </c>
      <c r="BO112" s="79">
        <v>4322</v>
      </c>
    </row>
    <row r="113" spans="1:67" x14ac:dyDescent="0.35">
      <c r="A113" s="78" t="s">
        <v>569</v>
      </c>
      <c r="B113" s="79">
        <v>217560</v>
      </c>
      <c r="C113" s="79">
        <v>255</v>
      </c>
      <c r="D113" s="79">
        <v>233</v>
      </c>
      <c r="E113" s="79">
        <v>21</v>
      </c>
      <c r="F113" s="79">
        <v>84428</v>
      </c>
      <c r="G113" s="79">
        <v>22643</v>
      </c>
      <c r="H113" s="79">
        <v>22577</v>
      </c>
      <c r="I113" s="79">
        <v>65</v>
      </c>
      <c r="J113" s="79">
        <v>59934</v>
      </c>
      <c r="K113" s="79">
        <v>57005</v>
      </c>
      <c r="L113" s="79">
        <v>2929</v>
      </c>
      <c r="M113" s="79">
        <v>498</v>
      </c>
      <c r="N113" s="79">
        <v>54</v>
      </c>
      <c r="O113" s="79">
        <v>1297</v>
      </c>
      <c r="P113" s="80" t="s">
        <v>496</v>
      </c>
      <c r="Q113" s="79">
        <v>1228</v>
      </c>
      <c r="R113" s="79">
        <v>7</v>
      </c>
      <c r="S113" s="79">
        <v>108</v>
      </c>
      <c r="T113" s="79">
        <v>1110</v>
      </c>
      <c r="U113" s="79">
        <v>4597</v>
      </c>
      <c r="V113" s="79">
        <v>2477</v>
      </c>
      <c r="W113" s="79">
        <v>1255</v>
      </c>
      <c r="X113" s="79">
        <v>987</v>
      </c>
      <c r="Y113" s="79">
        <v>212</v>
      </c>
      <c r="Z113" s="79">
        <v>2107</v>
      </c>
      <c r="AA113" s="79">
        <v>24100</v>
      </c>
      <c r="AB113" s="79">
        <v>5509</v>
      </c>
      <c r="AC113" s="79">
        <v>2842</v>
      </c>
      <c r="AD113" s="79">
        <v>15569</v>
      </c>
      <c r="AE113" s="79">
        <v>3359</v>
      </c>
      <c r="AF113" s="79">
        <v>2449</v>
      </c>
      <c r="AG113" s="79">
        <v>6052</v>
      </c>
      <c r="AH113" s="79">
        <v>2913</v>
      </c>
      <c r="AI113" s="79">
        <v>936</v>
      </c>
      <c r="AJ113" s="79">
        <v>1773</v>
      </c>
      <c r="AK113" s="79">
        <v>297</v>
      </c>
      <c r="AL113" s="79">
        <v>1588</v>
      </c>
      <c r="AM113" s="79">
        <v>17171</v>
      </c>
      <c r="AN113" s="79">
        <v>51</v>
      </c>
      <c r="AO113" s="79">
        <v>738</v>
      </c>
      <c r="AP113" s="79">
        <v>775</v>
      </c>
      <c r="AQ113" s="79">
        <v>15535</v>
      </c>
      <c r="AR113" s="79">
        <v>4200</v>
      </c>
      <c r="AS113" s="79">
        <v>7160</v>
      </c>
      <c r="AT113" s="79">
        <v>4223</v>
      </c>
      <c r="AU113" s="80" t="s">
        <v>496</v>
      </c>
      <c r="AV113" s="79">
        <v>7983</v>
      </c>
      <c r="AW113" s="79">
        <v>41060</v>
      </c>
      <c r="AX113" s="79">
        <v>31626</v>
      </c>
      <c r="AY113" s="79">
        <v>29997</v>
      </c>
      <c r="AZ113" s="79">
        <v>1576</v>
      </c>
      <c r="BA113" s="79">
        <v>9424</v>
      </c>
      <c r="BB113" s="79">
        <v>39811</v>
      </c>
      <c r="BC113" s="79">
        <v>2293</v>
      </c>
      <c r="BD113" s="79">
        <v>1443</v>
      </c>
      <c r="BE113" s="79">
        <v>5277</v>
      </c>
      <c r="BF113" s="79">
        <v>7904</v>
      </c>
      <c r="BG113" s="79">
        <v>3964</v>
      </c>
      <c r="BH113" s="79">
        <v>885</v>
      </c>
      <c r="BI113" s="79">
        <v>1062</v>
      </c>
      <c r="BJ113" s="79">
        <v>890</v>
      </c>
      <c r="BK113" s="79">
        <v>1111</v>
      </c>
      <c r="BL113" s="79">
        <v>17776</v>
      </c>
      <c r="BM113" s="79">
        <v>13538</v>
      </c>
      <c r="BN113" s="79">
        <v>5636</v>
      </c>
      <c r="BO113" s="79">
        <v>4556</v>
      </c>
    </row>
    <row r="114" spans="1:67" x14ac:dyDescent="0.35">
      <c r="A114" s="78" t="s">
        <v>570</v>
      </c>
      <c r="B114" s="79">
        <v>216580</v>
      </c>
      <c r="C114" s="79">
        <v>237</v>
      </c>
      <c r="D114" s="79">
        <v>213</v>
      </c>
      <c r="E114" s="79">
        <v>21</v>
      </c>
      <c r="F114" s="79">
        <v>84487</v>
      </c>
      <c r="G114" s="79">
        <v>22659</v>
      </c>
      <c r="H114" s="79">
        <v>22594</v>
      </c>
      <c r="I114" s="79">
        <v>65</v>
      </c>
      <c r="J114" s="79">
        <v>59947</v>
      </c>
      <c r="K114" s="79">
        <v>56995</v>
      </c>
      <c r="L114" s="79">
        <v>2953</v>
      </c>
      <c r="M114" s="79">
        <v>511</v>
      </c>
      <c r="N114" s="79">
        <v>58</v>
      </c>
      <c r="O114" s="79">
        <v>1307</v>
      </c>
      <c r="P114" s="80" t="s">
        <v>496</v>
      </c>
      <c r="Q114" s="79">
        <v>1324</v>
      </c>
      <c r="R114" s="79">
        <v>12</v>
      </c>
      <c r="S114" s="79">
        <v>88</v>
      </c>
      <c r="T114" s="79">
        <v>1225</v>
      </c>
      <c r="U114" s="79">
        <v>4576</v>
      </c>
      <c r="V114" s="79">
        <v>2438</v>
      </c>
      <c r="W114" s="79">
        <v>1136</v>
      </c>
      <c r="X114" s="79">
        <v>1033</v>
      </c>
      <c r="Y114" s="79">
        <v>254</v>
      </c>
      <c r="Z114" s="79">
        <v>2131</v>
      </c>
      <c r="AA114" s="79">
        <v>24521</v>
      </c>
      <c r="AB114" s="79">
        <v>5549</v>
      </c>
      <c r="AC114" s="79">
        <v>2719</v>
      </c>
      <c r="AD114" s="79">
        <v>16040</v>
      </c>
      <c r="AE114" s="79">
        <v>3395</v>
      </c>
      <c r="AF114" s="79">
        <v>2444</v>
      </c>
      <c r="AG114" s="79">
        <v>6388</v>
      </c>
      <c r="AH114" s="79">
        <v>3025</v>
      </c>
      <c r="AI114" s="79">
        <v>915</v>
      </c>
      <c r="AJ114" s="79">
        <v>1867</v>
      </c>
      <c r="AK114" s="79">
        <v>329</v>
      </c>
      <c r="AL114" s="79">
        <v>1669</v>
      </c>
      <c r="AM114" s="79">
        <v>16624</v>
      </c>
      <c r="AN114" s="79">
        <v>52</v>
      </c>
      <c r="AO114" s="79">
        <v>743</v>
      </c>
      <c r="AP114" s="79">
        <v>811</v>
      </c>
      <c r="AQ114" s="79">
        <v>14948</v>
      </c>
      <c r="AR114" s="79">
        <v>3539</v>
      </c>
      <c r="AS114" s="79">
        <v>7122</v>
      </c>
      <c r="AT114" s="79">
        <v>4323</v>
      </c>
      <c r="AU114" s="80" t="s">
        <v>496</v>
      </c>
      <c r="AV114" s="79">
        <v>7559</v>
      </c>
      <c r="AW114" s="79">
        <v>41238</v>
      </c>
      <c r="AX114" s="79">
        <v>31936</v>
      </c>
      <c r="AY114" s="79">
        <v>30392</v>
      </c>
      <c r="AZ114" s="79">
        <v>1503</v>
      </c>
      <c r="BA114" s="79">
        <v>9270</v>
      </c>
      <c r="BB114" s="79">
        <v>38426</v>
      </c>
      <c r="BC114" s="79">
        <v>2347</v>
      </c>
      <c r="BD114" s="79">
        <v>1455</v>
      </c>
      <c r="BE114" s="79">
        <v>4627</v>
      </c>
      <c r="BF114" s="79">
        <v>7531</v>
      </c>
      <c r="BG114" s="79">
        <v>3436</v>
      </c>
      <c r="BH114" s="79">
        <v>891</v>
      </c>
      <c r="BI114" s="79">
        <v>1103</v>
      </c>
      <c r="BJ114" s="79">
        <v>996</v>
      </c>
      <c r="BK114" s="79">
        <v>1106</v>
      </c>
      <c r="BL114" s="79">
        <v>17570</v>
      </c>
      <c r="BM114" s="79">
        <v>13871</v>
      </c>
      <c r="BN114" s="79">
        <v>5472</v>
      </c>
      <c r="BO114" s="79">
        <v>4438</v>
      </c>
    </row>
    <row r="115" spans="1:67" x14ac:dyDescent="0.35">
      <c r="A115" s="78" t="s">
        <v>571</v>
      </c>
      <c r="B115" s="79">
        <v>217654</v>
      </c>
      <c r="C115" s="79">
        <v>232</v>
      </c>
      <c r="D115" s="79">
        <v>208</v>
      </c>
      <c r="E115" s="79">
        <v>21</v>
      </c>
      <c r="F115" s="79">
        <v>84902</v>
      </c>
      <c r="G115" s="79">
        <v>22670</v>
      </c>
      <c r="H115" s="79">
        <v>22602</v>
      </c>
      <c r="I115" s="79">
        <v>67</v>
      </c>
      <c r="J115" s="79">
        <v>60336</v>
      </c>
      <c r="K115" s="79">
        <v>57362</v>
      </c>
      <c r="L115" s="79">
        <v>2974</v>
      </c>
      <c r="M115" s="79">
        <v>513</v>
      </c>
      <c r="N115" s="79">
        <v>68</v>
      </c>
      <c r="O115" s="79">
        <v>1313</v>
      </c>
      <c r="P115" s="80" t="s">
        <v>496</v>
      </c>
      <c r="Q115" s="79">
        <v>1269</v>
      </c>
      <c r="R115" s="79">
        <v>15</v>
      </c>
      <c r="S115" s="79">
        <v>96</v>
      </c>
      <c r="T115" s="79">
        <v>1158</v>
      </c>
      <c r="U115" s="79">
        <v>4668</v>
      </c>
      <c r="V115" s="79">
        <v>2559</v>
      </c>
      <c r="W115" s="79">
        <v>1135</v>
      </c>
      <c r="X115" s="79">
        <v>1118</v>
      </c>
      <c r="Y115" s="79">
        <v>297</v>
      </c>
      <c r="Z115" s="79">
        <v>2093</v>
      </c>
      <c r="AA115" s="79">
        <v>24652</v>
      </c>
      <c r="AB115" s="79">
        <v>5685</v>
      </c>
      <c r="AC115" s="79">
        <v>2835</v>
      </c>
      <c r="AD115" s="79">
        <v>15934</v>
      </c>
      <c r="AE115" s="79">
        <v>3351</v>
      </c>
      <c r="AF115" s="79">
        <v>2428</v>
      </c>
      <c r="AG115" s="79">
        <v>6393</v>
      </c>
      <c r="AH115" s="79">
        <v>2993</v>
      </c>
      <c r="AI115" s="79">
        <v>882</v>
      </c>
      <c r="AJ115" s="79">
        <v>1943</v>
      </c>
      <c r="AK115" s="79">
        <v>357</v>
      </c>
      <c r="AL115" s="79">
        <v>1734</v>
      </c>
      <c r="AM115" s="79">
        <v>16769</v>
      </c>
      <c r="AN115" s="79">
        <v>58</v>
      </c>
      <c r="AO115" s="79">
        <v>744</v>
      </c>
      <c r="AP115" s="79">
        <v>839</v>
      </c>
      <c r="AQ115" s="79">
        <v>15058</v>
      </c>
      <c r="AR115" s="79">
        <v>3820</v>
      </c>
      <c r="AS115" s="79">
        <v>7161</v>
      </c>
      <c r="AT115" s="79">
        <v>4108</v>
      </c>
      <c r="AU115" s="80" t="s">
        <v>496</v>
      </c>
      <c r="AV115" s="79">
        <v>7747</v>
      </c>
      <c r="AW115" s="79">
        <v>42172</v>
      </c>
      <c r="AX115" s="79">
        <v>32360</v>
      </c>
      <c r="AY115" s="79">
        <v>30747</v>
      </c>
      <c r="AZ115" s="79">
        <v>1566</v>
      </c>
      <c r="BA115" s="79">
        <v>9812</v>
      </c>
      <c r="BB115" s="79">
        <v>37483</v>
      </c>
      <c r="BC115" s="79">
        <v>2320</v>
      </c>
      <c r="BD115" s="79">
        <v>1451</v>
      </c>
      <c r="BE115" s="79">
        <v>4709</v>
      </c>
      <c r="BF115" s="79">
        <v>6751</v>
      </c>
      <c r="BG115" s="79">
        <v>2886</v>
      </c>
      <c r="BH115" s="79">
        <v>871</v>
      </c>
      <c r="BI115" s="79">
        <v>1039</v>
      </c>
      <c r="BJ115" s="79">
        <v>877</v>
      </c>
      <c r="BK115" s="79">
        <v>1085</v>
      </c>
      <c r="BL115" s="79">
        <v>17475</v>
      </c>
      <c r="BM115" s="79">
        <v>14224</v>
      </c>
      <c r="BN115" s="79">
        <v>5289</v>
      </c>
      <c r="BO115" s="79">
        <v>4405</v>
      </c>
    </row>
    <row r="116" spans="1:67" x14ac:dyDescent="0.35">
      <c r="A116" s="78" t="s">
        <v>572</v>
      </c>
      <c r="B116" s="79">
        <v>217991</v>
      </c>
      <c r="C116" s="79">
        <v>229</v>
      </c>
      <c r="D116" s="79">
        <v>204</v>
      </c>
      <c r="E116" s="79">
        <v>23</v>
      </c>
      <c r="F116" s="79">
        <v>85335</v>
      </c>
      <c r="G116" s="79">
        <v>22738</v>
      </c>
      <c r="H116" s="79">
        <v>22669</v>
      </c>
      <c r="I116" s="79">
        <v>68</v>
      </c>
      <c r="J116" s="79">
        <v>60761</v>
      </c>
      <c r="K116" s="79">
        <v>57770</v>
      </c>
      <c r="L116" s="79">
        <v>2991</v>
      </c>
      <c r="M116" s="79">
        <v>483</v>
      </c>
      <c r="N116" s="79">
        <v>55</v>
      </c>
      <c r="O116" s="79">
        <v>1302</v>
      </c>
      <c r="P116" s="80" t="s">
        <v>496</v>
      </c>
      <c r="Q116" s="79">
        <v>1183</v>
      </c>
      <c r="R116" s="79">
        <v>9</v>
      </c>
      <c r="S116" s="79">
        <v>93</v>
      </c>
      <c r="T116" s="79">
        <v>1080</v>
      </c>
      <c r="U116" s="79">
        <v>4779</v>
      </c>
      <c r="V116" s="79">
        <v>2653</v>
      </c>
      <c r="W116" s="79">
        <v>1078</v>
      </c>
      <c r="X116" s="79">
        <v>1234</v>
      </c>
      <c r="Y116" s="79">
        <v>340</v>
      </c>
      <c r="Z116" s="79">
        <v>2105</v>
      </c>
      <c r="AA116" s="79">
        <v>24592</v>
      </c>
      <c r="AB116" s="79">
        <v>5691</v>
      </c>
      <c r="AC116" s="79">
        <v>2899</v>
      </c>
      <c r="AD116" s="79">
        <v>15818</v>
      </c>
      <c r="AE116" s="79">
        <v>3421</v>
      </c>
      <c r="AF116" s="79">
        <v>2425</v>
      </c>
      <c r="AG116" s="79">
        <v>6438</v>
      </c>
      <c r="AH116" s="79">
        <v>2713</v>
      </c>
      <c r="AI116" s="79">
        <v>868</v>
      </c>
      <c r="AJ116" s="79">
        <v>2023</v>
      </c>
      <c r="AK116" s="79">
        <v>382</v>
      </c>
      <c r="AL116" s="79">
        <v>1803</v>
      </c>
      <c r="AM116" s="79">
        <v>16686</v>
      </c>
      <c r="AN116" s="79">
        <v>63</v>
      </c>
      <c r="AO116" s="79">
        <v>734</v>
      </c>
      <c r="AP116" s="79">
        <v>895</v>
      </c>
      <c r="AQ116" s="79">
        <v>14925</v>
      </c>
      <c r="AR116" s="79">
        <v>3552</v>
      </c>
      <c r="AS116" s="79">
        <v>7212</v>
      </c>
      <c r="AT116" s="79">
        <v>4187</v>
      </c>
      <c r="AU116" s="80" t="s">
        <v>496</v>
      </c>
      <c r="AV116" s="79">
        <v>7942</v>
      </c>
      <c r="AW116" s="79">
        <v>41564</v>
      </c>
      <c r="AX116" s="79">
        <v>31980</v>
      </c>
      <c r="AY116" s="79">
        <v>30356</v>
      </c>
      <c r="AZ116" s="79">
        <v>1574</v>
      </c>
      <c r="BA116" s="79">
        <v>9576</v>
      </c>
      <c r="BB116" s="79">
        <v>37630</v>
      </c>
      <c r="BC116" s="79">
        <v>2325</v>
      </c>
      <c r="BD116" s="79">
        <v>1454</v>
      </c>
      <c r="BE116" s="79">
        <v>5486</v>
      </c>
      <c r="BF116" s="79">
        <v>6478</v>
      </c>
      <c r="BG116" s="79">
        <v>2555</v>
      </c>
      <c r="BH116" s="79">
        <v>856</v>
      </c>
      <c r="BI116" s="79">
        <v>1068</v>
      </c>
      <c r="BJ116" s="79">
        <v>865</v>
      </c>
      <c r="BK116" s="79">
        <v>1143</v>
      </c>
      <c r="BL116" s="79">
        <v>17166</v>
      </c>
      <c r="BM116" s="79">
        <v>14253</v>
      </c>
      <c r="BN116" s="79">
        <v>5098</v>
      </c>
      <c r="BO116" s="79">
        <v>4340</v>
      </c>
    </row>
    <row r="117" spans="1:67" x14ac:dyDescent="0.35">
      <c r="A117" s="78" t="s">
        <v>573</v>
      </c>
      <c r="B117" s="79">
        <v>218736</v>
      </c>
      <c r="C117" s="79">
        <v>222</v>
      </c>
      <c r="D117" s="79">
        <v>199</v>
      </c>
      <c r="E117" s="79">
        <v>22</v>
      </c>
      <c r="F117" s="79">
        <v>85810</v>
      </c>
      <c r="G117" s="79">
        <v>22878</v>
      </c>
      <c r="H117" s="79">
        <v>22809</v>
      </c>
      <c r="I117" s="79">
        <v>69</v>
      </c>
      <c r="J117" s="79">
        <v>61136</v>
      </c>
      <c r="K117" s="79">
        <v>58126</v>
      </c>
      <c r="L117" s="79">
        <v>3010</v>
      </c>
      <c r="M117" s="79">
        <v>448</v>
      </c>
      <c r="N117" s="79">
        <v>49</v>
      </c>
      <c r="O117" s="79">
        <v>1310</v>
      </c>
      <c r="P117" s="80" t="s">
        <v>496</v>
      </c>
      <c r="Q117" s="79">
        <v>1103</v>
      </c>
      <c r="R117" s="79">
        <v>4</v>
      </c>
      <c r="S117" s="79">
        <v>93</v>
      </c>
      <c r="T117" s="79">
        <v>1002</v>
      </c>
      <c r="U117" s="79">
        <v>4815</v>
      </c>
      <c r="V117" s="79">
        <v>2641</v>
      </c>
      <c r="W117" s="79">
        <v>1046</v>
      </c>
      <c r="X117" s="79">
        <v>1301</v>
      </c>
      <c r="Y117" s="79">
        <v>302</v>
      </c>
      <c r="Z117" s="79">
        <v>2156</v>
      </c>
      <c r="AA117" s="79">
        <v>24784</v>
      </c>
      <c r="AB117" s="79">
        <v>5644</v>
      </c>
      <c r="AC117" s="79">
        <v>2951</v>
      </c>
      <c r="AD117" s="79">
        <v>16006</v>
      </c>
      <c r="AE117" s="79">
        <v>3409</v>
      </c>
      <c r="AF117" s="79">
        <v>2373</v>
      </c>
      <c r="AG117" s="79">
        <v>6673</v>
      </c>
      <c r="AH117" s="79">
        <v>2674</v>
      </c>
      <c r="AI117" s="79">
        <v>897</v>
      </c>
      <c r="AJ117" s="79">
        <v>2044</v>
      </c>
      <c r="AK117" s="79">
        <v>358</v>
      </c>
      <c r="AL117" s="79">
        <v>1827</v>
      </c>
      <c r="AM117" s="79">
        <v>16801</v>
      </c>
      <c r="AN117" s="79">
        <v>59</v>
      </c>
      <c r="AO117" s="79">
        <v>730</v>
      </c>
      <c r="AP117" s="79">
        <v>921</v>
      </c>
      <c r="AQ117" s="79">
        <v>15024</v>
      </c>
      <c r="AR117" s="79">
        <v>3756</v>
      </c>
      <c r="AS117" s="79">
        <v>7239</v>
      </c>
      <c r="AT117" s="79">
        <v>4054</v>
      </c>
      <c r="AU117" s="80" t="s">
        <v>496</v>
      </c>
      <c r="AV117" s="79">
        <v>8108</v>
      </c>
      <c r="AW117" s="79">
        <v>41783</v>
      </c>
      <c r="AX117" s="79">
        <v>31990</v>
      </c>
      <c r="AY117" s="79">
        <v>30372</v>
      </c>
      <c r="AZ117" s="79">
        <v>1568</v>
      </c>
      <c r="BA117" s="79">
        <v>9800</v>
      </c>
      <c r="BB117" s="79">
        <v>37209</v>
      </c>
      <c r="BC117" s="79">
        <v>2330</v>
      </c>
      <c r="BD117" s="79">
        <v>1463</v>
      </c>
      <c r="BE117" s="79">
        <v>5360</v>
      </c>
      <c r="BF117" s="79">
        <v>6115</v>
      </c>
      <c r="BG117" s="79">
        <v>2442</v>
      </c>
      <c r="BH117" s="79">
        <v>832</v>
      </c>
      <c r="BI117" s="79">
        <v>987</v>
      </c>
      <c r="BJ117" s="79">
        <v>816</v>
      </c>
      <c r="BK117" s="79">
        <v>1047</v>
      </c>
      <c r="BL117" s="79">
        <v>17371</v>
      </c>
      <c r="BM117" s="79">
        <v>14432</v>
      </c>
      <c r="BN117" s="79">
        <v>5152</v>
      </c>
      <c r="BO117" s="79">
        <v>4272</v>
      </c>
    </row>
    <row r="118" spans="1:67" x14ac:dyDescent="0.35">
      <c r="A118" s="78" t="s">
        <v>574</v>
      </c>
      <c r="B118" s="79">
        <v>219785</v>
      </c>
      <c r="C118" s="79">
        <v>197</v>
      </c>
      <c r="D118" s="79">
        <v>176</v>
      </c>
      <c r="E118" s="79">
        <v>19</v>
      </c>
      <c r="F118" s="79">
        <v>86085</v>
      </c>
      <c r="G118" s="79">
        <v>22821</v>
      </c>
      <c r="H118" s="79">
        <v>22753</v>
      </c>
      <c r="I118" s="79">
        <v>68</v>
      </c>
      <c r="J118" s="79">
        <v>61487</v>
      </c>
      <c r="K118" s="79">
        <v>58465</v>
      </c>
      <c r="L118" s="79">
        <v>3023</v>
      </c>
      <c r="M118" s="79">
        <v>441</v>
      </c>
      <c r="N118" s="79">
        <v>50</v>
      </c>
      <c r="O118" s="79">
        <v>1303</v>
      </c>
      <c r="P118" s="80" t="s">
        <v>496</v>
      </c>
      <c r="Q118" s="79">
        <v>1402</v>
      </c>
      <c r="R118" s="79">
        <v>3</v>
      </c>
      <c r="S118" s="79">
        <v>118</v>
      </c>
      <c r="T118" s="79">
        <v>1279</v>
      </c>
      <c r="U118" s="79">
        <v>4973</v>
      </c>
      <c r="V118" s="79">
        <v>2730</v>
      </c>
      <c r="W118" s="79">
        <v>1051</v>
      </c>
      <c r="X118" s="79">
        <v>1423</v>
      </c>
      <c r="Y118" s="79">
        <v>272</v>
      </c>
      <c r="Z118" s="79">
        <v>2223</v>
      </c>
      <c r="AA118" s="79">
        <v>24435</v>
      </c>
      <c r="AB118" s="79">
        <v>5566</v>
      </c>
      <c r="AC118" s="79">
        <v>2953</v>
      </c>
      <c r="AD118" s="79">
        <v>15742</v>
      </c>
      <c r="AE118" s="79">
        <v>3450</v>
      </c>
      <c r="AF118" s="79">
        <v>2394</v>
      </c>
      <c r="AG118" s="79">
        <v>6490</v>
      </c>
      <c r="AH118" s="79">
        <v>2528</v>
      </c>
      <c r="AI118" s="79">
        <v>883</v>
      </c>
      <c r="AJ118" s="79">
        <v>2153</v>
      </c>
      <c r="AK118" s="79">
        <v>472</v>
      </c>
      <c r="AL118" s="79">
        <v>1903</v>
      </c>
      <c r="AM118" s="79">
        <v>16528</v>
      </c>
      <c r="AN118" s="79">
        <v>65</v>
      </c>
      <c r="AO118" s="79">
        <v>730</v>
      </c>
      <c r="AP118" s="79">
        <v>878</v>
      </c>
      <c r="AQ118" s="79">
        <v>14786</v>
      </c>
      <c r="AR118" s="79">
        <v>3493</v>
      </c>
      <c r="AS118" s="79">
        <v>7226</v>
      </c>
      <c r="AT118" s="79">
        <v>4089</v>
      </c>
      <c r="AU118" s="80" t="s">
        <v>496</v>
      </c>
      <c r="AV118" s="79">
        <v>7913</v>
      </c>
      <c r="AW118" s="79">
        <v>42268</v>
      </c>
      <c r="AX118" s="79">
        <v>31958</v>
      </c>
      <c r="AY118" s="79">
        <v>30323</v>
      </c>
      <c r="AZ118" s="79">
        <v>1583</v>
      </c>
      <c r="BA118" s="79">
        <v>10359</v>
      </c>
      <c r="BB118" s="79">
        <v>37527</v>
      </c>
      <c r="BC118" s="79">
        <v>2388</v>
      </c>
      <c r="BD118" s="79">
        <v>1476</v>
      </c>
      <c r="BE118" s="79">
        <v>4826</v>
      </c>
      <c r="BF118" s="79">
        <v>6552</v>
      </c>
      <c r="BG118" s="79">
        <v>2465</v>
      </c>
      <c r="BH118" s="79">
        <v>880</v>
      </c>
      <c r="BI118" s="79">
        <v>1086</v>
      </c>
      <c r="BJ118" s="79">
        <v>1031</v>
      </c>
      <c r="BK118" s="79">
        <v>1096</v>
      </c>
      <c r="BL118" s="79">
        <v>17771</v>
      </c>
      <c r="BM118" s="79">
        <v>14573</v>
      </c>
      <c r="BN118" s="79">
        <v>5331</v>
      </c>
      <c r="BO118" s="79">
        <v>4222</v>
      </c>
    </row>
    <row r="119" spans="1:67" x14ac:dyDescent="0.35">
      <c r="A119" s="78" t="s">
        <v>575</v>
      </c>
      <c r="B119" s="79">
        <v>223461</v>
      </c>
      <c r="C119" s="79">
        <v>188</v>
      </c>
      <c r="D119" s="79">
        <v>169</v>
      </c>
      <c r="E119" s="79">
        <v>17</v>
      </c>
      <c r="F119" s="79">
        <v>87260</v>
      </c>
      <c r="G119" s="79">
        <v>23180</v>
      </c>
      <c r="H119" s="79">
        <v>23108</v>
      </c>
      <c r="I119" s="79">
        <v>71</v>
      </c>
      <c r="J119" s="79">
        <v>62256</v>
      </c>
      <c r="K119" s="79">
        <v>59182</v>
      </c>
      <c r="L119" s="79">
        <v>3074</v>
      </c>
      <c r="M119" s="79">
        <v>463</v>
      </c>
      <c r="N119" s="79">
        <v>54</v>
      </c>
      <c r="O119" s="79">
        <v>1320</v>
      </c>
      <c r="P119" s="80" t="s">
        <v>496</v>
      </c>
      <c r="Q119" s="79">
        <v>1461</v>
      </c>
      <c r="R119" s="79">
        <v>5</v>
      </c>
      <c r="S119" s="79">
        <v>157</v>
      </c>
      <c r="T119" s="79">
        <v>1296</v>
      </c>
      <c r="U119" s="79">
        <v>5074</v>
      </c>
      <c r="V119" s="79">
        <v>2825</v>
      </c>
      <c r="W119" s="79">
        <v>1063</v>
      </c>
      <c r="X119" s="79">
        <v>1521</v>
      </c>
      <c r="Y119" s="79">
        <v>260</v>
      </c>
      <c r="Z119" s="79">
        <v>2225</v>
      </c>
      <c r="AA119" s="79">
        <v>24996</v>
      </c>
      <c r="AB119" s="79">
        <v>5420</v>
      </c>
      <c r="AC119" s="79">
        <v>2992</v>
      </c>
      <c r="AD119" s="79">
        <v>16397</v>
      </c>
      <c r="AE119" s="79">
        <v>3519</v>
      </c>
      <c r="AF119" s="79">
        <v>2378</v>
      </c>
      <c r="AG119" s="79">
        <v>6648</v>
      </c>
      <c r="AH119" s="79">
        <v>3037</v>
      </c>
      <c r="AI119" s="79">
        <v>911</v>
      </c>
      <c r="AJ119" s="79">
        <v>2200</v>
      </c>
      <c r="AK119" s="79">
        <v>361</v>
      </c>
      <c r="AL119" s="79">
        <v>1976</v>
      </c>
      <c r="AM119" s="79">
        <v>16410</v>
      </c>
      <c r="AN119" s="79">
        <v>65</v>
      </c>
      <c r="AO119" s="79">
        <v>741</v>
      </c>
      <c r="AP119" s="79">
        <v>886</v>
      </c>
      <c r="AQ119" s="79">
        <v>14650</v>
      </c>
      <c r="AR119" s="79">
        <v>3574</v>
      </c>
      <c r="AS119" s="79">
        <v>7280</v>
      </c>
      <c r="AT119" s="79">
        <v>3811</v>
      </c>
      <c r="AU119" s="80" t="s">
        <v>496</v>
      </c>
      <c r="AV119" s="79">
        <v>8102</v>
      </c>
      <c r="AW119" s="79">
        <v>42450</v>
      </c>
      <c r="AX119" s="79">
        <v>32612</v>
      </c>
      <c r="AY119" s="79">
        <v>30888</v>
      </c>
      <c r="AZ119" s="79">
        <v>1666</v>
      </c>
      <c r="BA119" s="79">
        <v>9836</v>
      </c>
      <c r="BB119" s="79">
        <v>39122</v>
      </c>
      <c r="BC119" s="79">
        <v>2368</v>
      </c>
      <c r="BD119" s="79">
        <v>1495</v>
      </c>
      <c r="BE119" s="79">
        <v>5081</v>
      </c>
      <c r="BF119" s="79">
        <v>6870</v>
      </c>
      <c r="BG119" s="79">
        <v>2797</v>
      </c>
      <c r="BH119" s="79">
        <v>834</v>
      </c>
      <c r="BI119" s="79">
        <v>926</v>
      </c>
      <c r="BJ119" s="79">
        <v>1262</v>
      </c>
      <c r="BK119" s="79">
        <v>1051</v>
      </c>
      <c r="BL119" s="79">
        <v>18830</v>
      </c>
      <c r="BM119" s="79">
        <v>14679</v>
      </c>
      <c r="BN119" s="79">
        <v>5917</v>
      </c>
      <c r="BO119" s="79">
        <v>4248</v>
      </c>
    </row>
    <row r="120" spans="1:67" x14ac:dyDescent="0.35">
      <c r="A120" s="78" t="s">
        <v>576</v>
      </c>
      <c r="B120" s="79">
        <v>225812</v>
      </c>
      <c r="C120" s="79">
        <v>198</v>
      </c>
      <c r="D120" s="79">
        <v>178</v>
      </c>
      <c r="E120" s="79">
        <v>18</v>
      </c>
      <c r="F120" s="79">
        <v>87917</v>
      </c>
      <c r="G120" s="79">
        <v>23345</v>
      </c>
      <c r="H120" s="79">
        <v>23272</v>
      </c>
      <c r="I120" s="79">
        <v>73</v>
      </c>
      <c r="J120" s="79">
        <v>62666</v>
      </c>
      <c r="K120" s="79">
        <v>59541</v>
      </c>
      <c r="L120" s="79">
        <v>3126</v>
      </c>
      <c r="M120" s="79">
        <v>535</v>
      </c>
      <c r="N120" s="79">
        <v>60</v>
      </c>
      <c r="O120" s="79">
        <v>1315</v>
      </c>
      <c r="P120" s="80" t="s">
        <v>496</v>
      </c>
      <c r="Q120" s="79">
        <v>1526</v>
      </c>
      <c r="R120" s="79">
        <v>3</v>
      </c>
      <c r="S120" s="79">
        <v>145</v>
      </c>
      <c r="T120" s="79">
        <v>1375</v>
      </c>
      <c r="U120" s="79">
        <v>5042</v>
      </c>
      <c r="V120" s="79">
        <v>2758</v>
      </c>
      <c r="W120" s="79">
        <v>1052</v>
      </c>
      <c r="X120" s="79">
        <v>1438</v>
      </c>
      <c r="Y120" s="79">
        <v>283</v>
      </c>
      <c r="Z120" s="79">
        <v>2267</v>
      </c>
      <c r="AA120" s="79">
        <v>25042</v>
      </c>
      <c r="AB120" s="79">
        <v>5394</v>
      </c>
      <c r="AC120" s="79">
        <v>2985</v>
      </c>
      <c r="AD120" s="79">
        <v>16474</v>
      </c>
      <c r="AE120" s="79">
        <v>3610</v>
      </c>
      <c r="AF120" s="79">
        <v>2421</v>
      </c>
      <c r="AG120" s="79">
        <v>6915</v>
      </c>
      <c r="AH120" s="79">
        <v>2560</v>
      </c>
      <c r="AI120" s="79">
        <v>958</v>
      </c>
      <c r="AJ120" s="79">
        <v>2297</v>
      </c>
      <c r="AK120" s="79">
        <v>365</v>
      </c>
      <c r="AL120" s="79">
        <v>2065</v>
      </c>
      <c r="AM120" s="79">
        <v>16285</v>
      </c>
      <c r="AN120" s="79">
        <v>59</v>
      </c>
      <c r="AO120" s="79">
        <v>742</v>
      </c>
      <c r="AP120" s="79">
        <v>914</v>
      </c>
      <c r="AQ120" s="79">
        <v>14505</v>
      </c>
      <c r="AR120" s="79">
        <v>3700</v>
      </c>
      <c r="AS120" s="79">
        <v>7438</v>
      </c>
      <c r="AT120" s="79">
        <v>3373</v>
      </c>
      <c r="AU120" s="80" t="s">
        <v>496</v>
      </c>
      <c r="AV120" s="79">
        <v>8242</v>
      </c>
      <c r="AW120" s="79">
        <v>43072</v>
      </c>
      <c r="AX120" s="79">
        <v>32801</v>
      </c>
      <c r="AY120" s="79">
        <v>31186</v>
      </c>
      <c r="AZ120" s="79">
        <v>1569</v>
      </c>
      <c r="BA120" s="79">
        <v>10296</v>
      </c>
      <c r="BB120" s="79">
        <v>39925</v>
      </c>
      <c r="BC120" s="79">
        <v>2416</v>
      </c>
      <c r="BD120" s="79">
        <v>1510</v>
      </c>
      <c r="BE120" s="79">
        <v>5032</v>
      </c>
      <c r="BF120" s="79">
        <v>6706</v>
      </c>
      <c r="BG120" s="79">
        <v>3162</v>
      </c>
      <c r="BH120" s="79">
        <v>619</v>
      </c>
      <c r="BI120" s="79">
        <v>848</v>
      </c>
      <c r="BJ120" s="79">
        <v>1186</v>
      </c>
      <c r="BK120" s="79">
        <v>886</v>
      </c>
      <c r="BL120" s="79">
        <v>19478</v>
      </c>
      <c r="BM120" s="79">
        <v>14879</v>
      </c>
      <c r="BN120" s="79">
        <v>6229</v>
      </c>
      <c r="BO120" s="79">
        <v>4550</v>
      </c>
    </row>
    <row r="121" spans="1:67" x14ac:dyDescent="0.35">
      <c r="A121" s="78" t="s">
        <v>577</v>
      </c>
      <c r="B121" s="79">
        <v>228088</v>
      </c>
      <c r="C121" s="79">
        <v>235</v>
      </c>
      <c r="D121" s="79">
        <v>217</v>
      </c>
      <c r="E121" s="79">
        <v>18</v>
      </c>
      <c r="F121" s="79">
        <v>88165</v>
      </c>
      <c r="G121" s="79">
        <v>23439</v>
      </c>
      <c r="H121" s="79">
        <v>23362</v>
      </c>
      <c r="I121" s="79">
        <v>76</v>
      </c>
      <c r="J121" s="79">
        <v>62804</v>
      </c>
      <c r="K121" s="79">
        <v>59631</v>
      </c>
      <c r="L121" s="79">
        <v>3173</v>
      </c>
      <c r="M121" s="79">
        <v>551</v>
      </c>
      <c r="N121" s="79">
        <v>60</v>
      </c>
      <c r="O121" s="79">
        <v>1312</v>
      </c>
      <c r="P121" s="80" t="s">
        <v>496</v>
      </c>
      <c r="Q121" s="79">
        <v>1517</v>
      </c>
      <c r="R121" s="79">
        <v>7</v>
      </c>
      <c r="S121" s="79">
        <v>140</v>
      </c>
      <c r="T121" s="79">
        <v>1367</v>
      </c>
      <c r="U121" s="79">
        <v>5417</v>
      </c>
      <c r="V121" s="79">
        <v>2976</v>
      </c>
      <c r="W121" s="79">
        <v>1220</v>
      </c>
      <c r="X121" s="79">
        <v>1451</v>
      </c>
      <c r="Y121" s="79">
        <v>311</v>
      </c>
      <c r="Z121" s="79">
        <v>2421</v>
      </c>
      <c r="AA121" s="79">
        <v>25375</v>
      </c>
      <c r="AB121" s="79">
        <v>5457</v>
      </c>
      <c r="AC121" s="79">
        <v>3000</v>
      </c>
      <c r="AD121" s="79">
        <v>16721</v>
      </c>
      <c r="AE121" s="79">
        <v>3638</v>
      </c>
      <c r="AF121" s="79">
        <v>2332</v>
      </c>
      <c r="AG121" s="79">
        <v>7283</v>
      </c>
      <c r="AH121" s="79">
        <v>2448</v>
      </c>
      <c r="AI121" s="79">
        <v>973</v>
      </c>
      <c r="AJ121" s="79">
        <v>2422</v>
      </c>
      <c r="AK121" s="79">
        <v>394</v>
      </c>
      <c r="AL121" s="79">
        <v>2175</v>
      </c>
      <c r="AM121" s="79">
        <v>16247</v>
      </c>
      <c r="AN121" s="79">
        <v>60</v>
      </c>
      <c r="AO121" s="79">
        <v>754</v>
      </c>
      <c r="AP121" s="79">
        <v>1032</v>
      </c>
      <c r="AQ121" s="79">
        <v>14344</v>
      </c>
      <c r="AR121" s="79">
        <v>3773</v>
      </c>
      <c r="AS121" s="79">
        <v>7383</v>
      </c>
      <c r="AT121" s="79">
        <v>3191</v>
      </c>
      <c r="AU121" s="80" t="s">
        <v>496</v>
      </c>
      <c r="AV121" s="79">
        <v>8314</v>
      </c>
      <c r="AW121" s="79">
        <v>43407</v>
      </c>
      <c r="AX121" s="79">
        <v>33170</v>
      </c>
      <c r="AY121" s="79">
        <v>31535</v>
      </c>
      <c r="AZ121" s="79">
        <v>1587</v>
      </c>
      <c r="BA121" s="79">
        <v>10252</v>
      </c>
      <c r="BB121" s="79">
        <v>40597</v>
      </c>
      <c r="BC121" s="79">
        <v>2498</v>
      </c>
      <c r="BD121" s="79">
        <v>1522</v>
      </c>
      <c r="BE121" s="79">
        <v>4941</v>
      </c>
      <c r="BF121" s="79">
        <v>6692</v>
      </c>
      <c r="BG121" s="79">
        <v>2942</v>
      </c>
      <c r="BH121" s="79">
        <v>814</v>
      </c>
      <c r="BI121" s="79">
        <v>899</v>
      </c>
      <c r="BJ121" s="79">
        <v>1074</v>
      </c>
      <c r="BK121" s="79">
        <v>963</v>
      </c>
      <c r="BL121" s="79">
        <v>20929</v>
      </c>
      <c r="BM121" s="79">
        <v>15099</v>
      </c>
      <c r="BN121" s="79">
        <v>7003</v>
      </c>
      <c r="BO121" s="79">
        <v>4029</v>
      </c>
    </row>
    <row r="122" spans="1:67" x14ac:dyDescent="0.35">
      <c r="A122" s="78" t="s">
        <v>578</v>
      </c>
      <c r="B122" s="79">
        <v>227494</v>
      </c>
      <c r="C122" s="79">
        <v>259</v>
      </c>
      <c r="D122" s="79">
        <v>239</v>
      </c>
      <c r="E122" s="79">
        <v>20</v>
      </c>
      <c r="F122" s="79">
        <v>87992</v>
      </c>
      <c r="G122" s="79">
        <v>23432</v>
      </c>
      <c r="H122" s="79">
        <v>23354</v>
      </c>
      <c r="I122" s="79">
        <v>78</v>
      </c>
      <c r="J122" s="79">
        <v>62663</v>
      </c>
      <c r="K122" s="79">
        <v>59452</v>
      </c>
      <c r="L122" s="79">
        <v>3210</v>
      </c>
      <c r="M122" s="79">
        <v>547</v>
      </c>
      <c r="N122" s="79">
        <v>54</v>
      </c>
      <c r="O122" s="79">
        <v>1300</v>
      </c>
      <c r="P122" s="80" t="s">
        <v>496</v>
      </c>
      <c r="Q122" s="79">
        <v>1503</v>
      </c>
      <c r="R122" s="79">
        <v>12</v>
      </c>
      <c r="S122" s="79">
        <v>134</v>
      </c>
      <c r="T122" s="79">
        <v>1354</v>
      </c>
      <c r="U122" s="79">
        <v>5016</v>
      </c>
      <c r="V122" s="79">
        <v>2999</v>
      </c>
      <c r="W122" s="79">
        <v>1187</v>
      </c>
      <c r="X122" s="79">
        <v>1502</v>
      </c>
      <c r="Y122" s="79">
        <v>320</v>
      </c>
      <c r="Z122" s="79">
        <v>1972</v>
      </c>
      <c r="AA122" s="79">
        <v>25368</v>
      </c>
      <c r="AB122" s="79">
        <v>5552</v>
      </c>
      <c r="AC122" s="79">
        <v>3134</v>
      </c>
      <c r="AD122" s="79">
        <v>16505</v>
      </c>
      <c r="AE122" s="79">
        <v>3660</v>
      </c>
      <c r="AF122" s="79">
        <v>2361</v>
      </c>
      <c r="AG122" s="79">
        <v>6958</v>
      </c>
      <c r="AH122" s="79">
        <v>2559</v>
      </c>
      <c r="AI122" s="79">
        <v>959</v>
      </c>
      <c r="AJ122" s="79">
        <v>2503</v>
      </c>
      <c r="AK122" s="79">
        <v>384</v>
      </c>
      <c r="AL122" s="79">
        <v>2254</v>
      </c>
      <c r="AM122" s="79">
        <v>16307</v>
      </c>
      <c r="AN122" s="79">
        <v>62</v>
      </c>
      <c r="AO122" s="79">
        <v>756</v>
      </c>
      <c r="AP122" s="79">
        <v>1072</v>
      </c>
      <c r="AQ122" s="79">
        <v>14363</v>
      </c>
      <c r="AR122" s="79">
        <v>3835</v>
      </c>
      <c r="AS122" s="79">
        <v>7291</v>
      </c>
      <c r="AT122" s="79">
        <v>3246</v>
      </c>
      <c r="AU122" s="80" t="s">
        <v>496</v>
      </c>
      <c r="AV122" s="79">
        <v>8124</v>
      </c>
      <c r="AW122" s="79">
        <v>43588</v>
      </c>
      <c r="AX122" s="79">
        <v>33111</v>
      </c>
      <c r="AY122" s="79">
        <v>31451</v>
      </c>
      <c r="AZ122" s="79">
        <v>1611</v>
      </c>
      <c r="BA122" s="79">
        <v>10509</v>
      </c>
      <c r="BB122" s="79">
        <v>40226</v>
      </c>
      <c r="BC122" s="79">
        <v>2545</v>
      </c>
      <c r="BD122" s="79">
        <v>1530</v>
      </c>
      <c r="BE122" s="79">
        <v>4871</v>
      </c>
      <c r="BF122" s="79">
        <v>5845</v>
      </c>
      <c r="BG122" s="79">
        <v>3026</v>
      </c>
      <c r="BH122" s="79">
        <v>646</v>
      </c>
      <c r="BI122" s="79">
        <v>585</v>
      </c>
      <c r="BJ122" s="79">
        <v>842</v>
      </c>
      <c r="BK122" s="79">
        <v>743</v>
      </c>
      <c r="BL122" s="79">
        <v>20865</v>
      </c>
      <c r="BM122" s="79">
        <v>15140</v>
      </c>
      <c r="BN122" s="79">
        <v>6951</v>
      </c>
      <c r="BO122" s="79">
        <v>4515</v>
      </c>
    </row>
    <row r="123" spans="1:67" x14ac:dyDescent="0.35">
      <c r="A123" s="78" t="s">
        <v>579</v>
      </c>
      <c r="B123" s="79">
        <v>230119</v>
      </c>
      <c r="C123" s="79">
        <v>282</v>
      </c>
      <c r="D123" s="79">
        <v>263</v>
      </c>
      <c r="E123" s="79">
        <v>19</v>
      </c>
      <c r="F123" s="79">
        <v>87374</v>
      </c>
      <c r="G123" s="79">
        <v>23343</v>
      </c>
      <c r="H123" s="79">
        <v>23264</v>
      </c>
      <c r="I123" s="79">
        <v>79</v>
      </c>
      <c r="J123" s="79">
        <v>62172</v>
      </c>
      <c r="K123" s="79">
        <v>58997</v>
      </c>
      <c r="L123" s="79">
        <v>3176</v>
      </c>
      <c r="M123" s="79">
        <v>500</v>
      </c>
      <c r="N123" s="79">
        <v>51</v>
      </c>
      <c r="O123" s="79">
        <v>1312</v>
      </c>
      <c r="P123" s="80" t="s">
        <v>496</v>
      </c>
      <c r="Q123" s="79">
        <v>1425</v>
      </c>
      <c r="R123" s="79">
        <v>12</v>
      </c>
      <c r="S123" s="79">
        <v>146</v>
      </c>
      <c r="T123" s="79">
        <v>1265</v>
      </c>
      <c r="U123" s="79">
        <v>5222</v>
      </c>
      <c r="V123" s="79">
        <v>2977</v>
      </c>
      <c r="W123" s="79">
        <v>1096</v>
      </c>
      <c r="X123" s="79">
        <v>1569</v>
      </c>
      <c r="Y123" s="79">
        <v>331</v>
      </c>
      <c r="Z123" s="79">
        <v>2213</v>
      </c>
      <c r="AA123" s="79">
        <v>26222</v>
      </c>
      <c r="AB123" s="79">
        <v>5736</v>
      </c>
      <c r="AC123" s="79">
        <v>3329</v>
      </c>
      <c r="AD123" s="79">
        <v>16981</v>
      </c>
      <c r="AE123" s="79">
        <v>3710</v>
      </c>
      <c r="AF123" s="79">
        <v>2414</v>
      </c>
      <c r="AG123" s="79">
        <v>7332</v>
      </c>
      <c r="AH123" s="79">
        <v>2534</v>
      </c>
      <c r="AI123" s="79">
        <v>973</v>
      </c>
      <c r="AJ123" s="79">
        <v>2615</v>
      </c>
      <c r="AK123" s="79">
        <v>374</v>
      </c>
      <c r="AL123" s="79">
        <v>2364</v>
      </c>
      <c r="AM123" s="79">
        <v>16420</v>
      </c>
      <c r="AN123" s="79">
        <v>72</v>
      </c>
      <c r="AO123" s="79">
        <v>758</v>
      </c>
      <c r="AP123" s="79">
        <v>1105</v>
      </c>
      <c r="AQ123" s="79">
        <v>14435</v>
      </c>
      <c r="AR123" s="79">
        <v>3666</v>
      </c>
      <c r="AS123" s="79">
        <v>7495</v>
      </c>
      <c r="AT123" s="79">
        <v>3280</v>
      </c>
      <c r="AU123" s="80" t="s">
        <v>496</v>
      </c>
      <c r="AV123" s="79">
        <v>8224</v>
      </c>
      <c r="AW123" s="79">
        <v>44848</v>
      </c>
      <c r="AX123" s="79">
        <v>34354</v>
      </c>
      <c r="AY123" s="79">
        <v>32622</v>
      </c>
      <c r="AZ123" s="79">
        <v>1680</v>
      </c>
      <c r="BA123" s="79">
        <v>10503</v>
      </c>
      <c r="BB123" s="79">
        <v>40962</v>
      </c>
      <c r="BC123" s="79">
        <v>2581</v>
      </c>
      <c r="BD123" s="79">
        <v>1540</v>
      </c>
      <c r="BE123" s="79">
        <v>4866</v>
      </c>
      <c r="BF123" s="79">
        <v>6402</v>
      </c>
      <c r="BG123" s="79">
        <v>3327</v>
      </c>
      <c r="BH123" s="79">
        <v>703</v>
      </c>
      <c r="BI123" s="79">
        <v>772</v>
      </c>
      <c r="BJ123" s="79">
        <v>780</v>
      </c>
      <c r="BK123" s="79">
        <v>817</v>
      </c>
      <c r="BL123" s="79">
        <v>20939</v>
      </c>
      <c r="BM123" s="79">
        <v>15311</v>
      </c>
      <c r="BN123" s="79">
        <v>6934</v>
      </c>
      <c r="BO123" s="79">
        <v>4555</v>
      </c>
    </row>
    <row r="124" spans="1:67" x14ac:dyDescent="0.35">
      <c r="A124" s="78" t="s">
        <v>580</v>
      </c>
      <c r="B124" s="79">
        <v>230631</v>
      </c>
      <c r="C124" s="79">
        <v>259</v>
      </c>
      <c r="D124" s="79">
        <v>240</v>
      </c>
      <c r="E124" s="79">
        <v>18</v>
      </c>
      <c r="F124" s="79">
        <v>86985</v>
      </c>
      <c r="G124" s="79">
        <v>23177</v>
      </c>
      <c r="H124" s="79">
        <v>23098</v>
      </c>
      <c r="I124" s="79">
        <v>78</v>
      </c>
      <c r="J124" s="79">
        <v>61975</v>
      </c>
      <c r="K124" s="79">
        <v>58803</v>
      </c>
      <c r="L124" s="79">
        <v>3171</v>
      </c>
      <c r="M124" s="79">
        <v>475</v>
      </c>
      <c r="N124" s="79">
        <v>62</v>
      </c>
      <c r="O124" s="79">
        <v>1306</v>
      </c>
      <c r="P124" s="80" t="s">
        <v>496</v>
      </c>
      <c r="Q124" s="79">
        <v>1441</v>
      </c>
      <c r="R124" s="79">
        <v>11</v>
      </c>
      <c r="S124" s="79">
        <v>148</v>
      </c>
      <c r="T124" s="79">
        <v>1280</v>
      </c>
      <c r="U124" s="79">
        <v>5237</v>
      </c>
      <c r="V124" s="79">
        <v>2985</v>
      </c>
      <c r="W124" s="79">
        <v>1196</v>
      </c>
      <c r="X124" s="79">
        <v>1500</v>
      </c>
      <c r="Y124" s="79">
        <v>299</v>
      </c>
      <c r="Z124" s="79">
        <v>2222</v>
      </c>
      <c r="AA124" s="79">
        <v>26294</v>
      </c>
      <c r="AB124" s="79">
        <v>5854</v>
      </c>
      <c r="AC124" s="79">
        <v>3348</v>
      </c>
      <c r="AD124" s="79">
        <v>16916</v>
      </c>
      <c r="AE124" s="79">
        <v>3695</v>
      </c>
      <c r="AF124" s="79">
        <v>2328</v>
      </c>
      <c r="AG124" s="79">
        <v>7481</v>
      </c>
      <c r="AH124" s="79">
        <v>2391</v>
      </c>
      <c r="AI124" s="79">
        <v>991</v>
      </c>
      <c r="AJ124" s="79">
        <v>2703</v>
      </c>
      <c r="AK124" s="79">
        <v>383</v>
      </c>
      <c r="AL124" s="79">
        <v>2444</v>
      </c>
      <c r="AM124" s="79">
        <v>16436</v>
      </c>
      <c r="AN124" s="79">
        <v>67</v>
      </c>
      <c r="AO124" s="79">
        <v>761</v>
      </c>
      <c r="AP124" s="79">
        <v>1104</v>
      </c>
      <c r="AQ124" s="79">
        <v>14455</v>
      </c>
      <c r="AR124" s="79">
        <v>3594</v>
      </c>
      <c r="AS124" s="79">
        <v>7398</v>
      </c>
      <c r="AT124" s="79">
        <v>3467</v>
      </c>
      <c r="AU124" s="80" t="s">
        <v>496</v>
      </c>
      <c r="AV124" s="79">
        <v>8289</v>
      </c>
      <c r="AW124" s="79">
        <v>44147</v>
      </c>
      <c r="AX124" s="79">
        <v>33840</v>
      </c>
      <c r="AY124" s="79">
        <v>32180</v>
      </c>
      <c r="AZ124" s="79">
        <v>1611</v>
      </c>
      <c r="BA124" s="79">
        <v>10313</v>
      </c>
      <c r="BB124" s="79">
        <v>42276</v>
      </c>
      <c r="BC124" s="79">
        <v>2544</v>
      </c>
      <c r="BD124" s="79">
        <v>1539</v>
      </c>
      <c r="BE124" s="79">
        <v>4807</v>
      </c>
      <c r="BF124" s="79">
        <v>7007</v>
      </c>
      <c r="BG124" s="79">
        <v>3047</v>
      </c>
      <c r="BH124" s="79">
        <v>686</v>
      </c>
      <c r="BI124" s="79">
        <v>906</v>
      </c>
      <c r="BJ124" s="79">
        <v>1324</v>
      </c>
      <c r="BK124" s="79">
        <v>1042</v>
      </c>
      <c r="BL124" s="79">
        <v>21662</v>
      </c>
      <c r="BM124" s="79">
        <v>15540</v>
      </c>
      <c r="BN124" s="79">
        <v>7275</v>
      </c>
      <c r="BO124" s="79">
        <v>4664</v>
      </c>
    </row>
    <row r="125" spans="1:67" x14ac:dyDescent="0.35">
      <c r="A125" s="78" t="s">
        <v>581</v>
      </c>
      <c r="B125" s="79">
        <v>231764</v>
      </c>
      <c r="C125" s="79">
        <v>224</v>
      </c>
      <c r="D125" s="79">
        <v>208</v>
      </c>
      <c r="E125" s="79">
        <v>16</v>
      </c>
      <c r="F125" s="79">
        <v>87166</v>
      </c>
      <c r="G125" s="79">
        <v>23198</v>
      </c>
      <c r="H125" s="79">
        <v>23118</v>
      </c>
      <c r="I125" s="79">
        <v>79</v>
      </c>
      <c r="J125" s="79">
        <v>62069</v>
      </c>
      <c r="K125" s="79">
        <v>58869</v>
      </c>
      <c r="L125" s="79">
        <v>3200</v>
      </c>
      <c r="M125" s="79">
        <v>525</v>
      </c>
      <c r="N125" s="79">
        <v>55</v>
      </c>
      <c r="O125" s="79">
        <v>1323</v>
      </c>
      <c r="P125" s="80" t="s">
        <v>496</v>
      </c>
      <c r="Q125" s="79">
        <v>1467</v>
      </c>
      <c r="R125" s="79">
        <v>12</v>
      </c>
      <c r="S125" s="79">
        <v>143</v>
      </c>
      <c r="T125" s="79">
        <v>1310</v>
      </c>
      <c r="U125" s="79">
        <v>4823</v>
      </c>
      <c r="V125" s="79">
        <v>2623</v>
      </c>
      <c r="W125" s="79">
        <v>938</v>
      </c>
      <c r="X125" s="79">
        <v>1445</v>
      </c>
      <c r="Y125" s="79">
        <v>260</v>
      </c>
      <c r="Z125" s="79">
        <v>2184</v>
      </c>
      <c r="AA125" s="79">
        <v>26727</v>
      </c>
      <c r="AB125" s="79">
        <v>5917</v>
      </c>
      <c r="AC125" s="79">
        <v>3446</v>
      </c>
      <c r="AD125" s="79">
        <v>17188</v>
      </c>
      <c r="AE125" s="79">
        <v>3749</v>
      </c>
      <c r="AF125" s="79">
        <v>2474</v>
      </c>
      <c r="AG125" s="79">
        <v>7421</v>
      </c>
      <c r="AH125" s="79">
        <v>2521</v>
      </c>
      <c r="AI125" s="79">
        <v>1000</v>
      </c>
      <c r="AJ125" s="79">
        <v>2864</v>
      </c>
      <c r="AK125" s="79">
        <v>425</v>
      </c>
      <c r="AL125" s="79">
        <v>2585</v>
      </c>
      <c r="AM125" s="79">
        <v>16817</v>
      </c>
      <c r="AN125" s="79">
        <v>63</v>
      </c>
      <c r="AO125" s="79">
        <v>777</v>
      </c>
      <c r="AP125" s="79">
        <v>1108</v>
      </c>
      <c r="AQ125" s="79">
        <v>14818</v>
      </c>
      <c r="AR125" s="79">
        <v>3773</v>
      </c>
      <c r="AS125" s="79">
        <v>7446</v>
      </c>
      <c r="AT125" s="79">
        <v>3607</v>
      </c>
      <c r="AU125" s="80" t="s">
        <v>496</v>
      </c>
      <c r="AV125" s="79">
        <v>8414</v>
      </c>
      <c r="AW125" s="79">
        <v>44660</v>
      </c>
      <c r="AX125" s="79">
        <v>34057</v>
      </c>
      <c r="AY125" s="79">
        <v>32314</v>
      </c>
      <c r="AZ125" s="79">
        <v>1688</v>
      </c>
      <c r="BA125" s="79">
        <v>10623</v>
      </c>
      <c r="BB125" s="79">
        <v>41748</v>
      </c>
      <c r="BC125" s="79">
        <v>2534</v>
      </c>
      <c r="BD125" s="79">
        <v>1551</v>
      </c>
      <c r="BE125" s="79">
        <v>4830</v>
      </c>
      <c r="BF125" s="79">
        <v>6519</v>
      </c>
      <c r="BG125" s="79">
        <v>2790</v>
      </c>
      <c r="BH125" s="79">
        <v>366</v>
      </c>
      <c r="BI125" s="79">
        <v>1000</v>
      </c>
      <c r="BJ125" s="79">
        <v>1431</v>
      </c>
      <c r="BK125" s="79">
        <v>928</v>
      </c>
      <c r="BL125" s="79">
        <v>21549</v>
      </c>
      <c r="BM125" s="79">
        <v>15592</v>
      </c>
      <c r="BN125" s="79">
        <v>7191</v>
      </c>
      <c r="BO125" s="79">
        <v>4722</v>
      </c>
    </row>
    <row r="126" spans="1:67" x14ac:dyDescent="0.35">
      <c r="A126" s="78" t="s">
        <v>582</v>
      </c>
      <c r="B126" s="79">
        <v>232560</v>
      </c>
      <c r="C126" s="79">
        <v>193</v>
      </c>
      <c r="D126" s="79">
        <v>179</v>
      </c>
      <c r="E126" s="79">
        <v>13</v>
      </c>
      <c r="F126" s="79">
        <v>87390</v>
      </c>
      <c r="G126" s="79">
        <v>23122</v>
      </c>
      <c r="H126" s="79">
        <v>23044</v>
      </c>
      <c r="I126" s="79">
        <v>79</v>
      </c>
      <c r="J126" s="79">
        <v>62420</v>
      </c>
      <c r="K126" s="79">
        <v>59191</v>
      </c>
      <c r="L126" s="79">
        <v>3229</v>
      </c>
      <c r="M126" s="79">
        <v>485</v>
      </c>
      <c r="N126" s="79">
        <v>57</v>
      </c>
      <c r="O126" s="79">
        <v>1317</v>
      </c>
      <c r="P126" s="80" t="s">
        <v>496</v>
      </c>
      <c r="Q126" s="79">
        <v>1315</v>
      </c>
      <c r="R126" s="79">
        <v>10</v>
      </c>
      <c r="S126" s="79">
        <v>136</v>
      </c>
      <c r="T126" s="79">
        <v>1166</v>
      </c>
      <c r="U126" s="79">
        <v>4858</v>
      </c>
      <c r="V126" s="79">
        <v>2657</v>
      </c>
      <c r="W126" s="79">
        <v>1084</v>
      </c>
      <c r="X126" s="79">
        <v>1363</v>
      </c>
      <c r="Y126" s="79">
        <v>222</v>
      </c>
      <c r="Z126" s="79">
        <v>2183</v>
      </c>
      <c r="AA126" s="79">
        <v>27219</v>
      </c>
      <c r="AB126" s="79">
        <v>5907</v>
      </c>
      <c r="AC126" s="79">
        <v>3543</v>
      </c>
      <c r="AD126" s="79">
        <v>17593</v>
      </c>
      <c r="AE126" s="79">
        <v>3718</v>
      </c>
      <c r="AF126" s="79">
        <v>2461</v>
      </c>
      <c r="AG126" s="79">
        <v>7784</v>
      </c>
      <c r="AH126" s="79">
        <v>2654</v>
      </c>
      <c r="AI126" s="79">
        <v>973</v>
      </c>
      <c r="AJ126" s="79">
        <v>3016</v>
      </c>
      <c r="AK126" s="79">
        <v>423</v>
      </c>
      <c r="AL126" s="79">
        <v>2729</v>
      </c>
      <c r="AM126" s="79">
        <v>16897</v>
      </c>
      <c r="AN126" s="79">
        <v>59</v>
      </c>
      <c r="AO126" s="79">
        <v>760</v>
      </c>
      <c r="AP126" s="79">
        <v>1143</v>
      </c>
      <c r="AQ126" s="79">
        <v>14887</v>
      </c>
      <c r="AR126" s="79">
        <v>3869</v>
      </c>
      <c r="AS126" s="79">
        <v>7340</v>
      </c>
      <c r="AT126" s="79">
        <v>3688</v>
      </c>
      <c r="AU126" s="80" t="s">
        <v>496</v>
      </c>
      <c r="AV126" s="79">
        <v>8327</v>
      </c>
      <c r="AW126" s="79">
        <v>44105</v>
      </c>
      <c r="AX126" s="79">
        <v>34163</v>
      </c>
      <c r="AY126" s="79">
        <v>32459</v>
      </c>
      <c r="AZ126" s="79">
        <v>1654</v>
      </c>
      <c r="BA126" s="79">
        <v>9922</v>
      </c>
      <c r="BB126" s="79">
        <v>42162</v>
      </c>
      <c r="BC126" s="79">
        <v>2527</v>
      </c>
      <c r="BD126" s="79">
        <v>1558</v>
      </c>
      <c r="BE126" s="79">
        <v>5082</v>
      </c>
      <c r="BF126" s="79">
        <v>6418</v>
      </c>
      <c r="BG126" s="79">
        <v>2444</v>
      </c>
      <c r="BH126" s="79">
        <v>620</v>
      </c>
      <c r="BI126" s="79">
        <v>938</v>
      </c>
      <c r="BJ126" s="79">
        <v>1376</v>
      </c>
      <c r="BK126" s="79">
        <v>1041</v>
      </c>
      <c r="BL126" s="79">
        <v>21669</v>
      </c>
      <c r="BM126" s="79">
        <v>15598</v>
      </c>
      <c r="BN126" s="79">
        <v>7257</v>
      </c>
      <c r="BO126" s="79">
        <v>4834</v>
      </c>
    </row>
    <row r="127" spans="1:67" x14ac:dyDescent="0.35">
      <c r="A127" s="78" t="s">
        <v>583</v>
      </c>
      <c r="B127" s="79">
        <v>233459</v>
      </c>
      <c r="C127" s="79">
        <v>216</v>
      </c>
      <c r="D127" s="79">
        <v>204</v>
      </c>
      <c r="E127" s="79">
        <v>12</v>
      </c>
      <c r="F127" s="79">
        <v>87883</v>
      </c>
      <c r="G127" s="79">
        <v>23185</v>
      </c>
      <c r="H127" s="79">
        <v>23102</v>
      </c>
      <c r="I127" s="79">
        <v>83</v>
      </c>
      <c r="J127" s="79">
        <v>62815</v>
      </c>
      <c r="K127" s="79">
        <v>59522</v>
      </c>
      <c r="L127" s="79">
        <v>3293</v>
      </c>
      <c r="M127" s="79">
        <v>497</v>
      </c>
      <c r="N127" s="79">
        <v>56</v>
      </c>
      <c r="O127" s="79">
        <v>1340</v>
      </c>
      <c r="P127" s="80" t="s">
        <v>496</v>
      </c>
      <c r="Q127" s="79">
        <v>1431</v>
      </c>
      <c r="R127" s="79">
        <v>14</v>
      </c>
      <c r="S127" s="79">
        <v>161</v>
      </c>
      <c r="T127" s="79">
        <v>1254</v>
      </c>
      <c r="U127" s="79">
        <v>4889</v>
      </c>
      <c r="V127" s="79">
        <v>2652</v>
      </c>
      <c r="W127" s="79">
        <v>1077</v>
      </c>
      <c r="X127" s="79">
        <v>1360</v>
      </c>
      <c r="Y127" s="79">
        <v>228</v>
      </c>
      <c r="Z127" s="79">
        <v>2218</v>
      </c>
      <c r="AA127" s="79">
        <v>27085</v>
      </c>
      <c r="AB127" s="79">
        <v>5873</v>
      </c>
      <c r="AC127" s="79">
        <v>3492</v>
      </c>
      <c r="AD127" s="79">
        <v>17543</v>
      </c>
      <c r="AE127" s="79">
        <v>3696</v>
      </c>
      <c r="AF127" s="79">
        <v>2433</v>
      </c>
      <c r="AG127" s="79">
        <v>7684</v>
      </c>
      <c r="AH127" s="79">
        <v>2754</v>
      </c>
      <c r="AI127" s="79">
        <v>984</v>
      </c>
      <c r="AJ127" s="79">
        <v>3267</v>
      </c>
      <c r="AK127" s="79">
        <v>375</v>
      </c>
      <c r="AL127" s="79">
        <v>2986</v>
      </c>
      <c r="AM127" s="79">
        <v>16545</v>
      </c>
      <c r="AN127" s="79">
        <v>55</v>
      </c>
      <c r="AO127" s="79">
        <v>772</v>
      </c>
      <c r="AP127" s="79">
        <v>1161</v>
      </c>
      <c r="AQ127" s="79">
        <v>14514</v>
      </c>
      <c r="AR127" s="79">
        <v>3717</v>
      </c>
      <c r="AS127" s="79">
        <v>7395</v>
      </c>
      <c r="AT127" s="79">
        <v>3408</v>
      </c>
      <c r="AU127" s="80" t="s">
        <v>496</v>
      </c>
      <c r="AV127" s="79">
        <v>8461</v>
      </c>
      <c r="AW127" s="79">
        <v>44769</v>
      </c>
      <c r="AX127" s="79">
        <v>33955</v>
      </c>
      <c r="AY127" s="79">
        <v>32279</v>
      </c>
      <c r="AZ127" s="79">
        <v>1627</v>
      </c>
      <c r="BA127" s="79">
        <v>10837</v>
      </c>
      <c r="BB127" s="79">
        <v>41421</v>
      </c>
      <c r="BC127" s="79">
        <v>2574</v>
      </c>
      <c r="BD127" s="79">
        <v>1563</v>
      </c>
      <c r="BE127" s="79">
        <v>5030</v>
      </c>
      <c r="BF127" s="79">
        <v>5971</v>
      </c>
      <c r="BG127" s="79">
        <v>2200</v>
      </c>
      <c r="BH127" s="79">
        <v>594</v>
      </c>
      <c r="BI127" s="79">
        <v>1022</v>
      </c>
      <c r="BJ127" s="79">
        <v>1237</v>
      </c>
      <c r="BK127" s="79">
        <v>915</v>
      </c>
      <c r="BL127" s="79">
        <v>21494</v>
      </c>
      <c r="BM127" s="79">
        <v>15728</v>
      </c>
      <c r="BN127" s="79">
        <v>7117</v>
      </c>
      <c r="BO127" s="79">
        <v>4721</v>
      </c>
    </row>
    <row r="128" spans="1:67" x14ac:dyDescent="0.35">
      <c r="A128" s="78" t="s">
        <v>584</v>
      </c>
      <c r="B128" s="79">
        <v>233643</v>
      </c>
      <c r="C128" s="79">
        <v>241</v>
      </c>
      <c r="D128" s="79">
        <v>230</v>
      </c>
      <c r="E128" s="79">
        <v>11</v>
      </c>
      <c r="F128" s="79">
        <v>88107</v>
      </c>
      <c r="G128" s="79">
        <v>23222</v>
      </c>
      <c r="H128" s="79">
        <v>23138</v>
      </c>
      <c r="I128" s="79">
        <v>84</v>
      </c>
      <c r="J128" s="79">
        <v>63029</v>
      </c>
      <c r="K128" s="79">
        <v>59721</v>
      </c>
      <c r="L128" s="79">
        <v>3307</v>
      </c>
      <c r="M128" s="79">
        <v>475</v>
      </c>
      <c r="N128" s="79">
        <v>62</v>
      </c>
      <c r="O128" s="79">
        <v>1333</v>
      </c>
      <c r="P128" s="80" t="s">
        <v>496</v>
      </c>
      <c r="Q128" s="79">
        <v>1504</v>
      </c>
      <c r="R128" s="79">
        <v>11</v>
      </c>
      <c r="S128" s="79">
        <v>167</v>
      </c>
      <c r="T128" s="79">
        <v>1323</v>
      </c>
      <c r="U128" s="79">
        <v>4884</v>
      </c>
      <c r="V128" s="79">
        <v>2648</v>
      </c>
      <c r="W128" s="79">
        <v>1097</v>
      </c>
      <c r="X128" s="79">
        <v>1290</v>
      </c>
      <c r="Y128" s="79">
        <v>269</v>
      </c>
      <c r="Z128" s="79">
        <v>2218</v>
      </c>
      <c r="AA128" s="79">
        <v>27268</v>
      </c>
      <c r="AB128" s="79">
        <v>5907</v>
      </c>
      <c r="AC128" s="79">
        <v>3745</v>
      </c>
      <c r="AD128" s="79">
        <v>17450</v>
      </c>
      <c r="AE128" s="79">
        <v>3661</v>
      </c>
      <c r="AF128" s="79">
        <v>2464</v>
      </c>
      <c r="AG128" s="79">
        <v>7377</v>
      </c>
      <c r="AH128" s="79">
        <v>2935</v>
      </c>
      <c r="AI128" s="79">
        <v>1026</v>
      </c>
      <c r="AJ128" s="79">
        <v>3355</v>
      </c>
      <c r="AK128" s="79">
        <v>352</v>
      </c>
      <c r="AL128" s="79">
        <v>3078</v>
      </c>
      <c r="AM128" s="79">
        <v>16359</v>
      </c>
      <c r="AN128" s="79">
        <v>59</v>
      </c>
      <c r="AO128" s="79">
        <v>779</v>
      </c>
      <c r="AP128" s="79">
        <v>1154</v>
      </c>
      <c r="AQ128" s="79">
        <v>14325</v>
      </c>
      <c r="AR128" s="79">
        <v>3537</v>
      </c>
      <c r="AS128" s="79">
        <v>7234</v>
      </c>
      <c r="AT128" s="79">
        <v>3562</v>
      </c>
      <c r="AU128" s="80" t="s">
        <v>496</v>
      </c>
      <c r="AV128" s="79">
        <v>8561</v>
      </c>
      <c r="AW128" s="79">
        <v>44351</v>
      </c>
      <c r="AX128" s="79">
        <v>34247</v>
      </c>
      <c r="AY128" s="79">
        <v>32611</v>
      </c>
      <c r="AZ128" s="79">
        <v>1591</v>
      </c>
      <c r="BA128" s="79">
        <v>10097</v>
      </c>
      <c r="BB128" s="79">
        <v>41380</v>
      </c>
      <c r="BC128" s="79">
        <v>2575</v>
      </c>
      <c r="BD128" s="79">
        <v>1564</v>
      </c>
      <c r="BE128" s="79">
        <v>4762</v>
      </c>
      <c r="BF128" s="79">
        <v>6139</v>
      </c>
      <c r="BG128" s="79">
        <v>2074</v>
      </c>
      <c r="BH128" s="79">
        <v>684</v>
      </c>
      <c r="BI128" s="79">
        <v>1027</v>
      </c>
      <c r="BJ128" s="79">
        <v>1354</v>
      </c>
      <c r="BK128" s="79">
        <v>998</v>
      </c>
      <c r="BL128" s="79">
        <v>21522</v>
      </c>
      <c r="BM128" s="79">
        <v>15915</v>
      </c>
      <c r="BN128" s="79">
        <v>7075</v>
      </c>
      <c r="BO128" s="79">
        <v>4768</v>
      </c>
    </row>
    <row r="129" spans="1:67" x14ac:dyDescent="0.35">
      <c r="A129" s="78" t="s">
        <v>585</v>
      </c>
      <c r="B129" s="79">
        <v>235272</v>
      </c>
      <c r="C129" s="79">
        <v>250</v>
      </c>
      <c r="D129" s="79">
        <v>241</v>
      </c>
      <c r="E129" s="79">
        <v>10</v>
      </c>
      <c r="F129" s="79">
        <v>88363</v>
      </c>
      <c r="G129" s="79">
        <v>23247</v>
      </c>
      <c r="H129" s="79">
        <v>23162</v>
      </c>
      <c r="I129" s="79">
        <v>85</v>
      </c>
      <c r="J129" s="79">
        <v>63266</v>
      </c>
      <c r="K129" s="79">
        <v>59942</v>
      </c>
      <c r="L129" s="79">
        <v>3324</v>
      </c>
      <c r="M129" s="79">
        <v>473</v>
      </c>
      <c r="N129" s="79">
        <v>65</v>
      </c>
      <c r="O129" s="79">
        <v>1329</v>
      </c>
      <c r="P129" s="80" t="s">
        <v>496</v>
      </c>
      <c r="Q129" s="79">
        <v>1557</v>
      </c>
      <c r="R129" s="79">
        <v>13</v>
      </c>
      <c r="S129" s="79">
        <v>173</v>
      </c>
      <c r="T129" s="79">
        <v>1367</v>
      </c>
      <c r="U129" s="79">
        <v>4775</v>
      </c>
      <c r="V129" s="79">
        <v>2586</v>
      </c>
      <c r="W129" s="79">
        <v>1049</v>
      </c>
      <c r="X129" s="79">
        <v>1249</v>
      </c>
      <c r="Y129" s="79">
        <v>295</v>
      </c>
      <c r="Z129" s="79">
        <v>2172</v>
      </c>
      <c r="AA129" s="79">
        <v>27567</v>
      </c>
      <c r="AB129" s="79">
        <v>5963</v>
      </c>
      <c r="AC129" s="79">
        <v>3687</v>
      </c>
      <c r="AD129" s="79">
        <v>17745</v>
      </c>
      <c r="AE129" s="79">
        <v>3713</v>
      </c>
      <c r="AF129" s="79">
        <v>2526</v>
      </c>
      <c r="AG129" s="79">
        <v>7670</v>
      </c>
      <c r="AH129" s="79">
        <v>2816</v>
      </c>
      <c r="AI129" s="79">
        <v>1018</v>
      </c>
      <c r="AJ129" s="79">
        <v>3412</v>
      </c>
      <c r="AK129" s="79">
        <v>334</v>
      </c>
      <c r="AL129" s="79">
        <v>3139</v>
      </c>
      <c r="AM129" s="79">
        <v>16693</v>
      </c>
      <c r="AN129" s="79">
        <v>66</v>
      </c>
      <c r="AO129" s="79">
        <v>776</v>
      </c>
      <c r="AP129" s="79">
        <v>1224</v>
      </c>
      <c r="AQ129" s="79">
        <v>14586</v>
      </c>
      <c r="AR129" s="79">
        <v>3438</v>
      </c>
      <c r="AS129" s="79">
        <v>7577</v>
      </c>
      <c r="AT129" s="79">
        <v>3577</v>
      </c>
      <c r="AU129" s="80" t="s">
        <v>496</v>
      </c>
      <c r="AV129" s="79">
        <v>8595</v>
      </c>
      <c r="AW129" s="79">
        <v>44498</v>
      </c>
      <c r="AX129" s="79">
        <v>34384</v>
      </c>
      <c r="AY129" s="79">
        <v>32771</v>
      </c>
      <c r="AZ129" s="79">
        <v>1570</v>
      </c>
      <c r="BA129" s="79">
        <v>10105</v>
      </c>
      <c r="BB129" s="79">
        <v>41954</v>
      </c>
      <c r="BC129" s="79">
        <v>2598</v>
      </c>
      <c r="BD129" s="79">
        <v>1564</v>
      </c>
      <c r="BE129" s="79">
        <v>4668</v>
      </c>
      <c r="BF129" s="79">
        <v>6125</v>
      </c>
      <c r="BG129" s="79">
        <v>2256</v>
      </c>
      <c r="BH129" s="79">
        <v>722</v>
      </c>
      <c r="BI129" s="79">
        <v>1023</v>
      </c>
      <c r="BJ129" s="79">
        <v>1245</v>
      </c>
      <c r="BK129" s="79">
        <v>874</v>
      </c>
      <c r="BL129" s="79">
        <v>22105</v>
      </c>
      <c r="BM129" s="79">
        <v>15833</v>
      </c>
      <c r="BN129" s="79">
        <v>7427</v>
      </c>
      <c r="BO129" s="79">
        <v>4903</v>
      </c>
    </row>
    <row r="130" spans="1:67" x14ac:dyDescent="0.35">
      <c r="A130" s="78" t="s">
        <v>586</v>
      </c>
      <c r="B130" s="79">
        <v>237276</v>
      </c>
      <c r="C130" s="79">
        <v>228</v>
      </c>
      <c r="D130" s="79">
        <v>217</v>
      </c>
      <c r="E130" s="79">
        <v>12</v>
      </c>
      <c r="F130" s="79">
        <v>88674</v>
      </c>
      <c r="G130" s="79">
        <v>23342</v>
      </c>
      <c r="H130" s="79">
        <v>23257</v>
      </c>
      <c r="I130" s="79">
        <v>85</v>
      </c>
      <c r="J130" s="79">
        <v>63489</v>
      </c>
      <c r="K130" s="79">
        <v>60149</v>
      </c>
      <c r="L130" s="79">
        <v>3340</v>
      </c>
      <c r="M130" s="79">
        <v>481</v>
      </c>
      <c r="N130" s="79">
        <v>58</v>
      </c>
      <c r="O130" s="79">
        <v>1320</v>
      </c>
      <c r="P130" s="80" t="s">
        <v>496</v>
      </c>
      <c r="Q130" s="79">
        <v>1564</v>
      </c>
      <c r="R130" s="79">
        <v>13</v>
      </c>
      <c r="S130" s="79">
        <v>174</v>
      </c>
      <c r="T130" s="79">
        <v>1375</v>
      </c>
      <c r="U130" s="79">
        <v>4828</v>
      </c>
      <c r="V130" s="79">
        <v>2617</v>
      </c>
      <c r="W130" s="79">
        <v>1010</v>
      </c>
      <c r="X130" s="79">
        <v>1315</v>
      </c>
      <c r="Y130" s="79">
        <v>303</v>
      </c>
      <c r="Z130" s="79">
        <v>2193</v>
      </c>
      <c r="AA130" s="79">
        <v>27712</v>
      </c>
      <c r="AB130" s="79">
        <v>6068</v>
      </c>
      <c r="AC130" s="79">
        <v>3540</v>
      </c>
      <c r="AD130" s="79">
        <v>17922</v>
      </c>
      <c r="AE130" s="79">
        <v>3834</v>
      </c>
      <c r="AF130" s="79">
        <v>2507</v>
      </c>
      <c r="AG130" s="79">
        <v>7731</v>
      </c>
      <c r="AH130" s="79">
        <v>2807</v>
      </c>
      <c r="AI130" s="79">
        <v>1038</v>
      </c>
      <c r="AJ130" s="79">
        <v>3459</v>
      </c>
      <c r="AK130" s="79">
        <v>335</v>
      </c>
      <c r="AL130" s="79">
        <v>3184</v>
      </c>
      <c r="AM130" s="79">
        <v>16800</v>
      </c>
      <c r="AN130" s="79">
        <v>65</v>
      </c>
      <c r="AO130" s="79">
        <v>775</v>
      </c>
      <c r="AP130" s="79">
        <v>1173</v>
      </c>
      <c r="AQ130" s="79">
        <v>14741</v>
      </c>
      <c r="AR130" s="79">
        <v>3457</v>
      </c>
      <c r="AS130" s="79">
        <v>7763</v>
      </c>
      <c r="AT130" s="79">
        <v>3523</v>
      </c>
      <c r="AU130" s="80" t="s">
        <v>496</v>
      </c>
      <c r="AV130" s="79">
        <v>8435</v>
      </c>
      <c r="AW130" s="79">
        <v>44651</v>
      </c>
      <c r="AX130" s="79">
        <v>34342</v>
      </c>
      <c r="AY130" s="79">
        <v>32699</v>
      </c>
      <c r="AZ130" s="79">
        <v>1598</v>
      </c>
      <c r="BA130" s="79">
        <v>10310</v>
      </c>
      <c r="BB130" s="79">
        <v>43480</v>
      </c>
      <c r="BC130" s="79">
        <v>2635</v>
      </c>
      <c r="BD130" s="79">
        <v>1566</v>
      </c>
      <c r="BE130" s="79">
        <v>4519</v>
      </c>
      <c r="BF130" s="79">
        <v>7258</v>
      </c>
      <c r="BG130" s="79">
        <v>2549</v>
      </c>
      <c r="BH130" s="79">
        <v>670</v>
      </c>
      <c r="BI130" s="79">
        <v>1200</v>
      </c>
      <c r="BJ130" s="79">
        <v>1713</v>
      </c>
      <c r="BK130" s="79">
        <v>1117</v>
      </c>
      <c r="BL130" s="79">
        <v>22650</v>
      </c>
      <c r="BM130" s="79">
        <v>16242</v>
      </c>
      <c r="BN130" s="79">
        <v>7608</v>
      </c>
      <c r="BO130" s="79">
        <v>4915</v>
      </c>
    </row>
    <row r="131" spans="1:67" x14ac:dyDescent="0.35">
      <c r="A131" s="78" t="s">
        <v>587</v>
      </c>
      <c r="B131" s="79">
        <v>237085</v>
      </c>
      <c r="C131" s="79">
        <v>222</v>
      </c>
      <c r="D131" s="79">
        <v>205</v>
      </c>
      <c r="E131" s="79">
        <v>15</v>
      </c>
      <c r="F131" s="79">
        <v>88807</v>
      </c>
      <c r="G131" s="79">
        <v>23405</v>
      </c>
      <c r="H131" s="79">
        <v>23318</v>
      </c>
      <c r="I131" s="79">
        <v>86</v>
      </c>
      <c r="J131" s="79">
        <v>63593</v>
      </c>
      <c r="K131" s="79">
        <v>60280</v>
      </c>
      <c r="L131" s="79">
        <v>3313</v>
      </c>
      <c r="M131" s="79">
        <v>464</v>
      </c>
      <c r="N131" s="79">
        <v>54</v>
      </c>
      <c r="O131" s="79">
        <v>1310</v>
      </c>
      <c r="P131" s="80" t="s">
        <v>496</v>
      </c>
      <c r="Q131" s="79">
        <v>1636</v>
      </c>
      <c r="R131" s="79">
        <v>12</v>
      </c>
      <c r="S131" s="79">
        <v>159</v>
      </c>
      <c r="T131" s="79">
        <v>1463</v>
      </c>
      <c r="U131" s="79">
        <v>4829</v>
      </c>
      <c r="V131" s="79">
        <v>2598</v>
      </c>
      <c r="W131" s="79">
        <v>1069</v>
      </c>
      <c r="X131" s="79">
        <v>1251</v>
      </c>
      <c r="Y131" s="79">
        <v>284</v>
      </c>
      <c r="Z131" s="79">
        <v>2215</v>
      </c>
      <c r="AA131" s="79">
        <v>27822</v>
      </c>
      <c r="AB131" s="79">
        <v>5900</v>
      </c>
      <c r="AC131" s="79">
        <v>3818</v>
      </c>
      <c r="AD131" s="79">
        <v>17938</v>
      </c>
      <c r="AE131" s="79">
        <v>3983</v>
      </c>
      <c r="AF131" s="79">
        <v>2524</v>
      </c>
      <c r="AG131" s="79">
        <v>7945</v>
      </c>
      <c r="AH131" s="79">
        <v>2279</v>
      </c>
      <c r="AI131" s="79">
        <v>1101</v>
      </c>
      <c r="AJ131" s="79">
        <v>3647</v>
      </c>
      <c r="AK131" s="79">
        <v>332</v>
      </c>
      <c r="AL131" s="79">
        <v>3368</v>
      </c>
      <c r="AM131" s="79">
        <v>16702</v>
      </c>
      <c r="AN131" s="79">
        <v>62</v>
      </c>
      <c r="AO131" s="79">
        <v>778</v>
      </c>
      <c r="AP131" s="79">
        <v>1218</v>
      </c>
      <c r="AQ131" s="79">
        <v>14604</v>
      </c>
      <c r="AR131" s="79">
        <v>3520</v>
      </c>
      <c r="AS131" s="79">
        <v>7493</v>
      </c>
      <c r="AT131" s="79">
        <v>3598</v>
      </c>
      <c r="AU131" s="80" t="s">
        <v>496</v>
      </c>
      <c r="AV131" s="79">
        <v>8515</v>
      </c>
      <c r="AW131" s="79">
        <v>44074</v>
      </c>
      <c r="AX131" s="79">
        <v>34145</v>
      </c>
      <c r="AY131" s="79">
        <v>32580</v>
      </c>
      <c r="AZ131" s="79">
        <v>1526</v>
      </c>
      <c r="BA131" s="79">
        <v>9907</v>
      </c>
      <c r="BB131" s="79">
        <v>43129</v>
      </c>
      <c r="BC131" s="79">
        <v>2688</v>
      </c>
      <c r="BD131" s="79">
        <v>1594</v>
      </c>
      <c r="BE131" s="79">
        <v>4529</v>
      </c>
      <c r="BF131" s="79">
        <v>6637</v>
      </c>
      <c r="BG131" s="79">
        <v>2668</v>
      </c>
      <c r="BH131" s="79">
        <v>688</v>
      </c>
      <c r="BI131" s="79">
        <v>1087</v>
      </c>
      <c r="BJ131" s="79">
        <v>1264</v>
      </c>
      <c r="BK131" s="79">
        <v>926</v>
      </c>
      <c r="BL131" s="79">
        <v>22738</v>
      </c>
      <c r="BM131" s="79">
        <v>16307</v>
      </c>
      <c r="BN131" s="79">
        <v>7646</v>
      </c>
      <c r="BO131" s="79">
        <v>4988</v>
      </c>
    </row>
    <row r="132" spans="1:67" x14ac:dyDescent="0.35">
      <c r="A132" s="78" t="s">
        <v>588</v>
      </c>
      <c r="B132" s="79">
        <v>237431</v>
      </c>
      <c r="C132" s="79">
        <v>242</v>
      </c>
      <c r="D132" s="79">
        <v>222</v>
      </c>
      <c r="E132" s="79">
        <v>19</v>
      </c>
      <c r="F132" s="79">
        <v>89023</v>
      </c>
      <c r="G132" s="79">
        <v>23434</v>
      </c>
      <c r="H132" s="79">
        <v>23349</v>
      </c>
      <c r="I132" s="79">
        <v>85</v>
      </c>
      <c r="J132" s="79">
        <v>63773</v>
      </c>
      <c r="K132" s="79">
        <v>60431</v>
      </c>
      <c r="L132" s="79">
        <v>3343</v>
      </c>
      <c r="M132" s="79">
        <v>472</v>
      </c>
      <c r="N132" s="79">
        <v>50</v>
      </c>
      <c r="O132" s="79">
        <v>1311</v>
      </c>
      <c r="P132" s="80" t="s">
        <v>496</v>
      </c>
      <c r="Q132" s="79">
        <v>1651</v>
      </c>
      <c r="R132" s="79">
        <v>12</v>
      </c>
      <c r="S132" s="79">
        <v>156</v>
      </c>
      <c r="T132" s="79">
        <v>1479</v>
      </c>
      <c r="U132" s="79">
        <v>4628</v>
      </c>
      <c r="V132" s="79">
        <v>2407</v>
      </c>
      <c r="W132" s="79">
        <v>988</v>
      </c>
      <c r="X132" s="79">
        <v>1141</v>
      </c>
      <c r="Y132" s="79">
        <v>285</v>
      </c>
      <c r="Z132" s="79">
        <v>2211</v>
      </c>
      <c r="AA132" s="79">
        <v>28353</v>
      </c>
      <c r="AB132" s="79">
        <v>5604</v>
      </c>
      <c r="AC132" s="79">
        <v>3943</v>
      </c>
      <c r="AD132" s="79">
        <v>18630</v>
      </c>
      <c r="AE132" s="79">
        <v>4107</v>
      </c>
      <c r="AF132" s="79">
        <v>2481</v>
      </c>
      <c r="AG132" s="79">
        <v>7874</v>
      </c>
      <c r="AH132" s="79">
        <v>2976</v>
      </c>
      <c r="AI132" s="79">
        <v>1187</v>
      </c>
      <c r="AJ132" s="79">
        <v>3778</v>
      </c>
      <c r="AK132" s="79">
        <v>325</v>
      </c>
      <c r="AL132" s="79">
        <v>3498</v>
      </c>
      <c r="AM132" s="79">
        <v>17173</v>
      </c>
      <c r="AN132" s="79">
        <v>57</v>
      </c>
      <c r="AO132" s="79">
        <v>781</v>
      </c>
      <c r="AP132" s="79">
        <v>1178</v>
      </c>
      <c r="AQ132" s="79">
        <v>15109</v>
      </c>
      <c r="AR132" s="79">
        <v>3826</v>
      </c>
      <c r="AS132" s="79">
        <v>7570</v>
      </c>
      <c r="AT132" s="79">
        <v>3725</v>
      </c>
      <c r="AU132" s="80" t="s">
        <v>496</v>
      </c>
      <c r="AV132" s="79">
        <v>8565</v>
      </c>
      <c r="AW132" s="79">
        <v>43430</v>
      </c>
      <c r="AX132" s="79">
        <v>33384</v>
      </c>
      <c r="AY132" s="79">
        <v>31626</v>
      </c>
      <c r="AZ132" s="79">
        <v>1701</v>
      </c>
      <c r="BA132" s="79">
        <v>10046</v>
      </c>
      <c r="BB132" s="79">
        <v>42662</v>
      </c>
      <c r="BC132" s="79">
        <v>2667</v>
      </c>
      <c r="BD132" s="79">
        <v>1606</v>
      </c>
      <c r="BE132" s="79">
        <v>4389</v>
      </c>
      <c r="BF132" s="79">
        <v>6346</v>
      </c>
      <c r="BG132" s="79">
        <v>2910</v>
      </c>
      <c r="BH132" s="79">
        <v>668</v>
      </c>
      <c r="BI132" s="79">
        <v>998</v>
      </c>
      <c r="BJ132" s="79">
        <v>916</v>
      </c>
      <c r="BK132" s="79">
        <v>854</v>
      </c>
      <c r="BL132" s="79">
        <v>22871</v>
      </c>
      <c r="BM132" s="79">
        <v>15965</v>
      </c>
      <c r="BN132" s="79">
        <v>7864</v>
      </c>
      <c r="BO132" s="79">
        <v>4892</v>
      </c>
    </row>
    <row r="133" spans="1:67" x14ac:dyDescent="0.35">
      <c r="A133" s="78" t="s">
        <v>589</v>
      </c>
      <c r="B133" s="79">
        <v>237660</v>
      </c>
      <c r="C133" s="79">
        <v>282</v>
      </c>
      <c r="D133" s="79">
        <v>259</v>
      </c>
      <c r="E133" s="79">
        <v>23</v>
      </c>
      <c r="F133" s="79">
        <v>89002</v>
      </c>
      <c r="G133" s="79">
        <v>23314</v>
      </c>
      <c r="H133" s="79">
        <v>23228</v>
      </c>
      <c r="I133" s="79">
        <v>87</v>
      </c>
      <c r="J133" s="79">
        <v>63854</v>
      </c>
      <c r="K133" s="79">
        <v>60527</v>
      </c>
      <c r="L133" s="79">
        <v>3327</v>
      </c>
      <c r="M133" s="79">
        <v>483</v>
      </c>
      <c r="N133" s="79">
        <v>54</v>
      </c>
      <c r="O133" s="79">
        <v>1316</v>
      </c>
      <c r="P133" s="80" t="s">
        <v>496</v>
      </c>
      <c r="Q133" s="79">
        <v>1508</v>
      </c>
      <c r="R133" s="79">
        <v>10</v>
      </c>
      <c r="S133" s="79">
        <v>133</v>
      </c>
      <c r="T133" s="79">
        <v>1361</v>
      </c>
      <c r="U133" s="79">
        <v>4687</v>
      </c>
      <c r="V133" s="79">
        <v>2383</v>
      </c>
      <c r="W133" s="79">
        <v>995</v>
      </c>
      <c r="X133" s="79">
        <v>1107</v>
      </c>
      <c r="Y133" s="79">
        <v>286</v>
      </c>
      <c r="Z133" s="79">
        <v>2298</v>
      </c>
      <c r="AA133" s="79">
        <v>27293</v>
      </c>
      <c r="AB133" s="79">
        <v>5391</v>
      </c>
      <c r="AC133" s="79">
        <v>4133</v>
      </c>
      <c r="AD133" s="79">
        <v>17617</v>
      </c>
      <c r="AE133" s="79">
        <v>3910</v>
      </c>
      <c r="AF133" s="79">
        <v>2400</v>
      </c>
      <c r="AG133" s="79">
        <v>7432</v>
      </c>
      <c r="AH133" s="79">
        <v>2694</v>
      </c>
      <c r="AI133" s="79">
        <v>1164</v>
      </c>
      <c r="AJ133" s="79">
        <v>3923</v>
      </c>
      <c r="AK133" s="79">
        <v>328</v>
      </c>
      <c r="AL133" s="79">
        <v>3637</v>
      </c>
      <c r="AM133" s="79">
        <v>17134</v>
      </c>
      <c r="AN133" s="79">
        <v>52</v>
      </c>
      <c r="AO133" s="79">
        <v>786</v>
      </c>
      <c r="AP133" s="79">
        <v>1249</v>
      </c>
      <c r="AQ133" s="79">
        <v>15009</v>
      </c>
      <c r="AR133" s="79">
        <v>3605</v>
      </c>
      <c r="AS133" s="79">
        <v>8041</v>
      </c>
      <c r="AT133" s="79">
        <v>3359</v>
      </c>
      <c r="AU133" s="80" t="s">
        <v>496</v>
      </c>
      <c r="AV133" s="79">
        <v>8528</v>
      </c>
      <c r="AW133" s="79">
        <v>44480</v>
      </c>
      <c r="AX133" s="79">
        <v>34428</v>
      </c>
      <c r="AY133" s="79">
        <v>32752</v>
      </c>
      <c r="AZ133" s="79">
        <v>1628</v>
      </c>
      <c r="BA133" s="79">
        <v>10033</v>
      </c>
      <c r="BB133" s="79">
        <v>42839</v>
      </c>
      <c r="BC133" s="79">
        <v>2667</v>
      </c>
      <c r="BD133" s="79">
        <v>1615</v>
      </c>
      <c r="BE133" s="79">
        <v>4341</v>
      </c>
      <c r="BF133" s="79">
        <v>6569</v>
      </c>
      <c r="BG133" s="79">
        <v>3094</v>
      </c>
      <c r="BH133" s="79">
        <v>690</v>
      </c>
      <c r="BI133" s="79">
        <v>1098</v>
      </c>
      <c r="BJ133" s="79">
        <v>927</v>
      </c>
      <c r="BK133" s="79">
        <v>759</v>
      </c>
      <c r="BL133" s="79">
        <v>23105</v>
      </c>
      <c r="BM133" s="79">
        <v>16034</v>
      </c>
      <c r="BN133" s="79">
        <v>7982</v>
      </c>
      <c r="BO133" s="79">
        <v>4734</v>
      </c>
    </row>
    <row r="134" spans="1:67" x14ac:dyDescent="0.35">
      <c r="A134" s="78" t="s">
        <v>590</v>
      </c>
      <c r="B134" s="79">
        <v>238840</v>
      </c>
      <c r="C134" s="79">
        <v>303</v>
      </c>
      <c r="D134" s="79">
        <v>283</v>
      </c>
      <c r="E134" s="79">
        <v>20</v>
      </c>
      <c r="F134" s="79">
        <v>89046</v>
      </c>
      <c r="G134" s="79">
        <v>23273</v>
      </c>
      <c r="H134" s="79">
        <v>23186</v>
      </c>
      <c r="I134" s="79">
        <v>86</v>
      </c>
      <c r="J134" s="79">
        <v>63907</v>
      </c>
      <c r="K134" s="79">
        <v>60566</v>
      </c>
      <c r="L134" s="79">
        <v>3340</v>
      </c>
      <c r="M134" s="79">
        <v>473</v>
      </c>
      <c r="N134" s="79">
        <v>67</v>
      </c>
      <c r="O134" s="79">
        <v>1346</v>
      </c>
      <c r="P134" s="80" t="s">
        <v>496</v>
      </c>
      <c r="Q134" s="79">
        <v>1511</v>
      </c>
      <c r="R134" s="79">
        <v>5</v>
      </c>
      <c r="S134" s="79">
        <v>164</v>
      </c>
      <c r="T134" s="79">
        <v>1338</v>
      </c>
      <c r="U134" s="79">
        <v>4714</v>
      </c>
      <c r="V134" s="79">
        <v>2387</v>
      </c>
      <c r="W134" s="79">
        <v>1028</v>
      </c>
      <c r="X134" s="79">
        <v>1087</v>
      </c>
      <c r="Y134" s="79">
        <v>277</v>
      </c>
      <c r="Z134" s="79">
        <v>2320</v>
      </c>
      <c r="AA134" s="79">
        <v>26352</v>
      </c>
      <c r="AB134" s="79">
        <v>5218</v>
      </c>
      <c r="AC134" s="79">
        <v>4219</v>
      </c>
      <c r="AD134" s="79">
        <v>16774</v>
      </c>
      <c r="AE134" s="79">
        <v>3470</v>
      </c>
      <c r="AF134" s="79">
        <v>2394</v>
      </c>
      <c r="AG134" s="79">
        <v>7367</v>
      </c>
      <c r="AH134" s="79">
        <v>2561</v>
      </c>
      <c r="AI134" s="79">
        <v>985</v>
      </c>
      <c r="AJ134" s="79">
        <v>4205</v>
      </c>
      <c r="AK134" s="79">
        <v>322</v>
      </c>
      <c r="AL134" s="79">
        <v>3913</v>
      </c>
      <c r="AM134" s="79">
        <v>17231</v>
      </c>
      <c r="AN134" s="79">
        <v>47</v>
      </c>
      <c r="AO134" s="79">
        <v>794</v>
      </c>
      <c r="AP134" s="79">
        <v>1218</v>
      </c>
      <c r="AQ134" s="79">
        <v>15129</v>
      </c>
      <c r="AR134" s="79">
        <v>3578</v>
      </c>
      <c r="AS134" s="79">
        <v>8080</v>
      </c>
      <c r="AT134" s="79">
        <v>3469</v>
      </c>
      <c r="AU134" s="80" t="s">
        <v>496</v>
      </c>
      <c r="AV134" s="79">
        <v>8378</v>
      </c>
      <c r="AW134" s="79">
        <v>45437</v>
      </c>
      <c r="AX134" s="79">
        <v>34491</v>
      </c>
      <c r="AY134" s="79">
        <v>32858</v>
      </c>
      <c r="AZ134" s="79">
        <v>1588</v>
      </c>
      <c r="BA134" s="79">
        <v>10981</v>
      </c>
      <c r="BB134" s="79">
        <v>43553</v>
      </c>
      <c r="BC134" s="79">
        <v>2439</v>
      </c>
      <c r="BD134" s="79">
        <v>1644</v>
      </c>
      <c r="BE134" s="79">
        <v>4394</v>
      </c>
      <c r="BF134" s="79">
        <v>6992</v>
      </c>
      <c r="BG134" s="79">
        <v>3274</v>
      </c>
      <c r="BH134" s="79">
        <v>713</v>
      </c>
      <c r="BI134" s="79">
        <v>1070</v>
      </c>
      <c r="BJ134" s="79">
        <v>1113</v>
      </c>
      <c r="BK134" s="79">
        <v>820</v>
      </c>
      <c r="BL134" s="79">
        <v>23396</v>
      </c>
      <c r="BM134" s="79">
        <v>16105</v>
      </c>
      <c r="BN134" s="79">
        <v>8132</v>
      </c>
      <c r="BO134" s="79">
        <v>4900</v>
      </c>
    </row>
    <row r="135" spans="1:67" x14ac:dyDescent="0.35">
      <c r="A135" s="78" t="s">
        <v>591</v>
      </c>
      <c r="B135" s="79">
        <v>234395</v>
      </c>
      <c r="C135" s="79">
        <v>267</v>
      </c>
      <c r="D135" s="79">
        <v>254</v>
      </c>
      <c r="E135" s="79">
        <v>13</v>
      </c>
      <c r="F135" s="79">
        <v>89552</v>
      </c>
      <c r="G135" s="79">
        <v>23463</v>
      </c>
      <c r="H135" s="79">
        <v>23375</v>
      </c>
      <c r="I135" s="79">
        <v>88</v>
      </c>
      <c r="J135" s="79">
        <v>64141</v>
      </c>
      <c r="K135" s="79">
        <v>60778</v>
      </c>
      <c r="L135" s="79">
        <v>3363</v>
      </c>
      <c r="M135" s="79">
        <v>475</v>
      </c>
      <c r="N135" s="79">
        <v>74</v>
      </c>
      <c r="O135" s="79">
        <v>1412</v>
      </c>
      <c r="P135" s="80" t="s">
        <v>496</v>
      </c>
      <c r="Q135" s="79">
        <v>1410</v>
      </c>
      <c r="R135" s="79">
        <v>1</v>
      </c>
      <c r="S135" s="79">
        <v>128</v>
      </c>
      <c r="T135" s="79">
        <v>1276</v>
      </c>
      <c r="U135" s="79">
        <v>4632</v>
      </c>
      <c r="V135" s="79">
        <v>2381</v>
      </c>
      <c r="W135" s="79">
        <v>1009</v>
      </c>
      <c r="X135" s="79">
        <v>1109</v>
      </c>
      <c r="Y135" s="79">
        <v>270</v>
      </c>
      <c r="Z135" s="79">
        <v>2242</v>
      </c>
      <c r="AA135" s="79">
        <v>23339</v>
      </c>
      <c r="AB135" s="79">
        <v>5224</v>
      </c>
      <c r="AC135" s="79">
        <v>4071</v>
      </c>
      <c r="AD135" s="79">
        <v>13934</v>
      </c>
      <c r="AE135" s="79">
        <v>2720</v>
      </c>
      <c r="AF135" s="79">
        <v>2116</v>
      </c>
      <c r="AG135" s="79">
        <v>7158</v>
      </c>
      <c r="AH135" s="79">
        <v>1019</v>
      </c>
      <c r="AI135" s="79">
        <v>870</v>
      </c>
      <c r="AJ135" s="79">
        <v>4546</v>
      </c>
      <c r="AK135" s="79">
        <v>354</v>
      </c>
      <c r="AL135" s="79">
        <v>4229</v>
      </c>
      <c r="AM135" s="79">
        <v>16551</v>
      </c>
      <c r="AN135" s="79">
        <v>52</v>
      </c>
      <c r="AO135" s="79">
        <v>665</v>
      </c>
      <c r="AP135" s="79">
        <v>1223</v>
      </c>
      <c r="AQ135" s="79">
        <v>14578</v>
      </c>
      <c r="AR135" s="79">
        <v>3582</v>
      </c>
      <c r="AS135" s="79">
        <v>7932</v>
      </c>
      <c r="AT135" s="79">
        <v>3061</v>
      </c>
      <c r="AU135" s="80" t="s">
        <v>496</v>
      </c>
      <c r="AV135" s="79">
        <v>8601</v>
      </c>
      <c r="AW135" s="79">
        <v>43368</v>
      </c>
      <c r="AX135" s="79">
        <v>33929</v>
      </c>
      <c r="AY135" s="79">
        <v>32478</v>
      </c>
      <c r="AZ135" s="79">
        <v>1420</v>
      </c>
      <c r="BA135" s="79">
        <v>9415</v>
      </c>
      <c r="BB135" s="79">
        <v>43739</v>
      </c>
      <c r="BC135" s="79">
        <v>2357</v>
      </c>
      <c r="BD135" s="79">
        <v>1550</v>
      </c>
      <c r="BE135" s="79">
        <v>4187</v>
      </c>
      <c r="BF135" s="79">
        <v>7445</v>
      </c>
      <c r="BG135" s="79">
        <v>3571</v>
      </c>
      <c r="BH135" s="79">
        <v>455</v>
      </c>
      <c r="BI135" s="79">
        <v>1290</v>
      </c>
      <c r="BJ135" s="79">
        <v>1257</v>
      </c>
      <c r="BK135" s="79">
        <v>866</v>
      </c>
      <c r="BL135" s="79">
        <v>23506</v>
      </c>
      <c r="BM135" s="79">
        <v>15969</v>
      </c>
      <c r="BN135" s="79">
        <v>8241</v>
      </c>
      <c r="BO135" s="79">
        <v>4965</v>
      </c>
    </row>
    <row r="136" spans="1:67" x14ac:dyDescent="0.35">
      <c r="A136" s="78" t="s">
        <v>592</v>
      </c>
      <c r="B136" s="79">
        <v>166649</v>
      </c>
      <c r="C136" s="79">
        <v>106</v>
      </c>
      <c r="D136" s="79">
        <v>97</v>
      </c>
      <c r="E136" s="79">
        <v>9</v>
      </c>
      <c r="F136" s="79">
        <v>89937</v>
      </c>
      <c r="G136" s="79">
        <v>23574</v>
      </c>
      <c r="H136" s="79">
        <v>23486</v>
      </c>
      <c r="I136" s="79">
        <v>89</v>
      </c>
      <c r="J136" s="79">
        <v>64313</v>
      </c>
      <c r="K136" s="79">
        <v>60930</v>
      </c>
      <c r="L136" s="79">
        <v>3384</v>
      </c>
      <c r="M136" s="79">
        <v>498</v>
      </c>
      <c r="N136" s="79">
        <v>94</v>
      </c>
      <c r="O136" s="79">
        <v>1463</v>
      </c>
      <c r="P136" s="80" t="s">
        <v>496</v>
      </c>
      <c r="Q136" s="79">
        <v>882</v>
      </c>
      <c r="R136" s="79">
        <v>3</v>
      </c>
      <c r="S136" s="79">
        <v>136</v>
      </c>
      <c r="T136" s="79">
        <v>742</v>
      </c>
      <c r="U136" s="79">
        <v>2549</v>
      </c>
      <c r="V136" s="79">
        <v>1122</v>
      </c>
      <c r="W136" s="79">
        <v>709</v>
      </c>
      <c r="X136" s="79">
        <v>198</v>
      </c>
      <c r="Y136" s="79">
        <v>206</v>
      </c>
      <c r="Z136" s="79">
        <v>1434</v>
      </c>
      <c r="AA136" s="79">
        <v>6407</v>
      </c>
      <c r="AB136" s="79">
        <v>3194</v>
      </c>
      <c r="AC136" s="79">
        <v>1258</v>
      </c>
      <c r="AD136" s="79">
        <v>1986</v>
      </c>
      <c r="AE136" s="79">
        <v>421</v>
      </c>
      <c r="AF136" s="79">
        <v>664</v>
      </c>
      <c r="AG136" s="79">
        <v>366</v>
      </c>
      <c r="AH136" s="79">
        <v>124</v>
      </c>
      <c r="AI136" s="79">
        <v>336</v>
      </c>
      <c r="AJ136" s="79">
        <v>4774</v>
      </c>
      <c r="AK136" s="79">
        <v>368</v>
      </c>
      <c r="AL136" s="79">
        <v>4442</v>
      </c>
      <c r="AM136" s="79">
        <v>9514</v>
      </c>
      <c r="AN136" s="79">
        <v>44</v>
      </c>
      <c r="AO136" s="79">
        <v>621</v>
      </c>
      <c r="AP136" s="79">
        <v>779</v>
      </c>
      <c r="AQ136" s="79">
        <v>8052</v>
      </c>
      <c r="AR136" s="79">
        <v>1686</v>
      </c>
      <c r="AS136" s="79">
        <v>3760</v>
      </c>
      <c r="AT136" s="79">
        <v>2618</v>
      </c>
      <c r="AU136" s="80" t="s">
        <v>496</v>
      </c>
      <c r="AV136" s="79">
        <v>7490</v>
      </c>
      <c r="AW136" s="79">
        <v>8308</v>
      </c>
      <c r="AX136" s="79">
        <v>7360</v>
      </c>
      <c r="AY136" s="79">
        <v>6937</v>
      </c>
      <c r="AZ136" s="79">
        <v>408</v>
      </c>
      <c r="BA136" s="79">
        <v>889</v>
      </c>
      <c r="BB136" s="79">
        <v>35978</v>
      </c>
      <c r="BC136" s="79">
        <v>107</v>
      </c>
      <c r="BD136" s="79">
        <v>588</v>
      </c>
      <c r="BE136" s="79">
        <v>3063</v>
      </c>
      <c r="BF136" s="79">
        <v>7104</v>
      </c>
      <c r="BG136" s="79">
        <v>3466</v>
      </c>
      <c r="BH136" s="79">
        <v>472</v>
      </c>
      <c r="BI136" s="79">
        <v>1279</v>
      </c>
      <c r="BJ136" s="79">
        <v>1624</v>
      </c>
      <c r="BK136" s="79">
        <v>241</v>
      </c>
      <c r="BL136" s="79">
        <v>21859</v>
      </c>
      <c r="BM136" s="79">
        <v>14721</v>
      </c>
      <c r="BN136" s="79">
        <v>7707</v>
      </c>
      <c r="BO136" s="79">
        <v>4294</v>
      </c>
    </row>
    <row r="137" spans="1:67" x14ac:dyDescent="0.35">
      <c r="A137" s="78" t="s">
        <v>593</v>
      </c>
      <c r="B137" s="79">
        <v>200735</v>
      </c>
      <c r="C137" s="79">
        <v>197</v>
      </c>
      <c r="D137" s="79">
        <v>183</v>
      </c>
      <c r="E137" s="79">
        <v>14</v>
      </c>
      <c r="F137" s="79">
        <v>90040</v>
      </c>
      <c r="G137" s="79">
        <v>23498</v>
      </c>
      <c r="H137" s="79">
        <v>23411</v>
      </c>
      <c r="I137" s="79">
        <v>87</v>
      </c>
      <c r="J137" s="79">
        <v>64540</v>
      </c>
      <c r="K137" s="79">
        <v>61144</v>
      </c>
      <c r="L137" s="79">
        <v>3395</v>
      </c>
      <c r="M137" s="79">
        <v>428</v>
      </c>
      <c r="N137" s="79">
        <v>94</v>
      </c>
      <c r="O137" s="79">
        <v>1492</v>
      </c>
      <c r="P137" s="80" t="s">
        <v>496</v>
      </c>
      <c r="Q137" s="79">
        <v>1349</v>
      </c>
      <c r="R137" s="79">
        <v>9</v>
      </c>
      <c r="S137" s="79">
        <v>150</v>
      </c>
      <c r="T137" s="79">
        <v>1187</v>
      </c>
      <c r="U137" s="79">
        <v>2875</v>
      </c>
      <c r="V137" s="79">
        <v>1144</v>
      </c>
      <c r="W137" s="79">
        <v>643</v>
      </c>
      <c r="X137" s="79">
        <v>245</v>
      </c>
      <c r="Y137" s="79">
        <v>248</v>
      </c>
      <c r="Z137" s="79">
        <v>1747</v>
      </c>
      <c r="AA137" s="79">
        <v>11367</v>
      </c>
      <c r="AB137" s="79">
        <v>4308</v>
      </c>
      <c r="AC137" s="79">
        <v>3117</v>
      </c>
      <c r="AD137" s="79">
        <v>4015</v>
      </c>
      <c r="AE137" s="79">
        <v>608</v>
      </c>
      <c r="AF137" s="79">
        <v>1323</v>
      </c>
      <c r="AG137" s="79">
        <v>782</v>
      </c>
      <c r="AH137" s="79">
        <v>686</v>
      </c>
      <c r="AI137" s="79">
        <v>513</v>
      </c>
      <c r="AJ137" s="79">
        <v>5231</v>
      </c>
      <c r="AK137" s="79">
        <v>355</v>
      </c>
      <c r="AL137" s="79">
        <v>4895</v>
      </c>
      <c r="AM137" s="79">
        <v>12141</v>
      </c>
      <c r="AN137" s="79">
        <v>31</v>
      </c>
      <c r="AO137" s="79">
        <v>368</v>
      </c>
      <c r="AP137" s="79">
        <v>1105</v>
      </c>
      <c r="AQ137" s="79">
        <v>10639</v>
      </c>
      <c r="AR137" s="79">
        <v>2893</v>
      </c>
      <c r="AS137" s="79">
        <v>4830</v>
      </c>
      <c r="AT137" s="79">
        <v>2928</v>
      </c>
      <c r="AU137" s="80" t="s">
        <v>496</v>
      </c>
      <c r="AV137" s="79">
        <v>7903</v>
      </c>
      <c r="AW137" s="79">
        <v>30102</v>
      </c>
      <c r="AX137" s="79">
        <v>24589</v>
      </c>
      <c r="AY137" s="79">
        <v>23840</v>
      </c>
      <c r="AZ137" s="79">
        <v>749</v>
      </c>
      <c r="BA137" s="79">
        <v>5425</v>
      </c>
      <c r="BB137" s="79">
        <v>39816</v>
      </c>
      <c r="BC137" s="79">
        <v>1892</v>
      </c>
      <c r="BD137" s="79">
        <v>1159</v>
      </c>
      <c r="BE137" s="79">
        <v>3172</v>
      </c>
      <c r="BF137" s="79">
        <v>6826</v>
      </c>
      <c r="BG137" s="79">
        <v>3145</v>
      </c>
      <c r="BH137" s="79">
        <v>624</v>
      </c>
      <c r="BI137" s="79">
        <v>1103</v>
      </c>
      <c r="BJ137" s="79">
        <v>1488</v>
      </c>
      <c r="BK137" s="79">
        <v>451</v>
      </c>
      <c r="BL137" s="79">
        <v>22369</v>
      </c>
      <c r="BM137" s="79">
        <v>14960</v>
      </c>
      <c r="BN137" s="79">
        <v>7922</v>
      </c>
      <c r="BO137" s="79">
        <v>4911</v>
      </c>
    </row>
    <row r="138" spans="1:67" x14ac:dyDescent="0.35">
      <c r="A138" s="78" t="s">
        <v>594</v>
      </c>
      <c r="B138" s="79">
        <v>197847</v>
      </c>
      <c r="C138" s="79">
        <v>201</v>
      </c>
      <c r="D138" s="79">
        <v>194</v>
      </c>
      <c r="E138" s="79">
        <v>7</v>
      </c>
      <c r="F138" s="79">
        <v>90353</v>
      </c>
      <c r="G138" s="79">
        <v>23626</v>
      </c>
      <c r="H138" s="79">
        <v>23539</v>
      </c>
      <c r="I138" s="79">
        <v>86</v>
      </c>
      <c r="J138" s="79">
        <v>64682</v>
      </c>
      <c r="K138" s="79">
        <v>61267</v>
      </c>
      <c r="L138" s="79">
        <v>3415</v>
      </c>
      <c r="M138" s="79">
        <v>485</v>
      </c>
      <c r="N138" s="79">
        <v>59</v>
      </c>
      <c r="O138" s="79">
        <v>1509</v>
      </c>
      <c r="P138" s="80" t="s">
        <v>496</v>
      </c>
      <c r="Q138" s="79">
        <v>1266</v>
      </c>
      <c r="R138" s="79">
        <v>5</v>
      </c>
      <c r="S138" s="79">
        <v>130</v>
      </c>
      <c r="T138" s="79">
        <v>1128</v>
      </c>
      <c r="U138" s="79">
        <v>3622</v>
      </c>
      <c r="V138" s="79">
        <v>1525</v>
      </c>
      <c r="W138" s="79">
        <v>698</v>
      </c>
      <c r="X138" s="79">
        <v>524</v>
      </c>
      <c r="Y138" s="79">
        <v>301</v>
      </c>
      <c r="Z138" s="79">
        <v>2111</v>
      </c>
      <c r="AA138" s="79">
        <v>11509</v>
      </c>
      <c r="AB138" s="79">
        <v>4469</v>
      </c>
      <c r="AC138" s="79">
        <v>3305</v>
      </c>
      <c r="AD138" s="79">
        <v>3811</v>
      </c>
      <c r="AE138" s="79">
        <v>813</v>
      </c>
      <c r="AF138" s="79">
        <v>1315</v>
      </c>
      <c r="AG138" s="79">
        <v>406</v>
      </c>
      <c r="AH138" s="79">
        <v>580</v>
      </c>
      <c r="AI138" s="79">
        <v>563</v>
      </c>
      <c r="AJ138" s="79">
        <v>5301</v>
      </c>
      <c r="AK138" s="79">
        <v>373</v>
      </c>
      <c r="AL138" s="79">
        <v>4953</v>
      </c>
      <c r="AM138" s="79">
        <v>13054</v>
      </c>
      <c r="AN138" s="79">
        <v>43</v>
      </c>
      <c r="AO138" s="79">
        <v>309</v>
      </c>
      <c r="AP138" s="79">
        <v>1488</v>
      </c>
      <c r="AQ138" s="79">
        <v>11253</v>
      </c>
      <c r="AR138" s="79">
        <v>2861</v>
      </c>
      <c r="AS138" s="79">
        <v>5193</v>
      </c>
      <c r="AT138" s="79">
        <v>3212</v>
      </c>
      <c r="AU138" s="80" t="s">
        <v>496</v>
      </c>
      <c r="AV138" s="79">
        <v>8097</v>
      </c>
      <c r="AW138" s="79">
        <v>25048</v>
      </c>
      <c r="AX138" s="79">
        <v>20893</v>
      </c>
      <c r="AY138" s="79">
        <v>20120</v>
      </c>
      <c r="AZ138" s="79">
        <v>762</v>
      </c>
      <c r="BA138" s="79">
        <v>4052</v>
      </c>
      <c r="BB138" s="79">
        <v>39389</v>
      </c>
      <c r="BC138" s="79">
        <v>1481</v>
      </c>
      <c r="BD138" s="79">
        <v>1071</v>
      </c>
      <c r="BE138" s="79">
        <v>3199</v>
      </c>
      <c r="BF138" s="79">
        <v>6918</v>
      </c>
      <c r="BG138" s="79">
        <v>3112</v>
      </c>
      <c r="BH138" s="79">
        <v>616</v>
      </c>
      <c r="BI138" s="79">
        <v>1278</v>
      </c>
      <c r="BJ138" s="79">
        <v>1511</v>
      </c>
      <c r="BK138" s="79">
        <v>383</v>
      </c>
      <c r="BL138" s="79">
        <v>22759</v>
      </c>
      <c r="BM138" s="79">
        <v>15062</v>
      </c>
      <c r="BN138" s="79">
        <v>8115</v>
      </c>
      <c r="BO138" s="79">
        <v>4668</v>
      </c>
    </row>
    <row r="139" spans="1:67" x14ac:dyDescent="0.35">
      <c r="A139" s="78" t="s">
        <v>595</v>
      </c>
      <c r="B139" s="79">
        <v>193622</v>
      </c>
      <c r="C139" s="79">
        <v>167</v>
      </c>
      <c r="D139" s="79">
        <v>160</v>
      </c>
      <c r="E139" s="79">
        <v>8</v>
      </c>
      <c r="F139" s="79">
        <v>90690</v>
      </c>
      <c r="G139" s="79">
        <v>23817</v>
      </c>
      <c r="H139" s="79">
        <v>23729</v>
      </c>
      <c r="I139" s="79">
        <v>87</v>
      </c>
      <c r="J139" s="79">
        <v>64835</v>
      </c>
      <c r="K139" s="79">
        <v>61431</v>
      </c>
      <c r="L139" s="79">
        <v>3404</v>
      </c>
      <c r="M139" s="79">
        <v>469</v>
      </c>
      <c r="N139" s="79">
        <v>68</v>
      </c>
      <c r="O139" s="79">
        <v>1509</v>
      </c>
      <c r="P139" s="80" t="s">
        <v>496</v>
      </c>
      <c r="Q139" s="79">
        <v>1161</v>
      </c>
      <c r="R139" s="79">
        <v>10</v>
      </c>
      <c r="S139" s="79">
        <v>113</v>
      </c>
      <c r="T139" s="79">
        <v>1035</v>
      </c>
      <c r="U139" s="79">
        <v>3993</v>
      </c>
      <c r="V139" s="79">
        <v>1764</v>
      </c>
      <c r="W139" s="79">
        <v>956</v>
      </c>
      <c r="X139" s="79">
        <v>496</v>
      </c>
      <c r="Y139" s="79">
        <v>304</v>
      </c>
      <c r="Z139" s="79">
        <v>2239</v>
      </c>
      <c r="AA139" s="79">
        <v>12000</v>
      </c>
      <c r="AB139" s="79">
        <v>4854</v>
      </c>
      <c r="AC139" s="79">
        <v>3367</v>
      </c>
      <c r="AD139" s="79">
        <v>3834</v>
      </c>
      <c r="AE139" s="79">
        <v>866</v>
      </c>
      <c r="AF139" s="79">
        <v>1347</v>
      </c>
      <c r="AG139" s="79">
        <v>536</v>
      </c>
      <c r="AH139" s="79">
        <v>394</v>
      </c>
      <c r="AI139" s="79">
        <v>529</v>
      </c>
      <c r="AJ139" s="79">
        <v>5408</v>
      </c>
      <c r="AK139" s="79">
        <v>384</v>
      </c>
      <c r="AL139" s="79">
        <v>5052</v>
      </c>
      <c r="AM139" s="79">
        <v>13266</v>
      </c>
      <c r="AN139" s="79">
        <v>33</v>
      </c>
      <c r="AO139" s="79">
        <v>573</v>
      </c>
      <c r="AP139" s="79">
        <v>1374</v>
      </c>
      <c r="AQ139" s="79">
        <v>11304</v>
      </c>
      <c r="AR139" s="79">
        <v>2681</v>
      </c>
      <c r="AS139" s="79">
        <v>5453</v>
      </c>
      <c r="AT139" s="79">
        <v>3180</v>
      </c>
      <c r="AU139" s="80" t="s">
        <v>496</v>
      </c>
      <c r="AV139" s="79">
        <v>8586</v>
      </c>
      <c r="AW139" s="79">
        <v>18816</v>
      </c>
      <c r="AX139" s="79">
        <v>15821</v>
      </c>
      <c r="AY139" s="79">
        <v>15316</v>
      </c>
      <c r="AZ139" s="79">
        <v>503</v>
      </c>
      <c r="BA139" s="79">
        <v>2901</v>
      </c>
      <c r="BB139" s="79">
        <v>39281</v>
      </c>
      <c r="BC139" s="79">
        <v>143</v>
      </c>
      <c r="BD139" s="79">
        <v>1029</v>
      </c>
      <c r="BE139" s="79">
        <v>3877</v>
      </c>
      <c r="BF139" s="79">
        <v>7241</v>
      </c>
      <c r="BG139" s="79">
        <v>2939</v>
      </c>
      <c r="BH139" s="79">
        <v>671</v>
      </c>
      <c r="BI139" s="79">
        <v>1306</v>
      </c>
      <c r="BJ139" s="79">
        <v>1455</v>
      </c>
      <c r="BK139" s="79">
        <v>863</v>
      </c>
      <c r="BL139" s="79">
        <v>23129</v>
      </c>
      <c r="BM139" s="79">
        <v>15031</v>
      </c>
      <c r="BN139" s="79">
        <v>8339</v>
      </c>
      <c r="BO139" s="79">
        <v>4756</v>
      </c>
    </row>
    <row r="140" spans="1:67" x14ac:dyDescent="0.35">
      <c r="A140" s="78" t="s">
        <v>596</v>
      </c>
      <c r="B140" s="79">
        <v>217843</v>
      </c>
      <c r="C140" s="79">
        <v>193</v>
      </c>
      <c r="D140" s="79">
        <v>185</v>
      </c>
      <c r="E140" s="79">
        <v>8</v>
      </c>
      <c r="F140" s="79">
        <v>90615</v>
      </c>
      <c r="G140" s="79">
        <v>23719</v>
      </c>
      <c r="H140" s="79">
        <v>23632</v>
      </c>
      <c r="I140" s="79">
        <v>87</v>
      </c>
      <c r="J140" s="79">
        <v>64905</v>
      </c>
      <c r="K140" s="79">
        <v>61520</v>
      </c>
      <c r="L140" s="79">
        <v>3385</v>
      </c>
      <c r="M140" s="79">
        <v>453</v>
      </c>
      <c r="N140" s="79">
        <v>66</v>
      </c>
      <c r="O140" s="79">
        <v>1484</v>
      </c>
      <c r="P140" s="80" t="s">
        <v>496</v>
      </c>
      <c r="Q140" s="79">
        <v>1077</v>
      </c>
      <c r="R140" s="79">
        <v>10</v>
      </c>
      <c r="S140" s="79">
        <v>135</v>
      </c>
      <c r="T140" s="79">
        <v>930</v>
      </c>
      <c r="U140" s="79">
        <v>4206</v>
      </c>
      <c r="V140" s="79">
        <v>1991</v>
      </c>
      <c r="W140" s="79">
        <v>973</v>
      </c>
      <c r="X140" s="79">
        <v>715</v>
      </c>
      <c r="Y140" s="79">
        <v>302</v>
      </c>
      <c r="Z140" s="79">
        <v>2218</v>
      </c>
      <c r="AA140" s="79">
        <v>14144</v>
      </c>
      <c r="AB140" s="79">
        <v>5625</v>
      </c>
      <c r="AC140" s="79">
        <v>3633</v>
      </c>
      <c r="AD140" s="79">
        <v>4924</v>
      </c>
      <c r="AE140" s="79">
        <v>1291</v>
      </c>
      <c r="AF140" s="79">
        <v>1438</v>
      </c>
      <c r="AG140" s="79">
        <v>701</v>
      </c>
      <c r="AH140" s="79">
        <v>846</v>
      </c>
      <c r="AI140" s="79">
        <v>478</v>
      </c>
      <c r="AJ140" s="79">
        <v>5570</v>
      </c>
      <c r="AK140" s="79">
        <v>355</v>
      </c>
      <c r="AL140" s="79">
        <v>5233</v>
      </c>
      <c r="AM140" s="79">
        <v>14725</v>
      </c>
      <c r="AN140" s="79">
        <v>52</v>
      </c>
      <c r="AO140" s="79">
        <v>616</v>
      </c>
      <c r="AP140" s="79">
        <v>1434</v>
      </c>
      <c r="AQ140" s="79">
        <v>12632</v>
      </c>
      <c r="AR140" s="79">
        <v>3137</v>
      </c>
      <c r="AS140" s="79">
        <v>6561</v>
      </c>
      <c r="AT140" s="79">
        <v>2939</v>
      </c>
      <c r="AU140" s="80" t="s">
        <v>496</v>
      </c>
      <c r="AV140" s="79">
        <v>8669</v>
      </c>
      <c r="AW140" s="79">
        <v>37192</v>
      </c>
      <c r="AX140" s="79">
        <v>30265</v>
      </c>
      <c r="AY140" s="79">
        <v>29526</v>
      </c>
      <c r="AZ140" s="79">
        <v>750</v>
      </c>
      <c r="BA140" s="79">
        <v>6832</v>
      </c>
      <c r="BB140" s="79">
        <v>41974</v>
      </c>
      <c r="BC140" s="79">
        <v>2265</v>
      </c>
      <c r="BD140" s="79">
        <v>1248</v>
      </c>
      <c r="BE140" s="79">
        <v>4054</v>
      </c>
      <c r="BF140" s="79">
        <v>6573</v>
      </c>
      <c r="BG140" s="79">
        <v>2956</v>
      </c>
      <c r="BH140" s="79">
        <v>663</v>
      </c>
      <c r="BI140" s="79">
        <v>1161</v>
      </c>
      <c r="BJ140" s="79">
        <v>968</v>
      </c>
      <c r="BK140" s="79">
        <v>826</v>
      </c>
      <c r="BL140" s="79">
        <v>23531</v>
      </c>
      <c r="BM140" s="79">
        <v>15206</v>
      </c>
      <c r="BN140" s="79">
        <v>8512</v>
      </c>
      <c r="BO140" s="79">
        <v>4662</v>
      </c>
    </row>
    <row r="141" spans="1:67" x14ac:dyDescent="0.35">
      <c r="A141" s="78" t="s">
        <v>597</v>
      </c>
      <c r="B141" s="79">
        <v>233848</v>
      </c>
      <c r="C141" s="79">
        <v>250</v>
      </c>
      <c r="D141" s="79">
        <v>239</v>
      </c>
      <c r="E141" s="79">
        <v>11</v>
      </c>
      <c r="F141" s="79">
        <v>90894</v>
      </c>
      <c r="G141" s="79">
        <v>23746</v>
      </c>
      <c r="H141" s="79">
        <v>23657</v>
      </c>
      <c r="I141" s="79">
        <v>89</v>
      </c>
      <c r="J141" s="79">
        <v>65090</v>
      </c>
      <c r="K141" s="79">
        <v>61701</v>
      </c>
      <c r="L141" s="79">
        <v>3389</v>
      </c>
      <c r="M141" s="79">
        <v>541</v>
      </c>
      <c r="N141" s="79">
        <v>72</v>
      </c>
      <c r="O141" s="79">
        <v>1451</v>
      </c>
      <c r="P141" s="80" t="s">
        <v>496</v>
      </c>
      <c r="Q141" s="79">
        <v>1094</v>
      </c>
      <c r="R141" s="79">
        <v>12</v>
      </c>
      <c r="S141" s="79">
        <v>149</v>
      </c>
      <c r="T141" s="79">
        <v>932</v>
      </c>
      <c r="U141" s="79">
        <v>4414</v>
      </c>
      <c r="V141" s="79">
        <v>2129</v>
      </c>
      <c r="W141" s="79">
        <v>1111</v>
      </c>
      <c r="X141" s="79">
        <v>670</v>
      </c>
      <c r="Y141" s="79">
        <v>341</v>
      </c>
      <c r="Z141" s="79">
        <v>2286</v>
      </c>
      <c r="AA141" s="79">
        <v>17660</v>
      </c>
      <c r="AB141" s="79">
        <v>5802</v>
      </c>
      <c r="AC141" s="79">
        <v>3946</v>
      </c>
      <c r="AD141" s="79">
        <v>7928</v>
      </c>
      <c r="AE141" s="79">
        <v>1754</v>
      </c>
      <c r="AF141" s="79">
        <v>1564</v>
      </c>
      <c r="AG141" s="79">
        <v>2480</v>
      </c>
      <c r="AH141" s="79">
        <v>1416</v>
      </c>
      <c r="AI141" s="79">
        <v>618</v>
      </c>
      <c r="AJ141" s="79">
        <v>5611</v>
      </c>
      <c r="AK141" s="79">
        <v>336</v>
      </c>
      <c r="AL141" s="79">
        <v>5286</v>
      </c>
      <c r="AM141" s="79">
        <v>15976</v>
      </c>
      <c r="AN141" s="79">
        <v>47</v>
      </c>
      <c r="AO141" s="79">
        <v>683</v>
      </c>
      <c r="AP141" s="79">
        <v>1538</v>
      </c>
      <c r="AQ141" s="79">
        <v>13716</v>
      </c>
      <c r="AR141" s="79">
        <v>3215</v>
      </c>
      <c r="AS141" s="79">
        <v>7457</v>
      </c>
      <c r="AT141" s="79">
        <v>3045</v>
      </c>
      <c r="AU141" s="80" t="s">
        <v>496</v>
      </c>
      <c r="AV141" s="79">
        <v>8768</v>
      </c>
      <c r="AW141" s="79">
        <v>46404</v>
      </c>
      <c r="AX141" s="79">
        <v>36520</v>
      </c>
      <c r="AY141" s="79">
        <v>35607</v>
      </c>
      <c r="AZ141" s="79">
        <v>924</v>
      </c>
      <c r="BA141" s="79">
        <v>9874</v>
      </c>
      <c r="BB141" s="79">
        <v>43671</v>
      </c>
      <c r="BC141" s="79">
        <v>2109</v>
      </c>
      <c r="BD141" s="79">
        <v>1410</v>
      </c>
      <c r="BE141" s="79">
        <v>4202</v>
      </c>
      <c r="BF141" s="79">
        <v>7291</v>
      </c>
      <c r="BG141" s="79">
        <v>3435</v>
      </c>
      <c r="BH141" s="79">
        <v>658</v>
      </c>
      <c r="BI141" s="79">
        <v>1105</v>
      </c>
      <c r="BJ141" s="79">
        <v>1116</v>
      </c>
      <c r="BK141" s="79">
        <v>978</v>
      </c>
      <c r="BL141" s="79">
        <v>23628</v>
      </c>
      <c r="BM141" s="79">
        <v>15151</v>
      </c>
      <c r="BN141" s="79">
        <v>8589</v>
      </c>
      <c r="BO141" s="79">
        <v>5194</v>
      </c>
    </row>
    <row r="142" spans="1:67" x14ac:dyDescent="0.35">
      <c r="A142" s="78" t="s">
        <v>598</v>
      </c>
      <c r="B142" s="63">
        <v>230253</v>
      </c>
      <c r="C142" s="63">
        <v>111</v>
      </c>
      <c r="D142" s="63">
        <v>102</v>
      </c>
      <c r="E142" s="63">
        <v>8</v>
      </c>
      <c r="F142" s="63">
        <v>90998</v>
      </c>
      <c r="G142" s="63">
        <v>23769</v>
      </c>
      <c r="H142" s="63">
        <v>23678</v>
      </c>
      <c r="I142" s="63">
        <v>92</v>
      </c>
      <c r="J142" s="63">
        <v>65279</v>
      </c>
      <c r="K142" s="63">
        <v>61875</v>
      </c>
      <c r="L142" s="63">
        <v>3404</v>
      </c>
      <c r="M142" s="63">
        <v>472</v>
      </c>
      <c r="N142" s="63">
        <v>67</v>
      </c>
      <c r="O142" s="63">
        <v>1424</v>
      </c>
      <c r="P142" s="64" t="s">
        <v>496</v>
      </c>
      <c r="Q142" s="63">
        <v>1191</v>
      </c>
      <c r="R142" s="63">
        <v>10</v>
      </c>
      <c r="S142" s="63">
        <v>196</v>
      </c>
      <c r="T142" s="63">
        <v>985</v>
      </c>
      <c r="U142" s="63">
        <v>4702</v>
      </c>
      <c r="V142" s="63">
        <v>2195</v>
      </c>
      <c r="W142" s="63">
        <v>981</v>
      </c>
      <c r="X142" s="63">
        <v>879</v>
      </c>
      <c r="Y142" s="63">
        <v>336</v>
      </c>
      <c r="Z142" s="63">
        <v>2513</v>
      </c>
      <c r="AA142" s="63">
        <v>19747</v>
      </c>
      <c r="AB142" s="63">
        <v>5556</v>
      </c>
      <c r="AC142" s="63">
        <v>3838</v>
      </c>
      <c r="AD142" s="63">
        <v>10353</v>
      </c>
      <c r="AE142" s="63">
        <v>1829</v>
      </c>
      <c r="AF142" s="63">
        <v>1647</v>
      </c>
      <c r="AG142" s="63">
        <v>5053</v>
      </c>
      <c r="AH142" s="63">
        <v>968</v>
      </c>
      <c r="AI142" s="63">
        <v>838</v>
      </c>
      <c r="AJ142" s="63">
        <v>5724</v>
      </c>
      <c r="AK142" s="63">
        <v>349</v>
      </c>
      <c r="AL142" s="63">
        <v>5388</v>
      </c>
      <c r="AM142" s="63">
        <v>16420</v>
      </c>
      <c r="AN142" s="63">
        <v>39</v>
      </c>
      <c r="AO142" s="63">
        <v>696</v>
      </c>
      <c r="AP142" s="63">
        <v>1572</v>
      </c>
      <c r="AQ142" s="63">
        <v>14121</v>
      </c>
      <c r="AR142" s="63">
        <v>3591</v>
      </c>
      <c r="AS142" s="63">
        <v>7454</v>
      </c>
      <c r="AT142" s="63">
        <v>3077</v>
      </c>
      <c r="AU142" s="64" t="s">
        <v>496</v>
      </c>
      <c r="AV142" s="63">
        <v>8654</v>
      </c>
      <c r="AW142" s="63">
        <v>40604</v>
      </c>
      <c r="AX142" s="63">
        <v>31065</v>
      </c>
      <c r="AY142" s="63">
        <v>30176</v>
      </c>
      <c r="AZ142" s="63">
        <v>892</v>
      </c>
      <c r="BA142" s="63">
        <v>9598</v>
      </c>
      <c r="BB142" s="63">
        <v>42544</v>
      </c>
      <c r="BC142" s="63">
        <v>1953</v>
      </c>
      <c r="BD142" s="63">
        <v>1410</v>
      </c>
      <c r="BE142" s="63">
        <v>4328</v>
      </c>
      <c r="BF142" s="63">
        <v>6114</v>
      </c>
      <c r="BG142" s="63">
        <v>2773</v>
      </c>
      <c r="BH142" s="63">
        <v>693</v>
      </c>
      <c r="BI142" s="63">
        <v>1133</v>
      </c>
      <c r="BJ142" s="79">
        <v>714</v>
      </c>
      <c r="BK142" s="79">
        <v>802</v>
      </c>
      <c r="BL142" s="63">
        <v>23721</v>
      </c>
      <c r="BM142" s="63">
        <v>15059</v>
      </c>
      <c r="BN142" s="63">
        <v>8680</v>
      </c>
      <c r="BO142" s="63">
        <v>5171</v>
      </c>
    </row>
    <row r="143" spans="1:67" x14ac:dyDescent="0.35">
      <c r="A143" s="78" t="s">
        <v>599</v>
      </c>
      <c r="B143" s="63">
        <v>234726</v>
      </c>
      <c r="C143" s="63">
        <v>230</v>
      </c>
      <c r="D143" s="63">
        <v>216</v>
      </c>
      <c r="E143" s="63">
        <v>14</v>
      </c>
      <c r="F143" s="63">
        <v>91333</v>
      </c>
      <c r="G143" s="63">
        <v>23846</v>
      </c>
      <c r="H143" s="63">
        <v>23752</v>
      </c>
      <c r="I143" s="63">
        <v>94</v>
      </c>
      <c r="J143" s="63">
        <v>65516</v>
      </c>
      <c r="K143" s="63">
        <v>62076</v>
      </c>
      <c r="L143" s="63">
        <v>3440</v>
      </c>
      <c r="M143" s="63">
        <v>508</v>
      </c>
      <c r="N143" s="63">
        <v>71</v>
      </c>
      <c r="O143" s="63">
        <v>1402</v>
      </c>
      <c r="P143" s="64" t="s">
        <v>496</v>
      </c>
      <c r="Q143" s="63">
        <v>1160</v>
      </c>
      <c r="R143" s="63">
        <v>10</v>
      </c>
      <c r="S143" s="63">
        <v>228</v>
      </c>
      <c r="T143" s="63">
        <v>920</v>
      </c>
      <c r="U143" s="63">
        <v>4604</v>
      </c>
      <c r="V143" s="63">
        <v>2224</v>
      </c>
      <c r="W143" s="63">
        <v>966</v>
      </c>
      <c r="X143" s="63">
        <v>967</v>
      </c>
      <c r="Y143" s="63">
        <v>292</v>
      </c>
      <c r="Z143" s="63">
        <v>2382</v>
      </c>
      <c r="AA143" s="63">
        <v>20758</v>
      </c>
      <c r="AB143" s="63">
        <v>5069</v>
      </c>
      <c r="AC143" s="63">
        <v>3988</v>
      </c>
      <c r="AD143" s="63">
        <v>11709</v>
      </c>
      <c r="AE143" s="63">
        <v>2108</v>
      </c>
      <c r="AF143" s="63">
        <v>1783</v>
      </c>
      <c r="AG143" s="63">
        <v>5411</v>
      </c>
      <c r="AH143" s="63">
        <v>1275</v>
      </c>
      <c r="AI143" s="63">
        <v>1093</v>
      </c>
      <c r="AJ143" s="63">
        <v>5586</v>
      </c>
      <c r="AK143" s="63">
        <v>298</v>
      </c>
      <c r="AL143" s="63">
        <v>5293</v>
      </c>
      <c r="AM143" s="63">
        <v>16756</v>
      </c>
      <c r="AN143" s="63">
        <v>40</v>
      </c>
      <c r="AO143" s="63">
        <v>749</v>
      </c>
      <c r="AP143" s="63">
        <v>1584</v>
      </c>
      <c r="AQ143" s="63">
        <v>14388</v>
      </c>
      <c r="AR143" s="63">
        <v>3751</v>
      </c>
      <c r="AS143" s="63">
        <v>7561</v>
      </c>
      <c r="AT143" s="63">
        <v>3077</v>
      </c>
      <c r="AU143" s="64" t="s">
        <v>496</v>
      </c>
      <c r="AV143" s="63">
        <v>8845</v>
      </c>
      <c r="AW143" s="63">
        <v>43119</v>
      </c>
      <c r="AX143" s="63">
        <v>33729</v>
      </c>
      <c r="AY143" s="63">
        <v>32793</v>
      </c>
      <c r="AZ143" s="63">
        <v>941</v>
      </c>
      <c r="BA143" s="63">
        <v>9388</v>
      </c>
      <c r="BB143" s="63">
        <v>42764</v>
      </c>
      <c r="BC143" s="63">
        <v>1833</v>
      </c>
      <c r="BD143" s="63">
        <v>1511</v>
      </c>
      <c r="BE143" s="63">
        <v>4472</v>
      </c>
      <c r="BF143" s="63">
        <v>6290</v>
      </c>
      <c r="BG143" s="63">
        <v>3194</v>
      </c>
      <c r="BH143" s="63">
        <v>440</v>
      </c>
      <c r="BI143" s="63">
        <v>916</v>
      </c>
      <c r="BJ143" s="79">
        <v>1163</v>
      </c>
      <c r="BK143" s="79">
        <v>579</v>
      </c>
      <c r="BL143" s="63">
        <v>23529</v>
      </c>
      <c r="BM143" s="63">
        <v>15055</v>
      </c>
      <c r="BN143" s="63">
        <v>8570</v>
      </c>
      <c r="BO143" s="63">
        <v>5225</v>
      </c>
    </row>
    <row r="144" spans="1:67" x14ac:dyDescent="0.35">
      <c r="A144" s="78" t="s">
        <v>600</v>
      </c>
      <c r="B144" s="63">
        <v>241255</v>
      </c>
      <c r="C144" s="63">
        <v>318</v>
      </c>
      <c r="D144" s="63">
        <v>302</v>
      </c>
      <c r="E144" s="63">
        <v>16</v>
      </c>
      <c r="F144" s="63">
        <v>91930</v>
      </c>
      <c r="G144" s="63">
        <v>24070</v>
      </c>
      <c r="H144" s="63">
        <v>23975</v>
      </c>
      <c r="I144" s="63">
        <v>95</v>
      </c>
      <c r="J144" s="63">
        <v>65820</v>
      </c>
      <c r="K144" s="63">
        <v>62314</v>
      </c>
      <c r="L144" s="63">
        <v>3506</v>
      </c>
      <c r="M144" s="63">
        <v>549</v>
      </c>
      <c r="N144" s="63">
        <v>93</v>
      </c>
      <c r="O144" s="63">
        <v>1403</v>
      </c>
      <c r="P144" s="64" t="s">
        <v>496</v>
      </c>
      <c r="Q144" s="63">
        <v>1266</v>
      </c>
      <c r="R144" s="63">
        <v>11</v>
      </c>
      <c r="S144" s="63">
        <v>229</v>
      </c>
      <c r="T144" s="63">
        <v>1025</v>
      </c>
      <c r="U144" s="63">
        <v>4624</v>
      </c>
      <c r="V144" s="63">
        <v>2187</v>
      </c>
      <c r="W144" s="63">
        <v>972</v>
      </c>
      <c r="X144" s="63">
        <v>928</v>
      </c>
      <c r="Y144" s="63">
        <v>287</v>
      </c>
      <c r="Z144" s="63">
        <v>2441</v>
      </c>
      <c r="AA144" s="63">
        <v>22536</v>
      </c>
      <c r="AB144" s="63">
        <v>5012</v>
      </c>
      <c r="AC144" s="63">
        <v>3998</v>
      </c>
      <c r="AD144" s="63">
        <v>13540</v>
      </c>
      <c r="AE144" s="63">
        <v>2515</v>
      </c>
      <c r="AF144" s="63">
        <v>1786</v>
      </c>
      <c r="AG144" s="63">
        <v>5844</v>
      </c>
      <c r="AH144" s="63">
        <v>1983</v>
      </c>
      <c r="AI144" s="63">
        <v>1374</v>
      </c>
      <c r="AJ144" s="63">
        <v>5630</v>
      </c>
      <c r="AK144" s="63">
        <v>302</v>
      </c>
      <c r="AL144" s="63">
        <v>5335</v>
      </c>
      <c r="AM144" s="63">
        <v>17236</v>
      </c>
      <c r="AN144" s="63">
        <v>39</v>
      </c>
      <c r="AO144" s="63">
        <v>817</v>
      </c>
      <c r="AP144" s="63">
        <v>1543</v>
      </c>
      <c r="AQ144" s="63">
        <v>14831</v>
      </c>
      <c r="AR144" s="63">
        <v>3775</v>
      </c>
      <c r="AS144" s="63">
        <v>7920</v>
      </c>
      <c r="AT144" s="63">
        <v>3137</v>
      </c>
      <c r="AU144" s="64" t="s">
        <v>496</v>
      </c>
      <c r="AV144" s="63">
        <v>9234</v>
      </c>
      <c r="AW144" s="63">
        <v>45420</v>
      </c>
      <c r="AX144" s="63">
        <v>34724</v>
      </c>
      <c r="AY144" s="63">
        <v>33846</v>
      </c>
      <c r="AZ144" s="63">
        <v>888</v>
      </c>
      <c r="BA144" s="63">
        <v>10724</v>
      </c>
      <c r="BB144" s="63">
        <v>43477</v>
      </c>
      <c r="BC144" s="63">
        <v>1914</v>
      </c>
      <c r="BD144" s="63">
        <v>1556</v>
      </c>
      <c r="BE144" s="63">
        <v>4654</v>
      </c>
      <c r="BF144" s="63">
        <v>5977</v>
      </c>
      <c r="BG144" s="63">
        <v>2776</v>
      </c>
      <c r="BH144" s="63">
        <v>635</v>
      </c>
      <c r="BI144" s="63">
        <v>863</v>
      </c>
      <c r="BJ144" s="63">
        <v>611</v>
      </c>
      <c r="BK144" s="63">
        <v>1095</v>
      </c>
      <c r="BL144" s="63">
        <v>24322</v>
      </c>
      <c r="BM144" s="63">
        <v>14993</v>
      </c>
      <c r="BN144" s="63">
        <v>9109</v>
      </c>
      <c r="BO144" s="63">
        <v>5218</v>
      </c>
    </row>
    <row r="145" spans="1:67" x14ac:dyDescent="0.35">
      <c r="A145" s="78" t="s">
        <v>601</v>
      </c>
      <c r="B145" s="63">
        <v>241395</v>
      </c>
      <c r="C145" s="63">
        <v>243</v>
      </c>
      <c r="D145" s="63">
        <v>226</v>
      </c>
      <c r="E145" s="63">
        <v>17</v>
      </c>
      <c r="F145" s="63">
        <v>92075</v>
      </c>
      <c r="G145" s="63">
        <v>24127</v>
      </c>
      <c r="H145" s="63">
        <v>24030</v>
      </c>
      <c r="I145" s="63">
        <v>97</v>
      </c>
      <c r="J145" s="63">
        <v>65924</v>
      </c>
      <c r="K145" s="63">
        <v>62373</v>
      </c>
      <c r="L145" s="63">
        <v>3550</v>
      </c>
      <c r="M145" s="63">
        <v>549</v>
      </c>
      <c r="N145" s="63">
        <v>85</v>
      </c>
      <c r="O145" s="63">
        <v>1398</v>
      </c>
      <c r="P145" s="64" t="s">
        <v>496</v>
      </c>
      <c r="Q145" s="63">
        <v>1184</v>
      </c>
      <c r="R145" s="63">
        <v>12</v>
      </c>
      <c r="S145" s="63">
        <v>222</v>
      </c>
      <c r="T145" s="63">
        <v>948</v>
      </c>
      <c r="U145" s="63">
        <v>4699</v>
      </c>
      <c r="V145" s="63">
        <v>2335</v>
      </c>
      <c r="W145" s="63">
        <v>1000</v>
      </c>
      <c r="X145" s="63">
        <v>1027</v>
      </c>
      <c r="Y145" s="63">
        <v>307</v>
      </c>
      <c r="Z145" s="63">
        <v>2364</v>
      </c>
      <c r="AA145" s="63">
        <v>23068</v>
      </c>
      <c r="AB145" s="63">
        <v>4975</v>
      </c>
      <c r="AC145" s="63">
        <v>3985</v>
      </c>
      <c r="AD145" s="63">
        <v>14123</v>
      </c>
      <c r="AE145" s="63">
        <v>2784</v>
      </c>
      <c r="AF145" s="63">
        <v>1748</v>
      </c>
      <c r="AG145" s="63">
        <v>6405</v>
      </c>
      <c r="AH145" s="63">
        <v>2106</v>
      </c>
      <c r="AI145" s="63">
        <v>1055</v>
      </c>
      <c r="AJ145" s="63">
        <v>5691</v>
      </c>
      <c r="AK145" s="63">
        <v>287</v>
      </c>
      <c r="AL145" s="63">
        <v>5407</v>
      </c>
      <c r="AM145" s="63">
        <v>17499</v>
      </c>
      <c r="AN145" s="63">
        <v>34</v>
      </c>
      <c r="AO145" s="63">
        <v>812</v>
      </c>
      <c r="AP145" s="63">
        <v>1592</v>
      </c>
      <c r="AQ145" s="63">
        <v>15058</v>
      </c>
      <c r="AR145" s="63">
        <v>4118</v>
      </c>
      <c r="AS145" s="63">
        <v>7716</v>
      </c>
      <c r="AT145" s="63">
        <v>3226</v>
      </c>
      <c r="AU145" s="64" t="s">
        <v>496</v>
      </c>
      <c r="AV145" s="63">
        <v>9520</v>
      </c>
      <c r="AW145" s="63">
        <v>44795</v>
      </c>
      <c r="AX145" s="63">
        <v>34409</v>
      </c>
      <c r="AY145" s="63">
        <v>33417</v>
      </c>
      <c r="AZ145" s="63">
        <v>996</v>
      </c>
      <c r="BA145" s="63">
        <v>10399</v>
      </c>
      <c r="BB145" s="63">
        <v>42889</v>
      </c>
      <c r="BC145" s="63">
        <v>1856</v>
      </c>
      <c r="BD145" s="63">
        <v>1588</v>
      </c>
      <c r="BE145" s="63">
        <v>4696</v>
      </c>
      <c r="BF145" s="63">
        <v>5734</v>
      </c>
      <c r="BG145" s="63">
        <v>2673</v>
      </c>
      <c r="BH145" s="63">
        <v>501</v>
      </c>
      <c r="BI145" s="63">
        <v>1104</v>
      </c>
      <c r="BJ145" s="63">
        <v>781</v>
      </c>
      <c r="BK145" s="63">
        <v>673</v>
      </c>
      <c r="BL145" s="63">
        <v>23794</v>
      </c>
      <c r="BM145" s="63">
        <v>14844</v>
      </c>
      <c r="BN145" s="63">
        <v>8835</v>
      </c>
      <c r="BO145" s="63">
        <v>5298</v>
      </c>
    </row>
    <row r="146" spans="1:67" x14ac:dyDescent="0.35">
      <c r="A146" s="78" t="s">
        <v>602</v>
      </c>
      <c r="B146" s="63">
        <v>245804</v>
      </c>
      <c r="C146" s="63">
        <v>243</v>
      </c>
      <c r="D146" s="63">
        <v>230</v>
      </c>
      <c r="E146" s="63">
        <v>12</v>
      </c>
      <c r="F146" s="63">
        <v>92468</v>
      </c>
      <c r="G146" s="63">
        <v>24365</v>
      </c>
      <c r="H146" s="63">
        <v>24266</v>
      </c>
      <c r="I146" s="63">
        <v>99</v>
      </c>
      <c r="J146" s="63">
        <v>65965</v>
      </c>
      <c r="K146" s="63">
        <v>62338</v>
      </c>
      <c r="L146" s="63">
        <v>3628</v>
      </c>
      <c r="M146" s="63">
        <v>623</v>
      </c>
      <c r="N146" s="63">
        <v>100</v>
      </c>
      <c r="O146" s="63">
        <v>1413</v>
      </c>
      <c r="P146" s="64" t="s">
        <v>496</v>
      </c>
      <c r="Q146" s="63">
        <v>1143</v>
      </c>
      <c r="R146" s="63">
        <v>12</v>
      </c>
      <c r="S146" s="63">
        <v>222</v>
      </c>
      <c r="T146" s="63">
        <v>907</v>
      </c>
      <c r="U146" s="63">
        <v>4826</v>
      </c>
      <c r="V146" s="63">
        <v>2447</v>
      </c>
      <c r="W146" s="63">
        <v>1005</v>
      </c>
      <c r="X146" s="63">
        <v>1138</v>
      </c>
      <c r="Y146" s="63">
        <v>305</v>
      </c>
      <c r="Z146" s="63">
        <v>2378</v>
      </c>
      <c r="AA146" s="63">
        <v>26027</v>
      </c>
      <c r="AB146" s="63">
        <v>5188</v>
      </c>
      <c r="AC146" s="63">
        <v>4141</v>
      </c>
      <c r="AD146" s="63">
        <v>16705</v>
      </c>
      <c r="AE146" s="63">
        <v>2954</v>
      </c>
      <c r="AF146" s="63">
        <v>1765</v>
      </c>
      <c r="AG146" s="63">
        <v>7867</v>
      </c>
      <c r="AH146" s="63">
        <v>3081</v>
      </c>
      <c r="AI146" s="63">
        <v>1119</v>
      </c>
      <c r="AJ146" s="63">
        <v>5915</v>
      </c>
      <c r="AK146" s="63">
        <v>247</v>
      </c>
      <c r="AL146" s="63">
        <v>5663</v>
      </c>
      <c r="AM146" s="63">
        <v>18051</v>
      </c>
      <c r="AN146" s="63">
        <v>32</v>
      </c>
      <c r="AO146" s="63">
        <v>827</v>
      </c>
      <c r="AP146" s="63">
        <v>1700</v>
      </c>
      <c r="AQ146" s="63">
        <v>15495</v>
      </c>
      <c r="AR146" s="63">
        <v>4214</v>
      </c>
      <c r="AS146" s="63">
        <v>8294</v>
      </c>
      <c r="AT146" s="63">
        <v>2986</v>
      </c>
      <c r="AU146" s="64" t="s">
        <v>496</v>
      </c>
      <c r="AV146" s="63">
        <v>9637</v>
      </c>
      <c r="AW146" s="63">
        <v>45248</v>
      </c>
      <c r="AX146" s="63">
        <v>34802</v>
      </c>
      <c r="AY146" s="63">
        <v>33831</v>
      </c>
      <c r="AZ146" s="63">
        <v>976</v>
      </c>
      <c r="BA146" s="63">
        <v>10457</v>
      </c>
      <c r="BB146" s="63">
        <v>42298</v>
      </c>
      <c r="BC146" s="63">
        <v>2045</v>
      </c>
      <c r="BD146" s="63">
        <v>1605</v>
      </c>
      <c r="BE146" s="63">
        <v>4641</v>
      </c>
      <c r="BF146" s="63">
        <v>5434</v>
      </c>
      <c r="BG146" s="63">
        <v>2585</v>
      </c>
      <c r="BH146" s="63">
        <v>555</v>
      </c>
      <c r="BI146" s="63">
        <v>717</v>
      </c>
      <c r="BJ146" s="63">
        <v>830</v>
      </c>
      <c r="BK146" s="63">
        <v>748</v>
      </c>
      <c r="BL146" s="63">
        <v>23030</v>
      </c>
      <c r="BM146" s="63">
        <v>14593</v>
      </c>
      <c r="BN146" s="63">
        <v>8447</v>
      </c>
      <c r="BO146" s="63">
        <v>5461</v>
      </c>
    </row>
    <row r="147" spans="1:67" x14ac:dyDescent="0.35">
      <c r="A147" s="78" t="s">
        <v>603</v>
      </c>
      <c r="B147" s="63">
        <v>244758</v>
      </c>
      <c r="C147" s="63">
        <v>183</v>
      </c>
      <c r="D147" s="63">
        <v>174</v>
      </c>
      <c r="E147" s="63">
        <v>9</v>
      </c>
      <c r="F147" s="63">
        <v>92624</v>
      </c>
      <c r="G147" s="63">
        <v>24274</v>
      </c>
      <c r="H147" s="63">
        <v>24177</v>
      </c>
      <c r="I147" s="63">
        <v>97</v>
      </c>
      <c r="J147" s="63">
        <v>66230</v>
      </c>
      <c r="K147" s="63">
        <v>62654</v>
      </c>
      <c r="L147" s="63">
        <v>3576</v>
      </c>
      <c r="M147" s="63">
        <v>620</v>
      </c>
      <c r="N147" s="63">
        <v>93</v>
      </c>
      <c r="O147" s="63">
        <v>1408</v>
      </c>
      <c r="P147" s="64" t="s">
        <v>496</v>
      </c>
      <c r="Q147" s="63">
        <v>1240</v>
      </c>
      <c r="R147" s="63">
        <v>5</v>
      </c>
      <c r="S147" s="63">
        <v>219</v>
      </c>
      <c r="T147" s="63">
        <v>1016</v>
      </c>
      <c r="U147" s="63">
        <v>4897</v>
      </c>
      <c r="V147" s="63">
        <v>2435</v>
      </c>
      <c r="W147" s="63">
        <v>1092</v>
      </c>
      <c r="X147" s="63">
        <v>1022</v>
      </c>
      <c r="Y147" s="63">
        <v>320</v>
      </c>
      <c r="Z147" s="63">
        <v>2463</v>
      </c>
      <c r="AA147" s="63">
        <v>25213</v>
      </c>
      <c r="AB147" s="63">
        <v>5557</v>
      </c>
      <c r="AC147" s="63">
        <v>3923</v>
      </c>
      <c r="AD147" s="63">
        <v>15739</v>
      </c>
      <c r="AE147" s="63">
        <v>2932</v>
      </c>
      <c r="AF147" s="63">
        <v>1731</v>
      </c>
      <c r="AG147" s="63">
        <v>7840</v>
      </c>
      <c r="AH147" s="63">
        <v>2207</v>
      </c>
      <c r="AI147" s="63">
        <v>1050</v>
      </c>
      <c r="AJ147" s="63">
        <v>6161</v>
      </c>
      <c r="AK147" s="63">
        <v>274</v>
      </c>
      <c r="AL147" s="63">
        <v>5885</v>
      </c>
      <c r="AM147" s="63">
        <v>18378</v>
      </c>
      <c r="AN147" s="63">
        <v>26</v>
      </c>
      <c r="AO147" s="63">
        <v>826</v>
      </c>
      <c r="AP147" s="63">
        <v>1691</v>
      </c>
      <c r="AQ147" s="63">
        <v>15835</v>
      </c>
      <c r="AR147" s="63">
        <v>4101</v>
      </c>
      <c r="AS147" s="63">
        <v>8790</v>
      </c>
      <c r="AT147" s="63">
        <v>2943</v>
      </c>
      <c r="AU147" s="64" t="s">
        <v>496</v>
      </c>
      <c r="AV147" s="63">
        <v>9679</v>
      </c>
      <c r="AW147" s="63">
        <v>44461</v>
      </c>
      <c r="AX147" s="63">
        <v>34368</v>
      </c>
      <c r="AY147" s="63">
        <v>33320</v>
      </c>
      <c r="AZ147" s="63">
        <v>1049</v>
      </c>
      <c r="BA147" s="63">
        <v>10101</v>
      </c>
      <c r="BB147" s="63">
        <v>41954</v>
      </c>
      <c r="BC147" s="63">
        <v>2077</v>
      </c>
      <c r="BD147" s="63">
        <v>1573</v>
      </c>
      <c r="BE147" s="63">
        <v>4722</v>
      </c>
      <c r="BF147" s="63">
        <v>4720</v>
      </c>
      <c r="BG147" s="63">
        <v>2435</v>
      </c>
      <c r="BH147" s="63">
        <v>582</v>
      </c>
      <c r="BI147" s="63">
        <v>639</v>
      </c>
      <c r="BJ147" s="63">
        <v>751</v>
      </c>
      <c r="BK147" s="63">
        <v>315</v>
      </c>
      <c r="BL147" s="63">
        <v>23195</v>
      </c>
      <c r="BM147" s="63">
        <v>14713</v>
      </c>
      <c r="BN147" s="63">
        <v>8470</v>
      </c>
      <c r="BO147" s="63">
        <v>5612</v>
      </c>
    </row>
    <row r="148" spans="1:67" x14ac:dyDescent="0.35">
      <c r="A148" s="78" t="s">
        <v>604</v>
      </c>
      <c r="B148" s="63">
        <v>245481</v>
      </c>
      <c r="C148" s="63">
        <v>224</v>
      </c>
      <c r="D148" s="63">
        <v>214</v>
      </c>
      <c r="E148" s="63">
        <v>9</v>
      </c>
      <c r="F148" s="63">
        <v>92850</v>
      </c>
      <c r="G148" s="63">
        <v>24267</v>
      </c>
      <c r="H148" s="63">
        <v>24169</v>
      </c>
      <c r="I148" s="63">
        <v>98</v>
      </c>
      <c r="J148" s="63">
        <v>66446</v>
      </c>
      <c r="K148" s="63">
        <v>62891</v>
      </c>
      <c r="L148" s="63">
        <v>3556</v>
      </c>
      <c r="M148" s="63">
        <v>645</v>
      </c>
      <c r="N148" s="63">
        <v>83</v>
      </c>
      <c r="O148" s="63">
        <v>1410</v>
      </c>
      <c r="P148" s="64" t="s">
        <v>496</v>
      </c>
      <c r="Q148" s="63">
        <v>1236</v>
      </c>
      <c r="R148" s="63">
        <v>15</v>
      </c>
      <c r="S148" s="63">
        <v>225</v>
      </c>
      <c r="T148" s="63">
        <v>995</v>
      </c>
      <c r="U148" s="63">
        <v>4886</v>
      </c>
      <c r="V148" s="63">
        <v>2459</v>
      </c>
      <c r="W148" s="63">
        <v>1104</v>
      </c>
      <c r="X148" s="63">
        <v>1030</v>
      </c>
      <c r="Y148" s="63">
        <v>324</v>
      </c>
      <c r="Z148" s="63">
        <v>2427</v>
      </c>
      <c r="AA148" s="63">
        <v>25794</v>
      </c>
      <c r="AB148" s="63">
        <v>5768</v>
      </c>
      <c r="AC148" s="63">
        <v>3910</v>
      </c>
      <c r="AD148" s="63">
        <v>16113</v>
      </c>
      <c r="AE148" s="63">
        <v>3118</v>
      </c>
      <c r="AF148" s="63">
        <v>1701</v>
      </c>
      <c r="AG148" s="63">
        <v>7682</v>
      </c>
      <c r="AH148" s="63">
        <v>2477</v>
      </c>
      <c r="AI148" s="63">
        <v>1145</v>
      </c>
      <c r="AJ148" s="63">
        <v>6202</v>
      </c>
      <c r="AK148" s="63">
        <v>296</v>
      </c>
      <c r="AL148" s="63">
        <v>5908</v>
      </c>
      <c r="AM148" s="63">
        <v>18094</v>
      </c>
      <c r="AN148" s="63">
        <v>25</v>
      </c>
      <c r="AO148" s="63">
        <v>809</v>
      </c>
      <c r="AP148" s="63">
        <v>1676</v>
      </c>
      <c r="AQ148" s="63">
        <v>15585</v>
      </c>
      <c r="AR148" s="63">
        <v>4192</v>
      </c>
      <c r="AS148" s="63">
        <v>8602</v>
      </c>
      <c r="AT148" s="63">
        <v>2791</v>
      </c>
      <c r="AU148" s="64" t="s">
        <v>496</v>
      </c>
      <c r="AV148" s="63">
        <v>9907</v>
      </c>
      <c r="AW148" s="63">
        <v>44121</v>
      </c>
      <c r="AX148" s="63">
        <v>34539</v>
      </c>
      <c r="AY148" s="63">
        <v>33489</v>
      </c>
      <c r="AZ148" s="63">
        <v>1051</v>
      </c>
      <c r="BA148" s="63">
        <v>9576</v>
      </c>
      <c r="BB148" s="63">
        <v>42211</v>
      </c>
      <c r="BC148" s="63">
        <v>2116</v>
      </c>
      <c r="BD148" s="63">
        <v>1555</v>
      </c>
      <c r="BE148" s="63">
        <v>4622</v>
      </c>
      <c r="BF148" s="63">
        <v>5234</v>
      </c>
      <c r="BG148" s="63">
        <v>2395</v>
      </c>
      <c r="BH148" s="63">
        <v>535</v>
      </c>
      <c r="BI148" s="63">
        <v>863</v>
      </c>
      <c r="BJ148" s="63">
        <v>773</v>
      </c>
      <c r="BK148" s="63">
        <v>668</v>
      </c>
      <c r="BL148" s="63">
        <v>22954</v>
      </c>
      <c r="BM148" s="63">
        <v>14698</v>
      </c>
      <c r="BN148" s="63">
        <v>8274</v>
      </c>
      <c r="BO148" s="63">
        <v>5676</v>
      </c>
    </row>
    <row r="149" spans="1:67" x14ac:dyDescent="0.35">
      <c r="A149" s="78" t="s">
        <v>605</v>
      </c>
      <c r="B149" s="63">
        <v>243344</v>
      </c>
      <c r="C149" s="63">
        <v>225</v>
      </c>
      <c r="D149" s="63">
        <v>217</v>
      </c>
      <c r="E149" s="63">
        <v>9</v>
      </c>
      <c r="F149" s="63">
        <v>93015</v>
      </c>
      <c r="G149" s="63">
        <v>24120</v>
      </c>
      <c r="H149" s="63">
        <v>24021</v>
      </c>
      <c r="I149" s="63">
        <v>99</v>
      </c>
      <c r="J149" s="63">
        <v>66709</v>
      </c>
      <c r="K149" s="63">
        <v>63165</v>
      </c>
      <c r="L149" s="63">
        <v>3543</v>
      </c>
      <c r="M149" s="63">
        <v>708</v>
      </c>
      <c r="N149" s="63">
        <v>74</v>
      </c>
      <c r="O149" s="63">
        <v>1404</v>
      </c>
      <c r="P149" s="64" t="s">
        <v>496</v>
      </c>
      <c r="Q149" s="63">
        <v>1244</v>
      </c>
      <c r="R149" s="63">
        <v>19</v>
      </c>
      <c r="S149" s="63">
        <v>192</v>
      </c>
      <c r="T149" s="63">
        <v>1032</v>
      </c>
      <c r="U149" s="63">
        <v>4862</v>
      </c>
      <c r="V149" s="63">
        <v>2516</v>
      </c>
      <c r="W149" s="63">
        <v>1102</v>
      </c>
      <c r="X149" s="63">
        <v>1105</v>
      </c>
      <c r="Y149" s="63">
        <v>310</v>
      </c>
      <c r="Z149" s="63">
        <v>2345</v>
      </c>
      <c r="AA149" s="63">
        <v>25585</v>
      </c>
      <c r="AB149" s="63">
        <v>5826</v>
      </c>
      <c r="AC149" s="63">
        <v>3843</v>
      </c>
      <c r="AD149" s="63">
        <v>15914</v>
      </c>
      <c r="AE149" s="63">
        <v>3064</v>
      </c>
      <c r="AF149" s="63">
        <v>1734</v>
      </c>
      <c r="AG149" s="63">
        <v>7645</v>
      </c>
      <c r="AH149" s="63">
        <v>2231</v>
      </c>
      <c r="AI149" s="63">
        <v>1231</v>
      </c>
      <c r="AJ149" s="63">
        <v>6284</v>
      </c>
      <c r="AK149" s="63">
        <v>288</v>
      </c>
      <c r="AL149" s="63">
        <v>5995</v>
      </c>
      <c r="AM149" s="63">
        <v>17985</v>
      </c>
      <c r="AN149" s="63">
        <v>32</v>
      </c>
      <c r="AO149" s="63">
        <v>817</v>
      </c>
      <c r="AP149" s="63">
        <v>1651</v>
      </c>
      <c r="AQ149" s="63">
        <v>15483</v>
      </c>
      <c r="AR149" s="63">
        <v>4216</v>
      </c>
      <c r="AS149" s="63">
        <v>8443</v>
      </c>
      <c r="AT149" s="63">
        <v>2824</v>
      </c>
      <c r="AU149" s="64" t="s">
        <v>496</v>
      </c>
      <c r="AV149" s="63">
        <v>9997</v>
      </c>
      <c r="AW149" s="63">
        <v>43418</v>
      </c>
      <c r="AX149" s="63">
        <v>33891</v>
      </c>
      <c r="AY149" s="63">
        <v>32857</v>
      </c>
      <c r="AZ149" s="63">
        <v>1034</v>
      </c>
      <c r="BA149" s="63">
        <v>9525</v>
      </c>
      <c r="BB149" s="63">
        <v>40662</v>
      </c>
      <c r="BC149" s="63">
        <v>2131</v>
      </c>
      <c r="BD149" s="63">
        <v>1552</v>
      </c>
      <c r="BE149" s="63">
        <v>4542</v>
      </c>
      <c r="BF149" s="63">
        <v>4887</v>
      </c>
      <c r="BG149" s="63">
        <v>2271</v>
      </c>
      <c r="BH149" s="63">
        <v>544</v>
      </c>
      <c r="BI149" s="63">
        <v>751</v>
      </c>
      <c r="BJ149" s="63">
        <v>695</v>
      </c>
      <c r="BK149" s="63">
        <v>624</v>
      </c>
      <c r="BL149" s="63">
        <v>22695</v>
      </c>
      <c r="BM149" s="63">
        <v>14603</v>
      </c>
      <c r="BN149" s="63">
        <v>8131</v>
      </c>
      <c r="BO149" s="63">
        <v>4913</v>
      </c>
    </row>
    <row r="150" spans="1:67" x14ac:dyDescent="0.35">
      <c r="A150" s="78" t="s">
        <v>606</v>
      </c>
      <c r="B150" s="63">
        <v>243618</v>
      </c>
      <c r="C150" s="63">
        <v>216</v>
      </c>
      <c r="D150" s="63">
        <v>206</v>
      </c>
      <c r="E150" s="63">
        <v>10</v>
      </c>
      <c r="F150" s="63">
        <v>93407</v>
      </c>
      <c r="G150" s="63">
        <v>24277</v>
      </c>
      <c r="H150" s="63">
        <v>24179</v>
      </c>
      <c r="I150" s="63">
        <v>98</v>
      </c>
      <c r="J150" s="63">
        <v>66945</v>
      </c>
      <c r="K150" s="63">
        <v>63374</v>
      </c>
      <c r="L150" s="63">
        <v>3571</v>
      </c>
      <c r="M150" s="63">
        <v>711</v>
      </c>
      <c r="N150" s="63">
        <v>54</v>
      </c>
      <c r="O150" s="63">
        <v>1418</v>
      </c>
      <c r="P150" s="64" t="s">
        <v>496</v>
      </c>
      <c r="Q150" s="63">
        <v>1143</v>
      </c>
      <c r="R150" s="63">
        <v>26</v>
      </c>
      <c r="S150" s="63">
        <v>152</v>
      </c>
      <c r="T150" s="63">
        <v>967</v>
      </c>
      <c r="U150" s="63">
        <v>4831</v>
      </c>
      <c r="V150" s="63">
        <v>2458</v>
      </c>
      <c r="W150" s="63">
        <v>989</v>
      </c>
      <c r="X150" s="63">
        <v>1152</v>
      </c>
      <c r="Y150" s="63">
        <v>318</v>
      </c>
      <c r="Z150" s="63">
        <v>2373</v>
      </c>
      <c r="AA150" s="63">
        <v>25256</v>
      </c>
      <c r="AB150" s="63">
        <v>5895</v>
      </c>
      <c r="AC150" s="63">
        <v>3706</v>
      </c>
      <c r="AD150" s="63">
        <v>15654</v>
      </c>
      <c r="AE150" s="63">
        <v>3109</v>
      </c>
      <c r="AF150" s="63">
        <v>1685</v>
      </c>
      <c r="AG150" s="63">
        <v>7567</v>
      </c>
      <c r="AH150" s="63">
        <v>2049</v>
      </c>
      <c r="AI150" s="63">
        <v>1222</v>
      </c>
      <c r="AJ150" s="63">
        <v>6376</v>
      </c>
      <c r="AK150" s="63">
        <v>305</v>
      </c>
      <c r="AL150" s="63">
        <v>6072</v>
      </c>
      <c r="AM150" s="63">
        <v>17912</v>
      </c>
      <c r="AN150" s="63">
        <v>40</v>
      </c>
      <c r="AO150" s="63">
        <v>818</v>
      </c>
      <c r="AP150" s="63">
        <v>1686</v>
      </c>
      <c r="AQ150" s="63">
        <v>15369</v>
      </c>
      <c r="AR150" s="63">
        <v>4143</v>
      </c>
      <c r="AS150" s="63">
        <v>8479</v>
      </c>
      <c r="AT150" s="63">
        <v>2748</v>
      </c>
      <c r="AU150" s="64" t="s">
        <v>496</v>
      </c>
      <c r="AV150" s="63">
        <v>9872</v>
      </c>
      <c r="AW150" s="63">
        <v>43197</v>
      </c>
      <c r="AX150" s="63">
        <v>33652</v>
      </c>
      <c r="AY150" s="63">
        <v>32554</v>
      </c>
      <c r="AZ150" s="63">
        <v>1096</v>
      </c>
      <c r="BA150" s="63">
        <v>9545</v>
      </c>
      <c r="BB150" s="63">
        <v>41399</v>
      </c>
      <c r="BC150" s="63">
        <v>2300</v>
      </c>
      <c r="BD150" s="63">
        <v>1572</v>
      </c>
      <c r="BE150" s="63">
        <v>4694</v>
      </c>
      <c r="BF150" s="63">
        <v>4641</v>
      </c>
      <c r="BG150" s="63">
        <v>2208</v>
      </c>
      <c r="BH150" s="63">
        <v>524</v>
      </c>
      <c r="BI150" s="63">
        <v>688</v>
      </c>
      <c r="BJ150" s="63">
        <v>668</v>
      </c>
      <c r="BK150" s="63">
        <v>553</v>
      </c>
      <c r="BL150" s="63">
        <v>22953</v>
      </c>
      <c r="BM150" s="63">
        <v>14438</v>
      </c>
      <c r="BN150" s="63">
        <v>8470</v>
      </c>
      <c r="BO150" s="63">
        <v>5290</v>
      </c>
    </row>
    <row r="151" spans="1:67" x14ac:dyDescent="0.35">
      <c r="A151" s="78" t="s">
        <v>607</v>
      </c>
      <c r="B151" s="63">
        <v>244787</v>
      </c>
      <c r="C151" s="63">
        <v>164</v>
      </c>
      <c r="D151" s="63">
        <v>154</v>
      </c>
      <c r="E151" s="63">
        <v>10</v>
      </c>
      <c r="F151" s="63">
        <v>93629</v>
      </c>
      <c r="G151" s="63">
        <v>24346</v>
      </c>
      <c r="H151" s="63">
        <v>24247</v>
      </c>
      <c r="I151" s="63">
        <v>99</v>
      </c>
      <c r="J151" s="63">
        <v>67094</v>
      </c>
      <c r="K151" s="63">
        <v>63510</v>
      </c>
      <c r="L151" s="63">
        <v>3584</v>
      </c>
      <c r="M151" s="63">
        <v>681</v>
      </c>
      <c r="N151" s="63">
        <v>94</v>
      </c>
      <c r="O151" s="63">
        <v>1414</v>
      </c>
      <c r="P151" s="64" t="s">
        <v>496</v>
      </c>
      <c r="Q151" s="63">
        <v>1295</v>
      </c>
      <c r="R151" s="63">
        <v>33</v>
      </c>
      <c r="S151" s="63">
        <v>158</v>
      </c>
      <c r="T151" s="63">
        <v>1104</v>
      </c>
      <c r="U151" s="63">
        <v>4748</v>
      </c>
      <c r="V151" s="63">
        <v>2371</v>
      </c>
      <c r="W151" s="63">
        <v>909</v>
      </c>
      <c r="X151" s="63">
        <v>1142</v>
      </c>
      <c r="Y151" s="63">
        <v>320</v>
      </c>
      <c r="Z151" s="63">
        <v>2377</v>
      </c>
      <c r="AA151" s="63">
        <v>25877</v>
      </c>
      <c r="AB151" s="63">
        <v>5737</v>
      </c>
      <c r="AC151" s="63">
        <v>3812</v>
      </c>
      <c r="AD151" s="63">
        <v>16328</v>
      </c>
      <c r="AE151" s="63">
        <v>3167</v>
      </c>
      <c r="AF151" s="63">
        <v>1791</v>
      </c>
      <c r="AG151" s="63">
        <v>7758</v>
      </c>
      <c r="AH151" s="63">
        <v>2318</v>
      </c>
      <c r="AI151" s="63">
        <v>1294</v>
      </c>
      <c r="AJ151" s="63">
        <v>6355</v>
      </c>
      <c r="AK151" s="63">
        <v>302</v>
      </c>
      <c r="AL151" s="63">
        <v>6053</v>
      </c>
      <c r="AM151" s="63">
        <v>17929</v>
      </c>
      <c r="AN151" s="63">
        <v>56</v>
      </c>
      <c r="AO151" s="63">
        <v>826</v>
      </c>
      <c r="AP151" s="63">
        <v>1669</v>
      </c>
      <c r="AQ151" s="63">
        <v>15378</v>
      </c>
      <c r="AR151" s="63">
        <v>4269</v>
      </c>
      <c r="AS151" s="63">
        <v>8390</v>
      </c>
      <c r="AT151" s="63">
        <v>2719</v>
      </c>
      <c r="AU151" s="64" t="s">
        <v>496</v>
      </c>
      <c r="AV151" s="63">
        <v>10072</v>
      </c>
      <c r="AW151" s="63">
        <v>43082</v>
      </c>
      <c r="AX151" s="63">
        <v>33614</v>
      </c>
      <c r="AY151" s="63">
        <v>32508</v>
      </c>
      <c r="AZ151" s="63">
        <v>1106</v>
      </c>
      <c r="BA151" s="63">
        <v>9468</v>
      </c>
      <c r="BB151" s="63">
        <v>41636</v>
      </c>
      <c r="BC151" s="63">
        <v>2336</v>
      </c>
      <c r="BD151" s="63">
        <v>1572</v>
      </c>
      <c r="BE151" s="63">
        <v>4735</v>
      </c>
      <c r="BF151" s="63">
        <v>4610</v>
      </c>
      <c r="BG151" s="63">
        <v>2217</v>
      </c>
      <c r="BH151" s="63">
        <v>480</v>
      </c>
      <c r="BI151" s="63">
        <v>740</v>
      </c>
      <c r="BJ151" s="63">
        <v>678</v>
      </c>
      <c r="BK151" s="63">
        <v>495</v>
      </c>
      <c r="BL151" s="63">
        <v>23066</v>
      </c>
      <c r="BM151" s="63">
        <v>14421</v>
      </c>
      <c r="BN151" s="63">
        <v>8645</v>
      </c>
      <c r="BO151" s="63">
        <v>5317</v>
      </c>
    </row>
    <row r="152" spans="1:67" x14ac:dyDescent="0.35">
      <c r="A152" s="78" t="s">
        <v>608</v>
      </c>
      <c r="B152" s="63">
        <v>245526</v>
      </c>
      <c r="C152" s="63">
        <v>165</v>
      </c>
      <c r="D152" s="63">
        <v>153</v>
      </c>
      <c r="E152" s="63">
        <v>12</v>
      </c>
      <c r="F152" s="63">
        <v>93909</v>
      </c>
      <c r="G152" s="63">
        <v>24403</v>
      </c>
      <c r="H152" s="63">
        <v>24302</v>
      </c>
      <c r="I152" s="63">
        <v>101</v>
      </c>
      <c r="J152" s="63">
        <v>67305</v>
      </c>
      <c r="K152" s="63">
        <v>63698</v>
      </c>
      <c r="L152" s="63">
        <v>3607</v>
      </c>
      <c r="M152" s="63">
        <v>703</v>
      </c>
      <c r="N152" s="63">
        <v>88</v>
      </c>
      <c r="O152" s="63">
        <v>1410</v>
      </c>
      <c r="P152" s="64" t="s">
        <v>496</v>
      </c>
      <c r="Q152" s="63">
        <v>1345</v>
      </c>
      <c r="R152" s="63">
        <v>33</v>
      </c>
      <c r="S152" s="63">
        <v>163</v>
      </c>
      <c r="T152" s="63">
        <v>1149</v>
      </c>
      <c r="U152" s="63">
        <v>4842</v>
      </c>
      <c r="V152" s="63">
        <v>2394</v>
      </c>
      <c r="W152" s="63">
        <v>868</v>
      </c>
      <c r="X152" s="63">
        <v>1178</v>
      </c>
      <c r="Y152" s="63">
        <v>348</v>
      </c>
      <c r="Z152" s="63">
        <v>2448</v>
      </c>
      <c r="AA152" s="63">
        <v>26463</v>
      </c>
      <c r="AB152" s="63">
        <v>5636</v>
      </c>
      <c r="AC152" s="63">
        <v>3853</v>
      </c>
      <c r="AD152" s="63">
        <v>16974</v>
      </c>
      <c r="AE152" s="63">
        <v>3224</v>
      </c>
      <c r="AF152" s="63">
        <v>2000</v>
      </c>
      <c r="AG152" s="63">
        <v>7723</v>
      </c>
      <c r="AH152" s="63">
        <v>2592</v>
      </c>
      <c r="AI152" s="63">
        <v>1435</v>
      </c>
      <c r="AJ152" s="63">
        <v>6258</v>
      </c>
      <c r="AK152" s="63">
        <v>292</v>
      </c>
      <c r="AL152" s="63">
        <v>5966</v>
      </c>
      <c r="AM152" s="63">
        <v>17834</v>
      </c>
      <c r="AN152" s="63">
        <v>43</v>
      </c>
      <c r="AO152" s="63">
        <v>829</v>
      </c>
      <c r="AP152" s="63">
        <v>1640</v>
      </c>
      <c r="AQ152" s="63">
        <v>15322</v>
      </c>
      <c r="AR152" s="63">
        <v>4359</v>
      </c>
      <c r="AS152" s="63">
        <v>8382</v>
      </c>
      <c r="AT152" s="63">
        <v>2581</v>
      </c>
      <c r="AU152" s="64" t="s">
        <v>496</v>
      </c>
      <c r="AV152" s="63">
        <v>10106</v>
      </c>
      <c r="AW152" s="63">
        <v>42904</v>
      </c>
      <c r="AX152" s="63">
        <v>33461</v>
      </c>
      <c r="AY152" s="63">
        <v>32353</v>
      </c>
      <c r="AZ152" s="63">
        <v>1108</v>
      </c>
      <c r="BA152" s="63">
        <v>9443</v>
      </c>
      <c r="BB152" s="63">
        <v>41700</v>
      </c>
      <c r="BC152" s="63">
        <v>2394</v>
      </c>
      <c r="BD152" s="63">
        <v>1582</v>
      </c>
      <c r="BE152" s="63">
        <v>4680</v>
      </c>
      <c r="BF152" s="63">
        <v>4588</v>
      </c>
      <c r="BG152" s="63">
        <v>2244</v>
      </c>
      <c r="BH152" s="63">
        <v>495</v>
      </c>
      <c r="BI152" s="63">
        <v>760</v>
      </c>
      <c r="BJ152" s="63">
        <v>589</v>
      </c>
      <c r="BK152" s="63">
        <v>500</v>
      </c>
      <c r="BL152" s="63">
        <v>23156</v>
      </c>
      <c r="BM152" s="63">
        <v>14454</v>
      </c>
      <c r="BN152" s="63">
        <v>8702</v>
      </c>
      <c r="BO152" s="63">
        <v>5300</v>
      </c>
    </row>
    <row r="153" spans="1:67" x14ac:dyDescent="0.35">
      <c r="A153" s="78" t="s">
        <v>609</v>
      </c>
      <c r="B153" s="63">
        <v>246194</v>
      </c>
      <c r="C153" s="63">
        <v>170</v>
      </c>
      <c r="D153" s="63">
        <v>158</v>
      </c>
      <c r="E153" s="63">
        <v>12</v>
      </c>
      <c r="F153" s="63">
        <v>94257</v>
      </c>
      <c r="G153" s="63">
        <v>24527</v>
      </c>
      <c r="H153" s="63">
        <v>24424</v>
      </c>
      <c r="I153" s="63">
        <v>103</v>
      </c>
      <c r="J153" s="63">
        <v>67538</v>
      </c>
      <c r="K153" s="63">
        <v>63892</v>
      </c>
      <c r="L153" s="63">
        <v>3646</v>
      </c>
      <c r="M153" s="63">
        <v>707</v>
      </c>
      <c r="N153" s="63">
        <v>76</v>
      </c>
      <c r="O153" s="63">
        <v>1409</v>
      </c>
      <c r="P153" s="64" t="s">
        <v>496</v>
      </c>
      <c r="Q153" s="63">
        <v>1339</v>
      </c>
      <c r="R153" s="63">
        <v>29</v>
      </c>
      <c r="S153" s="63">
        <v>187</v>
      </c>
      <c r="T153" s="63">
        <v>1123</v>
      </c>
      <c r="U153" s="63">
        <v>5018</v>
      </c>
      <c r="V153" s="63">
        <v>2491</v>
      </c>
      <c r="W153" s="63">
        <v>875</v>
      </c>
      <c r="X153" s="63">
        <v>1260</v>
      </c>
      <c r="Y153" s="63">
        <v>356</v>
      </c>
      <c r="Z153" s="63">
        <v>2527</v>
      </c>
      <c r="AA153" s="63">
        <v>25865</v>
      </c>
      <c r="AB153" s="63">
        <v>5572</v>
      </c>
      <c r="AC153" s="63">
        <v>3880</v>
      </c>
      <c r="AD153" s="63">
        <v>16413</v>
      </c>
      <c r="AE153" s="63">
        <v>3225</v>
      </c>
      <c r="AF153" s="63">
        <v>1965</v>
      </c>
      <c r="AG153" s="63">
        <v>7553</v>
      </c>
      <c r="AH153" s="63">
        <v>2227</v>
      </c>
      <c r="AI153" s="63">
        <v>1443</v>
      </c>
      <c r="AJ153" s="63">
        <v>6209</v>
      </c>
      <c r="AK153" s="63">
        <v>287</v>
      </c>
      <c r="AL153" s="63">
        <v>5922</v>
      </c>
      <c r="AM153" s="63">
        <v>18092</v>
      </c>
      <c r="AN153" s="63">
        <v>51</v>
      </c>
      <c r="AO153" s="63">
        <v>840</v>
      </c>
      <c r="AP153" s="63">
        <v>1673</v>
      </c>
      <c r="AQ153" s="63">
        <v>15528</v>
      </c>
      <c r="AR153" s="63">
        <v>4400</v>
      </c>
      <c r="AS153" s="63">
        <v>8603</v>
      </c>
      <c r="AT153" s="63">
        <v>2525</v>
      </c>
      <c r="AU153" s="64" t="s">
        <v>496</v>
      </c>
      <c r="AV153" s="63">
        <v>10135</v>
      </c>
      <c r="AW153" s="63">
        <v>43297</v>
      </c>
      <c r="AX153" s="63">
        <v>33723</v>
      </c>
      <c r="AY153" s="63">
        <v>32619</v>
      </c>
      <c r="AZ153" s="63">
        <v>1104</v>
      </c>
      <c r="BA153" s="63">
        <v>9574</v>
      </c>
      <c r="BB153" s="63">
        <v>41812</v>
      </c>
      <c r="BC153" s="63">
        <v>2389</v>
      </c>
      <c r="BD153" s="63">
        <v>1563</v>
      </c>
      <c r="BE153" s="63">
        <v>4771</v>
      </c>
      <c r="BF153" s="63">
        <v>4438</v>
      </c>
      <c r="BG153" s="63">
        <v>2173</v>
      </c>
      <c r="BH153" s="63">
        <v>489</v>
      </c>
      <c r="BI153" s="63">
        <v>698</v>
      </c>
      <c r="BJ153" s="63">
        <v>563</v>
      </c>
      <c r="BK153" s="63">
        <v>515</v>
      </c>
      <c r="BL153" s="63">
        <v>23206</v>
      </c>
      <c r="BM153" s="63">
        <v>14428</v>
      </c>
      <c r="BN153" s="63">
        <v>8778</v>
      </c>
      <c r="BO153" s="63">
        <v>5445</v>
      </c>
    </row>
    <row r="154" spans="1:67" x14ac:dyDescent="0.35">
      <c r="A154" s="78" t="s">
        <v>610</v>
      </c>
      <c r="B154" s="63">
        <v>246758</v>
      </c>
      <c r="C154" s="63">
        <v>186</v>
      </c>
      <c r="D154" s="63">
        <v>175</v>
      </c>
      <c r="E154" s="63">
        <v>11</v>
      </c>
      <c r="F154" s="63">
        <v>94535</v>
      </c>
      <c r="G154" s="63">
        <v>24604</v>
      </c>
      <c r="H154" s="63">
        <v>24501</v>
      </c>
      <c r="I154" s="63">
        <v>103</v>
      </c>
      <c r="J154" s="63">
        <v>67753</v>
      </c>
      <c r="K154" s="63">
        <v>64081</v>
      </c>
      <c r="L154" s="63">
        <v>3672</v>
      </c>
      <c r="M154" s="63">
        <v>709</v>
      </c>
      <c r="N154" s="63">
        <v>61</v>
      </c>
      <c r="O154" s="63">
        <v>1408</v>
      </c>
      <c r="P154" s="64" t="s">
        <v>496</v>
      </c>
      <c r="Q154" s="63">
        <v>1346</v>
      </c>
      <c r="R154" s="63">
        <v>25</v>
      </c>
      <c r="S154" s="63">
        <v>222</v>
      </c>
      <c r="T154" s="63">
        <v>1099</v>
      </c>
      <c r="U154" s="63">
        <v>5017</v>
      </c>
      <c r="V154" s="63">
        <v>2502</v>
      </c>
      <c r="W154" s="63">
        <v>862</v>
      </c>
      <c r="X154" s="63">
        <v>1277</v>
      </c>
      <c r="Y154" s="63">
        <v>363</v>
      </c>
      <c r="Z154" s="63">
        <v>2515</v>
      </c>
      <c r="AA154" s="63">
        <v>25844</v>
      </c>
      <c r="AB154" s="63">
        <v>5492</v>
      </c>
      <c r="AC154" s="63">
        <v>3756</v>
      </c>
      <c r="AD154" s="63">
        <v>16596</v>
      </c>
      <c r="AE154" s="63">
        <v>3218</v>
      </c>
      <c r="AF154" s="63">
        <v>1928</v>
      </c>
      <c r="AG154" s="63">
        <v>7671</v>
      </c>
      <c r="AH154" s="63">
        <v>2287</v>
      </c>
      <c r="AI154" s="63">
        <v>1492</v>
      </c>
      <c r="AJ154" s="63">
        <v>6143</v>
      </c>
      <c r="AK154" s="63">
        <v>277</v>
      </c>
      <c r="AL154" s="63">
        <v>5866</v>
      </c>
      <c r="AM154" s="63">
        <v>18252</v>
      </c>
      <c r="AN154" s="63">
        <v>43</v>
      </c>
      <c r="AO154" s="63">
        <v>846</v>
      </c>
      <c r="AP154" s="63">
        <v>1590</v>
      </c>
      <c r="AQ154" s="63">
        <v>15773</v>
      </c>
      <c r="AR154" s="63">
        <v>4371</v>
      </c>
      <c r="AS154" s="63">
        <v>8801</v>
      </c>
      <c r="AT154" s="63">
        <v>2601</v>
      </c>
      <c r="AU154" s="64" t="s">
        <v>496</v>
      </c>
      <c r="AV154" s="63">
        <v>10124</v>
      </c>
      <c r="AW154" s="63">
        <v>43544</v>
      </c>
      <c r="AX154" s="63">
        <v>33891</v>
      </c>
      <c r="AY154" s="63">
        <v>32786</v>
      </c>
      <c r="AZ154" s="63">
        <v>1105</v>
      </c>
      <c r="BA154" s="63">
        <v>9653</v>
      </c>
      <c r="BB154" s="63">
        <v>41767</v>
      </c>
      <c r="BC154" s="63">
        <v>2388</v>
      </c>
      <c r="BD154" s="63">
        <v>1580</v>
      </c>
      <c r="BE154" s="63">
        <v>4761</v>
      </c>
      <c r="BF154" s="63">
        <v>4418</v>
      </c>
      <c r="BG154" s="63">
        <v>2165</v>
      </c>
      <c r="BH154" s="63">
        <v>483</v>
      </c>
      <c r="BI154" s="63">
        <v>677</v>
      </c>
      <c r="BJ154" s="63">
        <v>581</v>
      </c>
      <c r="BK154" s="63">
        <v>512</v>
      </c>
      <c r="BL154" s="63">
        <v>23370</v>
      </c>
      <c r="BM154" s="63">
        <v>14519</v>
      </c>
      <c r="BN154" s="63">
        <v>8851</v>
      </c>
      <c r="BO154" s="63">
        <v>5250</v>
      </c>
    </row>
    <row r="155" spans="1:67" x14ac:dyDescent="0.35">
      <c r="A155" s="78" t="s">
        <v>611</v>
      </c>
      <c r="B155" s="63">
        <v>247512</v>
      </c>
      <c r="C155" s="63">
        <v>212</v>
      </c>
      <c r="D155" s="63">
        <v>198</v>
      </c>
      <c r="E155" s="63">
        <v>14</v>
      </c>
      <c r="F155" s="63">
        <v>94872</v>
      </c>
      <c r="G155" s="63">
        <v>24686</v>
      </c>
      <c r="H155" s="63">
        <v>24581</v>
      </c>
      <c r="I155" s="63">
        <v>105</v>
      </c>
      <c r="J155" s="63">
        <v>67973</v>
      </c>
      <c r="K155" s="63">
        <v>64280</v>
      </c>
      <c r="L155" s="63">
        <v>3693</v>
      </c>
      <c r="M155" s="63">
        <v>727</v>
      </c>
      <c r="N155" s="63">
        <v>72</v>
      </c>
      <c r="O155" s="63">
        <v>1414</v>
      </c>
      <c r="P155" s="64" t="s">
        <v>496</v>
      </c>
      <c r="Q155" s="63">
        <v>1310</v>
      </c>
      <c r="R155" s="63">
        <v>25</v>
      </c>
      <c r="S155" s="63">
        <v>205</v>
      </c>
      <c r="T155" s="63">
        <v>1080</v>
      </c>
      <c r="U155" s="63">
        <v>4991</v>
      </c>
      <c r="V155" s="63">
        <v>2510</v>
      </c>
      <c r="W155" s="63">
        <v>866</v>
      </c>
      <c r="X155" s="63">
        <v>1297</v>
      </c>
      <c r="Y155" s="63">
        <v>347</v>
      </c>
      <c r="Z155" s="63">
        <v>2481</v>
      </c>
      <c r="AA155" s="63">
        <v>26196</v>
      </c>
      <c r="AB155" s="63">
        <v>5426</v>
      </c>
      <c r="AC155" s="63">
        <v>4019</v>
      </c>
      <c r="AD155" s="63">
        <v>16751</v>
      </c>
      <c r="AE155" s="63">
        <v>3266</v>
      </c>
      <c r="AF155" s="63">
        <v>1921</v>
      </c>
      <c r="AG155" s="63">
        <v>7766</v>
      </c>
      <c r="AH155" s="63">
        <v>2289</v>
      </c>
      <c r="AI155" s="63">
        <v>1509</v>
      </c>
      <c r="AJ155" s="63">
        <v>5967</v>
      </c>
      <c r="AK155" s="63">
        <v>273</v>
      </c>
      <c r="AL155" s="63">
        <v>5694</v>
      </c>
      <c r="AM155" s="63">
        <v>18485</v>
      </c>
      <c r="AN155" s="63">
        <v>45</v>
      </c>
      <c r="AO155" s="63">
        <v>835</v>
      </c>
      <c r="AP155" s="63">
        <v>1593</v>
      </c>
      <c r="AQ155" s="63">
        <v>16012</v>
      </c>
      <c r="AR155" s="63">
        <v>4470</v>
      </c>
      <c r="AS155" s="63">
        <v>8987</v>
      </c>
      <c r="AT155" s="63">
        <v>2555</v>
      </c>
      <c r="AU155" s="64" t="s">
        <v>496</v>
      </c>
      <c r="AV155" s="63">
        <v>10080</v>
      </c>
      <c r="AW155" s="63">
        <v>43941</v>
      </c>
      <c r="AX155" s="63">
        <v>34294</v>
      </c>
      <c r="AY155" s="63">
        <v>33181</v>
      </c>
      <c r="AZ155" s="63">
        <v>1113</v>
      </c>
      <c r="BA155" s="63">
        <v>9647</v>
      </c>
      <c r="BB155" s="63">
        <v>41458</v>
      </c>
      <c r="BC155" s="63">
        <v>2389</v>
      </c>
      <c r="BD155" s="63">
        <v>1591</v>
      </c>
      <c r="BE155" s="63">
        <v>4894</v>
      </c>
      <c r="BF155" s="63">
        <v>4274</v>
      </c>
      <c r="BG155" s="63">
        <v>2121</v>
      </c>
      <c r="BH155" s="63">
        <v>451</v>
      </c>
      <c r="BI155" s="63">
        <v>692</v>
      </c>
      <c r="BJ155" s="63">
        <v>558</v>
      </c>
      <c r="BK155" s="63">
        <v>452</v>
      </c>
      <c r="BL155" s="63">
        <v>23358</v>
      </c>
      <c r="BM155" s="63">
        <v>14598</v>
      </c>
      <c r="BN155" s="63">
        <v>8760</v>
      </c>
      <c r="BO155" s="63">
        <v>4952</v>
      </c>
    </row>
    <row r="156" spans="1:67" x14ac:dyDescent="0.35">
      <c r="A156" s="78" t="s">
        <v>612</v>
      </c>
      <c r="B156" s="63">
        <v>247823</v>
      </c>
      <c r="C156" s="63">
        <v>217</v>
      </c>
      <c r="D156" s="63">
        <v>198</v>
      </c>
      <c r="E156" s="63">
        <v>19</v>
      </c>
      <c r="F156" s="63">
        <v>95179</v>
      </c>
      <c r="G156" s="63">
        <v>24739</v>
      </c>
      <c r="H156" s="63">
        <v>24632</v>
      </c>
      <c r="I156" s="63">
        <v>107</v>
      </c>
      <c r="J156" s="63">
        <v>68211</v>
      </c>
      <c r="K156" s="63">
        <v>64473</v>
      </c>
      <c r="L156" s="63">
        <v>3738</v>
      </c>
      <c r="M156" s="63">
        <v>743</v>
      </c>
      <c r="N156" s="63">
        <v>69</v>
      </c>
      <c r="O156" s="63">
        <v>1417</v>
      </c>
      <c r="P156" s="64" t="s">
        <v>496</v>
      </c>
      <c r="Q156" s="63">
        <v>1340</v>
      </c>
      <c r="R156" s="63">
        <v>24</v>
      </c>
      <c r="S156" s="63">
        <v>199</v>
      </c>
      <c r="T156" s="63">
        <v>1117</v>
      </c>
      <c r="U156" s="63">
        <v>5043</v>
      </c>
      <c r="V156" s="63">
        <v>2581</v>
      </c>
      <c r="W156" s="63">
        <v>893</v>
      </c>
      <c r="X156" s="63">
        <v>1333</v>
      </c>
      <c r="Y156" s="63">
        <v>355</v>
      </c>
      <c r="Z156" s="63">
        <v>2462</v>
      </c>
      <c r="AA156" s="63">
        <v>25918</v>
      </c>
      <c r="AB156" s="63">
        <v>5351</v>
      </c>
      <c r="AC156" s="63">
        <v>3921</v>
      </c>
      <c r="AD156" s="63">
        <v>16646</v>
      </c>
      <c r="AE156" s="63">
        <v>3250</v>
      </c>
      <c r="AF156" s="63">
        <v>2015</v>
      </c>
      <c r="AG156" s="63">
        <v>7526</v>
      </c>
      <c r="AH156" s="63">
        <v>2304</v>
      </c>
      <c r="AI156" s="63">
        <v>1551</v>
      </c>
      <c r="AJ156" s="63">
        <v>5923</v>
      </c>
      <c r="AK156" s="63">
        <v>281</v>
      </c>
      <c r="AL156" s="63">
        <v>5642</v>
      </c>
      <c r="AM156" s="63">
        <v>18446</v>
      </c>
      <c r="AN156" s="63">
        <v>45</v>
      </c>
      <c r="AO156" s="63">
        <v>827</v>
      </c>
      <c r="AP156" s="63">
        <v>1565</v>
      </c>
      <c r="AQ156" s="63">
        <v>16009</v>
      </c>
      <c r="AR156" s="63">
        <v>4421</v>
      </c>
      <c r="AS156" s="63">
        <v>9107</v>
      </c>
      <c r="AT156" s="63">
        <v>2481</v>
      </c>
      <c r="AU156" s="64" t="s">
        <v>496</v>
      </c>
      <c r="AV156" s="63">
        <v>10121</v>
      </c>
      <c r="AW156" s="63">
        <v>43938</v>
      </c>
      <c r="AX156" s="63">
        <v>34360</v>
      </c>
      <c r="AY156" s="63">
        <v>33227</v>
      </c>
      <c r="AZ156" s="63">
        <v>1133</v>
      </c>
      <c r="BA156" s="63">
        <v>9578</v>
      </c>
      <c r="BB156" s="63">
        <v>41698</v>
      </c>
      <c r="BC156" s="63">
        <v>2399</v>
      </c>
      <c r="BD156" s="63">
        <v>1603</v>
      </c>
      <c r="BE156" s="63">
        <v>4934</v>
      </c>
      <c r="BF156" s="63">
        <v>4278</v>
      </c>
      <c r="BG156" s="63">
        <v>2152</v>
      </c>
      <c r="BH156" s="63">
        <v>466</v>
      </c>
      <c r="BI156" s="63">
        <v>723</v>
      </c>
      <c r="BJ156" s="63">
        <v>490</v>
      </c>
      <c r="BK156" s="63">
        <v>447</v>
      </c>
      <c r="BL156" s="63">
        <v>23542</v>
      </c>
      <c r="BM156" s="63">
        <v>14606</v>
      </c>
      <c r="BN156" s="63">
        <v>8936</v>
      </c>
      <c r="BO156" s="63">
        <v>4942</v>
      </c>
    </row>
    <row r="157" spans="1:67" x14ac:dyDescent="0.35">
      <c r="A157" s="78" t="s">
        <v>613</v>
      </c>
      <c r="B157" s="63">
        <v>247698</v>
      </c>
      <c r="C157" s="63">
        <v>212</v>
      </c>
      <c r="D157" s="63">
        <v>190</v>
      </c>
      <c r="E157" s="63">
        <v>22</v>
      </c>
      <c r="F157" s="63">
        <v>95455</v>
      </c>
      <c r="G157" s="63">
        <v>24722</v>
      </c>
      <c r="H157" s="63">
        <v>24613</v>
      </c>
      <c r="I157" s="63">
        <v>109</v>
      </c>
      <c r="J157" s="63">
        <v>68458</v>
      </c>
      <c r="K157" s="63">
        <v>64686</v>
      </c>
      <c r="L157" s="63">
        <v>3772</v>
      </c>
      <c r="M157" s="63">
        <v>787</v>
      </c>
      <c r="N157" s="63">
        <v>66</v>
      </c>
      <c r="O157" s="63">
        <v>1422</v>
      </c>
      <c r="P157" s="64" t="s">
        <v>496</v>
      </c>
      <c r="Q157" s="63">
        <v>1304</v>
      </c>
      <c r="R157" s="63">
        <v>23</v>
      </c>
      <c r="S157" s="63">
        <v>178</v>
      </c>
      <c r="T157" s="63">
        <v>1103</v>
      </c>
      <c r="U157" s="63">
        <v>5100</v>
      </c>
      <c r="V157" s="63">
        <v>2627</v>
      </c>
      <c r="W157" s="63">
        <v>942</v>
      </c>
      <c r="X157" s="63">
        <v>1339</v>
      </c>
      <c r="Y157" s="63">
        <v>346</v>
      </c>
      <c r="Z157" s="63">
        <v>2473</v>
      </c>
      <c r="AA157" s="63">
        <v>25770</v>
      </c>
      <c r="AB157" s="63">
        <v>5289</v>
      </c>
      <c r="AC157" s="63">
        <v>3961</v>
      </c>
      <c r="AD157" s="63">
        <v>16520</v>
      </c>
      <c r="AE157" s="63">
        <v>3272</v>
      </c>
      <c r="AF157" s="63">
        <v>1929</v>
      </c>
      <c r="AG157" s="63">
        <v>7488</v>
      </c>
      <c r="AH157" s="63">
        <v>2231</v>
      </c>
      <c r="AI157" s="63">
        <v>1600</v>
      </c>
      <c r="AJ157" s="63">
        <v>5930</v>
      </c>
      <c r="AK157" s="63">
        <v>278</v>
      </c>
      <c r="AL157" s="63">
        <v>5652</v>
      </c>
      <c r="AM157" s="63">
        <v>18106</v>
      </c>
      <c r="AN157" s="63">
        <v>48</v>
      </c>
      <c r="AO157" s="63">
        <v>830</v>
      </c>
      <c r="AP157" s="63">
        <v>1542</v>
      </c>
      <c r="AQ157" s="63">
        <v>15686</v>
      </c>
      <c r="AR157" s="63">
        <v>4382</v>
      </c>
      <c r="AS157" s="63">
        <v>8953</v>
      </c>
      <c r="AT157" s="63">
        <v>2351</v>
      </c>
      <c r="AU157" s="64" t="s">
        <v>496</v>
      </c>
      <c r="AV157" s="63">
        <v>10129</v>
      </c>
      <c r="AW157" s="63">
        <v>44060</v>
      </c>
      <c r="AX157" s="63">
        <v>34529</v>
      </c>
      <c r="AY157" s="63">
        <v>33366</v>
      </c>
      <c r="AZ157" s="63">
        <v>1163</v>
      </c>
      <c r="BA157" s="63">
        <v>9531</v>
      </c>
      <c r="BB157" s="63">
        <v>41632</v>
      </c>
      <c r="BC157" s="63">
        <v>2366</v>
      </c>
      <c r="BD157" s="63">
        <v>1616</v>
      </c>
      <c r="BE157" s="63">
        <v>4994</v>
      </c>
      <c r="BF157" s="63">
        <v>4175</v>
      </c>
      <c r="BG157" s="63">
        <v>2076</v>
      </c>
      <c r="BH157" s="63">
        <v>461</v>
      </c>
      <c r="BI157" s="63">
        <v>684</v>
      </c>
      <c r="BJ157" s="63">
        <v>471</v>
      </c>
      <c r="BK157" s="63">
        <v>483</v>
      </c>
      <c r="BL157" s="63">
        <v>23633</v>
      </c>
      <c r="BM157" s="63">
        <v>14619</v>
      </c>
      <c r="BN157" s="63">
        <v>9014</v>
      </c>
      <c r="BO157" s="63">
        <v>4848</v>
      </c>
    </row>
    <row r="158" spans="1:67" x14ac:dyDescent="0.35">
      <c r="A158" s="78" t="s">
        <v>614</v>
      </c>
      <c r="B158" s="63">
        <v>248178</v>
      </c>
      <c r="C158" s="63">
        <v>195</v>
      </c>
      <c r="D158" s="63">
        <v>176</v>
      </c>
      <c r="E158" s="63">
        <v>19</v>
      </c>
      <c r="F158" s="63">
        <v>95646</v>
      </c>
      <c r="G158" s="63">
        <v>24679</v>
      </c>
      <c r="H158" s="63">
        <v>24569</v>
      </c>
      <c r="I158" s="63">
        <v>110</v>
      </c>
      <c r="J158" s="63">
        <v>68673</v>
      </c>
      <c r="K158" s="63">
        <v>64878</v>
      </c>
      <c r="L158" s="63">
        <v>3795</v>
      </c>
      <c r="M158" s="63">
        <v>815</v>
      </c>
      <c r="N158" s="63">
        <v>54</v>
      </c>
      <c r="O158" s="63">
        <v>1425</v>
      </c>
      <c r="P158" s="64" t="s">
        <v>496</v>
      </c>
      <c r="Q158" s="63">
        <v>1228</v>
      </c>
      <c r="R158" s="63">
        <v>24</v>
      </c>
      <c r="S158" s="63">
        <v>152</v>
      </c>
      <c r="T158" s="63">
        <v>1052</v>
      </c>
      <c r="U158" s="63">
        <v>5041</v>
      </c>
      <c r="V158" s="63">
        <v>2581</v>
      </c>
      <c r="W158" s="63">
        <v>890</v>
      </c>
      <c r="X158" s="63">
        <v>1353</v>
      </c>
      <c r="Y158" s="63">
        <v>338</v>
      </c>
      <c r="Z158" s="63">
        <v>2460</v>
      </c>
      <c r="AA158" s="63">
        <v>26216</v>
      </c>
      <c r="AB158" s="63">
        <v>5241</v>
      </c>
      <c r="AC158" s="63">
        <v>3995</v>
      </c>
      <c r="AD158" s="63">
        <v>16980</v>
      </c>
      <c r="AE158" s="63">
        <v>3283</v>
      </c>
      <c r="AF158" s="63">
        <v>1948</v>
      </c>
      <c r="AG158" s="63">
        <v>7771</v>
      </c>
      <c r="AH158" s="63">
        <v>2371</v>
      </c>
      <c r="AI158" s="63">
        <v>1607</v>
      </c>
      <c r="AJ158" s="63">
        <v>5942</v>
      </c>
      <c r="AK158" s="63">
        <v>290</v>
      </c>
      <c r="AL158" s="63">
        <v>5652</v>
      </c>
      <c r="AM158" s="63">
        <v>17999</v>
      </c>
      <c r="AN158" s="63">
        <v>51</v>
      </c>
      <c r="AO158" s="63">
        <v>848</v>
      </c>
      <c r="AP158" s="63">
        <v>1498</v>
      </c>
      <c r="AQ158" s="63">
        <v>15602</v>
      </c>
      <c r="AR158" s="63">
        <v>4353</v>
      </c>
      <c r="AS158" s="63">
        <v>8911</v>
      </c>
      <c r="AT158" s="63">
        <v>2338</v>
      </c>
      <c r="AU158" s="64" t="s">
        <v>496</v>
      </c>
      <c r="AV158" s="63">
        <v>10070</v>
      </c>
      <c r="AW158" s="63">
        <v>43993</v>
      </c>
      <c r="AX158" s="63">
        <v>34541</v>
      </c>
      <c r="AY158" s="63">
        <v>33367</v>
      </c>
      <c r="AZ158" s="63">
        <v>1174</v>
      </c>
      <c r="BA158" s="63">
        <v>9452</v>
      </c>
      <c r="BB158" s="63">
        <v>41848</v>
      </c>
      <c r="BC158" s="63">
        <v>2306</v>
      </c>
      <c r="BD158" s="63">
        <v>1631</v>
      </c>
      <c r="BE158" s="63">
        <v>4939</v>
      </c>
      <c r="BF158" s="63">
        <v>4241</v>
      </c>
      <c r="BG158" s="63">
        <v>2103</v>
      </c>
      <c r="BH158" s="63">
        <v>467</v>
      </c>
      <c r="BI158" s="63">
        <v>686</v>
      </c>
      <c r="BJ158" s="63">
        <v>502</v>
      </c>
      <c r="BK158" s="63">
        <v>483</v>
      </c>
      <c r="BL158" s="63">
        <v>23762</v>
      </c>
      <c r="BM158" s="63">
        <v>14732</v>
      </c>
      <c r="BN158" s="63">
        <v>9030</v>
      </c>
      <c r="BO158" s="63">
        <v>4969</v>
      </c>
    </row>
    <row r="159" spans="1:67" x14ac:dyDescent="0.35">
      <c r="A159" s="81" t="s">
        <v>615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</row>
    <row r="160" spans="1:67" x14ac:dyDescent="0.35">
      <c r="B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4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4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</row>
    <row r="161" spans="2:67" x14ac:dyDescent="0.35"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4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4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</row>
    <row r="162" spans="2:67" x14ac:dyDescent="0.35"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4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4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</row>
    <row r="163" spans="2:67" x14ac:dyDescent="0.35"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</row>
    <row r="164" spans="2:67" x14ac:dyDescent="0.35"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</row>
    <row r="165" spans="2:67" x14ac:dyDescent="0.35"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</row>
    <row r="166" spans="2:67" x14ac:dyDescent="0.35"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</row>
    <row r="167" spans="2:67" x14ac:dyDescent="0.35"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</row>
  </sheetData>
  <hyperlinks>
    <hyperlink ref="A4" location="Table_of_contents!A1" tooltip="Link to table of contents" display="Table of contents" xr:uid="{C333622F-6F12-42D1-99BE-AEFF8DD35853}"/>
  </hyperlink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Charts &gt;&gt;</vt:lpstr>
      <vt:lpstr>Data &gt;&gt;</vt:lpstr>
      <vt:lpstr>Chart data</vt:lpstr>
      <vt:lpstr>Apr26 MPR A.1</vt:lpstr>
      <vt:lpstr>Apr26 MPR E.1</vt:lpstr>
      <vt:lpstr>Distributional analysis &gt;&gt;</vt:lpstr>
      <vt:lpstr>CPI by declile</vt:lpstr>
      <vt:lpstr>Family spending workbook 1</vt:lpstr>
      <vt:lpstr>GMWA</vt:lpstr>
      <vt:lpstr>DataA</vt:lpstr>
      <vt:lpstr>HAVERA</vt:lpstr>
      <vt:lpstr>Spending analysis &gt;&gt;</vt:lpstr>
      <vt:lpstr>Total goods</vt:lpstr>
      <vt:lpstr>Durables</vt:lpstr>
      <vt:lpstr>Semi-durables</vt:lpstr>
      <vt:lpstr>Non-durables</vt:lpstr>
      <vt:lpstr>Services</vt:lpstr>
      <vt:lpstr>Chart 1</vt:lpstr>
      <vt:lpstr>Chart1</vt:lpstr>
      <vt:lpstr>Chart2</vt:lpstr>
      <vt:lpstr>Chart3</vt:lpstr>
      <vt:lpstr>Chart2 (2)</vt:lpstr>
      <vt:lpstr>Chart6</vt:lpstr>
      <vt:lpstr>Chart7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2026-05-01T10:50:00Z</dcterms:created>
  <dcterms:modified xsi:type="dcterms:W3CDTF">2026-05-14T18:11:37Z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2026-05-01T11:14:24Z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4a8911be-e805-4991-8af5-727dcea44156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