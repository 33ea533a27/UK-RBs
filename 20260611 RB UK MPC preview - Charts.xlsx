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6-06/MPC preview RB/"/>
    </mc:Choice>
  </mc:AlternateContent>
  <xr:revisionPtr revIDLastSave="352" documentId="8_{1C7750A9-1F94-479E-A3D8-42B20B2BCD79}" xr6:coauthVersionLast="47" xr6:coauthVersionMax="47" xr10:uidLastSave="{13CF2F07-2333-4514-9F60-29D08C038F09}"/>
  <bookViews>
    <workbookView xWindow="13290" yWindow="-16320" windowWidth="29040" windowHeight="15720" tabRatio="933" activeTab="5" xr2:uid="{EBAC82D7-992B-4DC0-AE8D-C36B2A7472B0}"/>
  </bookViews>
  <sheets>
    <sheet name="DMP data" sheetId="14" r:id="rId1"/>
    <sheet name="HAVERD" sheetId="1" r:id="rId2"/>
    <sheet name="HAVERM" sheetId="2" r:id="rId3"/>
    <sheet name="Chart data" sheetId="3" r:id="rId4"/>
    <sheet name="Chart - DMP energy response" sheetId="15" r:id="rId5"/>
    <sheet name="Chart - Hormuz crossings" sheetId="9" r:id="rId6"/>
    <sheet name="Chart - Household exp_panel" sheetId="13" r:id="rId7"/>
    <sheet name="Chart - Household exp" sheetId="10" r:id="rId8"/>
    <sheet name="Chart - Firms' exp" sheetId="11" r:id="rId9"/>
  </sheets>
  <externalReferences>
    <externalReference r:id="rId10"/>
    <externalReference r:id="rId11"/>
  </externalReferences>
  <definedNames>
    <definedName name="_DLX1.INC">HAVERD!$4:$9</definedName>
    <definedName name="_DLX2.INC">HAVERM!$4:$9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5" i="3" l="1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R5" i="3"/>
  <c r="S5" i="3"/>
  <c r="R6" i="3"/>
  <c r="S6" i="3"/>
  <c r="R7" i="3"/>
  <c r="S7" i="3"/>
  <c r="Q7" i="3"/>
  <c r="Q6" i="3"/>
  <c r="Q5" i="3"/>
  <c r="R4" i="3"/>
  <c r="S4" i="3"/>
  <c r="Q4" i="3"/>
  <c r="R10" i="14"/>
  <c r="N10" i="14"/>
  <c r="J10" i="14"/>
  <c r="F10" i="14"/>
  <c r="B10" i="14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H4" i="3"/>
  <c r="G4" i="3"/>
  <c r="L43" i="3"/>
  <c r="M43" i="3"/>
  <c r="L44" i="3"/>
  <c r="M44" i="3"/>
  <c r="L33" i="3"/>
  <c r="M33" i="3"/>
  <c r="L34" i="3"/>
  <c r="M34" i="3"/>
  <c r="L35" i="3"/>
  <c r="M35" i="3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5" i="3" l="1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M4" i="3"/>
  <c r="L4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A11" i="3"/>
  <c r="A18" i="3" s="1"/>
  <c r="A25" i="3" s="1"/>
  <c r="A32" i="3" s="1"/>
  <c r="A39" i="3" s="1"/>
  <c r="A46" i="3" s="1"/>
  <c r="A53" i="3" s="1"/>
  <c r="A60" i="3" s="1"/>
  <c r="A67" i="3" s="1"/>
  <c r="A74" i="3" s="1"/>
  <c r="A81" i="3" s="1"/>
  <c r="A88" i="3" s="1"/>
  <c r="A95" i="3" s="1"/>
  <c r="A102" i="3" s="1"/>
  <c r="A109" i="3" s="1"/>
  <c r="A116" i="3" s="1"/>
  <c r="A123" i="3" s="1"/>
  <c r="A130" i="3" s="1"/>
  <c r="A137" i="3" s="1"/>
  <c r="A144" i="3" s="1"/>
  <c r="A151" i="3" s="1"/>
  <c r="A158" i="3" s="1"/>
  <c r="A165" i="3" s="1"/>
  <c r="A172" i="3" s="1"/>
  <c r="A179" i="3" s="1"/>
  <c r="A15" i="3"/>
  <c r="A22" i="3" s="1"/>
  <c r="A29" i="3" s="1"/>
  <c r="A36" i="3" s="1"/>
  <c r="A43" i="3" s="1"/>
  <c r="A50" i="3" s="1"/>
  <c r="A57" i="3" s="1"/>
  <c r="A64" i="3" s="1"/>
  <c r="A71" i="3" s="1"/>
  <c r="A78" i="3" s="1"/>
  <c r="A85" i="3" s="1"/>
  <c r="A92" i="3" s="1"/>
  <c r="A99" i="3" s="1"/>
  <c r="A106" i="3" s="1"/>
  <c r="A113" i="3" s="1"/>
  <c r="A120" i="3" s="1"/>
  <c r="A127" i="3" s="1"/>
  <c r="A134" i="3" s="1"/>
  <c r="A141" i="3" s="1"/>
  <c r="A148" i="3" s="1"/>
  <c r="A155" i="3" s="1"/>
  <c r="A162" i="3" s="1"/>
  <c r="A169" i="3" s="1"/>
  <c r="A176" i="3" s="1"/>
  <c r="A183" i="3" s="1"/>
  <c r="A17" i="3"/>
  <c r="A24" i="3" s="1"/>
  <c r="A31" i="3" s="1"/>
  <c r="A38" i="3" s="1"/>
  <c r="A45" i="3" s="1"/>
  <c r="A52" i="3" s="1"/>
  <c r="A59" i="3" s="1"/>
  <c r="A66" i="3" s="1"/>
  <c r="A73" i="3" s="1"/>
  <c r="A80" i="3" s="1"/>
  <c r="A87" i="3" s="1"/>
  <c r="A94" i="3" s="1"/>
  <c r="A101" i="3" s="1"/>
  <c r="A108" i="3" s="1"/>
  <c r="A115" i="3" s="1"/>
  <c r="A122" i="3" s="1"/>
  <c r="A129" i="3" s="1"/>
  <c r="A136" i="3" s="1"/>
  <c r="A143" i="3" s="1"/>
  <c r="A150" i="3" s="1"/>
  <c r="A157" i="3" s="1"/>
  <c r="A164" i="3" s="1"/>
  <c r="A171" i="3" s="1"/>
  <c r="A178" i="3" s="1"/>
  <c r="A16" i="3"/>
  <c r="A23" i="3" s="1"/>
  <c r="A30" i="3" s="1"/>
  <c r="A37" i="3" s="1"/>
  <c r="A44" i="3" s="1"/>
  <c r="A51" i="3" s="1"/>
  <c r="A58" i="3" s="1"/>
  <c r="A65" i="3" s="1"/>
  <c r="A72" i="3" s="1"/>
  <c r="A79" i="3" s="1"/>
  <c r="A86" i="3" s="1"/>
  <c r="A93" i="3" s="1"/>
  <c r="A100" i="3" s="1"/>
  <c r="A107" i="3" s="1"/>
  <c r="A114" i="3" s="1"/>
  <c r="A121" i="3" s="1"/>
  <c r="A128" i="3" s="1"/>
  <c r="A135" i="3" s="1"/>
  <c r="A142" i="3" s="1"/>
  <c r="A149" i="3" s="1"/>
  <c r="A156" i="3" s="1"/>
  <c r="A163" i="3" s="1"/>
  <c r="A170" i="3" s="1"/>
  <c r="A177" i="3" s="1"/>
  <c r="A184" i="3" s="1"/>
  <c r="A12" i="3"/>
  <c r="A19" i="3" s="1"/>
  <c r="A26" i="3" s="1"/>
  <c r="A33" i="3" s="1"/>
  <c r="A40" i="3" s="1"/>
  <c r="A47" i="3" s="1"/>
  <c r="A54" i="3" s="1"/>
  <c r="A61" i="3" s="1"/>
  <c r="A68" i="3" s="1"/>
  <c r="A75" i="3" s="1"/>
  <c r="A82" i="3" s="1"/>
  <c r="A89" i="3" s="1"/>
  <c r="A96" i="3" s="1"/>
  <c r="A103" i="3" s="1"/>
  <c r="A110" i="3" s="1"/>
  <c r="A117" i="3" s="1"/>
  <c r="A124" i="3" s="1"/>
  <c r="A131" i="3" s="1"/>
  <c r="A138" i="3" s="1"/>
  <c r="A145" i="3" s="1"/>
  <c r="A152" i="3" s="1"/>
  <c r="A159" i="3" s="1"/>
  <c r="A166" i="3" s="1"/>
  <c r="A173" i="3" s="1"/>
  <c r="A180" i="3" s="1"/>
  <c r="A13" i="3"/>
  <c r="A20" i="3" s="1"/>
  <c r="A27" i="3" s="1"/>
  <c r="A34" i="3" s="1"/>
  <c r="A41" i="3" s="1"/>
  <c r="A48" i="3" s="1"/>
  <c r="A55" i="3" s="1"/>
  <c r="A62" i="3" s="1"/>
  <c r="A69" i="3" s="1"/>
  <c r="A76" i="3" s="1"/>
  <c r="A83" i="3" s="1"/>
  <c r="A90" i="3" s="1"/>
  <c r="A97" i="3" s="1"/>
  <c r="A104" i="3" s="1"/>
  <c r="A111" i="3" s="1"/>
  <c r="A118" i="3" s="1"/>
  <c r="A125" i="3" s="1"/>
  <c r="A132" i="3" s="1"/>
  <c r="A139" i="3" s="1"/>
  <c r="A146" i="3" s="1"/>
  <c r="A153" i="3" s="1"/>
  <c r="A160" i="3" s="1"/>
  <c r="A167" i="3" s="1"/>
  <c r="A174" i="3" s="1"/>
  <c r="A181" i="3" s="1"/>
  <c r="A14" i="3"/>
  <c r="A21" i="3" s="1"/>
  <c r="A28" i="3" s="1"/>
  <c r="A35" i="3" s="1"/>
  <c r="A42" i="3" s="1"/>
  <c r="A49" i="3" s="1"/>
  <c r="A56" i="3" s="1"/>
  <c r="A63" i="3" s="1"/>
  <c r="A70" i="3" s="1"/>
  <c r="A77" i="3" s="1"/>
  <c r="A84" i="3" s="1"/>
  <c r="A91" i="3" s="1"/>
  <c r="A98" i="3" s="1"/>
  <c r="A105" i="3" s="1"/>
  <c r="A112" i="3" s="1"/>
  <c r="A119" i="3" s="1"/>
  <c r="A126" i="3" s="1"/>
  <c r="A133" i="3" s="1"/>
  <c r="A140" i="3" s="1"/>
  <c r="A147" i="3" s="1"/>
  <c r="A154" i="3" s="1"/>
  <c r="A161" i="3" s="1"/>
  <c r="A168" i="3" s="1"/>
  <c r="A175" i="3" s="1"/>
  <c r="A182" i="3" s="1"/>
</calcChain>
</file>

<file path=xl/sharedStrings.xml><?xml version="1.0" encoding="utf-8"?>
<sst xmlns="http://schemas.openxmlformats.org/spreadsheetml/2006/main" count="644" uniqueCount="606">
  <si>
    <t>IRACNTT@TRANSPRT</t>
  </si>
  <si>
    <t>IRACNTK@TRANSPRT</t>
  </si>
  <si>
    <t>20250101 !D</t>
  </si>
  <si>
    <t>20250101</t>
  </si>
  <si>
    <t>.FRQ</t>
  </si>
  <si>
    <t>.LSOURCE</t>
  </si>
  <si>
    <t>.TN</t>
  </si>
  <si>
    <t>.T1</t>
  </si>
  <si>
    <t>.DESC</t>
  </si>
  <si>
    <t>Daily (7)</t>
  </si>
  <si>
    <t>International Monetary Fund</t>
  </si>
  <si>
    <t>01-Jan-2019</t>
  </si>
  <si>
    <t>Iran: Strait of Hormuz: Transit Calls: All Ships (Number)</t>
  </si>
  <si>
    <t>Iran: Strait of Hormuz: Transit Calls: Tankers (Number)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</si>
  <si>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</si>
  <si>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</si>
  <si>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</si>
  <si>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</si>
  <si>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</si>
  <si>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</si>
  <si>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</si>
  <si>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</si>
  <si>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</si>
  <si>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</si>
  <si>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</si>
  <si>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</si>
  <si>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</si>
  <si>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</si>
  <si>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</si>
  <si>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</si>
  <si>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</si>
  <si>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</si>
  <si>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</si>
  <si>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</si>
  <si>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</si>
  <si>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</si>
  <si>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</si>
  <si>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</si>
  <si>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</si>
  <si>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</si>
  <si>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</si>
  <si>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</si>
  <si>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</si>
  <si>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</si>
  <si>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</si>
  <si>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</si>
  <si>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</si>
  <si>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</si>
  <si>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</si>
  <si>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</si>
  <si>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</si>
  <si>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</si>
  <si>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</si>
  <si>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</si>
  <si>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</si>
  <si>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</si>
  <si>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</si>
  <si>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</si>
  <si>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</si>
  <si>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</si>
  <si>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</si>
  <si>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</si>
  <si>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</si>
  <si>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</si>
  <si>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</si>
  <si>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</si>
  <si>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</si>
  <si>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</si>
  <si>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</si>
  <si>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</si>
  <si>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</si>
  <si>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</si>
  <si>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</si>
  <si>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</si>
  <si>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</si>
  <si>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</si>
  <si>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</si>
  <si>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</si>
  <si>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</si>
  <si>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</si>
  <si>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</si>
  <si>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</si>
  <si>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</si>
  <si>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</si>
  <si>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</si>
  <si>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</si>
  <si>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</si>
  <si>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</si>
  <si>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</si>
  <si>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</si>
  <si>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</si>
  <si>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</si>
  <si>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</si>
  <si>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</si>
  <si>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</si>
  <si>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</si>
  <si>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</si>
  <si>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</si>
  <si>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</si>
  <si>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</si>
  <si>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</si>
  <si>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</si>
  <si>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</si>
  <si>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</si>
  <si>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</si>
  <si>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</si>
  <si>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</si>
  <si>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</si>
  <si>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</si>
  <si>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</si>
  <si>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</si>
  <si>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</si>
  <si>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</si>
  <si>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</si>
  <si>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</si>
  <si>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</si>
  <si>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</si>
  <si>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</si>
  <si>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</si>
  <si>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</si>
  <si>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</si>
  <si>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</si>
  <si>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</si>
  <si>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</si>
  <si>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</si>
  <si>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</si>
  <si>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</si>
  <si>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</si>
  <si>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</si>
  <si>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</si>
  <si>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</si>
  <si>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</si>
  <si>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</si>
  <si>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</si>
  <si>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</si>
  <si>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</si>
  <si>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</si>
  <si>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</si>
  <si>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</si>
  <si>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</si>
  <si>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</si>
  <si>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</si>
  <si>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</si>
  <si>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</si>
  <si>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</si>
  <si>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</si>
  <si>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</si>
  <si>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</si>
  <si>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</si>
  <si>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</si>
  <si>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</si>
  <si>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</si>
  <si>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</si>
  <si>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</si>
  <si>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</si>
  <si>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</si>
  <si>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</si>
  <si>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</si>
  <si>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</si>
  <si>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</si>
  <si>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</si>
  <si>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</si>
  <si>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</si>
  <si>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</si>
  <si>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</si>
  <si>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</si>
  <si>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</si>
  <si>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</si>
  <si>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</si>
  <si>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</si>
  <si>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</si>
  <si>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</si>
  <si>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</si>
  <si>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</si>
  <si>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</si>
  <si>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</si>
  <si>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</si>
  <si>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</si>
  <si>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</si>
  <si>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</si>
  <si>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</si>
  <si>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</si>
  <si>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</si>
  <si>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</si>
  <si>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</si>
  <si>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</si>
  <si>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</si>
  <si>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</si>
  <si>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</si>
  <si>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</si>
  <si>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</si>
  <si>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</si>
  <si>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</si>
  <si>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</si>
  <si>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</si>
  <si>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</si>
  <si>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</si>
  <si>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</si>
  <si>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</si>
  <si>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</si>
  <si>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</si>
  <si>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</si>
  <si>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</si>
  <si>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</si>
  <si>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</si>
  <si>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</si>
  <si>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</si>
  <si>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</si>
  <si>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</si>
  <si>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</si>
  <si>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</si>
  <si>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</si>
  <si>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</si>
  <si>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</si>
  <si>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</si>
  <si>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</si>
  <si>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</si>
  <si>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</si>
  <si>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</si>
  <si>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</si>
  <si>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</si>
  <si>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</si>
  <si>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</si>
  <si>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</si>
  <si>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</si>
  <si>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</si>
  <si>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</si>
  <si>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</si>
  <si>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</si>
  <si>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</si>
  <si>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</si>
  <si>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</si>
  <si>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</si>
  <si>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</si>
  <si>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</si>
  <si>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</si>
  <si>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</si>
  <si>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</si>
  <si>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</si>
  <si>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</si>
  <si>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</si>
  <si>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</si>
  <si>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</si>
  <si>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</si>
  <si>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</si>
  <si>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</si>
  <si>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</si>
  <si>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</si>
  <si>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</si>
  <si>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</si>
  <si>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</si>
  <si>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</si>
  <si>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</si>
  <si>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</si>
  <si>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</si>
  <si>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</si>
  <si>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</si>
  <si>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</si>
  <si>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</si>
  <si>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</si>
  <si>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</si>
  <si>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</si>
  <si>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</si>
  <si>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</si>
  <si>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</si>
  <si>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</si>
  <si>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</si>
  <si>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</si>
  <si>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</si>
  <si>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</si>
  <si>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</si>
  <si>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</si>
  <si>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</si>
  <si>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</si>
  <si>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</si>
  <si>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</si>
  <si>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</si>
  <si>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</si>
  <si>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</si>
  <si>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</si>
  <si>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</si>
  <si>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</si>
  <si>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</si>
  <si>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</si>
  <si>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</si>
  <si>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</si>
  <si>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</si>
  <si>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</si>
  <si>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</si>
  <si>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</si>
  <si>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</si>
  <si>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</si>
  <si>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</si>
  <si>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</si>
  <si>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</si>
  <si>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</si>
  <si>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</si>
  <si>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</si>
  <si>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</si>
  <si>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</si>
  <si>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</si>
  <si>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</si>
  <si>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</si>
  <si>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</si>
  <si>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</si>
  <si>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</si>
  <si>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</si>
  <si>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</si>
  <si>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</si>
  <si>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</si>
  <si>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</si>
  <si>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</si>
  <si>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</si>
  <si>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</si>
  <si>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</si>
  <si>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</si>
  <si>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</si>
  <si>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</si>
  <si>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</si>
  <si>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</si>
  <si>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</si>
  <si>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</si>
  <si>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</si>
  <si>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</si>
  <si>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</si>
  <si>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</si>
  <si>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</si>
  <si>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</si>
  <si>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</si>
  <si>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</si>
  <si>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</si>
  <si>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</si>
  <si>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</si>
  <si>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</si>
  <si>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</si>
  <si>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</si>
  <si>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</si>
  <si>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</si>
  <si>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</si>
  <si>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</si>
  <si>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</si>
  <si>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</si>
  <si>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</si>
  <si>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</si>
  <si>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</si>
  <si>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</si>
  <si>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</si>
  <si>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</si>
  <si>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</si>
  <si>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</si>
  <si>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</si>
  <si>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</si>
  <si>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</si>
  <si>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</si>
  <si>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</si>
  <si>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</si>
  <si>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</si>
  <si>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</si>
  <si>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</si>
  <si>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</si>
  <si>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</si>
  <si>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</si>
  <si>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</si>
  <si>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</si>
  <si>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</si>
  <si>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</si>
  <si>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</si>
  <si>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</si>
  <si>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</si>
  <si>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</si>
  <si>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</si>
  <si>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</si>
  <si>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</si>
  <si>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</si>
  <si>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</si>
  <si>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</si>
  <si>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</si>
  <si>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</si>
  <si>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</si>
  <si>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</si>
  <si>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</si>
  <si>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</si>
  <si>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</si>
  <si>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</si>
  <si>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</si>
  <si>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</si>
  <si>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</si>
  <si>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</si>
  <si>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</si>
  <si>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</si>
  <si>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</si>
  <si>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</si>
  <si>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</si>
  <si>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</si>
  <si>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</si>
  <si>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</si>
  <si>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</si>
  <si>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</si>
  <si>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</si>
  <si>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</si>
  <si>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</si>
  <si>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</si>
  <si>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</si>
  <si>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</si>
  <si>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</si>
  <si>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</si>
  <si>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</si>
  <si>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</si>
  <si>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</si>
  <si>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20260201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</si>
  <si>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</si>
  <si>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</si>
  <si>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</si>
  <si>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</si>
  <si>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</si>
  <si>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</si>
  <si>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</si>
  <si>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</si>
  <si>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</si>
  <si>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</si>
  <si>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</si>
  <si>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</si>
  <si>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</si>
  <si>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</si>
  <si>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</si>
  <si>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</si>
  <si>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</si>
  <si>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</si>
  <si>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</si>
  <si>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</si>
  <si>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</si>
  <si>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</si>
  <si>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</si>
  <si>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</si>
  <si>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</si>
  <si>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</si>
  <si>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</si>
  <si>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</si>
  <si>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</si>
  <si>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</si>
  <si>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</si>
  <si>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</si>
  <si>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</si>
  <si>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</si>
  <si>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</si>
  <si>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</si>
  <si>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</si>
  <si>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</si>
  <si>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</si>
  <si>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</si>
  <si>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</si>
  <si>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</si>
  <si>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</si>
  <si>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</si>
  <si>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</si>
  <si>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</si>
  <si>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</si>
  <si>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</si>
  <si>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</si>
  <si>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</si>
  <si>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</si>
  <si>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</si>
  <si>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</si>
  <si>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</si>
  <si>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</si>
  <si>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</si>
  <si>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</si>
  <si>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</si>
  <si>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</si>
  <si>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</si>
  <si>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</si>
  <si>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</si>
  <si>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</si>
  <si>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</si>
  <si>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</si>
  <si>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</si>
  <si>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</si>
  <si>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</si>
  <si>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20260411</t>
  </si>
  <si>
    <t>20260412</t>
  </si>
  <si>
    <t>20260413</t>
  </si>
  <si>
    <t>20260414</t>
  </si>
  <si>
    <t>20260415</t>
  </si>
  <si>
    <t>20260416</t>
  </si>
  <si>
    <t>20260417</t>
  </si>
  <si>
    <t>20260418</t>
  </si>
  <si>
    <t>20260419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</si>
  <si>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</si>
  <si>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</si>
  <si>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</si>
  <si>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</si>
  <si>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</si>
  <si>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</si>
  <si>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</si>
  <si>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</si>
  <si>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20260428</t>
  </si>
  <si>
    <t>20260429</t>
  </si>
  <si>
    <t>20260430</t>
  </si>
  <si>
    <t>20260501</t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</si>
  <si>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</si>
  <si>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</si>
  <si>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</si>
  <si>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</si>
  <si>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</si>
  <si>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</si>
  <si>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</si>
  <si>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</si>
  <si>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20260510</t>
  </si>
  <si>
    <t>20260511</t>
  </si>
  <si>
    <t>20260512</t>
  </si>
  <si>
    <t>20260513</t>
  </si>
  <si>
    <t>20260514</t>
  </si>
  <si>
    <t>20260515</t>
  </si>
  <si>
    <t>20260516</t>
  </si>
  <si>
    <t>20260517</t>
  </si>
  <si>
    <t>20260518</t>
  </si>
  <si>
    <t>20260519</t>
  </si>
  <si>
    <t>20260520</t>
  </si>
  <si>
    <t>20260521</t>
  </si>
  <si>
    <t>20260522</t>
  </si>
  <si>
    <t>20260523</t>
  </si>
  <si>
    <t>20260524</t>
  </si>
  <si>
    <t>20260525</t>
  </si>
  <si>
    <t>20260526</t>
  </si>
  <si>
    <t>20260527</t>
  </si>
  <si>
    <t>20260528</t>
  </si>
  <si>
    <t>20260529</t>
  </si>
  <si>
    <t>20260530</t>
  </si>
  <si>
    <t>20260531</t>
  </si>
  <si>
    <t>Date</t>
  </si>
  <si>
    <t>Total</t>
  </si>
  <si>
    <t>Tanker</t>
  </si>
  <si>
    <t>Shipping Data &gt;&gt;&gt;</t>
  </si>
  <si>
    <t>202401</t>
  </si>
  <si>
    <t>Monthly</t>
  </si>
  <si>
    <t>Bank of England</t>
  </si>
  <si>
    <t>May-2026</t>
  </si>
  <si>
    <t>May-2022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</si>
  <si>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</si>
  <si>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</si>
  <si>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</si>
  <si>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</si>
  <si>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</si>
  <si>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</si>
  <si>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</si>
  <si>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</si>
  <si>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</si>
  <si>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</si>
  <si>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</si>
  <si>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</si>
  <si>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</si>
  <si>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</si>
  <si>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</si>
  <si>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</si>
  <si>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</si>
  <si>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</si>
  <si>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</si>
  <si>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</si>
  <si>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</si>
  <si>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</si>
  <si>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</si>
  <si>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</si>
  <si>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</si>
  <si>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</si>
  <si>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</si>
  <si>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</si>
  <si>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1-year ahead</t>
  </si>
  <si>
    <t>5-10 years ahead</t>
  </si>
  <si>
    <t>3 years ahead</t>
  </si>
  <si>
    <t>202301 !M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</si>
  <si>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</si>
  <si>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</si>
  <si>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</si>
  <si>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</si>
  <si>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</si>
  <si>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</si>
  <si>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</si>
  <si>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</si>
  <si>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</si>
  <si>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</si>
  <si>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</si>
  <si>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</si>
  <si>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UNVDCPI1@UK</t>
  </si>
  <si>
    <t>UNVDCPI3@UK</t>
  </si>
  <si>
    <t>UK: BoE Decision Maker Panel: Expected 1-Year Ahead CPI Inflation Rate (%)</t>
  </si>
  <si>
    <t>UK: BoE Decision Maker Panel: Expected 3-Year Ahead CPI Inflation Rate (%)</t>
  </si>
  <si>
    <t>Impact of increases in energy prices following the Iran conflict in 2026, % of respondents [ᴺᵒᵗᵉˢ 16]</t>
  </si>
  <si>
    <t>Sales volumes</t>
  </si>
  <si>
    <t>Employment</t>
  </si>
  <si>
    <t>Prices</t>
  </si>
  <si>
    <t>Wages</t>
  </si>
  <si>
    <t>Profit margins</t>
  </si>
  <si>
    <t>Survey date/reference period</t>
  </si>
  <si>
    <t>Lower</t>
  </si>
  <si>
    <t>No impact</t>
  </si>
  <si>
    <t>Higher</t>
  </si>
  <si>
    <t>Apr-26</t>
  </si>
  <si>
    <t/>
  </si>
  <si>
    <t>07-Jun-2026</t>
  </si>
  <si>
    <t>20260601</t>
  </si>
  <si>
    <t>20260602</t>
  </si>
  <si>
    <t>20260603</t>
  </si>
  <si>
    <t>20260604</t>
  </si>
  <si>
    <t>20260605</t>
  </si>
  <si>
    <t>20260606</t>
  </si>
  <si>
    <t>20260607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</si>
</sst>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quotePrefix="1"/>
    <xf numFmtId="1" fontId="0" fillId="0" borderId="0" xfId="0" applyNumberFormat="1"/>
    <xf numFmtId="14" fontId="0" fillId="0" borderId="0" xfId="0" applyNumberFormat="1"/>
    <xf numFmtId="0" fontId="1" fillId="0" borderId="0" xfId="0" applyFont="1"/>
    <xf numFmtId="17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1" applyFill="1"/>
    <xf numFmtId="0" fontId="3" fillId="0" borderId="0" xfId="2"/>
    <xf numFmtId="0" fontId="1" fillId="0" borderId="0" xfId="2" applyFont="1" applyAlignment="1">
      <alignment vertical="center"/>
    </xf>
    <xf numFmtId="0" fontId="3" fillId="0" borderId="0" xfId="2" applyAlignment="1">
      <alignment horizontal="center"/>
    </xf>
    <xf numFmtId="165" fontId="1" fillId="0" borderId="0" xfId="2" applyNumberFormat="1" applyFont="1"/>
    <xf numFmtId="165" fontId="3" fillId="0" borderId="0" xfId="2" applyNumberFormat="1" applyAlignment="1">
      <alignment horizontal="center"/>
    </xf>
    <xf numFmtId="165" fontId="3" fillId="0" borderId="0" xfId="2" applyNumberFormat="1" applyAlignment="1">
      <alignment horizontal="center" vertical="top" wrapText="1"/>
    </xf>
    <xf numFmtId="0" fontId="3" fillId="0" borderId="0" xfId="2" applyAlignment="1">
      <alignment horizontal="right" vertical="center"/>
    </xf>
    <xf numFmtId="1" fontId="3" fillId="0" borderId="0" xfId="2" applyNumberFormat="1" applyAlignment="1">
      <alignment horizontal="center" vertical="center"/>
    </xf>
    <xf numFmtId="0" fontId="3" fillId="0" borderId="0" xfId="2" applyAlignment="1">
      <alignment vertical="center"/>
    </xf>
    <xf numFmtId="17" fontId="3" fillId="0" borderId="0" xfId="2" applyNumberFormat="1" applyAlignment="1">
      <alignment horizontal="right" vertical="center"/>
    </xf>
    <xf numFmtId="1" fontId="3" fillId="0" borderId="0" xfId="2" applyNumberFormat="1" applyAlignment="1">
      <alignment horizontal="center"/>
    </xf>
    <xf numFmtId="1" fontId="0" fillId="0" borderId="0" xfId="0" applyNumberFormat="1" applyAlignment="1">
      <alignment horizontal="center"/>
    </xf>
    <xf numFmtId="17" fontId="3" fillId="0" borderId="0" xfId="2" applyNumberFormat="1" applyAlignment="1">
      <alignment horizontal="right"/>
    </xf>
    <xf numFmtId="1" fontId="4" fillId="0" borderId="0" xfId="2" applyNumberFormat="1" applyFont="1" applyAlignment="1">
      <alignment horizontal="center"/>
    </xf>
    <xf numFmtId="17" fontId="2" fillId="0" borderId="0" xfId="3" applyNumberFormat="1" applyAlignment="1">
      <alignment horizontal="right"/>
    </xf>
    <xf numFmtId="0" fontId="1" fillId="0" borderId="0" xfId="2" applyFont="1" applyAlignment="1">
      <alignment vertical="center" wrapText="1"/>
    </xf>
    <xf numFmtId="0" fontId="1" fillId="0" borderId="0" xfId="2" applyFont="1" applyAlignment="1">
      <alignment vertical="center"/>
    </xf>
    <xf numFmtId="165" fontId="1" fillId="0" borderId="1" xfId="2" applyNumberFormat="1" applyFont="1" applyBorder="1" applyAlignment="1">
      <alignment horizontal="center"/>
    </xf>
    <xf numFmtId="165" fontId="3" fillId="0" borderId="1" xfId="2" applyNumberFormat="1" applyBorder="1" applyAlignment="1">
      <alignment horizontal="center"/>
    </xf>
    <xf numFmtId="165" fontId="3" fillId="0" borderId="1" xfId="2" applyNumberFormat="1" applyBorder="1"/>
    <xf numFmtId="0" fontId="3" fillId="0" borderId="1" xfId="2" applyBorder="1"/>
  </cellXfs>
  <cellStyles count="4">
    <cellStyle name="Hyperlink" xfId="1" builtinId="8"/>
    <cellStyle name="Hyperlink 2" xfId="3" xr:uid="{FC8BE1F2-CE70-4AA7-97C7-60D7C00D2729}"/>
    <cellStyle name="Normal" xfId="0" builtinId="0"/>
    <cellStyle name="Normal 2" xfId="2" xr:uid="{3CDE50AE-F2FC-45EE-A4D7-92473B757DB9}"/>
  </cellStyles>
  <dxfs count="6">
    <dxf>
      <font>
        <b val="0"/>
        <i/>
      </font>
    </dxf>
    <dxf>
      <font>
        <b val="0"/>
        <i/>
      </font>
    </dxf>
    <dxf>
      <font>
        <b val="0"/>
        <i/>
      </font>
    </dxf>
    <dxf>
      <numFmt numFmtId="165" formatCode="0.0"/>
    </dxf>
    <dxf>
      <numFmt numFmtId="165" formatCode="0.0"/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externalLink" Target="externalLinks/externalLink2.xml"/><Relationship Id="rId5" Type="http://schemas.openxmlformats.org/officeDocument/2006/relationships/chartsheet" Target="chartsheets/sheet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99504337050805447"/>
          <c:h val="0.8020050125313282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data'!$Q$3</c:f>
              <c:strCache>
                <c:ptCount val="1"/>
                <c:pt idx="0">
                  <c:v>Lower</c:v>
                </c:pt>
              </c:strCache>
            </c:strRef>
          </c:tx>
          <c:spPr>
            <a:solidFill>
              <a:srgbClr val="003466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cat>
            <c:strRef>
              <c:f>'Chart data'!$P$4:$P$7</c:f>
              <c:strCache>
                <c:ptCount val="4"/>
                <c:pt idx="0">
                  <c:v>Employment</c:v>
                </c:pt>
                <c:pt idx="1">
                  <c:v>Prices</c:v>
                </c:pt>
                <c:pt idx="2">
                  <c:v>Wages</c:v>
                </c:pt>
                <c:pt idx="3">
                  <c:v>Profit margins</c:v>
                </c:pt>
              </c:strCache>
            </c:strRef>
          </c:cat>
          <c:val>
            <c:numRef>
              <c:f>'Chart data'!$Q$4:$Q$7</c:f>
              <c:numCache>
                <c:formatCode>0</c:formatCode>
                <c:ptCount val="4"/>
                <c:pt idx="0">
                  <c:v>29.376999999999999</c:v>
                </c:pt>
                <c:pt idx="1">
                  <c:v>4.5780000000000003</c:v>
                </c:pt>
                <c:pt idx="2">
                  <c:v>18.652000000000001</c:v>
                </c:pt>
                <c:pt idx="3">
                  <c:v>67.662999999999997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A-4D48-BFF9-BBD18A0AC4BD}"/>
            </c:ext>
          </c:extLst>
        </c:ser>
        <c:ser>
          <c:idx val="1"/>
          <c:order val="1"/>
          <c:tx>
            <c:strRef>
              <c:f>'Chart data'!$R$3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rgbClr val="008AC8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cat>
            <c:strRef>
              <c:f>'Chart data'!$P$4:$P$7</c:f>
              <c:strCache>
                <c:ptCount val="4"/>
                <c:pt idx="0">
                  <c:v>Employment</c:v>
                </c:pt>
                <c:pt idx="1">
                  <c:v>Prices</c:v>
                </c:pt>
                <c:pt idx="2">
                  <c:v>Wages</c:v>
                </c:pt>
                <c:pt idx="3">
                  <c:v>Profit margins</c:v>
                </c:pt>
              </c:strCache>
            </c:strRef>
          </c:cat>
          <c:val>
            <c:numRef>
              <c:f>'Chart data'!$R$4:$R$7</c:f>
              <c:numCache>
                <c:formatCode>0</c:formatCode>
                <c:ptCount val="4"/>
                <c:pt idx="0">
                  <c:v>68.239999999999995</c:v>
                </c:pt>
                <c:pt idx="1">
                  <c:v>38.536000000000001</c:v>
                </c:pt>
                <c:pt idx="2">
                  <c:v>56.935000000000002</c:v>
                </c:pt>
                <c:pt idx="3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A-4D48-BFF9-BBD18A0AC4BD}"/>
            </c:ext>
          </c:extLst>
        </c:ser>
        <c:ser>
          <c:idx val="2"/>
          <c:order val="2"/>
          <c:tx>
            <c:strRef>
              <c:f>'Chart data'!$S$3</c:f>
              <c:strCache>
                <c:ptCount val="1"/>
                <c:pt idx="0">
                  <c:v>Higher</c:v>
                </c:pt>
              </c:strCache>
            </c:strRef>
          </c:tx>
          <c:spPr>
            <a:solidFill>
              <a:srgbClr val="B38D2F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cat>
            <c:strRef>
              <c:f>'Chart data'!$P$4:$P$7</c:f>
              <c:strCache>
                <c:ptCount val="4"/>
                <c:pt idx="0">
                  <c:v>Employment</c:v>
                </c:pt>
                <c:pt idx="1">
                  <c:v>Prices</c:v>
                </c:pt>
                <c:pt idx="2">
                  <c:v>Wages</c:v>
                </c:pt>
                <c:pt idx="3">
                  <c:v>Profit margins</c:v>
                </c:pt>
              </c:strCache>
            </c:strRef>
          </c:cat>
          <c:val>
            <c:numRef>
              <c:f>'Chart data'!$S$4:$S$7</c:f>
              <c:numCache>
                <c:formatCode>0</c:formatCode>
                <c:ptCount val="4"/>
                <c:pt idx="0">
                  <c:v>2.3839999999999999</c:v>
                </c:pt>
                <c:pt idx="1">
                  <c:v>56.886000000000003</c:v>
                </c:pt>
                <c:pt idx="2">
                  <c:v>24.413</c:v>
                </c:pt>
                <c:pt idx="3">
                  <c:v>6.6369999999999996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A-4D48-BFF9-BBD18A0AC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0642956805120547"/>
          <c:y val="8.2706766917293228E-2"/>
          <c:w val="0.41192401135731638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solidFill>
                <a:srgbClr val="003466"/>
              </a:solidFill>
            </a:ln>
          </c:spPr>
          <c:marker>
            <c:symbol val="none"/>
          </c:marker>
          <c:cat>
            <c:numRef>
              <c:f>'Chart data'!$A$4:$A$184</c:f>
              <c:numCache>
                <c:formatCode>m/d/yyyy</c:formatCode>
                <c:ptCount val="18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</c:numCache>
            </c:numRef>
          </c:cat>
          <c:val>
            <c:numRef>
              <c:f>'Chart data'!$B$4:$B$184</c:f>
              <c:numCache>
                <c:formatCode>0</c:formatCode>
                <c:ptCount val="181"/>
                <c:pt idx="0">
                  <c:v>68</c:v>
                </c:pt>
                <c:pt idx="1">
                  <c:v>65</c:v>
                </c:pt>
                <c:pt idx="2">
                  <c:v>69</c:v>
                </c:pt>
                <c:pt idx="3">
                  <c:v>71</c:v>
                </c:pt>
                <c:pt idx="4">
                  <c:v>64</c:v>
                </c:pt>
                <c:pt idx="5">
                  <c:v>82</c:v>
                </c:pt>
                <c:pt idx="6">
                  <c:v>84</c:v>
                </c:pt>
                <c:pt idx="7">
                  <c:v>70</c:v>
                </c:pt>
                <c:pt idx="8">
                  <c:v>90</c:v>
                </c:pt>
                <c:pt idx="9">
                  <c:v>77</c:v>
                </c:pt>
                <c:pt idx="10">
                  <c:v>77</c:v>
                </c:pt>
                <c:pt idx="11">
                  <c:v>71</c:v>
                </c:pt>
                <c:pt idx="12">
                  <c:v>63</c:v>
                </c:pt>
                <c:pt idx="13">
                  <c:v>78</c:v>
                </c:pt>
                <c:pt idx="14">
                  <c:v>73</c:v>
                </c:pt>
                <c:pt idx="15">
                  <c:v>75</c:v>
                </c:pt>
                <c:pt idx="16">
                  <c:v>55</c:v>
                </c:pt>
                <c:pt idx="17">
                  <c:v>72</c:v>
                </c:pt>
                <c:pt idx="18">
                  <c:v>78</c:v>
                </c:pt>
                <c:pt idx="19">
                  <c:v>85</c:v>
                </c:pt>
                <c:pt idx="20">
                  <c:v>73</c:v>
                </c:pt>
                <c:pt idx="21">
                  <c:v>68</c:v>
                </c:pt>
                <c:pt idx="22">
                  <c:v>62</c:v>
                </c:pt>
                <c:pt idx="23">
                  <c:v>63</c:v>
                </c:pt>
                <c:pt idx="24">
                  <c:v>90</c:v>
                </c:pt>
                <c:pt idx="25">
                  <c:v>54</c:v>
                </c:pt>
                <c:pt idx="26">
                  <c:v>79</c:v>
                </c:pt>
                <c:pt idx="27">
                  <c:v>67</c:v>
                </c:pt>
                <c:pt idx="28">
                  <c:v>86</c:v>
                </c:pt>
                <c:pt idx="29">
                  <c:v>86</c:v>
                </c:pt>
                <c:pt idx="30">
                  <c:v>100</c:v>
                </c:pt>
                <c:pt idx="31">
                  <c:v>80</c:v>
                </c:pt>
                <c:pt idx="32">
                  <c:v>90</c:v>
                </c:pt>
                <c:pt idx="33">
                  <c:v>83</c:v>
                </c:pt>
                <c:pt idx="34">
                  <c:v>77</c:v>
                </c:pt>
                <c:pt idx="35">
                  <c:v>89</c:v>
                </c:pt>
                <c:pt idx="36">
                  <c:v>82</c:v>
                </c:pt>
                <c:pt idx="37">
                  <c:v>90</c:v>
                </c:pt>
                <c:pt idx="38">
                  <c:v>90</c:v>
                </c:pt>
                <c:pt idx="39">
                  <c:v>66</c:v>
                </c:pt>
                <c:pt idx="40">
                  <c:v>95</c:v>
                </c:pt>
                <c:pt idx="41">
                  <c:v>82</c:v>
                </c:pt>
                <c:pt idx="42">
                  <c:v>119</c:v>
                </c:pt>
                <c:pt idx="43">
                  <c:v>110</c:v>
                </c:pt>
                <c:pt idx="44">
                  <c:v>99</c:v>
                </c:pt>
                <c:pt idx="45">
                  <c:v>87</c:v>
                </c:pt>
                <c:pt idx="46">
                  <c:v>95</c:v>
                </c:pt>
                <c:pt idx="47">
                  <c:v>91</c:v>
                </c:pt>
                <c:pt idx="48">
                  <c:v>113</c:v>
                </c:pt>
                <c:pt idx="49">
                  <c:v>115</c:v>
                </c:pt>
                <c:pt idx="50">
                  <c:v>90</c:v>
                </c:pt>
                <c:pt idx="51">
                  <c:v>94</c:v>
                </c:pt>
                <c:pt idx="52">
                  <c:v>129</c:v>
                </c:pt>
                <c:pt idx="53">
                  <c:v>103</c:v>
                </c:pt>
                <c:pt idx="54">
                  <c:v>107</c:v>
                </c:pt>
                <c:pt idx="55">
                  <c:v>109</c:v>
                </c:pt>
                <c:pt idx="56">
                  <c:v>102</c:v>
                </c:pt>
                <c:pt idx="57">
                  <c:v>95</c:v>
                </c:pt>
                <c:pt idx="58">
                  <c:v>76</c:v>
                </c:pt>
                <c:pt idx="59">
                  <c:v>17</c:v>
                </c:pt>
                <c:pt idx="60">
                  <c:v>4</c:v>
                </c:pt>
                <c:pt idx="61">
                  <c:v>5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7</c:v>
                </c:pt>
                <c:pt idx="66">
                  <c:v>6</c:v>
                </c:pt>
                <c:pt idx="67">
                  <c:v>9</c:v>
                </c:pt>
                <c:pt idx="68">
                  <c:v>4</c:v>
                </c:pt>
                <c:pt idx="69">
                  <c:v>5</c:v>
                </c:pt>
                <c:pt idx="70">
                  <c:v>8</c:v>
                </c:pt>
                <c:pt idx="71">
                  <c:v>3</c:v>
                </c:pt>
                <c:pt idx="72">
                  <c:v>3</c:v>
                </c:pt>
                <c:pt idx="73">
                  <c:v>9</c:v>
                </c:pt>
                <c:pt idx="74">
                  <c:v>4</c:v>
                </c:pt>
                <c:pt idx="75">
                  <c:v>2</c:v>
                </c:pt>
                <c:pt idx="76">
                  <c:v>1</c:v>
                </c:pt>
                <c:pt idx="77">
                  <c:v>3</c:v>
                </c:pt>
                <c:pt idx="78">
                  <c:v>6</c:v>
                </c:pt>
                <c:pt idx="79">
                  <c:v>0</c:v>
                </c:pt>
                <c:pt idx="80">
                  <c:v>3</c:v>
                </c:pt>
                <c:pt idx="81">
                  <c:v>4</c:v>
                </c:pt>
                <c:pt idx="82">
                  <c:v>2</c:v>
                </c:pt>
                <c:pt idx="83">
                  <c:v>1</c:v>
                </c:pt>
                <c:pt idx="84">
                  <c:v>5</c:v>
                </c:pt>
                <c:pt idx="85">
                  <c:v>3</c:v>
                </c:pt>
                <c:pt idx="86">
                  <c:v>4</c:v>
                </c:pt>
                <c:pt idx="87">
                  <c:v>5</c:v>
                </c:pt>
                <c:pt idx="88">
                  <c:v>17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5</c:v>
                </c:pt>
                <c:pt idx="93">
                  <c:v>10</c:v>
                </c:pt>
                <c:pt idx="94">
                  <c:v>9</c:v>
                </c:pt>
                <c:pt idx="95">
                  <c:v>5</c:v>
                </c:pt>
                <c:pt idx="96">
                  <c:v>4</c:v>
                </c:pt>
                <c:pt idx="97">
                  <c:v>4</c:v>
                </c:pt>
                <c:pt idx="98">
                  <c:v>9</c:v>
                </c:pt>
                <c:pt idx="99">
                  <c:v>5</c:v>
                </c:pt>
                <c:pt idx="100">
                  <c:v>11</c:v>
                </c:pt>
                <c:pt idx="101">
                  <c:v>8</c:v>
                </c:pt>
                <c:pt idx="102">
                  <c:v>11</c:v>
                </c:pt>
                <c:pt idx="103">
                  <c:v>10</c:v>
                </c:pt>
                <c:pt idx="104">
                  <c:v>10</c:v>
                </c:pt>
                <c:pt idx="105">
                  <c:v>6</c:v>
                </c:pt>
                <c:pt idx="106">
                  <c:v>14</c:v>
                </c:pt>
                <c:pt idx="107">
                  <c:v>29</c:v>
                </c:pt>
                <c:pt idx="108">
                  <c:v>4</c:v>
                </c:pt>
                <c:pt idx="109">
                  <c:v>7</c:v>
                </c:pt>
                <c:pt idx="110">
                  <c:v>3</c:v>
                </c:pt>
                <c:pt idx="111">
                  <c:v>7</c:v>
                </c:pt>
                <c:pt idx="112">
                  <c:v>2</c:v>
                </c:pt>
                <c:pt idx="113">
                  <c:v>8</c:v>
                </c:pt>
                <c:pt idx="114">
                  <c:v>5</c:v>
                </c:pt>
                <c:pt idx="115">
                  <c:v>5</c:v>
                </c:pt>
                <c:pt idx="116">
                  <c:v>3</c:v>
                </c:pt>
                <c:pt idx="117">
                  <c:v>11</c:v>
                </c:pt>
                <c:pt idx="118">
                  <c:v>6</c:v>
                </c:pt>
                <c:pt idx="119">
                  <c:v>5</c:v>
                </c:pt>
                <c:pt idx="120">
                  <c:v>6</c:v>
                </c:pt>
                <c:pt idx="121">
                  <c:v>4</c:v>
                </c:pt>
                <c:pt idx="122">
                  <c:v>5</c:v>
                </c:pt>
                <c:pt idx="123">
                  <c:v>3</c:v>
                </c:pt>
                <c:pt idx="124">
                  <c:v>1</c:v>
                </c:pt>
                <c:pt idx="125">
                  <c:v>0</c:v>
                </c:pt>
                <c:pt idx="126">
                  <c:v>2</c:v>
                </c:pt>
                <c:pt idx="127">
                  <c:v>0</c:v>
                </c:pt>
                <c:pt idx="128">
                  <c:v>1</c:v>
                </c:pt>
                <c:pt idx="129">
                  <c:v>4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4</c:v>
                </c:pt>
                <c:pt idx="135">
                  <c:v>10</c:v>
                </c:pt>
                <c:pt idx="136">
                  <c:v>2</c:v>
                </c:pt>
                <c:pt idx="137">
                  <c:v>2</c:v>
                </c:pt>
                <c:pt idx="138">
                  <c:v>6</c:v>
                </c:pt>
                <c:pt idx="139">
                  <c:v>12</c:v>
                </c:pt>
                <c:pt idx="140">
                  <c:v>4</c:v>
                </c:pt>
                <c:pt idx="141">
                  <c:v>5</c:v>
                </c:pt>
                <c:pt idx="142">
                  <c:v>9</c:v>
                </c:pt>
                <c:pt idx="143">
                  <c:v>4</c:v>
                </c:pt>
                <c:pt idx="144">
                  <c:v>6</c:v>
                </c:pt>
                <c:pt idx="145">
                  <c:v>2</c:v>
                </c:pt>
                <c:pt idx="146">
                  <c:v>5</c:v>
                </c:pt>
                <c:pt idx="147">
                  <c:v>3</c:v>
                </c:pt>
                <c:pt idx="148">
                  <c:v>3</c:v>
                </c:pt>
                <c:pt idx="149">
                  <c:v>4</c:v>
                </c:pt>
                <c:pt idx="150">
                  <c:v>10</c:v>
                </c:pt>
                <c:pt idx="151">
                  <c:v>5</c:v>
                </c:pt>
                <c:pt idx="152">
                  <c:v>10</c:v>
                </c:pt>
                <c:pt idx="153">
                  <c:v>10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C-4847-B69B-58054886E2EF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Tanker</c:v>
                </c:pt>
              </c:strCache>
            </c:strRef>
          </c:tx>
          <c:spPr>
            <a:ln w="25400">
              <a:solidFill>
                <a:srgbClr val="EF4130"/>
              </a:solidFill>
            </a:ln>
          </c:spPr>
          <c:marker>
            <c:symbol val="none"/>
          </c:marker>
          <c:cat>
            <c:numRef>
              <c:f>'Chart data'!$A$4:$A$184</c:f>
              <c:numCache>
                <c:formatCode>m/d/yyyy</c:formatCode>
                <c:ptCount val="18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</c:numCache>
            </c:numRef>
          </c:cat>
          <c:val>
            <c:numRef>
              <c:f>'Chart data'!$C$4:$C$184</c:f>
              <c:numCache>
                <c:formatCode>0</c:formatCode>
                <c:ptCount val="181"/>
                <c:pt idx="0">
                  <c:v>33</c:v>
                </c:pt>
                <c:pt idx="1">
                  <c:v>33</c:v>
                </c:pt>
                <c:pt idx="2">
                  <c:v>41</c:v>
                </c:pt>
                <c:pt idx="3">
                  <c:v>35</c:v>
                </c:pt>
                <c:pt idx="4">
                  <c:v>36</c:v>
                </c:pt>
                <c:pt idx="5">
                  <c:v>40</c:v>
                </c:pt>
                <c:pt idx="6">
                  <c:v>47</c:v>
                </c:pt>
                <c:pt idx="7">
                  <c:v>40</c:v>
                </c:pt>
                <c:pt idx="8">
                  <c:v>50</c:v>
                </c:pt>
                <c:pt idx="9">
                  <c:v>41</c:v>
                </c:pt>
                <c:pt idx="10">
                  <c:v>39</c:v>
                </c:pt>
                <c:pt idx="11">
                  <c:v>44</c:v>
                </c:pt>
                <c:pt idx="12">
                  <c:v>31</c:v>
                </c:pt>
                <c:pt idx="13">
                  <c:v>42</c:v>
                </c:pt>
                <c:pt idx="14">
                  <c:v>41</c:v>
                </c:pt>
                <c:pt idx="15">
                  <c:v>40</c:v>
                </c:pt>
                <c:pt idx="16">
                  <c:v>31</c:v>
                </c:pt>
                <c:pt idx="17">
                  <c:v>29</c:v>
                </c:pt>
                <c:pt idx="18">
                  <c:v>41</c:v>
                </c:pt>
                <c:pt idx="19">
                  <c:v>47</c:v>
                </c:pt>
                <c:pt idx="20">
                  <c:v>42</c:v>
                </c:pt>
                <c:pt idx="21">
                  <c:v>36</c:v>
                </c:pt>
                <c:pt idx="22">
                  <c:v>29</c:v>
                </c:pt>
                <c:pt idx="23">
                  <c:v>31</c:v>
                </c:pt>
                <c:pt idx="24">
                  <c:v>59</c:v>
                </c:pt>
                <c:pt idx="25">
                  <c:v>28</c:v>
                </c:pt>
                <c:pt idx="26">
                  <c:v>42</c:v>
                </c:pt>
                <c:pt idx="27">
                  <c:v>40</c:v>
                </c:pt>
                <c:pt idx="28">
                  <c:v>48</c:v>
                </c:pt>
                <c:pt idx="29">
                  <c:v>48</c:v>
                </c:pt>
                <c:pt idx="30">
                  <c:v>56</c:v>
                </c:pt>
                <c:pt idx="31">
                  <c:v>37</c:v>
                </c:pt>
                <c:pt idx="32">
                  <c:v>55</c:v>
                </c:pt>
                <c:pt idx="33">
                  <c:v>45</c:v>
                </c:pt>
                <c:pt idx="34">
                  <c:v>43</c:v>
                </c:pt>
                <c:pt idx="35">
                  <c:v>46</c:v>
                </c:pt>
                <c:pt idx="36">
                  <c:v>50</c:v>
                </c:pt>
                <c:pt idx="37">
                  <c:v>48</c:v>
                </c:pt>
                <c:pt idx="38">
                  <c:v>49</c:v>
                </c:pt>
                <c:pt idx="39">
                  <c:v>41</c:v>
                </c:pt>
                <c:pt idx="40">
                  <c:v>59</c:v>
                </c:pt>
                <c:pt idx="41">
                  <c:v>46</c:v>
                </c:pt>
                <c:pt idx="42">
                  <c:v>55</c:v>
                </c:pt>
                <c:pt idx="43">
                  <c:v>64</c:v>
                </c:pt>
                <c:pt idx="44">
                  <c:v>58</c:v>
                </c:pt>
                <c:pt idx="45">
                  <c:v>50</c:v>
                </c:pt>
                <c:pt idx="46">
                  <c:v>60</c:v>
                </c:pt>
                <c:pt idx="47">
                  <c:v>43</c:v>
                </c:pt>
                <c:pt idx="48">
                  <c:v>52</c:v>
                </c:pt>
                <c:pt idx="49">
                  <c:v>62</c:v>
                </c:pt>
                <c:pt idx="50">
                  <c:v>54</c:v>
                </c:pt>
                <c:pt idx="51">
                  <c:v>54</c:v>
                </c:pt>
                <c:pt idx="52">
                  <c:v>72</c:v>
                </c:pt>
                <c:pt idx="53">
                  <c:v>62</c:v>
                </c:pt>
                <c:pt idx="54">
                  <c:v>55</c:v>
                </c:pt>
                <c:pt idx="55">
                  <c:v>58</c:v>
                </c:pt>
                <c:pt idx="56">
                  <c:v>53</c:v>
                </c:pt>
                <c:pt idx="57">
                  <c:v>53</c:v>
                </c:pt>
                <c:pt idx="58">
                  <c:v>44</c:v>
                </c:pt>
                <c:pt idx="59">
                  <c:v>7</c:v>
                </c:pt>
                <c:pt idx="60">
                  <c:v>2</c:v>
                </c:pt>
                <c:pt idx="61">
                  <c:v>2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2</c:v>
                </c:pt>
                <c:pt idx="66">
                  <c:v>1</c:v>
                </c:pt>
                <c:pt idx="67">
                  <c:v>6</c:v>
                </c:pt>
                <c:pt idx="68">
                  <c:v>1</c:v>
                </c:pt>
                <c:pt idx="69">
                  <c:v>1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5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12</c:v>
                </c:pt>
                <c:pt idx="89">
                  <c:v>2</c:v>
                </c:pt>
                <c:pt idx="90">
                  <c:v>0</c:v>
                </c:pt>
                <c:pt idx="91">
                  <c:v>2</c:v>
                </c:pt>
                <c:pt idx="92">
                  <c:v>4</c:v>
                </c:pt>
                <c:pt idx="93">
                  <c:v>2</c:v>
                </c:pt>
                <c:pt idx="94">
                  <c:v>7</c:v>
                </c:pt>
                <c:pt idx="95">
                  <c:v>1</c:v>
                </c:pt>
                <c:pt idx="96">
                  <c:v>3</c:v>
                </c:pt>
                <c:pt idx="97">
                  <c:v>0</c:v>
                </c:pt>
                <c:pt idx="98">
                  <c:v>4</c:v>
                </c:pt>
                <c:pt idx="99">
                  <c:v>1</c:v>
                </c:pt>
                <c:pt idx="100">
                  <c:v>5</c:v>
                </c:pt>
                <c:pt idx="101">
                  <c:v>3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4</c:v>
                </c:pt>
                <c:pt idx="107">
                  <c:v>16</c:v>
                </c:pt>
                <c:pt idx="108">
                  <c:v>2</c:v>
                </c:pt>
                <c:pt idx="109">
                  <c:v>4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2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0</c:v>
                </c:pt>
                <c:pt idx="137">
                  <c:v>1</c:v>
                </c:pt>
                <c:pt idx="138">
                  <c:v>4</c:v>
                </c:pt>
                <c:pt idx="139">
                  <c:v>4</c:v>
                </c:pt>
                <c:pt idx="140">
                  <c:v>2</c:v>
                </c:pt>
                <c:pt idx="141">
                  <c:v>0</c:v>
                </c:pt>
                <c:pt idx="142">
                  <c:v>4</c:v>
                </c:pt>
                <c:pt idx="143">
                  <c:v>2</c:v>
                </c:pt>
                <c:pt idx="144">
                  <c:v>2</c:v>
                </c:pt>
                <c:pt idx="145">
                  <c:v>0</c:v>
                </c:pt>
                <c:pt idx="146">
                  <c:v>2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1</c:v>
                </c:pt>
                <c:pt idx="152">
                  <c:v>4</c:v>
                </c:pt>
                <c:pt idx="153">
                  <c:v>3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0C-4847-B69B-58054886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dateAx>
        <c:axId val="274926592"/>
        <c:scaling>
          <c:orientation val="minMax"/>
          <c:max val="46188"/>
        </c:scaling>
        <c:delete val="0"/>
        <c:axPos val="b"/>
        <c:numFmt formatCode="mmm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Offset val="100"/>
        <c:baseTimeUnit val="days"/>
        <c:majorUnit val="1"/>
        <c:majorTimeUnit val="months"/>
      </c:dateAx>
      <c:valAx>
        <c:axId val="274950400"/>
        <c:scaling>
          <c:orientation val="minMax"/>
          <c:max val="140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5469743162327549"/>
          <c:y val="8.2551594746716694E-2"/>
          <c:w val="0.25098882138339951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48451053283767037"/>
          <c:h val="0.8020050125313282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data'!$G$3</c:f>
              <c:strCache>
                <c:ptCount val="1"/>
                <c:pt idx="0">
                  <c:v>1-year ahead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data'!$F$4:$F$45</c:f>
              <c:numCache>
                <c:formatCode>mmm\-yy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'Chart data'!$G$4:$G$45</c:f>
              <c:numCache>
                <c:formatCode>0.0</c:formatCode>
                <c:ptCount val="42"/>
                <c:pt idx="0">
                  <c:v>5.4</c:v>
                </c:pt>
                <c:pt idx="1">
                  <c:v>5.6</c:v>
                </c:pt>
                <c:pt idx="2">
                  <c:v>5.4</c:v>
                </c:pt>
                <c:pt idx="3">
                  <c:v>5.2</c:v>
                </c:pt>
                <c:pt idx="4">
                  <c:v>4.7</c:v>
                </c:pt>
                <c:pt idx="5">
                  <c:v>5</c:v>
                </c:pt>
                <c:pt idx="6">
                  <c:v>4.3</c:v>
                </c:pt>
                <c:pt idx="7">
                  <c:v>4.4000000000000004</c:v>
                </c:pt>
                <c:pt idx="8">
                  <c:v>4.2</c:v>
                </c:pt>
                <c:pt idx="9">
                  <c:v>4.2</c:v>
                </c:pt>
                <c:pt idx="10">
                  <c:v>3.9</c:v>
                </c:pt>
                <c:pt idx="11">
                  <c:v>3.5</c:v>
                </c:pt>
                <c:pt idx="12">
                  <c:v>3.9</c:v>
                </c:pt>
                <c:pt idx="13">
                  <c:v>3.6</c:v>
                </c:pt>
                <c:pt idx="14">
                  <c:v>3.3</c:v>
                </c:pt>
                <c:pt idx="15">
                  <c:v>3.3</c:v>
                </c:pt>
                <c:pt idx="16">
                  <c:v>3.1</c:v>
                </c:pt>
                <c:pt idx="17">
                  <c:v>2.6</c:v>
                </c:pt>
                <c:pt idx="18">
                  <c:v>2.7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3.5</c:v>
                </c:pt>
                <c:pt idx="23">
                  <c:v>3.7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4.2</c:v>
                </c:pt>
                <c:pt idx="28">
                  <c:v>4</c:v>
                </c:pt>
                <c:pt idx="29">
                  <c:v>3.9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4.2</c:v>
                </c:pt>
                <c:pt idx="34">
                  <c:v>3.7</c:v>
                </c:pt>
                <c:pt idx="35">
                  <c:v>3.6</c:v>
                </c:pt>
                <c:pt idx="36">
                  <c:v>3.778</c:v>
                </c:pt>
                <c:pt idx="37">
                  <c:v>3.3</c:v>
                </c:pt>
                <c:pt idx="38">
                  <c:v>5.4</c:v>
                </c:pt>
                <c:pt idx="39">
                  <c:v>5</c:v>
                </c:pt>
                <c:pt idx="40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94-469F-BCA7-D5A44BEBF508}"/>
            </c:ext>
          </c:extLst>
        </c:ser>
        <c:ser>
          <c:idx val="1"/>
          <c:order val="1"/>
          <c:tx>
            <c:strRef>
              <c:f>'Chart data'!$H$3</c:f>
              <c:strCache>
                <c:ptCount val="1"/>
                <c:pt idx="0">
                  <c:v>5-10 years ahead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data'!$F$4:$F$45</c:f>
              <c:numCache>
                <c:formatCode>mmm\-yy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'Chart data'!$H$4:$H$45</c:f>
              <c:numCache>
                <c:formatCode>0.0</c:formatCode>
                <c:ptCount val="42"/>
                <c:pt idx="0">
                  <c:v>3.5</c:v>
                </c:pt>
                <c:pt idx="1">
                  <c:v>3.8</c:v>
                </c:pt>
                <c:pt idx="2">
                  <c:v>3.7</c:v>
                </c:pt>
                <c:pt idx="3">
                  <c:v>3.6</c:v>
                </c:pt>
                <c:pt idx="4">
                  <c:v>3.5</c:v>
                </c:pt>
                <c:pt idx="5">
                  <c:v>3.3</c:v>
                </c:pt>
                <c:pt idx="6">
                  <c:v>3.2</c:v>
                </c:pt>
                <c:pt idx="7">
                  <c:v>3.3</c:v>
                </c:pt>
                <c:pt idx="8">
                  <c:v>3.3</c:v>
                </c:pt>
                <c:pt idx="9">
                  <c:v>3.5</c:v>
                </c:pt>
                <c:pt idx="10">
                  <c:v>3.4</c:v>
                </c:pt>
                <c:pt idx="11">
                  <c:v>3.4</c:v>
                </c:pt>
                <c:pt idx="12">
                  <c:v>3.6</c:v>
                </c:pt>
                <c:pt idx="13">
                  <c:v>3.5</c:v>
                </c:pt>
                <c:pt idx="14">
                  <c:v>3.4</c:v>
                </c:pt>
                <c:pt idx="15">
                  <c:v>3.5</c:v>
                </c:pt>
                <c:pt idx="16">
                  <c:v>3.2</c:v>
                </c:pt>
                <c:pt idx="17">
                  <c:v>3</c:v>
                </c:pt>
                <c:pt idx="18">
                  <c:v>3.1</c:v>
                </c:pt>
                <c:pt idx="19">
                  <c:v>3.1</c:v>
                </c:pt>
                <c:pt idx="20">
                  <c:v>3.6</c:v>
                </c:pt>
                <c:pt idx="21">
                  <c:v>3.8</c:v>
                </c:pt>
                <c:pt idx="22">
                  <c:v>3.6</c:v>
                </c:pt>
                <c:pt idx="23">
                  <c:v>3.9</c:v>
                </c:pt>
                <c:pt idx="24">
                  <c:v>3.7</c:v>
                </c:pt>
                <c:pt idx="25">
                  <c:v>3.9</c:v>
                </c:pt>
                <c:pt idx="26">
                  <c:v>4.2</c:v>
                </c:pt>
                <c:pt idx="27">
                  <c:v>4.2</c:v>
                </c:pt>
                <c:pt idx="28">
                  <c:v>4.2</c:v>
                </c:pt>
                <c:pt idx="29">
                  <c:v>4.3</c:v>
                </c:pt>
                <c:pt idx="30">
                  <c:v>4.2</c:v>
                </c:pt>
                <c:pt idx="31">
                  <c:v>3.9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3.9</c:v>
                </c:pt>
                <c:pt idx="35">
                  <c:v>3.8</c:v>
                </c:pt>
                <c:pt idx="36">
                  <c:v>4.117</c:v>
                </c:pt>
                <c:pt idx="37">
                  <c:v>3.6</c:v>
                </c:pt>
                <c:pt idx="38">
                  <c:v>4.5</c:v>
                </c:pt>
                <c:pt idx="39">
                  <c:v>4.2</c:v>
                </c:pt>
                <c:pt idx="4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94-469F-BCA7-D5A44BEB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2"/>
        <c:noMultiLvlLbl val="0"/>
      </c:catAx>
      <c:valAx>
        <c:axId val="274950400"/>
        <c:scaling>
          <c:orientation val="minMax"/>
          <c:max val="7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302354399008674E-2"/>
          <c:y val="8.2706766917293228E-2"/>
          <c:w val="0.36431343851535286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99504337050805447"/>
          <c:h val="0.8020050125313282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data'!$L$3</c:f>
              <c:strCache>
                <c:ptCount val="1"/>
                <c:pt idx="0">
                  <c:v>1-year ahead</c:v>
                </c:pt>
              </c:strCache>
            </c:strRef>
          </c:tx>
          <c:spPr>
            <a:ln w="25400">
              <a:solidFill>
                <a:srgbClr val="003466"/>
              </a:solidFill>
            </a:ln>
          </c:spPr>
          <c:marker>
            <c:symbol val="none"/>
          </c:marker>
          <c:cat>
            <c:numRef>
              <c:f>'Chart data'!$K$4:$K$45</c:f>
              <c:numCache>
                <c:formatCode>mmm\-yy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'Chart data'!$L$4:$L$45</c:f>
              <c:numCache>
                <c:formatCode>0.0</c:formatCode>
                <c:ptCount val="42"/>
                <c:pt idx="0">
                  <c:v>6.3949999999999996</c:v>
                </c:pt>
                <c:pt idx="1">
                  <c:v>5.875</c:v>
                </c:pt>
                <c:pt idx="2">
                  <c:v>5.84</c:v>
                </c:pt>
                <c:pt idx="3">
                  <c:v>5.5960000000000001</c:v>
                </c:pt>
                <c:pt idx="4">
                  <c:v>5.9059999999999997</c:v>
                </c:pt>
                <c:pt idx="5">
                  <c:v>5.6769999999999996</c:v>
                </c:pt>
                <c:pt idx="6">
                  <c:v>5.383</c:v>
                </c:pt>
                <c:pt idx="7">
                  <c:v>4.8330000000000002</c:v>
                </c:pt>
                <c:pt idx="8">
                  <c:v>4.8499999999999996</c:v>
                </c:pt>
                <c:pt idx="9">
                  <c:v>4.633</c:v>
                </c:pt>
                <c:pt idx="10">
                  <c:v>4.3860000000000001</c:v>
                </c:pt>
                <c:pt idx="11">
                  <c:v>3.99</c:v>
                </c:pt>
                <c:pt idx="12">
                  <c:v>3.4340000000000002</c:v>
                </c:pt>
                <c:pt idx="13">
                  <c:v>3.2850000000000001</c:v>
                </c:pt>
                <c:pt idx="14">
                  <c:v>3.1459999999999999</c:v>
                </c:pt>
                <c:pt idx="15">
                  <c:v>2.9350000000000001</c:v>
                </c:pt>
                <c:pt idx="16">
                  <c:v>2.8769999999999998</c:v>
                </c:pt>
                <c:pt idx="17">
                  <c:v>2.78</c:v>
                </c:pt>
                <c:pt idx="18">
                  <c:v>2.5449999999999999</c:v>
                </c:pt>
                <c:pt idx="19">
                  <c:v>2.6339999999999999</c:v>
                </c:pt>
                <c:pt idx="20">
                  <c:v>2.681</c:v>
                </c:pt>
                <c:pt idx="21">
                  <c:v>2.5379999999999998</c:v>
                </c:pt>
                <c:pt idx="22">
                  <c:v>2.8519999999999999</c:v>
                </c:pt>
                <c:pt idx="23">
                  <c:v>3.0369999999999999</c:v>
                </c:pt>
                <c:pt idx="24">
                  <c:v>3.048</c:v>
                </c:pt>
                <c:pt idx="25">
                  <c:v>3.0760000000000001</c:v>
                </c:pt>
                <c:pt idx="26">
                  <c:v>3.42</c:v>
                </c:pt>
                <c:pt idx="27">
                  <c:v>3.1659999999999999</c:v>
                </c:pt>
                <c:pt idx="28">
                  <c:v>3.036</c:v>
                </c:pt>
                <c:pt idx="29">
                  <c:v>3.27</c:v>
                </c:pt>
                <c:pt idx="30">
                  <c:v>3.1859999999999999</c:v>
                </c:pt>
                <c:pt idx="31">
                  <c:v>3.4380000000000002</c:v>
                </c:pt>
                <c:pt idx="32">
                  <c:v>3.4329999999999998</c:v>
                </c:pt>
                <c:pt idx="33">
                  <c:v>3.4359999999999999</c:v>
                </c:pt>
                <c:pt idx="34">
                  <c:v>3.387</c:v>
                </c:pt>
                <c:pt idx="35">
                  <c:v>3.242</c:v>
                </c:pt>
                <c:pt idx="36">
                  <c:v>2.9449999999999998</c:v>
                </c:pt>
                <c:pt idx="37">
                  <c:v>2.9849999999999999</c:v>
                </c:pt>
                <c:pt idx="38">
                  <c:v>3.504</c:v>
                </c:pt>
                <c:pt idx="39">
                  <c:v>3.96</c:v>
                </c:pt>
                <c:pt idx="40">
                  <c:v>3.738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E-4DF4-B5B0-7C414FEA5C2A}"/>
            </c:ext>
          </c:extLst>
        </c:ser>
        <c:ser>
          <c:idx val="1"/>
          <c:order val="1"/>
          <c:tx>
            <c:strRef>
              <c:f>'Chart data'!$M$3</c:f>
              <c:strCache>
                <c:ptCount val="1"/>
                <c:pt idx="0">
                  <c:v>3 years ahead</c:v>
                </c:pt>
              </c:strCache>
            </c:strRef>
          </c:tx>
          <c:spPr>
            <a:ln w="25400">
              <a:solidFill>
                <a:srgbClr val="EF4130"/>
              </a:solidFill>
            </a:ln>
          </c:spPr>
          <c:marker>
            <c:symbol val="none"/>
          </c:marker>
          <c:cat>
            <c:numRef>
              <c:f>'Chart data'!$K$4:$K$45</c:f>
              <c:numCache>
                <c:formatCode>mmm\-yy</c:formatCode>
                <c:ptCount val="4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</c:numCache>
            </c:numRef>
          </c:cat>
          <c:val>
            <c:numRef>
              <c:f>'Chart data'!$M$4:$M$45</c:f>
              <c:numCache>
                <c:formatCode>0.0</c:formatCode>
                <c:ptCount val="42"/>
                <c:pt idx="0">
                  <c:v>3.6949999999999998</c:v>
                </c:pt>
                <c:pt idx="1">
                  <c:v>3.407</c:v>
                </c:pt>
                <c:pt idx="2">
                  <c:v>3.492</c:v>
                </c:pt>
                <c:pt idx="3">
                  <c:v>3.3759999999999999</c:v>
                </c:pt>
                <c:pt idx="4">
                  <c:v>3.4940000000000002</c:v>
                </c:pt>
                <c:pt idx="5">
                  <c:v>3.6619999999999999</c:v>
                </c:pt>
                <c:pt idx="6">
                  <c:v>3.347</c:v>
                </c:pt>
                <c:pt idx="7">
                  <c:v>3.1579999999999999</c:v>
                </c:pt>
                <c:pt idx="8">
                  <c:v>3.2559999999999998</c:v>
                </c:pt>
                <c:pt idx="9">
                  <c:v>3.081</c:v>
                </c:pt>
                <c:pt idx="10">
                  <c:v>3.1890000000000001</c:v>
                </c:pt>
                <c:pt idx="11">
                  <c:v>2.8940000000000001</c:v>
                </c:pt>
                <c:pt idx="12">
                  <c:v>2.6880000000000002</c:v>
                </c:pt>
                <c:pt idx="13">
                  <c:v>2.7080000000000002</c:v>
                </c:pt>
                <c:pt idx="14">
                  <c:v>2.7090000000000001</c:v>
                </c:pt>
                <c:pt idx="15">
                  <c:v>2.6110000000000002</c:v>
                </c:pt>
                <c:pt idx="16">
                  <c:v>2.6150000000000002</c:v>
                </c:pt>
                <c:pt idx="17">
                  <c:v>2.7130000000000001</c:v>
                </c:pt>
                <c:pt idx="18">
                  <c:v>2.5409999999999999</c:v>
                </c:pt>
                <c:pt idx="19">
                  <c:v>2.6909999999999998</c:v>
                </c:pt>
                <c:pt idx="20">
                  <c:v>2.6909999999999998</c:v>
                </c:pt>
                <c:pt idx="21">
                  <c:v>2.5049999999999999</c:v>
                </c:pt>
                <c:pt idx="22">
                  <c:v>2.677</c:v>
                </c:pt>
                <c:pt idx="23">
                  <c:v>2.9180000000000001</c:v>
                </c:pt>
                <c:pt idx="24">
                  <c:v>2.6970000000000001</c:v>
                </c:pt>
                <c:pt idx="25">
                  <c:v>2.673</c:v>
                </c:pt>
                <c:pt idx="26">
                  <c:v>3.0209999999999999</c:v>
                </c:pt>
                <c:pt idx="27">
                  <c:v>2.7</c:v>
                </c:pt>
                <c:pt idx="28">
                  <c:v>2.738</c:v>
                </c:pt>
                <c:pt idx="29">
                  <c:v>2.89</c:v>
                </c:pt>
                <c:pt idx="30">
                  <c:v>2.786</c:v>
                </c:pt>
                <c:pt idx="31">
                  <c:v>2.9849999999999999</c:v>
                </c:pt>
                <c:pt idx="32">
                  <c:v>2.9750000000000001</c:v>
                </c:pt>
                <c:pt idx="33">
                  <c:v>2.919</c:v>
                </c:pt>
                <c:pt idx="34">
                  <c:v>2.9790000000000001</c:v>
                </c:pt>
                <c:pt idx="35">
                  <c:v>2.93</c:v>
                </c:pt>
                <c:pt idx="36">
                  <c:v>2.6850000000000001</c:v>
                </c:pt>
                <c:pt idx="37">
                  <c:v>2.722</c:v>
                </c:pt>
                <c:pt idx="38">
                  <c:v>2.8159999999999998</c:v>
                </c:pt>
                <c:pt idx="39">
                  <c:v>2.8239999999999998</c:v>
                </c:pt>
                <c:pt idx="40">
                  <c:v>2.875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CE-4DF4-B5B0-7C414FEA5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2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020397929798417"/>
          <c:y val="8.2706766917293228E-2"/>
          <c:w val="0.69371568963086772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99504337050805447"/>
          <c:h val="0.8020050125313282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data'!$G$3</c:f>
              <c:strCache>
                <c:ptCount val="1"/>
                <c:pt idx="0">
                  <c:v>1-year ahead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data'!$F$4:$F$44</c:f>
              <c:numCache>
                <c:formatCode>mmm\-yy</c:formatCode>
                <c:ptCount val="4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</c:numCache>
            </c:numRef>
          </c:cat>
          <c:val>
            <c:numRef>
              <c:f>'Chart data'!$G$4:$G$44</c:f>
              <c:numCache>
                <c:formatCode>0.0</c:formatCode>
                <c:ptCount val="41"/>
                <c:pt idx="0">
                  <c:v>5.4</c:v>
                </c:pt>
                <c:pt idx="1">
                  <c:v>5.6</c:v>
                </c:pt>
                <c:pt idx="2">
                  <c:v>5.4</c:v>
                </c:pt>
                <c:pt idx="3">
                  <c:v>5.2</c:v>
                </c:pt>
                <c:pt idx="4">
                  <c:v>4.7</c:v>
                </c:pt>
                <c:pt idx="5">
                  <c:v>5</c:v>
                </c:pt>
                <c:pt idx="6">
                  <c:v>4.3</c:v>
                </c:pt>
                <c:pt idx="7">
                  <c:v>4.4000000000000004</c:v>
                </c:pt>
                <c:pt idx="8">
                  <c:v>4.2</c:v>
                </c:pt>
                <c:pt idx="9">
                  <c:v>4.2</c:v>
                </c:pt>
                <c:pt idx="10">
                  <c:v>3.9</c:v>
                </c:pt>
                <c:pt idx="11">
                  <c:v>3.5</c:v>
                </c:pt>
                <c:pt idx="12">
                  <c:v>3.9</c:v>
                </c:pt>
                <c:pt idx="13">
                  <c:v>3.6</c:v>
                </c:pt>
                <c:pt idx="14">
                  <c:v>3.3</c:v>
                </c:pt>
                <c:pt idx="15">
                  <c:v>3.3</c:v>
                </c:pt>
                <c:pt idx="16">
                  <c:v>3.1</c:v>
                </c:pt>
                <c:pt idx="17">
                  <c:v>2.6</c:v>
                </c:pt>
                <c:pt idx="18">
                  <c:v>2.7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3.5</c:v>
                </c:pt>
                <c:pt idx="23">
                  <c:v>3.7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4.2</c:v>
                </c:pt>
                <c:pt idx="28">
                  <c:v>4</c:v>
                </c:pt>
                <c:pt idx="29">
                  <c:v>3.9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4.2</c:v>
                </c:pt>
                <c:pt idx="34">
                  <c:v>3.7</c:v>
                </c:pt>
                <c:pt idx="35">
                  <c:v>3.6</c:v>
                </c:pt>
                <c:pt idx="36">
                  <c:v>3.778</c:v>
                </c:pt>
                <c:pt idx="37">
                  <c:v>3.3</c:v>
                </c:pt>
                <c:pt idx="38">
                  <c:v>5.4</c:v>
                </c:pt>
                <c:pt idx="39">
                  <c:v>5</c:v>
                </c:pt>
                <c:pt idx="40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data'!$H$3</c:f>
              <c:strCache>
                <c:ptCount val="1"/>
                <c:pt idx="0">
                  <c:v>5-10 years ahead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data'!$F$4:$F$44</c:f>
              <c:numCache>
                <c:formatCode>mmm\-yy</c:formatCode>
                <c:ptCount val="4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</c:numCache>
            </c:numRef>
          </c:cat>
          <c:val>
            <c:numRef>
              <c:f>'Chart data'!$H$4:$H$44</c:f>
              <c:numCache>
                <c:formatCode>0.0</c:formatCode>
                <c:ptCount val="41"/>
                <c:pt idx="0">
                  <c:v>3.5</c:v>
                </c:pt>
                <c:pt idx="1">
                  <c:v>3.8</c:v>
                </c:pt>
                <c:pt idx="2">
                  <c:v>3.7</c:v>
                </c:pt>
                <c:pt idx="3">
                  <c:v>3.6</c:v>
                </c:pt>
                <c:pt idx="4">
                  <c:v>3.5</c:v>
                </c:pt>
                <c:pt idx="5">
                  <c:v>3.3</c:v>
                </c:pt>
                <c:pt idx="6">
                  <c:v>3.2</c:v>
                </c:pt>
                <c:pt idx="7">
                  <c:v>3.3</c:v>
                </c:pt>
                <c:pt idx="8">
                  <c:v>3.3</c:v>
                </c:pt>
                <c:pt idx="9">
                  <c:v>3.5</c:v>
                </c:pt>
                <c:pt idx="10">
                  <c:v>3.4</c:v>
                </c:pt>
                <c:pt idx="11">
                  <c:v>3.4</c:v>
                </c:pt>
                <c:pt idx="12">
                  <c:v>3.6</c:v>
                </c:pt>
                <c:pt idx="13">
                  <c:v>3.5</c:v>
                </c:pt>
                <c:pt idx="14">
                  <c:v>3.4</c:v>
                </c:pt>
                <c:pt idx="15">
                  <c:v>3.5</c:v>
                </c:pt>
                <c:pt idx="16">
                  <c:v>3.2</c:v>
                </c:pt>
                <c:pt idx="17">
                  <c:v>3</c:v>
                </c:pt>
                <c:pt idx="18">
                  <c:v>3.1</c:v>
                </c:pt>
                <c:pt idx="19">
                  <c:v>3.1</c:v>
                </c:pt>
                <c:pt idx="20">
                  <c:v>3.6</c:v>
                </c:pt>
                <c:pt idx="21">
                  <c:v>3.8</c:v>
                </c:pt>
                <c:pt idx="22">
                  <c:v>3.6</c:v>
                </c:pt>
                <c:pt idx="23">
                  <c:v>3.9</c:v>
                </c:pt>
                <c:pt idx="24">
                  <c:v>3.7</c:v>
                </c:pt>
                <c:pt idx="25">
                  <c:v>3.9</c:v>
                </c:pt>
                <c:pt idx="26">
                  <c:v>4.2</c:v>
                </c:pt>
                <c:pt idx="27">
                  <c:v>4.2</c:v>
                </c:pt>
                <c:pt idx="28">
                  <c:v>4.2</c:v>
                </c:pt>
                <c:pt idx="29">
                  <c:v>4.3</c:v>
                </c:pt>
                <c:pt idx="30">
                  <c:v>4.2</c:v>
                </c:pt>
                <c:pt idx="31">
                  <c:v>3.9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3.9</c:v>
                </c:pt>
                <c:pt idx="35">
                  <c:v>3.8</c:v>
                </c:pt>
                <c:pt idx="36">
                  <c:v>4.117</c:v>
                </c:pt>
                <c:pt idx="37">
                  <c:v>3.6</c:v>
                </c:pt>
                <c:pt idx="38">
                  <c:v>4.5</c:v>
                </c:pt>
                <c:pt idx="39">
                  <c:v>4.2</c:v>
                </c:pt>
                <c:pt idx="4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6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9692513342895333"/>
          <c:y val="8.2706766917293228E-2"/>
          <c:w val="0.40614973314209329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99504337050805447"/>
          <c:h val="0.8020050125313282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data'!$L$3</c:f>
              <c:strCache>
                <c:ptCount val="1"/>
                <c:pt idx="0">
                  <c:v>1-year ahead</c:v>
                </c:pt>
              </c:strCache>
            </c:strRef>
          </c:tx>
          <c:spPr>
            <a:ln w="25400">
              <a:solidFill>
                <a:srgbClr val="003466"/>
              </a:solidFill>
            </a:ln>
          </c:spPr>
          <c:marker>
            <c:symbol val="none"/>
          </c:marker>
          <c:cat>
            <c:numRef>
              <c:f>'Chart data'!$K$4:$K$44</c:f>
              <c:numCache>
                <c:formatCode>mmm\-yy</c:formatCode>
                <c:ptCount val="4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</c:numCache>
            </c:numRef>
          </c:cat>
          <c:val>
            <c:numRef>
              <c:f>'Chart data'!$L$4:$L$44</c:f>
              <c:numCache>
                <c:formatCode>0.0</c:formatCode>
                <c:ptCount val="41"/>
                <c:pt idx="0">
                  <c:v>6.3949999999999996</c:v>
                </c:pt>
                <c:pt idx="1">
                  <c:v>5.875</c:v>
                </c:pt>
                <c:pt idx="2">
                  <c:v>5.84</c:v>
                </c:pt>
                <c:pt idx="3">
                  <c:v>5.5960000000000001</c:v>
                </c:pt>
                <c:pt idx="4">
                  <c:v>5.9059999999999997</c:v>
                </c:pt>
                <c:pt idx="5">
                  <c:v>5.6769999999999996</c:v>
                </c:pt>
                <c:pt idx="6">
                  <c:v>5.383</c:v>
                </c:pt>
                <c:pt idx="7">
                  <c:v>4.8330000000000002</c:v>
                </c:pt>
                <c:pt idx="8">
                  <c:v>4.8499999999999996</c:v>
                </c:pt>
                <c:pt idx="9">
                  <c:v>4.633</c:v>
                </c:pt>
                <c:pt idx="10">
                  <c:v>4.3860000000000001</c:v>
                </c:pt>
                <c:pt idx="11">
                  <c:v>3.99</c:v>
                </c:pt>
                <c:pt idx="12">
                  <c:v>3.4340000000000002</c:v>
                </c:pt>
                <c:pt idx="13">
                  <c:v>3.2850000000000001</c:v>
                </c:pt>
                <c:pt idx="14">
                  <c:v>3.1459999999999999</c:v>
                </c:pt>
                <c:pt idx="15">
                  <c:v>2.9350000000000001</c:v>
                </c:pt>
                <c:pt idx="16">
                  <c:v>2.8769999999999998</c:v>
                </c:pt>
                <c:pt idx="17">
                  <c:v>2.78</c:v>
                </c:pt>
                <c:pt idx="18">
                  <c:v>2.5449999999999999</c:v>
                </c:pt>
                <c:pt idx="19">
                  <c:v>2.6339999999999999</c:v>
                </c:pt>
                <c:pt idx="20">
                  <c:v>2.681</c:v>
                </c:pt>
                <c:pt idx="21">
                  <c:v>2.5379999999999998</c:v>
                </c:pt>
                <c:pt idx="22">
                  <c:v>2.8519999999999999</c:v>
                </c:pt>
                <c:pt idx="23">
                  <c:v>3.0369999999999999</c:v>
                </c:pt>
                <c:pt idx="24">
                  <c:v>3.048</c:v>
                </c:pt>
                <c:pt idx="25">
                  <c:v>3.0760000000000001</c:v>
                </c:pt>
                <c:pt idx="26">
                  <c:v>3.42</c:v>
                </c:pt>
                <c:pt idx="27">
                  <c:v>3.1659999999999999</c:v>
                </c:pt>
                <c:pt idx="28">
                  <c:v>3.036</c:v>
                </c:pt>
                <c:pt idx="29">
                  <c:v>3.27</c:v>
                </c:pt>
                <c:pt idx="30">
                  <c:v>3.1859999999999999</c:v>
                </c:pt>
                <c:pt idx="31">
                  <c:v>3.4380000000000002</c:v>
                </c:pt>
                <c:pt idx="32">
                  <c:v>3.4329999999999998</c:v>
                </c:pt>
                <c:pt idx="33">
                  <c:v>3.4359999999999999</c:v>
                </c:pt>
                <c:pt idx="34">
                  <c:v>3.387</c:v>
                </c:pt>
                <c:pt idx="35">
                  <c:v>3.242</c:v>
                </c:pt>
                <c:pt idx="36">
                  <c:v>2.9449999999999998</c:v>
                </c:pt>
                <c:pt idx="37">
                  <c:v>2.9849999999999999</c:v>
                </c:pt>
                <c:pt idx="38">
                  <c:v>3.504</c:v>
                </c:pt>
                <c:pt idx="39">
                  <c:v>3.96</c:v>
                </c:pt>
                <c:pt idx="40">
                  <c:v>3.738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1-44D4-804D-12F0338E1AFC}"/>
            </c:ext>
          </c:extLst>
        </c:ser>
        <c:ser>
          <c:idx val="1"/>
          <c:order val="1"/>
          <c:tx>
            <c:strRef>
              <c:f>'Chart data'!$M$3</c:f>
              <c:strCache>
                <c:ptCount val="1"/>
                <c:pt idx="0">
                  <c:v>3 years ahead</c:v>
                </c:pt>
              </c:strCache>
            </c:strRef>
          </c:tx>
          <c:spPr>
            <a:ln w="25400">
              <a:solidFill>
                <a:srgbClr val="EF4130"/>
              </a:solidFill>
            </a:ln>
          </c:spPr>
          <c:marker>
            <c:symbol val="none"/>
          </c:marker>
          <c:cat>
            <c:numRef>
              <c:f>'Chart data'!$K$4:$K$44</c:f>
              <c:numCache>
                <c:formatCode>mmm\-yy</c:formatCode>
                <c:ptCount val="4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</c:numCache>
            </c:numRef>
          </c:cat>
          <c:val>
            <c:numRef>
              <c:f>'Chart data'!$M$4:$M$44</c:f>
              <c:numCache>
                <c:formatCode>0.0</c:formatCode>
                <c:ptCount val="41"/>
                <c:pt idx="0">
                  <c:v>3.6949999999999998</c:v>
                </c:pt>
                <c:pt idx="1">
                  <c:v>3.407</c:v>
                </c:pt>
                <c:pt idx="2">
                  <c:v>3.492</c:v>
                </c:pt>
                <c:pt idx="3">
                  <c:v>3.3759999999999999</c:v>
                </c:pt>
                <c:pt idx="4">
                  <c:v>3.4940000000000002</c:v>
                </c:pt>
                <c:pt idx="5">
                  <c:v>3.6619999999999999</c:v>
                </c:pt>
                <c:pt idx="6">
                  <c:v>3.347</c:v>
                </c:pt>
                <c:pt idx="7">
                  <c:v>3.1579999999999999</c:v>
                </c:pt>
                <c:pt idx="8">
                  <c:v>3.2559999999999998</c:v>
                </c:pt>
                <c:pt idx="9">
                  <c:v>3.081</c:v>
                </c:pt>
                <c:pt idx="10">
                  <c:v>3.1890000000000001</c:v>
                </c:pt>
                <c:pt idx="11">
                  <c:v>2.8940000000000001</c:v>
                </c:pt>
                <c:pt idx="12">
                  <c:v>2.6880000000000002</c:v>
                </c:pt>
                <c:pt idx="13">
                  <c:v>2.7080000000000002</c:v>
                </c:pt>
                <c:pt idx="14">
                  <c:v>2.7090000000000001</c:v>
                </c:pt>
                <c:pt idx="15">
                  <c:v>2.6110000000000002</c:v>
                </c:pt>
                <c:pt idx="16">
                  <c:v>2.6150000000000002</c:v>
                </c:pt>
                <c:pt idx="17">
                  <c:v>2.7130000000000001</c:v>
                </c:pt>
                <c:pt idx="18">
                  <c:v>2.5409999999999999</c:v>
                </c:pt>
                <c:pt idx="19">
                  <c:v>2.6909999999999998</c:v>
                </c:pt>
                <c:pt idx="20">
                  <c:v>2.6909999999999998</c:v>
                </c:pt>
                <c:pt idx="21">
                  <c:v>2.5049999999999999</c:v>
                </c:pt>
                <c:pt idx="22">
                  <c:v>2.677</c:v>
                </c:pt>
                <c:pt idx="23">
                  <c:v>2.9180000000000001</c:v>
                </c:pt>
                <c:pt idx="24">
                  <c:v>2.6970000000000001</c:v>
                </c:pt>
                <c:pt idx="25">
                  <c:v>2.673</c:v>
                </c:pt>
                <c:pt idx="26">
                  <c:v>3.0209999999999999</c:v>
                </c:pt>
                <c:pt idx="27">
                  <c:v>2.7</c:v>
                </c:pt>
                <c:pt idx="28">
                  <c:v>2.738</c:v>
                </c:pt>
                <c:pt idx="29">
                  <c:v>2.89</c:v>
                </c:pt>
                <c:pt idx="30">
                  <c:v>2.786</c:v>
                </c:pt>
                <c:pt idx="31">
                  <c:v>2.9849999999999999</c:v>
                </c:pt>
                <c:pt idx="32">
                  <c:v>2.9750000000000001</c:v>
                </c:pt>
                <c:pt idx="33">
                  <c:v>2.919</c:v>
                </c:pt>
                <c:pt idx="34">
                  <c:v>2.9790000000000001</c:v>
                </c:pt>
                <c:pt idx="35">
                  <c:v>2.93</c:v>
                </c:pt>
                <c:pt idx="36">
                  <c:v>2.6850000000000001</c:v>
                </c:pt>
                <c:pt idx="37">
                  <c:v>2.722</c:v>
                </c:pt>
                <c:pt idx="38">
                  <c:v>2.8159999999999998</c:v>
                </c:pt>
                <c:pt idx="39">
                  <c:v>2.8239999999999998</c:v>
                </c:pt>
                <c:pt idx="40">
                  <c:v>2.875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21-44D4-804D-12F0338E1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6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9692513342895333"/>
          <c:y val="8.2706766917293228E-2"/>
          <c:w val="0.40614973314209329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0B695E-951B-49D9-BC6E-9C2CFD6BA27F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C24AAA-F677-4397-8AE6-98977F23C487}">
  <sheetPr/>
  <sheetViews>
    <sheetView tabSelected="1"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BC8E02-5021-48BA-AE5D-4CD7415069E0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519D76-BDB9-44CF-9EBC-4A55D14B5794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572634-1002-483D-932E-E7C74D6AE97A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5376071" cy="7592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DE0EE-C39A-12E3-FC5A-9B128727A4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392456-2473-2EEB-0F55-0526FBCD806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Decision Maker Panel – firms' reaction to the energy shock over the next 12 months</a:t>
          </a:r>
        </a:p>
      </cdr:txBody>
    </cdr:sp>
  </cdr:relSizeAnchor>
  <cdr:relSizeAnchor xmlns:cdr="http://schemas.openxmlformats.org/drawingml/2006/chartDrawing">
    <cdr:from>
      <cdr:x>5.81132E-17</cdr:x>
      <cdr:y>0.92456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9D20E6B-6C45-AE11-D361-98B34A16987F}"/>
            </a:ext>
          </a:extLst>
        </cdr:cNvPr>
        <cdr:cNvSpPr/>
      </cdr:nvSpPr>
      <cdr:spPr>
        <a:xfrm xmlns:a="http://schemas.openxmlformats.org/drawingml/2006/main">
          <a:off x="50800" y="4685030"/>
          <a:ext cx="102489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Bank of England Decision Maker Panel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7D258F0-C5EE-1C04-9FC4-5642C274F257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of respondents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5376071" cy="7592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AA830-580F-F259-08F4-D759224738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62FA2E4-A1D6-E0B8-90D1-08370D36513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World: Crossings of the Strait of Hormuz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25FDCBA-E874-543F-D4B1-3D5FE319C7BF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ECB3569-63C1-CD5D-D554-BAD77E1C9BEF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Number of vessels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5376071" cy="7592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52528-0A14-B671-E150-149AF4302F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8CBCDBF-9E96-0309-81E4-6FEF04F7B57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Household and firms'  inflation expectations</a:t>
          </a:r>
        </a:p>
      </cdr:txBody>
    </cdr:sp>
  </cdr:relSizeAnchor>
  <cdr:relSizeAnchor xmlns:cdr="http://schemas.openxmlformats.org/drawingml/2006/chartDrawing">
    <cdr:from>
      <cdr:x>0</cdr:x>
      <cdr:y>0.93448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536E0972-0F6C-32C9-5C5B-229E05A74041}"/>
            </a:ext>
          </a:extLst>
        </cdr:cNvPr>
        <cdr:cNvSpPr/>
      </cdr:nvSpPr>
      <cdr:spPr>
        <a:xfrm xmlns:a="http://schemas.openxmlformats.org/drawingml/2006/main">
          <a:off x="0" y="4735286"/>
          <a:ext cx="10248900" cy="3320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Citi/YouGov survey of inflation expectations, Bank of England Decision Maker Panel</a:t>
          </a:r>
        </a:p>
      </cdr:txBody>
    </cdr:sp>
  </cdr:relSizeAnchor>
  <cdr:relSizeAnchor xmlns:cdr="http://schemas.openxmlformats.org/drawingml/2006/chartDrawing">
    <cdr:from>
      <cdr:x>0.19481</cdr:x>
      <cdr:y>0.16899</cdr:y>
    </cdr:from>
    <cdr:to>
      <cdr:x>0.31873</cdr:x>
      <cdr:y>0.27426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565C26-BDC9-D140-2693-BE7EA23C1327}"/>
            </a:ext>
          </a:extLst>
        </cdr:cNvPr>
        <cdr:cNvSpPr txBox="1"/>
      </cdr:nvSpPr>
      <cdr:spPr>
        <a:xfrm xmlns:a="http://schemas.openxmlformats.org/drawingml/2006/main">
          <a:off x="1996600" y="856318"/>
          <a:ext cx="1270044" cy="5334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Households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B5739E3E-9A78-4BF0-AF1C-80D4C43A892D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0.51425</cdr:x>
      <cdr:y>0</cdr:y>
    </cdr:from>
    <cdr:to>
      <cdr:x>0.99876</cdr:x>
      <cdr:y>1</cdr:y>
    </cdr:to>
    <cdr:graphicFrame macro="">
      <cdr:nvGraphicFramePr>
        <cdr:cNvPr id="5" name="Chart 1">
          <a:extLst xmlns:a="http://schemas.openxmlformats.org/drawingml/2006/main">
            <a:ext uri="{FF2B5EF4-FFF2-40B4-BE49-F238E27FC236}">
              <a16:creationId xmlns:a16="http://schemas.microsoft.com/office/drawing/2014/main" id="{4EC1F1CB-3E6D-65C9-60DC-2C079C813343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0.45295</cdr:x>
      <cdr:y>0.16541</cdr:y>
    </cdr:from>
    <cdr:to>
      <cdr:x>0.6536</cdr:x>
      <cdr:y>0.27068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565C26-BDC9-D140-2693-BE7EA23C1327}"/>
            </a:ext>
          </a:extLst>
        </cdr:cNvPr>
        <cdr:cNvSpPr txBox="1"/>
      </cdr:nvSpPr>
      <cdr:spPr>
        <a:xfrm xmlns:a="http://schemas.openxmlformats.org/drawingml/2006/main">
          <a:off x="2249227" y="838175"/>
          <a:ext cx="996349" cy="5334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Firms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B5739E3E-9A78-4BF0-AF1C-80D4C43A892D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10248900" cy="5067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FC903-D3A6-1BAA-9E12-A1642F7C2F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8CBCDBF-9E96-0309-81E4-6FEF04F7B57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Household inflation expectations</a:t>
          </a:r>
        </a:p>
      </cdr:txBody>
    </cdr:sp>
  </cdr:relSizeAnchor>
  <cdr:relSizeAnchor xmlns:cdr="http://schemas.openxmlformats.org/drawingml/2006/chartDrawing">
    <cdr:from>
      <cdr:x>5.81132E-17</cdr:x>
      <cdr:y>0.92456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536E0972-0F6C-32C9-5C5B-229E05A74041}"/>
            </a:ext>
          </a:extLst>
        </cdr:cNvPr>
        <cdr:cNvSpPr/>
      </cdr:nvSpPr>
      <cdr:spPr>
        <a:xfrm xmlns:a="http://schemas.openxmlformats.org/drawingml/2006/main">
          <a:off x="50800" y="4685030"/>
          <a:ext cx="102489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Citi/YouGov survey of household inflation expectations</a:t>
          </a:r>
        </a:p>
      </cdr:txBody>
    </cdr:sp>
  </cdr:relSizeAnchor>
  <cdr:relSizeAnchor xmlns:cdr="http://schemas.openxmlformats.org/drawingml/2006/chartDrawing">
    <cdr:from>
      <cdr:x>0.42007</cdr:x>
      <cdr:y>0.17794</cdr:y>
    </cdr:from>
    <cdr:to>
      <cdr:x>0.54399</cdr:x>
      <cdr:y>0.28321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565C26-BDC9-D140-2693-BE7EA23C1327}"/>
            </a:ext>
          </a:extLst>
        </cdr:cNvPr>
        <cdr:cNvSpPr txBox="1"/>
      </cdr:nvSpPr>
      <cdr:spPr>
        <a:xfrm xmlns:a="http://schemas.openxmlformats.org/drawingml/2006/main">
          <a:off x="4305300" y="9017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B5739E3E-9A78-4BF0-AF1C-80D4C43A892D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10248900" cy="5067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4CACB-B602-3FF7-C7D1-A796F7B3AA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8CBCDBF-9E96-0309-81E4-6FEF04F7B57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Firms' inflation expectations</a:t>
          </a:r>
        </a:p>
      </cdr:txBody>
    </cdr:sp>
  </cdr:relSizeAnchor>
  <cdr:relSizeAnchor xmlns:cdr="http://schemas.openxmlformats.org/drawingml/2006/chartDrawing">
    <cdr:from>
      <cdr:x>5.81132E-17</cdr:x>
      <cdr:y>0.92456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536E0972-0F6C-32C9-5C5B-229E05A74041}"/>
            </a:ext>
          </a:extLst>
        </cdr:cNvPr>
        <cdr:cNvSpPr/>
      </cdr:nvSpPr>
      <cdr:spPr>
        <a:xfrm xmlns:a="http://schemas.openxmlformats.org/drawingml/2006/main">
          <a:off x="50800" y="4685030"/>
          <a:ext cx="102489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Bank of England Decision Maker Panel</a:t>
          </a:r>
        </a:p>
      </cdr:txBody>
    </cdr:sp>
  </cdr:relSizeAnchor>
  <cdr:relSizeAnchor xmlns:cdr="http://schemas.openxmlformats.org/drawingml/2006/chartDrawing">
    <cdr:from>
      <cdr:x>0.42007</cdr:x>
      <cdr:y>0.17794</cdr:y>
    </cdr:from>
    <cdr:to>
      <cdr:x>0.54399</cdr:x>
      <cdr:y>0.28321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565C26-BDC9-D140-2693-BE7EA23C1327}"/>
            </a:ext>
          </a:extLst>
        </cdr:cNvPr>
        <cdr:cNvSpPr txBox="1"/>
      </cdr:nvSpPr>
      <cdr:spPr>
        <a:xfrm xmlns:a="http://schemas.openxmlformats.org/drawingml/2006/main">
          <a:off x="4305300" y="9017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B5739E3E-9A78-4BF0-AF1C-80D4C43A892D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60601%20Inflation%20Forecast%20(macro%20forecast).xlsx" TargetMode="External"/><Relationship Id="rId1" Type="http://schemas.openxmlformats.org/officeDocument/2006/relationships/externalLinkPath" Target="file:///Z:\UK%20Team\Inflation%20Model\20260601%20Inflation%20Forecast%20(macro%20forecas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  <sheetName val="Feuil1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goods"/>
      <sheetName val="Conts to CPI fcst, EN &amp; FU"/>
      <sheetName val="Conts to CPI fcst, FD, EN,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26">
          <cell r="L226">
            <v>5.4</v>
          </cell>
          <cell r="M226">
            <v>3.5</v>
          </cell>
        </row>
        <row r="227">
          <cell r="L227">
            <v>5.6</v>
          </cell>
          <cell r="M227">
            <v>3.8</v>
          </cell>
        </row>
        <row r="228">
          <cell r="L228">
            <v>5.4</v>
          </cell>
          <cell r="M228">
            <v>3.7</v>
          </cell>
        </row>
        <row r="229">
          <cell r="L229">
            <v>5.2</v>
          </cell>
          <cell r="M229">
            <v>3.6</v>
          </cell>
        </row>
        <row r="230">
          <cell r="L230">
            <v>4.7</v>
          </cell>
          <cell r="M230">
            <v>3.5</v>
          </cell>
        </row>
        <row r="231">
          <cell r="L231">
            <v>5</v>
          </cell>
          <cell r="M231">
            <v>3.3</v>
          </cell>
        </row>
        <row r="232">
          <cell r="L232">
            <v>4.3</v>
          </cell>
          <cell r="M232">
            <v>3.2</v>
          </cell>
        </row>
        <row r="233">
          <cell r="L233">
            <v>4.4000000000000004</v>
          </cell>
          <cell r="M233">
            <v>3.3</v>
          </cell>
        </row>
        <row r="234">
          <cell r="L234">
            <v>4.2</v>
          </cell>
          <cell r="M234">
            <v>3.3</v>
          </cell>
        </row>
        <row r="235">
          <cell r="L235">
            <v>4.2</v>
          </cell>
          <cell r="M235">
            <v>3.5</v>
          </cell>
        </row>
        <row r="236">
          <cell r="L236">
            <v>3.9</v>
          </cell>
          <cell r="M236">
            <v>3.4</v>
          </cell>
        </row>
        <row r="237">
          <cell r="L237">
            <v>3.5</v>
          </cell>
          <cell r="M237">
            <v>3.4</v>
          </cell>
        </row>
        <row r="238">
          <cell r="L238">
            <v>3.9</v>
          </cell>
          <cell r="M238">
            <v>3.6</v>
          </cell>
        </row>
        <row r="239">
          <cell r="L239">
            <v>3.6</v>
          </cell>
          <cell r="M239">
            <v>3.5</v>
          </cell>
        </row>
        <row r="240">
          <cell r="L240">
            <v>3.3</v>
          </cell>
          <cell r="M240">
            <v>3.4</v>
          </cell>
        </row>
        <row r="241">
          <cell r="L241">
            <v>3.3</v>
          </cell>
          <cell r="M241">
            <v>3.5</v>
          </cell>
        </row>
        <row r="242">
          <cell r="L242">
            <v>3.1</v>
          </cell>
          <cell r="M242">
            <v>3.2</v>
          </cell>
        </row>
        <row r="243">
          <cell r="L243">
            <v>2.6</v>
          </cell>
          <cell r="M243">
            <v>3</v>
          </cell>
        </row>
        <row r="244">
          <cell r="L244">
            <v>2.7</v>
          </cell>
          <cell r="M244">
            <v>3.1</v>
          </cell>
        </row>
        <row r="245">
          <cell r="L245">
            <v>3.1</v>
          </cell>
          <cell r="M245">
            <v>3.1</v>
          </cell>
        </row>
        <row r="246">
          <cell r="L246">
            <v>3.2</v>
          </cell>
          <cell r="M246">
            <v>3.6</v>
          </cell>
        </row>
        <row r="247">
          <cell r="L247">
            <v>3.3</v>
          </cell>
          <cell r="M247">
            <v>3.8</v>
          </cell>
        </row>
        <row r="248">
          <cell r="L248">
            <v>3.5</v>
          </cell>
          <cell r="M248">
            <v>3.6</v>
          </cell>
        </row>
        <row r="249">
          <cell r="L249">
            <v>3.7</v>
          </cell>
          <cell r="M249">
            <v>3.9</v>
          </cell>
        </row>
        <row r="250">
          <cell r="L250">
            <v>3.5</v>
          </cell>
          <cell r="M250">
            <v>3.7</v>
          </cell>
        </row>
        <row r="251">
          <cell r="L251">
            <v>3.9</v>
          </cell>
          <cell r="M251">
            <v>3.9</v>
          </cell>
        </row>
        <row r="252">
          <cell r="L252">
            <v>4</v>
          </cell>
          <cell r="M252">
            <v>4.2</v>
          </cell>
        </row>
        <row r="253">
          <cell r="L253">
            <v>4.2</v>
          </cell>
          <cell r="M253">
            <v>4.2</v>
          </cell>
        </row>
        <row r="254">
          <cell r="L254">
            <v>4</v>
          </cell>
          <cell r="M254">
            <v>4.2</v>
          </cell>
        </row>
        <row r="255">
          <cell r="L255">
            <v>3.9</v>
          </cell>
          <cell r="M255">
            <v>4.3</v>
          </cell>
        </row>
        <row r="256">
          <cell r="L256">
            <v>4</v>
          </cell>
          <cell r="M256">
            <v>4.2</v>
          </cell>
        </row>
        <row r="257">
          <cell r="L257">
            <v>4</v>
          </cell>
          <cell r="M257">
            <v>3.9</v>
          </cell>
        </row>
        <row r="258">
          <cell r="L258">
            <v>4</v>
          </cell>
          <cell r="M258">
            <v>4.0999999999999996</v>
          </cell>
        </row>
        <row r="259">
          <cell r="L259">
            <v>4.2</v>
          </cell>
          <cell r="M259">
            <v>4.2</v>
          </cell>
        </row>
        <row r="260">
          <cell r="L260">
            <v>3.7</v>
          </cell>
          <cell r="M260">
            <v>3.9</v>
          </cell>
        </row>
        <row r="261">
          <cell r="L261">
            <v>3.6</v>
          </cell>
          <cell r="M261">
            <v>3.8</v>
          </cell>
        </row>
        <row r="262">
          <cell r="L262">
            <v>3.778</v>
          </cell>
          <cell r="M262">
            <v>4.117</v>
          </cell>
        </row>
        <row r="263">
          <cell r="L263">
            <v>3.3</v>
          </cell>
          <cell r="M263">
            <v>3.6</v>
          </cell>
        </row>
        <row r="264">
          <cell r="L264">
            <v>5.4</v>
          </cell>
          <cell r="M264">
            <v>4.5</v>
          </cell>
        </row>
        <row r="265">
          <cell r="L265">
            <v>5</v>
          </cell>
          <cell r="M265">
            <v>4.2</v>
          </cell>
        </row>
        <row r="266">
          <cell r="L266">
            <v>4.7</v>
          </cell>
          <cell r="M266">
            <v>4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 2025">
      <a:dk1>
        <a:sysClr val="windowText" lastClr="000000"/>
      </a:dk1>
      <a:lt1>
        <a:sysClr val="window" lastClr="FFFFFF"/>
      </a:lt1>
      <a:dk2>
        <a:srgbClr val="E6F2F9"/>
      </a:dk2>
      <a:lt2>
        <a:srgbClr val="ECEDEF"/>
      </a:lt2>
      <a:accent1>
        <a:srgbClr val="003466"/>
      </a:accent1>
      <a:accent2>
        <a:srgbClr val="008AC8"/>
      </a:accent2>
      <a:accent3>
        <a:srgbClr val="B38D2F"/>
      </a:accent3>
      <a:accent4>
        <a:srgbClr val="7D8992"/>
      </a:accent4>
      <a:accent5>
        <a:srgbClr val="965793"/>
      </a:accent5>
      <a:accent6>
        <a:srgbClr val="8BA612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UNVDCPI3@UK" TargetMode="External"/><Relationship Id="rId1" Type="http://schemas.openxmlformats.org/officeDocument/2006/relationships/hyperlink" Target="mailto:UNVDCPI1@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F1D7-0D18-441C-BAD5-9AB84D359FC5}">
  <dimension ref="A1:T62"/>
  <sheetViews>
    <sheetView workbookViewId="0">
      <selection activeCell="C13" sqref="C13"/>
    </sheetView>
  </sheetViews>
  <sheetFormatPr defaultColWidth="8.7265625" defaultRowHeight="14.5" x14ac:dyDescent="0.35"/>
  <cols>
    <col min="1" max="1" width="28.54296875" style="21" customWidth="1"/>
    <col min="2" max="4" width="11.81640625" style="11" customWidth="1"/>
    <col min="5" max="5" width="3.26953125" style="11" customWidth="1"/>
    <col min="6" max="7" width="12.1796875" style="11" customWidth="1"/>
    <col min="8" max="8" width="12.1796875" style="9" customWidth="1"/>
    <col min="9" max="9" width="3.26953125" style="11" customWidth="1"/>
    <col min="10" max="12" width="12.1796875" style="9" customWidth="1"/>
    <col min="13" max="13" width="3.26953125" style="11" customWidth="1"/>
    <col min="14" max="16" width="12.1796875" style="9" customWidth="1"/>
    <col min="17" max="17" width="3.26953125" style="11" customWidth="1"/>
    <col min="18" max="20" width="10.81640625" style="9" customWidth="1"/>
    <col min="21" max="16384" width="8.7265625" style="9"/>
  </cols>
  <sheetData>
    <row r="1" spans="1:20" ht="16.5" customHeight="1" x14ac:dyDescent="0.35">
      <c r="A1" s="9"/>
      <c r="B1" s="24" t="s">
        <v>586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0"/>
    </row>
    <row r="2" spans="1:20" x14ac:dyDescent="0.35">
      <c r="A2" s="9"/>
      <c r="H2" s="11"/>
      <c r="J2" s="11"/>
      <c r="K2" s="11"/>
      <c r="L2" s="11"/>
      <c r="N2" s="11"/>
      <c r="O2" s="11"/>
    </row>
    <row r="3" spans="1:20" x14ac:dyDescent="0.35">
      <c r="A3" s="12"/>
      <c r="B3" s="26" t="s">
        <v>587</v>
      </c>
      <c r="C3" s="27"/>
      <c r="D3" s="27"/>
      <c r="E3" s="13"/>
      <c r="F3" s="26" t="s">
        <v>588</v>
      </c>
      <c r="G3" s="26"/>
      <c r="H3" s="27"/>
      <c r="I3" s="13"/>
      <c r="J3" s="26" t="s">
        <v>589</v>
      </c>
      <c r="K3" s="26"/>
      <c r="L3" s="28"/>
      <c r="M3" s="13"/>
      <c r="N3" s="26" t="s">
        <v>590</v>
      </c>
      <c r="O3" s="26"/>
      <c r="P3" s="29"/>
      <c r="Q3" s="13"/>
      <c r="R3" s="26" t="s">
        <v>591</v>
      </c>
      <c r="S3" s="26"/>
      <c r="T3" s="29"/>
    </row>
    <row r="4" spans="1:20" x14ac:dyDescent="0.35">
      <c r="A4" s="12" t="s">
        <v>592</v>
      </c>
      <c r="B4" s="14" t="s">
        <v>593</v>
      </c>
      <c r="C4" s="14" t="s">
        <v>594</v>
      </c>
      <c r="D4" s="14" t="s">
        <v>595</v>
      </c>
      <c r="E4" s="14"/>
      <c r="F4" s="14" t="s">
        <v>593</v>
      </c>
      <c r="G4" s="14" t="s">
        <v>594</v>
      </c>
      <c r="H4" s="14" t="s">
        <v>595</v>
      </c>
      <c r="I4" s="14"/>
      <c r="J4" s="14" t="s">
        <v>593</v>
      </c>
      <c r="K4" s="14" t="s">
        <v>594</v>
      </c>
      <c r="L4" s="14" t="s">
        <v>595</v>
      </c>
      <c r="M4" s="14"/>
      <c r="N4" s="14" t="s">
        <v>593</v>
      </c>
      <c r="O4" s="14" t="s">
        <v>594</v>
      </c>
      <c r="P4" s="14" t="s">
        <v>595</v>
      </c>
      <c r="Q4" s="14"/>
      <c r="R4" s="14" t="s">
        <v>593</v>
      </c>
      <c r="S4" s="14" t="s">
        <v>594</v>
      </c>
      <c r="T4" s="14" t="s">
        <v>595</v>
      </c>
    </row>
    <row r="5" spans="1:20" s="17" customFormat="1" x14ac:dyDescent="0.35">
      <c r="A5" s="15" t="s">
        <v>596</v>
      </c>
      <c r="B5" s="16">
        <v>53.710999999999999</v>
      </c>
      <c r="C5" s="16">
        <v>39.692999999999998</v>
      </c>
      <c r="D5" s="16">
        <v>6.5949999999999998</v>
      </c>
      <c r="E5" s="16" t="s">
        <v>597</v>
      </c>
      <c r="F5" s="16">
        <v>29.672000000000001</v>
      </c>
      <c r="G5" s="16">
        <v>66.605999999999995</v>
      </c>
      <c r="H5" s="16">
        <v>3.722</v>
      </c>
      <c r="I5" s="16" t="s">
        <v>597</v>
      </c>
      <c r="J5" s="16">
        <v>4.1219999999999999</v>
      </c>
      <c r="K5" s="16">
        <v>31.504999999999999</v>
      </c>
      <c r="L5" s="16">
        <v>64.373000000000005</v>
      </c>
      <c r="M5" s="16" t="s">
        <v>597</v>
      </c>
      <c r="N5" s="16">
        <v>15.699</v>
      </c>
      <c r="O5" s="16">
        <v>58.198999999999998</v>
      </c>
      <c r="P5" s="16">
        <v>26.102</v>
      </c>
      <c r="Q5" s="16" t="s">
        <v>597</v>
      </c>
      <c r="R5" s="16">
        <v>68.168999999999997</v>
      </c>
      <c r="S5" s="16">
        <v>25.85</v>
      </c>
      <c r="T5" s="16">
        <v>5.9809999999999999</v>
      </c>
    </row>
    <row r="6" spans="1:20" x14ac:dyDescent="0.35">
      <c r="A6" s="18">
        <v>46143</v>
      </c>
      <c r="B6" s="19">
        <v>46.195999999999998</v>
      </c>
      <c r="C6" s="19">
        <v>48.752000000000002</v>
      </c>
      <c r="D6" s="19">
        <v>5.0519999999999996</v>
      </c>
      <c r="E6" s="9"/>
      <c r="F6" s="19">
        <v>29.376999999999999</v>
      </c>
      <c r="G6" s="19">
        <v>68.239999999999995</v>
      </c>
      <c r="H6" s="19">
        <v>2.3839999999999999</v>
      </c>
      <c r="I6" s="9"/>
      <c r="J6" s="19">
        <v>4.5780000000000003</v>
      </c>
      <c r="K6" s="19">
        <v>38.536000000000001</v>
      </c>
      <c r="L6" s="19">
        <v>56.886000000000003</v>
      </c>
      <c r="M6" s="9"/>
      <c r="N6" s="19">
        <v>18.652000000000001</v>
      </c>
      <c r="O6" s="19">
        <v>56.935000000000002</v>
      </c>
      <c r="P6" s="19">
        <v>24.413</v>
      </c>
      <c r="Q6" s="9"/>
      <c r="R6" s="19">
        <v>67.662999999999997</v>
      </c>
      <c r="S6" s="19">
        <v>25.7</v>
      </c>
      <c r="T6" s="19">
        <v>6.6369999999999996</v>
      </c>
    </row>
    <row r="7" spans="1:20" x14ac:dyDescent="0.35">
      <c r="A7" s="9"/>
      <c r="B7" s="9"/>
      <c r="C7" s="9"/>
      <c r="D7" s="9"/>
      <c r="E7" s="9"/>
      <c r="F7" s="9"/>
      <c r="G7" s="9"/>
      <c r="I7" s="9"/>
      <c r="M7" s="9"/>
      <c r="Q7" s="9"/>
    </row>
    <row r="8" spans="1:20" x14ac:dyDescent="0.35">
      <c r="A8" s="9"/>
      <c r="B8" s="9"/>
      <c r="C8" s="9"/>
      <c r="D8" s="9"/>
      <c r="E8" s="9"/>
      <c r="F8" s="9"/>
      <c r="G8" s="9"/>
      <c r="I8" s="9"/>
      <c r="M8" s="9"/>
      <c r="Q8" s="9"/>
    </row>
    <row r="9" spans="1:20" x14ac:dyDescent="0.35">
      <c r="A9" s="9"/>
      <c r="B9" s="9"/>
      <c r="C9" s="9"/>
      <c r="D9" s="9"/>
      <c r="E9" s="9"/>
      <c r="F9" s="9"/>
      <c r="G9" s="9"/>
      <c r="I9" s="9"/>
      <c r="M9" s="9"/>
      <c r="Q9" s="9"/>
    </row>
    <row r="10" spans="1:20" x14ac:dyDescent="0.35">
      <c r="A10" s="9"/>
      <c r="B10" s="20">
        <f>SUM(B6:D6)</f>
        <v>100</v>
      </c>
      <c r="C10" s="20"/>
      <c r="D10" s="20"/>
      <c r="E10" s="20"/>
      <c r="F10" s="20">
        <f>SUM(F6:H6)</f>
        <v>100.00099999999999</v>
      </c>
      <c r="G10" s="9"/>
      <c r="I10" s="20"/>
      <c r="J10" s="20">
        <f>SUM(J6:L6)</f>
        <v>100</v>
      </c>
      <c r="M10" s="20"/>
      <c r="N10" s="20">
        <f>SUM(N6:P6)</f>
        <v>100</v>
      </c>
      <c r="Q10" s="20"/>
      <c r="R10" s="20">
        <f>SUM(R6:T6)</f>
        <v>100</v>
      </c>
    </row>
    <row r="11" spans="1:20" x14ac:dyDescent="0.35">
      <c r="A11" s="9"/>
      <c r="B11" s="20"/>
      <c r="C11" s="20"/>
      <c r="D11" s="20"/>
      <c r="E11" s="20"/>
      <c r="F11" s="20"/>
      <c r="G11" s="9"/>
      <c r="I11" s="20"/>
      <c r="M11" s="20"/>
      <c r="Q11" s="20"/>
    </row>
    <row r="12" spans="1:20" x14ac:dyDescent="0.35">
      <c r="A12" s="9"/>
      <c r="B12" s="9"/>
      <c r="C12" s="9"/>
      <c r="D12" s="9"/>
      <c r="E12" s="9"/>
      <c r="F12" s="9"/>
      <c r="G12" s="9"/>
      <c r="I12" s="9"/>
      <c r="M12" s="9"/>
      <c r="Q12" s="9"/>
    </row>
    <row r="13" spans="1:20" x14ac:dyDescent="0.35">
      <c r="A13" s="9"/>
      <c r="B13" s="9"/>
      <c r="C13" s="9"/>
      <c r="D13" s="9"/>
      <c r="E13" s="9"/>
      <c r="F13" s="9"/>
      <c r="G13" s="9"/>
      <c r="I13" s="9"/>
      <c r="M13" s="9"/>
      <c r="Q13" s="9"/>
    </row>
    <row r="14" spans="1:20" x14ac:dyDescent="0.35">
      <c r="A14" s="9"/>
      <c r="B14" s="9"/>
      <c r="C14" s="9"/>
      <c r="D14" s="9"/>
      <c r="E14" s="9"/>
      <c r="F14" s="9"/>
      <c r="G14" s="9"/>
      <c r="I14" s="9"/>
      <c r="M14" s="9"/>
      <c r="Q14" s="9"/>
    </row>
    <row r="15" spans="1:20" x14ac:dyDescent="0.35">
      <c r="A15" s="9"/>
      <c r="B15" s="9"/>
      <c r="C15" s="9"/>
      <c r="D15" s="9"/>
      <c r="E15" s="9"/>
      <c r="F15" s="9"/>
      <c r="G15" s="9"/>
      <c r="I15" s="9"/>
      <c r="M15" s="9"/>
      <c r="Q15" s="9"/>
    </row>
    <row r="16" spans="1:20" x14ac:dyDescent="0.35">
      <c r="A16" s="9"/>
      <c r="B16" s="9"/>
      <c r="C16" s="9"/>
      <c r="D16" s="9"/>
      <c r="E16" s="9"/>
      <c r="F16" s="9"/>
      <c r="G16" s="9"/>
      <c r="I16" s="9"/>
      <c r="M16" s="9"/>
      <c r="Q16" s="9"/>
    </row>
    <row r="17" spans="8:8" s="9" customFormat="1" x14ac:dyDescent="0.35"/>
    <row r="18" spans="8:8" s="9" customFormat="1" x14ac:dyDescent="0.35"/>
    <row r="19" spans="8:8" s="9" customFormat="1" x14ac:dyDescent="0.35"/>
    <row r="20" spans="8:8" s="9" customFormat="1" x14ac:dyDescent="0.35">
      <c r="H20" s="17"/>
    </row>
    <row r="21" spans="8:8" s="9" customFormat="1" x14ac:dyDescent="0.35"/>
    <row r="22" spans="8:8" s="9" customFormat="1" x14ac:dyDescent="0.35"/>
    <row r="23" spans="8:8" s="9" customFormat="1" x14ac:dyDescent="0.35"/>
    <row r="24" spans="8:8" s="9" customFormat="1" x14ac:dyDescent="0.35"/>
    <row r="25" spans="8:8" s="9" customFormat="1" x14ac:dyDescent="0.35"/>
    <row r="26" spans="8:8" s="9" customFormat="1" x14ac:dyDescent="0.35"/>
    <row r="27" spans="8:8" s="9" customFormat="1" x14ac:dyDescent="0.35"/>
    <row r="28" spans="8:8" s="9" customFormat="1" x14ac:dyDescent="0.35"/>
    <row r="29" spans="8:8" s="9" customFormat="1" x14ac:dyDescent="0.35"/>
    <row r="30" spans="8:8" s="9" customFormat="1" x14ac:dyDescent="0.35"/>
    <row r="31" spans="8:8" s="9" customFormat="1" x14ac:dyDescent="0.35"/>
    <row r="32" spans="8:8" s="9" customFormat="1" x14ac:dyDescent="0.35"/>
    <row r="33" s="9" customFormat="1" x14ac:dyDescent="0.35"/>
    <row r="34" s="9" customFormat="1" x14ac:dyDescent="0.35"/>
    <row r="35" s="9" customFormat="1" x14ac:dyDescent="0.35"/>
    <row r="36" s="9" customFormat="1" x14ac:dyDescent="0.35"/>
    <row r="37" s="9" customFormat="1" x14ac:dyDescent="0.35"/>
    <row r="38" s="9" customFormat="1" x14ac:dyDescent="0.35"/>
    <row r="39" s="9" customFormat="1" x14ac:dyDescent="0.35"/>
    <row r="40" s="9" customFormat="1" x14ac:dyDescent="0.35"/>
    <row r="41" s="9" customFormat="1" x14ac:dyDescent="0.35"/>
    <row r="42" s="9" customFormat="1" x14ac:dyDescent="0.35"/>
    <row r="43" s="9" customFormat="1" x14ac:dyDescent="0.35"/>
    <row r="44" s="9" customFormat="1" x14ac:dyDescent="0.35"/>
    <row r="45" s="9" customFormat="1" x14ac:dyDescent="0.35"/>
    <row r="46" s="9" customFormat="1" ht="13.5" customHeight="1" x14ac:dyDescent="0.35"/>
    <row r="47" s="9" customFormat="1" ht="13.5" customHeight="1" x14ac:dyDescent="0.35"/>
    <row r="48" s="9" customFormat="1" ht="13.5" customHeight="1" x14ac:dyDescent="0.35"/>
    <row r="49" spans="1:17" ht="13.5" customHeight="1" x14ac:dyDescent="0.35">
      <c r="A49" s="9"/>
      <c r="B49" s="9"/>
      <c r="C49" s="9"/>
      <c r="D49" s="9"/>
      <c r="E49" s="9"/>
      <c r="F49" s="9"/>
      <c r="G49" s="9"/>
      <c r="I49" s="9"/>
      <c r="M49" s="9"/>
      <c r="Q49" s="9"/>
    </row>
    <row r="50" spans="1:17" ht="13.5" customHeight="1" x14ac:dyDescent="0.35">
      <c r="A50" s="9"/>
      <c r="B50" s="9"/>
      <c r="C50" s="9"/>
      <c r="D50" s="9"/>
      <c r="E50" s="9"/>
      <c r="F50" s="9"/>
      <c r="G50" s="9"/>
      <c r="I50" s="9"/>
      <c r="M50" s="9"/>
      <c r="Q50" s="9"/>
    </row>
    <row r="51" spans="1:17" x14ac:dyDescent="0.35">
      <c r="B51" s="22"/>
      <c r="C51" s="22"/>
      <c r="D51" s="22"/>
      <c r="E51" s="22"/>
      <c r="F51" s="22"/>
      <c r="G51" s="22"/>
      <c r="I51" s="22"/>
      <c r="M51" s="22"/>
      <c r="Q51" s="22"/>
    </row>
    <row r="52" spans="1:17" x14ac:dyDescent="0.35">
      <c r="B52" s="22"/>
      <c r="C52" s="22"/>
      <c r="D52" s="22"/>
      <c r="E52" s="22"/>
      <c r="F52" s="22"/>
      <c r="G52" s="22"/>
      <c r="I52" s="22"/>
      <c r="M52" s="22"/>
      <c r="Q52" s="22"/>
    </row>
    <row r="53" spans="1:17" x14ac:dyDescent="0.35">
      <c r="B53" s="22"/>
      <c r="C53" s="22"/>
      <c r="D53" s="22"/>
      <c r="E53" s="22"/>
      <c r="F53" s="22"/>
      <c r="G53" s="22"/>
      <c r="I53" s="22"/>
      <c r="M53" s="22"/>
      <c r="Q53" s="22"/>
    </row>
    <row r="54" spans="1:17" x14ac:dyDescent="0.35">
      <c r="B54" s="19"/>
      <c r="C54" s="19"/>
      <c r="D54" s="19"/>
      <c r="E54" s="19"/>
      <c r="F54" s="19"/>
      <c r="G54" s="19"/>
      <c r="I54" s="19"/>
      <c r="M54" s="19"/>
      <c r="Q54" s="19"/>
    </row>
    <row r="55" spans="1:17" x14ac:dyDescent="0.35">
      <c r="B55" s="19"/>
      <c r="C55" s="19"/>
      <c r="D55" s="19"/>
      <c r="E55" s="19"/>
      <c r="F55" s="19"/>
      <c r="G55" s="19"/>
      <c r="I55" s="19"/>
      <c r="M55" s="19"/>
      <c r="Q55" s="19"/>
    </row>
    <row r="62" spans="1:17" x14ac:dyDescent="0.35">
      <c r="A62" s="23"/>
    </row>
  </sheetData>
  <mergeCells count="6">
    <mergeCell ref="R3:T3"/>
    <mergeCell ref="B1:P1"/>
    <mergeCell ref="B3:D3"/>
    <mergeCell ref="F3:H3"/>
    <mergeCell ref="J3:L3"/>
    <mergeCell ref="N3:P3"/>
  </mergeCells>
  <conditionalFormatting sqref="A1:B1 A2:Q2 S10:XFD10 R11:XFD50">
    <cfRule type="cellIs" dxfId="5" priority="4" operator="equal">
      <formula>"n/a"</formula>
    </cfRule>
  </conditionalFormatting>
  <conditionalFormatting sqref="A1:B1 B2:Q2">
    <cfRule type="notContainsBlanks" dxfId="4" priority="3">
      <formula>LEN(TRIM(A1))&gt;0</formula>
    </cfRule>
  </conditionalFormatting>
  <conditionalFormatting sqref="N3:O3 R3:S3 B3:M4 Q3:Q4 N4:P4 R4:T4">
    <cfRule type="notContainsBlanks" dxfId="3" priority="1">
      <formula>LEN(TRIM(B3))&gt;0</formula>
    </cfRule>
  </conditionalFormatting>
  <conditionalFormatting sqref="N3:O3 R3:S3 U3:XFD3 A3:M4 Q3:Q4 N4:P4 R4:XFD9">
    <cfRule type="cellIs" dxfId="2" priority="2" operator="equal">
      <formula>"n/a"</formula>
    </cfRule>
  </conditionalFormatting>
  <conditionalFormatting sqref="R1:XFD2 A51:XFD1048576">
    <cfRule type="cellIs" dxfId="1" priority="6" operator="equal">
      <formula>"n/a"</formula>
    </cfRule>
  </conditionalFormatting>
  <conditionalFormatting sqref="R1:XFD2 U3:XFD4 R5:XFD9 S10:XFD10 R11:XFD1048576 A51:Q1048576">
    <cfRule type="containsText" dxfId="0" priority="5" operator="containsText" text="n/a">
      <formula>NOT(ISERROR(SEARCH("n/a",A1)))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35EE-04FB-4464-BF30-8819FC20C8A4}">
  <dimension ref="A4:C532"/>
  <sheetViews>
    <sheetView workbookViewId="0">
      <pane xSplit="1" ySplit="9" topLeftCell="B507" activePane="bottomRight" state="frozen"/>
      <selection pane="topRight" activeCell="B1" sqref="B1"/>
      <selection pane="bottomLeft" activeCell="A10" sqref="A10"/>
      <selection pane="bottomRight" activeCell="B532" sqref="B532"/>
    </sheetView>
  </sheetViews>
  <sheetFormatPr defaultRowHeight="14.5" x14ac:dyDescent="0.35"/>
  <sheetData>
    <row r="4" spans="1:3" x14ac:dyDescent="0.35">
      <c r="A4" s="1" t="s">
        <v>2</v>
      </c>
      <c r="B4" t="s">
        <v>0</v>
      </c>
      <c r="C4" t="s">
        <v>1</v>
      </c>
    </row>
    <row r="5" spans="1:3" x14ac:dyDescent="0.35">
      <c r="A5" t="s">
        <v>8</v>
      </c>
      <c r="B5" t="s">
        <v>12</v>
      </c>
      <c r="C5" t="s">
        <v>13</v>
      </c>
    </row>
    <row r="6" spans="1:3" x14ac:dyDescent="0.35">
      <c r="A6" t="s">
        <v>7</v>
      </c>
      <c r="B6" t="s">
        <v>11</v>
      </c>
      <c r="C6" t="s">
        <v>11</v>
      </c>
    </row>
    <row r="7" spans="1:3" x14ac:dyDescent="0.35">
      <c r="A7" t="s">
        <v>6</v>
      </c>
      <c r="B7" t="s">
        <v>598</v>
      </c>
      <c r="C7" t="s">
        <v>598</v>
      </c>
    </row>
    <row r="8" spans="1:3" x14ac:dyDescent="0.35">
      <c r="A8" t="s">
        <v>5</v>
      </c>
      <c r="B8" t="s">
        <v>10</v>
      </c>
      <c r="C8" t="s">
        <v>10</v>
      </c>
    </row>
    <row r="9" spans="1:3" x14ac:dyDescent="0.35">
      <c r="A9" t="s">
        <v>4</v>
      </c>
      <c r="B9" t="s">
        <v>9</v>
      </c>
      <c r="C9" t="s">
        <v>9</v>
      </c>
    </row>
    <row r="10" spans="1:3" x14ac:dyDescent="0.35">
      <c r="A10" t="s">
        <v>3</v>
      </c>
      <c r="B10" s="2">
        <v>79</v>
      </c>
      <c r="C10" s="2">
        <v>46</v>
      </c>
    </row>
    <row r="11" spans="1:3" x14ac:dyDescent="0.35">
      <c r="A11" t="s">
        <v>14</v>
      </c>
      <c r="B11" s="2">
        <v>63</v>
      </c>
      <c r="C11" s="2">
        <v>35</v>
      </c>
    </row>
    <row r="12" spans="1:3" x14ac:dyDescent="0.35">
      <c r="A12" t="s">
        <v>15</v>
      </c>
      <c r="B12" s="2">
        <v>78</v>
      </c>
      <c r="C12" s="2">
        <v>44</v>
      </c>
    </row>
    <row r="13" spans="1:3" x14ac:dyDescent="0.35">
      <c r="A13" t="s">
        <v>16</v>
      </c>
      <c r="B13" s="2">
        <v>80</v>
      </c>
      <c r="C13" s="2">
        <v>42</v>
      </c>
    </row>
    <row r="14" spans="1:3" x14ac:dyDescent="0.35">
      <c r="A14" t="s">
        <v>17</v>
      </c>
      <c r="B14" s="2">
        <v>63</v>
      </c>
      <c r="C14" s="2">
        <v>41</v>
      </c>
    </row>
    <row r="15" spans="1:3" x14ac:dyDescent="0.35">
      <c r="A15" t="s">
        <v>18</v>
      </c>
      <c r="B15" s="2">
        <v>65</v>
      </c>
      <c r="C15" s="2">
        <v>32</v>
      </c>
    </row>
    <row r="16" spans="1:3" x14ac:dyDescent="0.35">
      <c r="A16" t="s">
        <v>19</v>
      </c>
      <c r="B16" s="2">
        <v>71</v>
      </c>
      <c r="C16" s="2">
        <v>40</v>
      </c>
    </row>
    <row r="17" spans="1:3" x14ac:dyDescent="0.35">
      <c r="A17" t="s">
        <v>20</v>
      </c>
      <c r="B17" s="2">
        <v>69</v>
      </c>
      <c r="C17" s="2">
        <v>30</v>
      </c>
    </row>
    <row r="18" spans="1:3" x14ac:dyDescent="0.35">
      <c r="A18" t="s">
        <v>21</v>
      </c>
      <c r="B18" s="2">
        <v>74</v>
      </c>
      <c r="C18" s="2">
        <v>41</v>
      </c>
    </row>
    <row r="19" spans="1:3" x14ac:dyDescent="0.35">
      <c r="A19" t="s">
        <v>22</v>
      </c>
      <c r="B19" s="2">
        <v>71</v>
      </c>
      <c r="C19" s="2">
        <v>40</v>
      </c>
    </row>
    <row r="20" spans="1:3" x14ac:dyDescent="0.35">
      <c r="A20" t="s">
        <v>23</v>
      </c>
      <c r="B20" s="2">
        <v>90</v>
      </c>
      <c r="C20" s="2">
        <v>57</v>
      </c>
    </row>
    <row r="21" spans="1:3" x14ac:dyDescent="0.35">
      <c r="A21" t="s">
        <v>24</v>
      </c>
      <c r="B21" s="2">
        <v>87</v>
      </c>
      <c r="C21" s="2">
        <v>53</v>
      </c>
    </row>
    <row r="22" spans="1:3" x14ac:dyDescent="0.35">
      <c r="A22" t="s">
        <v>25</v>
      </c>
      <c r="B22" s="2">
        <v>70</v>
      </c>
      <c r="C22" s="2">
        <v>40</v>
      </c>
    </row>
    <row r="23" spans="1:3" x14ac:dyDescent="0.35">
      <c r="A23" t="s">
        <v>26</v>
      </c>
      <c r="B23" s="2">
        <v>65</v>
      </c>
      <c r="C23" s="2">
        <v>31</v>
      </c>
    </row>
    <row r="24" spans="1:3" x14ac:dyDescent="0.35">
      <c r="A24" t="s">
        <v>27</v>
      </c>
      <c r="B24" s="2">
        <v>78</v>
      </c>
      <c r="C24" s="2">
        <v>39</v>
      </c>
    </row>
    <row r="25" spans="1:3" x14ac:dyDescent="0.35">
      <c r="A25" t="s">
        <v>28</v>
      </c>
      <c r="B25" s="2">
        <v>90</v>
      </c>
      <c r="C25" s="2">
        <v>51</v>
      </c>
    </row>
    <row r="26" spans="1:3" x14ac:dyDescent="0.35">
      <c r="A26" t="s">
        <v>29</v>
      </c>
      <c r="B26" s="2">
        <v>75</v>
      </c>
      <c r="C26" s="2">
        <v>46</v>
      </c>
    </row>
    <row r="27" spans="1:3" x14ac:dyDescent="0.35">
      <c r="A27" t="s">
        <v>30</v>
      </c>
      <c r="B27" s="2">
        <v>69</v>
      </c>
      <c r="C27" s="2">
        <v>40</v>
      </c>
    </row>
    <row r="28" spans="1:3" x14ac:dyDescent="0.35">
      <c r="A28" t="s">
        <v>31</v>
      </c>
      <c r="B28" s="2">
        <v>70</v>
      </c>
      <c r="C28" s="2">
        <v>36</v>
      </c>
    </row>
    <row r="29" spans="1:3" x14ac:dyDescent="0.35">
      <c r="A29" t="s">
        <v>32</v>
      </c>
      <c r="B29" s="2">
        <v>87</v>
      </c>
      <c r="C29" s="2">
        <v>53</v>
      </c>
    </row>
    <row r="30" spans="1:3" x14ac:dyDescent="0.35">
      <c r="A30" t="s">
        <v>33</v>
      </c>
      <c r="B30" s="2">
        <v>83</v>
      </c>
      <c r="C30" s="2">
        <v>42</v>
      </c>
    </row>
    <row r="31" spans="1:3" x14ac:dyDescent="0.35">
      <c r="A31" t="s">
        <v>34</v>
      </c>
      <c r="B31" s="2">
        <v>74</v>
      </c>
      <c r="C31" s="2">
        <v>49</v>
      </c>
    </row>
    <row r="32" spans="1:3" x14ac:dyDescent="0.35">
      <c r="A32" t="s">
        <v>35</v>
      </c>
      <c r="B32" s="2">
        <v>66</v>
      </c>
      <c r="C32" s="2">
        <v>41</v>
      </c>
    </row>
    <row r="33" spans="1:3" x14ac:dyDescent="0.35">
      <c r="A33" t="s">
        <v>36</v>
      </c>
      <c r="B33" s="2">
        <v>76</v>
      </c>
      <c r="C33" s="2">
        <v>38</v>
      </c>
    </row>
    <row r="34" spans="1:3" x14ac:dyDescent="0.35">
      <c r="A34" t="s">
        <v>37</v>
      </c>
      <c r="B34" s="2">
        <v>93</v>
      </c>
      <c r="C34" s="2">
        <v>57</v>
      </c>
    </row>
    <row r="35" spans="1:3" x14ac:dyDescent="0.35">
      <c r="A35" t="s">
        <v>38</v>
      </c>
      <c r="B35" s="2">
        <v>82</v>
      </c>
      <c r="C35" s="2">
        <v>52</v>
      </c>
    </row>
    <row r="36" spans="1:3" x14ac:dyDescent="0.35">
      <c r="A36" t="s">
        <v>39</v>
      </c>
      <c r="B36" s="2">
        <v>77</v>
      </c>
      <c r="C36" s="2">
        <v>44</v>
      </c>
    </row>
    <row r="37" spans="1:3" x14ac:dyDescent="0.35">
      <c r="A37" t="s">
        <v>40</v>
      </c>
      <c r="B37" s="2">
        <v>74</v>
      </c>
      <c r="C37" s="2">
        <v>42</v>
      </c>
    </row>
    <row r="38" spans="1:3" x14ac:dyDescent="0.35">
      <c r="A38" t="s">
        <v>41</v>
      </c>
      <c r="B38" s="2">
        <v>88</v>
      </c>
      <c r="C38" s="2">
        <v>48</v>
      </c>
    </row>
    <row r="39" spans="1:3" x14ac:dyDescent="0.35">
      <c r="A39" t="s">
        <v>42</v>
      </c>
      <c r="B39" s="2">
        <v>87</v>
      </c>
      <c r="C39" s="2">
        <v>41</v>
      </c>
    </row>
    <row r="40" spans="1:3" x14ac:dyDescent="0.35">
      <c r="A40" t="s">
        <v>43</v>
      </c>
      <c r="B40" s="2">
        <v>84</v>
      </c>
      <c r="C40" s="2">
        <v>48</v>
      </c>
    </row>
    <row r="41" spans="1:3" x14ac:dyDescent="0.35">
      <c r="A41" t="s">
        <v>44</v>
      </c>
      <c r="B41" s="2">
        <v>71</v>
      </c>
      <c r="C41" s="2">
        <v>41</v>
      </c>
    </row>
    <row r="42" spans="1:3" x14ac:dyDescent="0.35">
      <c r="A42" t="s">
        <v>45</v>
      </c>
      <c r="B42" s="2">
        <v>69</v>
      </c>
      <c r="C42" s="2">
        <v>46</v>
      </c>
    </row>
    <row r="43" spans="1:3" x14ac:dyDescent="0.35">
      <c r="A43" t="s">
        <v>46</v>
      </c>
      <c r="B43" s="2">
        <v>83</v>
      </c>
      <c r="C43" s="2">
        <v>49</v>
      </c>
    </row>
    <row r="44" spans="1:3" x14ac:dyDescent="0.35">
      <c r="A44" t="s">
        <v>47</v>
      </c>
      <c r="B44" s="2">
        <v>78</v>
      </c>
      <c r="C44" s="2">
        <v>49</v>
      </c>
    </row>
    <row r="45" spans="1:3" x14ac:dyDescent="0.35">
      <c r="A45" t="s">
        <v>48</v>
      </c>
      <c r="B45" s="2">
        <v>73</v>
      </c>
      <c r="C45" s="2">
        <v>43</v>
      </c>
    </row>
    <row r="46" spans="1:3" x14ac:dyDescent="0.35">
      <c r="A46" t="s">
        <v>49</v>
      </c>
      <c r="B46" s="2">
        <v>85</v>
      </c>
      <c r="C46" s="2">
        <v>38</v>
      </c>
    </row>
    <row r="47" spans="1:3" x14ac:dyDescent="0.35">
      <c r="A47" t="s">
        <v>50</v>
      </c>
      <c r="B47" s="2">
        <v>68</v>
      </c>
      <c r="C47" s="2">
        <v>40</v>
      </c>
    </row>
    <row r="48" spans="1:3" x14ac:dyDescent="0.35">
      <c r="A48" t="s">
        <v>51</v>
      </c>
      <c r="B48" s="2">
        <v>71</v>
      </c>
      <c r="C48" s="2">
        <v>39</v>
      </c>
    </row>
    <row r="49" spans="1:3" x14ac:dyDescent="0.35">
      <c r="A49" t="s">
        <v>52</v>
      </c>
      <c r="B49" s="2">
        <v>86</v>
      </c>
      <c r="C49" s="2">
        <v>52</v>
      </c>
    </row>
    <row r="50" spans="1:3" x14ac:dyDescent="0.35">
      <c r="A50" t="s">
        <v>53</v>
      </c>
      <c r="B50" s="2">
        <v>75</v>
      </c>
      <c r="C50" s="2">
        <v>48</v>
      </c>
    </row>
    <row r="51" spans="1:3" x14ac:dyDescent="0.35">
      <c r="A51" t="s">
        <v>54</v>
      </c>
      <c r="B51" s="2">
        <v>95</v>
      </c>
      <c r="C51" s="2">
        <v>48</v>
      </c>
    </row>
    <row r="52" spans="1:3" x14ac:dyDescent="0.35">
      <c r="A52" t="s">
        <v>55</v>
      </c>
      <c r="B52" s="2">
        <v>98</v>
      </c>
      <c r="C52" s="2">
        <v>59</v>
      </c>
    </row>
    <row r="53" spans="1:3" x14ac:dyDescent="0.35">
      <c r="A53" t="s">
        <v>56</v>
      </c>
      <c r="B53" s="2">
        <v>123</v>
      </c>
      <c r="C53" s="2">
        <v>61</v>
      </c>
    </row>
    <row r="54" spans="1:3" x14ac:dyDescent="0.35">
      <c r="A54" t="s">
        <v>57</v>
      </c>
      <c r="B54" s="2">
        <v>78</v>
      </c>
      <c r="C54" s="2">
        <v>49</v>
      </c>
    </row>
    <row r="55" spans="1:3" x14ac:dyDescent="0.35">
      <c r="A55" t="s">
        <v>58</v>
      </c>
      <c r="B55" s="2">
        <v>97</v>
      </c>
      <c r="C55" s="2">
        <v>57</v>
      </c>
    </row>
    <row r="56" spans="1:3" x14ac:dyDescent="0.35">
      <c r="A56" t="s">
        <v>59</v>
      </c>
      <c r="B56" s="2">
        <v>81</v>
      </c>
      <c r="C56" s="2">
        <v>49</v>
      </c>
    </row>
    <row r="57" spans="1:3" x14ac:dyDescent="0.35">
      <c r="A57" t="s">
        <v>60</v>
      </c>
      <c r="B57" s="2">
        <v>87</v>
      </c>
      <c r="C57" s="2">
        <v>48</v>
      </c>
    </row>
    <row r="58" spans="1:3" x14ac:dyDescent="0.35">
      <c r="A58" t="s">
        <v>61</v>
      </c>
      <c r="B58" s="2">
        <v>101</v>
      </c>
      <c r="C58" s="2">
        <v>50</v>
      </c>
    </row>
    <row r="59" spans="1:3" x14ac:dyDescent="0.35">
      <c r="A59" t="s">
        <v>62</v>
      </c>
      <c r="B59" s="2">
        <v>96</v>
      </c>
      <c r="C59" s="2">
        <v>58</v>
      </c>
    </row>
    <row r="60" spans="1:3" x14ac:dyDescent="0.35">
      <c r="A60" t="s">
        <v>63</v>
      </c>
      <c r="B60" s="2">
        <v>91</v>
      </c>
      <c r="C60" s="2">
        <v>58</v>
      </c>
    </row>
    <row r="61" spans="1:3" x14ac:dyDescent="0.35">
      <c r="A61" t="s">
        <v>64</v>
      </c>
      <c r="B61" s="2">
        <v>93</v>
      </c>
      <c r="C61" s="2">
        <v>51</v>
      </c>
    </row>
    <row r="62" spans="1:3" x14ac:dyDescent="0.35">
      <c r="A62" t="s">
        <v>65</v>
      </c>
      <c r="B62" s="2">
        <v>116</v>
      </c>
      <c r="C62" s="2">
        <v>68</v>
      </c>
    </row>
    <row r="63" spans="1:3" x14ac:dyDescent="0.35">
      <c r="A63" t="s">
        <v>66</v>
      </c>
      <c r="B63" s="2">
        <v>85</v>
      </c>
      <c r="C63" s="2">
        <v>46</v>
      </c>
    </row>
    <row r="64" spans="1:3" x14ac:dyDescent="0.35">
      <c r="A64" t="s">
        <v>67</v>
      </c>
      <c r="B64" s="2">
        <v>97</v>
      </c>
      <c r="C64" s="2">
        <v>57</v>
      </c>
    </row>
    <row r="65" spans="1:3" x14ac:dyDescent="0.35">
      <c r="A65" t="s">
        <v>68</v>
      </c>
      <c r="B65" s="2">
        <v>65</v>
      </c>
      <c r="C65" s="2">
        <v>40</v>
      </c>
    </row>
    <row r="66" spans="1:3" x14ac:dyDescent="0.35">
      <c r="A66" t="s">
        <v>69</v>
      </c>
      <c r="B66" s="2">
        <v>45</v>
      </c>
      <c r="C66" s="2">
        <v>27</v>
      </c>
    </row>
    <row r="67" spans="1:3" x14ac:dyDescent="0.35">
      <c r="A67" t="s">
        <v>70</v>
      </c>
      <c r="B67" s="2">
        <v>81</v>
      </c>
      <c r="C67" s="2">
        <v>42</v>
      </c>
    </row>
    <row r="68" spans="1:3" x14ac:dyDescent="0.35">
      <c r="A68" t="s">
        <v>71</v>
      </c>
      <c r="B68" s="2">
        <v>65</v>
      </c>
      <c r="C68" s="2">
        <v>41</v>
      </c>
    </row>
    <row r="69" spans="1:3" x14ac:dyDescent="0.35">
      <c r="A69" t="s">
        <v>72</v>
      </c>
      <c r="B69" s="2">
        <v>89</v>
      </c>
      <c r="C69" s="2">
        <v>50</v>
      </c>
    </row>
    <row r="70" spans="1:3" x14ac:dyDescent="0.35">
      <c r="A70" t="s">
        <v>73</v>
      </c>
      <c r="B70" s="2">
        <v>62</v>
      </c>
      <c r="C70" s="2">
        <v>34</v>
      </c>
    </row>
    <row r="71" spans="1:3" x14ac:dyDescent="0.35">
      <c r="A71" t="s">
        <v>74</v>
      </c>
      <c r="B71" s="2">
        <v>95</v>
      </c>
      <c r="C71" s="2">
        <v>65</v>
      </c>
    </row>
    <row r="72" spans="1:3" x14ac:dyDescent="0.35">
      <c r="A72" t="s">
        <v>75</v>
      </c>
      <c r="B72" s="2">
        <v>94</v>
      </c>
      <c r="C72" s="2">
        <v>46</v>
      </c>
    </row>
    <row r="73" spans="1:3" x14ac:dyDescent="0.35">
      <c r="A73" t="s">
        <v>76</v>
      </c>
      <c r="B73" s="2">
        <v>87</v>
      </c>
      <c r="C73" s="2">
        <v>48</v>
      </c>
    </row>
    <row r="74" spans="1:3" x14ac:dyDescent="0.35">
      <c r="A74" t="s">
        <v>77</v>
      </c>
      <c r="B74" s="2">
        <v>104</v>
      </c>
      <c r="C74" s="2">
        <v>66</v>
      </c>
    </row>
    <row r="75" spans="1:3" x14ac:dyDescent="0.35">
      <c r="A75" t="s">
        <v>78</v>
      </c>
      <c r="B75" s="2">
        <v>97</v>
      </c>
      <c r="C75" s="2">
        <v>62</v>
      </c>
    </row>
    <row r="76" spans="1:3" x14ac:dyDescent="0.35">
      <c r="A76" t="s">
        <v>79</v>
      </c>
      <c r="B76" s="2">
        <v>109</v>
      </c>
      <c r="C76" s="2">
        <v>70</v>
      </c>
    </row>
    <row r="77" spans="1:3" x14ac:dyDescent="0.35">
      <c r="A77" t="s">
        <v>80</v>
      </c>
      <c r="B77" s="2">
        <v>80</v>
      </c>
      <c r="C77" s="2">
        <v>49</v>
      </c>
    </row>
    <row r="78" spans="1:3" x14ac:dyDescent="0.35">
      <c r="A78" t="s">
        <v>81</v>
      </c>
      <c r="B78" s="2">
        <v>94</v>
      </c>
      <c r="C78" s="2">
        <v>50</v>
      </c>
    </row>
    <row r="79" spans="1:3" x14ac:dyDescent="0.35">
      <c r="A79" t="s">
        <v>82</v>
      </c>
      <c r="B79" s="2">
        <v>86</v>
      </c>
      <c r="C79" s="2">
        <v>50</v>
      </c>
    </row>
    <row r="80" spans="1:3" x14ac:dyDescent="0.35">
      <c r="A80" t="s">
        <v>83</v>
      </c>
      <c r="B80" s="2">
        <v>116</v>
      </c>
      <c r="C80" s="2">
        <v>72</v>
      </c>
    </row>
    <row r="81" spans="1:3" x14ac:dyDescent="0.35">
      <c r="A81" t="s">
        <v>84</v>
      </c>
      <c r="B81" s="2">
        <v>106</v>
      </c>
      <c r="C81" s="2">
        <v>60</v>
      </c>
    </row>
    <row r="82" spans="1:3" x14ac:dyDescent="0.35">
      <c r="A82" t="s">
        <v>85</v>
      </c>
      <c r="B82" s="2">
        <v>104</v>
      </c>
      <c r="C82" s="2">
        <v>52</v>
      </c>
    </row>
    <row r="83" spans="1:3" x14ac:dyDescent="0.35">
      <c r="A83" t="s">
        <v>86</v>
      </c>
      <c r="B83" s="2">
        <v>81</v>
      </c>
      <c r="C83" s="2">
        <v>45</v>
      </c>
    </row>
    <row r="84" spans="1:3" x14ac:dyDescent="0.35">
      <c r="A84" t="s">
        <v>87</v>
      </c>
      <c r="B84" s="2">
        <v>126</v>
      </c>
      <c r="C84" s="2">
        <v>66</v>
      </c>
    </row>
    <row r="85" spans="1:3" x14ac:dyDescent="0.35">
      <c r="A85" t="s">
        <v>88</v>
      </c>
      <c r="B85" s="2">
        <v>76</v>
      </c>
      <c r="C85" s="2">
        <v>41</v>
      </c>
    </row>
    <row r="86" spans="1:3" x14ac:dyDescent="0.35">
      <c r="A86" t="s">
        <v>89</v>
      </c>
      <c r="B86" s="2">
        <v>107</v>
      </c>
      <c r="C86" s="2">
        <v>60</v>
      </c>
    </row>
    <row r="87" spans="1:3" x14ac:dyDescent="0.35">
      <c r="A87" t="s">
        <v>90</v>
      </c>
      <c r="B87" s="2">
        <v>107</v>
      </c>
      <c r="C87" s="2">
        <v>61</v>
      </c>
    </row>
    <row r="88" spans="1:3" x14ac:dyDescent="0.35">
      <c r="A88" t="s">
        <v>91</v>
      </c>
      <c r="B88" s="2">
        <v>116</v>
      </c>
      <c r="C88" s="2">
        <v>72</v>
      </c>
    </row>
    <row r="89" spans="1:3" x14ac:dyDescent="0.35">
      <c r="A89" t="s">
        <v>92</v>
      </c>
      <c r="B89" s="2">
        <v>92</v>
      </c>
      <c r="C89" s="2">
        <v>56</v>
      </c>
    </row>
    <row r="90" spans="1:3" x14ac:dyDescent="0.35">
      <c r="A90" t="s">
        <v>93</v>
      </c>
      <c r="B90" s="2">
        <v>83</v>
      </c>
      <c r="C90" s="2">
        <v>51</v>
      </c>
    </row>
    <row r="91" spans="1:3" x14ac:dyDescent="0.35">
      <c r="A91" t="s">
        <v>94</v>
      </c>
      <c r="B91" s="2">
        <v>99</v>
      </c>
      <c r="C91" s="2">
        <v>51</v>
      </c>
    </row>
    <row r="92" spans="1:3" x14ac:dyDescent="0.35">
      <c r="A92" t="s">
        <v>95</v>
      </c>
      <c r="B92" s="2">
        <v>80</v>
      </c>
      <c r="C92" s="2">
        <v>45</v>
      </c>
    </row>
    <row r="93" spans="1:3" x14ac:dyDescent="0.35">
      <c r="A93" t="s">
        <v>96</v>
      </c>
      <c r="B93" s="2">
        <v>60</v>
      </c>
      <c r="C93" s="2">
        <v>36</v>
      </c>
    </row>
    <row r="94" spans="1:3" x14ac:dyDescent="0.35">
      <c r="A94" t="s">
        <v>97</v>
      </c>
      <c r="B94" s="2">
        <v>71</v>
      </c>
      <c r="C94" s="2">
        <v>36</v>
      </c>
    </row>
    <row r="95" spans="1:3" x14ac:dyDescent="0.35">
      <c r="A95" t="s">
        <v>98</v>
      </c>
      <c r="B95" s="2">
        <v>85</v>
      </c>
      <c r="C95" s="2">
        <v>41</v>
      </c>
    </row>
    <row r="96" spans="1:3" x14ac:dyDescent="0.35">
      <c r="A96" t="s">
        <v>99</v>
      </c>
      <c r="B96" s="2">
        <v>112</v>
      </c>
      <c r="C96" s="2">
        <v>66</v>
      </c>
    </row>
    <row r="97" spans="1:3" x14ac:dyDescent="0.35">
      <c r="A97" t="s">
        <v>100</v>
      </c>
      <c r="B97" s="2">
        <v>114</v>
      </c>
      <c r="C97" s="2">
        <v>74</v>
      </c>
    </row>
    <row r="98" spans="1:3" x14ac:dyDescent="0.35">
      <c r="A98" t="s">
        <v>101</v>
      </c>
      <c r="B98" s="2">
        <v>98</v>
      </c>
      <c r="C98" s="2">
        <v>67</v>
      </c>
    </row>
    <row r="99" spans="1:3" x14ac:dyDescent="0.35">
      <c r="A99" t="s">
        <v>102</v>
      </c>
      <c r="B99" s="2">
        <v>105</v>
      </c>
      <c r="C99" s="2">
        <v>54</v>
      </c>
    </row>
    <row r="100" spans="1:3" x14ac:dyDescent="0.35">
      <c r="A100" t="s">
        <v>103</v>
      </c>
      <c r="B100" s="2">
        <v>109</v>
      </c>
      <c r="C100" s="2">
        <v>59</v>
      </c>
    </row>
    <row r="101" spans="1:3" x14ac:dyDescent="0.35">
      <c r="A101" t="s">
        <v>104</v>
      </c>
      <c r="B101" s="2">
        <v>120</v>
      </c>
      <c r="C101" s="2">
        <v>68</v>
      </c>
    </row>
    <row r="102" spans="1:3" x14ac:dyDescent="0.35">
      <c r="A102" t="s">
        <v>105</v>
      </c>
      <c r="B102" s="2">
        <v>118</v>
      </c>
      <c r="C102" s="2">
        <v>76</v>
      </c>
    </row>
    <row r="103" spans="1:3" x14ac:dyDescent="0.35">
      <c r="A103" t="s">
        <v>106</v>
      </c>
      <c r="B103" s="2">
        <v>111</v>
      </c>
      <c r="C103" s="2">
        <v>63</v>
      </c>
    </row>
    <row r="104" spans="1:3" x14ac:dyDescent="0.35">
      <c r="A104" t="s">
        <v>107</v>
      </c>
      <c r="B104" s="2">
        <v>104</v>
      </c>
      <c r="C104" s="2">
        <v>57</v>
      </c>
    </row>
    <row r="105" spans="1:3" x14ac:dyDescent="0.35">
      <c r="A105" t="s">
        <v>108</v>
      </c>
      <c r="B105" s="2">
        <v>112</v>
      </c>
      <c r="C105" s="2">
        <v>63</v>
      </c>
    </row>
    <row r="106" spans="1:3" x14ac:dyDescent="0.35">
      <c r="A106" t="s">
        <v>109</v>
      </c>
      <c r="B106" s="2">
        <v>95</v>
      </c>
      <c r="C106" s="2">
        <v>58</v>
      </c>
    </row>
    <row r="107" spans="1:3" x14ac:dyDescent="0.35">
      <c r="A107" t="s">
        <v>110</v>
      </c>
      <c r="B107" s="2">
        <v>121</v>
      </c>
      <c r="C107" s="2">
        <v>74</v>
      </c>
    </row>
    <row r="108" spans="1:3" x14ac:dyDescent="0.35">
      <c r="A108" t="s">
        <v>111</v>
      </c>
      <c r="B108" s="2">
        <v>114</v>
      </c>
      <c r="C108" s="2">
        <v>60</v>
      </c>
    </row>
    <row r="109" spans="1:3" x14ac:dyDescent="0.35">
      <c r="A109" t="s">
        <v>112</v>
      </c>
      <c r="B109" s="2">
        <v>101</v>
      </c>
      <c r="C109" s="2">
        <v>55</v>
      </c>
    </row>
    <row r="110" spans="1:3" x14ac:dyDescent="0.35">
      <c r="A110" t="s">
        <v>113</v>
      </c>
      <c r="B110" s="2">
        <v>107</v>
      </c>
      <c r="C110" s="2">
        <v>58</v>
      </c>
    </row>
    <row r="111" spans="1:3" x14ac:dyDescent="0.35">
      <c r="A111" t="s">
        <v>114</v>
      </c>
      <c r="B111" s="2">
        <v>93</v>
      </c>
      <c r="C111" s="2">
        <v>47</v>
      </c>
    </row>
    <row r="112" spans="1:3" x14ac:dyDescent="0.35">
      <c r="A112" t="s">
        <v>115</v>
      </c>
      <c r="B112" s="2">
        <v>103</v>
      </c>
      <c r="C112" s="2">
        <v>66</v>
      </c>
    </row>
    <row r="113" spans="1:3" x14ac:dyDescent="0.35">
      <c r="A113" t="s">
        <v>116</v>
      </c>
      <c r="B113" s="2">
        <v>103</v>
      </c>
      <c r="C113" s="2">
        <v>53</v>
      </c>
    </row>
    <row r="114" spans="1:3" x14ac:dyDescent="0.35">
      <c r="A114" t="s">
        <v>117</v>
      </c>
      <c r="B114" s="2">
        <v>128</v>
      </c>
      <c r="C114" s="2">
        <v>78</v>
      </c>
    </row>
    <row r="115" spans="1:3" x14ac:dyDescent="0.35">
      <c r="A115" t="s">
        <v>118</v>
      </c>
      <c r="B115" s="2">
        <v>103</v>
      </c>
      <c r="C115" s="2">
        <v>63</v>
      </c>
    </row>
    <row r="116" spans="1:3" x14ac:dyDescent="0.35">
      <c r="A116" t="s">
        <v>119</v>
      </c>
      <c r="B116" s="2">
        <v>71</v>
      </c>
      <c r="C116" s="2">
        <v>40</v>
      </c>
    </row>
    <row r="117" spans="1:3" x14ac:dyDescent="0.35">
      <c r="A117" t="s">
        <v>120</v>
      </c>
      <c r="B117" s="2">
        <v>67</v>
      </c>
      <c r="C117" s="2">
        <v>34</v>
      </c>
    </row>
    <row r="118" spans="1:3" x14ac:dyDescent="0.35">
      <c r="A118" t="s">
        <v>121</v>
      </c>
      <c r="B118" s="2">
        <v>88</v>
      </c>
      <c r="C118" s="2">
        <v>50</v>
      </c>
    </row>
    <row r="119" spans="1:3" x14ac:dyDescent="0.35">
      <c r="A119" t="s">
        <v>122</v>
      </c>
      <c r="B119" s="2">
        <v>89</v>
      </c>
      <c r="C119" s="2">
        <v>51</v>
      </c>
    </row>
    <row r="120" spans="1:3" x14ac:dyDescent="0.35">
      <c r="A120" t="s">
        <v>123</v>
      </c>
      <c r="B120" s="2">
        <v>107</v>
      </c>
      <c r="C120" s="2">
        <v>66</v>
      </c>
    </row>
    <row r="121" spans="1:3" x14ac:dyDescent="0.35">
      <c r="A121" t="s">
        <v>124</v>
      </c>
      <c r="B121" s="2">
        <v>128</v>
      </c>
      <c r="C121" s="2">
        <v>64</v>
      </c>
    </row>
    <row r="122" spans="1:3" x14ac:dyDescent="0.35">
      <c r="A122" t="s">
        <v>125</v>
      </c>
      <c r="B122" s="2">
        <v>108</v>
      </c>
      <c r="C122" s="2">
        <v>65</v>
      </c>
    </row>
    <row r="123" spans="1:3" x14ac:dyDescent="0.35">
      <c r="A123" t="s">
        <v>126</v>
      </c>
      <c r="B123" s="2">
        <v>114</v>
      </c>
      <c r="C123" s="2">
        <v>60</v>
      </c>
    </row>
    <row r="124" spans="1:3" x14ac:dyDescent="0.35">
      <c r="A124" t="s">
        <v>127</v>
      </c>
      <c r="B124" s="2">
        <v>121</v>
      </c>
      <c r="C124" s="2">
        <v>69</v>
      </c>
    </row>
    <row r="125" spans="1:3" x14ac:dyDescent="0.35">
      <c r="A125" t="s">
        <v>128</v>
      </c>
      <c r="B125" s="2">
        <v>117</v>
      </c>
      <c r="C125" s="2">
        <v>75</v>
      </c>
    </row>
    <row r="126" spans="1:3" x14ac:dyDescent="0.35">
      <c r="A126" t="s">
        <v>129</v>
      </c>
      <c r="B126" s="2">
        <v>106</v>
      </c>
      <c r="C126" s="2">
        <v>65</v>
      </c>
    </row>
    <row r="127" spans="1:3" x14ac:dyDescent="0.35">
      <c r="A127" t="s">
        <v>130</v>
      </c>
      <c r="B127" s="2">
        <v>105</v>
      </c>
      <c r="C127" s="2">
        <v>64</v>
      </c>
    </row>
    <row r="128" spans="1:3" x14ac:dyDescent="0.35">
      <c r="A128" t="s">
        <v>131</v>
      </c>
      <c r="B128" s="2">
        <v>100</v>
      </c>
      <c r="C128" s="2">
        <v>52</v>
      </c>
    </row>
    <row r="129" spans="1:3" x14ac:dyDescent="0.35">
      <c r="A129" t="s">
        <v>132</v>
      </c>
      <c r="B129" s="2">
        <v>115</v>
      </c>
      <c r="C129" s="2">
        <v>62</v>
      </c>
    </row>
    <row r="130" spans="1:3" x14ac:dyDescent="0.35">
      <c r="A130" t="s">
        <v>133</v>
      </c>
      <c r="B130" s="2">
        <v>99</v>
      </c>
      <c r="C130" s="2">
        <v>61</v>
      </c>
    </row>
    <row r="131" spans="1:3" x14ac:dyDescent="0.35">
      <c r="A131" t="s">
        <v>134</v>
      </c>
      <c r="B131" s="2">
        <v>96</v>
      </c>
      <c r="C131" s="2">
        <v>59</v>
      </c>
    </row>
    <row r="132" spans="1:3" x14ac:dyDescent="0.35">
      <c r="A132" t="s">
        <v>135</v>
      </c>
      <c r="B132" s="2">
        <v>95</v>
      </c>
      <c r="C132" s="2">
        <v>52</v>
      </c>
    </row>
    <row r="133" spans="1:3" x14ac:dyDescent="0.35">
      <c r="A133" t="s">
        <v>136</v>
      </c>
      <c r="B133" s="2">
        <v>87</v>
      </c>
      <c r="C133" s="2">
        <v>54</v>
      </c>
    </row>
    <row r="134" spans="1:3" x14ac:dyDescent="0.35">
      <c r="A134" t="s">
        <v>137</v>
      </c>
      <c r="B134" s="2">
        <v>117</v>
      </c>
      <c r="C134" s="2">
        <v>73</v>
      </c>
    </row>
    <row r="135" spans="1:3" x14ac:dyDescent="0.35">
      <c r="A135" t="s">
        <v>138</v>
      </c>
      <c r="B135" s="2">
        <v>123</v>
      </c>
      <c r="C135" s="2">
        <v>64</v>
      </c>
    </row>
    <row r="136" spans="1:3" x14ac:dyDescent="0.35">
      <c r="A136" t="s">
        <v>139</v>
      </c>
      <c r="B136" s="2">
        <v>84</v>
      </c>
      <c r="C136" s="2">
        <v>46</v>
      </c>
    </row>
    <row r="137" spans="1:3" x14ac:dyDescent="0.35">
      <c r="A137" t="s">
        <v>140</v>
      </c>
      <c r="B137" s="2">
        <v>96</v>
      </c>
      <c r="C137" s="2">
        <v>46</v>
      </c>
    </row>
    <row r="138" spans="1:3" x14ac:dyDescent="0.35">
      <c r="A138" t="s">
        <v>141</v>
      </c>
      <c r="B138" s="2">
        <v>97</v>
      </c>
      <c r="C138" s="2">
        <v>60</v>
      </c>
    </row>
    <row r="139" spans="1:3" x14ac:dyDescent="0.35">
      <c r="A139" t="s">
        <v>142</v>
      </c>
      <c r="B139" s="2">
        <v>113</v>
      </c>
      <c r="C139" s="2">
        <v>68</v>
      </c>
    </row>
    <row r="140" spans="1:3" x14ac:dyDescent="0.35">
      <c r="A140" t="s">
        <v>143</v>
      </c>
      <c r="B140" s="2">
        <v>107</v>
      </c>
      <c r="C140" s="2">
        <v>69</v>
      </c>
    </row>
    <row r="141" spans="1:3" x14ac:dyDescent="0.35">
      <c r="A141" t="s">
        <v>144</v>
      </c>
      <c r="B141" s="2">
        <v>110</v>
      </c>
      <c r="C141" s="2">
        <v>66</v>
      </c>
    </row>
    <row r="142" spans="1:3" x14ac:dyDescent="0.35">
      <c r="A142" t="s">
        <v>145</v>
      </c>
      <c r="B142" s="2">
        <v>108</v>
      </c>
      <c r="C142" s="2">
        <v>64</v>
      </c>
    </row>
    <row r="143" spans="1:3" x14ac:dyDescent="0.35">
      <c r="A143" t="s">
        <v>146</v>
      </c>
      <c r="B143" s="2">
        <v>115</v>
      </c>
      <c r="C143" s="2">
        <v>64</v>
      </c>
    </row>
    <row r="144" spans="1:3" x14ac:dyDescent="0.35">
      <c r="A144" t="s">
        <v>147</v>
      </c>
      <c r="B144" s="2">
        <v>119</v>
      </c>
      <c r="C144" s="2">
        <v>70</v>
      </c>
    </row>
    <row r="145" spans="1:3" x14ac:dyDescent="0.35">
      <c r="A145" t="s">
        <v>148</v>
      </c>
      <c r="B145" s="2">
        <v>100</v>
      </c>
      <c r="C145" s="2">
        <v>51</v>
      </c>
    </row>
    <row r="146" spans="1:3" x14ac:dyDescent="0.35">
      <c r="A146" t="s">
        <v>149</v>
      </c>
      <c r="B146" s="2">
        <v>110</v>
      </c>
      <c r="C146" s="2">
        <v>61</v>
      </c>
    </row>
    <row r="147" spans="1:3" x14ac:dyDescent="0.35">
      <c r="A147" t="s">
        <v>150</v>
      </c>
      <c r="B147" s="2">
        <v>115</v>
      </c>
      <c r="C147" s="2">
        <v>67</v>
      </c>
    </row>
    <row r="148" spans="1:3" x14ac:dyDescent="0.35">
      <c r="A148" t="s">
        <v>151</v>
      </c>
      <c r="B148" s="2">
        <v>109</v>
      </c>
      <c r="C148" s="2">
        <v>65</v>
      </c>
    </row>
    <row r="149" spans="1:3" x14ac:dyDescent="0.35">
      <c r="A149" t="s">
        <v>152</v>
      </c>
      <c r="B149" s="2">
        <v>121</v>
      </c>
      <c r="C149" s="2">
        <v>65</v>
      </c>
    </row>
    <row r="150" spans="1:3" x14ac:dyDescent="0.35">
      <c r="A150" t="s">
        <v>153</v>
      </c>
      <c r="B150" s="2">
        <v>112</v>
      </c>
      <c r="C150" s="2">
        <v>64</v>
      </c>
    </row>
    <row r="151" spans="1:3" x14ac:dyDescent="0.35">
      <c r="A151" t="s">
        <v>154</v>
      </c>
      <c r="B151" s="2">
        <v>98</v>
      </c>
      <c r="C151" s="2">
        <v>57</v>
      </c>
    </row>
    <row r="152" spans="1:3" x14ac:dyDescent="0.35">
      <c r="A152" t="s">
        <v>155</v>
      </c>
      <c r="B152" s="2">
        <v>122</v>
      </c>
      <c r="C152" s="2">
        <v>69</v>
      </c>
    </row>
    <row r="153" spans="1:3" x14ac:dyDescent="0.35">
      <c r="A153" t="s">
        <v>156</v>
      </c>
      <c r="B153" s="2">
        <v>98</v>
      </c>
      <c r="C153" s="2">
        <v>51</v>
      </c>
    </row>
    <row r="154" spans="1:3" x14ac:dyDescent="0.35">
      <c r="A154" t="s">
        <v>157</v>
      </c>
      <c r="B154" s="2">
        <v>111</v>
      </c>
      <c r="C154" s="2">
        <v>59</v>
      </c>
    </row>
    <row r="155" spans="1:3" x14ac:dyDescent="0.35">
      <c r="A155" t="s">
        <v>158</v>
      </c>
      <c r="B155" s="2">
        <v>115</v>
      </c>
      <c r="C155" s="2">
        <v>52</v>
      </c>
    </row>
    <row r="156" spans="1:3" x14ac:dyDescent="0.35">
      <c r="A156" t="s">
        <v>159</v>
      </c>
      <c r="B156" s="2">
        <v>101</v>
      </c>
      <c r="C156" s="2">
        <v>54</v>
      </c>
    </row>
    <row r="157" spans="1:3" x14ac:dyDescent="0.35">
      <c r="A157" t="s">
        <v>160</v>
      </c>
      <c r="B157" s="2">
        <v>91</v>
      </c>
      <c r="C157" s="2">
        <v>52</v>
      </c>
    </row>
    <row r="158" spans="1:3" x14ac:dyDescent="0.35">
      <c r="A158" t="s">
        <v>161</v>
      </c>
      <c r="B158" s="2">
        <v>128</v>
      </c>
      <c r="C158" s="2">
        <v>79</v>
      </c>
    </row>
    <row r="159" spans="1:3" x14ac:dyDescent="0.35">
      <c r="A159" t="s">
        <v>162</v>
      </c>
      <c r="B159" s="2">
        <v>105</v>
      </c>
      <c r="C159" s="2">
        <v>67</v>
      </c>
    </row>
    <row r="160" spans="1:3" x14ac:dyDescent="0.35">
      <c r="A160" t="s">
        <v>163</v>
      </c>
      <c r="B160" s="2">
        <v>101</v>
      </c>
      <c r="C160" s="2">
        <v>55</v>
      </c>
    </row>
    <row r="161" spans="1:3" x14ac:dyDescent="0.35">
      <c r="A161" t="s">
        <v>164</v>
      </c>
      <c r="B161" s="2">
        <v>99</v>
      </c>
      <c r="C161" s="2">
        <v>50</v>
      </c>
    </row>
    <row r="162" spans="1:3" x14ac:dyDescent="0.35">
      <c r="A162" t="s">
        <v>165</v>
      </c>
      <c r="B162" s="2">
        <v>118</v>
      </c>
      <c r="C162" s="2">
        <v>66</v>
      </c>
    </row>
    <row r="163" spans="1:3" x14ac:dyDescent="0.35">
      <c r="A163" t="s">
        <v>166</v>
      </c>
      <c r="B163" s="2">
        <v>92</v>
      </c>
      <c r="C163" s="2">
        <v>53</v>
      </c>
    </row>
    <row r="164" spans="1:3" x14ac:dyDescent="0.35">
      <c r="A164" t="s">
        <v>167</v>
      </c>
      <c r="B164" s="2">
        <v>116</v>
      </c>
      <c r="C164" s="2">
        <v>70</v>
      </c>
    </row>
    <row r="165" spans="1:3" x14ac:dyDescent="0.35">
      <c r="A165" t="s">
        <v>168</v>
      </c>
      <c r="B165" s="2">
        <v>97</v>
      </c>
      <c r="C165" s="2">
        <v>56</v>
      </c>
    </row>
    <row r="166" spans="1:3" x14ac:dyDescent="0.35">
      <c r="A166" t="s">
        <v>169</v>
      </c>
      <c r="B166" s="2">
        <v>96</v>
      </c>
      <c r="C166" s="2">
        <v>59</v>
      </c>
    </row>
    <row r="167" spans="1:3" x14ac:dyDescent="0.35">
      <c r="A167" t="s">
        <v>170</v>
      </c>
      <c r="B167" s="2">
        <v>93</v>
      </c>
      <c r="C167" s="2">
        <v>54</v>
      </c>
    </row>
    <row r="168" spans="1:3" x14ac:dyDescent="0.35">
      <c r="A168" t="s">
        <v>171</v>
      </c>
      <c r="B168" s="2">
        <v>119</v>
      </c>
      <c r="C168" s="2">
        <v>68</v>
      </c>
    </row>
    <row r="169" spans="1:3" x14ac:dyDescent="0.35">
      <c r="A169" t="s">
        <v>172</v>
      </c>
      <c r="B169" s="2">
        <v>131</v>
      </c>
      <c r="C169" s="2">
        <v>68</v>
      </c>
    </row>
    <row r="170" spans="1:3" x14ac:dyDescent="0.35">
      <c r="A170" t="s">
        <v>173</v>
      </c>
      <c r="B170" s="2">
        <v>124</v>
      </c>
      <c r="C170" s="2">
        <v>61</v>
      </c>
    </row>
    <row r="171" spans="1:3" x14ac:dyDescent="0.35">
      <c r="A171" t="s">
        <v>174</v>
      </c>
      <c r="B171" s="2">
        <v>101</v>
      </c>
      <c r="C171" s="2">
        <v>52</v>
      </c>
    </row>
    <row r="172" spans="1:3" x14ac:dyDescent="0.35">
      <c r="A172" t="s">
        <v>175</v>
      </c>
      <c r="B172" s="2">
        <v>106</v>
      </c>
      <c r="C172" s="2">
        <v>67</v>
      </c>
    </row>
    <row r="173" spans="1:3" x14ac:dyDescent="0.35">
      <c r="A173" t="s">
        <v>176</v>
      </c>
      <c r="B173" s="2">
        <v>118</v>
      </c>
      <c r="C173" s="2">
        <v>67</v>
      </c>
    </row>
    <row r="174" spans="1:3" x14ac:dyDescent="0.35">
      <c r="A174" t="s">
        <v>177</v>
      </c>
      <c r="B174" s="2">
        <v>106</v>
      </c>
      <c r="C174" s="2">
        <v>57</v>
      </c>
    </row>
    <row r="175" spans="1:3" x14ac:dyDescent="0.35">
      <c r="A175" t="s">
        <v>178</v>
      </c>
      <c r="B175" s="2">
        <v>107</v>
      </c>
      <c r="C175" s="2">
        <v>64</v>
      </c>
    </row>
    <row r="176" spans="1:3" x14ac:dyDescent="0.35">
      <c r="A176" t="s">
        <v>179</v>
      </c>
      <c r="B176" s="2">
        <v>103</v>
      </c>
      <c r="C176" s="2">
        <v>54</v>
      </c>
    </row>
    <row r="177" spans="1:3" x14ac:dyDescent="0.35">
      <c r="A177" t="s">
        <v>180</v>
      </c>
      <c r="B177" s="2">
        <v>86</v>
      </c>
      <c r="C177" s="2">
        <v>49</v>
      </c>
    </row>
    <row r="178" spans="1:3" x14ac:dyDescent="0.35">
      <c r="A178" t="s">
        <v>181</v>
      </c>
      <c r="B178" s="2">
        <v>123</v>
      </c>
      <c r="C178" s="2">
        <v>65</v>
      </c>
    </row>
    <row r="179" spans="1:3" x14ac:dyDescent="0.35">
      <c r="A179" t="s">
        <v>182</v>
      </c>
      <c r="B179" s="2">
        <v>95</v>
      </c>
      <c r="C179" s="2">
        <v>53</v>
      </c>
    </row>
    <row r="180" spans="1:3" x14ac:dyDescent="0.35">
      <c r="A180" t="s">
        <v>183</v>
      </c>
      <c r="B180" s="2">
        <v>93</v>
      </c>
      <c r="C180" s="2">
        <v>51</v>
      </c>
    </row>
    <row r="181" spans="1:3" x14ac:dyDescent="0.35">
      <c r="A181" t="s">
        <v>184</v>
      </c>
      <c r="B181" s="2">
        <v>120</v>
      </c>
      <c r="C181" s="2">
        <v>70</v>
      </c>
    </row>
    <row r="182" spans="1:3" x14ac:dyDescent="0.35">
      <c r="A182" t="s">
        <v>185</v>
      </c>
      <c r="B182" s="2">
        <v>97</v>
      </c>
      <c r="C182" s="2">
        <v>59</v>
      </c>
    </row>
    <row r="183" spans="1:3" x14ac:dyDescent="0.35">
      <c r="A183" t="s">
        <v>186</v>
      </c>
      <c r="B183" s="2">
        <v>87</v>
      </c>
      <c r="C183" s="2">
        <v>39</v>
      </c>
    </row>
    <row r="184" spans="1:3" x14ac:dyDescent="0.35">
      <c r="A184" t="s">
        <v>187</v>
      </c>
      <c r="B184" s="2">
        <v>113</v>
      </c>
      <c r="C184" s="2">
        <v>72</v>
      </c>
    </row>
    <row r="185" spans="1:3" x14ac:dyDescent="0.35">
      <c r="A185" t="s">
        <v>188</v>
      </c>
      <c r="B185" s="2">
        <v>105</v>
      </c>
      <c r="C185" s="2">
        <v>65</v>
      </c>
    </row>
    <row r="186" spans="1:3" x14ac:dyDescent="0.35">
      <c r="A186" t="s">
        <v>189</v>
      </c>
      <c r="B186" s="2">
        <v>84</v>
      </c>
      <c r="C186" s="2">
        <v>46</v>
      </c>
    </row>
    <row r="187" spans="1:3" x14ac:dyDescent="0.35">
      <c r="A187" t="s">
        <v>190</v>
      </c>
      <c r="B187" s="2">
        <v>116</v>
      </c>
      <c r="C187" s="2">
        <v>69</v>
      </c>
    </row>
    <row r="188" spans="1:3" x14ac:dyDescent="0.35">
      <c r="A188" t="s">
        <v>191</v>
      </c>
      <c r="B188" s="2">
        <v>113</v>
      </c>
      <c r="C188" s="2">
        <v>60</v>
      </c>
    </row>
    <row r="189" spans="1:3" x14ac:dyDescent="0.35">
      <c r="A189" t="s">
        <v>192</v>
      </c>
      <c r="B189" s="2">
        <v>117</v>
      </c>
      <c r="C189" s="2">
        <v>64</v>
      </c>
    </row>
    <row r="190" spans="1:3" x14ac:dyDescent="0.35">
      <c r="A190" t="s">
        <v>193</v>
      </c>
      <c r="B190" s="2">
        <v>103</v>
      </c>
      <c r="C190" s="2">
        <v>56</v>
      </c>
    </row>
    <row r="191" spans="1:3" x14ac:dyDescent="0.35">
      <c r="A191" t="s">
        <v>194</v>
      </c>
      <c r="B191" s="2">
        <v>103</v>
      </c>
      <c r="C191" s="2">
        <v>48</v>
      </c>
    </row>
    <row r="192" spans="1:3" x14ac:dyDescent="0.35">
      <c r="A192" t="s">
        <v>195</v>
      </c>
      <c r="B192" s="2">
        <v>103</v>
      </c>
      <c r="C192" s="2">
        <v>64</v>
      </c>
    </row>
    <row r="193" spans="1:3" x14ac:dyDescent="0.35">
      <c r="A193" t="s">
        <v>196</v>
      </c>
      <c r="B193" s="2">
        <v>99</v>
      </c>
      <c r="C193" s="2">
        <v>57</v>
      </c>
    </row>
    <row r="194" spans="1:3" x14ac:dyDescent="0.35">
      <c r="A194" t="s">
        <v>197</v>
      </c>
      <c r="B194" s="2">
        <v>121</v>
      </c>
      <c r="C194" s="2">
        <v>72</v>
      </c>
    </row>
    <row r="195" spans="1:3" x14ac:dyDescent="0.35">
      <c r="A195" t="s">
        <v>198</v>
      </c>
      <c r="B195" s="2">
        <v>105</v>
      </c>
      <c r="C195" s="2">
        <v>67</v>
      </c>
    </row>
    <row r="196" spans="1:3" x14ac:dyDescent="0.35">
      <c r="A196" t="s">
        <v>199</v>
      </c>
      <c r="B196" s="2">
        <v>81</v>
      </c>
      <c r="C196" s="2">
        <v>48</v>
      </c>
    </row>
    <row r="197" spans="1:3" x14ac:dyDescent="0.35">
      <c r="A197" t="s">
        <v>200</v>
      </c>
      <c r="B197" s="2">
        <v>90</v>
      </c>
      <c r="C197" s="2">
        <v>44</v>
      </c>
    </row>
    <row r="198" spans="1:3" x14ac:dyDescent="0.35">
      <c r="A198" t="s">
        <v>201</v>
      </c>
      <c r="B198" s="2">
        <v>96</v>
      </c>
      <c r="C198" s="2">
        <v>47</v>
      </c>
    </row>
    <row r="199" spans="1:3" x14ac:dyDescent="0.35">
      <c r="A199" t="s">
        <v>202</v>
      </c>
      <c r="B199" s="2">
        <v>90</v>
      </c>
      <c r="C199" s="2">
        <v>56</v>
      </c>
    </row>
    <row r="200" spans="1:3" x14ac:dyDescent="0.35">
      <c r="A200" t="s">
        <v>203</v>
      </c>
      <c r="B200" s="2">
        <v>103</v>
      </c>
      <c r="C200" s="2">
        <v>60</v>
      </c>
    </row>
    <row r="201" spans="1:3" x14ac:dyDescent="0.35">
      <c r="A201" t="s">
        <v>204</v>
      </c>
      <c r="B201" s="2">
        <v>91</v>
      </c>
      <c r="C201" s="2">
        <v>61</v>
      </c>
    </row>
    <row r="202" spans="1:3" x14ac:dyDescent="0.35">
      <c r="A202" t="s">
        <v>205</v>
      </c>
      <c r="B202" s="2">
        <v>109</v>
      </c>
      <c r="C202" s="2">
        <v>61</v>
      </c>
    </row>
    <row r="203" spans="1:3" x14ac:dyDescent="0.35">
      <c r="A203" t="s">
        <v>206</v>
      </c>
      <c r="B203" s="2">
        <v>89</v>
      </c>
      <c r="C203" s="2">
        <v>52</v>
      </c>
    </row>
    <row r="204" spans="1:3" x14ac:dyDescent="0.35">
      <c r="A204" t="s">
        <v>207</v>
      </c>
      <c r="B204" s="2">
        <v>110</v>
      </c>
      <c r="C204" s="2">
        <v>62</v>
      </c>
    </row>
    <row r="205" spans="1:3" x14ac:dyDescent="0.35">
      <c r="A205" t="s">
        <v>208</v>
      </c>
      <c r="B205" s="2">
        <v>114</v>
      </c>
      <c r="C205" s="2">
        <v>54</v>
      </c>
    </row>
    <row r="206" spans="1:3" x14ac:dyDescent="0.35">
      <c r="A206" t="s">
        <v>209</v>
      </c>
      <c r="B206" s="2">
        <v>109</v>
      </c>
      <c r="C206" s="2">
        <v>65</v>
      </c>
    </row>
    <row r="207" spans="1:3" x14ac:dyDescent="0.35">
      <c r="A207" t="s">
        <v>210</v>
      </c>
      <c r="B207" s="2">
        <v>113</v>
      </c>
      <c r="C207" s="2">
        <v>63</v>
      </c>
    </row>
    <row r="208" spans="1:3" x14ac:dyDescent="0.35">
      <c r="A208" t="s">
        <v>211</v>
      </c>
      <c r="B208" s="2">
        <v>96</v>
      </c>
      <c r="C208" s="2">
        <v>51</v>
      </c>
    </row>
    <row r="209" spans="1:3" x14ac:dyDescent="0.35">
      <c r="A209" t="s">
        <v>212</v>
      </c>
      <c r="B209" s="2">
        <v>96</v>
      </c>
      <c r="C209" s="2">
        <v>59</v>
      </c>
    </row>
    <row r="210" spans="1:3" x14ac:dyDescent="0.35">
      <c r="A210" t="s">
        <v>213</v>
      </c>
      <c r="B210" s="2">
        <v>107</v>
      </c>
      <c r="C210" s="2">
        <v>59</v>
      </c>
    </row>
    <row r="211" spans="1:3" x14ac:dyDescent="0.35">
      <c r="A211" t="s">
        <v>214</v>
      </c>
      <c r="B211" s="2">
        <v>90</v>
      </c>
      <c r="C211" s="2">
        <v>47</v>
      </c>
    </row>
    <row r="212" spans="1:3" x14ac:dyDescent="0.35">
      <c r="A212" t="s">
        <v>215</v>
      </c>
      <c r="B212" s="2">
        <v>106</v>
      </c>
      <c r="C212" s="2">
        <v>51</v>
      </c>
    </row>
    <row r="213" spans="1:3" x14ac:dyDescent="0.35">
      <c r="A213" t="s">
        <v>216</v>
      </c>
      <c r="B213" s="2">
        <v>109</v>
      </c>
      <c r="C213" s="2">
        <v>62</v>
      </c>
    </row>
    <row r="214" spans="1:3" x14ac:dyDescent="0.35">
      <c r="A214" t="s">
        <v>217</v>
      </c>
      <c r="B214" s="2">
        <v>92</v>
      </c>
      <c r="C214" s="2">
        <v>50</v>
      </c>
    </row>
    <row r="215" spans="1:3" x14ac:dyDescent="0.35">
      <c r="A215" t="s">
        <v>218</v>
      </c>
      <c r="B215" s="2">
        <v>99</v>
      </c>
      <c r="C215" s="2">
        <v>59</v>
      </c>
    </row>
    <row r="216" spans="1:3" x14ac:dyDescent="0.35">
      <c r="A216" t="s">
        <v>219</v>
      </c>
      <c r="B216" s="2">
        <v>90</v>
      </c>
      <c r="C216" s="2">
        <v>57</v>
      </c>
    </row>
    <row r="217" spans="1:3" x14ac:dyDescent="0.35">
      <c r="A217" t="s">
        <v>220</v>
      </c>
      <c r="B217" s="2">
        <v>102</v>
      </c>
      <c r="C217" s="2">
        <v>58</v>
      </c>
    </row>
    <row r="218" spans="1:3" x14ac:dyDescent="0.35">
      <c r="A218" t="s">
        <v>221</v>
      </c>
      <c r="B218" s="2">
        <v>102</v>
      </c>
      <c r="C218" s="2">
        <v>61</v>
      </c>
    </row>
    <row r="219" spans="1:3" x14ac:dyDescent="0.35">
      <c r="A219" t="s">
        <v>222</v>
      </c>
      <c r="B219" s="2">
        <v>93</v>
      </c>
      <c r="C219" s="2">
        <v>50</v>
      </c>
    </row>
    <row r="220" spans="1:3" x14ac:dyDescent="0.35">
      <c r="A220" t="s">
        <v>223</v>
      </c>
      <c r="B220" s="2">
        <v>108</v>
      </c>
      <c r="C220" s="2">
        <v>61</v>
      </c>
    </row>
    <row r="221" spans="1:3" x14ac:dyDescent="0.35">
      <c r="A221" t="s">
        <v>224</v>
      </c>
      <c r="B221" s="2">
        <v>105</v>
      </c>
      <c r="C221" s="2">
        <v>58</v>
      </c>
    </row>
    <row r="222" spans="1:3" x14ac:dyDescent="0.35">
      <c r="A222" t="s">
        <v>225</v>
      </c>
      <c r="B222" s="2">
        <v>97</v>
      </c>
      <c r="C222" s="2">
        <v>62</v>
      </c>
    </row>
    <row r="223" spans="1:3" x14ac:dyDescent="0.35">
      <c r="A223" t="s">
        <v>226</v>
      </c>
      <c r="B223" s="2">
        <v>111</v>
      </c>
      <c r="C223" s="2">
        <v>63</v>
      </c>
    </row>
    <row r="224" spans="1:3" x14ac:dyDescent="0.35">
      <c r="A224" t="s">
        <v>227</v>
      </c>
      <c r="B224" s="2">
        <v>102</v>
      </c>
      <c r="C224" s="2">
        <v>60</v>
      </c>
    </row>
    <row r="225" spans="1:3" x14ac:dyDescent="0.35">
      <c r="A225" t="s">
        <v>228</v>
      </c>
      <c r="B225" s="2">
        <v>77</v>
      </c>
      <c r="C225" s="2">
        <v>43</v>
      </c>
    </row>
    <row r="226" spans="1:3" x14ac:dyDescent="0.35">
      <c r="A226" t="s">
        <v>229</v>
      </c>
      <c r="B226" s="2">
        <v>122</v>
      </c>
      <c r="C226" s="2">
        <v>62</v>
      </c>
    </row>
    <row r="227" spans="1:3" x14ac:dyDescent="0.35">
      <c r="A227" t="s">
        <v>230</v>
      </c>
      <c r="B227" s="2">
        <v>86</v>
      </c>
      <c r="C227" s="2">
        <v>39</v>
      </c>
    </row>
    <row r="228" spans="1:3" x14ac:dyDescent="0.35">
      <c r="A228" t="s">
        <v>231</v>
      </c>
      <c r="B228" s="2">
        <v>103</v>
      </c>
      <c r="C228" s="2">
        <v>58</v>
      </c>
    </row>
    <row r="229" spans="1:3" x14ac:dyDescent="0.35">
      <c r="A229" t="s">
        <v>232</v>
      </c>
      <c r="B229" s="2">
        <v>93</v>
      </c>
      <c r="C229" s="2">
        <v>57</v>
      </c>
    </row>
    <row r="230" spans="1:3" x14ac:dyDescent="0.35">
      <c r="A230" t="s">
        <v>233</v>
      </c>
      <c r="B230" s="2">
        <v>91</v>
      </c>
      <c r="C230" s="2">
        <v>53</v>
      </c>
    </row>
    <row r="231" spans="1:3" x14ac:dyDescent="0.35">
      <c r="A231" t="s">
        <v>234</v>
      </c>
      <c r="B231" s="2">
        <v>104</v>
      </c>
      <c r="C231" s="2">
        <v>61</v>
      </c>
    </row>
    <row r="232" spans="1:3" x14ac:dyDescent="0.35">
      <c r="A232" t="s">
        <v>235</v>
      </c>
      <c r="B232" s="2">
        <v>115</v>
      </c>
      <c r="C232" s="2">
        <v>63</v>
      </c>
    </row>
    <row r="233" spans="1:3" x14ac:dyDescent="0.35">
      <c r="A233" t="s">
        <v>236</v>
      </c>
      <c r="B233" s="2">
        <v>120</v>
      </c>
      <c r="C233" s="2">
        <v>63</v>
      </c>
    </row>
    <row r="234" spans="1:3" x14ac:dyDescent="0.35">
      <c r="A234" t="s">
        <v>237</v>
      </c>
      <c r="B234" s="2">
        <v>120</v>
      </c>
      <c r="C234" s="2">
        <v>71</v>
      </c>
    </row>
    <row r="235" spans="1:3" x14ac:dyDescent="0.35">
      <c r="A235" t="s">
        <v>238</v>
      </c>
      <c r="B235" s="2">
        <v>99</v>
      </c>
      <c r="C235" s="2">
        <v>56</v>
      </c>
    </row>
    <row r="236" spans="1:3" x14ac:dyDescent="0.35">
      <c r="A236" t="s">
        <v>239</v>
      </c>
      <c r="B236" s="2">
        <v>93</v>
      </c>
      <c r="C236" s="2">
        <v>58</v>
      </c>
    </row>
    <row r="237" spans="1:3" x14ac:dyDescent="0.35">
      <c r="A237" t="s">
        <v>240</v>
      </c>
      <c r="B237" s="2">
        <v>103</v>
      </c>
      <c r="C237" s="2">
        <v>55</v>
      </c>
    </row>
    <row r="238" spans="1:3" x14ac:dyDescent="0.35">
      <c r="A238" t="s">
        <v>241</v>
      </c>
      <c r="B238" s="2">
        <v>126</v>
      </c>
      <c r="C238" s="2">
        <v>73</v>
      </c>
    </row>
    <row r="239" spans="1:3" x14ac:dyDescent="0.35">
      <c r="A239" t="s">
        <v>242</v>
      </c>
      <c r="B239" s="2">
        <v>94</v>
      </c>
      <c r="C239" s="2">
        <v>49</v>
      </c>
    </row>
    <row r="240" spans="1:3" x14ac:dyDescent="0.35">
      <c r="A240" t="s">
        <v>243</v>
      </c>
      <c r="B240" s="2">
        <v>114</v>
      </c>
      <c r="C240" s="2">
        <v>58</v>
      </c>
    </row>
    <row r="241" spans="1:3" x14ac:dyDescent="0.35">
      <c r="A241" t="s">
        <v>244</v>
      </c>
      <c r="B241" s="2">
        <v>101</v>
      </c>
      <c r="C241" s="2">
        <v>63</v>
      </c>
    </row>
    <row r="242" spans="1:3" x14ac:dyDescent="0.35">
      <c r="A242" t="s">
        <v>245</v>
      </c>
      <c r="B242" s="2">
        <v>84</v>
      </c>
      <c r="C242" s="2">
        <v>46</v>
      </c>
    </row>
    <row r="243" spans="1:3" x14ac:dyDescent="0.35">
      <c r="A243" t="s">
        <v>246</v>
      </c>
      <c r="B243" s="2">
        <v>114</v>
      </c>
      <c r="C243" s="2">
        <v>74</v>
      </c>
    </row>
    <row r="244" spans="1:3" x14ac:dyDescent="0.35">
      <c r="A244" t="s">
        <v>247</v>
      </c>
      <c r="B244" s="2">
        <v>97</v>
      </c>
      <c r="C244" s="2">
        <v>58</v>
      </c>
    </row>
    <row r="245" spans="1:3" x14ac:dyDescent="0.35">
      <c r="A245" t="s">
        <v>248</v>
      </c>
      <c r="B245" s="2">
        <v>113</v>
      </c>
      <c r="C245" s="2">
        <v>65</v>
      </c>
    </row>
    <row r="246" spans="1:3" x14ac:dyDescent="0.35">
      <c r="A246" t="s">
        <v>249</v>
      </c>
      <c r="B246" s="2">
        <v>99</v>
      </c>
      <c r="C246" s="2">
        <v>57</v>
      </c>
    </row>
    <row r="247" spans="1:3" x14ac:dyDescent="0.35">
      <c r="A247" t="s">
        <v>250</v>
      </c>
      <c r="B247" s="2">
        <v>95</v>
      </c>
      <c r="C247" s="2">
        <v>46</v>
      </c>
    </row>
    <row r="248" spans="1:3" x14ac:dyDescent="0.35">
      <c r="A248" t="s">
        <v>251</v>
      </c>
      <c r="B248" s="2">
        <v>119</v>
      </c>
      <c r="C248" s="2">
        <v>61</v>
      </c>
    </row>
    <row r="249" spans="1:3" x14ac:dyDescent="0.35">
      <c r="A249" t="s">
        <v>252</v>
      </c>
      <c r="B249" s="2">
        <v>111</v>
      </c>
      <c r="C249" s="2">
        <v>65</v>
      </c>
    </row>
    <row r="250" spans="1:3" x14ac:dyDescent="0.35">
      <c r="A250" t="s">
        <v>253</v>
      </c>
      <c r="B250" s="2">
        <v>100</v>
      </c>
      <c r="C250" s="2">
        <v>53</v>
      </c>
    </row>
    <row r="251" spans="1:3" x14ac:dyDescent="0.35">
      <c r="A251" t="s">
        <v>254</v>
      </c>
      <c r="B251" s="2">
        <v>115</v>
      </c>
      <c r="C251" s="2">
        <v>72</v>
      </c>
    </row>
    <row r="252" spans="1:3" x14ac:dyDescent="0.35">
      <c r="A252" t="s">
        <v>255</v>
      </c>
      <c r="B252" s="2">
        <v>110</v>
      </c>
      <c r="C252" s="2">
        <v>64</v>
      </c>
    </row>
    <row r="253" spans="1:3" x14ac:dyDescent="0.35">
      <c r="A253" t="s">
        <v>256</v>
      </c>
      <c r="B253" s="2">
        <v>115</v>
      </c>
      <c r="C253" s="2">
        <v>68</v>
      </c>
    </row>
    <row r="254" spans="1:3" x14ac:dyDescent="0.35">
      <c r="A254" t="s">
        <v>257</v>
      </c>
      <c r="B254" s="2">
        <v>86</v>
      </c>
      <c r="C254" s="2">
        <v>52</v>
      </c>
    </row>
    <row r="255" spans="1:3" x14ac:dyDescent="0.35">
      <c r="A255" t="s">
        <v>258</v>
      </c>
      <c r="B255" s="2">
        <v>115</v>
      </c>
      <c r="C255" s="2">
        <v>53</v>
      </c>
    </row>
    <row r="256" spans="1:3" x14ac:dyDescent="0.35">
      <c r="A256" t="s">
        <v>259</v>
      </c>
      <c r="B256" s="2">
        <v>94</v>
      </c>
      <c r="C256" s="2">
        <v>60</v>
      </c>
    </row>
    <row r="257" spans="1:3" x14ac:dyDescent="0.35">
      <c r="A257" t="s">
        <v>260</v>
      </c>
      <c r="B257" s="2">
        <v>125</v>
      </c>
      <c r="C257" s="2">
        <v>74</v>
      </c>
    </row>
    <row r="258" spans="1:3" x14ac:dyDescent="0.35">
      <c r="A258" t="s">
        <v>261</v>
      </c>
      <c r="B258" s="2">
        <v>104</v>
      </c>
      <c r="C258" s="2">
        <v>65</v>
      </c>
    </row>
    <row r="259" spans="1:3" x14ac:dyDescent="0.35">
      <c r="A259" t="s">
        <v>262</v>
      </c>
      <c r="B259" s="2">
        <v>97</v>
      </c>
      <c r="C259" s="2">
        <v>52</v>
      </c>
    </row>
    <row r="260" spans="1:3" x14ac:dyDescent="0.35">
      <c r="A260" t="s">
        <v>263</v>
      </c>
      <c r="B260" s="2">
        <v>92</v>
      </c>
      <c r="C260" s="2">
        <v>54</v>
      </c>
    </row>
    <row r="261" spans="1:3" x14ac:dyDescent="0.35">
      <c r="A261" t="s">
        <v>264</v>
      </c>
      <c r="B261" s="2">
        <v>111</v>
      </c>
      <c r="C261" s="2">
        <v>57</v>
      </c>
    </row>
    <row r="262" spans="1:3" x14ac:dyDescent="0.35">
      <c r="A262" t="s">
        <v>265</v>
      </c>
      <c r="B262" s="2">
        <v>95</v>
      </c>
      <c r="C262" s="2">
        <v>49</v>
      </c>
    </row>
    <row r="263" spans="1:3" x14ac:dyDescent="0.35">
      <c r="A263" t="s">
        <v>266</v>
      </c>
      <c r="B263" s="2">
        <v>93</v>
      </c>
      <c r="C263" s="2">
        <v>39</v>
      </c>
    </row>
    <row r="264" spans="1:3" x14ac:dyDescent="0.35">
      <c r="A264" t="s">
        <v>267</v>
      </c>
      <c r="B264" s="2">
        <v>87</v>
      </c>
      <c r="C264" s="2">
        <v>57</v>
      </c>
    </row>
    <row r="265" spans="1:3" x14ac:dyDescent="0.35">
      <c r="A265" t="s">
        <v>268</v>
      </c>
      <c r="B265" s="2">
        <v>80</v>
      </c>
      <c r="C265" s="2">
        <v>44</v>
      </c>
    </row>
    <row r="266" spans="1:3" x14ac:dyDescent="0.35">
      <c r="A266" t="s">
        <v>269</v>
      </c>
      <c r="B266" s="2">
        <v>94</v>
      </c>
      <c r="C266" s="2">
        <v>60</v>
      </c>
    </row>
    <row r="267" spans="1:3" x14ac:dyDescent="0.35">
      <c r="A267" t="s">
        <v>270</v>
      </c>
      <c r="B267" s="2">
        <v>81</v>
      </c>
      <c r="C267" s="2">
        <v>43</v>
      </c>
    </row>
    <row r="268" spans="1:3" x14ac:dyDescent="0.35">
      <c r="A268" t="s">
        <v>271</v>
      </c>
      <c r="B268" s="2">
        <v>109</v>
      </c>
      <c r="C268" s="2">
        <v>66</v>
      </c>
    </row>
    <row r="269" spans="1:3" x14ac:dyDescent="0.35">
      <c r="A269" t="s">
        <v>272</v>
      </c>
      <c r="B269" s="2">
        <v>107</v>
      </c>
      <c r="C269" s="2">
        <v>59</v>
      </c>
    </row>
    <row r="270" spans="1:3" x14ac:dyDescent="0.35">
      <c r="A270" t="s">
        <v>273</v>
      </c>
      <c r="B270" s="2">
        <v>117</v>
      </c>
      <c r="C270" s="2">
        <v>69</v>
      </c>
    </row>
    <row r="271" spans="1:3" x14ac:dyDescent="0.35">
      <c r="A271" t="s">
        <v>274</v>
      </c>
      <c r="B271" s="2">
        <v>99</v>
      </c>
      <c r="C271" s="2">
        <v>51</v>
      </c>
    </row>
    <row r="272" spans="1:3" x14ac:dyDescent="0.35">
      <c r="A272" t="s">
        <v>275</v>
      </c>
      <c r="B272" s="2">
        <v>90</v>
      </c>
      <c r="C272" s="2">
        <v>61</v>
      </c>
    </row>
    <row r="273" spans="1:3" x14ac:dyDescent="0.35">
      <c r="A273" t="s">
        <v>276</v>
      </c>
      <c r="B273" s="2">
        <v>91</v>
      </c>
      <c r="C273" s="2">
        <v>61</v>
      </c>
    </row>
    <row r="274" spans="1:3" x14ac:dyDescent="0.35">
      <c r="A274" t="s">
        <v>277</v>
      </c>
      <c r="B274" s="2">
        <v>91</v>
      </c>
      <c r="C274" s="2">
        <v>48</v>
      </c>
    </row>
    <row r="275" spans="1:3" x14ac:dyDescent="0.35">
      <c r="A275" t="s">
        <v>278</v>
      </c>
      <c r="B275" s="2">
        <v>107</v>
      </c>
      <c r="C275" s="2">
        <v>62</v>
      </c>
    </row>
    <row r="276" spans="1:3" x14ac:dyDescent="0.35">
      <c r="A276" t="s">
        <v>279</v>
      </c>
      <c r="B276" s="2">
        <v>88</v>
      </c>
      <c r="C276" s="2">
        <v>54</v>
      </c>
    </row>
    <row r="277" spans="1:3" x14ac:dyDescent="0.35">
      <c r="A277" t="s">
        <v>280</v>
      </c>
      <c r="B277" s="2">
        <v>88</v>
      </c>
      <c r="C277" s="2">
        <v>45</v>
      </c>
    </row>
    <row r="278" spans="1:3" x14ac:dyDescent="0.35">
      <c r="A278" t="s">
        <v>281</v>
      </c>
      <c r="B278" s="2">
        <v>99</v>
      </c>
      <c r="C278" s="2">
        <v>53</v>
      </c>
    </row>
    <row r="279" spans="1:3" x14ac:dyDescent="0.35">
      <c r="A279" t="s">
        <v>282</v>
      </c>
      <c r="B279" s="2">
        <v>109</v>
      </c>
      <c r="C279" s="2">
        <v>66</v>
      </c>
    </row>
    <row r="280" spans="1:3" x14ac:dyDescent="0.35">
      <c r="A280" t="s">
        <v>283</v>
      </c>
      <c r="B280" s="2">
        <v>120</v>
      </c>
      <c r="C280" s="2">
        <v>72</v>
      </c>
    </row>
    <row r="281" spans="1:3" x14ac:dyDescent="0.35">
      <c r="A281" t="s">
        <v>284</v>
      </c>
      <c r="B281" s="2">
        <v>126</v>
      </c>
      <c r="C281" s="2">
        <v>70</v>
      </c>
    </row>
    <row r="282" spans="1:3" x14ac:dyDescent="0.35">
      <c r="A282" t="s">
        <v>285</v>
      </c>
      <c r="B282" s="2">
        <v>103</v>
      </c>
      <c r="C282" s="2">
        <v>56</v>
      </c>
    </row>
    <row r="283" spans="1:3" x14ac:dyDescent="0.35">
      <c r="A283" t="s">
        <v>286</v>
      </c>
      <c r="B283" s="2">
        <v>114</v>
      </c>
      <c r="C283" s="2">
        <v>67</v>
      </c>
    </row>
    <row r="284" spans="1:3" x14ac:dyDescent="0.35">
      <c r="A284" t="s">
        <v>287</v>
      </c>
      <c r="B284" s="2">
        <v>94</v>
      </c>
      <c r="C284" s="2">
        <v>57</v>
      </c>
    </row>
    <row r="285" spans="1:3" x14ac:dyDescent="0.35">
      <c r="A285" t="s">
        <v>288</v>
      </c>
      <c r="B285" s="2">
        <v>113</v>
      </c>
      <c r="C285" s="2">
        <v>58</v>
      </c>
    </row>
    <row r="286" spans="1:3" x14ac:dyDescent="0.35">
      <c r="A286" t="s">
        <v>289</v>
      </c>
      <c r="B286" s="2">
        <v>117</v>
      </c>
      <c r="C286" s="2">
        <v>72</v>
      </c>
    </row>
    <row r="287" spans="1:3" x14ac:dyDescent="0.35">
      <c r="A287" t="s">
        <v>290</v>
      </c>
      <c r="B287" s="2">
        <v>104</v>
      </c>
      <c r="C287" s="2">
        <v>61</v>
      </c>
    </row>
    <row r="288" spans="1:3" x14ac:dyDescent="0.35">
      <c r="A288" t="s">
        <v>291</v>
      </c>
      <c r="B288" s="2">
        <v>93</v>
      </c>
      <c r="C288" s="2">
        <v>52</v>
      </c>
    </row>
    <row r="289" spans="1:3" x14ac:dyDescent="0.35">
      <c r="A289" t="s">
        <v>292</v>
      </c>
      <c r="B289" s="2">
        <v>123</v>
      </c>
      <c r="C289" s="2">
        <v>67</v>
      </c>
    </row>
    <row r="290" spans="1:3" x14ac:dyDescent="0.35">
      <c r="A290" t="s">
        <v>293</v>
      </c>
      <c r="B290" s="2">
        <v>79</v>
      </c>
      <c r="C290" s="2">
        <v>37</v>
      </c>
    </row>
    <row r="291" spans="1:3" x14ac:dyDescent="0.35">
      <c r="A291" t="s">
        <v>294</v>
      </c>
      <c r="B291" s="2">
        <v>77</v>
      </c>
      <c r="C291" s="2">
        <v>44</v>
      </c>
    </row>
    <row r="292" spans="1:3" x14ac:dyDescent="0.35">
      <c r="A292" t="s">
        <v>295</v>
      </c>
      <c r="B292" s="2">
        <v>84</v>
      </c>
      <c r="C292" s="2">
        <v>43</v>
      </c>
    </row>
    <row r="293" spans="1:3" x14ac:dyDescent="0.35">
      <c r="A293" t="s">
        <v>296</v>
      </c>
      <c r="B293" s="2">
        <v>91</v>
      </c>
      <c r="C293" s="2">
        <v>49</v>
      </c>
    </row>
    <row r="294" spans="1:3" x14ac:dyDescent="0.35">
      <c r="A294" t="s">
        <v>297</v>
      </c>
      <c r="B294" s="2">
        <v>83</v>
      </c>
      <c r="C294" s="2">
        <v>45</v>
      </c>
    </row>
    <row r="295" spans="1:3" x14ac:dyDescent="0.35">
      <c r="A295" t="s">
        <v>298</v>
      </c>
      <c r="B295" s="2">
        <v>100</v>
      </c>
      <c r="C295" s="2">
        <v>54</v>
      </c>
    </row>
    <row r="296" spans="1:3" x14ac:dyDescent="0.35">
      <c r="A296" t="s">
        <v>299</v>
      </c>
      <c r="B296" s="2">
        <v>119</v>
      </c>
      <c r="C296" s="2">
        <v>62</v>
      </c>
    </row>
    <row r="297" spans="1:3" x14ac:dyDescent="0.35">
      <c r="A297" t="s">
        <v>300</v>
      </c>
      <c r="B297" s="2">
        <v>81</v>
      </c>
      <c r="C297" s="2">
        <v>49</v>
      </c>
    </row>
    <row r="298" spans="1:3" x14ac:dyDescent="0.35">
      <c r="A298" t="s">
        <v>301</v>
      </c>
      <c r="B298" s="2">
        <v>66</v>
      </c>
      <c r="C298" s="2">
        <v>40</v>
      </c>
    </row>
    <row r="299" spans="1:3" x14ac:dyDescent="0.35">
      <c r="A299" t="s">
        <v>302</v>
      </c>
      <c r="B299" s="2">
        <v>81</v>
      </c>
      <c r="C299" s="2">
        <v>36</v>
      </c>
    </row>
    <row r="300" spans="1:3" x14ac:dyDescent="0.35">
      <c r="A300" t="s">
        <v>303</v>
      </c>
      <c r="B300" s="2">
        <v>71</v>
      </c>
      <c r="C300" s="2">
        <v>38</v>
      </c>
    </row>
    <row r="301" spans="1:3" x14ac:dyDescent="0.35">
      <c r="A301" t="s">
        <v>304</v>
      </c>
      <c r="B301" s="2">
        <v>101</v>
      </c>
      <c r="C301" s="2">
        <v>59</v>
      </c>
    </row>
    <row r="302" spans="1:3" x14ac:dyDescent="0.35">
      <c r="A302" t="s">
        <v>305</v>
      </c>
      <c r="B302" s="2">
        <v>80</v>
      </c>
      <c r="C302" s="2">
        <v>49</v>
      </c>
    </row>
    <row r="303" spans="1:3" x14ac:dyDescent="0.35">
      <c r="A303" t="s">
        <v>306</v>
      </c>
      <c r="B303" s="2">
        <v>114</v>
      </c>
      <c r="C303" s="2">
        <v>59</v>
      </c>
    </row>
    <row r="304" spans="1:3" x14ac:dyDescent="0.35">
      <c r="A304" t="s">
        <v>307</v>
      </c>
      <c r="B304" s="2">
        <v>113</v>
      </c>
      <c r="C304" s="2">
        <v>65</v>
      </c>
    </row>
    <row r="305" spans="1:3" x14ac:dyDescent="0.35">
      <c r="A305" t="s">
        <v>308</v>
      </c>
      <c r="B305" s="2">
        <v>97</v>
      </c>
      <c r="C305" s="2">
        <v>53</v>
      </c>
    </row>
    <row r="306" spans="1:3" x14ac:dyDescent="0.35">
      <c r="A306" t="s">
        <v>309</v>
      </c>
      <c r="B306" s="2">
        <v>99</v>
      </c>
      <c r="C306" s="2">
        <v>59</v>
      </c>
    </row>
    <row r="307" spans="1:3" x14ac:dyDescent="0.35">
      <c r="A307" t="s">
        <v>310</v>
      </c>
      <c r="B307" s="2">
        <v>96</v>
      </c>
      <c r="C307" s="2">
        <v>57</v>
      </c>
    </row>
    <row r="308" spans="1:3" x14ac:dyDescent="0.35">
      <c r="A308" t="s">
        <v>311</v>
      </c>
      <c r="B308" s="2">
        <v>88</v>
      </c>
      <c r="C308" s="2">
        <v>49</v>
      </c>
    </row>
    <row r="309" spans="1:3" x14ac:dyDescent="0.35">
      <c r="A309" t="s">
        <v>312</v>
      </c>
      <c r="B309" s="2">
        <v>101</v>
      </c>
      <c r="C309" s="2">
        <v>50</v>
      </c>
    </row>
    <row r="310" spans="1:3" x14ac:dyDescent="0.35">
      <c r="A310" t="s">
        <v>313</v>
      </c>
      <c r="B310" s="2">
        <v>109</v>
      </c>
      <c r="C310" s="2">
        <v>60</v>
      </c>
    </row>
    <row r="311" spans="1:3" x14ac:dyDescent="0.35">
      <c r="A311" t="s">
        <v>314</v>
      </c>
      <c r="B311" s="2">
        <v>115</v>
      </c>
      <c r="C311" s="2">
        <v>71</v>
      </c>
    </row>
    <row r="312" spans="1:3" x14ac:dyDescent="0.35">
      <c r="A312" t="s">
        <v>315</v>
      </c>
      <c r="B312" s="2">
        <v>95</v>
      </c>
      <c r="C312" s="2">
        <v>46</v>
      </c>
    </row>
    <row r="313" spans="1:3" x14ac:dyDescent="0.35">
      <c r="A313" t="s">
        <v>316</v>
      </c>
      <c r="B313" s="2">
        <v>88</v>
      </c>
      <c r="C313" s="2">
        <v>48</v>
      </c>
    </row>
    <row r="314" spans="1:3" x14ac:dyDescent="0.35">
      <c r="A314" t="s">
        <v>317</v>
      </c>
      <c r="B314" s="2">
        <v>74</v>
      </c>
      <c r="C314" s="2">
        <v>41</v>
      </c>
    </row>
    <row r="315" spans="1:3" x14ac:dyDescent="0.35">
      <c r="A315" t="s">
        <v>318</v>
      </c>
      <c r="B315" s="2">
        <v>65</v>
      </c>
      <c r="C315" s="2">
        <v>41</v>
      </c>
    </row>
    <row r="316" spans="1:3" x14ac:dyDescent="0.35">
      <c r="A316" t="s">
        <v>319</v>
      </c>
      <c r="B316" s="2">
        <v>66</v>
      </c>
      <c r="C316" s="2">
        <v>37</v>
      </c>
    </row>
    <row r="317" spans="1:3" x14ac:dyDescent="0.35">
      <c r="A317" t="s">
        <v>320</v>
      </c>
      <c r="B317" s="2">
        <v>87</v>
      </c>
      <c r="C317" s="2">
        <v>54</v>
      </c>
    </row>
    <row r="318" spans="1:3" x14ac:dyDescent="0.35">
      <c r="A318" t="s">
        <v>321</v>
      </c>
      <c r="B318" s="2">
        <v>94</v>
      </c>
      <c r="C318" s="2">
        <v>57</v>
      </c>
    </row>
    <row r="319" spans="1:3" x14ac:dyDescent="0.35">
      <c r="A319" t="s">
        <v>322</v>
      </c>
      <c r="B319" s="2">
        <v>76</v>
      </c>
      <c r="C319" s="2">
        <v>47</v>
      </c>
    </row>
    <row r="320" spans="1:3" x14ac:dyDescent="0.35">
      <c r="A320" t="s">
        <v>323</v>
      </c>
      <c r="B320" s="2">
        <v>79</v>
      </c>
      <c r="C320" s="2">
        <v>35</v>
      </c>
    </row>
    <row r="321" spans="1:3" x14ac:dyDescent="0.35">
      <c r="A321" t="s">
        <v>324</v>
      </c>
      <c r="B321" s="2">
        <v>98</v>
      </c>
      <c r="C321" s="2">
        <v>57</v>
      </c>
    </row>
    <row r="322" spans="1:3" x14ac:dyDescent="0.35">
      <c r="A322" t="s">
        <v>325</v>
      </c>
      <c r="B322" s="2">
        <v>75</v>
      </c>
      <c r="C322" s="2">
        <v>45</v>
      </c>
    </row>
    <row r="323" spans="1:3" x14ac:dyDescent="0.35">
      <c r="A323" t="s">
        <v>326</v>
      </c>
      <c r="B323" s="2">
        <v>70</v>
      </c>
      <c r="C323" s="2">
        <v>40</v>
      </c>
    </row>
    <row r="324" spans="1:3" x14ac:dyDescent="0.35">
      <c r="A324" t="s">
        <v>327</v>
      </c>
      <c r="B324" s="2">
        <v>108</v>
      </c>
      <c r="C324" s="2">
        <v>67</v>
      </c>
    </row>
    <row r="325" spans="1:3" x14ac:dyDescent="0.35">
      <c r="A325" t="s">
        <v>328</v>
      </c>
      <c r="B325" s="2">
        <v>89</v>
      </c>
      <c r="C325" s="2">
        <v>52</v>
      </c>
    </row>
    <row r="326" spans="1:3" x14ac:dyDescent="0.35">
      <c r="A326" t="s">
        <v>329</v>
      </c>
      <c r="B326" s="2">
        <v>104</v>
      </c>
      <c r="C326" s="2">
        <v>54</v>
      </c>
    </row>
    <row r="327" spans="1:3" x14ac:dyDescent="0.35">
      <c r="A327" t="s">
        <v>330</v>
      </c>
      <c r="B327" s="2">
        <v>87</v>
      </c>
      <c r="C327" s="2">
        <v>52</v>
      </c>
    </row>
    <row r="328" spans="1:3" x14ac:dyDescent="0.35">
      <c r="A328" t="s">
        <v>331</v>
      </c>
      <c r="B328" s="2">
        <v>85</v>
      </c>
      <c r="C328" s="2">
        <v>44</v>
      </c>
    </row>
    <row r="329" spans="1:3" x14ac:dyDescent="0.35">
      <c r="A329" t="s">
        <v>332</v>
      </c>
      <c r="B329" s="2">
        <v>76</v>
      </c>
      <c r="C329" s="2">
        <v>38</v>
      </c>
    </row>
    <row r="330" spans="1:3" x14ac:dyDescent="0.35">
      <c r="A330" t="s">
        <v>333</v>
      </c>
      <c r="B330" s="2">
        <v>80</v>
      </c>
      <c r="C330" s="2">
        <v>44</v>
      </c>
    </row>
    <row r="331" spans="1:3" x14ac:dyDescent="0.35">
      <c r="A331" t="s">
        <v>334</v>
      </c>
      <c r="B331" s="2">
        <v>103</v>
      </c>
      <c r="C331" s="2">
        <v>55</v>
      </c>
    </row>
    <row r="332" spans="1:3" x14ac:dyDescent="0.35">
      <c r="A332" t="s">
        <v>335</v>
      </c>
      <c r="B332" s="2">
        <v>88</v>
      </c>
      <c r="C332" s="2">
        <v>52</v>
      </c>
    </row>
    <row r="333" spans="1:3" x14ac:dyDescent="0.35">
      <c r="A333" t="s">
        <v>336</v>
      </c>
      <c r="B333" s="2">
        <v>99</v>
      </c>
      <c r="C333" s="2">
        <v>67</v>
      </c>
    </row>
    <row r="334" spans="1:3" x14ac:dyDescent="0.35">
      <c r="A334" t="s">
        <v>337</v>
      </c>
      <c r="B334" s="2">
        <v>87</v>
      </c>
      <c r="C334" s="2">
        <v>57</v>
      </c>
    </row>
    <row r="335" spans="1:3" x14ac:dyDescent="0.35">
      <c r="A335" t="s">
        <v>338</v>
      </c>
      <c r="B335" s="2">
        <v>89</v>
      </c>
      <c r="C335" s="2">
        <v>45</v>
      </c>
    </row>
    <row r="336" spans="1:3" x14ac:dyDescent="0.35">
      <c r="A336" t="s">
        <v>339</v>
      </c>
      <c r="B336" s="2">
        <v>87</v>
      </c>
      <c r="C336" s="2">
        <v>49</v>
      </c>
    </row>
    <row r="337" spans="1:3" x14ac:dyDescent="0.35">
      <c r="A337" t="s">
        <v>340</v>
      </c>
      <c r="B337" s="2">
        <v>75</v>
      </c>
      <c r="C337" s="2">
        <v>46</v>
      </c>
    </row>
    <row r="338" spans="1:3" x14ac:dyDescent="0.35">
      <c r="A338" t="s">
        <v>341</v>
      </c>
      <c r="B338" s="2">
        <v>87</v>
      </c>
      <c r="C338" s="2">
        <v>51</v>
      </c>
    </row>
    <row r="339" spans="1:3" x14ac:dyDescent="0.35">
      <c r="A339" t="s">
        <v>342</v>
      </c>
      <c r="B339" s="2">
        <v>55</v>
      </c>
      <c r="C339" s="2">
        <v>31</v>
      </c>
    </row>
    <row r="340" spans="1:3" x14ac:dyDescent="0.35">
      <c r="A340" t="s">
        <v>343</v>
      </c>
      <c r="B340" s="2">
        <v>67</v>
      </c>
      <c r="C340" s="2">
        <v>35</v>
      </c>
    </row>
    <row r="341" spans="1:3" x14ac:dyDescent="0.35">
      <c r="A341" t="s">
        <v>344</v>
      </c>
      <c r="B341" s="2">
        <v>58</v>
      </c>
      <c r="C341" s="2">
        <v>30</v>
      </c>
    </row>
    <row r="342" spans="1:3" x14ac:dyDescent="0.35">
      <c r="A342" t="s">
        <v>345</v>
      </c>
      <c r="B342" s="2">
        <v>67</v>
      </c>
      <c r="C342" s="2">
        <v>35</v>
      </c>
    </row>
    <row r="343" spans="1:3" x14ac:dyDescent="0.35">
      <c r="A343" t="s">
        <v>346</v>
      </c>
      <c r="B343" s="2">
        <v>65</v>
      </c>
      <c r="C343" s="2">
        <v>41</v>
      </c>
    </row>
    <row r="344" spans="1:3" x14ac:dyDescent="0.35">
      <c r="A344" t="s">
        <v>347</v>
      </c>
      <c r="B344" s="2">
        <v>78</v>
      </c>
      <c r="C344" s="2">
        <v>40</v>
      </c>
    </row>
    <row r="345" spans="1:3" x14ac:dyDescent="0.35">
      <c r="A345" t="s">
        <v>348</v>
      </c>
      <c r="B345" s="2">
        <v>73</v>
      </c>
      <c r="C345" s="2">
        <v>36</v>
      </c>
    </row>
    <row r="346" spans="1:3" x14ac:dyDescent="0.35">
      <c r="A346" t="s">
        <v>349</v>
      </c>
      <c r="B346" s="2">
        <v>59</v>
      </c>
      <c r="C346" s="2">
        <v>30</v>
      </c>
    </row>
    <row r="347" spans="1:3" x14ac:dyDescent="0.35">
      <c r="A347" t="s">
        <v>350</v>
      </c>
      <c r="B347" s="2">
        <v>59</v>
      </c>
      <c r="C347" s="2">
        <v>42</v>
      </c>
    </row>
    <row r="348" spans="1:3" x14ac:dyDescent="0.35">
      <c r="A348" t="s">
        <v>351</v>
      </c>
      <c r="B348" s="2">
        <v>50</v>
      </c>
      <c r="C348" s="2">
        <v>31</v>
      </c>
    </row>
    <row r="349" spans="1:3" x14ac:dyDescent="0.35">
      <c r="A349" t="s">
        <v>352</v>
      </c>
      <c r="B349" s="2">
        <v>71</v>
      </c>
      <c r="C349" s="2">
        <v>41</v>
      </c>
    </row>
    <row r="350" spans="1:3" x14ac:dyDescent="0.35">
      <c r="A350" t="s">
        <v>353</v>
      </c>
      <c r="B350" s="2">
        <v>69</v>
      </c>
      <c r="C350" s="2">
        <v>46</v>
      </c>
    </row>
    <row r="351" spans="1:3" x14ac:dyDescent="0.35">
      <c r="A351" t="s">
        <v>354</v>
      </c>
      <c r="B351" s="2">
        <v>62</v>
      </c>
      <c r="C351" s="2">
        <v>31</v>
      </c>
    </row>
    <row r="352" spans="1:3" x14ac:dyDescent="0.35">
      <c r="A352" t="s">
        <v>355</v>
      </c>
      <c r="B352" s="2">
        <v>97</v>
      </c>
      <c r="C352" s="2">
        <v>46</v>
      </c>
    </row>
    <row r="353" spans="1:3" x14ac:dyDescent="0.35">
      <c r="A353" t="s">
        <v>356</v>
      </c>
      <c r="B353" s="2">
        <v>53</v>
      </c>
      <c r="C353" s="2">
        <v>32</v>
      </c>
    </row>
    <row r="354" spans="1:3" x14ac:dyDescent="0.35">
      <c r="A354" t="s">
        <v>357</v>
      </c>
      <c r="B354" s="2">
        <v>59</v>
      </c>
      <c r="C354" s="2">
        <v>35</v>
      </c>
    </row>
    <row r="355" spans="1:3" x14ac:dyDescent="0.35">
      <c r="A355" t="s">
        <v>358</v>
      </c>
      <c r="B355" s="2">
        <v>51</v>
      </c>
      <c r="C355" s="2">
        <v>29</v>
      </c>
    </row>
    <row r="356" spans="1:3" x14ac:dyDescent="0.35">
      <c r="A356" t="s">
        <v>359</v>
      </c>
      <c r="B356" s="2">
        <v>57</v>
      </c>
      <c r="C356" s="2">
        <v>31</v>
      </c>
    </row>
    <row r="357" spans="1:3" x14ac:dyDescent="0.35">
      <c r="A357" t="s">
        <v>360</v>
      </c>
      <c r="B357" s="2">
        <v>62</v>
      </c>
      <c r="C357" s="2">
        <v>42</v>
      </c>
    </row>
    <row r="358" spans="1:3" x14ac:dyDescent="0.35">
      <c r="A358" t="s">
        <v>361</v>
      </c>
      <c r="B358" s="2">
        <v>68</v>
      </c>
      <c r="C358" s="2">
        <v>29</v>
      </c>
    </row>
    <row r="359" spans="1:3" x14ac:dyDescent="0.35">
      <c r="A359" t="s">
        <v>362</v>
      </c>
      <c r="B359" s="2">
        <v>75</v>
      </c>
      <c r="C359" s="2">
        <v>46</v>
      </c>
    </row>
    <row r="360" spans="1:3" x14ac:dyDescent="0.35">
      <c r="A360" t="s">
        <v>363</v>
      </c>
      <c r="B360" s="2">
        <v>59</v>
      </c>
      <c r="C360" s="2">
        <v>38</v>
      </c>
    </row>
    <row r="361" spans="1:3" x14ac:dyDescent="0.35">
      <c r="A361" t="s">
        <v>364</v>
      </c>
      <c r="B361" s="2">
        <v>70</v>
      </c>
      <c r="C361" s="2">
        <v>40</v>
      </c>
    </row>
    <row r="362" spans="1:3" x14ac:dyDescent="0.35">
      <c r="A362" t="s">
        <v>365</v>
      </c>
      <c r="B362" s="2">
        <v>52</v>
      </c>
      <c r="C362" s="2">
        <v>29</v>
      </c>
    </row>
    <row r="363" spans="1:3" x14ac:dyDescent="0.35">
      <c r="A363" t="s">
        <v>366</v>
      </c>
      <c r="B363" s="2">
        <v>57</v>
      </c>
      <c r="C363" s="2">
        <v>26</v>
      </c>
    </row>
    <row r="364" spans="1:3" x14ac:dyDescent="0.35">
      <c r="A364" t="s">
        <v>367</v>
      </c>
      <c r="B364" s="2">
        <v>57</v>
      </c>
      <c r="C364" s="2">
        <v>30</v>
      </c>
    </row>
    <row r="365" spans="1:3" x14ac:dyDescent="0.35">
      <c r="A365" t="s">
        <v>368</v>
      </c>
      <c r="B365" s="2">
        <v>58</v>
      </c>
      <c r="C365" s="2">
        <v>31</v>
      </c>
    </row>
    <row r="366" spans="1:3" x14ac:dyDescent="0.35">
      <c r="A366" t="s">
        <v>369</v>
      </c>
      <c r="B366" s="2">
        <v>74</v>
      </c>
      <c r="C366" s="2">
        <v>36</v>
      </c>
    </row>
    <row r="367" spans="1:3" x14ac:dyDescent="0.35">
      <c r="A367" t="s">
        <v>370</v>
      </c>
      <c r="B367" s="2">
        <v>75</v>
      </c>
      <c r="C367" s="2">
        <v>32</v>
      </c>
    </row>
    <row r="368" spans="1:3" x14ac:dyDescent="0.35">
      <c r="A368" t="s">
        <v>371</v>
      </c>
      <c r="B368" s="2">
        <v>85</v>
      </c>
      <c r="C368" s="2">
        <v>48</v>
      </c>
    </row>
    <row r="369" spans="1:3" x14ac:dyDescent="0.35">
      <c r="A369" t="s">
        <v>372</v>
      </c>
      <c r="B369" s="2">
        <v>76</v>
      </c>
      <c r="C369" s="2">
        <v>46</v>
      </c>
    </row>
    <row r="370" spans="1:3" x14ac:dyDescent="0.35">
      <c r="A370" t="s">
        <v>373</v>
      </c>
      <c r="B370" s="2">
        <v>79</v>
      </c>
      <c r="C370" s="2">
        <v>49</v>
      </c>
    </row>
    <row r="371" spans="1:3" x14ac:dyDescent="0.35">
      <c r="A371" t="s">
        <v>374</v>
      </c>
      <c r="B371" s="2">
        <v>75</v>
      </c>
      <c r="C371" s="2">
        <v>36</v>
      </c>
    </row>
    <row r="372" spans="1:3" x14ac:dyDescent="0.35">
      <c r="A372" t="s">
        <v>375</v>
      </c>
      <c r="B372" s="2">
        <v>70</v>
      </c>
      <c r="C372" s="2">
        <v>38</v>
      </c>
    </row>
    <row r="373" spans="1:3" x14ac:dyDescent="0.35">
      <c r="A373" t="s">
        <v>376</v>
      </c>
      <c r="B373" s="2">
        <v>74</v>
      </c>
      <c r="C373" s="2">
        <v>40</v>
      </c>
    </row>
    <row r="374" spans="1:3" x14ac:dyDescent="0.35">
      <c r="A374" t="s">
        <v>377</v>
      </c>
      <c r="B374" s="2">
        <v>86</v>
      </c>
      <c r="C374" s="2">
        <v>55</v>
      </c>
    </row>
    <row r="375" spans="1:3" x14ac:dyDescent="0.35">
      <c r="A375" t="s">
        <v>378</v>
      </c>
      <c r="B375" s="2">
        <v>68</v>
      </c>
      <c r="C375" s="2">
        <v>33</v>
      </c>
    </row>
    <row r="376" spans="1:3" x14ac:dyDescent="0.35">
      <c r="A376" t="s">
        <v>379</v>
      </c>
      <c r="B376" s="2">
        <v>65</v>
      </c>
      <c r="C376" s="2">
        <v>33</v>
      </c>
    </row>
    <row r="377" spans="1:3" x14ac:dyDescent="0.35">
      <c r="A377" t="s">
        <v>380</v>
      </c>
      <c r="B377" s="2">
        <v>69</v>
      </c>
      <c r="C377" s="2">
        <v>41</v>
      </c>
    </row>
    <row r="378" spans="1:3" x14ac:dyDescent="0.35">
      <c r="A378" t="s">
        <v>381</v>
      </c>
      <c r="B378" s="2">
        <v>71</v>
      </c>
      <c r="C378" s="2">
        <v>35</v>
      </c>
    </row>
    <row r="379" spans="1:3" x14ac:dyDescent="0.35">
      <c r="A379" t="s">
        <v>382</v>
      </c>
      <c r="B379" s="2">
        <v>64</v>
      </c>
      <c r="C379" s="2">
        <v>36</v>
      </c>
    </row>
    <row r="380" spans="1:3" x14ac:dyDescent="0.35">
      <c r="A380" t="s">
        <v>383</v>
      </c>
      <c r="B380" s="2">
        <v>82</v>
      </c>
      <c r="C380" s="2">
        <v>40</v>
      </c>
    </row>
    <row r="381" spans="1:3" x14ac:dyDescent="0.35">
      <c r="A381" t="s">
        <v>384</v>
      </c>
      <c r="B381" s="2">
        <v>84</v>
      </c>
      <c r="C381" s="2">
        <v>47</v>
      </c>
    </row>
    <row r="382" spans="1:3" x14ac:dyDescent="0.35">
      <c r="A382" t="s">
        <v>385</v>
      </c>
      <c r="B382" s="2">
        <v>70</v>
      </c>
      <c r="C382" s="2">
        <v>40</v>
      </c>
    </row>
    <row r="383" spans="1:3" x14ac:dyDescent="0.35">
      <c r="A383" t="s">
        <v>386</v>
      </c>
      <c r="B383" s="2">
        <v>90</v>
      </c>
      <c r="C383" s="2">
        <v>50</v>
      </c>
    </row>
    <row r="384" spans="1:3" x14ac:dyDescent="0.35">
      <c r="A384" t="s">
        <v>387</v>
      </c>
      <c r="B384" s="2">
        <v>77</v>
      </c>
      <c r="C384" s="2">
        <v>41</v>
      </c>
    </row>
    <row r="385" spans="1:3" x14ac:dyDescent="0.35">
      <c r="A385" t="s">
        <v>388</v>
      </c>
      <c r="B385" s="2">
        <v>77</v>
      </c>
      <c r="C385" s="2">
        <v>39</v>
      </c>
    </row>
    <row r="386" spans="1:3" x14ac:dyDescent="0.35">
      <c r="A386" t="s">
        <v>389</v>
      </c>
      <c r="B386" s="2">
        <v>71</v>
      </c>
      <c r="C386" s="2">
        <v>44</v>
      </c>
    </row>
    <row r="387" spans="1:3" x14ac:dyDescent="0.35">
      <c r="A387" t="s">
        <v>390</v>
      </c>
      <c r="B387" s="2">
        <v>63</v>
      </c>
      <c r="C387" s="2">
        <v>31</v>
      </c>
    </row>
    <row r="388" spans="1:3" x14ac:dyDescent="0.35">
      <c r="A388" t="s">
        <v>391</v>
      </c>
      <c r="B388" s="2">
        <v>78</v>
      </c>
      <c r="C388" s="2">
        <v>42</v>
      </c>
    </row>
    <row r="389" spans="1:3" x14ac:dyDescent="0.35">
      <c r="A389" t="s">
        <v>392</v>
      </c>
      <c r="B389" s="2">
        <v>73</v>
      </c>
      <c r="C389" s="2">
        <v>41</v>
      </c>
    </row>
    <row r="390" spans="1:3" x14ac:dyDescent="0.35">
      <c r="A390" t="s">
        <v>393</v>
      </c>
      <c r="B390" s="2">
        <v>75</v>
      </c>
      <c r="C390" s="2">
        <v>40</v>
      </c>
    </row>
    <row r="391" spans="1:3" x14ac:dyDescent="0.35">
      <c r="A391" t="s">
        <v>394</v>
      </c>
      <c r="B391" s="2">
        <v>55</v>
      </c>
      <c r="C391" s="2">
        <v>31</v>
      </c>
    </row>
    <row r="392" spans="1:3" x14ac:dyDescent="0.35">
      <c r="A392" t="s">
        <v>395</v>
      </c>
      <c r="B392" s="2">
        <v>72</v>
      </c>
      <c r="C392" s="2">
        <v>29</v>
      </c>
    </row>
    <row r="393" spans="1:3" x14ac:dyDescent="0.35">
      <c r="A393" t="s">
        <v>396</v>
      </c>
      <c r="B393" s="2">
        <v>78</v>
      </c>
      <c r="C393" s="2">
        <v>41</v>
      </c>
    </row>
    <row r="394" spans="1:3" x14ac:dyDescent="0.35">
      <c r="A394" t="s">
        <v>397</v>
      </c>
      <c r="B394" s="2">
        <v>85</v>
      </c>
      <c r="C394" s="2">
        <v>47</v>
      </c>
    </row>
    <row r="395" spans="1:3" x14ac:dyDescent="0.35">
      <c r="A395" t="s">
        <v>398</v>
      </c>
      <c r="B395" s="2">
        <v>73</v>
      </c>
      <c r="C395" s="2">
        <v>42</v>
      </c>
    </row>
    <row r="396" spans="1:3" x14ac:dyDescent="0.35">
      <c r="A396" t="s">
        <v>399</v>
      </c>
      <c r="B396" s="2">
        <v>68</v>
      </c>
      <c r="C396" s="2">
        <v>36</v>
      </c>
    </row>
    <row r="397" spans="1:3" x14ac:dyDescent="0.35">
      <c r="A397" t="s">
        <v>400</v>
      </c>
      <c r="B397" s="2">
        <v>62</v>
      </c>
      <c r="C397" s="2">
        <v>29</v>
      </c>
    </row>
    <row r="398" spans="1:3" x14ac:dyDescent="0.35">
      <c r="A398" t="s">
        <v>401</v>
      </c>
      <c r="B398" s="2">
        <v>63</v>
      </c>
      <c r="C398" s="2">
        <v>31</v>
      </c>
    </row>
    <row r="399" spans="1:3" x14ac:dyDescent="0.35">
      <c r="A399" t="s">
        <v>402</v>
      </c>
      <c r="B399" s="2">
        <v>90</v>
      </c>
      <c r="C399" s="2">
        <v>59</v>
      </c>
    </row>
    <row r="400" spans="1:3" x14ac:dyDescent="0.35">
      <c r="A400" t="s">
        <v>403</v>
      </c>
      <c r="B400" s="2">
        <v>54</v>
      </c>
      <c r="C400" s="2">
        <v>28</v>
      </c>
    </row>
    <row r="401" spans="1:3" x14ac:dyDescent="0.35">
      <c r="A401" t="s">
        <v>404</v>
      </c>
      <c r="B401" s="2">
        <v>79</v>
      </c>
      <c r="C401" s="2">
        <v>42</v>
      </c>
    </row>
    <row r="402" spans="1:3" x14ac:dyDescent="0.35">
      <c r="A402" t="s">
        <v>405</v>
      </c>
      <c r="B402" s="2">
        <v>67</v>
      </c>
      <c r="C402" s="2">
        <v>40</v>
      </c>
    </row>
    <row r="403" spans="1:3" x14ac:dyDescent="0.35">
      <c r="A403" t="s">
        <v>406</v>
      </c>
      <c r="B403" s="2">
        <v>86</v>
      </c>
      <c r="C403" s="2">
        <v>48</v>
      </c>
    </row>
    <row r="404" spans="1:3" x14ac:dyDescent="0.35">
      <c r="A404" t="s">
        <v>407</v>
      </c>
      <c r="B404" s="2">
        <v>86</v>
      </c>
      <c r="C404" s="2">
        <v>48</v>
      </c>
    </row>
    <row r="405" spans="1:3" x14ac:dyDescent="0.35">
      <c r="A405" t="s">
        <v>408</v>
      </c>
      <c r="B405" s="2">
        <v>100</v>
      </c>
      <c r="C405" s="2">
        <v>56</v>
      </c>
    </row>
    <row r="406" spans="1:3" x14ac:dyDescent="0.35">
      <c r="A406" t="s">
        <v>409</v>
      </c>
      <c r="B406" s="2">
        <v>80</v>
      </c>
      <c r="C406" s="2">
        <v>37</v>
      </c>
    </row>
    <row r="407" spans="1:3" x14ac:dyDescent="0.35">
      <c r="A407" t="s">
        <v>410</v>
      </c>
      <c r="B407" s="2">
        <v>90</v>
      </c>
      <c r="C407" s="2">
        <v>55</v>
      </c>
    </row>
    <row r="408" spans="1:3" x14ac:dyDescent="0.35">
      <c r="A408" t="s">
        <v>411</v>
      </c>
      <c r="B408" s="2">
        <v>83</v>
      </c>
      <c r="C408" s="2">
        <v>45</v>
      </c>
    </row>
    <row r="409" spans="1:3" x14ac:dyDescent="0.35">
      <c r="A409" t="s">
        <v>412</v>
      </c>
      <c r="B409" s="2">
        <v>77</v>
      </c>
      <c r="C409" s="2">
        <v>43</v>
      </c>
    </row>
    <row r="410" spans="1:3" x14ac:dyDescent="0.35">
      <c r="A410" t="s">
        <v>413</v>
      </c>
      <c r="B410" s="2">
        <v>89</v>
      </c>
      <c r="C410" s="2">
        <v>46</v>
      </c>
    </row>
    <row r="411" spans="1:3" x14ac:dyDescent="0.35">
      <c r="A411" t="s">
        <v>414</v>
      </c>
      <c r="B411" s="2">
        <v>82</v>
      </c>
      <c r="C411" s="2">
        <v>50</v>
      </c>
    </row>
    <row r="412" spans="1:3" x14ac:dyDescent="0.35">
      <c r="A412" t="s">
        <v>415</v>
      </c>
      <c r="B412" s="2">
        <v>90</v>
      </c>
      <c r="C412" s="2">
        <v>48</v>
      </c>
    </row>
    <row r="413" spans="1:3" x14ac:dyDescent="0.35">
      <c r="A413" t="s">
        <v>416</v>
      </c>
      <c r="B413" s="2">
        <v>90</v>
      </c>
      <c r="C413" s="2">
        <v>49</v>
      </c>
    </row>
    <row r="414" spans="1:3" x14ac:dyDescent="0.35">
      <c r="A414" t="s">
        <v>417</v>
      </c>
      <c r="B414" s="2">
        <v>66</v>
      </c>
      <c r="C414" s="2">
        <v>41</v>
      </c>
    </row>
    <row r="415" spans="1:3" x14ac:dyDescent="0.35">
      <c r="A415" t="s">
        <v>418</v>
      </c>
      <c r="B415" s="2">
        <v>95</v>
      </c>
      <c r="C415" s="2">
        <v>59</v>
      </c>
    </row>
    <row r="416" spans="1:3" x14ac:dyDescent="0.35">
      <c r="A416" t="s">
        <v>419</v>
      </c>
      <c r="B416" s="2">
        <v>82</v>
      </c>
      <c r="C416" s="2">
        <v>46</v>
      </c>
    </row>
    <row r="417" spans="1:3" x14ac:dyDescent="0.35">
      <c r="A417" t="s">
        <v>420</v>
      </c>
      <c r="B417" s="2">
        <v>119</v>
      </c>
      <c r="C417" s="2">
        <v>55</v>
      </c>
    </row>
    <row r="418" spans="1:3" x14ac:dyDescent="0.35">
      <c r="A418" t="s">
        <v>421</v>
      </c>
      <c r="B418" s="2">
        <v>110</v>
      </c>
      <c r="C418" s="2">
        <v>64</v>
      </c>
    </row>
    <row r="419" spans="1:3" x14ac:dyDescent="0.35">
      <c r="A419" t="s">
        <v>422</v>
      </c>
      <c r="B419" s="2">
        <v>99</v>
      </c>
      <c r="C419" s="2">
        <v>58</v>
      </c>
    </row>
    <row r="420" spans="1:3" x14ac:dyDescent="0.35">
      <c r="A420" t="s">
        <v>423</v>
      </c>
      <c r="B420" s="2">
        <v>87</v>
      </c>
      <c r="C420" s="2">
        <v>50</v>
      </c>
    </row>
    <row r="421" spans="1:3" x14ac:dyDescent="0.35">
      <c r="A421" t="s">
        <v>424</v>
      </c>
      <c r="B421" s="2">
        <v>95</v>
      </c>
      <c r="C421" s="2">
        <v>60</v>
      </c>
    </row>
    <row r="422" spans="1:3" x14ac:dyDescent="0.35">
      <c r="A422" t="s">
        <v>425</v>
      </c>
      <c r="B422" s="2">
        <v>91</v>
      </c>
      <c r="C422" s="2">
        <v>43</v>
      </c>
    </row>
    <row r="423" spans="1:3" x14ac:dyDescent="0.35">
      <c r="A423" t="s">
        <v>426</v>
      </c>
      <c r="B423" s="2">
        <v>113</v>
      </c>
      <c r="C423" s="2">
        <v>52</v>
      </c>
    </row>
    <row r="424" spans="1:3" x14ac:dyDescent="0.35">
      <c r="A424" t="s">
        <v>427</v>
      </c>
      <c r="B424" s="2">
        <v>115</v>
      </c>
      <c r="C424" s="2">
        <v>62</v>
      </c>
    </row>
    <row r="425" spans="1:3" x14ac:dyDescent="0.35">
      <c r="A425" t="s">
        <v>428</v>
      </c>
      <c r="B425" s="2">
        <v>90</v>
      </c>
      <c r="C425" s="2">
        <v>54</v>
      </c>
    </row>
    <row r="426" spans="1:3" x14ac:dyDescent="0.35">
      <c r="A426" t="s">
        <v>429</v>
      </c>
      <c r="B426" s="2">
        <v>94</v>
      </c>
      <c r="C426" s="2">
        <v>54</v>
      </c>
    </row>
    <row r="427" spans="1:3" x14ac:dyDescent="0.35">
      <c r="A427" t="s">
        <v>430</v>
      </c>
      <c r="B427" s="2">
        <v>129</v>
      </c>
      <c r="C427" s="2">
        <v>72</v>
      </c>
    </row>
    <row r="428" spans="1:3" x14ac:dyDescent="0.35">
      <c r="A428" t="s">
        <v>431</v>
      </c>
      <c r="B428" s="2">
        <v>103</v>
      </c>
      <c r="C428" s="2">
        <v>62</v>
      </c>
    </row>
    <row r="429" spans="1:3" x14ac:dyDescent="0.35">
      <c r="A429" t="s">
        <v>432</v>
      </c>
      <c r="B429" s="2">
        <v>107</v>
      </c>
      <c r="C429" s="2">
        <v>55</v>
      </c>
    </row>
    <row r="430" spans="1:3" x14ac:dyDescent="0.35">
      <c r="A430" t="s">
        <v>433</v>
      </c>
      <c r="B430" s="2">
        <v>109</v>
      </c>
      <c r="C430" s="2">
        <v>58</v>
      </c>
    </row>
    <row r="431" spans="1:3" x14ac:dyDescent="0.35">
      <c r="A431" t="s">
        <v>434</v>
      </c>
      <c r="B431" s="2">
        <v>102</v>
      </c>
      <c r="C431" s="2">
        <v>53</v>
      </c>
    </row>
    <row r="432" spans="1:3" x14ac:dyDescent="0.35">
      <c r="A432" t="s">
        <v>435</v>
      </c>
      <c r="B432" s="2">
        <v>95</v>
      </c>
      <c r="C432" s="2">
        <v>53</v>
      </c>
    </row>
    <row r="433" spans="1:3" x14ac:dyDescent="0.35">
      <c r="A433" t="s">
        <v>436</v>
      </c>
      <c r="B433" s="2">
        <v>76</v>
      </c>
      <c r="C433" s="2">
        <v>44</v>
      </c>
    </row>
    <row r="434" spans="1:3" x14ac:dyDescent="0.35">
      <c r="A434" t="s">
        <v>437</v>
      </c>
      <c r="B434" s="2">
        <v>17</v>
      </c>
      <c r="C434" s="2">
        <v>7</v>
      </c>
    </row>
    <row r="435" spans="1:3" x14ac:dyDescent="0.35">
      <c r="A435" t="s">
        <v>438</v>
      </c>
      <c r="B435" s="2">
        <v>4</v>
      </c>
      <c r="C435" s="2">
        <v>2</v>
      </c>
    </row>
    <row r="436" spans="1:3" x14ac:dyDescent="0.35">
      <c r="A436" t="s">
        <v>439</v>
      </c>
      <c r="B436" s="2">
        <v>5</v>
      </c>
      <c r="C436" s="2">
        <v>2</v>
      </c>
    </row>
    <row r="437" spans="1:3" x14ac:dyDescent="0.35">
      <c r="A437" t="s">
        <v>440</v>
      </c>
      <c r="B437" s="2">
        <v>3</v>
      </c>
      <c r="C437" s="2">
        <v>0</v>
      </c>
    </row>
    <row r="438" spans="1:3" x14ac:dyDescent="0.35">
      <c r="A438" t="s">
        <v>441</v>
      </c>
      <c r="B438" s="2">
        <v>4</v>
      </c>
      <c r="C438" s="2">
        <v>1</v>
      </c>
    </row>
    <row r="439" spans="1:3" x14ac:dyDescent="0.35">
      <c r="A439" t="s">
        <v>442</v>
      </c>
      <c r="B439" s="2">
        <v>5</v>
      </c>
      <c r="C439" s="2">
        <v>0</v>
      </c>
    </row>
    <row r="440" spans="1:3" x14ac:dyDescent="0.35">
      <c r="A440" t="s">
        <v>443</v>
      </c>
      <c r="B440" s="2">
        <v>7</v>
      </c>
      <c r="C440" s="2">
        <v>2</v>
      </c>
    </row>
    <row r="441" spans="1:3" x14ac:dyDescent="0.35">
      <c r="A441" t="s">
        <v>444</v>
      </c>
      <c r="B441" s="2">
        <v>6</v>
      </c>
      <c r="C441" s="2">
        <v>1</v>
      </c>
    </row>
    <row r="442" spans="1:3" x14ac:dyDescent="0.35">
      <c r="A442" t="s">
        <v>445</v>
      </c>
      <c r="B442" s="2">
        <v>9</v>
      </c>
      <c r="C442" s="2">
        <v>6</v>
      </c>
    </row>
    <row r="443" spans="1:3" x14ac:dyDescent="0.35">
      <c r="A443" t="s">
        <v>446</v>
      </c>
      <c r="B443" s="2">
        <v>4</v>
      </c>
      <c r="C443" s="2">
        <v>1</v>
      </c>
    </row>
    <row r="444" spans="1:3" x14ac:dyDescent="0.35">
      <c r="A444" t="s">
        <v>447</v>
      </c>
      <c r="B444" s="2">
        <v>5</v>
      </c>
      <c r="C444" s="2">
        <v>1</v>
      </c>
    </row>
    <row r="445" spans="1:3" x14ac:dyDescent="0.35">
      <c r="A445" t="s">
        <v>448</v>
      </c>
      <c r="B445" s="2">
        <v>8</v>
      </c>
      <c r="C445" s="2">
        <v>3</v>
      </c>
    </row>
    <row r="446" spans="1:3" x14ac:dyDescent="0.35">
      <c r="A446" t="s">
        <v>449</v>
      </c>
      <c r="B446" s="2">
        <v>3</v>
      </c>
      <c r="C446" s="2">
        <v>3</v>
      </c>
    </row>
    <row r="447" spans="1:3" x14ac:dyDescent="0.35">
      <c r="A447" t="s">
        <v>450</v>
      </c>
      <c r="B447" s="2">
        <v>3</v>
      </c>
      <c r="C447" s="2">
        <v>1</v>
      </c>
    </row>
    <row r="448" spans="1:3" x14ac:dyDescent="0.35">
      <c r="A448" t="s">
        <v>451</v>
      </c>
      <c r="B448" s="2">
        <v>9</v>
      </c>
      <c r="C448" s="2">
        <v>5</v>
      </c>
    </row>
    <row r="449" spans="1:3" x14ac:dyDescent="0.35">
      <c r="A449" t="s">
        <v>452</v>
      </c>
      <c r="B449" s="2">
        <v>4</v>
      </c>
      <c r="C449" s="2">
        <v>0</v>
      </c>
    </row>
    <row r="450" spans="1:3" x14ac:dyDescent="0.35">
      <c r="A450" t="s">
        <v>453</v>
      </c>
      <c r="B450" s="2">
        <v>2</v>
      </c>
      <c r="C450" s="2">
        <v>1</v>
      </c>
    </row>
    <row r="451" spans="1:3" x14ac:dyDescent="0.35">
      <c r="A451" t="s">
        <v>454</v>
      </c>
      <c r="B451" s="2">
        <v>1</v>
      </c>
      <c r="C451" s="2">
        <v>0</v>
      </c>
    </row>
    <row r="452" spans="1:3" x14ac:dyDescent="0.35">
      <c r="A452" t="s">
        <v>455</v>
      </c>
      <c r="B452" s="2">
        <v>3</v>
      </c>
      <c r="C452" s="2">
        <v>1</v>
      </c>
    </row>
    <row r="453" spans="1:3" x14ac:dyDescent="0.35">
      <c r="A453" t="s">
        <v>456</v>
      </c>
      <c r="B453" s="2">
        <v>6</v>
      </c>
      <c r="C453" s="2">
        <v>3</v>
      </c>
    </row>
    <row r="454" spans="1:3" x14ac:dyDescent="0.35">
      <c r="A454" t="s">
        <v>457</v>
      </c>
      <c r="B454" s="2">
        <v>0</v>
      </c>
      <c r="C454" s="2">
        <v>0</v>
      </c>
    </row>
    <row r="455" spans="1:3" x14ac:dyDescent="0.35">
      <c r="A455" t="s">
        <v>458</v>
      </c>
      <c r="B455" s="2">
        <v>3</v>
      </c>
      <c r="C455" s="2">
        <v>0</v>
      </c>
    </row>
    <row r="456" spans="1:3" x14ac:dyDescent="0.35">
      <c r="A456" t="s">
        <v>459</v>
      </c>
      <c r="B456" s="2">
        <v>4</v>
      </c>
      <c r="C456" s="2">
        <v>2</v>
      </c>
    </row>
    <row r="457" spans="1:3" x14ac:dyDescent="0.35">
      <c r="A457" t="s">
        <v>460</v>
      </c>
      <c r="B457" s="2">
        <v>2</v>
      </c>
      <c r="C457" s="2">
        <v>1</v>
      </c>
    </row>
    <row r="458" spans="1:3" x14ac:dyDescent="0.35">
      <c r="A458" t="s">
        <v>461</v>
      </c>
      <c r="B458" s="2">
        <v>1</v>
      </c>
      <c r="C458" s="2">
        <v>1</v>
      </c>
    </row>
    <row r="459" spans="1:3" x14ac:dyDescent="0.35">
      <c r="A459" t="s">
        <v>462</v>
      </c>
      <c r="B459" s="2">
        <v>5</v>
      </c>
      <c r="C459" s="2">
        <v>0</v>
      </c>
    </row>
    <row r="460" spans="1:3" x14ac:dyDescent="0.35">
      <c r="A460" t="s">
        <v>463</v>
      </c>
      <c r="B460" s="2">
        <v>3</v>
      </c>
      <c r="C460" s="2">
        <v>0</v>
      </c>
    </row>
    <row r="461" spans="1:3" x14ac:dyDescent="0.35">
      <c r="A461" t="s">
        <v>464</v>
      </c>
      <c r="B461" s="2">
        <v>4</v>
      </c>
      <c r="C461" s="2">
        <v>0</v>
      </c>
    </row>
    <row r="462" spans="1:3" x14ac:dyDescent="0.35">
      <c r="A462" t="s">
        <v>465</v>
      </c>
      <c r="B462" s="2">
        <v>5</v>
      </c>
      <c r="C462" s="2">
        <v>2</v>
      </c>
    </row>
    <row r="463" spans="1:3" x14ac:dyDescent="0.35">
      <c r="A463" t="s">
        <v>466</v>
      </c>
      <c r="B463" s="2">
        <v>17</v>
      </c>
      <c r="C463" s="2">
        <v>12</v>
      </c>
    </row>
    <row r="464" spans="1:3" x14ac:dyDescent="0.35">
      <c r="A464" t="s">
        <v>467</v>
      </c>
      <c r="B464" s="2">
        <v>6</v>
      </c>
      <c r="C464" s="2">
        <v>2</v>
      </c>
    </row>
    <row r="465" spans="1:3" x14ac:dyDescent="0.35">
      <c r="A465" t="s">
        <v>468</v>
      </c>
      <c r="B465" s="2">
        <v>6</v>
      </c>
      <c r="C465" s="2">
        <v>0</v>
      </c>
    </row>
    <row r="466" spans="1:3" x14ac:dyDescent="0.35">
      <c r="A466" t="s">
        <v>469</v>
      </c>
      <c r="B466" s="2">
        <v>6</v>
      </c>
      <c r="C466" s="2">
        <v>2</v>
      </c>
    </row>
    <row r="467" spans="1:3" x14ac:dyDescent="0.35">
      <c r="A467" t="s">
        <v>470</v>
      </c>
      <c r="B467" s="2">
        <v>5</v>
      </c>
      <c r="C467" s="2">
        <v>4</v>
      </c>
    </row>
    <row r="468" spans="1:3" x14ac:dyDescent="0.35">
      <c r="A468" t="s">
        <v>471</v>
      </c>
      <c r="B468" s="2">
        <v>10</v>
      </c>
      <c r="C468" s="2">
        <v>2</v>
      </c>
    </row>
    <row r="469" spans="1:3" x14ac:dyDescent="0.35">
      <c r="A469" t="s">
        <v>472</v>
      </c>
      <c r="B469" s="2">
        <v>9</v>
      </c>
      <c r="C469" s="2">
        <v>7</v>
      </c>
    </row>
    <row r="470" spans="1:3" x14ac:dyDescent="0.35">
      <c r="A470" t="s">
        <v>473</v>
      </c>
      <c r="B470" s="2">
        <v>5</v>
      </c>
      <c r="C470" s="2">
        <v>1</v>
      </c>
    </row>
    <row r="471" spans="1:3" x14ac:dyDescent="0.35">
      <c r="A471" t="s">
        <v>474</v>
      </c>
      <c r="B471" s="2">
        <v>4</v>
      </c>
      <c r="C471" s="2">
        <v>3</v>
      </c>
    </row>
    <row r="472" spans="1:3" x14ac:dyDescent="0.35">
      <c r="A472" t="s">
        <v>475</v>
      </c>
      <c r="B472" s="2">
        <v>4</v>
      </c>
      <c r="C472" s="2">
        <v>0</v>
      </c>
    </row>
    <row r="473" spans="1:3" x14ac:dyDescent="0.35">
      <c r="A473" t="s">
        <v>476</v>
      </c>
      <c r="B473" s="2">
        <v>9</v>
      </c>
      <c r="C473" s="2">
        <v>4</v>
      </c>
    </row>
    <row r="474" spans="1:3" x14ac:dyDescent="0.35">
      <c r="A474" t="s">
        <v>477</v>
      </c>
      <c r="B474" s="2">
        <v>5</v>
      </c>
      <c r="C474" s="2">
        <v>1</v>
      </c>
    </row>
    <row r="475" spans="1:3" x14ac:dyDescent="0.35">
      <c r="A475" t="s">
        <v>478</v>
      </c>
      <c r="B475" s="2">
        <v>11</v>
      </c>
      <c r="C475" s="2">
        <v>5</v>
      </c>
    </row>
    <row r="476" spans="1:3" x14ac:dyDescent="0.35">
      <c r="A476" t="s">
        <v>479</v>
      </c>
      <c r="B476" s="2">
        <v>8</v>
      </c>
      <c r="C476" s="2">
        <v>3</v>
      </c>
    </row>
    <row r="477" spans="1:3" x14ac:dyDescent="0.35">
      <c r="A477" t="s">
        <v>480</v>
      </c>
      <c r="B477" s="2">
        <v>11</v>
      </c>
      <c r="C477" s="2">
        <v>4</v>
      </c>
    </row>
    <row r="478" spans="1:3" x14ac:dyDescent="0.35">
      <c r="A478" t="s">
        <v>481</v>
      </c>
      <c r="B478" s="2">
        <v>10</v>
      </c>
      <c r="C478" s="2">
        <v>3</v>
      </c>
    </row>
    <row r="479" spans="1:3" x14ac:dyDescent="0.35">
      <c r="A479" t="s">
        <v>482</v>
      </c>
      <c r="B479" s="2">
        <v>10</v>
      </c>
      <c r="C479" s="2">
        <v>4</v>
      </c>
    </row>
    <row r="480" spans="1:3" x14ac:dyDescent="0.35">
      <c r="A480" t="s">
        <v>483</v>
      </c>
      <c r="B480" s="2">
        <v>6</v>
      </c>
      <c r="C480" s="2">
        <v>3</v>
      </c>
    </row>
    <row r="481" spans="1:3" x14ac:dyDescent="0.35">
      <c r="A481" t="s">
        <v>484</v>
      </c>
      <c r="B481" s="2">
        <v>14</v>
      </c>
      <c r="C481" s="2">
        <v>4</v>
      </c>
    </row>
    <row r="482" spans="1:3" x14ac:dyDescent="0.35">
      <c r="A482" t="s">
        <v>485</v>
      </c>
      <c r="B482" s="2">
        <v>29</v>
      </c>
      <c r="C482" s="2">
        <v>16</v>
      </c>
    </row>
    <row r="483" spans="1:3" x14ac:dyDescent="0.35">
      <c r="A483" t="s">
        <v>486</v>
      </c>
      <c r="B483" s="2">
        <v>4</v>
      </c>
      <c r="C483" s="2">
        <v>2</v>
      </c>
    </row>
    <row r="484" spans="1:3" x14ac:dyDescent="0.35">
      <c r="A484" t="s">
        <v>487</v>
      </c>
      <c r="B484" s="2">
        <v>7</v>
      </c>
      <c r="C484" s="2">
        <v>4</v>
      </c>
    </row>
    <row r="485" spans="1:3" x14ac:dyDescent="0.35">
      <c r="A485" t="s">
        <v>488</v>
      </c>
      <c r="B485" s="2">
        <v>3</v>
      </c>
      <c r="C485" s="2">
        <v>1</v>
      </c>
    </row>
    <row r="486" spans="1:3" x14ac:dyDescent="0.35">
      <c r="A486" t="s">
        <v>489</v>
      </c>
      <c r="B486" s="2">
        <v>7</v>
      </c>
      <c r="C486" s="2">
        <v>2</v>
      </c>
    </row>
    <row r="487" spans="1:3" x14ac:dyDescent="0.35">
      <c r="A487" t="s">
        <v>490</v>
      </c>
      <c r="B487" s="2">
        <v>2</v>
      </c>
      <c r="C487" s="2">
        <v>0</v>
      </c>
    </row>
    <row r="488" spans="1:3" x14ac:dyDescent="0.35">
      <c r="A488" t="s">
        <v>491</v>
      </c>
      <c r="B488" s="2">
        <v>8</v>
      </c>
      <c r="C488" s="2">
        <v>2</v>
      </c>
    </row>
    <row r="489" spans="1:3" x14ac:dyDescent="0.35">
      <c r="A489" t="s">
        <v>492</v>
      </c>
      <c r="B489" s="2">
        <v>5</v>
      </c>
      <c r="C489" s="2">
        <v>1</v>
      </c>
    </row>
    <row r="490" spans="1:3" x14ac:dyDescent="0.35">
      <c r="A490" t="s">
        <v>493</v>
      </c>
      <c r="B490" s="2">
        <v>5</v>
      </c>
      <c r="C490" s="2">
        <v>1</v>
      </c>
    </row>
    <row r="491" spans="1:3" x14ac:dyDescent="0.35">
      <c r="A491" t="s">
        <v>494</v>
      </c>
      <c r="B491" s="2">
        <v>3</v>
      </c>
      <c r="C491" s="2">
        <v>1</v>
      </c>
    </row>
    <row r="492" spans="1:3" x14ac:dyDescent="0.35">
      <c r="A492" t="s">
        <v>495</v>
      </c>
      <c r="B492" s="2">
        <v>11</v>
      </c>
      <c r="C492" s="2">
        <v>3</v>
      </c>
    </row>
    <row r="493" spans="1:3" x14ac:dyDescent="0.35">
      <c r="A493" t="s">
        <v>496</v>
      </c>
      <c r="B493" s="2">
        <v>6</v>
      </c>
      <c r="C493" s="2">
        <v>3</v>
      </c>
    </row>
    <row r="494" spans="1:3" x14ac:dyDescent="0.35">
      <c r="A494" t="s">
        <v>497</v>
      </c>
      <c r="B494" s="2">
        <v>5</v>
      </c>
      <c r="C494" s="2">
        <v>3</v>
      </c>
    </row>
    <row r="495" spans="1:3" x14ac:dyDescent="0.35">
      <c r="A495" t="s">
        <v>498</v>
      </c>
      <c r="B495" s="2">
        <v>6</v>
      </c>
      <c r="C495" s="2">
        <v>2</v>
      </c>
    </row>
    <row r="496" spans="1:3" x14ac:dyDescent="0.35">
      <c r="A496" t="s">
        <v>499</v>
      </c>
      <c r="B496" s="2">
        <v>4</v>
      </c>
      <c r="C496" s="2">
        <v>2</v>
      </c>
    </row>
    <row r="497" spans="1:3" x14ac:dyDescent="0.35">
      <c r="A497" t="s">
        <v>500</v>
      </c>
      <c r="B497" s="2">
        <v>5</v>
      </c>
      <c r="C497" s="2">
        <v>1</v>
      </c>
    </row>
    <row r="498" spans="1:3" x14ac:dyDescent="0.35">
      <c r="A498" t="s">
        <v>501</v>
      </c>
      <c r="B498" s="2">
        <v>3</v>
      </c>
      <c r="C498" s="2">
        <v>0</v>
      </c>
    </row>
    <row r="499" spans="1:3" x14ac:dyDescent="0.35">
      <c r="A499" t="s">
        <v>502</v>
      </c>
      <c r="B499" s="2">
        <v>1</v>
      </c>
      <c r="C499" s="2">
        <v>0</v>
      </c>
    </row>
    <row r="500" spans="1:3" x14ac:dyDescent="0.35">
      <c r="A500" t="s">
        <v>503</v>
      </c>
      <c r="B500" s="2">
        <v>0</v>
      </c>
      <c r="C500" s="2">
        <v>0</v>
      </c>
    </row>
    <row r="501" spans="1:3" x14ac:dyDescent="0.35">
      <c r="A501" t="s">
        <v>504</v>
      </c>
      <c r="B501" s="2">
        <v>2</v>
      </c>
      <c r="C501" s="2">
        <v>1</v>
      </c>
    </row>
    <row r="502" spans="1:3" x14ac:dyDescent="0.35">
      <c r="A502" t="s">
        <v>505</v>
      </c>
      <c r="B502" s="2">
        <v>0</v>
      </c>
      <c r="C502" s="2">
        <v>0</v>
      </c>
    </row>
    <row r="503" spans="1:3" x14ac:dyDescent="0.35">
      <c r="A503" t="s">
        <v>506</v>
      </c>
      <c r="B503" s="2">
        <v>1</v>
      </c>
      <c r="C503" s="2">
        <v>1</v>
      </c>
    </row>
    <row r="504" spans="1:3" x14ac:dyDescent="0.35">
      <c r="A504" t="s">
        <v>507</v>
      </c>
      <c r="B504" s="2">
        <v>4</v>
      </c>
      <c r="C504" s="2">
        <v>2</v>
      </c>
    </row>
    <row r="505" spans="1:3" x14ac:dyDescent="0.35">
      <c r="A505" t="s">
        <v>508</v>
      </c>
      <c r="B505" s="2">
        <v>7</v>
      </c>
      <c r="C505" s="2">
        <v>3</v>
      </c>
    </row>
    <row r="506" spans="1:3" x14ac:dyDescent="0.35">
      <c r="A506" t="s">
        <v>509</v>
      </c>
      <c r="B506" s="2">
        <v>7</v>
      </c>
      <c r="C506" s="2">
        <v>3</v>
      </c>
    </row>
    <row r="507" spans="1:3" x14ac:dyDescent="0.35">
      <c r="A507" t="s">
        <v>510</v>
      </c>
      <c r="B507" s="2">
        <v>7</v>
      </c>
      <c r="C507" s="2">
        <v>4</v>
      </c>
    </row>
    <row r="508" spans="1:3" x14ac:dyDescent="0.35">
      <c r="A508" t="s">
        <v>511</v>
      </c>
      <c r="B508" s="2">
        <v>7</v>
      </c>
      <c r="C508" s="2">
        <v>4</v>
      </c>
    </row>
    <row r="509" spans="1:3" x14ac:dyDescent="0.35">
      <c r="A509" t="s">
        <v>512</v>
      </c>
      <c r="B509" s="2">
        <v>4</v>
      </c>
      <c r="C509" s="2">
        <v>2</v>
      </c>
    </row>
    <row r="510" spans="1:3" x14ac:dyDescent="0.35">
      <c r="A510" t="s">
        <v>513</v>
      </c>
      <c r="B510" s="2">
        <v>10</v>
      </c>
      <c r="C510" s="2">
        <v>2</v>
      </c>
    </row>
    <row r="511" spans="1:3" x14ac:dyDescent="0.35">
      <c r="A511" t="s">
        <v>514</v>
      </c>
      <c r="B511" s="2">
        <v>2</v>
      </c>
      <c r="C511" s="2">
        <v>0</v>
      </c>
    </row>
    <row r="512" spans="1:3" x14ac:dyDescent="0.35">
      <c r="A512" t="s">
        <v>515</v>
      </c>
      <c r="B512" s="2">
        <v>2</v>
      </c>
      <c r="C512" s="2">
        <v>1</v>
      </c>
    </row>
    <row r="513" spans="1:3" x14ac:dyDescent="0.35">
      <c r="A513" t="s">
        <v>516</v>
      </c>
      <c r="B513" s="2">
        <v>6</v>
      </c>
      <c r="C513" s="2">
        <v>4</v>
      </c>
    </row>
    <row r="514" spans="1:3" x14ac:dyDescent="0.35">
      <c r="A514" t="s">
        <v>517</v>
      </c>
      <c r="B514" s="2">
        <v>12</v>
      </c>
      <c r="C514" s="2">
        <v>4</v>
      </c>
    </row>
    <row r="515" spans="1:3" x14ac:dyDescent="0.35">
      <c r="A515" t="s">
        <v>518</v>
      </c>
      <c r="B515" s="2">
        <v>4</v>
      </c>
      <c r="C515" s="2">
        <v>2</v>
      </c>
    </row>
    <row r="516" spans="1:3" x14ac:dyDescent="0.35">
      <c r="A516" t="s">
        <v>519</v>
      </c>
      <c r="B516" s="2">
        <v>5</v>
      </c>
      <c r="C516" s="2">
        <v>0</v>
      </c>
    </row>
    <row r="517" spans="1:3" x14ac:dyDescent="0.35">
      <c r="A517" t="s">
        <v>520</v>
      </c>
      <c r="B517" s="2">
        <v>9</v>
      </c>
      <c r="C517" s="2">
        <v>4</v>
      </c>
    </row>
    <row r="518" spans="1:3" x14ac:dyDescent="0.35">
      <c r="A518" t="s">
        <v>521</v>
      </c>
      <c r="B518" s="2">
        <v>4</v>
      </c>
      <c r="C518" s="2">
        <v>2</v>
      </c>
    </row>
    <row r="519" spans="1:3" x14ac:dyDescent="0.35">
      <c r="A519" t="s">
        <v>522</v>
      </c>
      <c r="B519" s="2">
        <v>6</v>
      </c>
      <c r="C519" s="2">
        <v>2</v>
      </c>
    </row>
    <row r="520" spans="1:3" x14ac:dyDescent="0.35">
      <c r="A520" t="s">
        <v>523</v>
      </c>
      <c r="B520" s="2">
        <v>2</v>
      </c>
      <c r="C520" s="2">
        <v>0</v>
      </c>
    </row>
    <row r="521" spans="1:3" x14ac:dyDescent="0.35">
      <c r="A521" t="s">
        <v>524</v>
      </c>
      <c r="B521" s="2">
        <v>5</v>
      </c>
      <c r="C521" s="2">
        <v>2</v>
      </c>
    </row>
    <row r="522" spans="1:3" x14ac:dyDescent="0.35">
      <c r="A522" t="s">
        <v>525</v>
      </c>
      <c r="B522" s="2">
        <v>3</v>
      </c>
      <c r="C522" s="2">
        <v>0</v>
      </c>
    </row>
    <row r="523" spans="1:3" x14ac:dyDescent="0.35">
      <c r="A523" t="s">
        <v>526</v>
      </c>
      <c r="B523" s="2">
        <v>3</v>
      </c>
      <c r="C523" s="2">
        <v>1</v>
      </c>
    </row>
    <row r="524" spans="1:3" x14ac:dyDescent="0.35">
      <c r="A524" t="s">
        <v>527</v>
      </c>
      <c r="B524" s="2">
        <v>4</v>
      </c>
      <c r="C524" s="2">
        <v>0</v>
      </c>
    </row>
    <row r="525" spans="1:3" x14ac:dyDescent="0.35">
      <c r="A525" t="s">
        <v>528</v>
      </c>
      <c r="B525" s="2">
        <v>10</v>
      </c>
      <c r="C525" s="2">
        <v>2</v>
      </c>
    </row>
    <row r="526" spans="1:3" x14ac:dyDescent="0.35">
      <c r="A526" t="s">
        <v>599</v>
      </c>
      <c r="B526" s="2">
        <v>5</v>
      </c>
      <c r="C526" s="2">
        <v>1</v>
      </c>
    </row>
    <row r="527" spans="1:3" x14ac:dyDescent="0.35">
      <c r="A527" t="s">
        <v>600</v>
      </c>
      <c r="B527" s="2">
        <v>10</v>
      </c>
      <c r="C527" s="2">
        <v>4</v>
      </c>
    </row>
    <row r="528" spans="1:3" x14ac:dyDescent="0.35">
      <c r="A528" t="s">
        <v>601</v>
      </c>
      <c r="B528" s="2">
        <v>10</v>
      </c>
      <c r="C528" s="2">
        <v>3</v>
      </c>
    </row>
    <row r="529" spans="1:3" x14ac:dyDescent="0.35">
      <c r="A529" t="s">
        <v>602</v>
      </c>
      <c r="B529" s="2">
        <v>3</v>
      </c>
      <c r="C529" s="2">
        <v>1</v>
      </c>
    </row>
    <row r="530" spans="1:3" x14ac:dyDescent="0.35">
      <c r="A530" t="s">
        <v>603</v>
      </c>
      <c r="B530" s="2">
        <v>3</v>
      </c>
      <c r="C530" s="2">
        <v>1</v>
      </c>
    </row>
    <row r="531" spans="1:3" x14ac:dyDescent="0.35">
      <c r="A531" t="s">
        <v>604</v>
      </c>
      <c r="B531" s="2">
        <v>3</v>
      </c>
      <c r="C531" s="2">
        <v>1</v>
      </c>
    </row>
    <row r="532" spans="1:3" x14ac:dyDescent="0.35">
      <c r="A532" t="s">
        <v>605</v>
      </c>
      <c r="B532" s="2">
        <v>2</v>
      </c>
      <c r="C53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31BD-C7A5-46D9-9393-2552A44D916F}">
  <dimension ref="A4:C5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5" sqref="C5"/>
    </sheetView>
  </sheetViews>
  <sheetFormatPr defaultRowHeight="14.5" x14ac:dyDescent="0.35"/>
  <sheetData>
    <row r="4" spans="1:3" x14ac:dyDescent="0.35">
      <c r="A4" s="1" t="s">
        <v>569</v>
      </c>
      <c r="B4" s="8" t="s">
        <v>582</v>
      </c>
      <c r="C4" s="8" t="s">
        <v>583</v>
      </c>
    </row>
    <row r="5" spans="1:3" x14ac:dyDescent="0.35">
      <c r="A5" t="s">
        <v>8</v>
      </c>
      <c r="B5" s="5" t="s">
        <v>584</v>
      </c>
      <c r="C5" t="s">
        <v>585</v>
      </c>
    </row>
    <row r="6" spans="1:3" x14ac:dyDescent="0.35">
      <c r="A6" t="s">
        <v>7</v>
      </c>
      <c r="B6" t="s">
        <v>537</v>
      </c>
      <c r="C6" t="s">
        <v>537</v>
      </c>
    </row>
    <row r="7" spans="1:3" x14ac:dyDescent="0.35">
      <c r="A7" t="s">
        <v>6</v>
      </c>
      <c r="B7" t="s">
        <v>536</v>
      </c>
      <c r="C7" t="s">
        <v>536</v>
      </c>
    </row>
    <row r="8" spans="1:3" x14ac:dyDescent="0.35">
      <c r="A8" t="s">
        <v>5</v>
      </c>
      <c r="B8" t="s">
        <v>535</v>
      </c>
      <c r="C8" t="s">
        <v>535</v>
      </c>
    </row>
    <row r="9" spans="1:3" x14ac:dyDescent="0.35">
      <c r="A9" t="s">
        <v>4</v>
      </c>
      <c r="B9" t="s">
        <v>534</v>
      </c>
      <c r="C9" t="s">
        <v>534</v>
      </c>
    </row>
    <row r="10" spans="1:3" x14ac:dyDescent="0.35">
      <c r="A10" t="s">
        <v>570</v>
      </c>
      <c r="B10" s="6">
        <v>6.3949999999999996</v>
      </c>
      <c r="C10" s="6">
        <v>3.6949999999999998</v>
      </c>
    </row>
    <row r="11" spans="1:3" x14ac:dyDescent="0.35">
      <c r="A11" t="s">
        <v>571</v>
      </c>
      <c r="B11" s="6">
        <v>5.875</v>
      </c>
      <c r="C11" s="6">
        <v>3.407</v>
      </c>
    </row>
    <row r="12" spans="1:3" x14ac:dyDescent="0.35">
      <c r="A12" t="s">
        <v>572</v>
      </c>
      <c r="B12" s="6">
        <v>5.84</v>
      </c>
      <c r="C12" s="6">
        <v>3.492</v>
      </c>
    </row>
    <row r="13" spans="1:3" x14ac:dyDescent="0.35">
      <c r="A13" t="s">
        <v>573</v>
      </c>
      <c r="B13" s="6">
        <v>5.5960000000000001</v>
      </c>
      <c r="C13" s="6">
        <v>3.3759999999999999</v>
      </c>
    </row>
    <row r="14" spans="1:3" x14ac:dyDescent="0.35">
      <c r="A14" t="s">
        <v>574</v>
      </c>
      <c r="B14" s="6">
        <v>5.9059999999999997</v>
      </c>
      <c r="C14" s="6">
        <v>3.4940000000000002</v>
      </c>
    </row>
    <row r="15" spans="1:3" x14ac:dyDescent="0.35">
      <c r="A15" t="s">
        <v>575</v>
      </c>
      <c r="B15" s="6">
        <v>5.6769999999999996</v>
      </c>
      <c r="C15" s="6">
        <v>3.6619999999999999</v>
      </c>
    </row>
    <row r="16" spans="1:3" x14ac:dyDescent="0.35">
      <c r="A16" t="s">
        <v>576</v>
      </c>
      <c r="B16" s="6">
        <v>5.383</v>
      </c>
      <c r="C16" s="6">
        <v>3.347</v>
      </c>
    </row>
    <row r="17" spans="1:3" x14ac:dyDescent="0.35">
      <c r="A17" t="s">
        <v>577</v>
      </c>
      <c r="B17" s="6">
        <v>4.8330000000000002</v>
      </c>
      <c r="C17" s="6">
        <v>3.1579999999999999</v>
      </c>
    </row>
    <row r="18" spans="1:3" x14ac:dyDescent="0.35">
      <c r="A18" t="s">
        <v>578</v>
      </c>
      <c r="B18" s="6">
        <v>4.8499999999999996</v>
      </c>
      <c r="C18" s="6">
        <v>3.2559999999999998</v>
      </c>
    </row>
    <row r="19" spans="1:3" x14ac:dyDescent="0.35">
      <c r="A19" t="s">
        <v>579</v>
      </c>
      <c r="B19" s="6">
        <v>4.633</v>
      </c>
      <c r="C19" s="6">
        <v>3.081</v>
      </c>
    </row>
    <row r="20" spans="1:3" x14ac:dyDescent="0.35">
      <c r="A20" t="s">
        <v>580</v>
      </c>
      <c r="B20" s="6">
        <v>4.3860000000000001</v>
      </c>
      <c r="C20" s="6">
        <v>3.1890000000000001</v>
      </c>
    </row>
    <row r="21" spans="1:3" x14ac:dyDescent="0.35">
      <c r="A21" t="s">
        <v>581</v>
      </c>
      <c r="B21" s="6">
        <v>3.99</v>
      </c>
      <c r="C21" s="6">
        <v>2.8940000000000001</v>
      </c>
    </row>
    <row r="22" spans="1:3" x14ac:dyDescent="0.35">
      <c r="A22" t="s">
        <v>533</v>
      </c>
      <c r="B22" s="6">
        <v>3.4340000000000002</v>
      </c>
      <c r="C22" s="6">
        <v>2.6880000000000002</v>
      </c>
    </row>
    <row r="23" spans="1:3" x14ac:dyDescent="0.35">
      <c r="A23" t="s">
        <v>538</v>
      </c>
      <c r="B23" s="6">
        <v>3.2850000000000001</v>
      </c>
      <c r="C23" s="6">
        <v>2.7080000000000002</v>
      </c>
    </row>
    <row r="24" spans="1:3" x14ac:dyDescent="0.35">
      <c r="A24" t="s">
        <v>539</v>
      </c>
      <c r="B24" s="6">
        <v>3.1459999999999999</v>
      </c>
      <c r="C24" s="6">
        <v>2.7090000000000001</v>
      </c>
    </row>
    <row r="25" spans="1:3" x14ac:dyDescent="0.35">
      <c r="A25" t="s">
        <v>540</v>
      </c>
      <c r="B25" s="6">
        <v>2.9350000000000001</v>
      </c>
      <c r="C25" s="6">
        <v>2.6110000000000002</v>
      </c>
    </row>
    <row r="26" spans="1:3" x14ac:dyDescent="0.35">
      <c r="A26" t="s">
        <v>541</v>
      </c>
      <c r="B26" s="6">
        <v>2.8769999999999998</v>
      </c>
      <c r="C26" s="6">
        <v>2.6150000000000002</v>
      </c>
    </row>
    <row r="27" spans="1:3" x14ac:dyDescent="0.35">
      <c r="A27" t="s">
        <v>542</v>
      </c>
      <c r="B27" s="6">
        <v>2.78</v>
      </c>
      <c r="C27" s="6">
        <v>2.7130000000000001</v>
      </c>
    </row>
    <row r="28" spans="1:3" x14ac:dyDescent="0.35">
      <c r="A28" t="s">
        <v>543</v>
      </c>
      <c r="B28" s="6">
        <v>2.5449999999999999</v>
      </c>
      <c r="C28" s="6">
        <v>2.5409999999999999</v>
      </c>
    </row>
    <row r="29" spans="1:3" x14ac:dyDescent="0.35">
      <c r="A29" t="s">
        <v>544</v>
      </c>
      <c r="B29" s="6">
        <v>2.6339999999999999</v>
      </c>
      <c r="C29" s="6">
        <v>2.6909999999999998</v>
      </c>
    </row>
    <row r="30" spans="1:3" x14ac:dyDescent="0.35">
      <c r="A30" t="s">
        <v>545</v>
      </c>
      <c r="B30" s="6">
        <v>2.681</v>
      </c>
      <c r="C30" s="6">
        <v>2.6909999999999998</v>
      </c>
    </row>
    <row r="31" spans="1:3" x14ac:dyDescent="0.35">
      <c r="A31" t="s">
        <v>546</v>
      </c>
      <c r="B31" s="6">
        <v>2.5379999999999998</v>
      </c>
      <c r="C31" s="6">
        <v>2.5049999999999999</v>
      </c>
    </row>
    <row r="32" spans="1:3" x14ac:dyDescent="0.35">
      <c r="A32" t="s">
        <v>547</v>
      </c>
      <c r="B32" s="6">
        <v>2.8519999999999999</v>
      </c>
      <c r="C32" s="6">
        <v>2.677</v>
      </c>
    </row>
    <row r="33" spans="1:3" x14ac:dyDescent="0.35">
      <c r="A33" t="s">
        <v>548</v>
      </c>
      <c r="B33" s="6">
        <v>3.0369999999999999</v>
      </c>
      <c r="C33" s="6">
        <v>2.9180000000000001</v>
      </c>
    </row>
    <row r="34" spans="1:3" x14ac:dyDescent="0.35">
      <c r="A34" t="s">
        <v>549</v>
      </c>
      <c r="B34" s="6">
        <v>3.048</v>
      </c>
      <c r="C34" s="6">
        <v>2.6970000000000001</v>
      </c>
    </row>
    <row r="35" spans="1:3" x14ac:dyDescent="0.35">
      <c r="A35" t="s">
        <v>550</v>
      </c>
      <c r="B35" s="6">
        <v>3.0760000000000001</v>
      </c>
      <c r="C35" s="6">
        <v>2.673</v>
      </c>
    </row>
    <row r="36" spans="1:3" x14ac:dyDescent="0.35">
      <c r="A36" t="s">
        <v>551</v>
      </c>
      <c r="B36" s="6">
        <v>3.42</v>
      </c>
      <c r="C36" s="6">
        <v>3.0209999999999999</v>
      </c>
    </row>
    <row r="37" spans="1:3" x14ac:dyDescent="0.35">
      <c r="A37" t="s">
        <v>552</v>
      </c>
      <c r="B37" s="6">
        <v>3.1659999999999999</v>
      </c>
      <c r="C37" s="6">
        <v>2.7</v>
      </c>
    </row>
    <row r="38" spans="1:3" x14ac:dyDescent="0.35">
      <c r="A38" t="s">
        <v>553</v>
      </c>
      <c r="B38" s="6">
        <v>3.036</v>
      </c>
      <c r="C38" s="6">
        <v>2.738</v>
      </c>
    </row>
    <row r="39" spans="1:3" x14ac:dyDescent="0.35">
      <c r="A39" t="s">
        <v>554</v>
      </c>
      <c r="B39" s="6">
        <v>3.27</v>
      </c>
      <c r="C39" s="6">
        <v>2.89</v>
      </c>
    </row>
    <row r="40" spans="1:3" x14ac:dyDescent="0.35">
      <c r="A40" t="s">
        <v>555</v>
      </c>
      <c r="B40" s="6">
        <v>3.1859999999999999</v>
      </c>
      <c r="C40" s="6">
        <v>2.786</v>
      </c>
    </row>
    <row r="41" spans="1:3" x14ac:dyDescent="0.35">
      <c r="A41" t="s">
        <v>556</v>
      </c>
      <c r="B41" s="6">
        <v>3.4380000000000002</v>
      </c>
      <c r="C41" s="6">
        <v>2.9849999999999999</v>
      </c>
    </row>
    <row r="42" spans="1:3" x14ac:dyDescent="0.35">
      <c r="A42" t="s">
        <v>557</v>
      </c>
      <c r="B42" s="6">
        <v>3.4329999999999998</v>
      </c>
      <c r="C42" s="6">
        <v>2.9750000000000001</v>
      </c>
    </row>
    <row r="43" spans="1:3" x14ac:dyDescent="0.35">
      <c r="A43" t="s">
        <v>558</v>
      </c>
      <c r="B43" s="6">
        <v>3.4359999999999999</v>
      </c>
      <c r="C43" s="6">
        <v>2.919</v>
      </c>
    </row>
    <row r="44" spans="1:3" x14ac:dyDescent="0.35">
      <c r="A44" t="s">
        <v>559</v>
      </c>
      <c r="B44" s="6">
        <v>3.387</v>
      </c>
      <c r="C44" s="6">
        <v>2.9790000000000001</v>
      </c>
    </row>
    <row r="45" spans="1:3" x14ac:dyDescent="0.35">
      <c r="A45" t="s">
        <v>560</v>
      </c>
      <c r="B45" s="6">
        <v>3.242</v>
      </c>
      <c r="C45" s="6">
        <v>2.93</v>
      </c>
    </row>
    <row r="46" spans="1:3" x14ac:dyDescent="0.35">
      <c r="A46" t="s">
        <v>561</v>
      </c>
      <c r="B46" s="6">
        <v>2.9449999999999998</v>
      </c>
      <c r="C46" s="6">
        <v>2.6850000000000001</v>
      </c>
    </row>
    <row r="47" spans="1:3" x14ac:dyDescent="0.35">
      <c r="A47" t="s">
        <v>562</v>
      </c>
      <c r="B47" s="6">
        <v>2.9849999999999999</v>
      </c>
      <c r="C47" s="6">
        <v>2.722</v>
      </c>
    </row>
    <row r="48" spans="1:3" x14ac:dyDescent="0.35">
      <c r="A48" t="s">
        <v>563</v>
      </c>
      <c r="B48" s="6">
        <v>3.504</v>
      </c>
      <c r="C48" s="6">
        <v>2.8159999999999998</v>
      </c>
    </row>
    <row r="49" spans="1:3" x14ac:dyDescent="0.35">
      <c r="A49" t="s">
        <v>564</v>
      </c>
      <c r="B49" s="6">
        <v>3.96</v>
      </c>
      <c r="C49" s="6">
        <v>2.8239999999999998</v>
      </c>
    </row>
    <row r="50" spans="1:3" x14ac:dyDescent="0.35">
      <c r="A50" t="s">
        <v>565</v>
      </c>
      <c r="B50" s="6">
        <v>3.738</v>
      </c>
      <c r="C50" s="6">
        <v>2.875</v>
      </c>
    </row>
  </sheetData>
  <hyperlinks>
    <hyperlink ref="B4" r:id="rId1" xr:uid="{007B6C56-E355-4152-86B0-70C5A35B3AA7}"/>
    <hyperlink ref="C4" r:id="rId2" xr:uid="{B67B1791-0B8C-41CE-A72E-16FD7E1F769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06A3-8E56-4AC6-9850-A50FB3C75010}">
  <dimension ref="A1:S193"/>
  <sheetViews>
    <sheetView zoomScale="84" zoomScaleNormal="84" workbookViewId="0">
      <pane xSplit="1" ySplit="3" topLeftCell="B145" activePane="bottomRight" state="frozen"/>
      <selection pane="topRight" activeCell="B1" sqref="B1"/>
      <selection pane="bottomLeft" activeCell="A4" sqref="A4"/>
      <selection pane="bottomRight" activeCell="C167" sqref="C167"/>
    </sheetView>
  </sheetViews>
  <sheetFormatPr defaultRowHeight="14.5" x14ac:dyDescent="0.35"/>
  <cols>
    <col min="1" max="1" width="10.81640625" bestFit="1" customWidth="1"/>
    <col min="4" max="5" width="3" customWidth="1"/>
    <col min="9" max="10" width="3" customWidth="1"/>
    <col min="14" max="15" width="3" customWidth="1"/>
  </cols>
  <sheetData>
    <row r="1" spans="1:19" x14ac:dyDescent="0.35">
      <c r="A1" s="4" t="s">
        <v>532</v>
      </c>
    </row>
    <row r="3" spans="1:19" x14ac:dyDescent="0.35">
      <c r="A3" t="s">
        <v>529</v>
      </c>
      <c r="B3" t="s">
        <v>530</v>
      </c>
      <c r="C3" t="s">
        <v>531</v>
      </c>
      <c r="F3" t="s">
        <v>529</v>
      </c>
      <c r="G3" t="s">
        <v>566</v>
      </c>
      <c r="H3" t="s">
        <v>567</v>
      </c>
      <c r="K3" t="s">
        <v>529</v>
      </c>
      <c r="L3" t="s">
        <v>566</v>
      </c>
      <c r="M3" t="s">
        <v>568</v>
      </c>
      <c r="Q3" t="s">
        <v>593</v>
      </c>
      <c r="R3" t="s">
        <v>594</v>
      </c>
      <c r="S3" t="s">
        <v>595</v>
      </c>
    </row>
    <row r="4" spans="1:19" x14ac:dyDescent="0.35">
      <c r="A4" s="3">
        <v>46023</v>
      </c>
      <c r="B4" s="2">
        <f>HAVERD!B375</f>
        <v>68</v>
      </c>
      <c r="C4" s="2">
        <f>HAVERD!C375</f>
        <v>33</v>
      </c>
      <c r="F4" s="5">
        <v>44927</v>
      </c>
      <c r="G4" s="7">
        <f>[2]HAVERQ!L226</f>
        <v>5.4</v>
      </c>
      <c r="H4" s="7">
        <f>[2]HAVERQ!M226</f>
        <v>3.5</v>
      </c>
      <c r="K4" s="5">
        <v>44927</v>
      </c>
      <c r="L4" s="7">
        <f>HAVERM!B10</f>
        <v>6.3949999999999996</v>
      </c>
      <c r="M4" s="7">
        <f>HAVERM!C10</f>
        <v>3.6949999999999998</v>
      </c>
      <c r="P4" t="s">
        <v>588</v>
      </c>
      <c r="Q4" s="2">
        <f>'DMP data'!F6</f>
        <v>29.376999999999999</v>
      </c>
      <c r="R4" s="2">
        <f>'DMP data'!G6</f>
        <v>68.239999999999995</v>
      </c>
      <c r="S4" s="2">
        <f>'DMP data'!H6</f>
        <v>2.3839999999999999</v>
      </c>
    </row>
    <row r="5" spans="1:19" x14ac:dyDescent="0.35">
      <c r="A5" s="3">
        <v>46024</v>
      </c>
      <c r="B5" s="2">
        <f>HAVERD!B376</f>
        <v>65</v>
      </c>
      <c r="C5" s="2">
        <f>HAVERD!C376</f>
        <v>33</v>
      </c>
      <c r="F5" s="5">
        <v>44958</v>
      </c>
      <c r="G5" s="7">
        <f>[2]HAVERQ!L227</f>
        <v>5.6</v>
      </c>
      <c r="H5" s="7">
        <f>[2]HAVERQ!M227</f>
        <v>3.8</v>
      </c>
      <c r="K5" s="5">
        <v>44958</v>
      </c>
      <c r="L5" s="7">
        <f>HAVERM!B11</f>
        <v>5.875</v>
      </c>
      <c r="M5" s="7">
        <f>HAVERM!C11</f>
        <v>3.407</v>
      </c>
      <c r="P5" t="s">
        <v>589</v>
      </c>
      <c r="Q5" s="2">
        <f>'DMP data'!J6</f>
        <v>4.5780000000000003</v>
      </c>
      <c r="R5" s="2">
        <f>'DMP data'!K6</f>
        <v>38.536000000000001</v>
      </c>
      <c r="S5" s="2">
        <f>'DMP data'!L6</f>
        <v>56.886000000000003</v>
      </c>
    </row>
    <row r="6" spans="1:19" x14ac:dyDescent="0.35">
      <c r="A6" s="3">
        <v>46025</v>
      </c>
      <c r="B6" s="2">
        <f>HAVERD!B377</f>
        <v>69</v>
      </c>
      <c r="C6" s="2">
        <f>HAVERD!C377</f>
        <v>41</v>
      </c>
      <c r="F6" s="5">
        <v>44986</v>
      </c>
      <c r="G6" s="7">
        <f>[2]HAVERQ!L228</f>
        <v>5.4</v>
      </c>
      <c r="H6" s="7">
        <f>[2]HAVERQ!M228</f>
        <v>3.7</v>
      </c>
      <c r="K6" s="5">
        <v>44986</v>
      </c>
      <c r="L6" s="7">
        <f>HAVERM!B12</f>
        <v>5.84</v>
      </c>
      <c r="M6" s="7">
        <f>HAVERM!C12</f>
        <v>3.492</v>
      </c>
      <c r="P6" t="s">
        <v>590</v>
      </c>
      <c r="Q6" s="2">
        <f>'DMP data'!N6</f>
        <v>18.652000000000001</v>
      </c>
      <c r="R6" s="2">
        <f>'DMP data'!O6</f>
        <v>56.935000000000002</v>
      </c>
      <c r="S6" s="2">
        <f>'DMP data'!P6</f>
        <v>24.413</v>
      </c>
    </row>
    <row r="7" spans="1:19" x14ac:dyDescent="0.35">
      <c r="A7" s="3">
        <v>46026</v>
      </c>
      <c r="B7" s="2">
        <f>HAVERD!B378</f>
        <v>71</v>
      </c>
      <c r="C7" s="2">
        <f>HAVERD!C378</f>
        <v>35</v>
      </c>
      <c r="F7" s="5">
        <v>45017</v>
      </c>
      <c r="G7" s="7">
        <f>[2]HAVERQ!L229</f>
        <v>5.2</v>
      </c>
      <c r="H7" s="7">
        <f>[2]HAVERQ!M229</f>
        <v>3.6</v>
      </c>
      <c r="K7" s="5">
        <v>45017</v>
      </c>
      <c r="L7" s="7">
        <f>HAVERM!B13</f>
        <v>5.5960000000000001</v>
      </c>
      <c r="M7" s="7">
        <f>HAVERM!C13</f>
        <v>3.3759999999999999</v>
      </c>
      <c r="P7" t="s">
        <v>591</v>
      </c>
      <c r="Q7" s="2">
        <f>'DMP data'!R6</f>
        <v>67.662999999999997</v>
      </c>
      <c r="R7" s="2">
        <f>'DMP data'!S6</f>
        <v>25.7</v>
      </c>
      <c r="S7" s="2">
        <f>'DMP data'!T6</f>
        <v>6.6369999999999996</v>
      </c>
    </row>
    <row r="8" spans="1:19" x14ac:dyDescent="0.35">
      <c r="A8" s="3">
        <v>46027</v>
      </c>
      <c r="B8" s="2">
        <f>HAVERD!B379</f>
        <v>64</v>
      </c>
      <c r="C8" s="2">
        <f>HAVERD!C379</f>
        <v>36</v>
      </c>
      <c r="F8" s="5">
        <v>45047</v>
      </c>
      <c r="G8" s="7">
        <f>[2]HAVERQ!L230</f>
        <v>4.7</v>
      </c>
      <c r="H8" s="7">
        <f>[2]HAVERQ!M230</f>
        <v>3.5</v>
      </c>
      <c r="K8" s="5">
        <v>45047</v>
      </c>
      <c r="L8" s="7">
        <f>HAVERM!B14</f>
        <v>5.9059999999999997</v>
      </c>
      <c r="M8" s="7">
        <f>HAVERM!C14</f>
        <v>3.4940000000000002</v>
      </c>
    </row>
    <row r="9" spans="1:19" x14ac:dyDescent="0.35">
      <c r="A9" s="3">
        <v>46028</v>
      </c>
      <c r="B9" s="2">
        <f>HAVERD!B380</f>
        <v>82</v>
      </c>
      <c r="C9" s="2">
        <f>HAVERD!C380</f>
        <v>40</v>
      </c>
      <c r="F9" s="5">
        <v>45078</v>
      </c>
      <c r="G9" s="7">
        <f>[2]HAVERQ!L231</f>
        <v>5</v>
      </c>
      <c r="H9" s="7">
        <f>[2]HAVERQ!M231</f>
        <v>3.3</v>
      </c>
      <c r="K9" s="5">
        <v>45078</v>
      </c>
      <c r="L9" s="7">
        <f>HAVERM!B15</f>
        <v>5.6769999999999996</v>
      </c>
      <c r="M9" s="7">
        <f>HAVERM!C15</f>
        <v>3.6619999999999999</v>
      </c>
    </row>
    <row r="10" spans="1:19" x14ac:dyDescent="0.35">
      <c r="A10" s="3">
        <v>46029</v>
      </c>
      <c r="B10" s="2">
        <f>HAVERD!B381</f>
        <v>84</v>
      </c>
      <c r="C10" s="2">
        <f>HAVERD!C381</f>
        <v>47</v>
      </c>
      <c r="F10" s="5">
        <v>45108</v>
      </c>
      <c r="G10" s="7">
        <f>[2]HAVERQ!L232</f>
        <v>4.3</v>
      </c>
      <c r="H10" s="7">
        <f>[2]HAVERQ!M232</f>
        <v>3.2</v>
      </c>
      <c r="K10" s="5">
        <v>45108</v>
      </c>
      <c r="L10" s="7">
        <f>HAVERM!B16</f>
        <v>5.383</v>
      </c>
      <c r="M10" s="7">
        <f>HAVERM!C16</f>
        <v>3.347</v>
      </c>
    </row>
    <row r="11" spans="1:19" x14ac:dyDescent="0.35">
      <c r="A11" s="3">
        <f t="shared" ref="A11:A30" si="0">A4+7</f>
        <v>46030</v>
      </c>
      <c r="B11" s="2">
        <f>HAVERD!B382</f>
        <v>70</v>
      </c>
      <c r="C11" s="2">
        <f>HAVERD!C382</f>
        <v>40</v>
      </c>
      <c r="F11" s="5">
        <v>45139</v>
      </c>
      <c r="G11" s="7">
        <f>[2]HAVERQ!L233</f>
        <v>4.4000000000000004</v>
      </c>
      <c r="H11" s="7">
        <f>[2]HAVERQ!M233</f>
        <v>3.3</v>
      </c>
      <c r="K11" s="5">
        <v>45139</v>
      </c>
      <c r="L11" s="7">
        <f>HAVERM!B17</f>
        <v>4.8330000000000002</v>
      </c>
      <c r="M11" s="7">
        <f>HAVERM!C17</f>
        <v>3.1579999999999999</v>
      </c>
    </row>
    <row r="12" spans="1:19" x14ac:dyDescent="0.35">
      <c r="A12" s="3">
        <f t="shared" si="0"/>
        <v>46031</v>
      </c>
      <c r="B12" s="2">
        <f>HAVERD!B383</f>
        <v>90</v>
      </c>
      <c r="C12" s="2">
        <f>HAVERD!C383</f>
        <v>50</v>
      </c>
      <c r="F12" s="5">
        <v>45170</v>
      </c>
      <c r="G12" s="7">
        <f>[2]HAVERQ!L234</f>
        <v>4.2</v>
      </c>
      <c r="H12" s="7">
        <f>[2]HAVERQ!M234</f>
        <v>3.3</v>
      </c>
      <c r="K12" s="5">
        <v>45170</v>
      </c>
      <c r="L12" s="7">
        <f>HAVERM!B18</f>
        <v>4.8499999999999996</v>
      </c>
      <c r="M12" s="7">
        <f>HAVERM!C18</f>
        <v>3.2559999999999998</v>
      </c>
    </row>
    <row r="13" spans="1:19" x14ac:dyDescent="0.35">
      <c r="A13" s="3">
        <f t="shared" si="0"/>
        <v>46032</v>
      </c>
      <c r="B13" s="2">
        <f>HAVERD!B384</f>
        <v>77</v>
      </c>
      <c r="C13" s="2">
        <f>HAVERD!C384</f>
        <v>41</v>
      </c>
      <c r="F13" s="5">
        <v>45200</v>
      </c>
      <c r="G13" s="7">
        <f>[2]HAVERQ!L235</f>
        <v>4.2</v>
      </c>
      <c r="H13" s="7">
        <f>[2]HAVERQ!M235</f>
        <v>3.5</v>
      </c>
      <c r="K13" s="5">
        <v>45200</v>
      </c>
      <c r="L13" s="7">
        <f>HAVERM!B19</f>
        <v>4.633</v>
      </c>
      <c r="M13" s="7">
        <f>HAVERM!C19</f>
        <v>3.081</v>
      </c>
    </row>
    <row r="14" spans="1:19" x14ac:dyDescent="0.35">
      <c r="A14" s="3">
        <f t="shared" si="0"/>
        <v>46033</v>
      </c>
      <c r="B14" s="2">
        <f>HAVERD!B385</f>
        <v>77</v>
      </c>
      <c r="C14" s="2">
        <f>HAVERD!C385</f>
        <v>39</v>
      </c>
      <c r="F14" s="5">
        <v>45231</v>
      </c>
      <c r="G14" s="7">
        <f>[2]HAVERQ!L236</f>
        <v>3.9</v>
      </c>
      <c r="H14" s="7">
        <f>[2]HAVERQ!M236</f>
        <v>3.4</v>
      </c>
      <c r="K14" s="5">
        <v>45231</v>
      </c>
      <c r="L14" s="7">
        <f>HAVERM!B20</f>
        <v>4.3860000000000001</v>
      </c>
      <c r="M14" s="7">
        <f>HAVERM!C20</f>
        <v>3.1890000000000001</v>
      </c>
    </row>
    <row r="15" spans="1:19" x14ac:dyDescent="0.35">
      <c r="A15" s="3">
        <f t="shared" si="0"/>
        <v>46034</v>
      </c>
      <c r="B15" s="2">
        <f>HAVERD!B386</f>
        <v>71</v>
      </c>
      <c r="C15" s="2">
        <f>HAVERD!C386</f>
        <v>44</v>
      </c>
      <c r="F15" s="5">
        <v>45261</v>
      </c>
      <c r="G15" s="7">
        <f>[2]HAVERQ!L237</f>
        <v>3.5</v>
      </c>
      <c r="H15" s="7">
        <f>[2]HAVERQ!M237</f>
        <v>3.4</v>
      </c>
      <c r="K15" s="5">
        <v>45261</v>
      </c>
      <c r="L15" s="7">
        <f>HAVERM!B21</f>
        <v>3.99</v>
      </c>
      <c r="M15" s="7">
        <f>HAVERM!C21</f>
        <v>2.8940000000000001</v>
      </c>
    </row>
    <row r="16" spans="1:19" x14ac:dyDescent="0.35">
      <c r="A16" s="3">
        <f t="shared" si="0"/>
        <v>46035</v>
      </c>
      <c r="B16" s="2">
        <f>HAVERD!B387</f>
        <v>63</v>
      </c>
      <c r="C16" s="2">
        <f>HAVERD!C387</f>
        <v>31</v>
      </c>
      <c r="F16" s="5">
        <v>45292</v>
      </c>
      <c r="G16" s="7">
        <f>[2]HAVERQ!L238</f>
        <v>3.9</v>
      </c>
      <c r="H16" s="7">
        <f>[2]HAVERQ!M238</f>
        <v>3.6</v>
      </c>
      <c r="K16" s="5">
        <v>45292</v>
      </c>
      <c r="L16" s="7">
        <f>HAVERM!B22</f>
        <v>3.4340000000000002</v>
      </c>
      <c r="M16" s="7">
        <f>HAVERM!C22</f>
        <v>2.6880000000000002</v>
      </c>
    </row>
    <row r="17" spans="1:13" x14ac:dyDescent="0.35">
      <c r="A17" s="3">
        <f t="shared" si="0"/>
        <v>46036</v>
      </c>
      <c r="B17" s="2">
        <f>HAVERD!B388</f>
        <v>78</v>
      </c>
      <c r="C17" s="2">
        <f>HAVERD!C388</f>
        <v>42</v>
      </c>
      <c r="F17" s="5">
        <v>45323</v>
      </c>
      <c r="G17" s="7">
        <f>[2]HAVERQ!L239</f>
        <v>3.6</v>
      </c>
      <c r="H17" s="7">
        <f>[2]HAVERQ!M239</f>
        <v>3.5</v>
      </c>
      <c r="K17" s="5">
        <v>45323</v>
      </c>
      <c r="L17" s="7">
        <f>HAVERM!B23</f>
        <v>3.2850000000000001</v>
      </c>
      <c r="M17" s="7">
        <f>HAVERM!C23</f>
        <v>2.7080000000000002</v>
      </c>
    </row>
    <row r="18" spans="1:13" x14ac:dyDescent="0.35">
      <c r="A18" s="3">
        <f t="shared" si="0"/>
        <v>46037</v>
      </c>
      <c r="B18" s="2">
        <f>HAVERD!B389</f>
        <v>73</v>
      </c>
      <c r="C18" s="2">
        <f>HAVERD!C389</f>
        <v>41</v>
      </c>
      <c r="F18" s="5">
        <v>45352</v>
      </c>
      <c r="G18" s="7">
        <f>[2]HAVERQ!L240</f>
        <v>3.3</v>
      </c>
      <c r="H18" s="7">
        <f>[2]HAVERQ!M240</f>
        <v>3.4</v>
      </c>
      <c r="K18" s="5">
        <v>45352</v>
      </c>
      <c r="L18" s="7">
        <f>HAVERM!B24</f>
        <v>3.1459999999999999</v>
      </c>
      <c r="M18" s="7">
        <f>HAVERM!C24</f>
        <v>2.7090000000000001</v>
      </c>
    </row>
    <row r="19" spans="1:13" x14ac:dyDescent="0.35">
      <c r="A19" s="3">
        <f t="shared" si="0"/>
        <v>46038</v>
      </c>
      <c r="B19" s="2">
        <f>HAVERD!B390</f>
        <v>75</v>
      </c>
      <c r="C19" s="2">
        <f>HAVERD!C390</f>
        <v>40</v>
      </c>
      <c r="F19" s="5">
        <v>45383</v>
      </c>
      <c r="G19" s="7">
        <f>[2]HAVERQ!L241</f>
        <v>3.3</v>
      </c>
      <c r="H19" s="7">
        <f>[2]HAVERQ!M241</f>
        <v>3.5</v>
      </c>
      <c r="K19" s="5">
        <v>45383</v>
      </c>
      <c r="L19" s="7">
        <f>HAVERM!B25</f>
        <v>2.9350000000000001</v>
      </c>
      <c r="M19" s="7">
        <f>HAVERM!C25</f>
        <v>2.6110000000000002</v>
      </c>
    </row>
    <row r="20" spans="1:13" x14ac:dyDescent="0.35">
      <c r="A20" s="3">
        <f t="shared" si="0"/>
        <v>46039</v>
      </c>
      <c r="B20" s="2">
        <f>HAVERD!B391</f>
        <v>55</v>
      </c>
      <c r="C20" s="2">
        <f>HAVERD!C391</f>
        <v>31</v>
      </c>
      <c r="F20" s="5">
        <v>45413</v>
      </c>
      <c r="G20" s="7">
        <f>[2]HAVERQ!L242</f>
        <v>3.1</v>
      </c>
      <c r="H20" s="7">
        <f>[2]HAVERQ!M242</f>
        <v>3.2</v>
      </c>
      <c r="K20" s="5">
        <v>45413</v>
      </c>
      <c r="L20" s="7">
        <f>HAVERM!B26</f>
        <v>2.8769999999999998</v>
      </c>
      <c r="M20" s="7">
        <f>HAVERM!C26</f>
        <v>2.6150000000000002</v>
      </c>
    </row>
    <row r="21" spans="1:13" x14ac:dyDescent="0.35">
      <c r="A21" s="3">
        <f t="shared" si="0"/>
        <v>46040</v>
      </c>
      <c r="B21" s="2">
        <f>HAVERD!B392</f>
        <v>72</v>
      </c>
      <c r="C21" s="2">
        <f>HAVERD!C392</f>
        <v>29</v>
      </c>
      <c r="F21" s="5">
        <v>45444</v>
      </c>
      <c r="G21" s="7">
        <f>[2]HAVERQ!L243</f>
        <v>2.6</v>
      </c>
      <c r="H21" s="7">
        <f>[2]HAVERQ!M243</f>
        <v>3</v>
      </c>
      <c r="K21" s="5">
        <v>45444</v>
      </c>
      <c r="L21" s="7">
        <f>HAVERM!B27</f>
        <v>2.78</v>
      </c>
      <c r="M21" s="7">
        <f>HAVERM!C27</f>
        <v>2.7130000000000001</v>
      </c>
    </row>
    <row r="22" spans="1:13" x14ac:dyDescent="0.35">
      <c r="A22" s="3">
        <f t="shared" si="0"/>
        <v>46041</v>
      </c>
      <c r="B22" s="2">
        <f>HAVERD!B393</f>
        <v>78</v>
      </c>
      <c r="C22" s="2">
        <f>HAVERD!C393</f>
        <v>41</v>
      </c>
      <c r="F22" s="5">
        <v>45474</v>
      </c>
      <c r="G22" s="7">
        <f>[2]HAVERQ!L244</f>
        <v>2.7</v>
      </c>
      <c r="H22" s="7">
        <f>[2]HAVERQ!M244</f>
        <v>3.1</v>
      </c>
      <c r="K22" s="5">
        <v>45474</v>
      </c>
      <c r="L22" s="7">
        <f>HAVERM!B28</f>
        <v>2.5449999999999999</v>
      </c>
      <c r="M22" s="7">
        <f>HAVERM!C28</f>
        <v>2.5409999999999999</v>
      </c>
    </row>
    <row r="23" spans="1:13" x14ac:dyDescent="0.35">
      <c r="A23" s="3">
        <f t="shared" si="0"/>
        <v>46042</v>
      </c>
      <c r="B23" s="2">
        <f>HAVERD!B394</f>
        <v>85</v>
      </c>
      <c r="C23" s="2">
        <f>HAVERD!C394</f>
        <v>47</v>
      </c>
      <c r="F23" s="5">
        <v>45505</v>
      </c>
      <c r="G23" s="7">
        <f>[2]HAVERQ!L245</f>
        <v>3.1</v>
      </c>
      <c r="H23" s="7">
        <f>[2]HAVERQ!M245</f>
        <v>3.1</v>
      </c>
      <c r="K23" s="5">
        <v>45505</v>
      </c>
      <c r="L23" s="7">
        <f>HAVERM!B29</f>
        <v>2.6339999999999999</v>
      </c>
      <c r="M23" s="7">
        <f>HAVERM!C29</f>
        <v>2.6909999999999998</v>
      </c>
    </row>
    <row r="24" spans="1:13" x14ac:dyDescent="0.35">
      <c r="A24" s="3">
        <f t="shared" si="0"/>
        <v>46043</v>
      </c>
      <c r="B24" s="2">
        <f>HAVERD!B395</f>
        <v>73</v>
      </c>
      <c r="C24" s="2">
        <f>HAVERD!C395</f>
        <v>42</v>
      </c>
      <c r="F24" s="5">
        <v>45536</v>
      </c>
      <c r="G24" s="7">
        <f>[2]HAVERQ!L246</f>
        <v>3.2</v>
      </c>
      <c r="H24" s="7">
        <f>[2]HAVERQ!M246</f>
        <v>3.6</v>
      </c>
      <c r="K24" s="5">
        <v>45536</v>
      </c>
      <c r="L24" s="7">
        <f>HAVERM!B30</f>
        <v>2.681</v>
      </c>
      <c r="M24" s="7">
        <f>HAVERM!C30</f>
        <v>2.6909999999999998</v>
      </c>
    </row>
    <row r="25" spans="1:13" x14ac:dyDescent="0.35">
      <c r="A25" s="3">
        <f t="shared" si="0"/>
        <v>46044</v>
      </c>
      <c r="B25" s="2">
        <f>HAVERD!B396</f>
        <v>68</v>
      </c>
      <c r="C25" s="2">
        <f>HAVERD!C396</f>
        <v>36</v>
      </c>
      <c r="F25" s="5">
        <v>45566</v>
      </c>
      <c r="G25" s="7">
        <f>[2]HAVERQ!L247</f>
        <v>3.3</v>
      </c>
      <c r="H25" s="7">
        <f>[2]HAVERQ!M247</f>
        <v>3.8</v>
      </c>
      <c r="K25" s="5">
        <v>45566</v>
      </c>
      <c r="L25" s="7">
        <f>HAVERM!B31</f>
        <v>2.5379999999999998</v>
      </c>
      <c r="M25" s="7">
        <f>HAVERM!C31</f>
        <v>2.5049999999999999</v>
      </c>
    </row>
    <row r="26" spans="1:13" x14ac:dyDescent="0.35">
      <c r="A26" s="3">
        <f t="shared" si="0"/>
        <v>46045</v>
      </c>
      <c r="B26" s="2">
        <f>HAVERD!B397</f>
        <v>62</v>
      </c>
      <c r="C26" s="2">
        <f>HAVERD!C397</f>
        <v>29</v>
      </c>
      <c r="F26" s="5">
        <v>45597</v>
      </c>
      <c r="G26" s="7">
        <f>[2]HAVERQ!L248</f>
        <v>3.5</v>
      </c>
      <c r="H26" s="7">
        <f>[2]HAVERQ!M248</f>
        <v>3.6</v>
      </c>
      <c r="K26" s="5">
        <v>45597</v>
      </c>
      <c r="L26" s="7">
        <f>HAVERM!B32</f>
        <v>2.8519999999999999</v>
      </c>
      <c r="M26" s="7">
        <f>HAVERM!C32</f>
        <v>2.677</v>
      </c>
    </row>
    <row r="27" spans="1:13" x14ac:dyDescent="0.35">
      <c r="A27" s="3">
        <f t="shared" si="0"/>
        <v>46046</v>
      </c>
      <c r="B27" s="2">
        <f>HAVERD!B398</f>
        <v>63</v>
      </c>
      <c r="C27" s="2">
        <f>HAVERD!C398</f>
        <v>31</v>
      </c>
      <c r="F27" s="5">
        <v>45627</v>
      </c>
      <c r="G27" s="7">
        <f>[2]HAVERQ!L249</f>
        <v>3.7</v>
      </c>
      <c r="H27" s="7">
        <f>[2]HAVERQ!M249</f>
        <v>3.9</v>
      </c>
      <c r="K27" s="5">
        <v>45627</v>
      </c>
      <c r="L27" s="7">
        <f>HAVERM!B33</f>
        <v>3.0369999999999999</v>
      </c>
      <c r="M27" s="7">
        <f>HAVERM!C33</f>
        <v>2.9180000000000001</v>
      </c>
    </row>
    <row r="28" spans="1:13" x14ac:dyDescent="0.35">
      <c r="A28" s="3">
        <f t="shared" si="0"/>
        <v>46047</v>
      </c>
      <c r="B28" s="2">
        <f>HAVERD!B399</f>
        <v>90</v>
      </c>
      <c r="C28" s="2">
        <f>HAVERD!C399</f>
        <v>59</v>
      </c>
      <c r="F28" s="5">
        <v>45658</v>
      </c>
      <c r="G28" s="7">
        <f>[2]HAVERQ!L250</f>
        <v>3.5</v>
      </c>
      <c r="H28" s="7">
        <f>[2]HAVERQ!M250</f>
        <v>3.7</v>
      </c>
      <c r="K28" s="5">
        <v>45658</v>
      </c>
      <c r="L28" s="7">
        <f>HAVERM!B34</f>
        <v>3.048</v>
      </c>
      <c r="M28" s="7">
        <f>HAVERM!C34</f>
        <v>2.6970000000000001</v>
      </c>
    </row>
    <row r="29" spans="1:13" x14ac:dyDescent="0.35">
      <c r="A29" s="3">
        <f t="shared" si="0"/>
        <v>46048</v>
      </c>
      <c r="B29" s="2">
        <f>HAVERD!B400</f>
        <v>54</v>
      </c>
      <c r="C29" s="2">
        <f>HAVERD!C400</f>
        <v>28</v>
      </c>
      <c r="F29" s="5">
        <v>45689</v>
      </c>
      <c r="G29" s="7">
        <f>[2]HAVERQ!L251</f>
        <v>3.9</v>
      </c>
      <c r="H29" s="7">
        <f>[2]HAVERQ!M251</f>
        <v>3.9</v>
      </c>
      <c r="K29" s="5">
        <v>45689</v>
      </c>
      <c r="L29" s="7">
        <f>HAVERM!B35</f>
        <v>3.0760000000000001</v>
      </c>
      <c r="M29" s="7">
        <f>HAVERM!C35</f>
        <v>2.673</v>
      </c>
    </row>
    <row r="30" spans="1:13" x14ac:dyDescent="0.35">
      <c r="A30" s="3">
        <f t="shared" si="0"/>
        <v>46049</v>
      </c>
      <c r="B30" s="2">
        <f>HAVERD!B401</f>
        <v>79</v>
      </c>
      <c r="C30" s="2">
        <f>HAVERD!C401</f>
        <v>42</v>
      </c>
      <c r="F30" s="5">
        <v>45717</v>
      </c>
      <c r="G30" s="7">
        <f>[2]HAVERQ!L252</f>
        <v>4</v>
      </c>
      <c r="H30" s="7">
        <f>[2]HAVERQ!M252</f>
        <v>4.2</v>
      </c>
      <c r="K30" s="5">
        <v>45717</v>
      </c>
      <c r="L30" s="7">
        <f>HAVERM!B36</f>
        <v>3.42</v>
      </c>
      <c r="M30" s="7">
        <f>HAVERM!C36</f>
        <v>3.0209999999999999</v>
      </c>
    </row>
    <row r="31" spans="1:13" x14ac:dyDescent="0.35">
      <c r="A31" s="3">
        <f t="shared" ref="A31:A94" si="1">A24+7</f>
        <v>46050</v>
      </c>
      <c r="B31" s="2">
        <f>HAVERD!B402</f>
        <v>67</v>
      </c>
      <c r="C31" s="2">
        <f>HAVERD!C402</f>
        <v>40</v>
      </c>
      <c r="F31" s="5">
        <v>45748</v>
      </c>
      <c r="G31" s="7">
        <f>[2]HAVERQ!L253</f>
        <v>4.2</v>
      </c>
      <c r="H31" s="7">
        <f>[2]HAVERQ!M253</f>
        <v>4.2</v>
      </c>
      <c r="K31" s="5">
        <v>45748</v>
      </c>
      <c r="L31" s="7">
        <f>HAVERM!B37</f>
        <v>3.1659999999999999</v>
      </c>
      <c r="M31" s="7">
        <f>HAVERM!C37</f>
        <v>2.7</v>
      </c>
    </row>
    <row r="32" spans="1:13" x14ac:dyDescent="0.35">
      <c r="A32" s="3">
        <f t="shared" si="1"/>
        <v>46051</v>
      </c>
      <c r="B32" s="2">
        <f>HAVERD!B403</f>
        <v>86</v>
      </c>
      <c r="C32" s="2">
        <f>HAVERD!C403</f>
        <v>48</v>
      </c>
      <c r="F32" s="5">
        <v>45778</v>
      </c>
      <c r="G32" s="7">
        <f>[2]HAVERQ!L254</f>
        <v>4</v>
      </c>
      <c r="H32" s="7">
        <f>[2]HAVERQ!M254</f>
        <v>4.2</v>
      </c>
      <c r="K32" s="5">
        <v>45778</v>
      </c>
      <c r="L32" s="7">
        <f>HAVERM!B38</f>
        <v>3.036</v>
      </c>
      <c r="M32" s="7">
        <f>HAVERM!C38</f>
        <v>2.738</v>
      </c>
    </row>
    <row r="33" spans="1:13" x14ac:dyDescent="0.35">
      <c r="A33" s="3">
        <f t="shared" si="1"/>
        <v>46052</v>
      </c>
      <c r="B33" s="2">
        <f>HAVERD!B404</f>
        <v>86</v>
      </c>
      <c r="C33" s="2">
        <f>HAVERD!C404</f>
        <v>48</v>
      </c>
      <c r="F33" s="5">
        <v>45809</v>
      </c>
      <c r="G33" s="7">
        <f>[2]HAVERQ!L255</f>
        <v>3.9</v>
      </c>
      <c r="H33" s="7">
        <f>[2]HAVERQ!M255</f>
        <v>4.3</v>
      </c>
      <c r="K33" s="5">
        <v>45809</v>
      </c>
      <c r="L33" s="7">
        <f>HAVERM!B39</f>
        <v>3.27</v>
      </c>
      <c r="M33" s="7">
        <f>HAVERM!C39</f>
        <v>2.89</v>
      </c>
    </row>
    <row r="34" spans="1:13" x14ac:dyDescent="0.35">
      <c r="A34" s="3">
        <f t="shared" si="1"/>
        <v>46053</v>
      </c>
      <c r="B34" s="2">
        <f>HAVERD!B405</f>
        <v>100</v>
      </c>
      <c r="C34" s="2">
        <f>HAVERD!C405</f>
        <v>56</v>
      </c>
      <c r="F34" s="5">
        <v>45839</v>
      </c>
      <c r="G34" s="7">
        <f>[2]HAVERQ!L256</f>
        <v>4</v>
      </c>
      <c r="H34" s="7">
        <f>[2]HAVERQ!M256</f>
        <v>4.2</v>
      </c>
      <c r="K34" s="5">
        <v>45839</v>
      </c>
      <c r="L34" s="7">
        <f>HAVERM!B40</f>
        <v>3.1859999999999999</v>
      </c>
      <c r="M34" s="7">
        <f>HAVERM!C40</f>
        <v>2.786</v>
      </c>
    </row>
    <row r="35" spans="1:13" x14ac:dyDescent="0.35">
      <c r="A35" s="3">
        <f t="shared" si="1"/>
        <v>46054</v>
      </c>
      <c r="B35" s="2">
        <f>HAVERD!B406</f>
        <v>80</v>
      </c>
      <c r="C35" s="2">
        <f>HAVERD!C406</f>
        <v>37</v>
      </c>
      <c r="F35" s="5">
        <v>45870</v>
      </c>
      <c r="G35" s="7">
        <f>[2]HAVERQ!L257</f>
        <v>4</v>
      </c>
      <c r="H35" s="7">
        <f>[2]HAVERQ!M257</f>
        <v>3.9</v>
      </c>
      <c r="K35" s="5">
        <v>45870</v>
      </c>
      <c r="L35" s="7">
        <f>HAVERM!B41</f>
        <v>3.4380000000000002</v>
      </c>
      <c r="M35" s="7">
        <f>HAVERM!C41</f>
        <v>2.9849999999999999</v>
      </c>
    </row>
    <row r="36" spans="1:13" x14ac:dyDescent="0.35">
      <c r="A36" s="3">
        <f t="shared" si="1"/>
        <v>46055</v>
      </c>
      <c r="B36" s="2">
        <f>HAVERD!B407</f>
        <v>90</v>
      </c>
      <c r="C36" s="2">
        <f>HAVERD!C407</f>
        <v>55</v>
      </c>
      <c r="F36" s="5">
        <v>45901</v>
      </c>
      <c r="G36" s="7">
        <f>[2]HAVERQ!L258</f>
        <v>4</v>
      </c>
      <c r="H36" s="7">
        <f>[2]HAVERQ!M258</f>
        <v>4.0999999999999996</v>
      </c>
      <c r="K36" s="5">
        <v>45901</v>
      </c>
      <c r="L36" s="7">
        <f>HAVERM!B42</f>
        <v>3.4329999999999998</v>
      </c>
      <c r="M36" s="7">
        <f>HAVERM!C42</f>
        <v>2.9750000000000001</v>
      </c>
    </row>
    <row r="37" spans="1:13" x14ac:dyDescent="0.35">
      <c r="A37" s="3">
        <f t="shared" si="1"/>
        <v>46056</v>
      </c>
      <c r="B37" s="2">
        <f>HAVERD!B408</f>
        <v>83</v>
      </c>
      <c r="C37" s="2">
        <f>HAVERD!C408</f>
        <v>45</v>
      </c>
      <c r="F37" s="5">
        <v>45931</v>
      </c>
      <c r="G37" s="7">
        <f>[2]HAVERQ!L259</f>
        <v>4.2</v>
      </c>
      <c r="H37" s="7">
        <f>[2]HAVERQ!M259</f>
        <v>4.2</v>
      </c>
      <c r="K37" s="5">
        <v>45931</v>
      </c>
      <c r="L37" s="7">
        <f>HAVERM!B43</f>
        <v>3.4359999999999999</v>
      </c>
      <c r="M37" s="7">
        <f>HAVERM!C43</f>
        <v>2.919</v>
      </c>
    </row>
    <row r="38" spans="1:13" x14ac:dyDescent="0.35">
      <c r="A38" s="3">
        <f t="shared" si="1"/>
        <v>46057</v>
      </c>
      <c r="B38" s="2">
        <f>HAVERD!B409</f>
        <v>77</v>
      </c>
      <c r="C38" s="2">
        <f>HAVERD!C409</f>
        <v>43</v>
      </c>
      <c r="F38" s="5">
        <v>45962</v>
      </c>
      <c r="G38" s="7">
        <f>[2]HAVERQ!L260</f>
        <v>3.7</v>
      </c>
      <c r="H38" s="7">
        <f>[2]HAVERQ!M260</f>
        <v>3.9</v>
      </c>
      <c r="K38" s="5">
        <v>45962</v>
      </c>
      <c r="L38" s="7">
        <f>HAVERM!B44</f>
        <v>3.387</v>
      </c>
      <c r="M38" s="7">
        <f>HAVERM!C44</f>
        <v>2.9790000000000001</v>
      </c>
    </row>
    <row r="39" spans="1:13" x14ac:dyDescent="0.35">
      <c r="A39" s="3">
        <f t="shared" si="1"/>
        <v>46058</v>
      </c>
      <c r="B39" s="2">
        <f>HAVERD!B410</f>
        <v>89</v>
      </c>
      <c r="C39" s="2">
        <f>HAVERD!C410</f>
        <v>46</v>
      </c>
      <c r="F39" s="5">
        <v>45992</v>
      </c>
      <c r="G39" s="7">
        <f>[2]HAVERQ!L261</f>
        <v>3.6</v>
      </c>
      <c r="H39" s="7">
        <f>[2]HAVERQ!M261</f>
        <v>3.8</v>
      </c>
      <c r="K39" s="5">
        <v>45992</v>
      </c>
      <c r="L39" s="7">
        <f>HAVERM!B45</f>
        <v>3.242</v>
      </c>
      <c r="M39" s="7">
        <f>HAVERM!C45</f>
        <v>2.93</v>
      </c>
    </row>
    <row r="40" spans="1:13" x14ac:dyDescent="0.35">
      <c r="A40" s="3">
        <f t="shared" si="1"/>
        <v>46059</v>
      </c>
      <c r="B40" s="2">
        <f>HAVERD!B411</f>
        <v>82</v>
      </c>
      <c r="C40" s="2">
        <f>HAVERD!C411</f>
        <v>50</v>
      </c>
      <c r="F40" s="5">
        <v>46023</v>
      </c>
      <c r="G40" s="7">
        <f>[2]HAVERQ!L262</f>
        <v>3.778</v>
      </c>
      <c r="H40" s="7">
        <f>[2]HAVERQ!M262</f>
        <v>4.117</v>
      </c>
      <c r="K40" s="5">
        <v>46023</v>
      </c>
      <c r="L40" s="7">
        <f>HAVERM!B46</f>
        <v>2.9449999999999998</v>
      </c>
      <c r="M40" s="7">
        <f>HAVERM!C46</f>
        <v>2.6850000000000001</v>
      </c>
    </row>
    <row r="41" spans="1:13" x14ac:dyDescent="0.35">
      <c r="A41" s="3">
        <f t="shared" si="1"/>
        <v>46060</v>
      </c>
      <c r="B41" s="2">
        <f>HAVERD!B412</f>
        <v>90</v>
      </c>
      <c r="C41" s="2">
        <f>HAVERD!C412</f>
        <v>48</v>
      </c>
      <c r="F41" s="5">
        <v>46054</v>
      </c>
      <c r="G41" s="7">
        <f>[2]HAVERQ!L263</f>
        <v>3.3</v>
      </c>
      <c r="H41" s="7">
        <f>[2]HAVERQ!M263</f>
        <v>3.6</v>
      </c>
      <c r="K41" s="5">
        <v>46054</v>
      </c>
      <c r="L41" s="7">
        <f>HAVERM!B47</f>
        <v>2.9849999999999999</v>
      </c>
      <c r="M41" s="7">
        <f>HAVERM!C47</f>
        <v>2.722</v>
      </c>
    </row>
    <row r="42" spans="1:13" x14ac:dyDescent="0.35">
      <c r="A42" s="3">
        <f t="shared" si="1"/>
        <v>46061</v>
      </c>
      <c r="B42" s="2">
        <f>HAVERD!B413</f>
        <v>90</v>
      </c>
      <c r="C42" s="2">
        <f>HAVERD!C413</f>
        <v>49</v>
      </c>
      <c r="F42" s="5">
        <v>46082</v>
      </c>
      <c r="G42" s="7">
        <f>[2]HAVERQ!L264</f>
        <v>5.4</v>
      </c>
      <c r="H42" s="7">
        <f>[2]HAVERQ!M264</f>
        <v>4.5</v>
      </c>
      <c r="K42" s="5">
        <v>46082</v>
      </c>
      <c r="L42" s="7">
        <f>HAVERM!B48</f>
        <v>3.504</v>
      </c>
      <c r="M42" s="7">
        <f>HAVERM!C48</f>
        <v>2.8159999999999998</v>
      </c>
    </row>
    <row r="43" spans="1:13" x14ac:dyDescent="0.35">
      <c r="A43" s="3">
        <f t="shared" si="1"/>
        <v>46062</v>
      </c>
      <c r="B43" s="2">
        <f>HAVERD!B414</f>
        <v>66</v>
      </c>
      <c r="C43" s="2">
        <f>HAVERD!C414</f>
        <v>41</v>
      </c>
      <c r="F43" s="5">
        <v>46113</v>
      </c>
      <c r="G43" s="7">
        <f>[2]HAVERQ!L265</f>
        <v>5</v>
      </c>
      <c r="H43" s="7">
        <f>[2]HAVERQ!M265</f>
        <v>4.2</v>
      </c>
      <c r="K43" s="5">
        <v>46113</v>
      </c>
      <c r="L43" s="7">
        <f>HAVERM!B49</f>
        <v>3.96</v>
      </c>
      <c r="M43" s="7">
        <f>HAVERM!C49</f>
        <v>2.8239999999999998</v>
      </c>
    </row>
    <row r="44" spans="1:13" x14ac:dyDescent="0.35">
      <c r="A44" s="3">
        <f t="shared" si="1"/>
        <v>46063</v>
      </c>
      <c r="B44" s="2">
        <f>HAVERD!B415</f>
        <v>95</v>
      </c>
      <c r="C44" s="2">
        <f>HAVERD!C415</f>
        <v>59</v>
      </c>
      <c r="F44" s="5">
        <v>46143</v>
      </c>
      <c r="G44" s="7">
        <f>[2]HAVERQ!L266</f>
        <v>4.7</v>
      </c>
      <c r="H44" s="7">
        <f>[2]HAVERQ!M266</f>
        <v>4</v>
      </c>
      <c r="K44" s="5">
        <v>46143</v>
      </c>
      <c r="L44" s="7">
        <f>HAVERM!B50</f>
        <v>3.738</v>
      </c>
      <c r="M44" s="7">
        <f>HAVERM!C50</f>
        <v>2.875</v>
      </c>
    </row>
    <row r="45" spans="1:13" x14ac:dyDescent="0.35">
      <c r="A45" s="3">
        <f t="shared" si="1"/>
        <v>46064</v>
      </c>
      <c r="B45" s="2">
        <f>HAVERD!B416</f>
        <v>82</v>
      </c>
      <c r="C45" s="2">
        <f>HAVERD!C416</f>
        <v>46</v>
      </c>
      <c r="F45" s="5">
        <v>46174</v>
      </c>
      <c r="G45" s="7"/>
      <c r="H45" s="7"/>
      <c r="K45" s="5">
        <v>46174</v>
      </c>
      <c r="L45" s="7"/>
      <c r="M45" s="7"/>
    </row>
    <row r="46" spans="1:13" x14ac:dyDescent="0.35">
      <c r="A46" s="3">
        <f t="shared" si="1"/>
        <v>46065</v>
      </c>
      <c r="B46" s="2">
        <f>HAVERD!B417</f>
        <v>119</v>
      </c>
      <c r="C46" s="2">
        <f>HAVERD!C417</f>
        <v>55</v>
      </c>
    </row>
    <row r="47" spans="1:13" x14ac:dyDescent="0.35">
      <c r="A47" s="3">
        <f t="shared" si="1"/>
        <v>46066</v>
      </c>
      <c r="B47" s="2">
        <f>HAVERD!B418</f>
        <v>110</v>
      </c>
      <c r="C47" s="2">
        <f>HAVERD!C418</f>
        <v>64</v>
      </c>
    </row>
    <row r="48" spans="1:13" x14ac:dyDescent="0.35">
      <c r="A48" s="3">
        <f t="shared" si="1"/>
        <v>46067</v>
      </c>
      <c r="B48" s="2">
        <f>HAVERD!B419</f>
        <v>99</v>
      </c>
      <c r="C48" s="2">
        <f>HAVERD!C419</f>
        <v>58</v>
      </c>
    </row>
    <row r="49" spans="1:3" x14ac:dyDescent="0.35">
      <c r="A49" s="3">
        <f t="shared" si="1"/>
        <v>46068</v>
      </c>
      <c r="B49" s="2">
        <f>HAVERD!B420</f>
        <v>87</v>
      </c>
      <c r="C49" s="2">
        <f>HAVERD!C420</f>
        <v>50</v>
      </c>
    </row>
    <row r="50" spans="1:3" x14ac:dyDescent="0.35">
      <c r="A50" s="3">
        <f t="shared" si="1"/>
        <v>46069</v>
      </c>
      <c r="B50" s="2">
        <f>HAVERD!B421</f>
        <v>95</v>
      </c>
      <c r="C50" s="2">
        <f>HAVERD!C421</f>
        <v>60</v>
      </c>
    </row>
    <row r="51" spans="1:3" x14ac:dyDescent="0.35">
      <c r="A51" s="3">
        <f t="shared" si="1"/>
        <v>46070</v>
      </c>
      <c r="B51" s="2">
        <f>HAVERD!B422</f>
        <v>91</v>
      </c>
      <c r="C51" s="2">
        <f>HAVERD!C422</f>
        <v>43</v>
      </c>
    </row>
    <row r="52" spans="1:3" x14ac:dyDescent="0.35">
      <c r="A52" s="3">
        <f t="shared" si="1"/>
        <v>46071</v>
      </c>
      <c r="B52" s="2">
        <f>HAVERD!B423</f>
        <v>113</v>
      </c>
      <c r="C52" s="2">
        <f>HAVERD!C423</f>
        <v>52</v>
      </c>
    </row>
    <row r="53" spans="1:3" x14ac:dyDescent="0.35">
      <c r="A53" s="3">
        <f t="shared" si="1"/>
        <v>46072</v>
      </c>
      <c r="B53" s="2">
        <f>HAVERD!B424</f>
        <v>115</v>
      </c>
      <c r="C53" s="2">
        <f>HAVERD!C424</f>
        <v>62</v>
      </c>
    </row>
    <row r="54" spans="1:3" x14ac:dyDescent="0.35">
      <c r="A54" s="3">
        <f t="shared" si="1"/>
        <v>46073</v>
      </c>
      <c r="B54" s="2">
        <f>HAVERD!B425</f>
        <v>90</v>
      </c>
      <c r="C54" s="2">
        <f>HAVERD!C425</f>
        <v>54</v>
      </c>
    </row>
    <row r="55" spans="1:3" x14ac:dyDescent="0.35">
      <c r="A55" s="3">
        <f t="shared" si="1"/>
        <v>46074</v>
      </c>
      <c r="B55" s="2">
        <f>HAVERD!B426</f>
        <v>94</v>
      </c>
      <c r="C55" s="2">
        <f>HAVERD!C426</f>
        <v>54</v>
      </c>
    </row>
    <row r="56" spans="1:3" x14ac:dyDescent="0.35">
      <c r="A56" s="3">
        <f t="shared" si="1"/>
        <v>46075</v>
      </c>
      <c r="B56" s="2">
        <f>HAVERD!B427</f>
        <v>129</v>
      </c>
      <c r="C56" s="2">
        <f>HAVERD!C427</f>
        <v>72</v>
      </c>
    </row>
    <row r="57" spans="1:3" x14ac:dyDescent="0.35">
      <c r="A57" s="3">
        <f t="shared" si="1"/>
        <v>46076</v>
      </c>
      <c r="B57" s="2">
        <f>HAVERD!B428</f>
        <v>103</v>
      </c>
      <c r="C57" s="2">
        <f>HAVERD!C428</f>
        <v>62</v>
      </c>
    </row>
    <row r="58" spans="1:3" x14ac:dyDescent="0.35">
      <c r="A58" s="3">
        <f t="shared" si="1"/>
        <v>46077</v>
      </c>
      <c r="B58" s="2">
        <f>HAVERD!B429</f>
        <v>107</v>
      </c>
      <c r="C58" s="2">
        <f>HAVERD!C429</f>
        <v>55</v>
      </c>
    </row>
    <row r="59" spans="1:3" x14ac:dyDescent="0.35">
      <c r="A59" s="3">
        <f t="shared" si="1"/>
        <v>46078</v>
      </c>
      <c r="B59" s="2">
        <f>HAVERD!B430</f>
        <v>109</v>
      </c>
      <c r="C59" s="2">
        <f>HAVERD!C430</f>
        <v>58</v>
      </c>
    </row>
    <row r="60" spans="1:3" x14ac:dyDescent="0.35">
      <c r="A60" s="3">
        <f t="shared" si="1"/>
        <v>46079</v>
      </c>
      <c r="B60" s="2">
        <f>HAVERD!B431</f>
        <v>102</v>
      </c>
      <c r="C60" s="2">
        <f>HAVERD!C431</f>
        <v>53</v>
      </c>
    </row>
    <row r="61" spans="1:3" x14ac:dyDescent="0.35">
      <c r="A61" s="3">
        <f t="shared" si="1"/>
        <v>46080</v>
      </c>
      <c r="B61" s="2">
        <f>HAVERD!B432</f>
        <v>95</v>
      </c>
      <c r="C61" s="2">
        <f>HAVERD!C432</f>
        <v>53</v>
      </c>
    </row>
    <row r="62" spans="1:3" x14ac:dyDescent="0.35">
      <c r="A62" s="3">
        <f t="shared" si="1"/>
        <v>46081</v>
      </c>
      <c r="B62" s="2">
        <f>HAVERD!B433</f>
        <v>76</v>
      </c>
      <c r="C62" s="2">
        <f>HAVERD!C433</f>
        <v>44</v>
      </c>
    </row>
    <row r="63" spans="1:3" x14ac:dyDescent="0.35">
      <c r="A63" s="3">
        <f t="shared" si="1"/>
        <v>46082</v>
      </c>
      <c r="B63" s="2">
        <f>HAVERD!B434</f>
        <v>17</v>
      </c>
      <c r="C63" s="2">
        <f>HAVERD!C434</f>
        <v>7</v>
      </c>
    </row>
    <row r="64" spans="1:3" x14ac:dyDescent="0.35">
      <c r="A64" s="3">
        <f t="shared" si="1"/>
        <v>46083</v>
      </c>
      <c r="B64" s="2">
        <f>HAVERD!B435</f>
        <v>4</v>
      </c>
      <c r="C64" s="2">
        <f>HAVERD!C435</f>
        <v>2</v>
      </c>
    </row>
    <row r="65" spans="1:3" x14ac:dyDescent="0.35">
      <c r="A65" s="3">
        <f t="shared" si="1"/>
        <v>46084</v>
      </c>
      <c r="B65" s="2">
        <f>HAVERD!B436</f>
        <v>5</v>
      </c>
      <c r="C65" s="2">
        <f>HAVERD!C436</f>
        <v>2</v>
      </c>
    </row>
    <row r="66" spans="1:3" x14ac:dyDescent="0.35">
      <c r="A66" s="3">
        <f t="shared" si="1"/>
        <v>46085</v>
      </c>
      <c r="B66" s="2">
        <f>HAVERD!B437</f>
        <v>3</v>
      </c>
      <c r="C66" s="2">
        <f>HAVERD!C437</f>
        <v>0</v>
      </c>
    </row>
    <row r="67" spans="1:3" x14ac:dyDescent="0.35">
      <c r="A67" s="3">
        <f t="shared" si="1"/>
        <v>46086</v>
      </c>
      <c r="B67" s="2">
        <f>HAVERD!B438</f>
        <v>4</v>
      </c>
      <c r="C67" s="2">
        <f>HAVERD!C438</f>
        <v>1</v>
      </c>
    </row>
    <row r="68" spans="1:3" x14ac:dyDescent="0.35">
      <c r="A68" s="3">
        <f t="shared" si="1"/>
        <v>46087</v>
      </c>
      <c r="B68" s="2">
        <f>HAVERD!B439</f>
        <v>5</v>
      </c>
      <c r="C68" s="2">
        <f>HAVERD!C439</f>
        <v>0</v>
      </c>
    </row>
    <row r="69" spans="1:3" x14ac:dyDescent="0.35">
      <c r="A69" s="3">
        <f t="shared" si="1"/>
        <v>46088</v>
      </c>
      <c r="B69" s="2">
        <f>HAVERD!B440</f>
        <v>7</v>
      </c>
      <c r="C69" s="2">
        <f>HAVERD!C440</f>
        <v>2</v>
      </c>
    </row>
    <row r="70" spans="1:3" x14ac:dyDescent="0.35">
      <c r="A70" s="3">
        <f t="shared" si="1"/>
        <v>46089</v>
      </c>
      <c r="B70" s="2">
        <f>HAVERD!B441</f>
        <v>6</v>
      </c>
      <c r="C70" s="2">
        <f>HAVERD!C441</f>
        <v>1</v>
      </c>
    </row>
    <row r="71" spans="1:3" x14ac:dyDescent="0.35">
      <c r="A71" s="3">
        <f t="shared" si="1"/>
        <v>46090</v>
      </c>
      <c r="B71" s="2">
        <f>HAVERD!B442</f>
        <v>9</v>
      </c>
      <c r="C71" s="2">
        <f>HAVERD!C442</f>
        <v>6</v>
      </c>
    </row>
    <row r="72" spans="1:3" x14ac:dyDescent="0.35">
      <c r="A72" s="3">
        <f t="shared" si="1"/>
        <v>46091</v>
      </c>
      <c r="B72" s="2">
        <f>HAVERD!B443</f>
        <v>4</v>
      </c>
      <c r="C72" s="2">
        <f>HAVERD!C443</f>
        <v>1</v>
      </c>
    </row>
    <row r="73" spans="1:3" x14ac:dyDescent="0.35">
      <c r="A73" s="3">
        <f t="shared" si="1"/>
        <v>46092</v>
      </c>
      <c r="B73" s="2">
        <f>HAVERD!B444</f>
        <v>5</v>
      </c>
      <c r="C73" s="2">
        <f>HAVERD!C444</f>
        <v>1</v>
      </c>
    </row>
    <row r="74" spans="1:3" x14ac:dyDescent="0.35">
      <c r="A74" s="3">
        <f t="shared" si="1"/>
        <v>46093</v>
      </c>
      <c r="B74" s="2">
        <f>HAVERD!B445</f>
        <v>8</v>
      </c>
      <c r="C74" s="2">
        <f>HAVERD!C445</f>
        <v>3</v>
      </c>
    </row>
    <row r="75" spans="1:3" x14ac:dyDescent="0.35">
      <c r="A75" s="3">
        <f t="shared" si="1"/>
        <v>46094</v>
      </c>
      <c r="B75" s="2">
        <f>HAVERD!B446</f>
        <v>3</v>
      </c>
      <c r="C75" s="2">
        <f>HAVERD!C446</f>
        <v>3</v>
      </c>
    </row>
    <row r="76" spans="1:3" x14ac:dyDescent="0.35">
      <c r="A76" s="3">
        <f t="shared" si="1"/>
        <v>46095</v>
      </c>
      <c r="B76" s="2">
        <f>HAVERD!B447</f>
        <v>3</v>
      </c>
      <c r="C76" s="2">
        <f>HAVERD!C447</f>
        <v>1</v>
      </c>
    </row>
    <row r="77" spans="1:3" x14ac:dyDescent="0.35">
      <c r="A77" s="3">
        <f t="shared" si="1"/>
        <v>46096</v>
      </c>
      <c r="B77" s="2">
        <f>HAVERD!B448</f>
        <v>9</v>
      </c>
      <c r="C77" s="2">
        <f>HAVERD!C448</f>
        <v>5</v>
      </c>
    </row>
    <row r="78" spans="1:3" x14ac:dyDescent="0.35">
      <c r="A78" s="3">
        <f t="shared" si="1"/>
        <v>46097</v>
      </c>
      <c r="B78" s="2">
        <f>HAVERD!B449</f>
        <v>4</v>
      </c>
      <c r="C78" s="2">
        <f>HAVERD!C449</f>
        <v>0</v>
      </c>
    </row>
    <row r="79" spans="1:3" x14ac:dyDescent="0.35">
      <c r="A79" s="3">
        <f t="shared" si="1"/>
        <v>46098</v>
      </c>
      <c r="B79" s="2">
        <f>HAVERD!B450</f>
        <v>2</v>
      </c>
      <c r="C79" s="2">
        <f>HAVERD!C450</f>
        <v>1</v>
      </c>
    </row>
    <row r="80" spans="1:3" x14ac:dyDescent="0.35">
      <c r="A80" s="3">
        <f t="shared" si="1"/>
        <v>46099</v>
      </c>
      <c r="B80" s="2">
        <f>HAVERD!B451</f>
        <v>1</v>
      </c>
      <c r="C80" s="2">
        <f>HAVERD!C451</f>
        <v>0</v>
      </c>
    </row>
    <row r="81" spans="1:3" x14ac:dyDescent="0.35">
      <c r="A81" s="3">
        <f t="shared" si="1"/>
        <v>46100</v>
      </c>
      <c r="B81" s="2">
        <f>HAVERD!B452</f>
        <v>3</v>
      </c>
      <c r="C81" s="2">
        <f>HAVERD!C452</f>
        <v>1</v>
      </c>
    </row>
    <row r="82" spans="1:3" x14ac:dyDescent="0.35">
      <c r="A82" s="3">
        <f t="shared" si="1"/>
        <v>46101</v>
      </c>
      <c r="B82" s="2">
        <f>HAVERD!B453</f>
        <v>6</v>
      </c>
      <c r="C82" s="2">
        <f>HAVERD!C453</f>
        <v>3</v>
      </c>
    </row>
    <row r="83" spans="1:3" x14ac:dyDescent="0.35">
      <c r="A83" s="3">
        <f t="shared" si="1"/>
        <v>46102</v>
      </c>
      <c r="B83" s="2">
        <f>HAVERD!B454</f>
        <v>0</v>
      </c>
      <c r="C83" s="2">
        <f>HAVERD!C454</f>
        <v>0</v>
      </c>
    </row>
    <row r="84" spans="1:3" x14ac:dyDescent="0.35">
      <c r="A84" s="3">
        <f t="shared" si="1"/>
        <v>46103</v>
      </c>
      <c r="B84" s="2">
        <f>HAVERD!B455</f>
        <v>3</v>
      </c>
      <c r="C84" s="2">
        <f>HAVERD!C455</f>
        <v>0</v>
      </c>
    </row>
    <row r="85" spans="1:3" x14ac:dyDescent="0.35">
      <c r="A85" s="3">
        <f t="shared" si="1"/>
        <v>46104</v>
      </c>
      <c r="B85" s="2">
        <f>HAVERD!B456</f>
        <v>4</v>
      </c>
      <c r="C85" s="2">
        <f>HAVERD!C456</f>
        <v>2</v>
      </c>
    </row>
    <row r="86" spans="1:3" x14ac:dyDescent="0.35">
      <c r="A86" s="3">
        <f t="shared" si="1"/>
        <v>46105</v>
      </c>
      <c r="B86" s="2">
        <f>HAVERD!B457</f>
        <v>2</v>
      </c>
      <c r="C86" s="2">
        <f>HAVERD!C457</f>
        <v>1</v>
      </c>
    </row>
    <row r="87" spans="1:3" x14ac:dyDescent="0.35">
      <c r="A87" s="3">
        <f t="shared" si="1"/>
        <v>46106</v>
      </c>
      <c r="B87" s="2">
        <f>HAVERD!B458</f>
        <v>1</v>
      </c>
      <c r="C87" s="2">
        <f>HAVERD!C458</f>
        <v>1</v>
      </c>
    </row>
    <row r="88" spans="1:3" x14ac:dyDescent="0.35">
      <c r="A88" s="3">
        <f t="shared" si="1"/>
        <v>46107</v>
      </c>
      <c r="B88" s="2">
        <f>HAVERD!B459</f>
        <v>5</v>
      </c>
      <c r="C88" s="2">
        <f>HAVERD!C459</f>
        <v>0</v>
      </c>
    </row>
    <row r="89" spans="1:3" x14ac:dyDescent="0.35">
      <c r="A89" s="3">
        <f t="shared" si="1"/>
        <v>46108</v>
      </c>
      <c r="B89" s="2">
        <f>HAVERD!B460</f>
        <v>3</v>
      </c>
      <c r="C89" s="2">
        <f>HAVERD!C460</f>
        <v>0</v>
      </c>
    </row>
    <row r="90" spans="1:3" x14ac:dyDescent="0.35">
      <c r="A90" s="3">
        <f t="shared" si="1"/>
        <v>46109</v>
      </c>
      <c r="B90" s="2">
        <f>HAVERD!B461</f>
        <v>4</v>
      </c>
      <c r="C90" s="2">
        <f>HAVERD!C461</f>
        <v>0</v>
      </c>
    </row>
    <row r="91" spans="1:3" x14ac:dyDescent="0.35">
      <c r="A91" s="3">
        <f t="shared" si="1"/>
        <v>46110</v>
      </c>
      <c r="B91" s="2">
        <f>HAVERD!B462</f>
        <v>5</v>
      </c>
      <c r="C91" s="2">
        <f>HAVERD!C462</f>
        <v>2</v>
      </c>
    </row>
    <row r="92" spans="1:3" x14ac:dyDescent="0.35">
      <c r="A92" s="3">
        <f t="shared" si="1"/>
        <v>46111</v>
      </c>
      <c r="B92" s="2">
        <f>HAVERD!B463</f>
        <v>17</v>
      </c>
      <c r="C92" s="2">
        <f>HAVERD!C463</f>
        <v>12</v>
      </c>
    </row>
    <row r="93" spans="1:3" x14ac:dyDescent="0.35">
      <c r="A93" s="3">
        <f t="shared" si="1"/>
        <v>46112</v>
      </c>
      <c r="B93" s="2">
        <f>HAVERD!B464</f>
        <v>6</v>
      </c>
      <c r="C93" s="2">
        <f>HAVERD!C464</f>
        <v>2</v>
      </c>
    </row>
    <row r="94" spans="1:3" x14ac:dyDescent="0.35">
      <c r="A94" s="3">
        <f t="shared" si="1"/>
        <v>46113</v>
      </c>
      <c r="B94" s="2">
        <f>HAVERD!B465</f>
        <v>6</v>
      </c>
      <c r="C94" s="2">
        <f>HAVERD!C465</f>
        <v>0</v>
      </c>
    </row>
    <row r="95" spans="1:3" x14ac:dyDescent="0.35">
      <c r="A95" s="3">
        <f t="shared" ref="A95:A158" si="2">A88+7</f>
        <v>46114</v>
      </c>
      <c r="B95" s="2">
        <f>HAVERD!B466</f>
        <v>6</v>
      </c>
      <c r="C95" s="2">
        <f>HAVERD!C466</f>
        <v>2</v>
      </c>
    </row>
    <row r="96" spans="1:3" x14ac:dyDescent="0.35">
      <c r="A96" s="3">
        <f t="shared" si="2"/>
        <v>46115</v>
      </c>
      <c r="B96" s="2">
        <f>HAVERD!B467</f>
        <v>5</v>
      </c>
      <c r="C96" s="2">
        <f>HAVERD!C467</f>
        <v>4</v>
      </c>
    </row>
    <row r="97" spans="1:3" x14ac:dyDescent="0.35">
      <c r="A97" s="3">
        <f t="shared" si="2"/>
        <v>46116</v>
      </c>
      <c r="B97" s="2">
        <f>HAVERD!B468</f>
        <v>10</v>
      </c>
      <c r="C97" s="2">
        <f>HAVERD!C468</f>
        <v>2</v>
      </c>
    </row>
    <row r="98" spans="1:3" x14ac:dyDescent="0.35">
      <c r="A98" s="3">
        <f t="shared" si="2"/>
        <v>46117</v>
      </c>
      <c r="B98" s="2">
        <f>HAVERD!B469</f>
        <v>9</v>
      </c>
      <c r="C98" s="2">
        <f>HAVERD!C469</f>
        <v>7</v>
      </c>
    </row>
    <row r="99" spans="1:3" x14ac:dyDescent="0.35">
      <c r="A99" s="3">
        <f t="shared" si="2"/>
        <v>46118</v>
      </c>
      <c r="B99" s="2">
        <f>HAVERD!B470</f>
        <v>5</v>
      </c>
      <c r="C99" s="2">
        <f>HAVERD!C470</f>
        <v>1</v>
      </c>
    </row>
    <row r="100" spans="1:3" x14ac:dyDescent="0.35">
      <c r="A100" s="3">
        <f t="shared" si="2"/>
        <v>46119</v>
      </c>
      <c r="B100" s="2">
        <f>HAVERD!B471</f>
        <v>4</v>
      </c>
      <c r="C100" s="2">
        <f>HAVERD!C471</f>
        <v>3</v>
      </c>
    </row>
    <row r="101" spans="1:3" x14ac:dyDescent="0.35">
      <c r="A101" s="3">
        <f t="shared" si="2"/>
        <v>46120</v>
      </c>
      <c r="B101" s="2">
        <f>HAVERD!B472</f>
        <v>4</v>
      </c>
      <c r="C101" s="2">
        <f>HAVERD!C472</f>
        <v>0</v>
      </c>
    </row>
    <row r="102" spans="1:3" x14ac:dyDescent="0.35">
      <c r="A102" s="3">
        <f t="shared" si="2"/>
        <v>46121</v>
      </c>
      <c r="B102" s="2">
        <f>HAVERD!B473</f>
        <v>9</v>
      </c>
      <c r="C102" s="2">
        <f>HAVERD!C473</f>
        <v>4</v>
      </c>
    </row>
    <row r="103" spans="1:3" x14ac:dyDescent="0.35">
      <c r="A103" s="3">
        <f t="shared" si="2"/>
        <v>46122</v>
      </c>
      <c r="B103" s="2">
        <f>HAVERD!B474</f>
        <v>5</v>
      </c>
      <c r="C103" s="2">
        <f>HAVERD!C474</f>
        <v>1</v>
      </c>
    </row>
    <row r="104" spans="1:3" x14ac:dyDescent="0.35">
      <c r="A104" s="3">
        <f t="shared" si="2"/>
        <v>46123</v>
      </c>
      <c r="B104" s="2">
        <f>HAVERD!B475</f>
        <v>11</v>
      </c>
      <c r="C104" s="2">
        <f>HAVERD!C475</f>
        <v>5</v>
      </c>
    </row>
    <row r="105" spans="1:3" x14ac:dyDescent="0.35">
      <c r="A105" s="3">
        <f t="shared" si="2"/>
        <v>46124</v>
      </c>
      <c r="B105" s="2">
        <f>HAVERD!B476</f>
        <v>8</v>
      </c>
      <c r="C105" s="2">
        <f>HAVERD!C476</f>
        <v>3</v>
      </c>
    </row>
    <row r="106" spans="1:3" x14ac:dyDescent="0.35">
      <c r="A106" s="3">
        <f t="shared" si="2"/>
        <v>46125</v>
      </c>
      <c r="B106" s="2">
        <f>HAVERD!B477</f>
        <v>11</v>
      </c>
      <c r="C106" s="2">
        <f>HAVERD!C477</f>
        <v>4</v>
      </c>
    </row>
    <row r="107" spans="1:3" x14ac:dyDescent="0.35">
      <c r="A107" s="3">
        <f t="shared" si="2"/>
        <v>46126</v>
      </c>
      <c r="B107" s="2">
        <f>HAVERD!B478</f>
        <v>10</v>
      </c>
      <c r="C107" s="2">
        <f>HAVERD!C478</f>
        <v>3</v>
      </c>
    </row>
    <row r="108" spans="1:3" x14ac:dyDescent="0.35">
      <c r="A108" s="3">
        <f t="shared" si="2"/>
        <v>46127</v>
      </c>
      <c r="B108" s="2">
        <f>HAVERD!B479</f>
        <v>10</v>
      </c>
      <c r="C108" s="2">
        <f>HAVERD!C479</f>
        <v>4</v>
      </c>
    </row>
    <row r="109" spans="1:3" x14ac:dyDescent="0.35">
      <c r="A109" s="3">
        <f t="shared" si="2"/>
        <v>46128</v>
      </c>
      <c r="B109" s="2">
        <f>HAVERD!B480</f>
        <v>6</v>
      </c>
      <c r="C109" s="2">
        <f>HAVERD!C480</f>
        <v>3</v>
      </c>
    </row>
    <row r="110" spans="1:3" x14ac:dyDescent="0.35">
      <c r="A110" s="3">
        <f t="shared" si="2"/>
        <v>46129</v>
      </c>
      <c r="B110" s="2">
        <f>HAVERD!B481</f>
        <v>14</v>
      </c>
      <c r="C110" s="2">
        <f>HAVERD!C481</f>
        <v>4</v>
      </c>
    </row>
    <row r="111" spans="1:3" x14ac:dyDescent="0.35">
      <c r="A111" s="3">
        <f t="shared" si="2"/>
        <v>46130</v>
      </c>
      <c r="B111" s="2">
        <f>HAVERD!B482</f>
        <v>29</v>
      </c>
      <c r="C111" s="2">
        <f>HAVERD!C482</f>
        <v>16</v>
      </c>
    </row>
    <row r="112" spans="1:3" x14ac:dyDescent="0.35">
      <c r="A112" s="3">
        <f t="shared" si="2"/>
        <v>46131</v>
      </c>
      <c r="B112" s="2">
        <f>HAVERD!B483</f>
        <v>4</v>
      </c>
      <c r="C112" s="2">
        <f>HAVERD!C483</f>
        <v>2</v>
      </c>
    </row>
    <row r="113" spans="1:3" x14ac:dyDescent="0.35">
      <c r="A113" s="3">
        <f t="shared" si="2"/>
        <v>46132</v>
      </c>
      <c r="B113" s="2">
        <f>HAVERD!B484</f>
        <v>7</v>
      </c>
      <c r="C113" s="2">
        <f>HAVERD!C484</f>
        <v>4</v>
      </c>
    </row>
    <row r="114" spans="1:3" x14ac:dyDescent="0.35">
      <c r="A114" s="3">
        <f t="shared" si="2"/>
        <v>46133</v>
      </c>
      <c r="B114" s="2">
        <f>HAVERD!B485</f>
        <v>3</v>
      </c>
      <c r="C114" s="2">
        <f>HAVERD!C485</f>
        <v>1</v>
      </c>
    </row>
    <row r="115" spans="1:3" x14ac:dyDescent="0.35">
      <c r="A115" s="3">
        <f t="shared" si="2"/>
        <v>46134</v>
      </c>
      <c r="B115" s="2">
        <f>HAVERD!B486</f>
        <v>7</v>
      </c>
      <c r="C115" s="2">
        <f>HAVERD!C486</f>
        <v>2</v>
      </c>
    </row>
    <row r="116" spans="1:3" x14ac:dyDescent="0.35">
      <c r="A116" s="3">
        <f t="shared" si="2"/>
        <v>46135</v>
      </c>
      <c r="B116" s="2">
        <f>HAVERD!B487</f>
        <v>2</v>
      </c>
      <c r="C116" s="2">
        <f>HAVERD!C487</f>
        <v>0</v>
      </c>
    </row>
    <row r="117" spans="1:3" x14ac:dyDescent="0.35">
      <c r="A117" s="3">
        <f t="shared" si="2"/>
        <v>46136</v>
      </c>
      <c r="B117" s="2">
        <f>HAVERD!B488</f>
        <v>8</v>
      </c>
      <c r="C117" s="2">
        <f>HAVERD!C488</f>
        <v>2</v>
      </c>
    </row>
    <row r="118" spans="1:3" x14ac:dyDescent="0.35">
      <c r="A118" s="3">
        <f t="shared" si="2"/>
        <v>46137</v>
      </c>
      <c r="B118" s="2">
        <f>HAVERD!B489</f>
        <v>5</v>
      </c>
      <c r="C118" s="2">
        <f>HAVERD!C489</f>
        <v>1</v>
      </c>
    </row>
    <row r="119" spans="1:3" x14ac:dyDescent="0.35">
      <c r="A119" s="3">
        <f t="shared" si="2"/>
        <v>46138</v>
      </c>
      <c r="B119" s="2">
        <f>HAVERD!B490</f>
        <v>5</v>
      </c>
      <c r="C119" s="2">
        <f>HAVERD!C490</f>
        <v>1</v>
      </c>
    </row>
    <row r="120" spans="1:3" x14ac:dyDescent="0.35">
      <c r="A120" s="3">
        <f t="shared" si="2"/>
        <v>46139</v>
      </c>
      <c r="B120" s="2">
        <f>HAVERD!B491</f>
        <v>3</v>
      </c>
      <c r="C120" s="2">
        <f>HAVERD!C491</f>
        <v>1</v>
      </c>
    </row>
    <row r="121" spans="1:3" x14ac:dyDescent="0.35">
      <c r="A121" s="3">
        <f t="shared" si="2"/>
        <v>46140</v>
      </c>
      <c r="B121" s="2">
        <f>HAVERD!B492</f>
        <v>11</v>
      </c>
      <c r="C121" s="2">
        <f>HAVERD!C492</f>
        <v>3</v>
      </c>
    </row>
    <row r="122" spans="1:3" x14ac:dyDescent="0.35">
      <c r="A122" s="3">
        <f t="shared" si="2"/>
        <v>46141</v>
      </c>
      <c r="B122" s="2">
        <f>HAVERD!B493</f>
        <v>6</v>
      </c>
      <c r="C122" s="2">
        <f>HAVERD!C493</f>
        <v>3</v>
      </c>
    </row>
    <row r="123" spans="1:3" x14ac:dyDescent="0.35">
      <c r="A123" s="3">
        <f t="shared" si="2"/>
        <v>46142</v>
      </c>
      <c r="B123" s="2">
        <f>HAVERD!B494</f>
        <v>5</v>
      </c>
      <c r="C123" s="2">
        <f>HAVERD!C494</f>
        <v>3</v>
      </c>
    </row>
    <row r="124" spans="1:3" x14ac:dyDescent="0.35">
      <c r="A124" s="3">
        <f t="shared" si="2"/>
        <v>46143</v>
      </c>
      <c r="B124" s="2">
        <f>HAVERD!B495</f>
        <v>6</v>
      </c>
      <c r="C124" s="2">
        <f>HAVERD!C495</f>
        <v>2</v>
      </c>
    </row>
    <row r="125" spans="1:3" x14ac:dyDescent="0.35">
      <c r="A125" s="3">
        <f t="shared" si="2"/>
        <v>46144</v>
      </c>
      <c r="B125" s="2">
        <f>HAVERD!B496</f>
        <v>4</v>
      </c>
      <c r="C125" s="2">
        <f>HAVERD!C496</f>
        <v>2</v>
      </c>
    </row>
    <row r="126" spans="1:3" x14ac:dyDescent="0.35">
      <c r="A126" s="3">
        <f t="shared" si="2"/>
        <v>46145</v>
      </c>
      <c r="B126" s="2">
        <f>HAVERD!B497</f>
        <v>5</v>
      </c>
      <c r="C126" s="2">
        <f>HAVERD!C497</f>
        <v>1</v>
      </c>
    </row>
    <row r="127" spans="1:3" x14ac:dyDescent="0.35">
      <c r="A127" s="3">
        <f t="shared" si="2"/>
        <v>46146</v>
      </c>
      <c r="B127" s="2">
        <f>HAVERD!B498</f>
        <v>3</v>
      </c>
      <c r="C127" s="2">
        <f>HAVERD!C498</f>
        <v>0</v>
      </c>
    </row>
    <row r="128" spans="1:3" x14ac:dyDescent="0.35">
      <c r="A128" s="3">
        <f t="shared" si="2"/>
        <v>46147</v>
      </c>
      <c r="B128" s="2">
        <f>HAVERD!B499</f>
        <v>1</v>
      </c>
      <c r="C128" s="2">
        <f>HAVERD!C499</f>
        <v>0</v>
      </c>
    </row>
    <row r="129" spans="1:3" x14ac:dyDescent="0.35">
      <c r="A129" s="3">
        <f t="shared" si="2"/>
        <v>46148</v>
      </c>
      <c r="B129" s="2">
        <f>HAVERD!B500</f>
        <v>0</v>
      </c>
      <c r="C129" s="2">
        <f>HAVERD!C500</f>
        <v>0</v>
      </c>
    </row>
    <row r="130" spans="1:3" x14ac:dyDescent="0.35">
      <c r="A130" s="3">
        <f t="shared" si="2"/>
        <v>46149</v>
      </c>
      <c r="B130" s="2">
        <f>HAVERD!B501</f>
        <v>2</v>
      </c>
      <c r="C130" s="2">
        <f>HAVERD!C501</f>
        <v>1</v>
      </c>
    </row>
    <row r="131" spans="1:3" x14ac:dyDescent="0.35">
      <c r="A131" s="3">
        <f t="shared" si="2"/>
        <v>46150</v>
      </c>
      <c r="B131" s="2">
        <f>HAVERD!B502</f>
        <v>0</v>
      </c>
      <c r="C131" s="2">
        <f>HAVERD!C502</f>
        <v>0</v>
      </c>
    </row>
    <row r="132" spans="1:3" x14ac:dyDescent="0.35">
      <c r="A132" s="3">
        <f t="shared" si="2"/>
        <v>46151</v>
      </c>
      <c r="B132" s="2">
        <f>HAVERD!B503</f>
        <v>1</v>
      </c>
      <c r="C132" s="2">
        <f>HAVERD!C503</f>
        <v>1</v>
      </c>
    </row>
    <row r="133" spans="1:3" x14ac:dyDescent="0.35">
      <c r="A133" s="3">
        <f t="shared" si="2"/>
        <v>46152</v>
      </c>
      <c r="B133" s="2">
        <f>HAVERD!B504</f>
        <v>4</v>
      </c>
      <c r="C133" s="2">
        <f>HAVERD!C504</f>
        <v>2</v>
      </c>
    </row>
    <row r="134" spans="1:3" x14ac:dyDescent="0.35">
      <c r="A134" s="3">
        <f t="shared" si="2"/>
        <v>46153</v>
      </c>
      <c r="B134" s="2">
        <f>HAVERD!B505</f>
        <v>7</v>
      </c>
      <c r="C134" s="2">
        <f>HAVERD!C505</f>
        <v>3</v>
      </c>
    </row>
    <row r="135" spans="1:3" x14ac:dyDescent="0.35">
      <c r="A135" s="3">
        <f t="shared" si="2"/>
        <v>46154</v>
      </c>
      <c r="B135" s="2">
        <f>HAVERD!B506</f>
        <v>7</v>
      </c>
      <c r="C135" s="2">
        <f>HAVERD!C506</f>
        <v>3</v>
      </c>
    </row>
    <row r="136" spans="1:3" x14ac:dyDescent="0.35">
      <c r="A136" s="3">
        <f t="shared" si="2"/>
        <v>46155</v>
      </c>
      <c r="B136" s="2">
        <f>HAVERD!B507</f>
        <v>7</v>
      </c>
      <c r="C136" s="2">
        <f>HAVERD!C507</f>
        <v>4</v>
      </c>
    </row>
    <row r="137" spans="1:3" x14ac:dyDescent="0.35">
      <c r="A137" s="3">
        <f t="shared" si="2"/>
        <v>46156</v>
      </c>
      <c r="B137" s="2">
        <f>HAVERD!B508</f>
        <v>7</v>
      </c>
      <c r="C137" s="2">
        <f>HAVERD!C508</f>
        <v>4</v>
      </c>
    </row>
    <row r="138" spans="1:3" x14ac:dyDescent="0.35">
      <c r="A138" s="3">
        <f t="shared" si="2"/>
        <v>46157</v>
      </c>
      <c r="B138" s="2">
        <f>HAVERD!B509</f>
        <v>4</v>
      </c>
      <c r="C138" s="2">
        <f>HAVERD!C509</f>
        <v>2</v>
      </c>
    </row>
    <row r="139" spans="1:3" x14ac:dyDescent="0.35">
      <c r="A139" s="3">
        <f t="shared" si="2"/>
        <v>46158</v>
      </c>
      <c r="B139" s="2">
        <f>HAVERD!B510</f>
        <v>10</v>
      </c>
      <c r="C139" s="2">
        <f>HAVERD!C510</f>
        <v>2</v>
      </c>
    </row>
    <row r="140" spans="1:3" x14ac:dyDescent="0.35">
      <c r="A140" s="3">
        <f t="shared" si="2"/>
        <v>46159</v>
      </c>
      <c r="B140" s="2">
        <f>HAVERD!B511</f>
        <v>2</v>
      </c>
      <c r="C140" s="2">
        <f>HAVERD!C511</f>
        <v>0</v>
      </c>
    </row>
    <row r="141" spans="1:3" x14ac:dyDescent="0.35">
      <c r="A141" s="3">
        <f t="shared" si="2"/>
        <v>46160</v>
      </c>
      <c r="B141" s="2">
        <f>HAVERD!B512</f>
        <v>2</v>
      </c>
      <c r="C141" s="2">
        <f>HAVERD!C512</f>
        <v>1</v>
      </c>
    </row>
    <row r="142" spans="1:3" x14ac:dyDescent="0.35">
      <c r="A142" s="3">
        <f t="shared" si="2"/>
        <v>46161</v>
      </c>
      <c r="B142" s="2">
        <f>HAVERD!B513</f>
        <v>6</v>
      </c>
      <c r="C142" s="2">
        <f>HAVERD!C513</f>
        <v>4</v>
      </c>
    </row>
    <row r="143" spans="1:3" x14ac:dyDescent="0.35">
      <c r="A143" s="3">
        <f t="shared" si="2"/>
        <v>46162</v>
      </c>
      <c r="B143" s="2">
        <f>HAVERD!B514</f>
        <v>12</v>
      </c>
      <c r="C143" s="2">
        <f>HAVERD!C514</f>
        <v>4</v>
      </c>
    </row>
    <row r="144" spans="1:3" x14ac:dyDescent="0.35">
      <c r="A144" s="3">
        <f t="shared" si="2"/>
        <v>46163</v>
      </c>
      <c r="B144" s="2">
        <f>HAVERD!B515</f>
        <v>4</v>
      </c>
      <c r="C144" s="2">
        <f>HAVERD!C515</f>
        <v>2</v>
      </c>
    </row>
    <row r="145" spans="1:3" x14ac:dyDescent="0.35">
      <c r="A145" s="3">
        <f t="shared" si="2"/>
        <v>46164</v>
      </c>
      <c r="B145" s="2">
        <f>HAVERD!B516</f>
        <v>5</v>
      </c>
      <c r="C145" s="2">
        <f>HAVERD!C516</f>
        <v>0</v>
      </c>
    </row>
    <row r="146" spans="1:3" x14ac:dyDescent="0.35">
      <c r="A146" s="3">
        <f t="shared" si="2"/>
        <v>46165</v>
      </c>
      <c r="B146" s="2">
        <f>HAVERD!B517</f>
        <v>9</v>
      </c>
      <c r="C146" s="2">
        <f>HAVERD!C517</f>
        <v>4</v>
      </c>
    </row>
    <row r="147" spans="1:3" x14ac:dyDescent="0.35">
      <c r="A147" s="3">
        <f t="shared" si="2"/>
        <v>46166</v>
      </c>
      <c r="B147" s="2">
        <f>HAVERD!B518</f>
        <v>4</v>
      </c>
      <c r="C147" s="2">
        <f>HAVERD!C518</f>
        <v>2</v>
      </c>
    </row>
    <row r="148" spans="1:3" x14ac:dyDescent="0.35">
      <c r="A148" s="3">
        <f t="shared" si="2"/>
        <v>46167</v>
      </c>
      <c r="B148" s="2">
        <f>HAVERD!B519</f>
        <v>6</v>
      </c>
      <c r="C148" s="2">
        <f>HAVERD!C519</f>
        <v>2</v>
      </c>
    </row>
    <row r="149" spans="1:3" x14ac:dyDescent="0.35">
      <c r="A149" s="3">
        <f t="shared" si="2"/>
        <v>46168</v>
      </c>
      <c r="B149" s="2">
        <f>HAVERD!B520</f>
        <v>2</v>
      </c>
      <c r="C149" s="2">
        <f>HAVERD!C520</f>
        <v>0</v>
      </c>
    </row>
    <row r="150" spans="1:3" x14ac:dyDescent="0.35">
      <c r="A150" s="3">
        <f t="shared" si="2"/>
        <v>46169</v>
      </c>
      <c r="B150" s="2">
        <f>HAVERD!B521</f>
        <v>5</v>
      </c>
      <c r="C150" s="2">
        <f>HAVERD!C521</f>
        <v>2</v>
      </c>
    </row>
    <row r="151" spans="1:3" x14ac:dyDescent="0.35">
      <c r="A151" s="3">
        <f t="shared" si="2"/>
        <v>46170</v>
      </c>
      <c r="B151" s="2">
        <f>HAVERD!B522</f>
        <v>3</v>
      </c>
      <c r="C151" s="2">
        <f>HAVERD!C522</f>
        <v>0</v>
      </c>
    </row>
    <row r="152" spans="1:3" x14ac:dyDescent="0.35">
      <c r="A152" s="3">
        <f t="shared" si="2"/>
        <v>46171</v>
      </c>
      <c r="B152" s="2">
        <f>HAVERD!B523</f>
        <v>3</v>
      </c>
      <c r="C152" s="2">
        <f>HAVERD!C523</f>
        <v>1</v>
      </c>
    </row>
    <row r="153" spans="1:3" x14ac:dyDescent="0.35">
      <c r="A153" s="3">
        <f t="shared" si="2"/>
        <v>46172</v>
      </c>
      <c r="B153" s="2">
        <f>HAVERD!B524</f>
        <v>4</v>
      </c>
      <c r="C153" s="2">
        <f>HAVERD!C524</f>
        <v>0</v>
      </c>
    </row>
    <row r="154" spans="1:3" x14ac:dyDescent="0.35">
      <c r="A154" s="3">
        <f t="shared" si="2"/>
        <v>46173</v>
      </c>
      <c r="B154" s="2">
        <f>HAVERD!B525</f>
        <v>10</v>
      </c>
      <c r="C154" s="2">
        <f>HAVERD!C525</f>
        <v>2</v>
      </c>
    </row>
    <row r="155" spans="1:3" x14ac:dyDescent="0.35">
      <c r="A155" s="3">
        <f t="shared" si="2"/>
        <v>46174</v>
      </c>
      <c r="B155" s="2">
        <f>HAVERD!B526</f>
        <v>5</v>
      </c>
      <c r="C155" s="2">
        <f>HAVERD!C526</f>
        <v>1</v>
      </c>
    </row>
    <row r="156" spans="1:3" x14ac:dyDescent="0.35">
      <c r="A156" s="3">
        <f t="shared" si="2"/>
        <v>46175</v>
      </c>
      <c r="B156" s="2">
        <f>HAVERD!B527</f>
        <v>10</v>
      </c>
      <c r="C156" s="2">
        <f>HAVERD!C527</f>
        <v>4</v>
      </c>
    </row>
    <row r="157" spans="1:3" x14ac:dyDescent="0.35">
      <c r="A157" s="3">
        <f t="shared" si="2"/>
        <v>46176</v>
      </c>
      <c r="B157" s="2">
        <f>HAVERD!B528</f>
        <v>10</v>
      </c>
      <c r="C157" s="2">
        <f>HAVERD!C528</f>
        <v>3</v>
      </c>
    </row>
    <row r="158" spans="1:3" x14ac:dyDescent="0.35">
      <c r="A158" s="3">
        <f t="shared" si="2"/>
        <v>46177</v>
      </c>
      <c r="B158" s="2">
        <f>HAVERD!B529</f>
        <v>3</v>
      </c>
      <c r="C158" s="2">
        <f>HAVERD!C529</f>
        <v>1</v>
      </c>
    </row>
    <row r="159" spans="1:3" x14ac:dyDescent="0.35">
      <c r="A159" s="3">
        <f t="shared" ref="A159:A192" si="3">A152+7</f>
        <v>46178</v>
      </c>
      <c r="B159" s="2">
        <f>HAVERD!B530</f>
        <v>3</v>
      </c>
      <c r="C159" s="2">
        <f>HAVERD!C530</f>
        <v>1</v>
      </c>
    </row>
    <row r="160" spans="1:3" x14ac:dyDescent="0.35">
      <c r="A160" s="3">
        <f t="shared" si="3"/>
        <v>46179</v>
      </c>
      <c r="B160" s="2">
        <f>HAVERD!B531</f>
        <v>3</v>
      </c>
      <c r="C160" s="2">
        <f>HAVERD!C531</f>
        <v>1</v>
      </c>
    </row>
    <row r="161" spans="1:3" x14ac:dyDescent="0.35">
      <c r="A161" s="3">
        <f t="shared" si="3"/>
        <v>46180</v>
      </c>
      <c r="B161" s="2">
        <f>HAVERD!B532</f>
        <v>2</v>
      </c>
      <c r="C161" s="2">
        <f>HAVERD!C532</f>
        <v>1</v>
      </c>
    </row>
    <row r="162" spans="1:3" x14ac:dyDescent="0.35">
      <c r="A162" s="3">
        <f t="shared" si="3"/>
        <v>46181</v>
      </c>
      <c r="B162" s="2"/>
      <c r="C162" s="2"/>
    </row>
    <row r="163" spans="1:3" x14ac:dyDescent="0.35">
      <c r="A163" s="3">
        <f t="shared" si="3"/>
        <v>46182</v>
      </c>
      <c r="B163" s="2"/>
      <c r="C163" s="2"/>
    </row>
    <row r="164" spans="1:3" x14ac:dyDescent="0.35">
      <c r="A164" s="3">
        <f t="shared" si="3"/>
        <v>46183</v>
      </c>
      <c r="B164" s="2"/>
      <c r="C164" s="2"/>
    </row>
    <row r="165" spans="1:3" x14ac:dyDescent="0.35">
      <c r="A165" s="3">
        <f t="shared" si="3"/>
        <v>46184</v>
      </c>
      <c r="B165" s="2"/>
      <c r="C165" s="2"/>
    </row>
    <row r="166" spans="1:3" x14ac:dyDescent="0.35">
      <c r="A166" s="3">
        <f t="shared" si="3"/>
        <v>46185</v>
      </c>
      <c r="B166" s="2"/>
      <c r="C166" s="2"/>
    </row>
    <row r="167" spans="1:3" x14ac:dyDescent="0.35">
      <c r="A167" s="3">
        <f t="shared" si="3"/>
        <v>46186</v>
      </c>
      <c r="B167" s="2"/>
      <c r="C167" s="2"/>
    </row>
    <row r="168" spans="1:3" x14ac:dyDescent="0.35">
      <c r="A168" s="3">
        <f t="shared" si="3"/>
        <v>46187</v>
      </c>
      <c r="B168" s="2"/>
      <c r="C168" s="2"/>
    </row>
    <row r="169" spans="1:3" x14ac:dyDescent="0.35">
      <c r="A169" s="3">
        <f t="shared" si="3"/>
        <v>46188</v>
      </c>
      <c r="B169" s="2"/>
      <c r="C169" s="2"/>
    </row>
    <row r="170" spans="1:3" x14ac:dyDescent="0.35">
      <c r="A170" s="3">
        <f t="shared" si="3"/>
        <v>46189</v>
      </c>
      <c r="B170" s="2"/>
      <c r="C170" s="2"/>
    </row>
    <row r="171" spans="1:3" x14ac:dyDescent="0.35">
      <c r="A171" s="3">
        <f t="shared" si="3"/>
        <v>46190</v>
      </c>
      <c r="B171" s="2"/>
      <c r="C171" s="2"/>
    </row>
    <row r="172" spans="1:3" x14ac:dyDescent="0.35">
      <c r="A172" s="3">
        <f t="shared" si="3"/>
        <v>46191</v>
      </c>
      <c r="B172" s="2"/>
      <c r="C172" s="2"/>
    </row>
    <row r="173" spans="1:3" x14ac:dyDescent="0.35">
      <c r="A173" s="3">
        <f t="shared" si="3"/>
        <v>46192</v>
      </c>
      <c r="B173" s="2"/>
      <c r="C173" s="2"/>
    </row>
    <row r="174" spans="1:3" x14ac:dyDescent="0.35">
      <c r="A174" s="3">
        <f t="shared" si="3"/>
        <v>46193</v>
      </c>
      <c r="B174" s="2"/>
      <c r="C174" s="2"/>
    </row>
    <row r="175" spans="1:3" x14ac:dyDescent="0.35">
      <c r="A175" s="3">
        <f t="shared" si="3"/>
        <v>46194</v>
      </c>
      <c r="B175" s="2"/>
      <c r="C175" s="2"/>
    </row>
    <row r="176" spans="1:3" x14ac:dyDescent="0.35">
      <c r="A176" s="3">
        <f t="shared" si="3"/>
        <v>46195</v>
      </c>
      <c r="B176" s="2"/>
      <c r="C176" s="2"/>
    </row>
    <row r="177" spans="1:3" x14ac:dyDescent="0.35">
      <c r="A177" s="3">
        <f t="shared" si="3"/>
        <v>46196</v>
      </c>
      <c r="B177" s="2"/>
      <c r="C177" s="2"/>
    </row>
    <row r="178" spans="1:3" x14ac:dyDescent="0.35">
      <c r="A178" s="3">
        <f t="shared" si="3"/>
        <v>46197</v>
      </c>
      <c r="B178" s="2"/>
      <c r="C178" s="2"/>
    </row>
    <row r="179" spans="1:3" x14ac:dyDescent="0.35">
      <c r="A179" s="3">
        <f t="shared" si="3"/>
        <v>46198</v>
      </c>
      <c r="B179" s="2"/>
      <c r="C179" s="2"/>
    </row>
    <row r="180" spans="1:3" x14ac:dyDescent="0.35">
      <c r="A180" s="3">
        <f t="shared" si="3"/>
        <v>46199</v>
      </c>
      <c r="B180" s="2"/>
      <c r="C180" s="2"/>
    </row>
    <row r="181" spans="1:3" x14ac:dyDescent="0.35">
      <c r="A181" s="3">
        <f t="shared" si="3"/>
        <v>46200</v>
      </c>
      <c r="B181" s="2"/>
      <c r="C181" s="2"/>
    </row>
    <row r="182" spans="1:3" x14ac:dyDescent="0.35">
      <c r="A182" s="3">
        <f t="shared" si="3"/>
        <v>46201</v>
      </c>
      <c r="B182" s="2"/>
      <c r="C182" s="2"/>
    </row>
    <row r="183" spans="1:3" x14ac:dyDescent="0.35">
      <c r="A183" s="3">
        <f t="shared" si="3"/>
        <v>46202</v>
      </c>
      <c r="B183" s="2"/>
      <c r="C183" s="2"/>
    </row>
    <row r="184" spans="1:3" x14ac:dyDescent="0.35">
      <c r="A184" s="3">
        <f t="shared" si="3"/>
        <v>46203</v>
      </c>
      <c r="B184" s="2"/>
      <c r="C184" s="2"/>
    </row>
    <row r="185" spans="1:3" x14ac:dyDescent="0.35">
      <c r="A185" s="3"/>
    </row>
    <row r="186" spans="1:3" x14ac:dyDescent="0.35">
      <c r="A186" s="3"/>
    </row>
    <row r="187" spans="1:3" x14ac:dyDescent="0.35">
      <c r="A187" s="3"/>
    </row>
    <row r="188" spans="1:3" x14ac:dyDescent="0.35">
      <c r="A188" s="3"/>
    </row>
    <row r="189" spans="1:3" x14ac:dyDescent="0.35">
      <c r="A189" s="3"/>
    </row>
    <row r="190" spans="1:3" x14ac:dyDescent="0.35">
      <c r="A190" s="3"/>
    </row>
    <row r="191" spans="1:3" x14ac:dyDescent="0.35">
      <c r="A191" s="3"/>
    </row>
    <row r="192" spans="1:3" x14ac:dyDescent="0.35">
      <c r="A192" s="3"/>
    </row>
    <row r="193" spans="1:1" x14ac:dyDescent="0.35">
      <c r="A1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DMP data</vt:lpstr>
      <vt:lpstr>HAVERD</vt:lpstr>
      <vt:lpstr>HAVERM</vt:lpstr>
      <vt:lpstr>Chart data</vt:lpstr>
      <vt:lpstr>Chart - DMP energy response</vt:lpstr>
      <vt:lpstr>Chart - Hormuz crossings</vt:lpstr>
      <vt:lpstr>Chart - Household exp_panel</vt:lpstr>
      <vt:lpstr>Chart - Household exp</vt:lpstr>
      <vt:lpstr>Chart - Firms' exp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2026-06-07T14:39:20Z</dcterms:created>
  <dcterms:modified xsi:type="dcterms:W3CDTF">2026-06-10T12:46:55Z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2026-06-07T14:57:19Z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ddad0bfd-a14c-432d-81f6-612f76b2a9b5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